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23,07,26 ПОКОМ КИ\дозаказы на 26,07,26\"/>
    </mc:Choice>
  </mc:AlternateContent>
  <xr:revisionPtr revIDLastSave="0" documentId="13_ncr:1_{35BDBF87-AD66-4D4D-AD11-EF7B4B065FF3}" xr6:coauthVersionLast="47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Setting!$E$27:$E$28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Setting!$B$6:$B$12</definedName>
    <definedName name="DeliveryCodeAdressList">Setting!$C$6:$C$12</definedName>
    <definedName name="DeliveryConditions">'Бланк заказа'!$V$12</definedName>
    <definedName name="DeliveryConditionsList">Setting!$B$28:$B$38</definedName>
    <definedName name="DeliveryDate">'Бланк заказа'!$Q$9</definedName>
    <definedName name="DeliveryMethodList">Setting!$B$3:$B$4</definedName>
    <definedName name="DeliveryNumAdressList">Setting!$D$6:$D$12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Setting!$C$27:$C$28</definedName>
    <definedName name="GrossWeightTotal">'Бланк заказа'!$X$551:$X$551</definedName>
    <definedName name="GrossWeightTotalR">'Бланк заказа'!$Y$551:$Y$551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Setting!$B$27:$B$28</definedName>
    <definedName name="PalletQtyTotal">'Бланк заказа'!$X$552:$X$552</definedName>
    <definedName name="PalletQtyTotalR">'Бланк заказа'!$Y$552:$Y$552</definedName>
    <definedName name="PassportProxy">'Бланк заказа'!$J$9:$M$9</definedName>
    <definedName name="PassportProxySet">Setting!$D$27:$D$28</definedName>
    <definedName name="ProductId1">'Бланк заказа'!$B$22:$B$22</definedName>
    <definedName name="ProductId10">'Бланк заказа'!$B$42:$B$42</definedName>
    <definedName name="ProductId100">'Бланк заказа'!$B$211:$B$211</definedName>
    <definedName name="ProductId101">'Бланк заказа'!$B$212:$B$212</definedName>
    <definedName name="ProductId102">'Бланк заказа'!$B$213:$B$213</definedName>
    <definedName name="ProductId103">'Бланк заказа'!$B$214:$B$214</definedName>
    <definedName name="ProductId104">'Бланк заказа'!$B$219:$B$219</definedName>
    <definedName name="ProductId105">'Бланк заказа'!$B$223:$B$223</definedName>
    <definedName name="ProductId106">'Бланк заказа'!$B$224:$B$224</definedName>
    <definedName name="ProductId107">'Бланк заказа'!$B$225:$B$225</definedName>
    <definedName name="ProductId108">'Бланк заказа'!$B$226:$B$226</definedName>
    <definedName name="ProductId109">'Бланк заказа'!$B$227:$B$227</definedName>
    <definedName name="ProductId11">'Бланк заказа'!$B$43:$B$43</definedName>
    <definedName name="ProductId110">'Бланк заказа'!$B$228:$B$228</definedName>
    <definedName name="ProductId111">'Бланк заказа'!$B$229:$B$229</definedName>
    <definedName name="ProductId112">'Бланк заказа'!$B$230:$B$230</definedName>
    <definedName name="ProductId113">'Бланк заказа'!$B$231:$B$231</definedName>
    <definedName name="ProductId114">'Бланк заказа'!$B$232:$B$232</definedName>
    <definedName name="ProductId115">'Бланк заказа'!$B$233:$B$233</definedName>
    <definedName name="ProductId116">'Бланк заказа'!$B$234:$B$234</definedName>
    <definedName name="ProductId117">'Бланк заказа'!$B$235:$B$235</definedName>
    <definedName name="ProductId118">'Бланк заказа'!$B$236:$B$236</definedName>
    <definedName name="ProductId119">'Бланк заказа'!$B$240:$B$240</definedName>
    <definedName name="ProductId12">'Бланк заказа'!$B$44:$B$44</definedName>
    <definedName name="ProductId120">'Бланк заказа'!$B$241:$B$241</definedName>
    <definedName name="ProductId121">'Бланк заказа'!$B$242:$B$242</definedName>
    <definedName name="ProductId122">'Бланк заказа'!$B$243:$B$243</definedName>
    <definedName name="ProductId123">'Бланк заказа'!$B$244:$B$244</definedName>
    <definedName name="ProductId124">'Бланк заказа'!$B$248:$B$248</definedName>
    <definedName name="ProductId125">'Бланк заказа'!$B$249:$B$249</definedName>
    <definedName name="ProductId126">'Бланк заказа'!$B$250:$B$250</definedName>
    <definedName name="ProductId127">'Бланк заказа'!$B$254:$B$254</definedName>
    <definedName name="ProductId128">'Бланк заказа'!$B$259:$B$259</definedName>
    <definedName name="ProductId129">'Бланк заказа'!$B$260:$B$260</definedName>
    <definedName name="ProductId13">'Бланк заказа'!$B$45:$B$45</definedName>
    <definedName name="ProductId130">'Бланк заказа'!$B$264:$B$264</definedName>
    <definedName name="ProductId131">'Бланк заказа'!$B$265:$B$265</definedName>
    <definedName name="ProductId132">'Бланк заказа'!$B$269:$B$269</definedName>
    <definedName name="ProductId133">'Бланк заказа'!$B$270:$B$270</definedName>
    <definedName name="ProductId134">'Бланк заказа'!$B$271:$B$271</definedName>
    <definedName name="ProductId135">'Бланк заказа'!$B$272:$B$272</definedName>
    <definedName name="ProductId136">'Бланк заказа'!$B$273:$B$273</definedName>
    <definedName name="ProductId137">'Бланк заказа'!$B$274:$B$274</definedName>
    <definedName name="ProductId138">'Бланк заказа'!$B$275:$B$275</definedName>
    <definedName name="ProductId139">'Бланк заказа'!$B$276:$B$276</definedName>
    <definedName name="ProductId14">'Бланк заказа'!$B$51:$B$51</definedName>
    <definedName name="ProductId140">'Бланк заказа'!$B$280:$B$280</definedName>
    <definedName name="ProductId141">'Бланк заказа'!$B$281:$B$281</definedName>
    <definedName name="ProductId142">'Бланк заказа'!$B$282:$B$282</definedName>
    <definedName name="ProductId143">'Бланк заказа'!$B$283:$B$283</definedName>
    <definedName name="ProductId144">'Бланк заказа'!$B$284:$B$284</definedName>
    <definedName name="ProductId145">'Бланк заказа'!$B$285:$B$285</definedName>
    <definedName name="ProductId146">'Бланк заказа'!$B$286:$B$286</definedName>
    <definedName name="ProductId147">'Бланк заказа'!$B$287:$B$287</definedName>
    <definedName name="ProductId148">'Бланк заказа'!$B$288:$B$288</definedName>
    <definedName name="ProductId149">'Бланк заказа'!$B$289:$B$289</definedName>
    <definedName name="ProductId15">'Бланк заказа'!$B$52:$B$52</definedName>
    <definedName name="ProductId150">'Бланк заказа'!$B$290:$B$290</definedName>
    <definedName name="ProductId151">'Бланк заказа'!$B$291:$B$291</definedName>
    <definedName name="ProductId152">'Бланк заказа'!$B$295:$B$295</definedName>
    <definedName name="ProductId153">'Бланк заказа'!$B$296:$B$296</definedName>
    <definedName name="ProductId154">'Бланк заказа'!$B$301:$B$301</definedName>
    <definedName name="ProductId155">'Бланк заказа'!$B$302:$B$302</definedName>
    <definedName name="ProductId156">'Бланк заказа'!$B$303:$B$303</definedName>
    <definedName name="ProductId157">'Бланк заказа'!$B$304:$B$304</definedName>
    <definedName name="ProductId158">'Бланк заказа'!$B$305:$B$305</definedName>
    <definedName name="ProductId159">'Бланк заказа'!$B$306:$B$306</definedName>
    <definedName name="ProductId16">'Бланк заказа'!$B$53:$B$53</definedName>
    <definedName name="ProductId160">'Бланк заказа'!$B$307:$B$307</definedName>
    <definedName name="ProductId161">'Бланк заказа'!$B$311:$B$311</definedName>
    <definedName name="ProductId162">'Бланк заказа'!$B$315:$B$315</definedName>
    <definedName name="ProductId163">'Бланк заказа'!$B$319:$B$319</definedName>
    <definedName name="ProductId164">'Бланк заказа'!$B$320:$B$320</definedName>
    <definedName name="ProductId165">'Бланк заказа'!$B$321:$B$321</definedName>
    <definedName name="ProductId166">'Бланк заказа'!$B$326:$B$326</definedName>
    <definedName name="ProductId167">'Бланк заказа'!$B$327:$B$327</definedName>
    <definedName name="ProductId168">'Бланк заказа'!$B$328:$B$328</definedName>
    <definedName name="ProductId169">'Бланк заказа'!$B$329:$B$329</definedName>
    <definedName name="ProductId17">'Бланк заказа'!$B$54:$B$54</definedName>
    <definedName name="ProductId170">'Бланк заказа'!$B$330:$B$330</definedName>
    <definedName name="ProductId171">'Бланк заказа'!$B$335:$B$335</definedName>
    <definedName name="ProductId172">'Бланк заказа'!$B$336:$B$336</definedName>
    <definedName name="ProductId173">'Бланк заказа'!$B$337:$B$337</definedName>
    <definedName name="ProductId174">'Бланк заказа'!$B$342:$B$342</definedName>
    <definedName name="ProductId175">'Бланк заказа'!$B$343:$B$343</definedName>
    <definedName name="ProductId176">'Бланк заказа'!$B$344:$B$344</definedName>
    <definedName name="ProductId177">'Бланк заказа'!$B$345:$B$345</definedName>
    <definedName name="ProductId178">'Бланк заказа'!$B$346:$B$346</definedName>
    <definedName name="ProductId179">'Бланк заказа'!$B$350:$B$350</definedName>
    <definedName name="ProductId18">'Бланк заказа'!$B$59:$B$59</definedName>
    <definedName name="ProductId180">'Бланк заказа'!$B$351:$B$351</definedName>
    <definedName name="ProductId181">'Бланк заказа'!$B$356:$B$356</definedName>
    <definedName name="ProductId182">'Бланк заказа'!$B$357:$B$357</definedName>
    <definedName name="ProductId183">'Бланк заказа'!$B$358:$B$358</definedName>
    <definedName name="ProductId184">'Бланк заказа'!$B$363:$B$363</definedName>
    <definedName name="ProductId185">'Бланк заказа'!$B$364:$B$364</definedName>
    <definedName name="ProductId186">'Бланк заказа'!$B$365:$B$365</definedName>
    <definedName name="ProductId187">'Бланк заказа'!$B$366:$B$366</definedName>
    <definedName name="ProductId188">'Бланк заказа'!$B$367:$B$367</definedName>
    <definedName name="ProductId189">'Бланк заказа'!$B$371:$B$371</definedName>
    <definedName name="ProductId19">'Бланк заказа'!$B$60:$B$60</definedName>
    <definedName name="ProductId190">'Бланк заказа'!$B$372:$B$372</definedName>
    <definedName name="ProductId191">'Бланк заказа'!$B$373:$B$373</definedName>
    <definedName name="ProductId192">'Бланк заказа'!$B$374:$B$374</definedName>
    <definedName name="ProductId193">'Бланк заказа'!$B$375:$B$375</definedName>
    <definedName name="ProductId194">'Бланк заказа'!$B$376:$B$376</definedName>
    <definedName name="ProductId195">'Бланк заказа'!$B$377:$B$377</definedName>
    <definedName name="ProductId196">'Бланк заказа'!$B$381:$B$381</definedName>
    <definedName name="ProductId197">'Бланк заказа'!$B$382:$B$382</definedName>
    <definedName name="ProductId198">'Бланк заказа'!$B$383:$B$383</definedName>
    <definedName name="ProductId199">'Бланк заказа'!$B$384:$B$384</definedName>
    <definedName name="ProductId2">'Бланк заказа'!$B$23:$B$23</definedName>
    <definedName name="ProductId20">'Бланк заказа'!$B$61:$B$61</definedName>
    <definedName name="ProductId200">'Бланк заказа'!$B$388:$B$388</definedName>
    <definedName name="ProductId201">'Бланк заказа'!$B$389:$B$389</definedName>
    <definedName name="ProductId202">'Бланк заказа'!$B$390:$B$390</definedName>
    <definedName name="ProductId203">'Бланк заказа'!$B$394:$B$394</definedName>
    <definedName name="ProductId204">'Бланк заказа'!$B$395:$B$395</definedName>
    <definedName name="ProductId205">'Бланк заказа'!$B$396:$B$396</definedName>
    <definedName name="ProductId206">'Бланк заказа'!$B$397:$B$397</definedName>
    <definedName name="ProductId207">'Бланк заказа'!$B$401:$B$401</definedName>
    <definedName name="ProductId208">'Бланк заказа'!$B$402:$B$402</definedName>
    <definedName name="ProductId209">'Бланк заказа'!$B$403:$B$403</definedName>
    <definedName name="ProductId21">'Бланк заказа'!$B$62:$B$62</definedName>
    <definedName name="ProductId210">'Бланк заказа'!$B$407:$B$407</definedName>
    <definedName name="ProductId211">'Бланк заказа'!$B$408:$B$408</definedName>
    <definedName name="ProductId212">'Бланк заказа'!$B$409:$B$409</definedName>
    <definedName name="ProductId213">'Бланк заказа'!$B$414:$B$414</definedName>
    <definedName name="ProductId214">'Бланк заказа'!$B$415:$B$415</definedName>
    <definedName name="ProductId215">'Бланк заказа'!$B$416:$B$416</definedName>
    <definedName name="ProductId216">'Бланк заказа'!$B$422:$B$422</definedName>
    <definedName name="ProductId217">'Бланк заказа'!$B$423:$B$423</definedName>
    <definedName name="ProductId218">'Бланк заказа'!$B$424:$B$424</definedName>
    <definedName name="ProductId219">'Бланк заказа'!$B$425:$B$425</definedName>
    <definedName name="ProductId22">'Бланк заказа'!$B$63:$B$63</definedName>
    <definedName name="ProductId220">'Бланк заказа'!$B$426:$B$426</definedName>
    <definedName name="ProductId221">'Бланк заказа'!$B$427:$B$427</definedName>
    <definedName name="ProductId222">'Бланк заказа'!$B$428:$B$428</definedName>
    <definedName name="ProductId223">'Бланк заказа'!$B$429:$B$429</definedName>
    <definedName name="ProductId224">'Бланк заказа'!$B$433:$B$433</definedName>
    <definedName name="ProductId225">'Бланк заказа'!$B$434:$B$434</definedName>
    <definedName name="ProductId226">'Бланк заказа'!$B$435:$B$435</definedName>
    <definedName name="ProductId227">'Бланк заказа'!$B$439:$B$439</definedName>
    <definedName name="ProductId228">'Бланк заказа'!$B$440:$B$440</definedName>
    <definedName name="ProductId229">'Бланк заказа'!$B$441:$B$441</definedName>
    <definedName name="ProductId23">'Бланк заказа'!$B$64:$B$64</definedName>
    <definedName name="ProductId230">'Бланк заказа'!$B$445:$B$445</definedName>
    <definedName name="ProductId231">'Бланк заказа'!$B$446:$B$446</definedName>
    <definedName name="ProductId232">'Бланк заказа'!$B$451:$B$451</definedName>
    <definedName name="ProductId233">'Бланк заказа'!$B$452:$B$452</definedName>
    <definedName name="ProductId234">'Бланк заказа'!$B$456:$B$456</definedName>
    <definedName name="ProductId235">'Бланк заказа'!$B$460:$B$460</definedName>
    <definedName name="ProductId236">'Бланк заказа'!$B$461:$B$461</definedName>
    <definedName name="ProductId237">'Бланк заказа'!$B$462:$B$462</definedName>
    <definedName name="ProductId238">'Бланк заказа'!$B$468:$B$468</definedName>
    <definedName name="ProductId239">'Бланк заказа'!$B$469:$B$469</definedName>
    <definedName name="ProductId24">'Бланк заказа'!$B$65:$B$65</definedName>
    <definedName name="ProductId240">'Бланк заказа'!$B$470:$B$470</definedName>
    <definedName name="ProductId241">'Бланк заказа'!$B$471:$B$471</definedName>
    <definedName name="ProductId242">'Бланк заказа'!$B$472:$B$472</definedName>
    <definedName name="ProductId243">'Бланк заказа'!$B$473:$B$473</definedName>
    <definedName name="ProductId244">'Бланк заказа'!$B$477:$B$477</definedName>
    <definedName name="ProductId245">'Бланк заказа'!$B$478:$B$478</definedName>
    <definedName name="ProductId246">'Бланк заказа'!$B$483:$B$483</definedName>
    <definedName name="ProductId247">'Бланк заказа'!$B$487:$B$487</definedName>
    <definedName name="ProductId248">'Бланк заказа'!$B$488:$B$488</definedName>
    <definedName name="ProductId249">'Бланк заказа'!$B$489:$B$489</definedName>
    <definedName name="ProductId25">'Бланк заказа'!$B$66:$B$66</definedName>
    <definedName name="ProductId250">'Бланк заказа'!$B$495:$B$495</definedName>
    <definedName name="ProductId251">'Бланк заказа'!$B$496:$B$496</definedName>
    <definedName name="ProductId252">'Бланк заказа'!$B$497:$B$497</definedName>
    <definedName name="ProductId253">'Бланк заказа'!$B$498:$B$498</definedName>
    <definedName name="ProductId254">'Бланк заказа'!$B$499:$B$499</definedName>
    <definedName name="ProductId255">'Бланк заказа'!$B$500:$B$500</definedName>
    <definedName name="ProductId256">'Бланк заказа'!$B$501:$B$501</definedName>
    <definedName name="ProductId257">'Бланк заказа'!$B$502:$B$502</definedName>
    <definedName name="ProductId258">'Бланк заказа'!$B$503:$B$503</definedName>
    <definedName name="ProductId259">'Бланк заказа'!$B$507:$B$507</definedName>
    <definedName name="ProductId26">'Бланк заказа'!$B$70:$B$70</definedName>
    <definedName name="ProductId260">'Бланк заказа'!$B$508:$B$508</definedName>
    <definedName name="ProductId261">'Бланк заказа'!$B$509:$B$509</definedName>
    <definedName name="ProductId262">'Бланк заказа'!$B$513:$B$513</definedName>
    <definedName name="ProductId263">'Бланк заказа'!$B$514:$B$514</definedName>
    <definedName name="ProductId264">'Бланк заказа'!$B$515:$B$515</definedName>
    <definedName name="ProductId265">'Бланк заказа'!$B$516:$B$516</definedName>
    <definedName name="ProductId266">'Бланк заказа'!$B$517:$B$517</definedName>
    <definedName name="ProductId267">'Бланк заказа'!$B$518:$B$518</definedName>
    <definedName name="ProductId268">'Бланк заказа'!$B$519:$B$519</definedName>
    <definedName name="ProductId269">'Бланк заказа'!$B$525:$B$525</definedName>
    <definedName name="ProductId27">'Бланк заказа'!$B$71:$B$71</definedName>
    <definedName name="ProductId270">'Бланк заказа'!$B$529:$B$529</definedName>
    <definedName name="ProductId271">'Бланк заказа'!$B$533:$B$533</definedName>
    <definedName name="ProductId272">'Бланк заказа'!$B$537:$B$537</definedName>
    <definedName name="ProductId273">'Бланк заказа'!$B$541:$B$541</definedName>
    <definedName name="ProductId274">'Бланк заказа'!$B$542:$B$542</definedName>
    <definedName name="ProductId275">'Бланк заказа'!$B$547:$B$547</definedName>
    <definedName name="ProductId28">'Бланк заказа'!$B$72:$B$72</definedName>
    <definedName name="ProductId29">'Бланк заказа'!$B$73:$B$73</definedName>
    <definedName name="ProductId3">'Бланк заказа'!$B$27:$B$27</definedName>
    <definedName name="ProductId30">'Бланк заказа'!$B$77:$B$77</definedName>
    <definedName name="ProductId31">'Бланк заказа'!$B$78:$B$78</definedName>
    <definedName name="ProductId32">'Бланк заказа'!$B$82:$B$82</definedName>
    <definedName name="ProductId33">'Бланк заказа'!$B$83:$B$83</definedName>
    <definedName name="ProductId34">'Бланк заказа'!$B$88:$B$88</definedName>
    <definedName name="ProductId35">'Бланк заказа'!$B$89:$B$89</definedName>
    <definedName name="ProductId36">'Бланк заказа'!$B$90:$B$90</definedName>
    <definedName name="ProductId37">'Бланк заказа'!$B$91:$B$91</definedName>
    <definedName name="ProductId38">'Бланк заказа'!$B$95:$B$95</definedName>
    <definedName name="ProductId39">'Бланк заказа'!$B$96:$B$96</definedName>
    <definedName name="ProductId4">'Бланк заказа'!$B$28:$B$28</definedName>
    <definedName name="ProductId40">'Бланк заказа'!$B$97:$B$97</definedName>
    <definedName name="ProductId41">'Бланк заказа'!$B$98:$B$98</definedName>
    <definedName name="ProductId42">'Бланк заказа'!$B$103:$B$103</definedName>
    <definedName name="ProductId43">'Бланк заказа'!$B$104:$B$104</definedName>
    <definedName name="ProductId44">'Бланк заказа'!$B$105:$B$105</definedName>
    <definedName name="ProductId45">'Бланк заказа'!$B$106:$B$106</definedName>
    <definedName name="ProductId46">'Бланк заказа'!$B$107:$B$107</definedName>
    <definedName name="ProductId47">'Бланк заказа'!$B$108:$B$108</definedName>
    <definedName name="ProductId48">'Бланк заказа'!$B$112:$B$112</definedName>
    <definedName name="ProductId49">'Бланк заказа'!$B$113:$B$113</definedName>
    <definedName name="ProductId5">'Бланк заказа'!$B$29:$B$29</definedName>
    <definedName name="ProductId50">'Бланк заказа'!$B$114:$B$114</definedName>
    <definedName name="ProductId51">'Бланк заказа'!$B$115:$B$115</definedName>
    <definedName name="ProductId52">'Бланк заказа'!$B$116:$B$116</definedName>
    <definedName name="ProductId53">'Бланк заказа'!$B$120:$B$120</definedName>
    <definedName name="ProductId54">'Бланк заказа'!$B$121:$B$121</definedName>
    <definedName name="ProductId55">'Бланк заказа'!$B$122:$B$122</definedName>
    <definedName name="ProductId56">'Бланк заказа'!$B$123:$B$123</definedName>
    <definedName name="ProductId57">'Бланк заказа'!$B$127:$B$127</definedName>
    <definedName name="ProductId58">'Бланк заказа'!$B$132:$B$132</definedName>
    <definedName name="ProductId59">'Бланк заказа'!$B$133:$B$133</definedName>
    <definedName name="ProductId6">'Бланк заказа'!$B$30:$B$30</definedName>
    <definedName name="ProductId60">'Бланк заказа'!$B$134:$B$134</definedName>
    <definedName name="ProductId61">'Бланк заказа'!$B$135:$B$135</definedName>
    <definedName name="ProductId62">'Бланк заказа'!$B$139:$B$139</definedName>
    <definedName name="ProductId63">'Бланк заказа'!$B$140:$B$140</definedName>
    <definedName name="ProductId64">'Бланк заказа'!$B$141:$B$141</definedName>
    <definedName name="ProductId65">'Бланк заказа'!$B$142:$B$142</definedName>
    <definedName name="ProductId66">'Бланк заказа'!$B$146:$B$146</definedName>
    <definedName name="ProductId67">'Бланк заказа'!$B$147:$B$147</definedName>
    <definedName name="ProductId68">'Бланк заказа'!$B$148:$B$148</definedName>
    <definedName name="ProductId69">'Бланк заказа'!$B$149:$B$149</definedName>
    <definedName name="ProductId7">'Бланк заказа'!$B$31:$B$31</definedName>
    <definedName name="ProductId70">'Бланк заказа'!$B$154:$B$154</definedName>
    <definedName name="ProductId71">'Бланк заказа'!$B$155:$B$155</definedName>
    <definedName name="ProductId72">'Бланк заказа'!$B$156:$B$156</definedName>
    <definedName name="ProductId73">'Бланк заказа'!$B$157:$B$157</definedName>
    <definedName name="ProductId74">'Бланк заказа'!$B$161:$B$161</definedName>
    <definedName name="ProductId75">'Бланк заказа'!$B$166:$B$166</definedName>
    <definedName name="ProductId76">'Бланк заказа'!$B$167:$B$167</definedName>
    <definedName name="ProductId77">'Бланк заказа'!$B$168:$B$168</definedName>
    <definedName name="ProductId78">'Бланк заказа'!$B$172:$B$172</definedName>
    <definedName name="ProductId79">'Бланк заказа'!$B$173:$B$173</definedName>
    <definedName name="ProductId8">'Бланк заказа'!$B$35:$B$35</definedName>
    <definedName name="ProductId80">'Бланк заказа'!$B$177:$B$177</definedName>
    <definedName name="ProductId81">'Бланк заказа'!$B$178:$B$178</definedName>
    <definedName name="ProductId82">'Бланк заказа'!$B$179:$B$179</definedName>
    <definedName name="ProductId83">'Бланк заказа'!$B$180:$B$180</definedName>
    <definedName name="ProductId84">'Бланк заказа'!$B$181:$B$181</definedName>
    <definedName name="ProductId85">'Бланк заказа'!$B$182:$B$182</definedName>
    <definedName name="ProductId86">'Бланк заказа'!$B$183:$B$183</definedName>
    <definedName name="ProductId87">'Бланк заказа'!$B$184:$B$184</definedName>
    <definedName name="ProductId88">'Бланк заказа'!$B$185:$B$185</definedName>
    <definedName name="ProductId89">'Бланк заказа'!$B$186:$B$186</definedName>
    <definedName name="ProductId9">'Бланк заказа'!$B$41:$B$41</definedName>
    <definedName name="ProductId90">'Бланк заказа'!$B$187:$B$187</definedName>
    <definedName name="ProductId91">'Бланк заказа'!$B$191:$B$191</definedName>
    <definedName name="ProductId92">'Бланк заказа'!$B$192:$B$192</definedName>
    <definedName name="ProductId93">'Бланк заказа'!$B$193:$B$193</definedName>
    <definedName name="ProductId94">'Бланк заказа'!$B$197:$B$197</definedName>
    <definedName name="ProductId95">'Бланк заказа'!$B$198:$B$198</definedName>
    <definedName name="ProductId96">'Бланк заказа'!$B$202:$B$202</definedName>
    <definedName name="ProductId97">'Бланк заказа'!$B$208:$B$208</definedName>
    <definedName name="ProductId98">'Бланк заказа'!$B$209:$B$209</definedName>
    <definedName name="ProductId99">'Бланк заказа'!$B$210:$B$210</definedName>
    <definedName name="Proxy">Setting!$B$27:$E$28</definedName>
    <definedName name="Ref_UnloadCodeAdressList0001">Setting!$C$14:$C$14</definedName>
    <definedName name="Ref_UnloadCodeAdressList0002">Setting!$C$16:$C$16</definedName>
    <definedName name="Ref_UnloadCodeAdressList0003">Setting!$C$18:$C$18</definedName>
    <definedName name="Ref_UnloadCodeAdressList0004">Setting!$C$20:$C$20</definedName>
    <definedName name="Ref_UnloadCodeAdressList0005">Setting!$C$22:$C$22</definedName>
    <definedName name="Ref_UnloadCodeAdressList0006">Setting!$C$24:$C$24</definedName>
    <definedName name="Ref_UnloadCodeAdressList0007">Setting!$C$26:$C$26</definedName>
    <definedName name="RequestReceiptTime">'Бланк заказа'!$A$13</definedName>
    <definedName name="SalesQty1">'Бланк заказа'!$X$22:$X$22</definedName>
    <definedName name="SalesQty10">'Бланк заказа'!$X$42:$X$42</definedName>
    <definedName name="SalesQty100">'Бланк заказа'!$X$211:$X$211</definedName>
    <definedName name="SalesQty101">'Бланк заказа'!$X$212:$X$212</definedName>
    <definedName name="SalesQty102">'Бланк заказа'!$X$213:$X$213</definedName>
    <definedName name="SalesQty103">'Бланк заказа'!$X$214:$X$214</definedName>
    <definedName name="SalesQty104">'Бланк заказа'!$X$219:$X$219</definedName>
    <definedName name="SalesQty105">'Бланк заказа'!$X$223:$X$223</definedName>
    <definedName name="SalesQty106">'Бланк заказа'!$X$224:$X$224</definedName>
    <definedName name="SalesQty107">'Бланк заказа'!$X$225:$X$225</definedName>
    <definedName name="SalesQty108">'Бланк заказа'!$X$226:$X$226</definedName>
    <definedName name="SalesQty109">'Бланк заказа'!$X$227:$X$227</definedName>
    <definedName name="SalesQty11">'Бланк заказа'!$X$43:$X$43</definedName>
    <definedName name="SalesQty110">'Бланк заказа'!$X$228:$X$228</definedName>
    <definedName name="SalesQty111">'Бланк заказа'!$X$229:$X$229</definedName>
    <definedName name="SalesQty112">'Бланк заказа'!$X$230:$X$230</definedName>
    <definedName name="SalesQty113">'Бланк заказа'!$X$231:$X$231</definedName>
    <definedName name="SalesQty114">'Бланк заказа'!$X$232:$X$232</definedName>
    <definedName name="SalesQty115">'Бланк заказа'!$X$233:$X$233</definedName>
    <definedName name="SalesQty116">'Бланк заказа'!$X$234:$X$234</definedName>
    <definedName name="SalesQty117">'Бланк заказа'!$X$235:$X$235</definedName>
    <definedName name="SalesQty118">'Бланк заказа'!$X$236:$X$236</definedName>
    <definedName name="SalesQty119">'Бланк заказа'!$X$240:$X$240</definedName>
    <definedName name="SalesQty12">'Бланк заказа'!$X$44:$X$44</definedName>
    <definedName name="SalesQty120">'Бланк заказа'!$X$241:$X$241</definedName>
    <definedName name="SalesQty121">'Бланк заказа'!$X$242:$X$242</definedName>
    <definedName name="SalesQty122">'Бланк заказа'!$X$243:$X$243</definedName>
    <definedName name="SalesQty123">'Бланк заказа'!$X$244:$X$244</definedName>
    <definedName name="SalesQty124">'Бланк заказа'!$X$248:$X$248</definedName>
    <definedName name="SalesQty125">'Бланк заказа'!$X$249:$X$249</definedName>
    <definedName name="SalesQty126">'Бланк заказа'!$X$250:$X$250</definedName>
    <definedName name="SalesQty127">'Бланк заказа'!$X$254:$X$254</definedName>
    <definedName name="SalesQty128">'Бланк заказа'!$X$259:$X$259</definedName>
    <definedName name="SalesQty129">'Бланк заказа'!$X$260:$X$260</definedName>
    <definedName name="SalesQty13">'Бланк заказа'!$X$45:$X$45</definedName>
    <definedName name="SalesQty130">'Бланк заказа'!$X$264:$X$264</definedName>
    <definedName name="SalesQty131">'Бланк заказа'!$X$265:$X$265</definedName>
    <definedName name="SalesQty132">'Бланк заказа'!$X$269:$X$269</definedName>
    <definedName name="SalesQty133">'Бланк заказа'!$X$270:$X$270</definedName>
    <definedName name="SalesQty134">'Бланк заказа'!$X$271:$X$271</definedName>
    <definedName name="SalesQty135">'Бланк заказа'!$X$272:$X$272</definedName>
    <definedName name="SalesQty136">'Бланк заказа'!$X$273:$X$273</definedName>
    <definedName name="SalesQty137">'Бланк заказа'!$X$274:$X$274</definedName>
    <definedName name="SalesQty138">'Бланк заказа'!$X$275:$X$275</definedName>
    <definedName name="SalesQty139">'Бланк заказа'!$X$276:$X$276</definedName>
    <definedName name="SalesQty14">'Бланк заказа'!$X$51:$X$51</definedName>
    <definedName name="SalesQty140">'Бланк заказа'!$X$280:$X$280</definedName>
    <definedName name="SalesQty141">'Бланк заказа'!$X$281:$X$281</definedName>
    <definedName name="SalesQty142">'Бланк заказа'!$X$282:$X$282</definedName>
    <definedName name="SalesQty143">'Бланк заказа'!$X$283:$X$283</definedName>
    <definedName name="SalesQty144">'Бланк заказа'!$X$284:$X$284</definedName>
    <definedName name="SalesQty145">'Бланк заказа'!$X$285:$X$285</definedName>
    <definedName name="SalesQty146">'Бланк заказа'!$X$286:$X$286</definedName>
    <definedName name="SalesQty147">'Бланк заказа'!$X$287:$X$287</definedName>
    <definedName name="SalesQty148">'Бланк заказа'!$X$288:$X$288</definedName>
    <definedName name="SalesQty149">'Бланк заказа'!$X$289:$X$289</definedName>
    <definedName name="SalesQty15">'Бланк заказа'!$X$52:$X$52</definedName>
    <definedName name="SalesQty150">'Бланк заказа'!$X$290:$X$290</definedName>
    <definedName name="SalesQty151">'Бланк заказа'!$X$291:$X$291</definedName>
    <definedName name="SalesQty152">'Бланк заказа'!$X$295:$X$295</definedName>
    <definedName name="SalesQty153">'Бланк заказа'!$X$296:$X$296</definedName>
    <definedName name="SalesQty154">'Бланк заказа'!$X$301:$X$301</definedName>
    <definedName name="SalesQty155">'Бланк заказа'!$X$302:$X$302</definedName>
    <definedName name="SalesQty156">'Бланк заказа'!$X$303:$X$303</definedName>
    <definedName name="SalesQty157">'Бланк заказа'!$X$304:$X$304</definedName>
    <definedName name="SalesQty158">'Бланк заказа'!$X$305:$X$305</definedName>
    <definedName name="SalesQty159">'Бланк заказа'!$X$306:$X$306</definedName>
    <definedName name="SalesQty16">'Бланк заказа'!$X$53:$X$53</definedName>
    <definedName name="SalesQty160">'Бланк заказа'!$X$307:$X$307</definedName>
    <definedName name="SalesQty161">'Бланк заказа'!$X$311:$X$311</definedName>
    <definedName name="SalesQty162">'Бланк заказа'!$X$315:$X$315</definedName>
    <definedName name="SalesQty163">'Бланк заказа'!$X$319:$X$319</definedName>
    <definedName name="SalesQty164">'Бланк заказа'!$X$320:$X$320</definedName>
    <definedName name="SalesQty165">'Бланк заказа'!$X$321:$X$321</definedName>
    <definedName name="SalesQty166">'Бланк заказа'!$X$326:$X$326</definedName>
    <definedName name="SalesQty167">'Бланк заказа'!$X$327:$X$327</definedName>
    <definedName name="SalesQty168">'Бланк заказа'!$X$328:$X$328</definedName>
    <definedName name="SalesQty169">'Бланк заказа'!$X$329:$X$329</definedName>
    <definedName name="SalesQty17">'Бланк заказа'!$X$54:$X$54</definedName>
    <definedName name="SalesQty170">'Бланк заказа'!$X$330:$X$330</definedName>
    <definedName name="SalesQty171">'Бланк заказа'!$X$335:$X$335</definedName>
    <definedName name="SalesQty172">'Бланк заказа'!$X$336:$X$336</definedName>
    <definedName name="SalesQty173">'Бланк заказа'!$X$337:$X$337</definedName>
    <definedName name="SalesQty174">'Бланк заказа'!$X$342:$X$342</definedName>
    <definedName name="SalesQty175">'Бланк заказа'!$X$343:$X$343</definedName>
    <definedName name="SalesQty176">'Бланк заказа'!$X$344:$X$344</definedName>
    <definedName name="SalesQty177">'Бланк заказа'!$X$345:$X$345</definedName>
    <definedName name="SalesQty178">'Бланк заказа'!$X$346:$X$346</definedName>
    <definedName name="SalesQty179">'Бланк заказа'!$X$350:$X$350</definedName>
    <definedName name="SalesQty18">'Бланк заказа'!$X$59:$X$59</definedName>
    <definedName name="SalesQty180">'Бланк заказа'!$X$351:$X$351</definedName>
    <definedName name="SalesQty181">'Бланк заказа'!$X$356:$X$356</definedName>
    <definedName name="SalesQty182">'Бланк заказа'!$X$357:$X$357</definedName>
    <definedName name="SalesQty183">'Бланк заказа'!$X$358:$X$358</definedName>
    <definedName name="SalesQty184">'Бланк заказа'!$X$363:$X$363</definedName>
    <definedName name="SalesQty185">'Бланк заказа'!$X$364:$X$364</definedName>
    <definedName name="SalesQty186">'Бланк заказа'!$X$365:$X$365</definedName>
    <definedName name="SalesQty187">'Бланк заказа'!$X$366:$X$366</definedName>
    <definedName name="SalesQty188">'Бланк заказа'!$X$367:$X$367</definedName>
    <definedName name="SalesQty189">'Бланк заказа'!$X$371:$X$371</definedName>
    <definedName name="SalesQty19">'Бланк заказа'!$X$60:$X$60</definedName>
    <definedName name="SalesQty190">'Бланк заказа'!$X$372:$X$372</definedName>
    <definedName name="SalesQty191">'Бланк заказа'!$X$373:$X$373</definedName>
    <definedName name="SalesQty192">'Бланк заказа'!$X$374:$X$374</definedName>
    <definedName name="SalesQty193">'Бланк заказа'!$X$375:$X$375</definedName>
    <definedName name="SalesQty194">'Бланк заказа'!$X$376:$X$376</definedName>
    <definedName name="SalesQty195">'Бланк заказа'!$X$377:$X$377</definedName>
    <definedName name="SalesQty196">'Бланк заказа'!$X$381:$X$381</definedName>
    <definedName name="SalesQty197">'Бланк заказа'!$X$382:$X$382</definedName>
    <definedName name="SalesQty198">'Бланк заказа'!$X$383:$X$383</definedName>
    <definedName name="SalesQty199">'Бланк заказа'!$X$384:$X$384</definedName>
    <definedName name="SalesQty2">'Бланк заказа'!$X$23:$X$23</definedName>
    <definedName name="SalesQty20">'Бланк заказа'!$X$61:$X$61</definedName>
    <definedName name="SalesQty200">'Бланк заказа'!$X$388:$X$388</definedName>
    <definedName name="SalesQty201">'Бланк заказа'!$X$389:$X$389</definedName>
    <definedName name="SalesQty202">'Бланк заказа'!$X$390:$X$390</definedName>
    <definedName name="SalesQty203">'Бланк заказа'!$X$394:$X$394</definedName>
    <definedName name="SalesQty204">'Бланк заказа'!$X$395:$X$395</definedName>
    <definedName name="SalesQty205">'Бланк заказа'!$X$396:$X$396</definedName>
    <definedName name="SalesQty206">'Бланк заказа'!$X$397:$X$397</definedName>
    <definedName name="SalesQty207">'Бланк заказа'!$X$401:$X$401</definedName>
    <definedName name="SalesQty208">'Бланк заказа'!$X$402:$X$402</definedName>
    <definedName name="SalesQty209">'Бланк заказа'!$X$403:$X$403</definedName>
    <definedName name="SalesQty21">'Бланк заказа'!$X$62:$X$62</definedName>
    <definedName name="SalesQty210">'Бланк заказа'!$X$407:$X$407</definedName>
    <definedName name="SalesQty211">'Бланк заказа'!$X$408:$X$408</definedName>
    <definedName name="SalesQty212">'Бланк заказа'!$X$409:$X$409</definedName>
    <definedName name="SalesQty213">'Бланк заказа'!$X$414:$X$414</definedName>
    <definedName name="SalesQty214">'Бланк заказа'!$X$415:$X$415</definedName>
    <definedName name="SalesQty215">'Бланк заказа'!$X$416:$X$416</definedName>
    <definedName name="SalesQty216">'Бланк заказа'!$X$422:$X$422</definedName>
    <definedName name="SalesQty217">'Бланк заказа'!$X$423:$X$423</definedName>
    <definedName name="SalesQty218">'Бланк заказа'!$X$424:$X$424</definedName>
    <definedName name="SalesQty219">'Бланк заказа'!$X$425:$X$425</definedName>
    <definedName name="SalesQty22">'Бланк заказа'!$X$63:$X$63</definedName>
    <definedName name="SalesQty220">'Бланк заказа'!$X$426:$X$426</definedName>
    <definedName name="SalesQty221">'Бланк заказа'!$X$427:$X$427</definedName>
    <definedName name="SalesQty222">'Бланк заказа'!$X$428:$X$428</definedName>
    <definedName name="SalesQty223">'Бланк заказа'!$X$429:$X$429</definedName>
    <definedName name="SalesQty224">'Бланк заказа'!$X$433:$X$433</definedName>
    <definedName name="SalesQty225">'Бланк заказа'!$X$434:$X$434</definedName>
    <definedName name="SalesQty226">'Бланк заказа'!$X$435:$X$435</definedName>
    <definedName name="SalesQty227">'Бланк заказа'!$X$439:$X$439</definedName>
    <definedName name="SalesQty228">'Бланк заказа'!$X$440:$X$440</definedName>
    <definedName name="SalesQty229">'Бланк заказа'!$X$441:$X$441</definedName>
    <definedName name="SalesQty23">'Бланк заказа'!$X$64:$X$64</definedName>
    <definedName name="SalesQty230">'Бланк заказа'!$X$445:$X$445</definedName>
    <definedName name="SalesQty231">'Бланк заказа'!$X$446:$X$446</definedName>
    <definedName name="SalesQty232">'Бланк заказа'!$X$451:$X$451</definedName>
    <definedName name="SalesQty233">'Бланк заказа'!$X$452:$X$452</definedName>
    <definedName name="SalesQty234">'Бланк заказа'!$X$456:$X$456</definedName>
    <definedName name="SalesQty235">'Бланк заказа'!$X$460:$X$460</definedName>
    <definedName name="SalesQty236">'Бланк заказа'!$X$461:$X$461</definedName>
    <definedName name="SalesQty237">'Бланк заказа'!$X$462:$X$462</definedName>
    <definedName name="SalesQty238">'Бланк заказа'!$X$468:$X$468</definedName>
    <definedName name="SalesQty239">'Бланк заказа'!$X$469:$X$469</definedName>
    <definedName name="SalesQty24">'Бланк заказа'!$X$65:$X$65</definedName>
    <definedName name="SalesQty240">'Бланк заказа'!$X$470:$X$470</definedName>
    <definedName name="SalesQty241">'Бланк заказа'!$X$471:$X$471</definedName>
    <definedName name="SalesQty242">'Бланк заказа'!$X$472:$X$472</definedName>
    <definedName name="SalesQty243">'Бланк заказа'!$X$473:$X$473</definedName>
    <definedName name="SalesQty244">'Бланк заказа'!$X$477:$X$477</definedName>
    <definedName name="SalesQty245">'Бланк заказа'!$X$478:$X$478</definedName>
    <definedName name="SalesQty246">'Бланк заказа'!$X$483:$X$483</definedName>
    <definedName name="SalesQty247">'Бланк заказа'!$X$487:$X$487</definedName>
    <definedName name="SalesQty248">'Бланк заказа'!$X$488:$X$488</definedName>
    <definedName name="SalesQty249">'Бланк заказа'!$X$489:$X$489</definedName>
    <definedName name="SalesQty25">'Бланк заказа'!$X$66:$X$66</definedName>
    <definedName name="SalesQty250">'Бланк заказа'!$X$495:$X$495</definedName>
    <definedName name="SalesQty251">'Бланк заказа'!$X$496:$X$496</definedName>
    <definedName name="SalesQty252">'Бланк заказа'!$X$497:$X$497</definedName>
    <definedName name="SalesQty253">'Бланк заказа'!$X$498:$X$498</definedName>
    <definedName name="SalesQty254">'Бланк заказа'!$X$499:$X$499</definedName>
    <definedName name="SalesQty255">'Бланк заказа'!$X$500:$X$500</definedName>
    <definedName name="SalesQty256">'Бланк заказа'!$X$501:$X$501</definedName>
    <definedName name="SalesQty257">'Бланк заказа'!$X$502:$X$502</definedName>
    <definedName name="SalesQty258">'Бланк заказа'!$X$503:$X$503</definedName>
    <definedName name="SalesQty259">'Бланк заказа'!$X$507:$X$507</definedName>
    <definedName name="SalesQty26">'Бланк заказа'!$X$70:$X$70</definedName>
    <definedName name="SalesQty260">'Бланк заказа'!$X$508:$X$508</definedName>
    <definedName name="SalesQty261">'Бланк заказа'!$X$509:$X$509</definedName>
    <definedName name="SalesQty262">'Бланк заказа'!$X$513:$X$513</definedName>
    <definedName name="SalesQty263">'Бланк заказа'!$X$514:$X$514</definedName>
    <definedName name="SalesQty264">'Бланк заказа'!$X$515:$X$515</definedName>
    <definedName name="SalesQty265">'Бланк заказа'!$X$516:$X$516</definedName>
    <definedName name="SalesQty266">'Бланк заказа'!$X$517:$X$517</definedName>
    <definedName name="SalesQty267">'Бланк заказа'!$X$518:$X$518</definedName>
    <definedName name="SalesQty268">'Бланк заказа'!$X$519:$X$519</definedName>
    <definedName name="SalesQty269">'Бланк заказа'!$X$525:$X$525</definedName>
    <definedName name="SalesQty27">'Бланк заказа'!$X$71:$X$71</definedName>
    <definedName name="SalesQty270">'Бланк заказа'!$X$529:$X$529</definedName>
    <definedName name="SalesQty271">'Бланк заказа'!$X$533:$X$533</definedName>
    <definedName name="SalesQty272">'Бланк заказа'!$X$537:$X$537</definedName>
    <definedName name="SalesQty273">'Бланк заказа'!$X$541:$X$541</definedName>
    <definedName name="SalesQty274">'Бланк заказа'!$X$542:$X$542</definedName>
    <definedName name="SalesQty275">'Бланк заказа'!$X$547:$X$547</definedName>
    <definedName name="SalesQty28">'Бланк заказа'!$X$72:$X$72</definedName>
    <definedName name="SalesQty29">'Бланк заказа'!$X$73:$X$73</definedName>
    <definedName name="SalesQty3">'Бланк заказа'!$X$27:$X$27</definedName>
    <definedName name="SalesQty30">'Бланк заказа'!$X$77:$X$77</definedName>
    <definedName name="SalesQty31">'Бланк заказа'!$X$78:$X$78</definedName>
    <definedName name="SalesQty32">'Бланк заказа'!$X$82:$X$82</definedName>
    <definedName name="SalesQty33">'Бланк заказа'!$X$83:$X$83</definedName>
    <definedName name="SalesQty34">'Бланк заказа'!$X$88:$X$88</definedName>
    <definedName name="SalesQty35">'Бланк заказа'!$X$89:$X$89</definedName>
    <definedName name="SalesQty36">'Бланк заказа'!$X$90:$X$90</definedName>
    <definedName name="SalesQty37">'Бланк заказа'!$X$91:$X$91</definedName>
    <definedName name="SalesQty38">'Бланк заказа'!$X$95:$X$95</definedName>
    <definedName name="SalesQty39">'Бланк заказа'!$X$96:$X$96</definedName>
    <definedName name="SalesQty4">'Бланк заказа'!$X$28:$X$28</definedName>
    <definedName name="SalesQty40">'Бланк заказа'!$X$97:$X$97</definedName>
    <definedName name="SalesQty41">'Бланк заказа'!$X$98:$X$98</definedName>
    <definedName name="SalesQty42">'Бланк заказа'!$X$103:$X$103</definedName>
    <definedName name="SalesQty43">'Бланк заказа'!$X$104:$X$104</definedName>
    <definedName name="SalesQty44">'Бланк заказа'!$X$105:$X$105</definedName>
    <definedName name="SalesQty45">'Бланк заказа'!$X$106:$X$106</definedName>
    <definedName name="SalesQty46">'Бланк заказа'!$X$107:$X$107</definedName>
    <definedName name="SalesQty47">'Бланк заказа'!$X$108:$X$108</definedName>
    <definedName name="SalesQty48">'Бланк заказа'!$X$112:$X$112</definedName>
    <definedName name="SalesQty49">'Бланк заказа'!$X$113:$X$113</definedName>
    <definedName name="SalesQty5">'Бланк заказа'!$X$29:$X$29</definedName>
    <definedName name="SalesQty50">'Бланк заказа'!$X$114:$X$114</definedName>
    <definedName name="SalesQty51">'Бланк заказа'!$X$115:$X$115</definedName>
    <definedName name="SalesQty52">'Бланк заказа'!$X$116:$X$116</definedName>
    <definedName name="SalesQty53">'Бланк заказа'!$X$120:$X$120</definedName>
    <definedName name="SalesQty54">'Бланк заказа'!$X$121:$X$121</definedName>
    <definedName name="SalesQty55">'Бланк заказа'!$X$122:$X$122</definedName>
    <definedName name="SalesQty56">'Бланк заказа'!$X$123:$X$123</definedName>
    <definedName name="SalesQty57">'Бланк заказа'!$X$127:$X$127</definedName>
    <definedName name="SalesQty58">'Бланк заказа'!$X$132:$X$132</definedName>
    <definedName name="SalesQty59">'Бланк заказа'!$X$133:$X$133</definedName>
    <definedName name="SalesQty6">'Бланк заказа'!$X$30:$X$30</definedName>
    <definedName name="SalesQty60">'Бланк заказа'!$X$134:$X$134</definedName>
    <definedName name="SalesQty61">'Бланк заказа'!$X$135:$X$135</definedName>
    <definedName name="SalesQty62">'Бланк заказа'!$X$139:$X$139</definedName>
    <definedName name="SalesQty63">'Бланк заказа'!$X$140:$X$140</definedName>
    <definedName name="SalesQty64">'Бланк заказа'!$X$141:$X$141</definedName>
    <definedName name="SalesQty65">'Бланк заказа'!$X$142:$X$142</definedName>
    <definedName name="SalesQty66">'Бланк заказа'!$X$146:$X$146</definedName>
    <definedName name="SalesQty67">'Бланк заказа'!$X$147:$X$147</definedName>
    <definedName name="SalesQty68">'Бланк заказа'!$X$148:$X$148</definedName>
    <definedName name="SalesQty69">'Бланк заказа'!$X$149:$X$149</definedName>
    <definedName name="SalesQty7">'Бланк заказа'!$X$31:$X$31</definedName>
    <definedName name="SalesQty70">'Бланк заказа'!$X$154:$X$154</definedName>
    <definedName name="SalesQty71">'Бланк заказа'!$X$155:$X$155</definedName>
    <definedName name="SalesQty72">'Бланк заказа'!$X$156:$X$156</definedName>
    <definedName name="SalesQty73">'Бланк заказа'!$X$157:$X$157</definedName>
    <definedName name="SalesQty74">'Бланк заказа'!$X$161:$X$161</definedName>
    <definedName name="SalesQty75">'Бланк заказа'!$X$166:$X$166</definedName>
    <definedName name="SalesQty76">'Бланк заказа'!$X$167:$X$167</definedName>
    <definedName name="SalesQty77">'Бланк заказа'!$X$168:$X$168</definedName>
    <definedName name="SalesQty78">'Бланк заказа'!$X$172:$X$172</definedName>
    <definedName name="SalesQty79">'Бланк заказа'!$X$173:$X$173</definedName>
    <definedName name="SalesQty8">'Бланк заказа'!$X$35:$X$35</definedName>
    <definedName name="SalesQty80">'Бланк заказа'!$X$177:$X$177</definedName>
    <definedName name="SalesQty81">'Бланк заказа'!$X$178:$X$178</definedName>
    <definedName name="SalesQty82">'Бланк заказа'!$X$179:$X$179</definedName>
    <definedName name="SalesQty83">'Бланк заказа'!$X$180:$X$180</definedName>
    <definedName name="SalesQty84">'Бланк заказа'!$X$181:$X$181</definedName>
    <definedName name="SalesQty85">'Бланк заказа'!$X$182:$X$182</definedName>
    <definedName name="SalesQty86">'Бланк заказа'!$X$183:$X$183</definedName>
    <definedName name="SalesQty87">'Бланк заказа'!$X$184:$X$184</definedName>
    <definedName name="SalesQty88">'Бланк заказа'!$X$185:$X$185</definedName>
    <definedName name="SalesQty89">'Бланк заказа'!$X$186:$X$186</definedName>
    <definedName name="SalesQty9">'Бланк заказа'!$X$41:$X$41</definedName>
    <definedName name="SalesQty90">'Бланк заказа'!$X$187:$X$187</definedName>
    <definedName name="SalesQty91">'Бланк заказа'!$X$191:$X$191</definedName>
    <definedName name="SalesQty92">'Бланк заказа'!$X$192:$X$192</definedName>
    <definedName name="SalesQty93">'Бланк заказа'!$X$193:$X$193</definedName>
    <definedName name="SalesQty94">'Бланк заказа'!$X$197:$X$197</definedName>
    <definedName name="SalesQty95">'Бланк заказа'!$X$198:$X$198</definedName>
    <definedName name="SalesQty96">'Бланк заказа'!$X$202:$X$202</definedName>
    <definedName name="SalesQty97">'Бланк заказа'!$X$208:$X$208</definedName>
    <definedName name="SalesQty98">'Бланк заказа'!$X$209:$X$209</definedName>
    <definedName name="SalesQty99">'Бланк заказа'!$X$210:$X$210</definedName>
    <definedName name="SalesRequestType">'Бланк заказа'!$V$11</definedName>
    <definedName name="SalesRoundBox1">'Бланк заказа'!$Y$22:$Y$22</definedName>
    <definedName name="SalesRoundBox10">'Бланк заказа'!$Y$42:$Y$42</definedName>
    <definedName name="SalesRoundBox100">'Бланк заказа'!$Y$211:$Y$211</definedName>
    <definedName name="SalesRoundBox101">'Бланк заказа'!$Y$212:$Y$212</definedName>
    <definedName name="SalesRoundBox102">'Бланк заказа'!$Y$213:$Y$213</definedName>
    <definedName name="SalesRoundBox103">'Бланк заказа'!$Y$214:$Y$214</definedName>
    <definedName name="SalesRoundBox104">'Бланк заказа'!$Y$219:$Y$219</definedName>
    <definedName name="SalesRoundBox105">'Бланк заказа'!$Y$223:$Y$223</definedName>
    <definedName name="SalesRoundBox106">'Бланк заказа'!$Y$224:$Y$224</definedName>
    <definedName name="SalesRoundBox107">'Бланк заказа'!$Y$225:$Y$225</definedName>
    <definedName name="SalesRoundBox108">'Бланк заказа'!$Y$226:$Y$226</definedName>
    <definedName name="SalesRoundBox109">'Бланк заказа'!$Y$227:$Y$227</definedName>
    <definedName name="SalesRoundBox11">'Бланк заказа'!$Y$43:$Y$43</definedName>
    <definedName name="SalesRoundBox110">'Бланк заказа'!$Y$228:$Y$228</definedName>
    <definedName name="SalesRoundBox111">'Бланк заказа'!$Y$229:$Y$229</definedName>
    <definedName name="SalesRoundBox112">'Бланк заказа'!$Y$230:$Y$230</definedName>
    <definedName name="SalesRoundBox113">'Бланк заказа'!$Y$231:$Y$231</definedName>
    <definedName name="SalesRoundBox114">'Бланк заказа'!$Y$232:$Y$232</definedName>
    <definedName name="SalesRoundBox115">'Бланк заказа'!$Y$233:$Y$233</definedName>
    <definedName name="SalesRoundBox116">'Бланк заказа'!$Y$234:$Y$234</definedName>
    <definedName name="SalesRoundBox117">'Бланк заказа'!$Y$235:$Y$235</definedName>
    <definedName name="SalesRoundBox118">'Бланк заказа'!$Y$236:$Y$236</definedName>
    <definedName name="SalesRoundBox119">'Бланк заказа'!$Y$240:$Y$240</definedName>
    <definedName name="SalesRoundBox12">'Бланк заказа'!$Y$44:$Y$44</definedName>
    <definedName name="SalesRoundBox120">'Бланк заказа'!$Y$241:$Y$241</definedName>
    <definedName name="SalesRoundBox121">'Бланк заказа'!$Y$242:$Y$242</definedName>
    <definedName name="SalesRoundBox122">'Бланк заказа'!$Y$243:$Y$243</definedName>
    <definedName name="SalesRoundBox123">'Бланк заказа'!$Y$244:$Y$244</definedName>
    <definedName name="SalesRoundBox124">'Бланк заказа'!$Y$248:$Y$248</definedName>
    <definedName name="SalesRoundBox125">'Бланк заказа'!$Y$249:$Y$249</definedName>
    <definedName name="SalesRoundBox126">'Бланк заказа'!$Y$250:$Y$250</definedName>
    <definedName name="SalesRoundBox127">'Бланк заказа'!$Y$254:$Y$254</definedName>
    <definedName name="SalesRoundBox128">'Бланк заказа'!$Y$259:$Y$259</definedName>
    <definedName name="SalesRoundBox129">'Бланк заказа'!$Y$260:$Y$260</definedName>
    <definedName name="SalesRoundBox13">'Бланк заказа'!$Y$45:$Y$45</definedName>
    <definedName name="SalesRoundBox130">'Бланк заказа'!$Y$264:$Y$264</definedName>
    <definedName name="SalesRoundBox131">'Бланк заказа'!$Y$265:$Y$265</definedName>
    <definedName name="SalesRoundBox132">'Бланк заказа'!$Y$269:$Y$269</definedName>
    <definedName name="SalesRoundBox133">'Бланк заказа'!$Y$270:$Y$270</definedName>
    <definedName name="SalesRoundBox134">'Бланк заказа'!$Y$271:$Y$271</definedName>
    <definedName name="SalesRoundBox135">'Бланк заказа'!$Y$272:$Y$272</definedName>
    <definedName name="SalesRoundBox136">'Бланк заказа'!$Y$273:$Y$273</definedName>
    <definedName name="SalesRoundBox137">'Бланк заказа'!$Y$274:$Y$274</definedName>
    <definedName name="SalesRoundBox138">'Бланк заказа'!$Y$275:$Y$275</definedName>
    <definedName name="SalesRoundBox139">'Бланк заказа'!$Y$276:$Y$276</definedName>
    <definedName name="SalesRoundBox14">'Бланк заказа'!$Y$51:$Y$51</definedName>
    <definedName name="SalesRoundBox140">'Бланк заказа'!$Y$280:$Y$280</definedName>
    <definedName name="SalesRoundBox141">'Бланк заказа'!$Y$281:$Y$281</definedName>
    <definedName name="SalesRoundBox142">'Бланк заказа'!$Y$282:$Y$282</definedName>
    <definedName name="SalesRoundBox143">'Бланк заказа'!$Y$283:$Y$283</definedName>
    <definedName name="SalesRoundBox144">'Бланк заказа'!$Y$284:$Y$284</definedName>
    <definedName name="SalesRoundBox145">'Бланк заказа'!$Y$285:$Y$285</definedName>
    <definedName name="SalesRoundBox146">'Бланк заказа'!$Y$286:$Y$286</definedName>
    <definedName name="SalesRoundBox147">'Бланк заказа'!$Y$287:$Y$287</definedName>
    <definedName name="SalesRoundBox148">'Бланк заказа'!$Y$288:$Y$288</definedName>
    <definedName name="SalesRoundBox149">'Бланк заказа'!$Y$289:$Y$289</definedName>
    <definedName name="SalesRoundBox15">'Бланк заказа'!$Y$52:$Y$52</definedName>
    <definedName name="SalesRoundBox150">'Бланк заказа'!$Y$290:$Y$290</definedName>
    <definedName name="SalesRoundBox151">'Бланк заказа'!$Y$291:$Y$291</definedName>
    <definedName name="SalesRoundBox152">'Бланк заказа'!$Y$295:$Y$295</definedName>
    <definedName name="SalesRoundBox153">'Бланк заказа'!$Y$296:$Y$296</definedName>
    <definedName name="SalesRoundBox154">'Бланк заказа'!$Y$301:$Y$301</definedName>
    <definedName name="SalesRoundBox155">'Бланк заказа'!$Y$302:$Y$302</definedName>
    <definedName name="SalesRoundBox156">'Бланк заказа'!$Y$303:$Y$303</definedName>
    <definedName name="SalesRoundBox157">'Бланк заказа'!$Y$304:$Y$304</definedName>
    <definedName name="SalesRoundBox158">'Бланк заказа'!$Y$305:$Y$305</definedName>
    <definedName name="SalesRoundBox159">'Бланк заказа'!$Y$306:$Y$306</definedName>
    <definedName name="SalesRoundBox16">'Бланк заказа'!$Y$53:$Y$53</definedName>
    <definedName name="SalesRoundBox160">'Бланк заказа'!$Y$307:$Y$307</definedName>
    <definedName name="SalesRoundBox161">'Бланк заказа'!$Y$311:$Y$311</definedName>
    <definedName name="SalesRoundBox162">'Бланк заказа'!$Y$315:$Y$315</definedName>
    <definedName name="SalesRoundBox163">'Бланк заказа'!$Y$319:$Y$319</definedName>
    <definedName name="SalesRoundBox164">'Бланк заказа'!$Y$320:$Y$320</definedName>
    <definedName name="SalesRoundBox165">'Бланк заказа'!$Y$321:$Y$321</definedName>
    <definedName name="SalesRoundBox166">'Бланк заказа'!$Y$326:$Y$326</definedName>
    <definedName name="SalesRoundBox167">'Бланк заказа'!$Y$327:$Y$327</definedName>
    <definedName name="SalesRoundBox168">'Бланк заказа'!$Y$328:$Y$328</definedName>
    <definedName name="SalesRoundBox169">'Бланк заказа'!$Y$329:$Y$329</definedName>
    <definedName name="SalesRoundBox17">'Бланк заказа'!$Y$54:$Y$54</definedName>
    <definedName name="SalesRoundBox170">'Бланк заказа'!$Y$330:$Y$330</definedName>
    <definedName name="SalesRoundBox171">'Бланк заказа'!$Y$335:$Y$335</definedName>
    <definedName name="SalesRoundBox172">'Бланк заказа'!$Y$336:$Y$336</definedName>
    <definedName name="SalesRoundBox173">'Бланк заказа'!$Y$337:$Y$337</definedName>
    <definedName name="SalesRoundBox174">'Бланк заказа'!$Y$342:$Y$342</definedName>
    <definedName name="SalesRoundBox175">'Бланк заказа'!$Y$343:$Y$343</definedName>
    <definedName name="SalesRoundBox176">'Бланк заказа'!$Y$344:$Y$344</definedName>
    <definedName name="SalesRoundBox177">'Бланк заказа'!$Y$345:$Y$345</definedName>
    <definedName name="SalesRoundBox178">'Бланк заказа'!$Y$346:$Y$346</definedName>
    <definedName name="SalesRoundBox179">'Бланк заказа'!$Y$350:$Y$350</definedName>
    <definedName name="SalesRoundBox18">'Бланк заказа'!$Y$59:$Y$59</definedName>
    <definedName name="SalesRoundBox180">'Бланк заказа'!$Y$351:$Y$351</definedName>
    <definedName name="SalesRoundBox181">'Бланк заказа'!$Y$356:$Y$356</definedName>
    <definedName name="SalesRoundBox182">'Бланк заказа'!$Y$357:$Y$357</definedName>
    <definedName name="SalesRoundBox183">'Бланк заказа'!$Y$358:$Y$358</definedName>
    <definedName name="SalesRoundBox184">'Бланк заказа'!$Y$363:$Y$363</definedName>
    <definedName name="SalesRoundBox185">'Бланк заказа'!$Y$364:$Y$364</definedName>
    <definedName name="SalesRoundBox186">'Бланк заказа'!$Y$365:$Y$365</definedName>
    <definedName name="SalesRoundBox187">'Бланк заказа'!$Y$366:$Y$366</definedName>
    <definedName name="SalesRoundBox188">'Бланк заказа'!$Y$367:$Y$367</definedName>
    <definedName name="SalesRoundBox189">'Бланк заказа'!$Y$371:$Y$371</definedName>
    <definedName name="SalesRoundBox19">'Бланк заказа'!$Y$60:$Y$60</definedName>
    <definedName name="SalesRoundBox190">'Бланк заказа'!$Y$372:$Y$372</definedName>
    <definedName name="SalesRoundBox191">'Бланк заказа'!$Y$373:$Y$373</definedName>
    <definedName name="SalesRoundBox192">'Бланк заказа'!$Y$374:$Y$374</definedName>
    <definedName name="SalesRoundBox193">'Бланк заказа'!$Y$375:$Y$375</definedName>
    <definedName name="SalesRoundBox194">'Бланк заказа'!$Y$376:$Y$376</definedName>
    <definedName name="SalesRoundBox195">'Бланк заказа'!$Y$377:$Y$377</definedName>
    <definedName name="SalesRoundBox196">'Бланк заказа'!$Y$381:$Y$381</definedName>
    <definedName name="SalesRoundBox197">'Бланк заказа'!$Y$382:$Y$382</definedName>
    <definedName name="SalesRoundBox198">'Бланк заказа'!$Y$383:$Y$383</definedName>
    <definedName name="SalesRoundBox199">'Бланк заказа'!$Y$384:$Y$384</definedName>
    <definedName name="SalesRoundBox2">'Бланк заказа'!$Y$23:$Y$23</definedName>
    <definedName name="SalesRoundBox20">'Бланк заказа'!$Y$61:$Y$61</definedName>
    <definedName name="SalesRoundBox200">'Бланк заказа'!$Y$388:$Y$388</definedName>
    <definedName name="SalesRoundBox201">'Бланк заказа'!$Y$389:$Y$389</definedName>
    <definedName name="SalesRoundBox202">'Бланк заказа'!$Y$390:$Y$390</definedName>
    <definedName name="SalesRoundBox203">'Бланк заказа'!$Y$394:$Y$394</definedName>
    <definedName name="SalesRoundBox204">'Бланк заказа'!$Y$395:$Y$395</definedName>
    <definedName name="SalesRoundBox205">'Бланк заказа'!$Y$396:$Y$396</definedName>
    <definedName name="SalesRoundBox206">'Бланк заказа'!$Y$397:$Y$397</definedName>
    <definedName name="SalesRoundBox207">'Бланк заказа'!$Y$401:$Y$401</definedName>
    <definedName name="SalesRoundBox208">'Бланк заказа'!$Y$402:$Y$402</definedName>
    <definedName name="SalesRoundBox209">'Бланк заказа'!$Y$403:$Y$403</definedName>
    <definedName name="SalesRoundBox21">'Бланк заказа'!$Y$62:$Y$62</definedName>
    <definedName name="SalesRoundBox210">'Бланк заказа'!$Y$407:$Y$407</definedName>
    <definedName name="SalesRoundBox211">'Бланк заказа'!$Y$408:$Y$408</definedName>
    <definedName name="SalesRoundBox212">'Бланк заказа'!$Y$409:$Y$409</definedName>
    <definedName name="SalesRoundBox213">'Бланк заказа'!$Y$414:$Y$414</definedName>
    <definedName name="SalesRoundBox214">'Бланк заказа'!$Y$415:$Y$415</definedName>
    <definedName name="SalesRoundBox215">'Бланк заказа'!$Y$416:$Y$416</definedName>
    <definedName name="SalesRoundBox216">'Бланк заказа'!$Y$422:$Y$422</definedName>
    <definedName name="SalesRoundBox217">'Бланк заказа'!$Y$423:$Y$423</definedName>
    <definedName name="SalesRoundBox218">'Бланк заказа'!$Y$424:$Y$424</definedName>
    <definedName name="SalesRoundBox219">'Бланк заказа'!$Y$425:$Y$425</definedName>
    <definedName name="SalesRoundBox22">'Бланк заказа'!$Y$63:$Y$63</definedName>
    <definedName name="SalesRoundBox220">'Бланк заказа'!$Y$426:$Y$426</definedName>
    <definedName name="SalesRoundBox221">'Бланк заказа'!$Y$427:$Y$427</definedName>
    <definedName name="SalesRoundBox222">'Бланк заказа'!$Y$428:$Y$428</definedName>
    <definedName name="SalesRoundBox223">'Бланк заказа'!$Y$429:$Y$429</definedName>
    <definedName name="SalesRoundBox224">'Бланк заказа'!$Y$433:$Y$433</definedName>
    <definedName name="SalesRoundBox225">'Бланк заказа'!$Y$434:$Y$434</definedName>
    <definedName name="SalesRoundBox226">'Бланк заказа'!$Y$435:$Y$435</definedName>
    <definedName name="SalesRoundBox227">'Бланк заказа'!$Y$439:$Y$439</definedName>
    <definedName name="SalesRoundBox228">'Бланк заказа'!$Y$440:$Y$440</definedName>
    <definedName name="SalesRoundBox229">'Бланк заказа'!$Y$441:$Y$441</definedName>
    <definedName name="SalesRoundBox23">'Бланк заказа'!$Y$64:$Y$64</definedName>
    <definedName name="SalesRoundBox230">'Бланк заказа'!$Y$445:$Y$445</definedName>
    <definedName name="SalesRoundBox231">'Бланк заказа'!$Y$446:$Y$446</definedName>
    <definedName name="SalesRoundBox232">'Бланк заказа'!$Y$451:$Y$451</definedName>
    <definedName name="SalesRoundBox233">'Бланк заказа'!$Y$452:$Y$452</definedName>
    <definedName name="SalesRoundBox234">'Бланк заказа'!$Y$456:$Y$456</definedName>
    <definedName name="SalesRoundBox235">'Бланк заказа'!$Y$460:$Y$460</definedName>
    <definedName name="SalesRoundBox236">'Бланк заказа'!$Y$461:$Y$461</definedName>
    <definedName name="SalesRoundBox237">'Бланк заказа'!$Y$462:$Y$462</definedName>
    <definedName name="SalesRoundBox238">'Бланк заказа'!$Y$468:$Y$468</definedName>
    <definedName name="SalesRoundBox239">'Бланк заказа'!$Y$469:$Y$469</definedName>
    <definedName name="SalesRoundBox24">'Бланк заказа'!$Y$65:$Y$65</definedName>
    <definedName name="SalesRoundBox240">'Бланк заказа'!$Y$470:$Y$470</definedName>
    <definedName name="SalesRoundBox241">'Бланк заказа'!$Y$471:$Y$471</definedName>
    <definedName name="SalesRoundBox242">'Бланк заказа'!$Y$472:$Y$472</definedName>
    <definedName name="SalesRoundBox243">'Бланк заказа'!$Y$473:$Y$473</definedName>
    <definedName name="SalesRoundBox244">'Бланк заказа'!$Y$477:$Y$477</definedName>
    <definedName name="SalesRoundBox245">'Бланк заказа'!$Y$478:$Y$478</definedName>
    <definedName name="SalesRoundBox246">'Бланк заказа'!$Y$483:$Y$483</definedName>
    <definedName name="SalesRoundBox247">'Бланк заказа'!$Y$487:$Y$487</definedName>
    <definedName name="SalesRoundBox248">'Бланк заказа'!$Y$488:$Y$488</definedName>
    <definedName name="SalesRoundBox249">'Бланк заказа'!$Y$489:$Y$489</definedName>
    <definedName name="SalesRoundBox25">'Бланк заказа'!$Y$66:$Y$66</definedName>
    <definedName name="SalesRoundBox250">'Бланк заказа'!$Y$495:$Y$495</definedName>
    <definedName name="SalesRoundBox251">'Бланк заказа'!$Y$496:$Y$496</definedName>
    <definedName name="SalesRoundBox252">'Бланк заказа'!$Y$497:$Y$497</definedName>
    <definedName name="SalesRoundBox253">'Бланк заказа'!$Y$498:$Y$498</definedName>
    <definedName name="SalesRoundBox254">'Бланк заказа'!$Y$499:$Y$499</definedName>
    <definedName name="SalesRoundBox255">'Бланк заказа'!$Y$500:$Y$500</definedName>
    <definedName name="SalesRoundBox256">'Бланк заказа'!$Y$501:$Y$501</definedName>
    <definedName name="SalesRoundBox257">'Бланк заказа'!$Y$502:$Y$502</definedName>
    <definedName name="SalesRoundBox258">'Бланк заказа'!$Y$503:$Y$503</definedName>
    <definedName name="SalesRoundBox259">'Бланк заказа'!$Y$507:$Y$507</definedName>
    <definedName name="SalesRoundBox26">'Бланк заказа'!$Y$70:$Y$70</definedName>
    <definedName name="SalesRoundBox260">'Бланк заказа'!$Y$508:$Y$508</definedName>
    <definedName name="SalesRoundBox261">'Бланк заказа'!$Y$509:$Y$509</definedName>
    <definedName name="SalesRoundBox262">'Бланк заказа'!$Y$513:$Y$513</definedName>
    <definedName name="SalesRoundBox263">'Бланк заказа'!$Y$514:$Y$514</definedName>
    <definedName name="SalesRoundBox264">'Бланк заказа'!$Y$515:$Y$515</definedName>
    <definedName name="SalesRoundBox265">'Бланк заказа'!$Y$516:$Y$516</definedName>
    <definedName name="SalesRoundBox266">'Бланк заказа'!$Y$517:$Y$517</definedName>
    <definedName name="SalesRoundBox267">'Бланк заказа'!$Y$518:$Y$518</definedName>
    <definedName name="SalesRoundBox268">'Бланк заказа'!$Y$519:$Y$519</definedName>
    <definedName name="SalesRoundBox269">'Бланк заказа'!$Y$525:$Y$525</definedName>
    <definedName name="SalesRoundBox27">'Бланк заказа'!$Y$71:$Y$71</definedName>
    <definedName name="SalesRoundBox270">'Бланк заказа'!$Y$529:$Y$529</definedName>
    <definedName name="SalesRoundBox271">'Бланк заказа'!$Y$533:$Y$533</definedName>
    <definedName name="SalesRoundBox272">'Бланк заказа'!$Y$537:$Y$537</definedName>
    <definedName name="SalesRoundBox273">'Бланк заказа'!$Y$541:$Y$541</definedName>
    <definedName name="SalesRoundBox274">'Бланк заказа'!$Y$542:$Y$542</definedName>
    <definedName name="SalesRoundBox275">'Бланк заказа'!$Y$547:$Y$547</definedName>
    <definedName name="SalesRoundBox28">'Бланк заказа'!$Y$72:$Y$72</definedName>
    <definedName name="SalesRoundBox29">'Бланк заказа'!$Y$73:$Y$73</definedName>
    <definedName name="SalesRoundBox3">'Бланк заказа'!$Y$27:$Y$27</definedName>
    <definedName name="SalesRoundBox30">'Бланк заказа'!$Y$77:$Y$77</definedName>
    <definedName name="SalesRoundBox31">'Бланк заказа'!$Y$78:$Y$78</definedName>
    <definedName name="SalesRoundBox32">'Бланк заказа'!$Y$82:$Y$82</definedName>
    <definedName name="SalesRoundBox33">'Бланк заказа'!$Y$83:$Y$83</definedName>
    <definedName name="SalesRoundBox34">'Бланк заказа'!$Y$88:$Y$88</definedName>
    <definedName name="SalesRoundBox35">'Бланк заказа'!$Y$89:$Y$89</definedName>
    <definedName name="SalesRoundBox36">'Бланк заказа'!$Y$90:$Y$90</definedName>
    <definedName name="SalesRoundBox37">'Бланк заказа'!$Y$91:$Y$91</definedName>
    <definedName name="SalesRoundBox38">'Бланк заказа'!$Y$95:$Y$95</definedName>
    <definedName name="SalesRoundBox39">'Бланк заказа'!$Y$96:$Y$96</definedName>
    <definedName name="SalesRoundBox4">'Бланк заказа'!$Y$28:$Y$28</definedName>
    <definedName name="SalesRoundBox40">'Бланк заказа'!$Y$97:$Y$97</definedName>
    <definedName name="SalesRoundBox41">'Бланк заказа'!$Y$98:$Y$98</definedName>
    <definedName name="SalesRoundBox42">'Бланк заказа'!$Y$103:$Y$103</definedName>
    <definedName name="SalesRoundBox43">'Бланк заказа'!$Y$104:$Y$104</definedName>
    <definedName name="SalesRoundBox44">'Бланк заказа'!$Y$105:$Y$105</definedName>
    <definedName name="SalesRoundBox45">'Бланк заказа'!$Y$106:$Y$106</definedName>
    <definedName name="SalesRoundBox46">'Бланк заказа'!$Y$107:$Y$107</definedName>
    <definedName name="SalesRoundBox47">'Бланк заказа'!$Y$108:$Y$108</definedName>
    <definedName name="SalesRoundBox48">'Бланк заказа'!$Y$112:$Y$112</definedName>
    <definedName name="SalesRoundBox49">'Бланк заказа'!$Y$113:$Y$113</definedName>
    <definedName name="SalesRoundBox5">'Бланк заказа'!$Y$29:$Y$29</definedName>
    <definedName name="SalesRoundBox50">'Бланк заказа'!$Y$114:$Y$114</definedName>
    <definedName name="SalesRoundBox51">'Бланк заказа'!$Y$115:$Y$115</definedName>
    <definedName name="SalesRoundBox52">'Бланк заказа'!$Y$116:$Y$116</definedName>
    <definedName name="SalesRoundBox53">'Бланк заказа'!$Y$120:$Y$120</definedName>
    <definedName name="SalesRoundBox54">'Бланк заказа'!$Y$121:$Y$121</definedName>
    <definedName name="SalesRoundBox55">'Бланк заказа'!$Y$122:$Y$122</definedName>
    <definedName name="SalesRoundBox56">'Бланк заказа'!$Y$123:$Y$123</definedName>
    <definedName name="SalesRoundBox57">'Бланк заказа'!$Y$127:$Y$127</definedName>
    <definedName name="SalesRoundBox58">'Бланк заказа'!$Y$132:$Y$132</definedName>
    <definedName name="SalesRoundBox59">'Бланк заказа'!$Y$133:$Y$133</definedName>
    <definedName name="SalesRoundBox6">'Бланк заказа'!$Y$30:$Y$30</definedName>
    <definedName name="SalesRoundBox60">'Бланк заказа'!$Y$134:$Y$134</definedName>
    <definedName name="SalesRoundBox61">'Бланк заказа'!$Y$135:$Y$135</definedName>
    <definedName name="SalesRoundBox62">'Бланк заказа'!$Y$139:$Y$139</definedName>
    <definedName name="SalesRoundBox63">'Бланк заказа'!$Y$140:$Y$140</definedName>
    <definedName name="SalesRoundBox64">'Бланк заказа'!$Y$141:$Y$141</definedName>
    <definedName name="SalesRoundBox65">'Бланк заказа'!$Y$142:$Y$142</definedName>
    <definedName name="SalesRoundBox66">'Бланк заказа'!$Y$146:$Y$146</definedName>
    <definedName name="SalesRoundBox67">'Бланк заказа'!$Y$147:$Y$147</definedName>
    <definedName name="SalesRoundBox68">'Бланк заказа'!$Y$148:$Y$148</definedName>
    <definedName name="SalesRoundBox69">'Бланк заказа'!$Y$149:$Y$149</definedName>
    <definedName name="SalesRoundBox7">'Бланк заказа'!$Y$31:$Y$31</definedName>
    <definedName name="SalesRoundBox70">'Бланк заказа'!$Y$154:$Y$154</definedName>
    <definedName name="SalesRoundBox71">'Бланк заказа'!$Y$155:$Y$155</definedName>
    <definedName name="SalesRoundBox72">'Бланк заказа'!$Y$156:$Y$156</definedName>
    <definedName name="SalesRoundBox73">'Бланк заказа'!$Y$157:$Y$157</definedName>
    <definedName name="SalesRoundBox74">'Бланк заказа'!$Y$161:$Y$161</definedName>
    <definedName name="SalesRoundBox75">'Бланк заказа'!$Y$166:$Y$166</definedName>
    <definedName name="SalesRoundBox76">'Бланк заказа'!$Y$167:$Y$167</definedName>
    <definedName name="SalesRoundBox77">'Бланк заказа'!$Y$168:$Y$168</definedName>
    <definedName name="SalesRoundBox78">'Бланк заказа'!$Y$172:$Y$172</definedName>
    <definedName name="SalesRoundBox79">'Бланк заказа'!$Y$173:$Y$173</definedName>
    <definedName name="SalesRoundBox8">'Бланк заказа'!$Y$35:$Y$35</definedName>
    <definedName name="SalesRoundBox80">'Бланк заказа'!$Y$177:$Y$177</definedName>
    <definedName name="SalesRoundBox81">'Бланк заказа'!$Y$178:$Y$178</definedName>
    <definedName name="SalesRoundBox82">'Бланк заказа'!$Y$179:$Y$179</definedName>
    <definedName name="SalesRoundBox83">'Бланк заказа'!$Y$180:$Y$180</definedName>
    <definedName name="SalesRoundBox84">'Бланк заказа'!$Y$181:$Y$181</definedName>
    <definedName name="SalesRoundBox85">'Бланк заказа'!$Y$182:$Y$182</definedName>
    <definedName name="SalesRoundBox86">'Бланк заказа'!$Y$183:$Y$183</definedName>
    <definedName name="SalesRoundBox87">'Бланк заказа'!$Y$184:$Y$184</definedName>
    <definedName name="SalesRoundBox88">'Бланк заказа'!$Y$185:$Y$185</definedName>
    <definedName name="SalesRoundBox89">'Бланк заказа'!$Y$186:$Y$186</definedName>
    <definedName name="SalesRoundBox9">'Бланк заказа'!$Y$41:$Y$41</definedName>
    <definedName name="SalesRoundBox90">'Бланк заказа'!$Y$187:$Y$187</definedName>
    <definedName name="SalesRoundBox91">'Бланк заказа'!$Y$191:$Y$191</definedName>
    <definedName name="SalesRoundBox92">'Бланк заказа'!$Y$192:$Y$192</definedName>
    <definedName name="SalesRoundBox93">'Бланк заказа'!$Y$193:$Y$193</definedName>
    <definedName name="SalesRoundBox94">'Бланк заказа'!$Y$197:$Y$197</definedName>
    <definedName name="SalesRoundBox95">'Бланк заказа'!$Y$198:$Y$198</definedName>
    <definedName name="SalesRoundBox96">'Бланк заказа'!$Y$202:$Y$202</definedName>
    <definedName name="SalesRoundBox97">'Бланк заказа'!$Y$208:$Y$208</definedName>
    <definedName name="SalesRoundBox98">'Бланк заказа'!$Y$209:$Y$209</definedName>
    <definedName name="SalesRoundBox99">'Бланк заказа'!$Y$210:$Y$210</definedName>
    <definedName name="Table">Setting!$B$6:$D$12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заказа'!$W$42:$W$42</definedName>
    <definedName name="UnitOfMeasure100">'Бланк заказа'!$W$211:$W$211</definedName>
    <definedName name="UnitOfMeasure101">'Бланк заказа'!$W$212:$W$212</definedName>
    <definedName name="UnitOfMeasure102">'Бланк заказа'!$W$213:$W$213</definedName>
    <definedName name="UnitOfMeasure103">'Бланк заказа'!$W$214:$W$214</definedName>
    <definedName name="UnitOfMeasure104">'Бланк заказа'!$W$219:$W$219</definedName>
    <definedName name="UnitOfMeasure105">'Бланк заказа'!$W$223:$W$223</definedName>
    <definedName name="UnitOfMeasure106">'Бланк заказа'!$W$224:$W$224</definedName>
    <definedName name="UnitOfMeasure107">'Бланк заказа'!$W$225:$W$225</definedName>
    <definedName name="UnitOfMeasure108">'Бланк заказа'!$W$226:$W$226</definedName>
    <definedName name="UnitOfMeasure109">'Бланк заказа'!$W$227:$W$227</definedName>
    <definedName name="UnitOfMeasure11">'Бланк заказа'!$W$43:$W$43</definedName>
    <definedName name="UnitOfMeasure110">'Бланк заказа'!$W$228:$W$228</definedName>
    <definedName name="UnitOfMeasure111">'Бланк заказа'!$W$229:$W$229</definedName>
    <definedName name="UnitOfMeasure112">'Бланк заказа'!$W$230:$W$230</definedName>
    <definedName name="UnitOfMeasure113">'Бланк заказа'!$W$231:$W$231</definedName>
    <definedName name="UnitOfMeasure114">'Бланк заказа'!$W$232:$W$232</definedName>
    <definedName name="UnitOfMeasure115">'Бланк заказа'!$W$233:$W$233</definedName>
    <definedName name="UnitOfMeasure116">'Бланк заказа'!$W$234:$W$234</definedName>
    <definedName name="UnitOfMeasure117">'Бланк заказа'!$W$235:$W$235</definedName>
    <definedName name="UnitOfMeasure118">'Бланк заказа'!$W$236:$W$236</definedName>
    <definedName name="UnitOfMeasure119">'Бланк заказа'!$W$240:$W$240</definedName>
    <definedName name="UnitOfMeasure12">'Бланк заказа'!$W$44:$W$44</definedName>
    <definedName name="UnitOfMeasure120">'Бланк заказа'!$W$241:$W$241</definedName>
    <definedName name="UnitOfMeasure121">'Бланк заказа'!$W$242:$W$242</definedName>
    <definedName name="UnitOfMeasure122">'Бланк заказа'!$W$243:$W$243</definedName>
    <definedName name="UnitOfMeasure123">'Бланк заказа'!$W$244:$W$244</definedName>
    <definedName name="UnitOfMeasure124">'Бланк заказа'!$W$248:$W$248</definedName>
    <definedName name="UnitOfMeasure125">'Бланк заказа'!$W$249:$W$249</definedName>
    <definedName name="UnitOfMeasure126">'Бланк заказа'!$W$250:$W$250</definedName>
    <definedName name="UnitOfMeasure127">'Бланк заказа'!$W$254:$W$254</definedName>
    <definedName name="UnitOfMeasure128">'Бланк заказа'!$W$259:$W$259</definedName>
    <definedName name="UnitOfMeasure129">'Бланк заказа'!$W$260:$W$260</definedName>
    <definedName name="UnitOfMeasure13">'Бланк заказа'!$W$45:$W$45</definedName>
    <definedName name="UnitOfMeasure130">'Бланк заказа'!$W$264:$W$264</definedName>
    <definedName name="UnitOfMeasure131">'Бланк заказа'!$W$265:$W$265</definedName>
    <definedName name="UnitOfMeasure132">'Бланк заказа'!$W$269:$W$269</definedName>
    <definedName name="UnitOfMeasure133">'Бланк заказа'!$W$270:$W$270</definedName>
    <definedName name="UnitOfMeasure134">'Бланк заказа'!$W$271:$W$271</definedName>
    <definedName name="UnitOfMeasure135">'Бланк заказа'!$W$272:$W$272</definedName>
    <definedName name="UnitOfMeasure136">'Бланк заказа'!$W$273:$W$273</definedName>
    <definedName name="UnitOfMeasure137">'Бланк заказа'!$W$274:$W$274</definedName>
    <definedName name="UnitOfMeasure138">'Бланк заказа'!$W$275:$W$275</definedName>
    <definedName name="UnitOfMeasure139">'Бланк заказа'!$W$276:$W$276</definedName>
    <definedName name="UnitOfMeasure14">'Бланк заказа'!$W$51:$W$51</definedName>
    <definedName name="UnitOfMeasure140">'Бланк заказа'!$W$280:$W$280</definedName>
    <definedName name="UnitOfMeasure141">'Бланк заказа'!$W$281:$W$281</definedName>
    <definedName name="UnitOfMeasure142">'Бланк заказа'!$W$282:$W$282</definedName>
    <definedName name="UnitOfMeasure143">'Бланк заказа'!$W$283:$W$283</definedName>
    <definedName name="UnitOfMeasure144">'Бланк заказа'!$W$284:$W$284</definedName>
    <definedName name="UnitOfMeasure145">'Бланк заказа'!$W$285:$W$285</definedName>
    <definedName name="UnitOfMeasure146">'Бланк заказа'!$W$286:$W$286</definedName>
    <definedName name="UnitOfMeasure147">'Бланк заказа'!$W$287:$W$287</definedName>
    <definedName name="UnitOfMeasure148">'Бланк заказа'!$W$288:$W$288</definedName>
    <definedName name="UnitOfMeasure149">'Бланк заказа'!$W$289:$W$289</definedName>
    <definedName name="UnitOfMeasure15">'Бланк заказа'!$W$52:$W$52</definedName>
    <definedName name="UnitOfMeasure150">'Бланк заказа'!$W$290:$W$290</definedName>
    <definedName name="UnitOfMeasure151">'Бланк заказа'!$W$291:$W$291</definedName>
    <definedName name="UnitOfMeasure152">'Бланк заказа'!$W$295:$W$295</definedName>
    <definedName name="UnitOfMeasure153">'Бланк заказа'!$W$296:$W$296</definedName>
    <definedName name="UnitOfMeasure154">'Бланк заказа'!$W$301:$W$301</definedName>
    <definedName name="UnitOfMeasure155">'Бланк заказа'!$W$302:$W$302</definedName>
    <definedName name="UnitOfMeasure156">'Бланк заказа'!$W$303:$W$303</definedName>
    <definedName name="UnitOfMeasure157">'Бланк заказа'!$W$304:$W$304</definedName>
    <definedName name="UnitOfMeasure158">'Бланк заказа'!$W$305:$W$305</definedName>
    <definedName name="UnitOfMeasure159">'Бланк заказа'!$W$306:$W$306</definedName>
    <definedName name="UnitOfMeasure16">'Бланк заказа'!$W$53:$W$53</definedName>
    <definedName name="UnitOfMeasure160">'Бланк заказа'!$W$307:$W$307</definedName>
    <definedName name="UnitOfMeasure161">'Бланк заказа'!$W$311:$W$311</definedName>
    <definedName name="UnitOfMeasure162">'Бланк заказа'!$W$315:$W$315</definedName>
    <definedName name="UnitOfMeasure163">'Бланк заказа'!$W$319:$W$319</definedName>
    <definedName name="UnitOfMeasure164">'Бланк заказа'!$W$320:$W$320</definedName>
    <definedName name="UnitOfMeasure165">'Бланк заказа'!$W$321:$W$321</definedName>
    <definedName name="UnitOfMeasure166">'Бланк заказа'!$W$326:$W$326</definedName>
    <definedName name="UnitOfMeasure167">'Бланк заказа'!$W$327:$W$327</definedName>
    <definedName name="UnitOfMeasure168">'Бланк заказа'!$W$328:$W$328</definedName>
    <definedName name="UnitOfMeasure169">'Бланк заказа'!$W$329:$W$329</definedName>
    <definedName name="UnitOfMeasure17">'Бланк заказа'!$W$54:$W$54</definedName>
    <definedName name="UnitOfMeasure170">'Бланк заказа'!$W$330:$W$330</definedName>
    <definedName name="UnitOfMeasure171">'Бланк заказа'!$W$335:$W$335</definedName>
    <definedName name="UnitOfMeasure172">'Бланк заказа'!$W$336:$W$336</definedName>
    <definedName name="UnitOfMeasure173">'Бланк заказа'!$W$337:$W$337</definedName>
    <definedName name="UnitOfMeasure174">'Бланк заказа'!$W$342:$W$342</definedName>
    <definedName name="UnitOfMeasure175">'Бланк заказа'!$W$343:$W$343</definedName>
    <definedName name="UnitOfMeasure176">'Бланк заказа'!$W$344:$W$344</definedName>
    <definedName name="UnitOfMeasure177">'Бланк заказа'!$W$345:$W$345</definedName>
    <definedName name="UnitOfMeasure178">'Бланк заказа'!$W$346:$W$346</definedName>
    <definedName name="UnitOfMeasure179">'Бланк заказа'!$W$350:$W$350</definedName>
    <definedName name="UnitOfMeasure18">'Бланк заказа'!$W$59:$W$59</definedName>
    <definedName name="UnitOfMeasure180">'Бланк заказа'!$W$351:$W$351</definedName>
    <definedName name="UnitOfMeasure181">'Бланк заказа'!$W$356:$W$356</definedName>
    <definedName name="UnitOfMeasure182">'Бланк заказа'!$W$357:$W$357</definedName>
    <definedName name="UnitOfMeasure183">'Бланк заказа'!$W$358:$W$358</definedName>
    <definedName name="UnitOfMeasure184">'Бланк заказа'!$W$363:$W$363</definedName>
    <definedName name="UnitOfMeasure185">'Бланк заказа'!$W$364:$W$364</definedName>
    <definedName name="UnitOfMeasure186">'Бланк заказа'!$W$365:$W$365</definedName>
    <definedName name="UnitOfMeasure187">'Бланк заказа'!$W$366:$W$366</definedName>
    <definedName name="UnitOfMeasure188">'Бланк заказа'!$W$367:$W$367</definedName>
    <definedName name="UnitOfMeasure189">'Бланк заказа'!$W$371:$W$371</definedName>
    <definedName name="UnitOfMeasure19">'Бланк заказа'!$W$60:$W$60</definedName>
    <definedName name="UnitOfMeasure190">'Бланк заказа'!$W$372:$W$372</definedName>
    <definedName name="UnitOfMeasure191">'Бланк заказа'!$W$373:$W$373</definedName>
    <definedName name="UnitOfMeasure192">'Бланк заказа'!$W$374:$W$374</definedName>
    <definedName name="UnitOfMeasure193">'Бланк заказа'!$W$375:$W$375</definedName>
    <definedName name="UnitOfMeasure194">'Бланк заказа'!$W$376:$W$376</definedName>
    <definedName name="UnitOfMeasure195">'Бланк заказа'!$W$377:$W$377</definedName>
    <definedName name="UnitOfMeasure196">'Бланк заказа'!$W$381:$W$381</definedName>
    <definedName name="UnitOfMeasure197">'Бланк заказа'!$W$382:$W$382</definedName>
    <definedName name="UnitOfMeasure198">'Бланк заказа'!$W$383:$W$383</definedName>
    <definedName name="UnitOfMeasure199">'Бланк заказа'!$W$384:$W$384</definedName>
    <definedName name="UnitOfMeasure2">'Бланк заказа'!$W$23:$W$23</definedName>
    <definedName name="UnitOfMeasure20">'Бланк заказа'!$W$61:$W$61</definedName>
    <definedName name="UnitOfMeasure200">'Бланк заказа'!$W$388:$W$388</definedName>
    <definedName name="UnitOfMeasure201">'Бланк заказа'!$W$389:$W$389</definedName>
    <definedName name="UnitOfMeasure202">'Бланк заказа'!$W$390:$W$390</definedName>
    <definedName name="UnitOfMeasure203">'Бланк заказа'!$W$394:$W$394</definedName>
    <definedName name="UnitOfMeasure204">'Бланк заказа'!$W$395:$W$395</definedName>
    <definedName name="UnitOfMeasure205">'Бланк заказа'!$W$396:$W$396</definedName>
    <definedName name="UnitOfMeasure206">'Бланк заказа'!$W$397:$W$397</definedName>
    <definedName name="UnitOfMeasure207">'Бланк заказа'!$W$401:$W$401</definedName>
    <definedName name="UnitOfMeasure208">'Бланк заказа'!$W$402:$W$402</definedName>
    <definedName name="UnitOfMeasure209">'Бланк заказа'!$W$403:$W$403</definedName>
    <definedName name="UnitOfMeasure21">'Бланк заказа'!$W$62:$W$62</definedName>
    <definedName name="UnitOfMeasure210">'Бланк заказа'!$W$407:$W$407</definedName>
    <definedName name="UnitOfMeasure211">'Бланк заказа'!$W$408:$W$408</definedName>
    <definedName name="UnitOfMeasure212">'Бланк заказа'!$W$409:$W$409</definedName>
    <definedName name="UnitOfMeasure213">'Бланк заказа'!$W$414:$W$414</definedName>
    <definedName name="UnitOfMeasure214">'Бланк заказа'!$W$415:$W$415</definedName>
    <definedName name="UnitOfMeasure215">'Бланк заказа'!$W$416:$W$416</definedName>
    <definedName name="UnitOfMeasure216">'Бланк заказа'!$W$422:$W$422</definedName>
    <definedName name="UnitOfMeasure217">'Бланк заказа'!$W$423:$W$423</definedName>
    <definedName name="UnitOfMeasure218">'Бланк заказа'!$W$424:$W$424</definedName>
    <definedName name="UnitOfMeasure219">'Бланк заказа'!$W$425:$W$425</definedName>
    <definedName name="UnitOfMeasure22">'Бланк заказа'!$W$63:$W$63</definedName>
    <definedName name="UnitOfMeasure220">'Бланк заказа'!$W$426:$W$426</definedName>
    <definedName name="UnitOfMeasure221">'Бланк заказа'!$W$427:$W$427</definedName>
    <definedName name="UnitOfMeasure222">'Бланк заказа'!$W$428:$W$428</definedName>
    <definedName name="UnitOfMeasure223">'Бланк заказа'!$W$429:$W$429</definedName>
    <definedName name="UnitOfMeasure224">'Бланк заказа'!$W$433:$W$433</definedName>
    <definedName name="UnitOfMeasure225">'Бланк заказа'!$W$434:$W$434</definedName>
    <definedName name="UnitOfMeasure226">'Бланк заказа'!$W$435:$W$435</definedName>
    <definedName name="UnitOfMeasure227">'Бланк заказа'!$W$439:$W$439</definedName>
    <definedName name="UnitOfMeasure228">'Бланк заказа'!$W$440:$W$440</definedName>
    <definedName name="UnitOfMeasure229">'Бланк заказа'!$W$441:$W$441</definedName>
    <definedName name="UnitOfMeasure23">'Бланк заказа'!$W$64:$W$64</definedName>
    <definedName name="UnitOfMeasure230">'Бланк заказа'!$W$445:$W$445</definedName>
    <definedName name="UnitOfMeasure231">'Бланк заказа'!$W$446:$W$446</definedName>
    <definedName name="UnitOfMeasure232">'Бланк заказа'!$W$451:$W$451</definedName>
    <definedName name="UnitOfMeasure233">'Бланк заказа'!$W$452:$W$452</definedName>
    <definedName name="UnitOfMeasure234">'Бланк заказа'!$W$456:$W$456</definedName>
    <definedName name="UnitOfMeasure235">'Бланк заказа'!$W$460:$W$460</definedName>
    <definedName name="UnitOfMeasure236">'Бланк заказа'!$W$461:$W$461</definedName>
    <definedName name="UnitOfMeasure237">'Бланк заказа'!$W$462:$W$462</definedName>
    <definedName name="UnitOfMeasure238">'Бланк заказа'!$W$468:$W$468</definedName>
    <definedName name="UnitOfMeasure239">'Бланк заказа'!$W$469:$W$469</definedName>
    <definedName name="UnitOfMeasure24">'Бланк заказа'!$W$65:$W$65</definedName>
    <definedName name="UnitOfMeasure240">'Бланк заказа'!$W$470:$W$470</definedName>
    <definedName name="UnitOfMeasure241">'Бланк заказа'!$W$471:$W$471</definedName>
    <definedName name="UnitOfMeasure242">'Бланк заказа'!$W$472:$W$472</definedName>
    <definedName name="UnitOfMeasure243">'Бланк заказа'!$W$473:$W$473</definedName>
    <definedName name="UnitOfMeasure244">'Бланк заказа'!$W$477:$W$477</definedName>
    <definedName name="UnitOfMeasure245">'Бланк заказа'!$W$478:$W$478</definedName>
    <definedName name="UnitOfMeasure246">'Бланк заказа'!$W$483:$W$483</definedName>
    <definedName name="UnitOfMeasure247">'Бланк заказа'!$W$487:$W$487</definedName>
    <definedName name="UnitOfMeasure248">'Бланк заказа'!$W$488:$W$488</definedName>
    <definedName name="UnitOfMeasure249">'Бланк заказа'!$W$489:$W$489</definedName>
    <definedName name="UnitOfMeasure25">'Бланк заказа'!$W$66:$W$66</definedName>
    <definedName name="UnitOfMeasure250">'Бланк заказа'!$W$495:$W$495</definedName>
    <definedName name="UnitOfMeasure251">'Бланк заказа'!$W$496:$W$496</definedName>
    <definedName name="UnitOfMeasure252">'Бланк заказа'!$W$497:$W$497</definedName>
    <definedName name="UnitOfMeasure253">'Бланк заказа'!$W$498:$W$498</definedName>
    <definedName name="UnitOfMeasure254">'Бланк заказа'!$W$499:$W$499</definedName>
    <definedName name="UnitOfMeasure255">'Бланк заказа'!$W$500:$W$500</definedName>
    <definedName name="UnitOfMeasure256">'Бланк заказа'!$W$501:$W$501</definedName>
    <definedName name="UnitOfMeasure257">'Бланк заказа'!$W$502:$W$502</definedName>
    <definedName name="UnitOfMeasure258">'Бланк заказа'!$W$503:$W$503</definedName>
    <definedName name="UnitOfMeasure259">'Бланк заказа'!$W$507:$W$507</definedName>
    <definedName name="UnitOfMeasure26">'Бланк заказа'!$W$70:$W$70</definedName>
    <definedName name="UnitOfMeasure260">'Бланк заказа'!$W$508:$W$508</definedName>
    <definedName name="UnitOfMeasure261">'Бланк заказа'!$W$509:$W$509</definedName>
    <definedName name="UnitOfMeasure262">'Бланк заказа'!$W$513:$W$513</definedName>
    <definedName name="UnitOfMeasure263">'Бланк заказа'!$W$514:$W$514</definedName>
    <definedName name="UnitOfMeasure264">'Бланк заказа'!$W$515:$W$515</definedName>
    <definedName name="UnitOfMeasure265">'Бланк заказа'!$W$516:$W$516</definedName>
    <definedName name="UnitOfMeasure266">'Бланк заказа'!$W$517:$W$517</definedName>
    <definedName name="UnitOfMeasure267">'Бланк заказа'!$W$518:$W$518</definedName>
    <definedName name="UnitOfMeasure268">'Бланк заказа'!$W$519:$W$519</definedName>
    <definedName name="UnitOfMeasure269">'Бланк заказа'!$W$525:$W$525</definedName>
    <definedName name="UnitOfMeasure27">'Бланк заказа'!$W$71:$W$71</definedName>
    <definedName name="UnitOfMeasure270">'Бланк заказа'!$W$529:$W$529</definedName>
    <definedName name="UnitOfMeasure271">'Бланк заказа'!$W$533:$W$533</definedName>
    <definedName name="UnitOfMeasure272">'Бланк заказа'!$W$537:$W$537</definedName>
    <definedName name="UnitOfMeasure273">'Бланк заказа'!$W$541:$W$541</definedName>
    <definedName name="UnitOfMeasure274">'Бланк заказа'!$W$542:$W$542</definedName>
    <definedName name="UnitOfMeasure275">'Бланк заказа'!$W$547:$W$547</definedName>
    <definedName name="UnitOfMeasure28">'Бланк заказа'!$W$72:$W$72</definedName>
    <definedName name="UnitOfMeasure29">'Бланк заказа'!$W$73:$W$73</definedName>
    <definedName name="UnitOfMeasure3">'Бланк заказа'!$W$27:$W$27</definedName>
    <definedName name="UnitOfMeasure30">'Бланк заказа'!$W$77:$W$77</definedName>
    <definedName name="UnitOfMeasure31">'Бланк заказа'!$W$78:$W$78</definedName>
    <definedName name="UnitOfMeasure32">'Бланк заказа'!$W$82:$W$82</definedName>
    <definedName name="UnitOfMeasure33">'Бланк заказа'!$W$83:$W$83</definedName>
    <definedName name="UnitOfMeasure34">'Бланк заказа'!$W$88:$W$88</definedName>
    <definedName name="UnitOfMeasure35">'Бланк заказа'!$W$89:$W$89</definedName>
    <definedName name="UnitOfMeasure36">'Бланк заказа'!$W$90:$W$90</definedName>
    <definedName name="UnitOfMeasure37">'Бланк заказа'!$W$91:$W$91</definedName>
    <definedName name="UnitOfMeasure38">'Бланк заказа'!$W$95:$W$95</definedName>
    <definedName name="UnitOfMeasure39">'Бланк заказа'!$W$96:$W$96</definedName>
    <definedName name="UnitOfMeasure4">'Бланк заказа'!$W$28:$W$28</definedName>
    <definedName name="UnitOfMeasure40">'Бланк заказа'!$W$97:$W$97</definedName>
    <definedName name="UnitOfMeasure41">'Бланк заказа'!$W$98:$W$98</definedName>
    <definedName name="UnitOfMeasure42">'Бланк заказа'!$W$103:$W$103</definedName>
    <definedName name="UnitOfMeasure43">'Бланк заказа'!$W$104:$W$104</definedName>
    <definedName name="UnitOfMeasure44">'Бланк заказа'!$W$105:$W$105</definedName>
    <definedName name="UnitOfMeasure45">'Бланк заказа'!$W$106:$W$106</definedName>
    <definedName name="UnitOfMeasure46">'Бланк заказа'!$W$107:$W$107</definedName>
    <definedName name="UnitOfMeasure47">'Бланк заказа'!$W$108:$W$108</definedName>
    <definedName name="UnitOfMeasure48">'Бланк заказа'!$W$112:$W$112</definedName>
    <definedName name="UnitOfMeasure49">'Бланк заказа'!$W$113:$W$113</definedName>
    <definedName name="UnitOfMeasure5">'Бланк заказа'!$W$29:$W$29</definedName>
    <definedName name="UnitOfMeasure50">'Бланк заказа'!$W$114:$W$114</definedName>
    <definedName name="UnitOfMeasure51">'Бланк заказа'!$W$115:$W$115</definedName>
    <definedName name="UnitOfMeasure52">'Бланк заказа'!$W$116:$W$116</definedName>
    <definedName name="UnitOfMeasure53">'Бланк заказа'!$W$120:$W$120</definedName>
    <definedName name="UnitOfMeasure54">'Бланк заказа'!$W$121:$W$121</definedName>
    <definedName name="UnitOfMeasure55">'Бланк заказа'!$W$122:$W$122</definedName>
    <definedName name="UnitOfMeasure56">'Бланк заказа'!$W$123:$W$123</definedName>
    <definedName name="UnitOfMeasure57">'Бланк заказа'!$W$127:$W$127</definedName>
    <definedName name="UnitOfMeasure58">'Бланк заказа'!$W$132:$W$132</definedName>
    <definedName name="UnitOfMeasure59">'Бланк заказа'!$W$133:$W$133</definedName>
    <definedName name="UnitOfMeasure6">'Бланк заказа'!$W$30:$W$30</definedName>
    <definedName name="UnitOfMeasure60">'Бланк заказа'!$W$134:$W$134</definedName>
    <definedName name="UnitOfMeasure61">'Бланк заказа'!$W$135:$W$135</definedName>
    <definedName name="UnitOfMeasure62">'Бланк заказа'!$W$139:$W$139</definedName>
    <definedName name="UnitOfMeasure63">'Бланк заказа'!$W$140:$W$140</definedName>
    <definedName name="UnitOfMeasure64">'Бланк заказа'!$W$141:$W$141</definedName>
    <definedName name="UnitOfMeasure65">'Бланк заказа'!$W$142:$W$142</definedName>
    <definedName name="UnitOfMeasure66">'Бланк заказа'!$W$146:$W$146</definedName>
    <definedName name="UnitOfMeasure67">'Бланк заказа'!$W$147:$W$147</definedName>
    <definedName name="UnitOfMeasure68">'Бланк заказа'!$W$148:$W$148</definedName>
    <definedName name="UnitOfMeasure69">'Бланк заказа'!$W$149:$W$149</definedName>
    <definedName name="UnitOfMeasure7">'Бланк заказа'!$W$31:$W$31</definedName>
    <definedName name="UnitOfMeasure70">'Бланк заказа'!$W$154:$W$154</definedName>
    <definedName name="UnitOfMeasure71">'Бланк заказа'!$W$155:$W$155</definedName>
    <definedName name="UnitOfMeasure72">'Бланк заказа'!$W$156:$W$156</definedName>
    <definedName name="UnitOfMeasure73">'Бланк заказа'!$W$157:$W$157</definedName>
    <definedName name="UnitOfMeasure74">'Бланк заказа'!$W$161:$W$161</definedName>
    <definedName name="UnitOfMeasure75">'Бланк заказа'!$W$166:$W$166</definedName>
    <definedName name="UnitOfMeasure76">'Бланк заказа'!$W$167:$W$167</definedName>
    <definedName name="UnitOfMeasure77">'Бланк заказа'!$W$168:$W$168</definedName>
    <definedName name="UnitOfMeasure78">'Бланк заказа'!$W$172:$W$172</definedName>
    <definedName name="UnitOfMeasure79">'Бланк заказа'!$W$173:$W$173</definedName>
    <definedName name="UnitOfMeasure8">'Бланк заказа'!$W$35:$W$35</definedName>
    <definedName name="UnitOfMeasure80">'Бланк заказа'!$W$177:$W$177</definedName>
    <definedName name="UnitOfMeasure81">'Бланк заказа'!$W$178:$W$178</definedName>
    <definedName name="UnitOfMeasure82">'Бланк заказа'!$W$179:$W$179</definedName>
    <definedName name="UnitOfMeasure83">'Бланк заказа'!$W$180:$W$180</definedName>
    <definedName name="UnitOfMeasure84">'Бланк заказа'!$W$181:$W$181</definedName>
    <definedName name="UnitOfMeasure85">'Бланк заказа'!$W$182:$W$182</definedName>
    <definedName name="UnitOfMeasure86">'Бланк заказа'!$W$183:$W$183</definedName>
    <definedName name="UnitOfMeasure87">'Бланк заказа'!$W$184:$W$184</definedName>
    <definedName name="UnitOfMeasure88">'Бланк заказа'!$W$185:$W$185</definedName>
    <definedName name="UnitOfMeasure89">'Бланк заказа'!$W$186:$W$186</definedName>
    <definedName name="UnitOfMeasure9">'Бланк заказа'!$W$41:$W$41</definedName>
    <definedName name="UnitOfMeasure90">'Бланк заказа'!$W$187:$W$187</definedName>
    <definedName name="UnitOfMeasure91">'Бланк заказа'!$W$191:$W$191</definedName>
    <definedName name="UnitOfMeasure92">'Бланк заказа'!$W$192:$W$192</definedName>
    <definedName name="UnitOfMeasure93">'Бланк заказа'!$W$193:$W$193</definedName>
    <definedName name="UnitOfMeasure94">'Бланк заказа'!$W$197:$W$197</definedName>
    <definedName name="UnitOfMeasure95">'Бланк заказа'!$W$198:$W$198</definedName>
    <definedName name="UnitOfMeasure96">'Бланк заказа'!$W$202:$W$202</definedName>
    <definedName name="UnitOfMeasure97">'Бланк заказа'!$W$208:$W$208</definedName>
    <definedName name="UnitOfMeasure98">'Бланк заказа'!$W$209:$W$209</definedName>
    <definedName name="UnitOfMeasure99">'Бланк заказа'!$W$210:$W$210</definedName>
    <definedName name="UnloadAddress">'Бланк заказа'!$D$8</definedName>
    <definedName name="UnloadAdressList0001">Setting!$B$14:$B$14</definedName>
    <definedName name="UnloadAdressList0002">Setting!$B$16:$B$16</definedName>
    <definedName name="UnloadAdressList0003">Setting!$B$18:$B$18</definedName>
    <definedName name="UnloadAdressList0004">Setting!$B$20:$B$20</definedName>
    <definedName name="UnloadAdressList0005">Setting!$B$22:$B$22</definedName>
    <definedName name="UnloadAdressList0006">Setting!$B$24:$B$24</definedName>
    <definedName name="UnloadAdressList0007">Setting!$B$26:$B$26</definedName>
  </definedNames>
  <calcPr calcId="191029"/>
</workbook>
</file>

<file path=xl/calcChain.xml><?xml version="1.0" encoding="utf-8"?>
<calcChain xmlns="http://schemas.openxmlformats.org/spreadsheetml/2006/main">
  <c r="X549" i="2" l="1"/>
  <c r="X548" i="2"/>
  <c r="BO547" i="2"/>
  <c r="BM547" i="2"/>
  <c r="Y547" i="2"/>
  <c r="AB560" i="2" s="1"/>
  <c r="P547" i="2"/>
  <c r="X544" i="2"/>
  <c r="X543" i="2"/>
  <c r="BO542" i="2"/>
  <c r="BM542" i="2"/>
  <c r="Y542" i="2"/>
  <c r="BP542" i="2" s="1"/>
  <c r="P542" i="2"/>
  <c r="BO541" i="2"/>
  <c r="BM541" i="2"/>
  <c r="Y541" i="2"/>
  <c r="P541" i="2"/>
  <c r="X539" i="2"/>
  <c r="X538" i="2"/>
  <c r="BO537" i="2"/>
  <c r="BM537" i="2"/>
  <c r="Y537" i="2"/>
  <c r="P537" i="2"/>
  <c r="X535" i="2"/>
  <c r="Y534" i="2"/>
  <c r="X534" i="2"/>
  <c r="BO533" i="2"/>
  <c r="BN533" i="2"/>
  <c r="BM533" i="2"/>
  <c r="Y533" i="2"/>
  <c r="Y535" i="2" s="1"/>
  <c r="P533" i="2"/>
  <c r="X531" i="2"/>
  <c r="X530" i="2"/>
  <c r="BP529" i="2"/>
  <c r="BO529" i="2"/>
  <c r="BM529" i="2"/>
  <c r="Y529" i="2"/>
  <c r="Y531" i="2" s="1"/>
  <c r="P529" i="2"/>
  <c r="Y527" i="2"/>
  <c r="X527" i="2"/>
  <c r="X526" i="2"/>
  <c r="BO525" i="2"/>
  <c r="BM525" i="2"/>
  <c r="Y525" i="2"/>
  <c r="P525" i="2"/>
  <c r="X521" i="2"/>
  <c r="X520" i="2"/>
  <c r="BO519" i="2"/>
  <c r="BN519" i="2"/>
  <c r="BM519" i="2"/>
  <c r="Y519" i="2"/>
  <c r="BP519" i="2" s="1"/>
  <c r="P519" i="2"/>
  <c r="BO518" i="2"/>
  <c r="BM518" i="2"/>
  <c r="Y518" i="2"/>
  <c r="P518" i="2"/>
  <c r="BO517" i="2"/>
  <c r="BM517" i="2"/>
  <c r="Y517" i="2"/>
  <c r="P517" i="2"/>
  <c r="BO516" i="2"/>
  <c r="BM516" i="2"/>
  <c r="Y516" i="2"/>
  <c r="P516" i="2"/>
  <c r="BO515" i="2"/>
  <c r="BN515" i="2"/>
  <c r="BM515" i="2"/>
  <c r="Y515" i="2"/>
  <c r="BP515" i="2" s="1"/>
  <c r="P515" i="2"/>
  <c r="BO514" i="2"/>
  <c r="BM514" i="2"/>
  <c r="Y514" i="2"/>
  <c r="BP514" i="2" s="1"/>
  <c r="P514" i="2"/>
  <c r="BO513" i="2"/>
  <c r="BM513" i="2"/>
  <c r="Y513" i="2"/>
  <c r="BP513" i="2" s="1"/>
  <c r="P513" i="2"/>
  <c r="X511" i="2"/>
  <c r="X510" i="2"/>
  <c r="BO509" i="2"/>
  <c r="BM509" i="2"/>
  <c r="Y509" i="2"/>
  <c r="P509" i="2"/>
  <c r="BO508" i="2"/>
  <c r="BM508" i="2"/>
  <c r="Y508" i="2"/>
  <c r="P508" i="2"/>
  <c r="BO507" i="2"/>
  <c r="BM507" i="2"/>
  <c r="Y507" i="2"/>
  <c r="Y511" i="2" s="1"/>
  <c r="P507" i="2"/>
  <c r="X505" i="2"/>
  <c r="X504" i="2"/>
  <c r="BO503" i="2"/>
  <c r="BM503" i="2"/>
  <c r="Y503" i="2"/>
  <c r="P503" i="2"/>
  <c r="BO502" i="2"/>
  <c r="BM502" i="2"/>
  <c r="Y502" i="2"/>
  <c r="P502" i="2"/>
  <c r="BO501" i="2"/>
  <c r="BM501" i="2"/>
  <c r="Z501" i="2"/>
  <c r="Y501" i="2"/>
  <c r="BN501" i="2" s="1"/>
  <c r="P501" i="2"/>
  <c r="BO500" i="2"/>
  <c r="BN500" i="2"/>
  <c r="BM500" i="2"/>
  <c r="Y500" i="2"/>
  <c r="Z500" i="2" s="1"/>
  <c r="P500" i="2"/>
  <c r="BP499" i="2"/>
  <c r="BO499" i="2"/>
  <c r="BN499" i="2"/>
  <c r="BM499" i="2"/>
  <c r="Z499" i="2"/>
  <c r="Y499" i="2"/>
  <c r="P499" i="2"/>
  <c r="BO498" i="2"/>
  <c r="BM498" i="2"/>
  <c r="Y498" i="2"/>
  <c r="P498" i="2"/>
  <c r="BO497" i="2"/>
  <c r="BM497" i="2"/>
  <c r="Y497" i="2"/>
  <c r="P497" i="2"/>
  <c r="BP496" i="2"/>
  <c r="BO496" i="2"/>
  <c r="BM496" i="2"/>
  <c r="Y496" i="2"/>
  <c r="BN496" i="2" s="1"/>
  <c r="P496" i="2"/>
  <c r="BP495" i="2"/>
  <c r="BO495" i="2"/>
  <c r="BN495" i="2"/>
  <c r="BM495" i="2"/>
  <c r="Z495" i="2"/>
  <c r="Y495" i="2"/>
  <c r="Y505" i="2" s="1"/>
  <c r="P495" i="2"/>
  <c r="Y491" i="2"/>
  <c r="X491" i="2"/>
  <c r="X490" i="2"/>
  <c r="BP489" i="2"/>
  <c r="BO489" i="2"/>
  <c r="BM489" i="2"/>
  <c r="Y489" i="2"/>
  <c r="P489" i="2"/>
  <c r="BO488" i="2"/>
  <c r="BN488" i="2"/>
  <c r="BM488" i="2"/>
  <c r="Y488" i="2"/>
  <c r="Z488" i="2" s="1"/>
  <c r="P488" i="2"/>
  <c r="BP487" i="2"/>
  <c r="BO487" i="2"/>
  <c r="BM487" i="2"/>
  <c r="Z487" i="2"/>
  <c r="Y487" i="2"/>
  <c r="Y490" i="2" s="1"/>
  <c r="P487" i="2"/>
  <c r="X485" i="2"/>
  <c r="X484" i="2"/>
  <c r="BO483" i="2"/>
  <c r="BM483" i="2"/>
  <c r="Y483" i="2"/>
  <c r="P483" i="2"/>
  <c r="X480" i="2"/>
  <c r="X479" i="2"/>
  <c r="BO478" i="2"/>
  <c r="BM478" i="2"/>
  <c r="Y478" i="2"/>
  <c r="BP478" i="2" s="1"/>
  <c r="P478" i="2"/>
  <c r="BO477" i="2"/>
  <c r="BM477" i="2"/>
  <c r="Y477" i="2"/>
  <c r="Y480" i="2" s="1"/>
  <c r="P477" i="2"/>
  <c r="X475" i="2"/>
  <c r="X474" i="2"/>
  <c r="BO473" i="2"/>
  <c r="BM473" i="2"/>
  <c r="Y473" i="2"/>
  <c r="P473" i="2"/>
  <c r="BO472" i="2"/>
  <c r="BM472" i="2"/>
  <c r="Y472" i="2"/>
  <c r="Z472" i="2" s="1"/>
  <c r="P472" i="2"/>
  <c r="BO471" i="2"/>
  <c r="BM471" i="2"/>
  <c r="Y471" i="2"/>
  <c r="P471" i="2"/>
  <c r="BO470" i="2"/>
  <c r="BN470" i="2"/>
  <c r="BM470" i="2"/>
  <c r="Y470" i="2"/>
  <c r="BP470" i="2" s="1"/>
  <c r="P470" i="2"/>
  <c r="BO469" i="2"/>
  <c r="BM469" i="2"/>
  <c r="Z469" i="2"/>
  <c r="Y469" i="2"/>
  <c r="BP469" i="2" s="1"/>
  <c r="P469" i="2"/>
  <c r="BO468" i="2"/>
  <c r="BM468" i="2"/>
  <c r="Y468" i="2"/>
  <c r="P468" i="2"/>
  <c r="X464" i="2"/>
  <c r="X463" i="2"/>
  <c r="BO462" i="2"/>
  <c r="BN462" i="2"/>
  <c r="BM462" i="2"/>
  <c r="Y462" i="2"/>
  <c r="BP462" i="2" s="1"/>
  <c r="P462" i="2"/>
  <c r="BO461" i="2"/>
  <c r="BM461" i="2"/>
  <c r="Y461" i="2"/>
  <c r="P461" i="2"/>
  <c r="BO460" i="2"/>
  <c r="BM460" i="2"/>
  <c r="Y460" i="2"/>
  <c r="Y464" i="2" s="1"/>
  <c r="P460" i="2"/>
  <c r="X458" i="2"/>
  <c r="X457" i="2"/>
  <c r="BO456" i="2"/>
  <c r="BM456" i="2"/>
  <c r="Z456" i="2"/>
  <c r="Z457" i="2" s="1"/>
  <c r="Y456" i="2"/>
  <c r="P456" i="2"/>
  <c r="X454" i="2"/>
  <c r="Y453" i="2"/>
  <c r="X453" i="2"/>
  <c r="BO452" i="2"/>
  <c r="BN452" i="2"/>
  <c r="BM452" i="2"/>
  <c r="Y452" i="2"/>
  <c r="Z452" i="2" s="1"/>
  <c r="P452" i="2"/>
  <c r="BO451" i="2"/>
  <c r="BM451" i="2"/>
  <c r="Y451" i="2"/>
  <c r="P451" i="2"/>
  <c r="X448" i="2"/>
  <c r="X447" i="2"/>
  <c r="BO446" i="2"/>
  <c r="BM446" i="2"/>
  <c r="Y446" i="2"/>
  <c r="P446" i="2"/>
  <c r="BO445" i="2"/>
  <c r="BN445" i="2"/>
  <c r="BM445" i="2"/>
  <c r="Y445" i="2"/>
  <c r="P445" i="2"/>
  <c r="X443" i="2"/>
  <c r="X442" i="2"/>
  <c r="BO441" i="2"/>
  <c r="BM441" i="2"/>
  <c r="Z441" i="2"/>
  <c r="Y441" i="2"/>
  <c r="BN441" i="2" s="1"/>
  <c r="P441" i="2"/>
  <c r="BO440" i="2"/>
  <c r="BM440" i="2"/>
  <c r="Y440" i="2"/>
  <c r="BP440" i="2" s="1"/>
  <c r="P440" i="2"/>
  <c r="BO439" i="2"/>
  <c r="BN439" i="2"/>
  <c r="BM439" i="2"/>
  <c r="Y439" i="2"/>
  <c r="P439" i="2"/>
  <c r="X437" i="2"/>
  <c r="X436" i="2"/>
  <c r="BO435" i="2"/>
  <c r="BM435" i="2"/>
  <c r="Y435" i="2"/>
  <c r="Z435" i="2" s="1"/>
  <c r="P435" i="2"/>
  <c r="BO434" i="2"/>
  <c r="BM434" i="2"/>
  <c r="Y434" i="2"/>
  <c r="P434" i="2"/>
  <c r="BO433" i="2"/>
  <c r="BM433" i="2"/>
  <c r="Z433" i="2"/>
  <c r="Y433" i="2"/>
  <c r="P433" i="2"/>
  <c r="X431" i="2"/>
  <c r="X430" i="2"/>
  <c r="BO429" i="2"/>
  <c r="BN429" i="2"/>
  <c r="BM429" i="2"/>
  <c r="Y429" i="2"/>
  <c r="Z429" i="2" s="1"/>
  <c r="P429" i="2"/>
  <c r="BO428" i="2"/>
  <c r="BM428" i="2"/>
  <c r="Z428" i="2"/>
  <c r="Y428" i="2"/>
  <c r="P428" i="2"/>
  <c r="BO427" i="2"/>
  <c r="BM427" i="2"/>
  <c r="Y427" i="2"/>
  <c r="BP427" i="2" s="1"/>
  <c r="P427" i="2"/>
  <c r="BO426" i="2"/>
  <c r="BM426" i="2"/>
  <c r="Y426" i="2"/>
  <c r="BP426" i="2" s="1"/>
  <c r="P426" i="2"/>
  <c r="BO425" i="2"/>
  <c r="BM425" i="2"/>
  <c r="Y425" i="2"/>
  <c r="Z425" i="2" s="1"/>
  <c r="P425" i="2"/>
  <c r="BP424" i="2"/>
  <c r="BO424" i="2"/>
  <c r="BN424" i="2"/>
  <c r="BM424" i="2"/>
  <c r="Z424" i="2"/>
  <c r="Y424" i="2"/>
  <c r="P424" i="2"/>
  <c r="BO423" i="2"/>
  <c r="BM423" i="2"/>
  <c r="Y423" i="2"/>
  <c r="P423" i="2"/>
  <c r="BO422" i="2"/>
  <c r="BM422" i="2"/>
  <c r="Y422" i="2"/>
  <c r="P422" i="2"/>
  <c r="Y418" i="2"/>
  <c r="X418" i="2"/>
  <c r="X417" i="2"/>
  <c r="BO416" i="2"/>
  <c r="BM416" i="2"/>
  <c r="Y416" i="2"/>
  <c r="P416" i="2"/>
  <c r="BO415" i="2"/>
  <c r="BM415" i="2"/>
  <c r="Z415" i="2"/>
  <c r="Y415" i="2"/>
  <c r="P415" i="2"/>
  <c r="BO414" i="2"/>
  <c r="BM414" i="2"/>
  <c r="Y414" i="2"/>
  <c r="BP414" i="2" s="1"/>
  <c r="P414" i="2"/>
  <c r="Y411" i="2"/>
  <c r="X411" i="2"/>
  <c r="X410" i="2"/>
  <c r="BP409" i="2"/>
  <c r="BO409" i="2"/>
  <c r="BM409" i="2"/>
  <c r="Y409" i="2"/>
  <c r="BN409" i="2" s="1"/>
  <c r="P409" i="2"/>
  <c r="BO408" i="2"/>
  <c r="BM408" i="2"/>
  <c r="Y408" i="2"/>
  <c r="BP408" i="2" s="1"/>
  <c r="P408" i="2"/>
  <c r="BO407" i="2"/>
  <c r="BM407" i="2"/>
  <c r="Y407" i="2"/>
  <c r="Z407" i="2" s="1"/>
  <c r="P407" i="2"/>
  <c r="X405" i="2"/>
  <c r="X404" i="2"/>
  <c r="BO403" i="2"/>
  <c r="BM403" i="2"/>
  <c r="Y403" i="2"/>
  <c r="P403" i="2"/>
  <c r="BP402" i="2"/>
  <c r="BO402" i="2"/>
  <c r="BM402" i="2"/>
  <c r="Y402" i="2"/>
  <c r="BN402" i="2" s="1"/>
  <c r="P402" i="2"/>
  <c r="BO401" i="2"/>
  <c r="BM401" i="2"/>
  <c r="Y401" i="2"/>
  <c r="P401" i="2"/>
  <c r="X399" i="2"/>
  <c r="X398" i="2"/>
  <c r="BO397" i="2"/>
  <c r="BM397" i="2"/>
  <c r="Y397" i="2"/>
  <c r="BP397" i="2" s="1"/>
  <c r="P397" i="2"/>
  <c r="BO396" i="2"/>
  <c r="BM396" i="2"/>
  <c r="Z396" i="2"/>
  <c r="Y396" i="2"/>
  <c r="BN396" i="2" s="1"/>
  <c r="P396" i="2"/>
  <c r="BO395" i="2"/>
  <c r="BM395" i="2"/>
  <c r="Y395" i="2"/>
  <c r="BN395" i="2" s="1"/>
  <c r="P395" i="2"/>
  <c r="BP394" i="2"/>
  <c r="BO394" i="2"/>
  <c r="BN394" i="2"/>
  <c r="BM394" i="2"/>
  <c r="Z394" i="2"/>
  <c r="Y394" i="2"/>
  <c r="P394" i="2"/>
  <c r="X392" i="2"/>
  <c r="X391" i="2"/>
  <c r="BO390" i="2"/>
  <c r="BM390" i="2"/>
  <c r="Y390" i="2"/>
  <c r="Z390" i="2" s="1"/>
  <c r="P390" i="2"/>
  <c r="BO389" i="2"/>
  <c r="BM389" i="2"/>
  <c r="Y389" i="2"/>
  <c r="P389" i="2"/>
  <c r="BO388" i="2"/>
  <c r="BM388" i="2"/>
  <c r="Y388" i="2"/>
  <c r="P388" i="2"/>
  <c r="X386" i="2"/>
  <c r="X385" i="2"/>
  <c r="BO384" i="2"/>
  <c r="BM384" i="2"/>
  <c r="Y384" i="2"/>
  <c r="P384" i="2"/>
  <c r="BO383" i="2"/>
  <c r="BM383" i="2"/>
  <c r="Z383" i="2"/>
  <c r="Y383" i="2"/>
  <c r="P383" i="2"/>
  <c r="BO382" i="2"/>
  <c r="BM382" i="2"/>
  <c r="Z382" i="2"/>
  <c r="Y382" i="2"/>
  <c r="BP382" i="2" s="1"/>
  <c r="P382" i="2"/>
  <c r="BO381" i="2"/>
  <c r="BM381" i="2"/>
  <c r="Y381" i="2"/>
  <c r="BP381" i="2" s="1"/>
  <c r="P381" i="2"/>
  <c r="X379" i="2"/>
  <c r="X378" i="2"/>
  <c r="BO377" i="2"/>
  <c r="BM377" i="2"/>
  <c r="Y377" i="2"/>
  <c r="BP377" i="2" s="1"/>
  <c r="P377" i="2"/>
  <c r="BO376" i="2"/>
  <c r="BM376" i="2"/>
  <c r="Y376" i="2"/>
  <c r="BP376" i="2" s="1"/>
  <c r="P376" i="2"/>
  <c r="BO375" i="2"/>
  <c r="BM375" i="2"/>
  <c r="Z375" i="2"/>
  <c r="Y375" i="2"/>
  <c r="BN375" i="2" s="1"/>
  <c r="P375" i="2"/>
  <c r="BO374" i="2"/>
  <c r="BM374" i="2"/>
  <c r="Y374" i="2"/>
  <c r="BP374" i="2" s="1"/>
  <c r="P374" i="2"/>
  <c r="BO373" i="2"/>
  <c r="BM373" i="2"/>
  <c r="Z373" i="2"/>
  <c r="Y373" i="2"/>
  <c r="P373" i="2"/>
  <c r="BO372" i="2"/>
  <c r="BN372" i="2"/>
  <c r="BM372" i="2"/>
  <c r="Y372" i="2"/>
  <c r="BP372" i="2" s="1"/>
  <c r="P372" i="2"/>
  <c r="BO371" i="2"/>
  <c r="BM371" i="2"/>
  <c r="Y371" i="2"/>
  <c r="BP371" i="2" s="1"/>
  <c r="P371" i="2"/>
  <c r="X369" i="2"/>
  <c r="X368" i="2"/>
  <c r="BO367" i="2"/>
  <c r="BM367" i="2"/>
  <c r="Z367" i="2"/>
  <c r="Y367" i="2"/>
  <c r="BN367" i="2" s="1"/>
  <c r="P367" i="2"/>
  <c r="BO366" i="2"/>
  <c r="BM366" i="2"/>
  <c r="Y366" i="2"/>
  <c r="BP366" i="2" s="1"/>
  <c r="P366" i="2"/>
  <c r="BO365" i="2"/>
  <c r="BM365" i="2"/>
  <c r="Y365" i="2"/>
  <c r="BN365" i="2" s="1"/>
  <c r="P365" i="2"/>
  <c r="BO364" i="2"/>
  <c r="BM364" i="2"/>
  <c r="Y364" i="2"/>
  <c r="P364" i="2"/>
  <c r="BO363" i="2"/>
  <c r="BM363" i="2"/>
  <c r="Y363" i="2"/>
  <c r="P363" i="2"/>
  <c r="X360" i="2"/>
  <c r="X359" i="2"/>
  <c r="BP358" i="2"/>
  <c r="BO358" i="2"/>
  <c r="BM358" i="2"/>
  <c r="Y358" i="2"/>
  <c r="BN358" i="2" s="1"/>
  <c r="P358" i="2"/>
  <c r="BP357" i="2"/>
  <c r="BO357" i="2"/>
  <c r="BN357" i="2"/>
  <c r="BM357" i="2"/>
  <c r="Z357" i="2"/>
  <c r="Y357" i="2"/>
  <c r="P357" i="2"/>
  <c r="BO356" i="2"/>
  <c r="BM356" i="2"/>
  <c r="Y356" i="2"/>
  <c r="P356" i="2"/>
  <c r="X353" i="2"/>
  <c r="X352" i="2"/>
  <c r="BO351" i="2"/>
  <c r="BN351" i="2"/>
  <c r="BM351" i="2"/>
  <c r="Y351" i="2"/>
  <c r="Z351" i="2" s="1"/>
  <c r="P351" i="2"/>
  <c r="BP350" i="2"/>
  <c r="BO350" i="2"/>
  <c r="BM350" i="2"/>
  <c r="Z350" i="2"/>
  <c r="Y350" i="2"/>
  <c r="Y353" i="2" s="1"/>
  <c r="P350" i="2"/>
  <c r="X348" i="2"/>
  <c r="X347" i="2"/>
  <c r="BO346" i="2"/>
  <c r="BM346" i="2"/>
  <c r="Y346" i="2"/>
  <c r="Z346" i="2" s="1"/>
  <c r="P346" i="2"/>
  <c r="BP345" i="2"/>
  <c r="BO345" i="2"/>
  <c r="BN345" i="2"/>
  <c r="BM345" i="2"/>
  <c r="Z345" i="2"/>
  <c r="Y345" i="2"/>
  <c r="P345" i="2"/>
  <c r="BO344" i="2"/>
  <c r="BM344" i="2"/>
  <c r="Y344" i="2"/>
  <c r="P344" i="2"/>
  <c r="BO343" i="2"/>
  <c r="BM343" i="2"/>
  <c r="Y343" i="2"/>
  <c r="Z343" i="2" s="1"/>
  <c r="P343" i="2"/>
  <c r="BP342" i="2"/>
  <c r="BO342" i="2"/>
  <c r="BM342" i="2"/>
  <c r="Y342" i="2"/>
  <c r="P342" i="2"/>
  <c r="X339" i="2"/>
  <c r="X338" i="2"/>
  <c r="BO337" i="2"/>
  <c r="BM337" i="2"/>
  <c r="Y337" i="2"/>
  <c r="P337" i="2"/>
  <c r="BO336" i="2"/>
  <c r="BM336" i="2"/>
  <c r="Y336" i="2"/>
  <c r="BP336" i="2" s="1"/>
  <c r="P336" i="2"/>
  <c r="BO335" i="2"/>
  <c r="BN335" i="2"/>
  <c r="BM335" i="2"/>
  <c r="Y335" i="2"/>
  <c r="P335" i="2"/>
  <c r="X332" i="2"/>
  <c r="X331" i="2"/>
  <c r="BO330" i="2"/>
  <c r="BM330" i="2"/>
  <c r="Y330" i="2"/>
  <c r="BP330" i="2" s="1"/>
  <c r="P330" i="2"/>
  <c r="BO329" i="2"/>
  <c r="BM329" i="2"/>
  <c r="Z329" i="2"/>
  <c r="Y329" i="2"/>
  <c r="BN329" i="2" s="1"/>
  <c r="P329" i="2"/>
  <c r="BO328" i="2"/>
  <c r="BM328" i="2"/>
  <c r="Y328" i="2"/>
  <c r="P328" i="2"/>
  <c r="BO327" i="2"/>
  <c r="BM327" i="2"/>
  <c r="Y327" i="2"/>
  <c r="P327" i="2"/>
  <c r="BO326" i="2"/>
  <c r="BN326" i="2"/>
  <c r="BM326" i="2"/>
  <c r="Z326" i="2"/>
  <c r="Y326" i="2"/>
  <c r="P326" i="2"/>
  <c r="X323" i="2"/>
  <c r="X322" i="2"/>
  <c r="BO321" i="2"/>
  <c r="BN321" i="2"/>
  <c r="BM321" i="2"/>
  <c r="Y321" i="2"/>
  <c r="BP321" i="2" s="1"/>
  <c r="P321" i="2"/>
  <c r="BO320" i="2"/>
  <c r="BM320" i="2"/>
  <c r="Y320" i="2"/>
  <c r="P320" i="2"/>
  <c r="BO319" i="2"/>
  <c r="BM319" i="2"/>
  <c r="Y319" i="2"/>
  <c r="Y323" i="2" s="1"/>
  <c r="P319" i="2"/>
  <c r="X317" i="2"/>
  <c r="Y316" i="2"/>
  <c r="X316" i="2"/>
  <c r="BO315" i="2"/>
  <c r="BN315" i="2"/>
  <c r="BM315" i="2"/>
  <c r="Y315" i="2"/>
  <c r="Y317" i="2" s="1"/>
  <c r="P315" i="2"/>
  <c r="X313" i="2"/>
  <c r="X312" i="2"/>
  <c r="BO311" i="2"/>
  <c r="BM311" i="2"/>
  <c r="Y311" i="2"/>
  <c r="BN311" i="2" s="1"/>
  <c r="P311" i="2"/>
  <c r="X309" i="2"/>
  <c r="X308" i="2"/>
  <c r="BO307" i="2"/>
  <c r="BM307" i="2"/>
  <c r="Y307" i="2"/>
  <c r="BP307" i="2" s="1"/>
  <c r="P307" i="2"/>
  <c r="BO306" i="2"/>
  <c r="BM306" i="2"/>
  <c r="Y306" i="2"/>
  <c r="BN306" i="2" s="1"/>
  <c r="P306" i="2"/>
  <c r="BO305" i="2"/>
  <c r="BN305" i="2"/>
  <c r="BM305" i="2"/>
  <c r="Y305" i="2"/>
  <c r="Z305" i="2" s="1"/>
  <c r="P305" i="2"/>
  <c r="BO304" i="2"/>
  <c r="BM304" i="2"/>
  <c r="Y304" i="2"/>
  <c r="P304" i="2"/>
  <c r="BO303" i="2"/>
  <c r="BN303" i="2"/>
  <c r="BM303" i="2"/>
  <c r="Y303" i="2"/>
  <c r="BP303" i="2" s="1"/>
  <c r="P303" i="2"/>
  <c r="BO302" i="2"/>
  <c r="BM302" i="2"/>
  <c r="Y302" i="2"/>
  <c r="BP302" i="2" s="1"/>
  <c r="P302" i="2"/>
  <c r="BO301" i="2"/>
  <c r="BM301" i="2"/>
  <c r="Y301" i="2"/>
  <c r="P301" i="2"/>
  <c r="Y298" i="2"/>
  <c r="X298" i="2"/>
  <c r="X297" i="2"/>
  <c r="BO296" i="2"/>
  <c r="BM296" i="2"/>
  <c r="Y296" i="2"/>
  <c r="BP296" i="2" s="1"/>
  <c r="P296" i="2"/>
  <c r="BP295" i="2"/>
  <c r="BO295" i="2"/>
  <c r="BM295" i="2"/>
  <c r="Y295" i="2"/>
  <c r="P295" i="2"/>
  <c r="X293" i="2"/>
  <c r="X292" i="2"/>
  <c r="BO291" i="2"/>
  <c r="BM291" i="2"/>
  <c r="Y291" i="2"/>
  <c r="P291" i="2"/>
  <c r="BO290" i="2"/>
  <c r="BM290" i="2"/>
  <c r="Y290" i="2"/>
  <c r="BN290" i="2" s="1"/>
  <c r="P290" i="2"/>
  <c r="BP289" i="2"/>
  <c r="BO289" i="2"/>
  <c r="BM289" i="2"/>
  <c r="Y289" i="2"/>
  <c r="BN289" i="2" s="1"/>
  <c r="P289" i="2"/>
  <c r="BO288" i="2"/>
  <c r="BN288" i="2"/>
  <c r="BM288" i="2"/>
  <c r="Y288" i="2"/>
  <c r="BP288" i="2" s="1"/>
  <c r="P288" i="2"/>
  <c r="BP287" i="2"/>
  <c r="BO287" i="2"/>
  <c r="BN287" i="2"/>
  <c r="BM287" i="2"/>
  <c r="Z287" i="2"/>
  <c r="Y287" i="2"/>
  <c r="P287" i="2"/>
  <c r="BO286" i="2"/>
  <c r="BM286" i="2"/>
  <c r="Y286" i="2"/>
  <c r="BP286" i="2" s="1"/>
  <c r="P286" i="2"/>
  <c r="BP285" i="2"/>
  <c r="BO285" i="2"/>
  <c r="BM285" i="2"/>
  <c r="Y285" i="2"/>
  <c r="BN285" i="2" s="1"/>
  <c r="P285" i="2"/>
  <c r="BO284" i="2"/>
  <c r="BM284" i="2"/>
  <c r="Y284" i="2"/>
  <c r="P284" i="2"/>
  <c r="BO283" i="2"/>
  <c r="BM283" i="2"/>
  <c r="Z283" i="2"/>
  <c r="Y283" i="2"/>
  <c r="P283" i="2"/>
  <c r="BO282" i="2"/>
  <c r="BN282" i="2"/>
  <c r="BM282" i="2"/>
  <c r="Y282" i="2"/>
  <c r="BP282" i="2" s="1"/>
  <c r="P282" i="2"/>
  <c r="BO281" i="2"/>
  <c r="BM281" i="2"/>
  <c r="Y281" i="2"/>
  <c r="BP281" i="2" s="1"/>
  <c r="P281" i="2"/>
  <c r="BP280" i="2"/>
  <c r="BO280" i="2"/>
  <c r="BM280" i="2"/>
  <c r="Y280" i="2"/>
  <c r="BN280" i="2" s="1"/>
  <c r="P280" i="2"/>
  <c r="X278" i="2"/>
  <c r="X277" i="2"/>
  <c r="BO276" i="2"/>
  <c r="BM276" i="2"/>
  <c r="Y276" i="2"/>
  <c r="BP276" i="2" s="1"/>
  <c r="P276" i="2"/>
  <c r="BO275" i="2"/>
  <c r="BM275" i="2"/>
  <c r="Y275" i="2"/>
  <c r="BP275" i="2" s="1"/>
  <c r="P275" i="2"/>
  <c r="BO274" i="2"/>
  <c r="BN274" i="2"/>
  <c r="BM274" i="2"/>
  <c r="Y274" i="2"/>
  <c r="Z274" i="2" s="1"/>
  <c r="P274" i="2"/>
  <c r="BO273" i="2"/>
  <c r="BM273" i="2"/>
  <c r="Y273" i="2"/>
  <c r="P273" i="2"/>
  <c r="BO272" i="2"/>
  <c r="BM272" i="2"/>
  <c r="Y272" i="2"/>
  <c r="P272" i="2"/>
  <c r="BO271" i="2"/>
  <c r="BM271" i="2"/>
  <c r="Y271" i="2"/>
  <c r="BP271" i="2" s="1"/>
  <c r="P271" i="2"/>
  <c r="BO270" i="2"/>
  <c r="BM270" i="2"/>
  <c r="Y270" i="2"/>
  <c r="Z270" i="2" s="1"/>
  <c r="P270" i="2"/>
  <c r="BO269" i="2"/>
  <c r="BN269" i="2"/>
  <c r="BM269" i="2"/>
  <c r="Y269" i="2"/>
  <c r="BP269" i="2" s="1"/>
  <c r="P269" i="2"/>
  <c r="X267" i="2"/>
  <c r="X266" i="2"/>
  <c r="BO265" i="2"/>
  <c r="BM265" i="2"/>
  <c r="Y265" i="2"/>
  <c r="P265" i="2"/>
  <c r="BO264" i="2"/>
  <c r="BM264" i="2"/>
  <c r="Y264" i="2"/>
  <c r="Z264" i="2" s="1"/>
  <c r="P264" i="2"/>
  <c r="X262" i="2"/>
  <c r="X261" i="2"/>
  <c r="BP260" i="2"/>
  <c r="BO260" i="2"/>
  <c r="BM260" i="2"/>
  <c r="Y260" i="2"/>
  <c r="P260" i="2"/>
  <c r="BO259" i="2"/>
  <c r="BM259" i="2"/>
  <c r="Y259" i="2"/>
  <c r="P259" i="2"/>
  <c r="X256" i="2"/>
  <c r="X255" i="2"/>
  <c r="BO254" i="2"/>
  <c r="BM254" i="2"/>
  <c r="Y254" i="2"/>
  <c r="Z254" i="2" s="1"/>
  <c r="Z255" i="2" s="1"/>
  <c r="P254" i="2"/>
  <c r="X252" i="2"/>
  <c r="X251" i="2"/>
  <c r="BO250" i="2"/>
  <c r="BM250" i="2"/>
  <c r="Y250" i="2"/>
  <c r="P250" i="2"/>
  <c r="BO249" i="2"/>
  <c r="BM249" i="2"/>
  <c r="Y249" i="2"/>
  <c r="BP249" i="2" s="1"/>
  <c r="P249" i="2"/>
  <c r="BO248" i="2"/>
  <c r="BM248" i="2"/>
  <c r="Y248" i="2"/>
  <c r="BP248" i="2" s="1"/>
  <c r="P248" i="2"/>
  <c r="X246" i="2"/>
  <c r="X245" i="2"/>
  <c r="BO244" i="2"/>
  <c r="BN244" i="2"/>
  <c r="BM244" i="2"/>
  <c r="Y244" i="2"/>
  <c r="BP244" i="2" s="1"/>
  <c r="P244" i="2"/>
  <c r="BO243" i="2"/>
  <c r="BM243" i="2"/>
  <c r="Y243" i="2"/>
  <c r="BP243" i="2" s="1"/>
  <c r="P243" i="2"/>
  <c r="BP242" i="2"/>
  <c r="BO242" i="2"/>
  <c r="BM242" i="2"/>
  <c r="Y242" i="2"/>
  <c r="BN242" i="2" s="1"/>
  <c r="P242" i="2"/>
  <c r="BP241" i="2"/>
  <c r="BO241" i="2"/>
  <c r="BM241" i="2"/>
  <c r="Y241" i="2"/>
  <c r="P241" i="2"/>
  <c r="BO240" i="2"/>
  <c r="BM240" i="2"/>
  <c r="Y240" i="2"/>
  <c r="P240" i="2"/>
  <c r="X238" i="2"/>
  <c r="X237" i="2"/>
  <c r="BP236" i="2"/>
  <c r="BO236" i="2"/>
  <c r="BM236" i="2"/>
  <c r="Y236" i="2"/>
  <c r="BN236" i="2" s="1"/>
  <c r="P236" i="2"/>
  <c r="BO235" i="2"/>
  <c r="BN235" i="2"/>
  <c r="BM235" i="2"/>
  <c r="Y235" i="2"/>
  <c r="BP235" i="2" s="1"/>
  <c r="P235" i="2"/>
  <c r="BP234" i="2"/>
  <c r="BO234" i="2"/>
  <c r="BM234" i="2"/>
  <c r="Y234" i="2"/>
  <c r="BN234" i="2" s="1"/>
  <c r="P234" i="2"/>
  <c r="BO233" i="2"/>
  <c r="BM233" i="2"/>
  <c r="Y233" i="2"/>
  <c r="BP233" i="2" s="1"/>
  <c r="P233" i="2"/>
  <c r="BO232" i="2"/>
  <c r="BM232" i="2"/>
  <c r="Y232" i="2"/>
  <c r="BN232" i="2" s="1"/>
  <c r="P232" i="2"/>
  <c r="BO231" i="2"/>
  <c r="BN231" i="2"/>
  <c r="BM231" i="2"/>
  <c r="Y231" i="2"/>
  <c r="Z231" i="2" s="1"/>
  <c r="P231" i="2"/>
  <c r="BO230" i="2"/>
  <c r="BM230" i="2"/>
  <c r="Y230" i="2"/>
  <c r="P230" i="2"/>
  <c r="BO229" i="2"/>
  <c r="BM229" i="2"/>
  <c r="Y229" i="2"/>
  <c r="BP229" i="2" s="1"/>
  <c r="P229" i="2"/>
  <c r="BO228" i="2"/>
  <c r="BM228" i="2"/>
  <c r="Y228" i="2"/>
  <c r="BP228" i="2" s="1"/>
  <c r="P228" i="2"/>
  <c r="BO227" i="2"/>
  <c r="BM227" i="2"/>
  <c r="Y227" i="2"/>
  <c r="Z227" i="2" s="1"/>
  <c r="P227" i="2"/>
  <c r="BO226" i="2"/>
  <c r="BN226" i="2"/>
  <c r="BM226" i="2"/>
  <c r="Y226" i="2"/>
  <c r="BP226" i="2" s="1"/>
  <c r="P226" i="2"/>
  <c r="BO225" i="2"/>
  <c r="BM225" i="2"/>
  <c r="Y225" i="2"/>
  <c r="P225" i="2"/>
  <c r="BO224" i="2"/>
  <c r="BM224" i="2"/>
  <c r="Y224" i="2"/>
  <c r="P224" i="2"/>
  <c r="BO223" i="2"/>
  <c r="BM223" i="2"/>
  <c r="Y223" i="2"/>
  <c r="BN223" i="2" s="1"/>
  <c r="P223" i="2"/>
  <c r="X221" i="2"/>
  <c r="X220" i="2"/>
  <c r="BO219" i="2"/>
  <c r="BM219" i="2"/>
  <c r="Z219" i="2"/>
  <c r="Z220" i="2" s="1"/>
  <c r="Y219" i="2"/>
  <c r="P219" i="2"/>
  <c r="X216" i="2"/>
  <c r="X215" i="2"/>
  <c r="BO214" i="2"/>
  <c r="BN214" i="2"/>
  <c r="BM214" i="2"/>
  <c r="Y214" i="2"/>
  <c r="BP214" i="2" s="1"/>
  <c r="P214" i="2"/>
  <c r="BO213" i="2"/>
  <c r="BM213" i="2"/>
  <c r="Y213" i="2"/>
  <c r="BP213" i="2" s="1"/>
  <c r="P213" i="2"/>
  <c r="BO212" i="2"/>
  <c r="BM212" i="2"/>
  <c r="Y212" i="2"/>
  <c r="BP212" i="2" s="1"/>
  <c r="P212" i="2"/>
  <c r="BO211" i="2"/>
  <c r="BM211" i="2"/>
  <c r="Y211" i="2"/>
  <c r="P211" i="2"/>
  <c r="BO210" i="2"/>
  <c r="BN210" i="2"/>
  <c r="BM210" i="2"/>
  <c r="Y210" i="2"/>
  <c r="Z210" i="2" s="1"/>
  <c r="P210" i="2"/>
  <c r="BO209" i="2"/>
  <c r="BM209" i="2"/>
  <c r="Y209" i="2"/>
  <c r="P209" i="2"/>
  <c r="BO208" i="2"/>
  <c r="BM208" i="2"/>
  <c r="Y208" i="2"/>
  <c r="BN208" i="2" s="1"/>
  <c r="P208" i="2"/>
  <c r="X204" i="2"/>
  <c r="Y203" i="2"/>
  <c r="X203" i="2"/>
  <c r="BO202" i="2"/>
  <c r="BN202" i="2"/>
  <c r="BM202" i="2"/>
  <c r="Y202" i="2"/>
  <c r="Y204" i="2" s="1"/>
  <c r="P202" i="2"/>
  <c r="Y200" i="2"/>
  <c r="X200" i="2"/>
  <c r="X199" i="2"/>
  <c r="BO198" i="2"/>
  <c r="BM198" i="2"/>
  <c r="Z198" i="2"/>
  <c r="Y198" i="2"/>
  <c r="BN198" i="2" s="1"/>
  <c r="P198" i="2"/>
  <c r="BO197" i="2"/>
  <c r="BM197" i="2"/>
  <c r="Y197" i="2"/>
  <c r="Z197" i="2" s="1"/>
  <c r="P197" i="2"/>
  <c r="X195" i="2"/>
  <c r="X194" i="2"/>
  <c r="BO193" i="2"/>
  <c r="BM193" i="2"/>
  <c r="Y193" i="2"/>
  <c r="BP193" i="2" s="1"/>
  <c r="P193" i="2"/>
  <c r="BO192" i="2"/>
  <c r="BM192" i="2"/>
  <c r="Y192" i="2"/>
  <c r="Z192" i="2" s="1"/>
  <c r="P192" i="2"/>
  <c r="BO191" i="2"/>
  <c r="BM191" i="2"/>
  <c r="Y191" i="2"/>
  <c r="P191" i="2"/>
  <c r="X189" i="2"/>
  <c r="X188" i="2"/>
  <c r="BO187" i="2"/>
  <c r="BM187" i="2"/>
  <c r="Y187" i="2"/>
  <c r="BN187" i="2" s="1"/>
  <c r="P187" i="2"/>
  <c r="BO186" i="2"/>
  <c r="BM186" i="2"/>
  <c r="Y186" i="2"/>
  <c r="BP186" i="2" s="1"/>
  <c r="P186" i="2"/>
  <c r="BO185" i="2"/>
  <c r="BM185" i="2"/>
  <c r="Y185" i="2"/>
  <c r="P185" i="2"/>
  <c r="BO184" i="2"/>
  <c r="BM184" i="2"/>
  <c r="Y184" i="2"/>
  <c r="BP184" i="2" s="1"/>
  <c r="P184" i="2"/>
  <c r="BO183" i="2"/>
  <c r="BM183" i="2"/>
  <c r="Y183" i="2"/>
  <c r="BP183" i="2" s="1"/>
  <c r="P183" i="2"/>
  <c r="BO182" i="2"/>
  <c r="BN182" i="2"/>
  <c r="BM182" i="2"/>
  <c r="Y182" i="2"/>
  <c r="Z182" i="2" s="1"/>
  <c r="P182" i="2"/>
  <c r="BP181" i="2"/>
  <c r="BO181" i="2"/>
  <c r="BN181" i="2"/>
  <c r="BM181" i="2"/>
  <c r="Z181" i="2"/>
  <c r="Y181" i="2"/>
  <c r="P181" i="2"/>
  <c r="BO180" i="2"/>
  <c r="BM180" i="2"/>
  <c r="Y180" i="2"/>
  <c r="P180" i="2"/>
  <c r="BO179" i="2"/>
  <c r="BN179" i="2"/>
  <c r="BM179" i="2"/>
  <c r="Y179" i="2"/>
  <c r="Z179" i="2" s="1"/>
  <c r="P179" i="2"/>
  <c r="BO178" i="2"/>
  <c r="BM178" i="2"/>
  <c r="Z178" i="2"/>
  <c r="Y178" i="2"/>
  <c r="BN178" i="2" s="1"/>
  <c r="P178" i="2"/>
  <c r="BO177" i="2"/>
  <c r="BM177" i="2"/>
  <c r="Y177" i="2"/>
  <c r="BN177" i="2" s="1"/>
  <c r="P177" i="2"/>
  <c r="X175" i="2"/>
  <c r="X174" i="2"/>
  <c r="BO173" i="2"/>
  <c r="BM173" i="2"/>
  <c r="Y173" i="2"/>
  <c r="BP173" i="2" s="1"/>
  <c r="P173" i="2"/>
  <c r="BO172" i="2"/>
  <c r="BM172" i="2"/>
  <c r="Y172" i="2"/>
  <c r="Z172" i="2" s="1"/>
  <c r="Y170" i="2"/>
  <c r="X170" i="2"/>
  <c r="X169" i="2"/>
  <c r="BO168" i="2"/>
  <c r="BM168" i="2"/>
  <c r="Y168" i="2"/>
  <c r="BP168" i="2" s="1"/>
  <c r="P168" i="2"/>
  <c r="BP167" i="2"/>
  <c r="BO167" i="2"/>
  <c r="BM167" i="2"/>
  <c r="Y167" i="2"/>
  <c r="P167" i="2"/>
  <c r="BO166" i="2"/>
  <c r="BN166" i="2"/>
  <c r="BM166" i="2"/>
  <c r="Y166" i="2"/>
  <c r="BP166" i="2" s="1"/>
  <c r="P166" i="2"/>
  <c r="X163" i="2"/>
  <c r="X162" i="2"/>
  <c r="BO161" i="2"/>
  <c r="BM161" i="2"/>
  <c r="Y161" i="2"/>
  <c r="BP161" i="2" s="1"/>
  <c r="P161" i="2"/>
  <c r="X159" i="2"/>
  <c r="X158" i="2"/>
  <c r="BO157" i="2"/>
  <c r="BM157" i="2"/>
  <c r="Y157" i="2"/>
  <c r="P157" i="2"/>
  <c r="BP156" i="2"/>
  <c r="BO156" i="2"/>
  <c r="BM156" i="2"/>
  <c r="Y156" i="2"/>
  <c r="BN156" i="2" s="1"/>
  <c r="P156" i="2"/>
  <c r="BO155" i="2"/>
  <c r="BM155" i="2"/>
  <c r="Y155" i="2"/>
  <c r="BP155" i="2" s="1"/>
  <c r="P155" i="2"/>
  <c r="BO154" i="2"/>
  <c r="BN154" i="2"/>
  <c r="BM154" i="2"/>
  <c r="Y154" i="2"/>
  <c r="BP154" i="2" s="1"/>
  <c r="P154" i="2"/>
  <c r="X151" i="2"/>
  <c r="X150" i="2"/>
  <c r="BP149" i="2"/>
  <c r="BO149" i="2"/>
  <c r="BM149" i="2"/>
  <c r="Y149" i="2"/>
  <c r="P149" i="2"/>
  <c r="BO148" i="2"/>
  <c r="BN148" i="2"/>
  <c r="BM148" i="2"/>
  <c r="Y148" i="2"/>
  <c r="Z148" i="2" s="1"/>
  <c r="P148" i="2"/>
  <c r="BP147" i="2"/>
  <c r="BO147" i="2"/>
  <c r="BN147" i="2"/>
  <c r="BM147" i="2"/>
  <c r="Z147" i="2"/>
  <c r="Y147" i="2"/>
  <c r="P147" i="2"/>
  <c r="BO146" i="2"/>
  <c r="BM146" i="2"/>
  <c r="Y146" i="2"/>
  <c r="P146" i="2"/>
  <c r="X144" i="2"/>
  <c r="X143" i="2"/>
  <c r="BO142" i="2"/>
  <c r="BN142" i="2"/>
  <c r="BM142" i="2"/>
  <c r="Y142" i="2"/>
  <c r="BP142" i="2" s="1"/>
  <c r="P142" i="2"/>
  <c r="BO141" i="2"/>
  <c r="BM141" i="2"/>
  <c r="Y141" i="2"/>
  <c r="Z141" i="2" s="1"/>
  <c r="P141" i="2"/>
  <c r="BO140" i="2"/>
  <c r="BM140" i="2"/>
  <c r="Y140" i="2"/>
  <c r="BP140" i="2" s="1"/>
  <c r="P140" i="2"/>
  <c r="BO139" i="2"/>
  <c r="BM139" i="2"/>
  <c r="Z139" i="2"/>
  <c r="Y139" i="2"/>
  <c r="BN139" i="2" s="1"/>
  <c r="P139" i="2"/>
  <c r="X137" i="2"/>
  <c r="X136" i="2"/>
  <c r="BO135" i="2"/>
  <c r="BM135" i="2"/>
  <c r="Y135" i="2"/>
  <c r="P135" i="2"/>
  <c r="BO134" i="2"/>
  <c r="BM134" i="2"/>
  <c r="Y134" i="2"/>
  <c r="BP134" i="2" s="1"/>
  <c r="P134" i="2"/>
  <c r="BO133" i="2"/>
  <c r="BN133" i="2"/>
  <c r="BM133" i="2"/>
  <c r="Y133" i="2"/>
  <c r="P133" i="2"/>
  <c r="BO132" i="2"/>
  <c r="BM132" i="2"/>
  <c r="Y132" i="2"/>
  <c r="P132" i="2"/>
  <c r="X129" i="2"/>
  <c r="X128" i="2"/>
  <c r="BO127" i="2"/>
  <c r="BM127" i="2"/>
  <c r="Y127" i="2"/>
  <c r="BP127" i="2" s="1"/>
  <c r="P127" i="2"/>
  <c r="Y125" i="2"/>
  <c r="X125" i="2"/>
  <c r="X124" i="2"/>
  <c r="BO123" i="2"/>
  <c r="BM123" i="2"/>
  <c r="Y123" i="2"/>
  <c r="P123" i="2"/>
  <c r="BO122" i="2"/>
  <c r="BM122" i="2"/>
  <c r="Y122" i="2"/>
  <c r="BN122" i="2" s="1"/>
  <c r="P122" i="2"/>
  <c r="BP121" i="2"/>
  <c r="BO121" i="2"/>
  <c r="BM121" i="2"/>
  <c r="Y121" i="2"/>
  <c r="Y124" i="2" s="1"/>
  <c r="P121" i="2"/>
  <c r="BO120" i="2"/>
  <c r="BN120" i="2"/>
  <c r="BM120" i="2"/>
  <c r="Y120" i="2"/>
  <c r="BP120" i="2" s="1"/>
  <c r="P120" i="2"/>
  <c r="X118" i="2"/>
  <c r="X117" i="2"/>
  <c r="BO116" i="2"/>
  <c r="BM116" i="2"/>
  <c r="Y116" i="2"/>
  <c r="BN116" i="2" s="1"/>
  <c r="P116" i="2"/>
  <c r="BP115" i="2"/>
  <c r="BO115" i="2"/>
  <c r="BM115" i="2"/>
  <c r="Y115" i="2"/>
  <c r="P115" i="2"/>
  <c r="BO114" i="2"/>
  <c r="BM114" i="2"/>
  <c r="Y114" i="2"/>
  <c r="P114" i="2"/>
  <c r="BO113" i="2"/>
  <c r="BM113" i="2"/>
  <c r="Y113" i="2"/>
  <c r="P113" i="2"/>
  <c r="BO112" i="2"/>
  <c r="BM112" i="2"/>
  <c r="Y112" i="2"/>
  <c r="BN112" i="2" s="1"/>
  <c r="P112" i="2"/>
  <c r="X110" i="2"/>
  <c r="X109" i="2"/>
  <c r="BO108" i="2"/>
  <c r="BM108" i="2"/>
  <c r="Y108" i="2"/>
  <c r="Z108" i="2" s="1"/>
  <c r="P108" i="2"/>
  <c r="BO107" i="2"/>
  <c r="BM107" i="2"/>
  <c r="Y107" i="2"/>
  <c r="P107" i="2"/>
  <c r="BO106" i="2"/>
  <c r="BM106" i="2"/>
  <c r="Z106" i="2"/>
  <c r="Y106" i="2"/>
  <c r="BN106" i="2" s="1"/>
  <c r="P106" i="2"/>
  <c r="BP105" i="2"/>
  <c r="BO105" i="2"/>
  <c r="BM105" i="2"/>
  <c r="Y105" i="2"/>
  <c r="P105" i="2"/>
  <c r="BO104" i="2"/>
  <c r="BN104" i="2"/>
  <c r="BM104" i="2"/>
  <c r="Y104" i="2"/>
  <c r="BP104" i="2" s="1"/>
  <c r="P104" i="2"/>
  <c r="BO103" i="2"/>
  <c r="BM103" i="2"/>
  <c r="Y103" i="2"/>
  <c r="P103" i="2"/>
  <c r="X100" i="2"/>
  <c r="X99" i="2"/>
  <c r="BO98" i="2"/>
  <c r="BM98" i="2"/>
  <c r="Z98" i="2"/>
  <c r="Y98" i="2"/>
  <c r="BN98" i="2" s="1"/>
  <c r="P98" i="2"/>
  <c r="BO97" i="2"/>
  <c r="BM97" i="2"/>
  <c r="Y97" i="2"/>
  <c r="P97" i="2"/>
  <c r="BO96" i="2"/>
  <c r="BN96" i="2"/>
  <c r="BM96" i="2"/>
  <c r="Y96" i="2"/>
  <c r="BP96" i="2" s="1"/>
  <c r="P96" i="2"/>
  <c r="BP95" i="2"/>
  <c r="BO95" i="2"/>
  <c r="BM95" i="2"/>
  <c r="Y95" i="2"/>
  <c r="P95" i="2"/>
  <c r="X93" i="2"/>
  <c r="X92" i="2"/>
  <c r="BO91" i="2"/>
  <c r="BN91" i="2"/>
  <c r="BM91" i="2"/>
  <c r="Y91" i="2"/>
  <c r="BP91" i="2" s="1"/>
  <c r="P91" i="2"/>
  <c r="BO90" i="2"/>
  <c r="BM90" i="2"/>
  <c r="Y90" i="2"/>
  <c r="BP90" i="2" s="1"/>
  <c r="P90" i="2"/>
  <c r="BO89" i="2"/>
  <c r="BM89" i="2"/>
  <c r="Y89" i="2"/>
  <c r="Y92" i="2" s="1"/>
  <c r="P89" i="2"/>
  <c r="BP88" i="2"/>
  <c r="BO88" i="2"/>
  <c r="BN88" i="2"/>
  <c r="BM88" i="2"/>
  <c r="Z88" i="2"/>
  <c r="Y88" i="2"/>
  <c r="P88" i="2"/>
  <c r="X85" i="2"/>
  <c r="X84" i="2"/>
  <c r="BO83" i="2"/>
  <c r="BM83" i="2"/>
  <c r="Y83" i="2"/>
  <c r="Z83" i="2" s="1"/>
  <c r="P83" i="2"/>
  <c r="BO82" i="2"/>
  <c r="BN82" i="2"/>
  <c r="BM82" i="2"/>
  <c r="Y82" i="2"/>
  <c r="Z82" i="2" s="1"/>
  <c r="P82" i="2"/>
  <c r="X80" i="2"/>
  <c r="X79" i="2"/>
  <c r="BP78" i="2"/>
  <c r="BO78" i="2"/>
  <c r="BM78" i="2"/>
  <c r="Y78" i="2"/>
  <c r="BN78" i="2" s="1"/>
  <c r="P78" i="2"/>
  <c r="BP77" i="2"/>
  <c r="BO77" i="2"/>
  <c r="BM77" i="2"/>
  <c r="Y77" i="2"/>
  <c r="BN77" i="2" s="1"/>
  <c r="P77" i="2"/>
  <c r="X75" i="2"/>
  <c r="X74" i="2"/>
  <c r="BO73" i="2"/>
  <c r="BM73" i="2"/>
  <c r="Y73" i="2"/>
  <c r="BP73" i="2" s="1"/>
  <c r="P73" i="2"/>
  <c r="BO72" i="2"/>
  <c r="BM72" i="2"/>
  <c r="Y72" i="2"/>
  <c r="BN72" i="2" s="1"/>
  <c r="P72" i="2"/>
  <c r="BO71" i="2"/>
  <c r="BM71" i="2"/>
  <c r="Y71" i="2"/>
  <c r="BN71" i="2" s="1"/>
  <c r="P71" i="2"/>
  <c r="BO70" i="2"/>
  <c r="BN70" i="2"/>
  <c r="BM70" i="2"/>
  <c r="Y70" i="2"/>
  <c r="P70" i="2"/>
  <c r="X68" i="2"/>
  <c r="X67" i="2"/>
  <c r="BO66" i="2"/>
  <c r="BM66" i="2"/>
  <c r="Y66" i="2"/>
  <c r="Z66" i="2" s="1"/>
  <c r="P66" i="2"/>
  <c r="BO65" i="2"/>
  <c r="BM65" i="2"/>
  <c r="Z65" i="2"/>
  <c r="Y65" i="2"/>
  <c r="BN65" i="2" s="1"/>
  <c r="P65" i="2"/>
  <c r="BO64" i="2"/>
  <c r="BM64" i="2"/>
  <c r="Y64" i="2"/>
  <c r="P64" i="2"/>
  <c r="BO63" i="2"/>
  <c r="BM63" i="2"/>
  <c r="Y63" i="2"/>
  <c r="BP63" i="2" s="1"/>
  <c r="P63" i="2"/>
  <c r="BO62" i="2"/>
  <c r="BM62" i="2"/>
  <c r="Y62" i="2"/>
  <c r="BN62" i="2" s="1"/>
  <c r="P62" i="2"/>
  <c r="BP61" i="2"/>
  <c r="BO61" i="2"/>
  <c r="BM61" i="2"/>
  <c r="Y61" i="2"/>
  <c r="P61" i="2"/>
  <c r="BO60" i="2"/>
  <c r="BM60" i="2"/>
  <c r="Y60" i="2"/>
  <c r="P60" i="2"/>
  <c r="BO59" i="2"/>
  <c r="BM59" i="2"/>
  <c r="Y59" i="2"/>
  <c r="Z59" i="2" s="1"/>
  <c r="P59" i="2"/>
  <c r="X56" i="2"/>
  <c r="X55" i="2"/>
  <c r="BO54" i="2"/>
  <c r="BN54" i="2"/>
  <c r="BM54" i="2"/>
  <c r="Y54" i="2"/>
  <c r="BP54" i="2" s="1"/>
  <c r="P54" i="2"/>
  <c r="BO53" i="2"/>
  <c r="BM53" i="2"/>
  <c r="Y53" i="2"/>
  <c r="P53" i="2"/>
  <c r="BO52" i="2"/>
  <c r="BM52" i="2"/>
  <c r="Y52" i="2"/>
  <c r="BP52" i="2" s="1"/>
  <c r="P52" i="2"/>
  <c r="BO51" i="2"/>
  <c r="BM51" i="2"/>
  <c r="Y51" i="2"/>
  <c r="BN51" i="2" s="1"/>
  <c r="P51" i="2"/>
  <c r="X47" i="2"/>
  <c r="X46" i="2"/>
  <c r="BO45" i="2"/>
  <c r="BM45" i="2"/>
  <c r="Y45" i="2"/>
  <c r="BP45" i="2" s="1"/>
  <c r="P45" i="2"/>
  <c r="BO44" i="2"/>
  <c r="BM44" i="2"/>
  <c r="Y44" i="2"/>
  <c r="BP44" i="2" s="1"/>
  <c r="P44" i="2"/>
  <c r="BO43" i="2"/>
  <c r="BM43" i="2"/>
  <c r="Y43" i="2"/>
  <c r="Z43" i="2" s="1"/>
  <c r="P43" i="2"/>
  <c r="BO42" i="2"/>
  <c r="BN42" i="2"/>
  <c r="BM42" i="2"/>
  <c r="Y42" i="2"/>
  <c r="BP42" i="2" s="1"/>
  <c r="P42" i="2"/>
  <c r="BO41" i="2"/>
  <c r="BM41" i="2"/>
  <c r="Y41" i="2"/>
  <c r="Z41" i="2" s="1"/>
  <c r="P41" i="2"/>
  <c r="X37" i="2"/>
  <c r="Y36" i="2"/>
  <c r="X36" i="2"/>
  <c r="BO35" i="2"/>
  <c r="BN35" i="2"/>
  <c r="BM35" i="2"/>
  <c r="Y35" i="2"/>
  <c r="Z35" i="2" s="1"/>
  <c r="Z36" i="2" s="1"/>
  <c r="P35" i="2"/>
  <c r="X33" i="2"/>
  <c r="Y32" i="2"/>
  <c r="X32" i="2"/>
  <c r="BO31" i="2"/>
  <c r="BM31" i="2"/>
  <c r="Z31" i="2"/>
  <c r="Y31" i="2"/>
  <c r="BN31" i="2" s="1"/>
  <c r="P31" i="2"/>
  <c r="BO30" i="2"/>
  <c r="BM30" i="2"/>
  <c r="Y30" i="2"/>
  <c r="BN30" i="2" s="1"/>
  <c r="P30" i="2"/>
  <c r="BP29" i="2"/>
  <c r="BO29" i="2"/>
  <c r="BM29" i="2"/>
  <c r="Z29" i="2"/>
  <c r="Y29" i="2"/>
  <c r="BN29" i="2" s="1"/>
  <c r="P29" i="2"/>
  <c r="BO28" i="2"/>
  <c r="BM28" i="2"/>
  <c r="Y28" i="2"/>
  <c r="BP28" i="2" s="1"/>
  <c r="P28" i="2"/>
  <c r="BO27" i="2"/>
  <c r="BM27" i="2"/>
  <c r="Y27" i="2"/>
  <c r="P27" i="2"/>
  <c r="X25" i="2"/>
  <c r="X24" i="2"/>
  <c r="BO23" i="2"/>
  <c r="BN23" i="2"/>
  <c r="BM23" i="2"/>
  <c r="Y23" i="2"/>
  <c r="Z23" i="2" s="1"/>
  <c r="P23" i="2"/>
  <c r="BO22" i="2"/>
  <c r="BM22" i="2"/>
  <c r="Y22" i="2"/>
  <c r="Z22" i="2" s="1"/>
  <c r="Z24" i="2" s="1"/>
  <c r="P22" i="2"/>
  <c r="H10" i="2"/>
  <c r="A9" i="2"/>
  <c r="H9" i="2" s="1"/>
  <c r="D7" i="2"/>
  <c r="Q6" i="2"/>
  <c r="P2" i="2"/>
  <c r="X550" i="2" l="1"/>
  <c r="X552" i="2"/>
  <c r="Y25" i="2"/>
  <c r="BP30" i="2"/>
  <c r="Z52" i="2"/>
  <c r="BP60" i="2"/>
  <c r="Z60" i="2"/>
  <c r="BN95" i="2"/>
  <c r="Z95" i="2"/>
  <c r="Z105" i="2"/>
  <c r="BN105" i="2"/>
  <c r="BP114" i="2"/>
  <c r="Z114" i="2"/>
  <c r="BP135" i="2"/>
  <c r="BN135" i="2"/>
  <c r="Z199" i="2"/>
  <c r="Z284" i="2"/>
  <c r="BN284" i="2"/>
  <c r="Z328" i="2"/>
  <c r="BN328" i="2"/>
  <c r="Z364" i="2"/>
  <c r="BN364" i="2"/>
  <c r="Z384" i="2"/>
  <c r="BN384" i="2"/>
  <c r="Y443" i="2"/>
  <c r="BP23" i="2"/>
  <c r="Z42" i="2"/>
  <c r="BP51" i="2"/>
  <c r="Y56" i="2"/>
  <c r="Z61" i="2"/>
  <c r="BN61" i="2"/>
  <c r="Y100" i="2"/>
  <c r="Z115" i="2"/>
  <c r="BN115" i="2"/>
  <c r="BN211" i="2"/>
  <c r="BP211" i="2"/>
  <c r="BP272" i="2"/>
  <c r="BN272" i="2"/>
  <c r="Z272" i="2"/>
  <c r="BN295" i="2"/>
  <c r="Y297" i="2"/>
  <c r="Z295" i="2"/>
  <c r="BP337" i="2"/>
  <c r="BN337" i="2"/>
  <c r="Z337" i="2"/>
  <c r="Z440" i="2"/>
  <c r="BN440" i="2"/>
  <c r="BN471" i="2"/>
  <c r="BP471" i="2"/>
  <c r="Z490" i="2"/>
  <c r="BN516" i="2"/>
  <c r="BP516" i="2"/>
  <c r="BN541" i="2"/>
  <c r="Y544" i="2"/>
  <c r="BP541" i="2"/>
  <c r="Y543" i="2"/>
  <c r="X551" i="2"/>
  <c r="BP35" i="2"/>
  <c r="Z51" i="2"/>
  <c r="BN52" i="2"/>
  <c r="Z54" i="2"/>
  <c r="BN60" i="2"/>
  <c r="BP65" i="2"/>
  <c r="BP70" i="2"/>
  <c r="Z70" i="2"/>
  <c r="BP71" i="2"/>
  <c r="BP98" i="2"/>
  <c r="BP107" i="2"/>
  <c r="Z107" i="2"/>
  <c r="BN114" i="2"/>
  <c r="BN149" i="2"/>
  <c r="Z149" i="2"/>
  <c r="BN191" i="2"/>
  <c r="BP191" i="2"/>
  <c r="Z191" i="2"/>
  <c r="Z241" i="2"/>
  <c r="BN241" i="2"/>
  <c r="BN275" i="2"/>
  <c r="Z275" i="2"/>
  <c r="Z374" i="2"/>
  <c r="BN374" i="2"/>
  <c r="BN434" i="2"/>
  <c r="BP434" i="2"/>
  <c r="Z434" i="2"/>
  <c r="Z436" i="2" s="1"/>
  <c r="Y448" i="2"/>
  <c r="Y485" i="2"/>
  <c r="BP483" i="2"/>
  <c r="BN509" i="2"/>
  <c r="BP509" i="2"/>
  <c r="Z509" i="2"/>
  <c r="BP537" i="2"/>
  <c r="Y539" i="2"/>
  <c r="Y538" i="2"/>
  <c r="BN132" i="2"/>
  <c r="BP132" i="2"/>
  <c r="Z132" i="2"/>
  <c r="Z186" i="2"/>
  <c r="BN186" i="2"/>
  <c r="BN224" i="2"/>
  <c r="Z224" i="2"/>
  <c r="BN259" i="2"/>
  <c r="BP259" i="2"/>
  <c r="Y261" i="2"/>
  <c r="BP284" i="2"/>
  <c r="BP320" i="2"/>
  <c r="Z320" i="2"/>
  <c r="BP328" i="2"/>
  <c r="BN342" i="2"/>
  <c r="Z342" i="2"/>
  <c r="BP364" i="2"/>
  <c r="BP384" i="2"/>
  <c r="BN389" i="2"/>
  <c r="BP389" i="2"/>
  <c r="Z389" i="2"/>
  <c r="Y404" i="2"/>
  <c r="Y405" i="2"/>
  <c r="BP401" i="2"/>
  <c r="Y442" i="2"/>
  <c r="BN446" i="2"/>
  <c r="BP446" i="2"/>
  <c r="Y479" i="2"/>
  <c r="BN489" i="2"/>
  <c r="Z489" i="2"/>
  <c r="Y174" i="2"/>
  <c r="BP177" i="2"/>
  <c r="BP197" i="2"/>
  <c r="Y199" i="2"/>
  <c r="BP227" i="2"/>
  <c r="BP264" i="2"/>
  <c r="BP306" i="2"/>
  <c r="BP311" i="2"/>
  <c r="BP395" i="2"/>
  <c r="Y447" i="2"/>
  <c r="BP452" i="2"/>
  <c r="BP500" i="2"/>
  <c r="BP547" i="2"/>
  <c r="BP62" i="2"/>
  <c r="BP72" i="2"/>
  <c r="Z84" i="2"/>
  <c r="BP82" i="2"/>
  <c r="BP116" i="2"/>
  <c r="BP148" i="2"/>
  <c r="Z154" i="2"/>
  <c r="Y169" i="2"/>
  <c r="BP182" i="2"/>
  <c r="BP210" i="2"/>
  <c r="BP223" i="2"/>
  <c r="Y237" i="2"/>
  <c r="Z269" i="2"/>
  <c r="BP274" i="2"/>
  <c r="Z306" i="2"/>
  <c r="Z315" i="2"/>
  <c r="Z316" i="2" s="1"/>
  <c r="BP315" i="2"/>
  <c r="Z321" i="2"/>
  <c r="BP329" i="2"/>
  <c r="Y338" i="2"/>
  <c r="BP335" i="2"/>
  <c r="BN350" i="2"/>
  <c r="BP351" i="2"/>
  <c r="BP367" i="2"/>
  <c r="BP375" i="2"/>
  <c r="BP390" i="2"/>
  <c r="Z397" i="2"/>
  <c r="Z439" i="2"/>
  <c r="Z442" i="2" s="1"/>
  <c r="BP439" i="2"/>
  <c r="BP441" i="2"/>
  <c r="Z445" i="2"/>
  <c r="BP445" i="2"/>
  <c r="Z462" i="2"/>
  <c r="BN469" i="2"/>
  <c r="Z470" i="2"/>
  <c r="BN487" i="2"/>
  <c r="BP488" i="2"/>
  <c r="Z515" i="2"/>
  <c r="Z519" i="2"/>
  <c r="AA560" i="2"/>
  <c r="Y526" i="2"/>
  <c r="Z533" i="2"/>
  <c r="Z534" i="2" s="1"/>
  <c r="BP533" i="2"/>
  <c r="Z62" i="2"/>
  <c r="Z72" i="2"/>
  <c r="Z104" i="2"/>
  <c r="BP106" i="2"/>
  <c r="Z116" i="2"/>
  <c r="Z120" i="2"/>
  <c r="Z122" i="2"/>
  <c r="Y136" i="2"/>
  <c r="BP139" i="2"/>
  <c r="Z142" i="2"/>
  <c r="Y150" i="2"/>
  <c r="Y151" i="2"/>
  <c r="Z166" i="2"/>
  <c r="Y175" i="2"/>
  <c r="BP178" i="2"/>
  <c r="BN197" i="2"/>
  <c r="BP198" i="2"/>
  <c r="Z202" i="2"/>
  <c r="Z203" i="2" s="1"/>
  <c r="BP202" i="2"/>
  <c r="BN213" i="2"/>
  <c r="Z214" i="2"/>
  <c r="Z223" i="2"/>
  <c r="Z226" i="2"/>
  <c r="BN227" i="2"/>
  <c r="BP231" i="2"/>
  <c r="Z235" i="2"/>
  <c r="Z249" i="2"/>
  <c r="BN264" i="2"/>
  <c r="Z288" i="2"/>
  <c r="BP305" i="2"/>
  <c r="BP396" i="2"/>
  <c r="BN427" i="2"/>
  <c r="BP429" i="2"/>
  <c r="BP501" i="2"/>
  <c r="BN547" i="2"/>
  <c r="Y195" i="2"/>
  <c r="BP209" i="2"/>
  <c r="BN209" i="2"/>
  <c r="BP53" i="2"/>
  <c r="BN53" i="2"/>
  <c r="BP97" i="2"/>
  <c r="BN97" i="2"/>
  <c r="Z112" i="2"/>
  <c r="Z209" i="2"/>
  <c r="Y221" i="2"/>
  <c r="BP219" i="2"/>
  <c r="L560" i="2"/>
  <c r="Z234" i="2"/>
  <c r="Y256" i="2"/>
  <c r="BP254" i="2"/>
  <c r="Z290" i="2"/>
  <c r="Y437" i="2"/>
  <c r="BP433" i="2"/>
  <c r="Y436" i="2"/>
  <c r="BN433" i="2"/>
  <c r="F9" i="2"/>
  <c r="Y46" i="2"/>
  <c r="Z53" i="2"/>
  <c r="Y75" i="2"/>
  <c r="Y74" i="2"/>
  <c r="Z97" i="2"/>
  <c r="Z156" i="2"/>
  <c r="BP326" i="2"/>
  <c r="P560" i="2"/>
  <c r="BP498" i="2"/>
  <c r="BN498" i="2"/>
  <c r="Z498" i="2"/>
  <c r="BP507" i="2"/>
  <c r="Y510" i="2"/>
  <c r="BN507" i="2"/>
  <c r="BP27" i="2"/>
  <c r="BN27" i="2"/>
  <c r="Y33" i="2"/>
  <c r="Z27" i="2"/>
  <c r="Y137" i="2"/>
  <c r="Z133" i="2"/>
  <c r="Y385" i="2"/>
  <c r="BN390" i="2"/>
  <c r="Y410" i="2"/>
  <c r="BN407" i="2"/>
  <c r="Y504" i="2"/>
  <c r="Z507" i="2"/>
  <c r="BP112" i="2"/>
  <c r="Z213" i="2"/>
  <c r="BN219" i="2"/>
  <c r="BN254" i="2"/>
  <c r="BP290" i="2"/>
  <c r="Z303" i="2"/>
  <c r="BP373" i="2"/>
  <c r="BN373" i="2"/>
  <c r="BP428" i="2"/>
  <c r="BN428" i="2"/>
  <c r="Y457" i="2"/>
  <c r="BP456" i="2"/>
  <c r="BN456" i="2"/>
  <c r="BP473" i="2"/>
  <c r="BN473" i="2"/>
  <c r="Z473" i="2"/>
  <c r="Y47" i="2"/>
  <c r="Y189" i="2"/>
  <c r="BP225" i="2"/>
  <c r="BN225" i="2"/>
  <c r="BP240" i="2"/>
  <c r="BN240" i="2"/>
  <c r="Y245" i="2"/>
  <c r="F10" i="2"/>
  <c r="A10" i="2"/>
  <c r="Y93" i="2"/>
  <c r="Z89" i="2"/>
  <c r="Z225" i="2"/>
  <c r="Y521" i="2"/>
  <c r="Z63" i="2"/>
  <c r="Z240" i="2"/>
  <c r="V560" i="2"/>
  <c r="Y431" i="2"/>
  <c r="BP422" i="2"/>
  <c r="BN89" i="2"/>
  <c r="BN107" i="2"/>
  <c r="Z127" i="2"/>
  <c r="Z128" i="2" s="1"/>
  <c r="BP133" i="2"/>
  <c r="I560" i="2"/>
  <c r="BP157" i="2"/>
  <c r="BN157" i="2"/>
  <c r="Z157" i="2"/>
  <c r="BN192" i="2"/>
  <c r="Y220" i="2"/>
  <c r="Y255" i="2"/>
  <c r="BN320" i="2"/>
  <c r="BN382" i="2"/>
  <c r="Y392" i="2"/>
  <c r="BP388" i="2"/>
  <c r="Y391" i="2"/>
  <c r="BN388" i="2"/>
  <c r="BP407" i="2"/>
  <c r="Z422" i="2"/>
  <c r="BP502" i="2"/>
  <c r="BN502" i="2"/>
  <c r="BP508" i="2"/>
  <c r="BN508" i="2"/>
  <c r="Z508" i="2"/>
  <c r="BP517" i="2"/>
  <c r="BN517" i="2"/>
  <c r="BP180" i="2"/>
  <c r="BN180" i="2"/>
  <c r="BP113" i="2"/>
  <c r="BN113" i="2"/>
  <c r="Z113" i="2"/>
  <c r="Y348" i="2"/>
  <c r="Y347" i="2"/>
  <c r="BP343" i="2"/>
  <c r="BN66" i="2"/>
  <c r="Z28" i="2"/>
  <c r="BP43" i="2"/>
  <c r="BN63" i="2"/>
  <c r="Y85" i="2"/>
  <c r="Y84" i="2"/>
  <c r="BN83" i="2"/>
  <c r="BN249" i="2"/>
  <c r="BP273" i="2"/>
  <c r="BN273" i="2"/>
  <c r="Z285" i="2"/>
  <c r="BP327" i="2"/>
  <c r="BN327" i="2"/>
  <c r="BN346" i="2"/>
  <c r="Z377" i="2"/>
  <c r="Z388" i="2"/>
  <c r="Z391" i="2" s="1"/>
  <c r="Z402" i="2"/>
  <c r="BN425" i="2"/>
  <c r="BP451" i="2"/>
  <c r="W560" i="2"/>
  <c r="BN451" i="2"/>
  <c r="Y454" i="2"/>
  <c r="Z502" i="2"/>
  <c r="Z514" i="2"/>
  <c r="Z517" i="2"/>
  <c r="J9" i="2"/>
  <c r="Z187" i="2"/>
  <c r="BP192" i="2"/>
  <c r="Z232" i="2"/>
  <c r="Z244" i="2"/>
  <c r="Z273" i="2"/>
  <c r="Z282" i="2"/>
  <c r="BP304" i="2"/>
  <c r="BN304" i="2"/>
  <c r="Z327" i="2"/>
  <c r="BN343" i="2"/>
  <c r="BN422" i="2"/>
  <c r="Z451" i="2"/>
  <c r="Z453" i="2" s="1"/>
  <c r="BN43" i="2"/>
  <c r="BP66" i="2"/>
  <c r="BP89" i="2"/>
  <c r="BN28" i="2"/>
  <c r="BP41" i="2"/>
  <c r="BN41" i="2"/>
  <c r="C560" i="2"/>
  <c r="BP108" i="2"/>
  <c r="BN108" i="2"/>
  <c r="BN172" i="2"/>
  <c r="Z184" i="2"/>
  <c r="Z229" i="2"/>
  <c r="Z304" i="2"/>
  <c r="BP346" i="2"/>
  <c r="Z365" i="2"/>
  <c r="Y369" i="2"/>
  <c r="BN377" i="2"/>
  <c r="BP383" i="2"/>
  <c r="BN383" i="2"/>
  <c r="U560" i="2"/>
  <c r="BP415" i="2"/>
  <c r="BP425" i="2"/>
  <c r="Y458" i="2"/>
  <c r="Y475" i="2"/>
  <c r="BN514" i="2"/>
  <c r="Y117" i="2"/>
  <c r="BP250" i="2"/>
  <c r="BN250" i="2"/>
  <c r="Z301" i="2"/>
  <c r="O560" i="2"/>
  <c r="Y331" i="2"/>
  <c r="S560" i="2"/>
  <c r="Y360" i="2"/>
  <c r="Z140" i="2"/>
  <c r="Z143" i="2" s="1"/>
  <c r="Z167" i="2"/>
  <c r="J560" i="2"/>
  <c r="BP172" i="2"/>
  <c r="BN184" i="2"/>
  <c r="BP187" i="2"/>
  <c r="Y216" i="2"/>
  <c r="Y215" i="2"/>
  <c r="BP208" i="2"/>
  <c r="K560" i="2"/>
  <c r="Z211" i="2"/>
  <c r="BN229" i="2"/>
  <c r="BP232" i="2"/>
  <c r="Z250" i="2"/>
  <c r="BN270" i="2"/>
  <c r="Y293" i="2"/>
  <c r="Y308" i="2"/>
  <c r="BP344" i="2"/>
  <c r="BN344" i="2"/>
  <c r="Z356" i="2"/>
  <c r="Y359" i="2"/>
  <c r="BP423" i="2"/>
  <c r="BN423" i="2"/>
  <c r="BP460" i="2"/>
  <c r="Y463" i="2"/>
  <c r="BN460" i="2"/>
  <c r="BN477" i="2"/>
  <c r="Z477" i="2"/>
  <c r="Z479" i="2" s="1"/>
  <c r="BP503" i="2"/>
  <c r="BN503" i="2"/>
  <c r="BP518" i="2"/>
  <c r="BN518" i="2"/>
  <c r="Z518" i="2"/>
  <c r="BP22" i="2"/>
  <c r="BN22" i="2"/>
  <c r="Y24" i="2"/>
  <c r="Y129" i="2"/>
  <c r="Y128" i="2"/>
  <c r="BN127" i="2"/>
  <c r="Z180" i="2"/>
  <c r="BP291" i="2"/>
  <c r="BN291" i="2"/>
  <c r="Z291" i="2"/>
  <c r="BP64" i="2"/>
  <c r="BN64" i="2"/>
  <c r="Y143" i="2"/>
  <c r="Y277" i="2"/>
  <c r="BP31" i="2"/>
  <c r="Z64" i="2"/>
  <c r="Z78" i="2"/>
  <c r="BP83" i="2"/>
  <c r="Y55" i="2"/>
  <c r="Y99" i="2"/>
  <c r="Y144" i="2"/>
  <c r="Y159" i="2"/>
  <c r="Z208" i="2"/>
  <c r="Y267" i="2"/>
  <c r="Y266" i="2"/>
  <c r="BN265" i="2"/>
  <c r="BN301" i="2"/>
  <c r="Z344" i="2"/>
  <c r="Z347" i="2" s="1"/>
  <c r="BP365" i="2"/>
  <c r="BN397" i="2"/>
  <c r="BP403" i="2"/>
  <c r="BN403" i="2"/>
  <c r="Z403" i="2"/>
  <c r="BN415" i="2"/>
  <c r="Z423" i="2"/>
  <c r="Z460" i="2"/>
  <c r="Y474" i="2"/>
  <c r="Z503" i="2"/>
  <c r="Z96" i="2"/>
  <c r="Z99" i="2" s="1"/>
  <c r="Y118" i="2"/>
  <c r="BP122" i="2"/>
  <c r="H560" i="2"/>
  <c r="Z135" i="2"/>
  <c r="BN140" i="2"/>
  <c r="Y158" i="2"/>
  <c r="BN167" i="2"/>
  <c r="Z265" i="2"/>
  <c r="Z266" i="2" s="1"/>
  <c r="BP270" i="2"/>
  <c r="Y278" i="2"/>
  <c r="BP283" i="2"/>
  <c r="BN283" i="2"/>
  <c r="Y332" i="2"/>
  <c r="BN356" i="2"/>
  <c r="Z409" i="2"/>
  <c r="Z45" i="2"/>
  <c r="Z73" i="2"/>
  <c r="Y163" i="2"/>
  <c r="Y162" i="2"/>
  <c r="BN161" i="2"/>
  <c r="BP185" i="2"/>
  <c r="BN185" i="2"/>
  <c r="Y194" i="2"/>
  <c r="BP230" i="2"/>
  <c r="BN230" i="2"/>
  <c r="BP301" i="2"/>
  <c r="Y309" i="2"/>
  <c r="Z352" i="2"/>
  <c r="Y430" i="2"/>
  <c r="BN435" i="2"/>
  <c r="BP477" i="2"/>
  <c r="BP497" i="2"/>
  <c r="BN497" i="2"/>
  <c r="BP146" i="2"/>
  <c r="BN146" i="2"/>
  <c r="Z146" i="2"/>
  <c r="Z150" i="2" s="1"/>
  <c r="F560" i="2"/>
  <c r="Z91" i="2"/>
  <c r="Y110" i="2"/>
  <c r="BP123" i="2"/>
  <c r="BN123" i="2"/>
  <c r="Z123" i="2"/>
  <c r="Z161" i="2"/>
  <c r="Z162" i="2" s="1"/>
  <c r="Z185" i="2"/>
  <c r="Z230" i="2"/>
  <c r="BN260" i="2"/>
  <c r="M560" i="2"/>
  <c r="Y292" i="2"/>
  <c r="Z280" i="2"/>
  <c r="Y339" i="2"/>
  <c r="Q560" i="2"/>
  <c r="Z335" i="2"/>
  <c r="BP356" i="2"/>
  <c r="BP363" i="2"/>
  <c r="BN363" i="2"/>
  <c r="T560" i="2"/>
  <c r="Y368" i="2"/>
  <c r="Y379" i="2"/>
  <c r="Y399" i="2"/>
  <c r="Y398" i="2"/>
  <c r="BP416" i="2"/>
  <c r="BN416" i="2"/>
  <c r="Z497" i="2"/>
  <c r="X554" i="2"/>
  <c r="BN45" i="2"/>
  <c r="BP59" i="2"/>
  <c r="Y68" i="2"/>
  <c r="E560" i="2"/>
  <c r="BN59" i="2"/>
  <c r="Y67" i="2"/>
  <c r="BN73" i="2"/>
  <c r="Y79" i="2"/>
  <c r="Y109" i="2"/>
  <c r="BP103" i="2"/>
  <c r="G560" i="2"/>
  <c r="BN103" i="2"/>
  <c r="Z103" i="2"/>
  <c r="Z109" i="2" s="1"/>
  <c r="BP141" i="2"/>
  <c r="BN141" i="2"/>
  <c r="Y188" i="2"/>
  <c r="BP179" i="2"/>
  <c r="BP224" i="2"/>
  <c r="Y238" i="2"/>
  <c r="Z242" i="2"/>
  <c r="Y246" i="2"/>
  <c r="Y252" i="2"/>
  <c r="Z260" i="2"/>
  <c r="BP265" i="2"/>
  <c r="Y313" i="2"/>
  <c r="Y312" i="2"/>
  <c r="Z311" i="2"/>
  <c r="Z312" i="2" s="1"/>
  <c r="Z363" i="2"/>
  <c r="Z368" i="2" s="1"/>
  <c r="Z372" i="2"/>
  <c r="Z416" i="2"/>
  <c r="Z427" i="2"/>
  <c r="BP435" i="2"/>
  <c r="BP461" i="2"/>
  <c r="BN461" i="2"/>
  <c r="Z461" i="2"/>
  <c r="BP472" i="2"/>
  <c r="BN472" i="2"/>
  <c r="B560" i="2"/>
  <c r="Z483" i="2"/>
  <c r="Z484" i="2" s="1"/>
  <c r="Y520" i="2"/>
  <c r="Z529" i="2"/>
  <c r="Z530" i="2" s="1"/>
  <c r="Z541" i="2"/>
  <c r="Y37" i="2"/>
  <c r="Z71" i="2"/>
  <c r="Z177" i="2"/>
  <c r="Y378" i="2"/>
  <c r="Y386" i="2"/>
  <c r="Z395" i="2"/>
  <c r="Z398" i="2" s="1"/>
  <c r="Z547" i="2"/>
  <c r="Z548" i="2" s="1"/>
  <c r="R560" i="2"/>
  <c r="BN483" i="2"/>
  <c r="BN529" i="2"/>
  <c r="Z212" i="2"/>
  <c r="Z233" i="2"/>
  <c r="Z243" i="2"/>
  <c r="Z276" i="2"/>
  <c r="Z286" i="2"/>
  <c r="Z296" i="2"/>
  <c r="Z297" i="2" s="1"/>
  <c r="Z307" i="2"/>
  <c r="Z319" i="2"/>
  <c r="Z322" i="2" s="1"/>
  <c r="Z330" i="2"/>
  <c r="Z366" i="2"/>
  <c r="Z376" i="2"/>
  <c r="Z408" i="2"/>
  <c r="Z410" i="2" s="1"/>
  <c r="Z468" i="2"/>
  <c r="Z478" i="2"/>
  <c r="Y484" i="2"/>
  <c r="Z513" i="2"/>
  <c r="Z520" i="2" s="1"/>
  <c r="Z525" i="2"/>
  <c r="Z526" i="2" s="1"/>
  <c r="Y530" i="2"/>
  <c r="Z537" i="2"/>
  <c r="Z538" i="2" s="1"/>
  <c r="D560" i="2"/>
  <c r="Z44" i="2"/>
  <c r="Z46" i="2" s="1"/>
  <c r="Y80" i="2"/>
  <c r="Z90" i="2"/>
  <c r="Z134" i="2"/>
  <c r="Z168" i="2"/>
  <c r="Z173" i="2"/>
  <c r="Z174" i="2" s="1"/>
  <c r="Z183" i="2"/>
  <c r="Z193" i="2"/>
  <c r="Z194" i="2" s="1"/>
  <c r="Z228" i="2"/>
  <c r="Z248" i="2"/>
  <c r="Z251" i="2" s="1"/>
  <c r="Y262" i="2"/>
  <c r="Z271" i="2"/>
  <c r="Z277" i="2" s="1"/>
  <c r="Z281" i="2"/>
  <c r="Z302" i="2"/>
  <c r="Z336" i="2"/>
  <c r="Y352" i="2"/>
  <c r="Z371" i="2"/>
  <c r="Z378" i="2" s="1"/>
  <c r="Z381" i="2"/>
  <c r="Z385" i="2" s="1"/>
  <c r="Z414" i="2"/>
  <c r="Z417" i="2" s="1"/>
  <c r="Z426" i="2"/>
  <c r="Z542" i="2"/>
  <c r="Y548" i="2"/>
  <c r="X560" i="2"/>
  <c r="BN212" i="2"/>
  <c r="BN233" i="2"/>
  <c r="BN243" i="2"/>
  <c r="BN276" i="2"/>
  <c r="BN286" i="2"/>
  <c r="BN296" i="2"/>
  <c r="BN307" i="2"/>
  <c r="BN319" i="2"/>
  <c r="Y322" i="2"/>
  <c r="BN330" i="2"/>
  <c r="BN366" i="2"/>
  <c r="BN376" i="2"/>
  <c r="BN408" i="2"/>
  <c r="BN468" i="2"/>
  <c r="BN478" i="2"/>
  <c r="BN513" i="2"/>
  <c r="BN525" i="2"/>
  <c r="BN537" i="2"/>
  <c r="Y560" i="2"/>
  <c r="Z121" i="2"/>
  <c r="BN173" i="2"/>
  <c r="BN183" i="2"/>
  <c r="BN193" i="2"/>
  <c r="BN228" i="2"/>
  <c r="Z236" i="2"/>
  <c r="BN248" i="2"/>
  <c r="Y251" i="2"/>
  <c r="Z259" i="2"/>
  <c r="Z261" i="2" s="1"/>
  <c r="BN271" i="2"/>
  <c r="BN281" i="2"/>
  <c r="Z289" i="2"/>
  <c r="BN302" i="2"/>
  <c r="BN336" i="2"/>
  <c r="Z358" i="2"/>
  <c r="BN371" i="2"/>
  <c r="BN381" i="2"/>
  <c r="Z401" i="2"/>
  <c r="BN414" i="2"/>
  <c r="Y417" i="2"/>
  <c r="BN426" i="2"/>
  <c r="Z446" i="2"/>
  <c r="Z447" i="2" s="1"/>
  <c r="Z471" i="2"/>
  <c r="Z496" i="2"/>
  <c r="Z504" i="2" s="1"/>
  <c r="Z516" i="2"/>
  <c r="BN542" i="2"/>
  <c r="Z560" i="2"/>
  <c r="Z30" i="2"/>
  <c r="BN44" i="2"/>
  <c r="Z77" i="2"/>
  <c r="Z79" i="2" s="1"/>
  <c r="BN90" i="2"/>
  <c r="BN134" i="2"/>
  <c r="Z155" i="2"/>
  <c r="Z158" i="2" s="1"/>
  <c r="BN168" i="2"/>
  <c r="BP319" i="2"/>
  <c r="BP468" i="2"/>
  <c r="BP525" i="2"/>
  <c r="Y549" i="2"/>
  <c r="BN121" i="2"/>
  <c r="BN155" i="2"/>
  <c r="BN401" i="2"/>
  <c r="X553" i="2" l="1"/>
  <c r="Z67" i="2"/>
  <c r="Z331" i="2"/>
  <c r="Z117" i="2"/>
  <c r="Z74" i="2"/>
  <c r="Z237" i="2"/>
  <c r="Z55" i="2"/>
  <c r="Z169" i="2"/>
  <c r="Y550" i="2"/>
  <c r="Z136" i="2"/>
  <c r="Z92" i="2"/>
  <c r="Z32" i="2"/>
  <c r="Z292" i="2"/>
  <c r="Z474" i="2"/>
  <c r="Z215" i="2"/>
  <c r="Z359" i="2"/>
  <c r="Z430" i="2"/>
  <c r="Y554" i="2"/>
  <c r="Y551" i="2"/>
  <c r="Z510" i="2"/>
  <c r="Z124" i="2"/>
  <c r="Z404" i="2"/>
  <c r="Z543" i="2"/>
  <c r="Z338" i="2"/>
  <c r="Y552" i="2"/>
  <c r="Z463" i="2"/>
  <c r="Z188" i="2"/>
  <c r="Z308" i="2"/>
  <c r="Z245" i="2"/>
  <c r="Z555" i="2" l="1"/>
  <c r="Y553" i="2"/>
</calcChain>
</file>

<file path=xl/sharedStrings.xml><?xml version="1.0" encoding="utf-8"?>
<sst xmlns="http://schemas.openxmlformats.org/spreadsheetml/2006/main" count="4219" uniqueCount="908">
  <si>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</si>
  <si>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</si>
  <si>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</si>
  <si>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</si>
  <si>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</si>
  <si>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</si>
  <si>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</si>
  <si>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</si>
  <si>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</si>
  <si>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</si>
  <si>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</si>
  <si>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</si>
  <si>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</si>
  <si>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</si>
  <si>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</si>
  <si>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</si>
  <si>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</si>
  <si>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</si>
  <si>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</si>
  <si>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</si>
  <si>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</si>
  <si>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</si>
  <si>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</si>
  <si>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</si>
  <si>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</si>
  <si>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</si>
  <si>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</si>
  <si>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</si>
  <si>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</si>
  <si>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</si>
  <si>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</si>
  <si>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</si>
  <si>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</si>
  <si>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</si>
  <si>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</si>
  <si>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</si>
  <si>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</si>
  <si>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</si>
  <si>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</si>
  <si>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</si>
  <si>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</si>
  <si>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</si>
  <si>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</si>
  <si>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</si>
  <si>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</si>
  <si>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</si>
  <si>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</si>
  <si>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</si>
  <si>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</si>
  <si>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</si>
  <si>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</si>
  <si>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</si>
  <si>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</si>
  <si>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</si>
  <si>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</si>
  <si>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</si>
  <si>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</si>
  <si>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</si>
  <si>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</si>
  <si>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</si>
  <si>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</si>
  <si>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</si>
  <si>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</si>
  <si>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</si>
  <si>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</si>
  <si>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</si>
  <si>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</si>
  <si>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</si>
  <si>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27.07.2026</t>
  </si>
  <si>
    <t>22.07.2026</t>
  </si>
  <si>
    <t>ОБЩЕСТВО С ОГРАНИЧЕННОЙ ОТВЕТСТВЕННОСТЬЮ "НОВОЕ ВРЕМЯ"</t>
  </si>
  <si>
    <t>596383</t>
  </si>
  <si>
    <t>Телефоны для заказов: 8(919)002-63-01  E-mail: kolbasa@abi.ru
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</si>
  <si>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</si>
  <si>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</si>
  <si>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</si>
  <si>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</si>
  <si>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</si>
  <si>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SU003188</t>
  </si>
  <si>
    <t>P003827</t>
  </si>
  <si>
    <t>ЕАЭС N RU Д-RU.РА03.В.12177/26</t>
  </si>
  <si>
    <t>СК2</t>
  </si>
  <si>
    <t>18</t>
  </si>
  <si>
    <t>SU004185</t>
  </si>
  <si>
    <t>P005459</t>
  </si>
  <si>
    <t>ЕАЭС N RU Д-RU.РА03.В.24532/26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</si>
  <si>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</si>
  <si>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</si>
  <si>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</si>
  <si>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</si>
  <si>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</si>
  <si>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</si>
  <si>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</si>
  <si>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</si>
  <si>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</si>
  <si>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</si>
  <si>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</si>
  <si>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</si>
  <si>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</si>
  <si>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</si>
  <si>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</si>
  <si>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</si>
  <si>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</si>
  <si>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</si>
  <si>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Сырокопченые колбасы</t>
  </si>
  <si>
    <t>SU002050</t>
  </si>
  <si>
    <t>P002188</t>
  </si>
  <si>
    <t>ЕАЭС N RU Д-RU.РА01.В.14797/20</t>
  </si>
  <si>
    <t>СНК</t>
  </si>
  <si>
    <t>АК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</si>
  <si>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</si>
  <si>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</si>
  <si>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</si>
  <si>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</si>
  <si>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</si>
  <si>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</si>
  <si>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</si>
  <si>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SU004134</t>
  </si>
  <si>
    <t>P005395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</si>
  <si>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</si>
  <si>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</si>
  <si>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</si>
  <si>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</si>
  <si>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</si>
  <si>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</si>
  <si>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</si>
  <si>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</si>
  <si>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</si>
  <si>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</si>
  <si>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</si>
  <si>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</si>
  <si>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</si>
  <si>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</si>
  <si>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</si>
  <si>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</si>
  <si>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</si>
  <si>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</si>
  <si>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</si>
  <si>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</si>
  <si>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</si>
  <si>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</si>
  <si>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</si>
  <si>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</si>
  <si>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</si>
  <si>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</si>
  <si>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P004621</t>
  </si>
  <si>
    <t>ЕАЭС N RU Д-RU.РА10.В.32351/25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</si>
  <si>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</si>
  <si>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</si>
  <si>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</si>
  <si>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</si>
  <si>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</si>
  <si>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SU002674</t>
  </si>
  <si>
    <t>P003045</t>
  </si>
  <si>
    <t>ЕАЭС N RU Д-RU.РА03.В.01645/25</t>
  </si>
  <si>
    <t>P005294</t>
  </si>
  <si>
    <t>SU002831</t>
  </si>
  <si>
    <t>P003243</t>
  </si>
  <si>
    <t>ЕАЭС N RU Д-RU.РА01.В.10475/23, ЕАЭС N RU Д-RU.РА09.В.72428/25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</si>
  <si>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</si>
  <si>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</si>
  <si>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</si>
  <si>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</si>
  <si>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</si>
  <si>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</si>
  <si>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</si>
  <si>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</si>
  <si>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</si>
  <si>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</si>
  <si>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</si>
  <si>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</si>
  <si>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</si>
  <si>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</si>
  <si>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</si>
  <si>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P003226</t>
  </si>
  <si>
    <t>SU002825</t>
  </si>
  <si>
    <t>P004554</t>
  </si>
  <si>
    <t>ЕАЭС N RU Д-RU.РА12.В.00849/25</t>
  </si>
  <si>
    <t>SU003288</t>
  </si>
  <si>
    <t>P004557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</si>
  <si>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</si>
  <si>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</si>
  <si>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</si>
  <si>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</si>
  <si>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</si>
  <si>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</si>
  <si>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</si>
  <si>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</si>
  <si>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</si>
  <si>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</si>
  <si>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</si>
  <si>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</si>
  <si>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</si>
  <si>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P002641</t>
  </si>
  <si>
    <t>ЕАЭС N RU Д-RU.РА08.В.54233/25</t>
  </si>
  <si>
    <t>SU002832</t>
  </si>
  <si>
    <t>P003245</t>
  </si>
  <si>
    <t>SU002816</t>
  </si>
  <si>
    <t>P003228</t>
  </si>
  <si>
    <t>SU001523</t>
  </si>
  <si>
    <t>P003986</t>
  </si>
  <si>
    <t>ЕАЭС N RU Д-RU.РА10.В.02058/25, ЕАЭС N RU Д-RU.РА11.В.73895/25</t>
  </si>
  <si>
    <t>SU003503</t>
  </si>
  <si>
    <t>P004411</t>
  </si>
  <si>
    <t>SU001718</t>
  </si>
  <si>
    <t>P003985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</si>
  <si>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</si>
  <si>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</si>
  <si>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</si>
  <si>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</si>
  <si>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</si>
  <si>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</si>
  <si>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</si>
  <si>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SU003745</t>
  </si>
  <si>
    <t>P004758</t>
  </si>
  <si>
    <t>ЕАЭС N RU Д-RU.РА08.В.54016/25</t>
  </si>
  <si>
    <t>P005406</t>
  </si>
  <si>
    <t>SU002733</t>
  </si>
  <si>
    <t>P003102</t>
  </si>
  <si>
    <t>SU002734</t>
  </si>
  <si>
    <t>P003103</t>
  </si>
  <si>
    <t>SU002827</t>
  </si>
  <si>
    <t>P003233</t>
  </si>
  <si>
    <t>SU002833</t>
  </si>
  <si>
    <t>P005008</t>
  </si>
  <si>
    <t>ЕАЭС N RU Д-RU.РА06.В.97082/24, ЕАЭС N RU Д-RU.РА08.В.46217/25</t>
  </si>
  <si>
    <t>SU002356</t>
  </si>
  <si>
    <t>P002639</t>
  </si>
  <si>
    <t>ЕАЭС N RU Д-RU.РА08.В.76847/25</t>
  </si>
  <si>
    <t>28</t>
  </si>
  <si>
    <t>P005405</t>
  </si>
  <si>
    <t>SU003037</t>
  </si>
  <si>
    <t>P005010</t>
  </si>
  <si>
    <t>SU002735</t>
  </si>
  <si>
    <t>P005007</t>
  </si>
  <si>
    <t>SU001721</t>
  </si>
  <si>
    <t>P003988</t>
  </si>
  <si>
    <t>ЕАЭС N RU Д-RU.РА04.В.52582/26, ЕАЭС N RU Д-RU.РА10.В.61658/25</t>
  </si>
  <si>
    <t>SU002139</t>
  </si>
  <si>
    <t>P003990</t>
  </si>
  <si>
    <t>SU001720</t>
  </si>
  <si>
    <t>P003989</t>
  </si>
  <si>
    <t>SU003336</t>
  </si>
  <si>
    <t>P004116</t>
  </si>
  <si>
    <t>ЕАЭС N RU Д-RU.РА08.В.87595/25</t>
  </si>
  <si>
    <t>SU002367</t>
  </si>
  <si>
    <t>P002644</t>
  </si>
  <si>
    <t>ЕАЭС N RU Д-RU.РА08.В.47013/25</t>
  </si>
  <si>
    <t>Халяль</t>
  </si>
  <si>
    <t>SU004164</t>
  </si>
  <si>
    <t>P005446</t>
  </si>
  <si>
    <t>ЕАЭС N RU Д-RU.РА01.В.22050/26</t>
  </si>
  <si>
    <t>Новинка</t>
  </si>
  <si>
    <t>МР</t>
  </si>
  <si>
    <t>SU004165</t>
  </si>
  <si>
    <t>P005452</t>
  </si>
  <si>
    <t>SU002983</t>
  </si>
  <si>
    <t>P003437</t>
  </si>
  <si>
    <t>ЕАЭС N RU Д-RU.РА05.В.96405/23</t>
  </si>
  <si>
    <t>P003441</t>
  </si>
  <si>
    <t>SU004170</t>
  </si>
  <si>
    <t>P005457</t>
  </si>
  <si>
    <t>ЕАЭС N RU Д-RU.РА01.В.22080/26</t>
  </si>
  <si>
    <t>SU004171</t>
  </si>
  <si>
    <t>P005455</t>
  </si>
  <si>
    <t>SU002985</t>
  </si>
  <si>
    <t>P003439</t>
  </si>
  <si>
    <t>ЕАЭС N RU Д-RU.РА08.В.16764/23</t>
  </si>
  <si>
    <t>P003442</t>
  </si>
  <si>
    <t>SU004176</t>
  </si>
  <si>
    <t>P005445</t>
  </si>
  <si>
    <t>SU004177</t>
  </si>
  <si>
    <t>P005448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</si>
  <si>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</si>
  <si>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</si>
  <si>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</si>
  <si>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</si>
  <si>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</si>
  <si>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</si>
  <si>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</si>
  <si>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</si>
  <si>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P005370</t>
  </si>
  <si>
    <t>ЕАЭС N RU Д-RU.РА01.В.65080/26</t>
  </si>
  <si>
    <t>SU004114</t>
  </si>
  <si>
    <t>P005371</t>
  </si>
  <si>
    <t>ЕАЭС N RU Д-RU.РА01.В.67941/26</t>
  </si>
  <si>
    <t>SU004116</t>
  </si>
  <si>
    <t>P005373</t>
  </si>
  <si>
    <t>ЕАЭС N RU Д-RU.РА01.В.67817/26</t>
  </si>
  <si>
    <t>SU004197</t>
  </si>
  <si>
    <t>P005566</t>
  </si>
  <si>
    <t>ЕАЭС N RU Д-RU.РА04.В.38451/26</t>
  </si>
  <si>
    <t>МЗР</t>
  </si>
  <si>
    <t>22</t>
  </si>
  <si>
    <t>SU004155</t>
  </si>
  <si>
    <t>P005431</t>
  </si>
  <si>
    <t>ЕАЭС N RU Д-RU.РА04.В.18635/26</t>
  </si>
  <si>
    <t>SU004028</t>
  </si>
  <si>
    <t>P005156</t>
  </si>
  <si>
    <t>ЕАЭС N RU Д-RU.РА09.В.00669/25</t>
  </si>
  <si>
    <t>SU002312</t>
  </si>
  <si>
    <t>P003913</t>
  </si>
  <si>
    <t>ЕАЭС N RU Д-RU.РА09.В.89339/25</t>
  </si>
  <si>
    <t>SU004302</t>
  </si>
  <si>
    <t>P005612</t>
  </si>
  <si>
    <t>Ветчины «Сочная с индейкой» Фикс.вес 0,3 п/а ТМ «Вязанка»</t>
  </si>
  <si>
    <t>ЕАЭС N RU Д-RU.РА05.В.50105/26</t>
  </si>
  <si>
    <t>SU003987</t>
  </si>
  <si>
    <t>P005122</t>
  </si>
  <si>
    <t>ЕАЭС N RU Д-RU.РА08.В.75650/25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</si>
  <si>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</si>
  <si>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</si>
  <si>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</si>
  <si>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</si>
  <si>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</si>
  <si>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</si>
  <si>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</si>
  <si>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P005377</t>
  </si>
  <si>
    <t>ЕАЭС N RU Д-RU.РА07.В.14345/25</t>
  </si>
  <si>
    <t>SU004044</t>
  </si>
  <si>
    <t>P005376</t>
  </si>
  <si>
    <t>ЕАЭС N RU Д-RU.РА11.В.22922/25</t>
  </si>
  <si>
    <t>SU003753</t>
  </si>
  <si>
    <t>P004725</t>
  </si>
  <si>
    <t>ЕАЭС N RU Д-RU.РА08.В.64180/25</t>
  </si>
  <si>
    <t>SU004039</t>
  </si>
  <si>
    <t>P005163</t>
  </si>
  <si>
    <t>SU003751</t>
  </si>
  <si>
    <t>P004728</t>
  </si>
  <si>
    <t>ЕАЭС N RU Д-RU.РА08.В.64158/25</t>
  </si>
  <si>
    <t>P005504</t>
  </si>
  <si>
    <t>SU004045</t>
  </si>
  <si>
    <t>P005169</t>
  </si>
  <si>
    <t>SU003988</t>
  </si>
  <si>
    <t>P005114</t>
  </si>
  <si>
    <t>ЕАЭС N RU Д-RU.РА11.В.21847/25</t>
  </si>
  <si>
    <t>SU004042</t>
  </si>
  <si>
    <t>P005166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</si>
  <si>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</si>
  <si>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</si>
  <si>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</si>
  <si>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</si>
  <si>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</si>
  <si>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</si>
  <si>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</si>
  <si>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</si>
  <si>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</si>
  <si>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SU004183</t>
  </si>
  <si>
    <t>P005450</t>
  </si>
  <si>
    <t>ЕАЭС N RU Д-RU.РА03.В.85462/26</t>
  </si>
  <si>
    <t>27</t>
  </si>
  <si>
    <t>SU004182</t>
  </si>
  <si>
    <t>P005449</t>
  </si>
  <si>
    <t>ЕАЭС N RU Д-RU.РА03.В.86130/26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</si>
  <si>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</si>
  <si>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</si>
  <si>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</si>
  <si>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</si>
  <si>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</si>
  <si>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</si>
  <si>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</si>
  <si>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</si>
  <si>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</si>
  <si>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</si>
  <si>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</si>
  <si>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</si>
  <si>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</si>
  <si>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</si>
  <si>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</si>
  <si>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</si>
  <si>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</si>
  <si>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</si>
  <si>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</si>
  <si>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</si>
  <si>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</si>
  <si>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</si>
  <si>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</si>
  <si>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</si>
  <si>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</si>
  <si>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</si>
  <si>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</si>
  <si>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</si>
  <si>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</si>
  <si>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</si>
  <si>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</si>
  <si>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</si>
  <si>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</si>
  <si>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</si>
  <si>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</si>
  <si>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</si>
  <si>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</si>
  <si>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</si>
  <si>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</si>
  <si>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</si>
  <si>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</si>
  <si>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</si>
  <si>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</si>
  <si>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</si>
  <si>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</si>
  <si>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</si>
  <si>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</si>
  <si>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</si>
  <si>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</si>
  <si>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</si>
  <si>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</si>
  <si>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</si>
  <si>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</si>
  <si>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</si>
  <si>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</si>
  <si>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</si>
  <si>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P004890</t>
  </si>
  <si>
    <t>ЕАЭС N RU Д-RU.РА09.В.28292/25</t>
  </si>
  <si>
    <t>SU003178</t>
  </si>
  <si>
    <t>P003837</t>
  </si>
  <si>
    <t>ЕАЭС N RU Д-RU.РА08.В.64195/25</t>
  </si>
  <si>
    <t>SU002848</t>
  </si>
  <si>
    <t>P003260</t>
  </si>
  <si>
    <t>SU002659</t>
  </si>
  <si>
    <t>P003034</t>
  </si>
  <si>
    <t>SU003046</t>
  </si>
  <si>
    <t>P003598</t>
  </si>
  <si>
    <t>ЕАЭС N RU Д-RU.РА03.В.16729/26</t>
  </si>
  <si>
    <t>SU004158</t>
  </si>
  <si>
    <t>P005435</t>
  </si>
  <si>
    <t>ЕАЭС N RU Д-RU.РА06.В.81432/23</t>
  </si>
  <si>
    <t>SU004160</t>
  </si>
  <si>
    <t>P005437</t>
  </si>
  <si>
    <t>ЕАЭС N RU Д-RU.РА02.В.11158/26</t>
  </si>
  <si>
    <t>SU004100</t>
  </si>
  <si>
    <t>P005357</t>
  </si>
  <si>
    <t>ЕАЭС N RU Д-RU.РА02.В.10651/26</t>
  </si>
  <si>
    <t>SU004101</t>
  </si>
  <si>
    <t>P005358</t>
  </si>
  <si>
    <t>ЕАЭС N RU Д-RU.РА02.В.09472/26</t>
  </si>
  <si>
    <t>SU004102</t>
  </si>
  <si>
    <t>P005359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</si>
  <si>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</si>
  <si>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</si>
  <si>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</si>
  <si>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</si>
  <si>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</si>
  <si>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</si>
  <si>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</si>
  <si>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</si>
  <si>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</si>
  <si>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</si>
  <si>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</si>
  <si>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</si>
  <si>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</si>
  <si>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</si>
  <si>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</si>
  <si>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</si>
  <si>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</si>
  <si>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</si>
  <si>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</si>
  <si>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</si>
  <si>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</si>
  <si>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</si>
  <si>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</si>
  <si>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</si>
  <si>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</si>
  <si>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</si>
  <si>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</si>
  <si>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</si>
  <si>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</si>
  <si>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</si>
  <si>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</si>
  <si>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</si>
  <si>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</si>
  <si>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</si>
  <si>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</si>
  <si>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</si>
  <si>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</si>
  <si>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</si>
  <si>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</si>
  <si>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</si>
  <si>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</si>
  <si>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</si>
  <si>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</si>
  <si>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</si>
  <si>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</si>
  <si>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</si>
  <si>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</si>
  <si>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</si>
  <si>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</si>
  <si>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</si>
  <si>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</si>
  <si>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</si>
  <si>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</si>
  <si>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</si>
  <si>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</si>
  <si>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</si>
  <si>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</si>
  <si>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</si>
  <si>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</si>
  <si>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</si>
  <si>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</si>
  <si>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</si>
  <si>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</si>
  <si>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</si>
  <si>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</si>
  <si>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</si>
  <si>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</si>
  <si>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</si>
  <si>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</si>
  <si>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</si>
  <si>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</si>
  <si>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</si>
  <si>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</si>
  <si>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</si>
  <si>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</si>
  <si>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</si>
  <si>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</si>
  <si>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</si>
  <si>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</si>
  <si>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</si>
  <si>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</si>
  <si>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</si>
  <si>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</si>
  <si>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</si>
  <si>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</si>
  <si>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</si>
  <si>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</si>
  <si>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</si>
  <si>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</si>
  <si>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</si>
  <si>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</si>
  <si>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</si>
  <si>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</si>
  <si>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</si>
  <si>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</si>
  <si>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</si>
  <si>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</si>
  <si>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</si>
  <si>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</si>
  <si>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</si>
  <si>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</si>
  <si>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</si>
  <si>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</si>
  <si>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</si>
  <si>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</si>
  <si>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</si>
  <si>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</si>
  <si>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</si>
  <si>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</si>
  <si>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</si>
  <si>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</si>
  <si>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</si>
  <si>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</si>
  <si>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</si>
  <si>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</si>
  <si>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</si>
  <si>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</si>
  <si>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</si>
  <si>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</si>
  <si>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</si>
  <si>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</si>
  <si>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</si>
  <si>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</si>
  <si>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</si>
  <si>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</si>
  <si>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</si>
  <si>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</si>
  <si>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</si>
  <si>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</si>
  <si>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</si>
  <si>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</si>
  <si>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</si>
  <si>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</si>
  <si>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</si>
  <si>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</si>
  <si>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</si>
  <si>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</si>
  <si>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</si>
  <si>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</si>
  <si>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</si>
  <si>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</si>
  <si>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</si>
  <si>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</si>
  <si>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</si>
  <si>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</si>
  <si>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</si>
  <si>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</si>
  <si>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</si>
  <si>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</si>
  <si>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</si>
  <si>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</si>
  <si>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</si>
  <si>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</si>
  <si>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</si>
  <si>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</si>
  <si>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</si>
  <si>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</si>
  <si>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</si>
  <si>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</si>
  <si>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</si>
  <si>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</si>
  <si>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</si>
  <si>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</si>
  <si>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</si>
  <si>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</si>
  <si>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</si>
  <si>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</si>
  <si>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</si>
  <si>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</si>
  <si>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</si>
  <si>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</si>
  <si>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</si>
  <si>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</si>
  <si>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</si>
  <si>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</si>
  <si>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</si>
  <si>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</si>
  <si>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</si>
  <si>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</si>
  <si>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</si>
  <si>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</si>
  <si>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</si>
  <si>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</si>
  <si>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</si>
  <si>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</si>
  <si>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</si>
  <si>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</si>
  <si>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</si>
  <si>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</si>
  <si>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</si>
  <si>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</si>
  <si>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</si>
  <si>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</si>
  <si>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</si>
  <si>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</si>
  <si>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</si>
  <si>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</si>
  <si>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</si>
  <si>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</si>
  <si>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</si>
  <si>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</si>
  <si>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</si>
  <si>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</si>
  <si>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</si>
  <si>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</si>
  <si>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</si>
  <si>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</si>
  <si>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</si>
  <si>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</si>
  <si>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</si>
  <si>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</si>
  <si>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</si>
  <si>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</si>
  <si>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</si>
  <si>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</si>
  <si>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</si>
  <si>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</si>
  <si>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</si>
  <si>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</si>
  <si>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</si>
  <si>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</si>
  <si>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</si>
  <si>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</si>
  <si>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</si>
  <si>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</si>
  <si>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</si>
  <si>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</si>
  <si>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</si>
  <si>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</si>
  <si>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</si>
  <si>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</si>
  <si>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</si>
  <si>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</si>
  <si>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</si>
  <si>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</si>
  <si>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</si>
  <si>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</si>
  <si>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</si>
  <si>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</si>
  <si>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</si>
  <si>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</si>
  <si>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</si>
  <si>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</si>
  <si>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</si>
  <si>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</si>
  <si>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</si>
  <si>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</si>
  <si>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</si>
  <si>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</si>
  <si>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</si>
  <si>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</si>
  <si>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</si>
  <si>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</si>
  <si>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</si>
  <si>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</si>
  <si>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</si>
  <si>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</si>
  <si>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</si>
  <si>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</si>
  <si>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</si>
  <si>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</si>
  <si>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</si>
  <si>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</si>
  <si>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</si>
  <si>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</si>
  <si>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</si>
  <si>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</si>
  <si>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</si>
  <si>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</si>
  <si>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</si>
  <si>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</si>
  <si>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</si>
  <si>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</si>
  <si>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</si>
  <si>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</si>
  <si>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</si>
  <si>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</si>
  <si>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</si>
  <si>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</si>
  <si>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</si>
  <si>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</si>
  <si>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</si>
  <si>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</si>
  <si>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</si>
  <si>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</si>
  <si>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</si>
  <si>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</si>
  <si>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</si>
  <si>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</si>
  <si>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</si>
  <si>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</si>
  <si>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</si>
  <si>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</si>
  <si>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</si>
  <si>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</si>
  <si>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</si>
  <si>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</si>
  <si>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</si>
  <si>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Д-RU.РА03.В.02278/26, ЕАЭС N RU Д-RU.РА11.В.65862/25</t>
  </si>
  <si>
    <t>SU004239</t>
  </si>
  <si>
    <t>P005503</t>
  </si>
  <si>
    <t>ЕАЭС N RU Д-RU.РА04.В.31445/26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</si>
  <si>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</si>
  <si>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</si>
  <si>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</si>
  <si>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</si>
  <si>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</si>
  <si>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</si>
  <si>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</si>
  <si>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</si>
  <si>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</si>
  <si>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</si>
  <si>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</si>
  <si>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</si>
  <si>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</si>
  <si>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</si>
  <si>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</si>
  <si>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</si>
  <si>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</si>
  <si>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</si>
  <si>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</si>
  <si>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</si>
  <si>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</si>
  <si>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</si>
  <si>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</si>
  <si>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</si>
  <si>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</si>
  <si>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</si>
  <si>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</si>
  <si>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</si>
  <si>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</si>
  <si>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</si>
  <si>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</si>
  <si>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</si>
  <si>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</si>
  <si>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</si>
  <si>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</si>
  <si>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</si>
  <si>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</si>
  <si>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</si>
  <si>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</si>
  <si>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</si>
  <si>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</si>
  <si>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</si>
  <si>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</si>
  <si>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</si>
  <si>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</si>
  <si>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</si>
  <si>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</si>
  <si>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</si>
  <si>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</si>
  <si>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</si>
  <si>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</si>
  <si>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</si>
  <si>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</si>
  <si>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</si>
  <si>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</si>
  <si>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</si>
  <si>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</si>
  <si>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</si>
  <si>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</si>
  <si>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</si>
  <si>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</si>
  <si>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</si>
  <si>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</si>
  <si>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</si>
  <si>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</si>
  <si>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</si>
  <si>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</si>
  <si>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</si>
  <si>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</si>
  <si>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</si>
  <si>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</si>
  <si>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</si>
  <si>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</si>
  <si>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</si>
  <si>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</si>
  <si>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</si>
  <si>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</si>
  <si>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</si>
  <si>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</si>
  <si>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</si>
  <si>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</si>
  <si>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</si>
  <si>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</si>
  <si>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</si>
  <si>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</si>
  <si>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</si>
  <si>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</si>
  <si>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</si>
  <si>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</si>
  <si>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</si>
  <si>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</si>
  <si>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</si>
  <si>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</si>
  <si>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</si>
  <si>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</si>
  <si>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</si>
  <si>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</si>
  <si>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</si>
  <si>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</si>
  <si>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</si>
  <si>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</si>
  <si>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</si>
  <si>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</si>
  <si>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</si>
  <si>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</si>
  <si>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</si>
  <si>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</si>
  <si>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</si>
  <si>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</si>
  <si>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SU002806</t>
  </si>
  <si>
    <t>P005012</t>
  </si>
  <si>
    <t>ЕАЭС N RU Д-RU.РА11.В.93951/24</t>
  </si>
  <si>
    <t>SU002809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</si>
  <si>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</si>
  <si>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</si>
  <si>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</si>
  <si>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</si>
  <si>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</si>
  <si>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</si>
  <si>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P005413</t>
  </si>
  <si>
    <t>ЕАЭС N RU Д-RU.РА03.В.14135/26</t>
  </si>
  <si>
    <t>SU002971</t>
  </si>
  <si>
    <t>P005414</t>
  </si>
  <si>
    <t>ЕАЭС N RU Д-RU.РА03.В.14244/26</t>
  </si>
  <si>
    <t>Зареченские продукты Светофор</t>
  </si>
  <si>
    <t>SU002967</t>
  </si>
  <si>
    <t>P005390</t>
  </si>
  <si>
    <t>ЕАЭС N RU Д-RU.РА10.В.43047/24</t>
  </si>
  <si>
    <t>MSDAX_КИ</t>
  </si>
  <si>
    <t>Доставка</t>
  </si>
  <si>
    <t>Самовывоз</t>
  </si>
  <si>
    <t>НВ, ООО 9001015535, Запорожская обл, Трояны с.,</t>
  </si>
  <si>
    <t>596383_4</t>
  </si>
  <si>
    <t>1</t>
  </si>
  <si>
    <t>НВ, ООО 9001015535, Луганская Народная Респ, Комиссара Санюка (Каменнобродский р-н) ул, д. 50,</t>
  </si>
  <si>
    <t>596383_5</t>
  </si>
  <si>
    <t>2</t>
  </si>
  <si>
    <t>НВ, ООО 9001015535, Донецкая Народная Респ, Охотская ул, д. 79А,</t>
  </si>
  <si>
    <t>596383_6</t>
  </si>
  <si>
    <t>3</t>
  </si>
  <si>
    <t>НВ, ООО 9001015535, Запорожская обл, Мелитополь г, Полевая ул, д. 3, стр А,</t>
  </si>
  <si>
    <t>596383_7</t>
  </si>
  <si>
    <t>4</t>
  </si>
  <si>
    <t>НВ, ООО 9001015535, Донецкая Народная Респ, Чаадаева ул, д. 1,</t>
  </si>
  <si>
    <t>596383_8</t>
  </si>
  <si>
    <t>5</t>
  </si>
  <si>
    <t>НВ, ООО 9001015535, Луганская Народная Респ, Рабочая ул, д. 10А,</t>
  </si>
  <si>
    <t>596383_9</t>
  </si>
  <si>
    <t>6</t>
  </si>
  <si>
    <t>НВ, ООО 9001015535, Запорожская обл, Мелитополь г, Семёновка с., Северный переезд ул, стр 3,</t>
  </si>
  <si>
    <t>596383_10</t>
  </si>
  <si>
    <t>7</t>
  </si>
  <si>
    <t>272151Российская Федерация, Запорожская обл, Бердянский р-н, Трояны с.,</t>
  </si>
  <si>
    <t>291019Российская Федерация, Луганская Народная Респ, Луганск г, Комиссара Санюка (Каменнобродский р-н) ул, д. 50,</t>
  </si>
  <si>
    <t>283092Российская Федерация, Донецкая Народная Респ, Донецк г, Охотская ул, д. 79А,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</si>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</sst>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886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993">
    <xf numFmtId="0" fontId="0" fillId="0" borderId="0" xfId="0"/>
    <xf numFmtId="0" fontId="0" fillId="0" borderId="0" xfId="0" applyProtection="1">
      <protection hidden="1"/>
    </xf>
    <xf numFmtId="0" fontId="5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 hidden="1"/>
    </xf>
    <xf numFmtId="164" fontId="4" fillId="0" borderId="0" xfId="0" applyNumberFormat="1" applyFont="1" applyAlignment="1" applyProtection="1">
      <alignment horizontal="center"/>
      <protection hidden="1"/>
    </xf>
    <xf numFmtId="0" fontId="4" fillId="0" borderId="0" xfId="0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right"/>
      <protection hidden="1"/>
    </xf>
    <xf numFmtId="0" fontId="0" fillId="0" borderId="0" xfId="0" applyAlignment="1" applyProtection="1">
      <alignment horizontal="center"/>
      <protection hidden="1"/>
    </xf>
    <xf numFmtId="0" fontId="2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49" fontId="34" fillId="0" borderId="15" xfId="39" applyNumberFormat="1" applyFont="1" applyBorder="1" applyAlignment="1">
      <alignment horizontal="left" vertical="center"/>
    </xf>
    <xf numFmtId="0" fontId="35" fillId="0" borderId="0" xfId="0" applyFont="1" applyAlignment="1">
      <alignment horizontal="left" vertical="top" wrapText="1"/>
    </xf>
    <xf numFmtId="0" fontId="36" fillId="24" borderId="0" xfId="39" applyFont="1" applyFill="1" applyAlignment="1">
      <alignment horizontal="center" vertical="center"/>
    </xf>
    <xf numFmtId="14" fontId="36" fillId="24" borderId="0" xfId="39" applyNumberFormat="1" applyFont="1" applyFill="1" applyAlignment="1">
      <alignment vertical="center" wrapText="1"/>
    </xf>
    <xf numFmtId="49" fontId="34" fillId="0" borderId="0" xfId="39" applyNumberFormat="1" applyFont="1" applyAlignment="1">
      <alignment horizontal="left" vertical="center"/>
    </xf>
    <xf numFmtId="0" fontId="37" fillId="0" borderId="0" xfId="0" applyFont="1" applyProtection="1">
      <protection hidden="1"/>
    </xf>
    <xf numFmtId="0" fontId="36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49" fontId="38" fillId="0" borderId="16" xfId="39" applyNumberFormat="1" applyFont="1" applyBorder="1" applyAlignment="1" applyProtection="1">
      <alignment horizontal="center" vertical="center"/>
      <protection locked="0"/>
    </xf>
    <xf numFmtId="49" fontId="39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 wrapText="1"/>
    </xf>
    <xf numFmtId="0" fontId="41" fillId="0" borderId="0" xfId="0" applyFont="1" applyAlignment="1" applyProtection="1">
      <alignment horizontal="right"/>
      <protection hidden="1"/>
    </xf>
    <xf numFmtId="0" fontId="42" fillId="0" borderId="0" xfId="0" applyFont="1" applyAlignment="1">
      <alignment horizontal="right"/>
    </xf>
    <xf numFmtId="0" fontId="43" fillId="0" borderId="0" xfId="0" applyFont="1" applyAlignment="1" applyProtection="1">
      <alignment horizontal="right" vertical="center"/>
      <protection hidden="1"/>
    </xf>
    <xf numFmtId="2" fontId="44" fillId="0" borderId="0" xfId="0" applyNumberFormat="1" applyFont="1" applyAlignment="1" applyProtection="1">
      <alignment horizontal="center" vertical="center" wrapText="1"/>
      <protection hidden="1"/>
    </xf>
    <xf numFmtId="0" fontId="37" fillId="0" borderId="0" xfId="0" applyFont="1" applyAlignment="1" applyProtection="1">
      <alignment horizontal="center"/>
      <protection hidden="1"/>
    </xf>
    <xf numFmtId="0" fontId="43" fillId="0" borderId="0" xfId="0" applyFont="1" applyAlignment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left"/>
      <protection hidden="1"/>
    </xf>
    <xf numFmtId="0" fontId="45" fillId="0" borderId="0" xfId="0" applyFont="1" applyAlignment="1">
      <alignment horizontal="left" vertical="top"/>
    </xf>
    <xf numFmtId="0" fontId="46" fillId="0" borderId="0" xfId="0" applyFont="1" applyAlignment="1">
      <alignment horizontal="left" vertical="top" wrapText="1"/>
    </xf>
    <xf numFmtId="1" fontId="48" fillId="0" borderId="16" xfId="39" applyNumberFormat="1" applyFont="1" applyBorder="1" applyAlignment="1">
      <alignment horizontal="center" vertical="center"/>
    </xf>
    <xf numFmtId="0" fontId="2" fillId="0" borderId="16" xfId="0" applyFont="1" applyBorder="1" applyAlignment="1" applyProtection="1">
      <alignment horizontal="center" vertical="center"/>
      <protection hidden="1"/>
    </xf>
    <xf numFmtId="1" fontId="2" fillId="0" borderId="16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left"/>
    </xf>
    <xf numFmtId="0" fontId="32" fillId="0" borderId="16" xfId="0" applyFont="1" applyBorder="1" applyAlignment="1" applyProtection="1">
      <alignment horizontal="center"/>
      <protection hidden="1"/>
    </xf>
    <xf numFmtId="2" fontId="3" fillId="0" borderId="16" xfId="0" applyNumberFormat="1" applyFont="1" applyBorder="1" applyAlignment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>
      <alignment horizontal="right"/>
    </xf>
    <xf numFmtId="164" fontId="43" fillId="24" borderId="16" xfId="0" applyNumberFormat="1" applyFont="1" applyFill="1" applyBorder="1" applyAlignment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Alignment="1">
      <alignment vertical="center" wrapText="1"/>
    </xf>
    <xf numFmtId="49" fontId="38" fillId="0" borderId="16" xfId="0" applyNumberFormat="1" applyFont="1" applyBorder="1" applyAlignment="1" applyProtection="1">
      <alignment horizontal="center" vertical="center"/>
      <protection locked="0"/>
    </xf>
    <xf numFmtId="49" fontId="51" fillId="0" borderId="0" xfId="0" applyNumberFormat="1" applyFont="1" applyAlignment="1">
      <alignment horizontal="center" vertical="center" wrapText="1"/>
    </xf>
    <xf numFmtId="49" fontId="38" fillId="0" borderId="0" xfId="0" applyNumberFormat="1" applyFont="1" applyAlignment="1">
      <alignment horizontal="center" vertical="center"/>
    </xf>
    <xf numFmtId="165" fontId="38" fillId="0" borderId="0" xfId="0" applyNumberFormat="1" applyFont="1" applyAlignment="1" applyProtection="1">
      <alignment horizontal="center" vertical="center"/>
      <protection locked="0"/>
    </xf>
    <xf numFmtId="4" fontId="30" fillId="0" borderId="18" xfId="39" applyNumberFormat="1" applyFont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Alignment="1">
      <alignment horizontal="center" vertical="center"/>
    </xf>
    <xf numFmtId="167" fontId="25" fillId="0" borderId="16" xfId="0" applyNumberFormat="1" applyFont="1" applyBorder="1" applyAlignment="1">
      <alignment horizontal="right"/>
    </xf>
    <xf numFmtId="0" fontId="50" fillId="0" borderId="0" xfId="0" applyFont="1" applyAlignment="1" applyProtection="1">
      <alignment horizontal="center" vertical="center" wrapText="1"/>
      <protection hidden="1"/>
    </xf>
    <xf numFmtId="4" fontId="53" fillId="0" borderId="0" xfId="39" applyNumberFormat="1" applyFont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Protection="1">
      <protection locked="0"/>
    </xf>
    <xf numFmtId="14" fontId="36" fillId="24" borderId="0" xfId="39" applyNumberFormat="1" applyFont="1" applyFill="1" applyAlignment="1">
      <alignment horizontal="center" vertical="center" wrapText="1"/>
    </xf>
    <xf numFmtId="168" fontId="2" fillId="0" borderId="16" xfId="0" applyNumberFormat="1" applyFont="1" applyBorder="1" applyAlignment="1" applyProtection="1">
      <alignment horizontal="center" vertical="center"/>
      <protection hidden="1"/>
    </xf>
    <xf numFmtId="1" fontId="48" fillId="0" borderId="22" xfId="0" applyNumberFormat="1" applyFont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Alignment="1" applyProtection="1">
      <alignment horizontal="center"/>
      <protection hidden="1"/>
    </xf>
    <xf numFmtId="2" fontId="28" fillId="26" borderId="0" xfId="0" applyNumberFormat="1" applyFont="1" applyFill="1" applyAlignment="1" applyProtection="1">
      <alignment horizontal="center"/>
      <protection hidden="1"/>
    </xf>
    <xf numFmtId="167" fontId="43" fillId="24" borderId="0" xfId="0" applyNumberFormat="1" applyFont="1" applyFill="1" applyAlignment="1">
      <alignment horizontal="right"/>
    </xf>
    <xf numFmtId="2" fontId="3" fillId="0" borderId="11" xfId="0" applyNumberFormat="1" applyFont="1" applyBorder="1" applyAlignment="1">
      <alignment horizontal="center" wrapText="1"/>
    </xf>
    <xf numFmtId="0" fontId="33" fillId="0" borderId="11" xfId="0" applyFont="1" applyBorder="1" applyProtection="1">
      <protection hidden="1"/>
    </xf>
    <xf numFmtId="0" fontId="58" fillId="27" borderId="0" xfId="0" applyFont="1" applyFill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Alignment="1" applyProtection="1">
      <alignment horizontal="left" vertical="center" wrapText="1"/>
      <protection hidden="1"/>
    </xf>
    <xf numFmtId="2" fontId="50" fillId="0" borderId="0" xfId="0" applyNumberFormat="1" applyFont="1" applyAlignment="1" applyProtection="1">
      <alignment horizontal="left" vertical="center" wrapText="1"/>
      <protection locked="0" hidden="1"/>
    </xf>
    <xf numFmtId="0" fontId="44" fillId="0" borderId="0" xfId="0" applyFont="1" applyAlignment="1" applyProtection="1">
      <alignment horizontal="left" vertical="top" wrapText="1"/>
      <protection locked="0"/>
    </xf>
    <xf numFmtId="0" fontId="44" fillId="0" borderId="0" xfId="0" applyFont="1" applyAlignment="1" applyProtection="1">
      <alignment horizontal="center" vertical="top" wrapText="1"/>
      <protection locked="0"/>
    </xf>
    <xf numFmtId="2" fontId="44" fillId="0" borderId="0" xfId="0" applyNumberFormat="1" applyFont="1" applyAlignment="1" applyProtection="1">
      <alignment horizontal="left" vertical="center" wrapText="1"/>
      <protection locked="0" hidden="1"/>
    </xf>
    <xf numFmtId="2" fontId="50" fillId="0" borderId="0" xfId="0" applyNumberFormat="1" applyFont="1" applyAlignment="1" applyProtection="1">
      <alignment horizontal="left" vertical="center" wrapText="1"/>
      <protection hidden="1"/>
    </xf>
    <xf numFmtId="2" fontId="55" fillId="0" borderId="0" xfId="0" applyNumberFormat="1" applyFont="1" applyAlignment="1" applyProtection="1">
      <alignment horizontal="left" vertical="center" wrapText="1"/>
      <protection hidden="1"/>
    </xf>
    <xf numFmtId="4" fontId="60" fillId="0" borderId="0" xfId="0" applyNumberFormat="1" applyFont="1" applyProtection="1">
      <protection hidden="1"/>
    </xf>
    <xf numFmtId="0" fontId="60" fillId="0" borderId="0" xfId="0" applyFont="1" applyAlignment="1" applyProtection="1">
      <alignment horizontal="center" vertical="center"/>
      <protection hidden="1"/>
    </xf>
    <xf numFmtId="0" fontId="60" fillId="0" borderId="42" xfId="0" applyFont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Protection="1">
      <protection hidden="1"/>
    </xf>
    <xf numFmtId="0" fontId="29" fillId="0" borderId="25" xfId="0" applyFont="1" applyBorder="1" applyAlignment="1" applyProtection="1">
      <alignment horizontal="center" vertical="center" wrapText="1"/>
      <protection hidden="1"/>
    </xf>
    <xf numFmtId="0" fontId="62" fillId="0" borderId="11" xfId="0" applyFont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Border="1" applyAlignment="1" applyProtection="1">
      <alignment wrapText="1"/>
      <protection hidden="1"/>
    </xf>
    <xf numFmtId="0" fontId="870" fillId="0" borderId="0" xfId="0" applyFont="1"/>
    <xf numFmtId="0" fontId="872" fillId="0" borderId="11" xfId="0" applyFont="1" applyBorder="1" applyAlignment="1" applyProtection="1">
      <alignment wrapText="1"/>
      <protection hidden="1"/>
    </xf>
    <xf numFmtId="0" fontId="873" fillId="0" borderId="0" xfId="0" applyFont="1"/>
    <xf numFmtId="0" fontId="875" fillId="0" borderId="11" xfId="0" applyFont="1" applyBorder="1" applyAlignment="1" applyProtection="1">
      <alignment wrapText="1"/>
      <protection hidden="1"/>
    </xf>
    <xf numFmtId="0" fontId="876" fillId="0" borderId="0" xfId="0" applyFont="1"/>
    <xf numFmtId="0" fontId="878" fillId="0" borderId="11" xfId="0" applyFont="1" applyBorder="1" applyAlignment="1" applyProtection="1">
      <alignment wrapText="1"/>
      <protection hidden="1"/>
    </xf>
    <xf numFmtId="0" fontId="879" fillId="0" borderId="0" xfId="0" applyFont="1"/>
    <xf numFmtId="0" fontId="881" fillId="0" borderId="11" xfId="0" applyFont="1" applyBorder="1" applyAlignment="1" applyProtection="1">
      <alignment wrapText="1"/>
      <protection hidden="1"/>
    </xf>
    <xf numFmtId="0" fontId="882" fillId="0" borderId="0" xfId="0" applyFont="1"/>
    <xf numFmtId="0" fontId="884" fillId="0" borderId="11" xfId="0" applyFont="1" applyBorder="1" applyAlignment="1" applyProtection="1">
      <alignment wrapText="1"/>
      <protection hidden="1"/>
    </xf>
    <xf numFmtId="0" fontId="885" fillId="0" borderId="0" xfId="0" applyFont="1"/>
    <xf numFmtId="0" fontId="36" fillId="24" borderId="0" xfId="39" applyFont="1" applyFill="1" applyAlignment="1">
      <alignment horizontal="center" vertical="center" wrapText="1"/>
    </xf>
    <xf numFmtId="14" fontId="36" fillId="24" borderId="0" xfId="0" applyNumberFormat="1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right" vertical="center" wrapText="1"/>
      <protection hidden="1"/>
    </xf>
    <xf numFmtId="0" fontId="43" fillId="0" borderId="29" xfId="0" applyFont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Border="1" applyAlignment="1">
      <alignment horizontal="center" vertical="center"/>
    </xf>
    <xf numFmtId="0" fontId="43" fillId="0" borderId="0" xfId="0" applyFont="1" applyAlignment="1" applyProtection="1">
      <alignment horizontal="center" vertical="center"/>
      <protection hidden="1"/>
    </xf>
    <xf numFmtId="0" fontId="43" fillId="0" borderId="29" xfId="0" applyFont="1" applyBorder="1" applyAlignment="1" applyProtection="1">
      <alignment horizontal="center" vertical="center"/>
      <protection hidden="1"/>
    </xf>
    <xf numFmtId="4" fontId="51" fillId="0" borderId="30" xfId="0" applyNumberFormat="1" applyFont="1" applyBorder="1" applyAlignment="1">
      <alignment horizontal="center" vertical="center" wrapText="1"/>
    </xf>
    <xf numFmtId="4" fontId="51" fillId="0" borderId="31" xfId="0" applyNumberFormat="1" applyFont="1" applyBorder="1" applyAlignment="1">
      <alignment horizontal="center" vertical="center" wrapText="1"/>
    </xf>
    <xf numFmtId="4" fontId="51" fillId="0" borderId="15" xfId="0" applyNumberFormat="1" applyFont="1" applyBorder="1" applyAlignment="1">
      <alignment horizontal="center" vertical="center" wrapText="1"/>
    </xf>
    <xf numFmtId="4" fontId="51" fillId="0" borderId="29" xfId="0" applyNumberFormat="1" applyFont="1" applyBorder="1" applyAlignment="1">
      <alignment horizontal="center" vertical="center" wrapText="1"/>
    </xf>
    <xf numFmtId="4" fontId="51" fillId="0" borderId="32" xfId="0" applyNumberFormat="1" applyFont="1" applyBorder="1" applyAlignment="1">
      <alignment horizontal="center" vertical="center" wrapText="1"/>
    </xf>
    <xf numFmtId="4" fontId="51" fillId="0" borderId="33" xfId="0" applyNumberFormat="1" applyFont="1" applyBorder="1" applyAlignment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50" fillId="27" borderId="0" xfId="0" applyFont="1" applyFill="1" applyAlignment="1" applyProtection="1">
      <alignment vertical="center" wrapText="1"/>
      <protection hidden="1"/>
    </xf>
    <xf numFmtId="0" fontId="50" fillId="27" borderId="0" xfId="0" quotePrefix="1" applyFont="1" applyFill="1" applyAlignment="1" applyProtection="1">
      <alignment horizontal="center" vertical="center" wrapText="1"/>
      <protection locked="0" hidden="1"/>
    </xf>
    <xf numFmtId="0" fontId="50" fillId="27" borderId="0" xfId="0" applyFont="1" applyFill="1" applyAlignment="1" applyProtection="1">
      <alignment horizontal="center" vertical="center" wrapText="1"/>
      <protection locked="0" hidden="1"/>
    </xf>
    <xf numFmtId="0" fontId="58" fillId="27" borderId="0" xfId="0" applyFont="1" applyFill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Border="1" applyAlignment="1">
      <alignment horizontal="center" vertical="center"/>
    </xf>
    <xf numFmtId="49" fontId="38" fillId="0" borderId="31" xfId="0" applyNumberFormat="1" applyFont="1" applyBorder="1" applyAlignment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Border="1" applyAlignment="1">
      <alignment horizontal="center" vertical="center"/>
    </xf>
    <xf numFmtId="0" fontId="56" fillId="26" borderId="0" xfId="0" applyFont="1" applyFill="1" applyAlignment="1" applyProtection="1">
      <alignment horizontal="center"/>
      <protection hidden="1"/>
    </xf>
    <xf numFmtId="2" fontId="28" fillId="26" borderId="0" xfId="0" applyNumberFormat="1" applyFont="1" applyFill="1" applyAlignment="1" applyProtection="1">
      <alignment horizontal="center"/>
      <protection hidden="1"/>
    </xf>
    <xf numFmtId="1" fontId="48" fillId="0" borderId="16" xfId="0" applyNumberFormat="1" applyFont="1" applyBorder="1" applyAlignment="1">
      <alignment horizontal="center" vertical="center"/>
    </xf>
    <xf numFmtId="0" fontId="61" fillId="0" borderId="45" xfId="0" applyFont="1" applyBorder="1" applyAlignment="1">
      <alignment horizontal="left" vertical="center" wrapText="1"/>
    </xf>
    <xf numFmtId="0" fontId="2" fillId="0" borderId="46" xfId="0" applyFont="1" applyBorder="1" applyAlignment="1">
      <alignment horizontal="left" vertical="center" wrapText="1"/>
    </xf>
    <xf numFmtId="0" fontId="2" fillId="0" borderId="19" xfId="0" applyFont="1" applyBorder="1" applyAlignment="1">
      <alignment horizontal="left" vertical="center" wrapText="1"/>
    </xf>
    <xf numFmtId="0" fontId="64" fillId="0" borderId="45" xfId="0" applyFont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67" fillId="0" borderId="45" xfId="0" applyFont="1" applyBorder="1" applyAlignment="1">
      <alignment horizontal="left" vertical="center" wrapText="1"/>
    </xf>
    <xf numFmtId="0" fontId="70" fillId="0" borderId="45" xfId="0" applyFont="1" applyBorder="1" applyAlignment="1">
      <alignment horizontal="left" vertical="center" wrapText="1"/>
    </xf>
    <xf numFmtId="0" fontId="73" fillId="0" borderId="45" xfId="0" applyFont="1" applyBorder="1" applyAlignment="1">
      <alignment horizontal="left" vertical="center" wrapText="1"/>
    </xf>
    <xf numFmtId="0" fontId="76" fillId="0" borderId="45" xfId="0" applyFont="1" applyBorder="1" applyAlignment="1">
      <alignment horizontal="left" vertical="center" wrapText="1"/>
    </xf>
    <xf numFmtId="0" fontId="79" fillId="0" borderId="45" xfId="0" applyFont="1" applyBorder="1" applyAlignment="1">
      <alignment horizontal="left" vertical="center" wrapText="1"/>
    </xf>
    <xf numFmtId="0" fontId="82" fillId="0" borderId="45" xfId="0" applyFont="1" applyBorder="1" applyAlignment="1">
      <alignment horizontal="left" vertical="center" wrapText="1"/>
    </xf>
    <xf numFmtId="0" fontId="85" fillId="0" borderId="45" xfId="0" applyFont="1" applyBorder="1" applyAlignment="1">
      <alignment horizontal="left" vertical="center" wrapText="1"/>
    </xf>
    <xf numFmtId="0" fontId="88" fillId="0" borderId="45" xfId="0" applyFont="1" applyBorder="1" applyAlignment="1">
      <alignment horizontal="left" vertical="center" wrapText="1"/>
    </xf>
    <xf numFmtId="0" fontId="91" fillId="0" borderId="45" xfId="0" applyFont="1" applyBorder="1" applyAlignment="1">
      <alignment horizontal="left" vertical="center" wrapText="1"/>
    </xf>
    <xf numFmtId="0" fontId="94" fillId="0" borderId="45" xfId="0" applyFont="1" applyBorder="1" applyAlignment="1">
      <alignment horizontal="left" vertical="center" wrapText="1"/>
    </xf>
    <xf numFmtId="0" fontId="97" fillId="0" borderId="45" xfId="0" applyFont="1" applyBorder="1" applyAlignment="1">
      <alignment horizontal="left" vertical="center" wrapText="1"/>
    </xf>
    <xf numFmtId="0" fontId="100" fillId="0" borderId="45" xfId="0" applyFont="1" applyBorder="1" applyAlignment="1">
      <alignment horizontal="left" vertical="center" wrapText="1"/>
    </xf>
    <xf numFmtId="0" fontId="103" fillId="0" borderId="45" xfId="0" applyFont="1" applyBorder="1" applyAlignment="1">
      <alignment horizontal="left" vertical="center" wrapText="1"/>
    </xf>
    <xf numFmtId="0" fontId="106" fillId="0" borderId="45" xfId="0" applyFont="1" applyBorder="1" applyAlignment="1">
      <alignment horizontal="left" vertical="center" wrapText="1"/>
    </xf>
    <xf numFmtId="0" fontId="109" fillId="0" borderId="45" xfId="0" applyFont="1" applyBorder="1" applyAlignment="1">
      <alignment horizontal="left" vertical="center" wrapText="1"/>
    </xf>
    <xf numFmtId="0" fontId="112" fillId="0" borderId="45" xfId="0" applyFont="1" applyBorder="1" applyAlignment="1">
      <alignment horizontal="left" vertical="center" wrapText="1"/>
    </xf>
    <xf numFmtId="0" fontId="115" fillId="0" borderId="45" xfId="0" applyFont="1" applyBorder="1" applyAlignment="1">
      <alignment horizontal="left" vertical="center" wrapText="1"/>
    </xf>
    <xf numFmtId="0" fontId="118" fillId="0" borderId="45" xfId="0" applyFont="1" applyBorder="1" applyAlignment="1">
      <alignment horizontal="left" vertical="center" wrapText="1"/>
    </xf>
    <xf numFmtId="0" fontId="121" fillId="0" borderId="45" xfId="0" applyFont="1" applyBorder="1" applyAlignment="1">
      <alignment horizontal="left" vertical="center" wrapText="1"/>
    </xf>
    <xf numFmtId="0" fontId="124" fillId="0" borderId="45" xfId="0" applyFont="1" applyBorder="1" applyAlignment="1">
      <alignment horizontal="left" vertical="center" wrapText="1"/>
    </xf>
    <xf numFmtId="0" fontId="127" fillId="0" borderId="45" xfId="0" applyFont="1" applyBorder="1" applyAlignment="1">
      <alignment horizontal="left" vertical="center" wrapText="1"/>
    </xf>
    <xf numFmtId="0" fontId="130" fillId="0" borderId="45" xfId="0" applyFont="1" applyBorder="1" applyAlignment="1">
      <alignment horizontal="left" vertical="center" wrapText="1"/>
    </xf>
    <xf numFmtId="0" fontId="133" fillId="0" borderId="45" xfId="0" applyFont="1" applyBorder="1" applyAlignment="1">
      <alignment horizontal="left" vertical="center" wrapText="1"/>
    </xf>
    <xf numFmtId="0" fontId="136" fillId="0" borderId="45" xfId="0" applyFont="1" applyBorder="1" applyAlignment="1">
      <alignment horizontal="left" vertical="center" wrapText="1"/>
    </xf>
    <xf numFmtId="0" fontId="139" fillId="0" borderId="45" xfId="0" applyFont="1" applyBorder="1" applyAlignment="1">
      <alignment horizontal="left" vertical="center" wrapText="1"/>
    </xf>
    <xf numFmtId="0" fontId="142" fillId="0" borderId="45" xfId="0" applyFont="1" applyBorder="1" applyAlignment="1">
      <alignment horizontal="left" vertical="center" wrapText="1"/>
    </xf>
    <xf numFmtId="0" fontId="145" fillId="0" borderId="45" xfId="0" applyFont="1" applyBorder="1" applyAlignment="1">
      <alignment horizontal="left" vertical="center" wrapText="1"/>
    </xf>
    <xf numFmtId="0" fontId="148" fillId="0" borderId="45" xfId="0" applyFont="1" applyBorder="1" applyAlignment="1">
      <alignment horizontal="left" vertical="center" wrapText="1"/>
    </xf>
    <xf numFmtId="0" fontId="151" fillId="0" borderId="45" xfId="0" applyFont="1" applyBorder="1" applyAlignment="1">
      <alignment horizontal="left" vertical="center" wrapText="1"/>
    </xf>
    <xf numFmtId="0" fontId="154" fillId="0" borderId="45" xfId="0" applyFont="1" applyBorder="1" applyAlignment="1">
      <alignment horizontal="left" vertical="center" wrapText="1"/>
    </xf>
    <xf numFmtId="0" fontId="157" fillId="0" borderId="45" xfId="0" applyFont="1" applyBorder="1" applyAlignment="1">
      <alignment horizontal="left" vertical="center" wrapText="1"/>
    </xf>
    <xf numFmtId="0" fontId="160" fillId="0" borderId="45" xfId="0" applyFont="1" applyBorder="1" applyAlignment="1">
      <alignment horizontal="left" vertical="center" wrapText="1"/>
    </xf>
    <xf numFmtId="0" fontId="163" fillId="0" borderId="45" xfId="0" applyFont="1" applyBorder="1" applyAlignment="1">
      <alignment horizontal="left" vertical="center" wrapText="1"/>
    </xf>
    <xf numFmtId="0" fontId="166" fillId="0" borderId="45" xfId="0" applyFont="1" applyBorder="1" applyAlignment="1">
      <alignment horizontal="left" vertical="center" wrapText="1"/>
    </xf>
    <xf numFmtId="0" fontId="169" fillId="0" borderId="45" xfId="0" applyFont="1" applyBorder="1" applyAlignment="1">
      <alignment horizontal="left" vertical="center" wrapText="1"/>
    </xf>
    <xf numFmtId="0" fontId="172" fillId="0" borderId="45" xfId="0" applyFont="1" applyBorder="1" applyAlignment="1">
      <alignment horizontal="left" vertical="center" wrapText="1"/>
    </xf>
    <xf numFmtId="0" fontId="175" fillId="0" borderId="45" xfId="0" applyFont="1" applyBorder="1" applyAlignment="1">
      <alignment horizontal="left" vertical="center" wrapText="1"/>
    </xf>
    <xf numFmtId="0" fontId="178" fillId="0" borderId="45" xfId="0" applyFont="1" applyBorder="1" applyAlignment="1">
      <alignment horizontal="left" vertical="center" wrapText="1"/>
    </xf>
    <xf numFmtId="0" fontId="181" fillId="0" borderId="45" xfId="0" applyFont="1" applyBorder="1" applyAlignment="1">
      <alignment horizontal="left" vertical="center" wrapText="1"/>
    </xf>
    <xf numFmtId="0" fontId="184" fillId="0" borderId="45" xfId="0" applyFont="1" applyBorder="1" applyAlignment="1">
      <alignment horizontal="left" vertical="center" wrapText="1"/>
    </xf>
    <xf numFmtId="0" fontId="187" fillId="0" borderId="45" xfId="0" applyFont="1" applyBorder="1" applyAlignment="1">
      <alignment horizontal="left" vertical="center" wrapText="1"/>
    </xf>
    <xf numFmtId="0" fontId="190" fillId="0" borderId="45" xfId="0" applyFont="1" applyBorder="1" applyAlignment="1">
      <alignment horizontal="left" vertical="center" wrapText="1"/>
    </xf>
    <xf numFmtId="0" fontId="193" fillId="0" borderId="45" xfId="0" applyFont="1" applyBorder="1" applyAlignment="1">
      <alignment horizontal="left" vertical="center" wrapText="1"/>
    </xf>
    <xf numFmtId="0" fontId="196" fillId="0" borderId="45" xfId="0" applyFont="1" applyBorder="1" applyAlignment="1">
      <alignment horizontal="left" vertical="center" wrapText="1"/>
    </xf>
    <xf numFmtId="0" fontId="199" fillId="0" borderId="45" xfId="0" applyFont="1" applyBorder="1" applyAlignment="1">
      <alignment horizontal="left" vertical="center" wrapText="1"/>
    </xf>
    <xf numFmtId="0" fontId="202" fillId="0" borderId="45" xfId="0" applyFont="1" applyBorder="1" applyAlignment="1">
      <alignment horizontal="left" vertical="center" wrapText="1"/>
    </xf>
    <xf numFmtId="0" fontId="205" fillId="0" borderId="45" xfId="0" applyFont="1" applyBorder="1" applyAlignment="1">
      <alignment horizontal="left" vertical="center" wrapText="1"/>
    </xf>
    <xf numFmtId="0" fontId="208" fillId="0" borderId="45" xfId="0" applyFont="1" applyBorder="1" applyAlignment="1">
      <alignment horizontal="left" vertical="center" wrapText="1"/>
    </xf>
    <xf numFmtId="0" fontId="211" fillId="0" borderId="45" xfId="0" applyFont="1" applyBorder="1" applyAlignment="1">
      <alignment horizontal="left" vertical="center" wrapText="1"/>
    </xf>
    <xf numFmtId="0" fontId="214" fillId="0" borderId="45" xfId="0" applyFont="1" applyBorder="1" applyAlignment="1">
      <alignment horizontal="left" vertical="center" wrapText="1"/>
    </xf>
    <xf numFmtId="0" fontId="217" fillId="0" borderId="45" xfId="0" applyFont="1" applyBorder="1" applyAlignment="1">
      <alignment horizontal="left" vertical="center" wrapText="1"/>
    </xf>
    <xf numFmtId="0" fontId="220" fillId="0" borderId="45" xfId="0" applyFont="1" applyBorder="1" applyAlignment="1">
      <alignment horizontal="left" vertical="center" wrapText="1"/>
    </xf>
    <xf numFmtId="0" fontId="223" fillId="0" borderId="45" xfId="0" applyFont="1" applyBorder="1" applyAlignment="1">
      <alignment horizontal="left" vertical="center" wrapText="1"/>
    </xf>
    <xf numFmtId="0" fontId="226" fillId="0" borderId="45" xfId="0" applyFont="1" applyBorder="1" applyAlignment="1">
      <alignment horizontal="left" vertical="center" wrapText="1"/>
    </xf>
    <xf numFmtId="0" fontId="229" fillId="0" borderId="45" xfId="0" applyFont="1" applyBorder="1" applyAlignment="1">
      <alignment horizontal="left" vertical="center" wrapText="1"/>
    </xf>
    <xf numFmtId="0" fontId="232" fillId="0" borderId="45" xfId="0" applyFont="1" applyBorder="1" applyAlignment="1">
      <alignment horizontal="left" vertical="center" wrapText="1"/>
    </xf>
    <xf numFmtId="0" fontId="235" fillId="0" borderId="45" xfId="0" applyFont="1" applyBorder="1" applyAlignment="1">
      <alignment horizontal="left" vertical="center" wrapText="1"/>
    </xf>
    <xf numFmtId="0" fontId="238" fillId="0" borderId="45" xfId="0" applyFont="1" applyBorder="1" applyAlignment="1">
      <alignment horizontal="left" vertical="center" wrapText="1"/>
    </xf>
    <xf numFmtId="0" fontId="241" fillId="0" borderId="45" xfId="0" applyFont="1" applyBorder="1" applyAlignment="1">
      <alignment horizontal="left" vertical="center" wrapText="1"/>
    </xf>
    <xf numFmtId="0" fontId="244" fillId="0" borderId="45" xfId="0" applyFont="1" applyBorder="1" applyAlignment="1">
      <alignment horizontal="left" vertical="center" wrapText="1"/>
    </xf>
    <xf numFmtId="0" fontId="247" fillId="0" borderId="45" xfId="0" applyFont="1" applyBorder="1" applyAlignment="1">
      <alignment horizontal="left" vertical="center" wrapText="1"/>
    </xf>
    <xf numFmtId="0" fontId="250" fillId="0" borderId="45" xfId="0" applyFont="1" applyBorder="1" applyAlignment="1">
      <alignment horizontal="left" vertical="center" wrapText="1"/>
    </xf>
    <xf numFmtId="0" fontId="253" fillId="0" borderId="45" xfId="0" applyFont="1" applyBorder="1" applyAlignment="1">
      <alignment horizontal="left" vertical="center" wrapText="1"/>
    </xf>
    <xf numFmtId="0" fontId="256" fillId="0" borderId="45" xfId="0" applyFont="1" applyBorder="1" applyAlignment="1">
      <alignment horizontal="left" vertical="center" wrapText="1"/>
    </xf>
    <xf numFmtId="0" fontId="259" fillId="0" borderId="45" xfId="0" applyFont="1" applyBorder="1" applyAlignment="1">
      <alignment horizontal="left" vertical="center" wrapText="1"/>
    </xf>
    <xf numFmtId="0" fontId="262" fillId="0" borderId="45" xfId="0" applyFont="1" applyBorder="1" applyAlignment="1">
      <alignment horizontal="left" vertical="center" wrapText="1"/>
    </xf>
    <xf numFmtId="0" fontId="265" fillId="0" borderId="45" xfId="0" applyFont="1" applyBorder="1" applyAlignment="1">
      <alignment horizontal="left" vertical="center" wrapText="1"/>
    </xf>
    <xf numFmtId="0" fontId="268" fillId="0" borderId="45" xfId="0" applyFont="1" applyBorder="1" applyAlignment="1">
      <alignment horizontal="left" vertical="center" wrapText="1"/>
    </xf>
    <xf numFmtId="0" fontId="271" fillId="0" borderId="45" xfId="0" applyFont="1" applyBorder="1" applyAlignment="1">
      <alignment horizontal="left" vertical="center" wrapText="1"/>
    </xf>
    <xf numFmtId="0" fontId="274" fillId="0" borderId="45" xfId="0" applyFont="1" applyBorder="1" applyAlignment="1">
      <alignment horizontal="left" vertical="center" wrapText="1"/>
    </xf>
    <xf numFmtId="0" fontId="277" fillId="0" borderId="45" xfId="0" applyFont="1" applyBorder="1" applyAlignment="1">
      <alignment horizontal="left" vertical="center" wrapText="1"/>
    </xf>
    <xf numFmtId="0" fontId="280" fillId="0" borderId="45" xfId="0" applyFont="1" applyBorder="1" applyAlignment="1">
      <alignment horizontal="left" vertical="center" wrapText="1"/>
    </xf>
    <xf numFmtId="0" fontId="283" fillId="0" borderId="45" xfId="0" applyFont="1" applyBorder="1" applyAlignment="1">
      <alignment horizontal="left" vertical="center" wrapText="1"/>
    </xf>
    <xf numFmtId="0" fontId="286" fillId="0" borderId="45" xfId="0" applyFont="1" applyBorder="1" applyAlignment="1">
      <alignment horizontal="left" vertical="center" wrapText="1"/>
    </xf>
    <xf numFmtId="0" fontId="289" fillId="0" borderId="45" xfId="0" applyFont="1" applyBorder="1" applyAlignment="1">
      <alignment horizontal="left" vertical="center" wrapText="1"/>
    </xf>
    <xf numFmtId="0" fontId="292" fillId="0" borderId="45" xfId="0" applyFont="1" applyBorder="1" applyAlignment="1">
      <alignment horizontal="left" vertical="center" wrapText="1"/>
    </xf>
    <xf numFmtId="0" fontId="295" fillId="0" borderId="45" xfId="0" applyFont="1" applyBorder="1" applyAlignment="1">
      <alignment horizontal="left" vertical="center" wrapText="1"/>
    </xf>
    <xf numFmtId="0" fontId="298" fillId="0" borderId="45" xfId="0" applyFont="1" applyBorder="1" applyAlignment="1">
      <alignment horizontal="left" vertical="center" wrapText="1"/>
    </xf>
    <xf numFmtId="0" fontId="301" fillId="0" borderId="45" xfId="0" applyFont="1" applyBorder="1" applyAlignment="1">
      <alignment horizontal="left" vertical="center" wrapText="1"/>
    </xf>
    <xf numFmtId="0" fontId="304" fillId="0" borderId="45" xfId="0" applyFont="1" applyBorder="1" applyAlignment="1">
      <alignment horizontal="left" vertical="center" wrapText="1"/>
    </xf>
    <xf numFmtId="0" fontId="307" fillId="0" borderId="45" xfId="0" applyFont="1" applyBorder="1" applyAlignment="1">
      <alignment horizontal="left" vertical="center" wrapText="1"/>
    </xf>
    <xf numFmtId="0" fontId="310" fillId="0" borderId="45" xfId="0" applyFont="1" applyBorder="1" applyAlignment="1">
      <alignment horizontal="left" vertical="center" wrapText="1"/>
    </xf>
    <xf numFmtId="0" fontId="313" fillId="0" borderId="45" xfId="0" applyFont="1" applyBorder="1" applyAlignment="1">
      <alignment horizontal="left" vertical="center" wrapText="1"/>
    </xf>
    <xf numFmtId="0" fontId="316" fillId="0" borderId="45" xfId="0" applyFont="1" applyBorder="1" applyAlignment="1">
      <alignment horizontal="left" vertical="center" wrapText="1"/>
    </xf>
    <xf numFmtId="0" fontId="319" fillId="0" borderId="45" xfId="0" applyFont="1" applyBorder="1" applyAlignment="1">
      <alignment horizontal="left" vertical="center" wrapText="1"/>
    </xf>
    <xf numFmtId="0" fontId="322" fillId="0" borderId="45" xfId="0" applyFont="1" applyBorder="1" applyAlignment="1">
      <alignment horizontal="left" vertical="center" wrapText="1"/>
    </xf>
    <xf numFmtId="0" fontId="325" fillId="0" borderId="45" xfId="0" applyFont="1" applyBorder="1" applyAlignment="1">
      <alignment horizontal="left" vertical="center" wrapText="1"/>
    </xf>
    <xf numFmtId="0" fontId="328" fillId="0" borderId="45" xfId="0" applyFont="1" applyBorder="1" applyAlignment="1">
      <alignment horizontal="left" vertical="center" wrapText="1"/>
    </xf>
    <xf numFmtId="0" fontId="331" fillId="0" borderId="45" xfId="0" applyFont="1" applyBorder="1" applyAlignment="1">
      <alignment horizontal="left" vertical="center" wrapText="1"/>
    </xf>
    <xf numFmtId="0" fontId="334" fillId="0" borderId="45" xfId="0" applyFont="1" applyBorder="1" applyAlignment="1">
      <alignment horizontal="left" vertical="center" wrapText="1"/>
    </xf>
    <xf numFmtId="0" fontId="337" fillId="0" borderId="45" xfId="0" applyFont="1" applyBorder="1" applyAlignment="1">
      <alignment horizontal="left" vertical="center" wrapText="1"/>
    </xf>
    <xf numFmtId="0" fontId="340" fillId="0" borderId="45" xfId="0" applyFont="1" applyBorder="1" applyAlignment="1">
      <alignment horizontal="left" vertical="center" wrapText="1"/>
    </xf>
    <xf numFmtId="0" fontId="343" fillId="0" borderId="45" xfId="0" applyFont="1" applyBorder="1" applyAlignment="1">
      <alignment horizontal="left" vertical="center" wrapText="1"/>
    </xf>
    <xf numFmtId="0" fontId="346" fillId="0" borderId="45" xfId="0" applyFont="1" applyBorder="1" applyAlignment="1">
      <alignment horizontal="left" vertical="center" wrapText="1"/>
    </xf>
    <xf numFmtId="0" fontId="349" fillId="0" borderId="45" xfId="0" applyFont="1" applyBorder="1" applyAlignment="1">
      <alignment horizontal="left" vertical="center" wrapText="1"/>
    </xf>
    <xf numFmtId="0" fontId="352" fillId="0" borderId="45" xfId="0" applyFont="1" applyBorder="1" applyAlignment="1">
      <alignment horizontal="left" vertical="center" wrapText="1"/>
    </xf>
    <xf numFmtId="0" fontId="355" fillId="0" borderId="45" xfId="0" applyFont="1" applyBorder="1" applyAlignment="1">
      <alignment horizontal="left" vertical="center" wrapText="1"/>
    </xf>
    <xf numFmtId="0" fontId="358" fillId="0" borderId="45" xfId="0" applyFont="1" applyBorder="1" applyAlignment="1">
      <alignment horizontal="left" vertical="center" wrapText="1"/>
    </xf>
    <xf numFmtId="0" fontId="361" fillId="0" borderId="45" xfId="0" applyFont="1" applyBorder="1" applyAlignment="1">
      <alignment horizontal="left" vertical="center" wrapText="1"/>
    </xf>
    <xf numFmtId="0" fontId="364" fillId="0" borderId="45" xfId="0" applyFont="1" applyBorder="1" applyAlignment="1">
      <alignment horizontal="left" vertical="center" wrapText="1"/>
    </xf>
    <xf numFmtId="0" fontId="367" fillId="0" borderId="45" xfId="0" applyFont="1" applyBorder="1" applyAlignment="1">
      <alignment horizontal="left" vertical="center" wrapText="1"/>
    </xf>
    <xf numFmtId="0" fontId="370" fillId="0" borderId="45" xfId="0" applyFont="1" applyBorder="1" applyAlignment="1">
      <alignment horizontal="left" vertical="center" wrapText="1"/>
    </xf>
    <xf numFmtId="0" fontId="373" fillId="0" borderId="45" xfId="0" applyFont="1" applyBorder="1" applyAlignment="1">
      <alignment horizontal="left" vertical="center" wrapText="1"/>
    </xf>
    <xf numFmtId="0" fontId="376" fillId="0" borderId="45" xfId="0" applyFont="1" applyBorder="1" applyAlignment="1">
      <alignment horizontal="left" vertical="center" wrapText="1"/>
    </xf>
    <xf numFmtId="0" fontId="379" fillId="0" borderId="45" xfId="0" applyFont="1" applyBorder="1" applyAlignment="1">
      <alignment horizontal="left" vertical="center" wrapText="1"/>
    </xf>
    <xf numFmtId="0" fontId="382" fillId="0" borderId="45" xfId="0" applyFont="1" applyBorder="1" applyAlignment="1">
      <alignment horizontal="left" vertical="center" wrapText="1"/>
    </xf>
    <xf numFmtId="0" fontId="385" fillId="0" borderId="45" xfId="0" applyFont="1" applyBorder="1" applyAlignment="1">
      <alignment horizontal="left" vertical="center" wrapText="1"/>
    </xf>
    <xf numFmtId="0" fontId="388" fillId="0" borderId="45" xfId="0" applyFont="1" applyBorder="1" applyAlignment="1">
      <alignment horizontal="left" vertical="center" wrapText="1"/>
    </xf>
    <xf numFmtId="0" fontId="391" fillId="0" borderId="45" xfId="0" applyFont="1" applyBorder="1" applyAlignment="1">
      <alignment horizontal="left" vertical="center" wrapText="1"/>
    </xf>
    <xf numFmtId="0" fontId="394" fillId="0" borderId="45" xfId="0" applyFont="1" applyBorder="1" applyAlignment="1">
      <alignment horizontal="left" vertical="center" wrapText="1"/>
    </xf>
    <xf numFmtId="0" fontId="397" fillId="0" borderId="45" xfId="0" applyFont="1" applyBorder="1" applyAlignment="1">
      <alignment horizontal="left" vertical="center" wrapText="1"/>
    </xf>
    <xf numFmtId="0" fontId="400" fillId="0" borderId="45" xfId="0" applyFont="1" applyBorder="1" applyAlignment="1">
      <alignment horizontal="left" vertical="center" wrapText="1"/>
    </xf>
    <xf numFmtId="0" fontId="403" fillId="0" borderId="45" xfId="0" applyFont="1" applyBorder="1" applyAlignment="1">
      <alignment horizontal="left" vertical="center" wrapText="1"/>
    </xf>
    <xf numFmtId="0" fontId="406" fillId="0" borderId="45" xfId="0" applyFont="1" applyBorder="1" applyAlignment="1">
      <alignment horizontal="left" vertical="center" wrapText="1"/>
    </xf>
    <xf numFmtId="0" fontId="409" fillId="0" borderId="45" xfId="0" applyFont="1" applyBorder="1" applyAlignment="1">
      <alignment horizontal="left" vertical="center" wrapText="1"/>
    </xf>
    <xf numFmtId="0" fontId="412" fillId="0" borderId="45" xfId="0" applyFont="1" applyBorder="1" applyAlignment="1">
      <alignment horizontal="left" vertical="center" wrapText="1"/>
    </xf>
    <xf numFmtId="0" fontId="415" fillId="0" borderId="45" xfId="0" applyFont="1" applyBorder="1" applyAlignment="1">
      <alignment horizontal="left" vertical="center" wrapText="1"/>
    </xf>
    <xf numFmtId="0" fontId="418" fillId="0" borderId="45" xfId="0" applyFont="1" applyBorder="1" applyAlignment="1">
      <alignment horizontal="left" vertical="center" wrapText="1"/>
    </xf>
    <xf numFmtId="0" fontId="421" fillId="0" borderId="45" xfId="0" applyFont="1" applyBorder="1" applyAlignment="1">
      <alignment horizontal="left" vertical="center" wrapText="1"/>
    </xf>
    <xf numFmtId="0" fontId="424" fillId="0" borderId="45" xfId="0" applyFont="1" applyBorder="1" applyAlignment="1">
      <alignment horizontal="left" vertical="center" wrapText="1"/>
    </xf>
    <xf numFmtId="0" fontId="427" fillId="0" borderId="45" xfId="0" applyFont="1" applyBorder="1" applyAlignment="1">
      <alignment horizontal="left" vertical="center" wrapText="1"/>
    </xf>
    <xf numFmtId="0" fontId="430" fillId="0" borderId="45" xfId="0" applyFont="1" applyBorder="1" applyAlignment="1">
      <alignment horizontal="left" vertical="center" wrapText="1"/>
    </xf>
    <xf numFmtId="0" fontId="433" fillId="0" borderId="45" xfId="0" applyFont="1" applyBorder="1" applyAlignment="1">
      <alignment horizontal="left" vertical="center" wrapText="1"/>
    </xf>
    <xf numFmtId="0" fontId="436" fillId="0" borderId="45" xfId="0" applyFont="1" applyBorder="1" applyAlignment="1">
      <alignment horizontal="left" vertical="center" wrapText="1"/>
    </xf>
    <xf numFmtId="0" fontId="439" fillId="0" borderId="45" xfId="0" applyFont="1" applyBorder="1" applyAlignment="1">
      <alignment horizontal="left" vertical="center" wrapText="1"/>
    </xf>
    <xf numFmtId="0" fontId="442" fillId="0" borderId="45" xfId="0" applyFont="1" applyBorder="1" applyAlignment="1">
      <alignment horizontal="left" vertical="center" wrapText="1"/>
    </xf>
    <xf numFmtId="0" fontId="445" fillId="0" borderId="45" xfId="0" applyFont="1" applyBorder="1" applyAlignment="1">
      <alignment horizontal="left" vertical="center" wrapText="1"/>
    </xf>
    <xf numFmtId="0" fontId="448" fillId="0" borderId="45" xfId="0" applyFont="1" applyBorder="1" applyAlignment="1">
      <alignment horizontal="left" vertical="center" wrapText="1"/>
    </xf>
    <xf numFmtId="0" fontId="451" fillId="0" borderId="45" xfId="0" applyFont="1" applyBorder="1" applyAlignment="1">
      <alignment horizontal="left" vertical="center" wrapText="1"/>
    </xf>
    <xf numFmtId="0" fontId="454" fillId="0" borderId="45" xfId="0" applyFont="1" applyBorder="1" applyAlignment="1">
      <alignment horizontal="left" vertical="center" wrapText="1"/>
    </xf>
    <xf numFmtId="0" fontId="457" fillId="0" borderId="45" xfId="0" applyFont="1" applyBorder="1" applyAlignment="1">
      <alignment horizontal="left" vertical="center" wrapText="1"/>
    </xf>
    <xf numFmtId="0" fontId="460" fillId="0" borderId="45" xfId="0" applyFont="1" applyBorder="1" applyAlignment="1">
      <alignment horizontal="left" vertical="center" wrapText="1"/>
    </xf>
    <xf numFmtId="0" fontId="463" fillId="0" borderId="45" xfId="0" applyFont="1" applyBorder="1" applyAlignment="1">
      <alignment horizontal="left" vertical="center" wrapText="1"/>
    </xf>
    <xf numFmtId="0" fontId="466" fillId="0" borderId="45" xfId="0" applyFont="1" applyBorder="1" applyAlignment="1">
      <alignment horizontal="left" vertical="center" wrapText="1"/>
    </xf>
    <xf numFmtId="0" fontId="469" fillId="0" borderId="45" xfId="0" applyFont="1" applyBorder="1" applyAlignment="1">
      <alignment horizontal="left" vertical="center" wrapText="1"/>
    </xf>
    <xf numFmtId="0" fontId="472" fillId="0" borderId="45" xfId="0" applyFont="1" applyBorder="1" applyAlignment="1">
      <alignment horizontal="left" vertical="center" wrapText="1"/>
    </xf>
    <xf numFmtId="0" fontId="475" fillId="0" borderId="45" xfId="0" applyFont="1" applyBorder="1" applyAlignment="1">
      <alignment horizontal="left" vertical="center" wrapText="1"/>
    </xf>
    <xf numFmtId="0" fontId="478" fillId="0" borderId="45" xfId="0" applyFont="1" applyBorder="1" applyAlignment="1">
      <alignment horizontal="left" vertical="center" wrapText="1"/>
    </xf>
    <xf numFmtId="0" fontId="481" fillId="0" borderId="45" xfId="0" applyFont="1" applyBorder="1" applyAlignment="1">
      <alignment horizontal="left" vertical="center" wrapText="1"/>
    </xf>
    <xf numFmtId="0" fontId="484" fillId="0" borderId="45" xfId="0" applyFont="1" applyBorder="1" applyAlignment="1">
      <alignment horizontal="left" vertical="center" wrapText="1"/>
    </xf>
    <xf numFmtId="0" fontId="487" fillId="0" borderId="45" xfId="0" applyFont="1" applyBorder="1" applyAlignment="1">
      <alignment horizontal="left" vertical="center" wrapText="1"/>
    </xf>
    <xf numFmtId="0" fontId="490" fillId="0" borderId="45" xfId="0" applyFont="1" applyBorder="1" applyAlignment="1">
      <alignment horizontal="left" vertical="center" wrapText="1"/>
    </xf>
    <xf numFmtId="0" fontId="493" fillId="0" borderId="45" xfId="0" applyFont="1" applyBorder="1" applyAlignment="1">
      <alignment horizontal="left" vertical="center" wrapText="1"/>
    </xf>
    <xf numFmtId="0" fontId="496" fillId="0" borderId="45" xfId="0" applyFont="1" applyBorder="1" applyAlignment="1">
      <alignment horizontal="left" vertical="center" wrapText="1"/>
    </xf>
    <xf numFmtId="0" fontId="499" fillId="0" borderId="45" xfId="0" applyFont="1" applyBorder="1" applyAlignment="1">
      <alignment horizontal="left" vertical="center" wrapText="1"/>
    </xf>
    <xf numFmtId="0" fontId="502" fillId="0" borderId="45" xfId="0" applyFont="1" applyBorder="1" applyAlignment="1">
      <alignment horizontal="left" vertical="center" wrapText="1"/>
    </xf>
    <xf numFmtId="0" fontId="505" fillId="0" borderId="45" xfId="0" applyFont="1" applyBorder="1" applyAlignment="1">
      <alignment horizontal="left" vertical="center" wrapText="1"/>
    </xf>
    <xf numFmtId="0" fontId="508" fillId="0" borderId="45" xfId="0" applyFont="1" applyBorder="1" applyAlignment="1">
      <alignment horizontal="left" vertical="center" wrapText="1"/>
    </xf>
    <xf numFmtId="0" fontId="511" fillId="0" borderId="45" xfId="0" applyFont="1" applyBorder="1" applyAlignment="1">
      <alignment horizontal="left" vertical="center" wrapText="1"/>
    </xf>
    <xf numFmtId="0" fontId="514" fillId="0" borderId="45" xfId="0" applyFont="1" applyBorder="1" applyAlignment="1">
      <alignment horizontal="left" vertical="center" wrapText="1"/>
    </xf>
    <xf numFmtId="0" fontId="517" fillId="0" borderId="45" xfId="0" applyFont="1" applyBorder="1" applyAlignment="1">
      <alignment horizontal="left" vertical="center" wrapText="1"/>
    </xf>
    <xf numFmtId="0" fontId="520" fillId="0" borderId="45" xfId="0" applyFont="1" applyBorder="1" applyAlignment="1">
      <alignment horizontal="left" vertical="center" wrapText="1"/>
    </xf>
    <xf numFmtId="0" fontId="523" fillId="0" borderId="45" xfId="0" applyFont="1" applyBorder="1" applyAlignment="1">
      <alignment horizontal="left" vertical="center" wrapText="1"/>
    </xf>
    <xf numFmtId="0" fontId="526" fillId="0" borderId="45" xfId="0" applyFont="1" applyBorder="1" applyAlignment="1">
      <alignment horizontal="left" vertical="center" wrapText="1"/>
    </xf>
    <xf numFmtId="0" fontId="529" fillId="0" borderId="45" xfId="0" applyFont="1" applyBorder="1" applyAlignment="1">
      <alignment horizontal="left" vertical="center" wrapText="1"/>
    </xf>
    <xf numFmtId="0" fontId="532" fillId="0" borderId="45" xfId="0" applyFont="1" applyBorder="1" applyAlignment="1">
      <alignment horizontal="left" vertical="center" wrapText="1"/>
    </xf>
    <xf numFmtId="0" fontId="535" fillId="0" borderId="45" xfId="0" applyFont="1" applyBorder="1" applyAlignment="1">
      <alignment horizontal="left" vertical="center" wrapText="1"/>
    </xf>
    <xf numFmtId="0" fontId="538" fillId="0" borderId="45" xfId="0" applyFont="1" applyBorder="1" applyAlignment="1">
      <alignment horizontal="left" vertical="center" wrapText="1"/>
    </xf>
    <xf numFmtId="0" fontId="541" fillId="0" borderId="45" xfId="0" applyFont="1" applyBorder="1" applyAlignment="1">
      <alignment horizontal="left" vertical="center" wrapText="1"/>
    </xf>
    <xf numFmtId="0" fontId="544" fillId="0" borderId="45" xfId="0" applyFont="1" applyBorder="1" applyAlignment="1">
      <alignment horizontal="left" vertical="center" wrapText="1"/>
    </xf>
    <xf numFmtId="0" fontId="547" fillId="0" borderId="45" xfId="0" applyFont="1" applyBorder="1" applyAlignment="1">
      <alignment horizontal="left" vertical="center" wrapText="1"/>
    </xf>
    <xf numFmtId="0" fontId="550" fillId="0" borderId="45" xfId="0" applyFont="1" applyBorder="1" applyAlignment="1">
      <alignment horizontal="left" vertical="center" wrapText="1"/>
    </xf>
    <xf numFmtId="0" fontId="553" fillId="0" borderId="45" xfId="0" applyFont="1" applyBorder="1" applyAlignment="1">
      <alignment horizontal="left" vertical="center" wrapText="1"/>
    </xf>
    <xf numFmtId="0" fontId="556" fillId="0" borderId="45" xfId="0" applyFont="1" applyBorder="1" applyAlignment="1">
      <alignment horizontal="left" vertical="center" wrapText="1"/>
    </xf>
    <xf numFmtId="0" fontId="559" fillId="0" borderId="45" xfId="0" applyFont="1" applyBorder="1" applyAlignment="1">
      <alignment horizontal="left" vertical="center" wrapText="1"/>
    </xf>
    <xf numFmtId="0" fontId="562" fillId="0" borderId="45" xfId="0" applyFont="1" applyBorder="1" applyAlignment="1">
      <alignment horizontal="left" vertical="center" wrapText="1"/>
    </xf>
    <xf numFmtId="0" fontId="565" fillId="0" borderId="45" xfId="0" applyFont="1" applyBorder="1" applyAlignment="1">
      <alignment horizontal="left" vertical="center" wrapText="1"/>
    </xf>
    <xf numFmtId="0" fontId="568" fillId="0" borderId="45" xfId="0" applyFont="1" applyBorder="1" applyAlignment="1">
      <alignment horizontal="left" vertical="center" wrapText="1"/>
    </xf>
    <xf numFmtId="0" fontId="571" fillId="0" borderId="45" xfId="0" applyFont="1" applyBorder="1" applyAlignment="1">
      <alignment horizontal="left" vertical="center" wrapText="1"/>
    </xf>
    <xf numFmtId="0" fontId="574" fillId="0" borderId="45" xfId="0" applyFont="1" applyBorder="1" applyAlignment="1">
      <alignment horizontal="left" vertical="center" wrapText="1"/>
    </xf>
    <xf numFmtId="0" fontId="577" fillId="0" borderId="45" xfId="0" applyFont="1" applyBorder="1" applyAlignment="1">
      <alignment horizontal="left" vertical="center" wrapText="1"/>
    </xf>
    <xf numFmtId="0" fontId="580" fillId="0" borderId="45" xfId="0" applyFont="1" applyBorder="1" applyAlignment="1">
      <alignment horizontal="left" vertical="center" wrapText="1"/>
    </xf>
    <xf numFmtId="0" fontId="583" fillId="0" borderId="45" xfId="0" applyFont="1" applyBorder="1" applyAlignment="1">
      <alignment horizontal="left" vertical="center" wrapText="1"/>
    </xf>
    <xf numFmtId="0" fontId="586" fillId="0" borderId="45" xfId="0" applyFont="1" applyBorder="1" applyAlignment="1">
      <alignment horizontal="left" vertical="center" wrapText="1"/>
    </xf>
    <xf numFmtId="0" fontId="589" fillId="0" borderId="45" xfId="0" applyFont="1" applyBorder="1" applyAlignment="1">
      <alignment horizontal="left" vertical="center" wrapText="1"/>
    </xf>
    <xf numFmtId="0" fontId="592" fillId="0" borderId="45" xfId="0" applyFont="1" applyBorder="1" applyAlignment="1">
      <alignment horizontal="left" vertical="center" wrapText="1"/>
    </xf>
    <xf numFmtId="0" fontId="595" fillId="0" borderId="45" xfId="0" applyFont="1" applyBorder="1" applyAlignment="1">
      <alignment horizontal="left" vertical="center" wrapText="1"/>
    </xf>
    <xf numFmtId="0" fontId="598" fillId="0" borderId="45" xfId="0" applyFont="1" applyBorder="1" applyAlignment="1">
      <alignment horizontal="left" vertical="center" wrapText="1"/>
    </xf>
    <xf numFmtId="0" fontId="601" fillId="0" borderId="45" xfId="0" applyFont="1" applyBorder="1" applyAlignment="1">
      <alignment horizontal="left" vertical="center" wrapText="1"/>
    </xf>
    <xf numFmtId="0" fontId="604" fillId="0" borderId="45" xfId="0" applyFont="1" applyBorder="1" applyAlignment="1">
      <alignment horizontal="left" vertical="center" wrapText="1"/>
    </xf>
    <xf numFmtId="0" fontId="607" fillId="0" borderId="45" xfId="0" applyFont="1" applyBorder="1" applyAlignment="1">
      <alignment horizontal="left" vertical="center" wrapText="1"/>
    </xf>
    <xf numFmtId="0" fontId="610" fillId="0" borderId="45" xfId="0" applyFont="1" applyBorder="1" applyAlignment="1">
      <alignment horizontal="left" vertical="center" wrapText="1"/>
    </xf>
    <xf numFmtId="0" fontId="613" fillId="0" borderId="45" xfId="0" applyFont="1" applyBorder="1" applyAlignment="1">
      <alignment horizontal="left" vertical="center" wrapText="1"/>
    </xf>
    <xf numFmtId="0" fontId="616" fillId="0" borderId="45" xfId="0" applyFont="1" applyBorder="1" applyAlignment="1">
      <alignment horizontal="left" vertical="center" wrapText="1"/>
    </xf>
    <xf numFmtId="0" fontId="619" fillId="0" borderId="45" xfId="0" applyFont="1" applyBorder="1" applyAlignment="1">
      <alignment horizontal="left" vertical="center" wrapText="1"/>
    </xf>
    <xf numFmtId="0" fontId="622" fillId="0" borderId="45" xfId="0" applyFont="1" applyBorder="1" applyAlignment="1">
      <alignment horizontal="left" vertical="center" wrapText="1"/>
    </xf>
    <xf numFmtId="0" fontId="625" fillId="0" borderId="45" xfId="0" applyFont="1" applyBorder="1" applyAlignment="1">
      <alignment horizontal="left" vertical="center" wrapText="1"/>
    </xf>
    <xf numFmtId="0" fontId="628" fillId="0" borderId="45" xfId="0" applyFont="1" applyBorder="1" applyAlignment="1">
      <alignment horizontal="left" vertical="center" wrapText="1"/>
    </xf>
    <xf numFmtId="0" fontId="631" fillId="0" borderId="45" xfId="0" applyFont="1" applyBorder="1" applyAlignment="1">
      <alignment horizontal="left" vertical="center" wrapText="1"/>
    </xf>
    <xf numFmtId="0" fontId="634" fillId="0" borderId="45" xfId="0" applyFont="1" applyBorder="1" applyAlignment="1">
      <alignment horizontal="left" vertical="center" wrapText="1"/>
    </xf>
    <xf numFmtId="0" fontId="637" fillId="0" borderId="45" xfId="0" applyFont="1" applyBorder="1" applyAlignment="1">
      <alignment horizontal="left" vertical="center" wrapText="1"/>
    </xf>
    <xf numFmtId="0" fontId="640" fillId="0" borderId="45" xfId="0" applyFont="1" applyBorder="1" applyAlignment="1">
      <alignment horizontal="left" vertical="center" wrapText="1"/>
    </xf>
    <xf numFmtId="0" fontId="643" fillId="0" borderId="45" xfId="0" applyFont="1" applyBorder="1" applyAlignment="1">
      <alignment horizontal="left" vertical="center" wrapText="1"/>
    </xf>
    <xf numFmtId="0" fontId="646" fillId="0" borderId="45" xfId="0" applyFont="1" applyBorder="1" applyAlignment="1">
      <alignment horizontal="left" vertical="center" wrapText="1"/>
    </xf>
    <xf numFmtId="0" fontId="649" fillId="0" borderId="45" xfId="0" applyFont="1" applyBorder="1" applyAlignment="1">
      <alignment horizontal="left" vertical="center" wrapText="1"/>
    </xf>
    <xf numFmtId="0" fontId="652" fillId="0" borderId="45" xfId="0" applyFont="1" applyBorder="1" applyAlignment="1">
      <alignment horizontal="left" vertical="center" wrapText="1"/>
    </xf>
    <xf numFmtId="0" fontId="655" fillId="0" borderId="45" xfId="0" applyFont="1" applyBorder="1" applyAlignment="1">
      <alignment horizontal="left" vertical="center" wrapText="1"/>
    </xf>
    <xf numFmtId="0" fontId="658" fillId="0" borderId="45" xfId="0" applyFont="1" applyBorder="1" applyAlignment="1">
      <alignment horizontal="left" vertical="center" wrapText="1"/>
    </xf>
    <xf numFmtId="0" fontId="661" fillId="0" borderId="45" xfId="0" applyFont="1" applyBorder="1" applyAlignment="1">
      <alignment horizontal="left" vertical="center" wrapText="1"/>
    </xf>
    <xf numFmtId="0" fontId="664" fillId="0" borderId="45" xfId="0" applyFont="1" applyBorder="1" applyAlignment="1">
      <alignment horizontal="left" vertical="center" wrapText="1"/>
    </xf>
    <xf numFmtId="0" fontId="667" fillId="0" borderId="45" xfId="0" applyFont="1" applyBorder="1" applyAlignment="1">
      <alignment horizontal="left" vertical="center" wrapText="1"/>
    </xf>
    <xf numFmtId="0" fontId="670" fillId="0" borderId="45" xfId="0" applyFont="1" applyBorder="1" applyAlignment="1">
      <alignment horizontal="left" vertical="center" wrapText="1"/>
    </xf>
    <xf numFmtId="0" fontId="673" fillId="0" borderId="45" xfId="0" applyFont="1" applyBorder="1" applyAlignment="1">
      <alignment horizontal="left" vertical="center" wrapText="1"/>
    </xf>
    <xf numFmtId="0" fontId="676" fillId="0" borderId="45" xfId="0" applyFont="1" applyBorder="1" applyAlignment="1">
      <alignment horizontal="left" vertical="center" wrapText="1"/>
    </xf>
    <xf numFmtId="0" fontId="679" fillId="0" borderId="45" xfId="0" applyFont="1" applyBorder="1" applyAlignment="1">
      <alignment horizontal="left" vertical="center" wrapText="1"/>
    </xf>
    <xf numFmtId="0" fontId="682" fillId="0" borderId="45" xfId="0" applyFont="1" applyBorder="1" applyAlignment="1">
      <alignment horizontal="left" vertical="center" wrapText="1"/>
    </xf>
    <xf numFmtId="0" fontId="685" fillId="0" borderId="45" xfId="0" applyFont="1" applyBorder="1" applyAlignment="1">
      <alignment horizontal="left" vertical="center" wrapText="1"/>
    </xf>
    <xf numFmtId="0" fontId="688" fillId="0" borderId="45" xfId="0" applyFont="1" applyBorder="1" applyAlignment="1">
      <alignment horizontal="left" vertical="center" wrapText="1"/>
    </xf>
    <xf numFmtId="0" fontId="691" fillId="0" borderId="45" xfId="0" applyFont="1" applyBorder="1" applyAlignment="1">
      <alignment horizontal="left" vertical="center" wrapText="1"/>
    </xf>
    <xf numFmtId="0" fontId="694" fillId="0" borderId="45" xfId="0" applyFont="1" applyBorder="1" applyAlignment="1">
      <alignment horizontal="left" vertical="center" wrapText="1"/>
    </xf>
    <xf numFmtId="0" fontId="697" fillId="0" borderId="45" xfId="0" applyFont="1" applyBorder="1" applyAlignment="1">
      <alignment horizontal="left" vertical="center" wrapText="1"/>
    </xf>
    <xf numFmtId="0" fontId="700" fillId="0" borderId="45" xfId="0" applyFont="1" applyBorder="1" applyAlignment="1">
      <alignment horizontal="left" vertical="center" wrapText="1"/>
    </xf>
    <xf numFmtId="0" fontId="703" fillId="0" borderId="45" xfId="0" applyFont="1" applyBorder="1" applyAlignment="1">
      <alignment horizontal="left" vertical="center" wrapText="1"/>
    </xf>
    <xf numFmtId="0" fontId="706" fillId="0" borderId="45" xfId="0" applyFont="1" applyBorder="1" applyAlignment="1">
      <alignment horizontal="left" vertical="center" wrapText="1"/>
    </xf>
    <xf numFmtId="0" fontId="709" fillId="0" borderId="45" xfId="0" applyFont="1" applyBorder="1" applyAlignment="1">
      <alignment horizontal="left" vertical="center" wrapText="1"/>
    </xf>
    <xf numFmtId="0" fontId="712" fillId="0" borderId="45" xfId="0" applyFont="1" applyBorder="1" applyAlignment="1">
      <alignment horizontal="left" vertical="center" wrapText="1"/>
    </xf>
    <xf numFmtId="0" fontId="715" fillId="0" borderId="45" xfId="0" applyFont="1" applyBorder="1" applyAlignment="1">
      <alignment horizontal="left" vertical="center" wrapText="1"/>
    </xf>
    <xf numFmtId="0" fontId="718" fillId="0" borderId="45" xfId="0" applyFont="1" applyBorder="1" applyAlignment="1">
      <alignment horizontal="left" vertical="center" wrapText="1"/>
    </xf>
    <xf numFmtId="0" fontId="721" fillId="0" borderId="45" xfId="0" applyFont="1" applyBorder="1" applyAlignment="1">
      <alignment horizontal="left" vertical="center" wrapText="1"/>
    </xf>
    <xf numFmtId="0" fontId="724" fillId="0" borderId="45" xfId="0" applyFont="1" applyBorder="1" applyAlignment="1">
      <alignment horizontal="left" vertical="center" wrapText="1"/>
    </xf>
    <xf numFmtId="0" fontId="727" fillId="0" borderId="45" xfId="0" applyFont="1" applyBorder="1" applyAlignment="1">
      <alignment horizontal="left" vertical="center" wrapText="1"/>
    </xf>
    <xf numFmtId="0" fontId="730" fillId="0" borderId="45" xfId="0" applyFont="1" applyBorder="1" applyAlignment="1">
      <alignment horizontal="left" vertical="center" wrapText="1"/>
    </xf>
    <xf numFmtId="0" fontId="733" fillId="0" borderId="45" xfId="0" applyFont="1" applyBorder="1" applyAlignment="1">
      <alignment horizontal="left" vertical="center" wrapText="1"/>
    </xf>
    <xf numFmtId="0" fontId="736" fillId="0" borderId="45" xfId="0" applyFont="1" applyBorder="1" applyAlignment="1">
      <alignment horizontal="left" vertical="center" wrapText="1"/>
    </xf>
    <xf numFmtId="0" fontId="739" fillId="0" borderId="45" xfId="0" applyFont="1" applyBorder="1" applyAlignment="1">
      <alignment horizontal="left" vertical="center" wrapText="1"/>
    </xf>
    <xf numFmtId="0" fontId="742" fillId="0" borderId="45" xfId="0" applyFont="1" applyBorder="1" applyAlignment="1">
      <alignment horizontal="left" vertical="center" wrapText="1"/>
    </xf>
    <xf numFmtId="0" fontId="745" fillId="0" borderId="45" xfId="0" applyFont="1" applyBorder="1" applyAlignment="1">
      <alignment horizontal="left" vertical="center" wrapText="1"/>
    </xf>
    <xf numFmtId="0" fontId="748" fillId="0" borderId="45" xfId="0" applyFont="1" applyBorder="1" applyAlignment="1">
      <alignment horizontal="left" vertical="center" wrapText="1"/>
    </xf>
    <xf numFmtId="0" fontId="751" fillId="0" borderId="45" xfId="0" applyFont="1" applyBorder="1" applyAlignment="1">
      <alignment horizontal="left" vertical="center" wrapText="1"/>
    </xf>
    <xf numFmtId="0" fontId="754" fillId="0" borderId="45" xfId="0" applyFont="1" applyBorder="1" applyAlignment="1">
      <alignment horizontal="left" vertical="center" wrapText="1"/>
    </xf>
    <xf numFmtId="0" fontId="757" fillId="0" borderId="45" xfId="0" applyFont="1" applyBorder="1" applyAlignment="1">
      <alignment horizontal="left" vertical="center" wrapText="1"/>
    </xf>
    <xf numFmtId="0" fontId="760" fillId="0" borderId="45" xfId="0" applyFont="1" applyBorder="1" applyAlignment="1">
      <alignment horizontal="left" vertical="center" wrapText="1"/>
    </xf>
    <xf numFmtId="0" fontId="763" fillId="0" borderId="45" xfId="0" applyFont="1" applyBorder="1" applyAlignment="1">
      <alignment horizontal="left" vertical="center" wrapText="1"/>
    </xf>
    <xf numFmtId="0" fontId="766" fillId="0" borderId="45" xfId="0" applyFont="1" applyBorder="1" applyAlignment="1">
      <alignment horizontal="left" vertical="center" wrapText="1"/>
    </xf>
    <xf numFmtId="0" fontId="769" fillId="0" borderId="45" xfId="0" applyFont="1" applyBorder="1" applyAlignment="1">
      <alignment horizontal="left" vertical="center" wrapText="1"/>
    </xf>
    <xf numFmtId="0" fontId="772" fillId="0" borderId="45" xfId="0" applyFont="1" applyBorder="1" applyAlignment="1">
      <alignment horizontal="left" vertical="center" wrapText="1"/>
    </xf>
    <xf numFmtId="0" fontId="775" fillId="0" borderId="45" xfId="0" applyFont="1" applyBorder="1" applyAlignment="1">
      <alignment horizontal="left" vertical="center" wrapText="1"/>
    </xf>
    <xf numFmtId="0" fontId="778" fillId="0" borderId="45" xfId="0" applyFont="1" applyBorder="1" applyAlignment="1">
      <alignment horizontal="left" vertical="center" wrapText="1"/>
    </xf>
    <xf numFmtId="0" fontId="781" fillId="0" borderId="45" xfId="0" applyFont="1" applyBorder="1" applyAlignment="1">
      <alignment horizontal="left" vertical="center" wrapText="1"/>
    </xf>
    <xf numFmtId="0" fontId="784" fillId="0" borderId="45" xfId="0" applyFont="1" applyBorder="1" applyAlignment="1">
      <alignment horizontal="left" vertical="center" wrapText="1"/>
    </xf>
    <xf numFmtId="0" fontId="787" fillId="0" borderId="45" xfId="0" applyFont="1" applyBorder="1" applyAlignment="1">
      <alignment horizontal="left" vertical="center" wrapText="1"/>
    </xf>
    <xf numFmtId="0" fontId="790" fillId="0" borderId="45" xfId="0" applyFont="1" applyBorder="1" applyAlignment="1">
      <alignment horizontal="left" vertical="center" wrapText="1"/>
    </xf>
    <xf numFmtId="0" fontId="793" fillId="0" borderId="45" xfId="0" applyFont="1" applyBorder="1" applyAlignment="1">
      <alignment horizontal="left" vertical="center" wrapText="1"/>
    </xf>
    <xf numFmtId="0" fontId="796" fillId="0" borderId="45" xfId="0" applyFont="1" applyBorder="1" applyAlignment="1">
      <alignment horizontal="left" vertical="center" wrapText="1"/>
    </xf>
    <xf numFmtId="0" fontId="799" fillId="0" borderId="45" xfId="0" applyFont="1" applyBorder="1" applyAlignment="1">
      <alignment horizontal="left" vertical="center" wrapText="1"/>
    </xf>
    <xf numFmtId="0" fontId="802" fillId="0" borderId="45" xfId="0" applyFont="1" applyBorder="1" applyAlignment="1">
      <alignment horizontal="left" vertical="center" wrapText="1"/>
    </xf>
    <xf numFmtId="0" fontId="805" fillId="0" borderId="45" xfId="0" applyFont="1" applyBorder="1" applyAlignment="1">
      <alignment horizontal="left" vertical="center" wrapText="1"/>
    </xf>
    <xf numFmtId="0" fontId="808" fillId="0" borderId="45" xfId="0" applyFont="1" applyBorder="1" applyAlignment="1">
      <alignment horizontal="left" vertical="center" wrapText="1"/>
    </xf>
    <xf numFmtId="0" fontId="811" fillId="0" borderId="45" xfId="0" applyFont="1" applyBorder="1" applyAlignment="1">
      <alignment horizontal="left" vertical="center" wrapText="1"/>
    </xf>
    <xf numFmtId="0" fontId="814" fillId="0" borderId="45" xfId="0" applyFont="1" applyBorder="1" applyAlignment="1">
      <alignment horizontal="left" vertical="center" wrapText="1"/>
    </xf>
    <xf numFmtId="0" fontId="817" fillId="0" borderId="45" xfId="0" applyFont="1" applyBorder="1" applyAlignment="1">
      <alignment horizontal="left" vertical="center" wrapText="1"/>
    </xf>
    <xf numFmtId="0" fontId="820" fillId="0" borderId="45" xfId="0" applyFont="1" applyBorder="1" applyAlignment="1">
      <alignment horizontal="left" vertical="center" wrapText="1"/>
    </xf>
    <xf numFmtId="0" fontId="823" fillId="0" borderId="45" xfId="0" applyFont="1" applyBorder="1" applyAlignment="1">
      <alignment horizontal="left" vertical="center" wrapText="1"/>
    </xf>
    <xf numFmtId="0" fontId="826" fillId="0" borderId="45" xfId="0" applyFont="1" applyBorder="1" applyAlignment="1">
      <alignment horizontal="left" vertical="center" wrapText="1"/>
    </xf>
    <xf numFmtId="0" fontId="829" fillId="0" borderId="45" xfId="0" applyFont="1" applyBorder="1" applyAlignment="1">
      <alignment horizontal="left" vertical="center" wrapText="1"/>
    </xf>
    <xf numFmtId="0" fontId="832" fillId="0" borderId="45" xfId="0" applyFont="1" applyBorder="1" applyAlignment="1">
      <alignment horizontal="left" vertical="center" wrapText="1"/>
    </xf>
    <xf numFmtId="0" fontId="835" fillId="0" borderId="45" xfId="0" applyFont="1" applyBorder="1" applyAlignment="1">
      <alignment horizontal="left" vertical="center" wrapText="1"/>
    </xf>
    <xf numFmtId="0" fontId="838" fillId="0" borderId="45" xfId="0" applyFont="1" applyBorder="1" applyAlignment="1">
      <alignment horizontal="left" vertical="center" wrapText="1"/>
    </xf>
    <xf numFmtId="0" fontId="841" fillId="0" borderId="45" xfId="0" applyFont="1" applyBorder="1" applyAlignment="1">
      <alignment horizontal="left" vertical="center" wrapText="1"/>
    </xf>
    <xf numFmtId="0" fontId="844" fillId="0" borderId="45" xfId="0" applyFont="1" applyBorder="1" applyAlignment="1">
      <alignment horizontal="left" vertical="center" wrapText="1"/>
    </xf>
    <xf numFmtId="0" fontId="847" fillId="0" borderId="45" xfId="0" applyFont="1" applyBorder="1" applyAlignment="1">
      <alignment horizontal="left" vertical="center" wrapText="1"/>
    </xf>
    <xf numFmtId="0" fontId="850" fillId="0" borderId="45" xfId="0" applyFont="1" applyBorder="1" applyAlignment="1">
      <alignment horizontal="left" vertical="center" wrapText="1"/>
    </xf>
    <xf numFmtId="0" fontId="853" fillId="0" borderId="45" xfId="0" applyFont="1" applyBorder="1" applyAlignment="1">
      <alignment horizontal="left" vertical="center" wrapText="1"/>
    </xf>
    <xf numFmtId="0" fontId="856" fillId="0" borderId="45" xfId="0" applyFont="1" applyBorder="1" applyAlignment="1">
      <alignment horizontal="left" vertical="center" wrapText="1"/>
    </xf>
    <xf numFmtId="0" fontId="859" fillId="0" borderId="45" xfId="0" applyFont="1" applyBorder="1" applyAlignment="1">
      <alignment horizontal="left" vertical="center" wrapText="1"/>
    </xf>
    <xf numFmtId="0" fontId="862" fillId="0" borderId="45" xfId="0" applyFont="1" applyBorder="1" applyAlignment="1">
      <alignment horizontal="left" vertical="center" wrapText="1"/>
    </xf>
    <xf numFmtId="0" fontId="865" fillId="0" borderId="45" xfId="0" applyFont="1" applyBorder="1" applyAlignment="1">
      <alignment horizontal="left" vertical="center" wrapText="1"/>
    </xf>
    <xf numFmtId="0" fontId="868" fillId="0" borderId="45" xfId="0" applyFont="1" applyBorder="1" applyAlignment="1">
      <alignment horizontal="left" vertical="center" wrapText="1"/>
    </xf>
    <xf numFmtId="0" fontId="871" fillId="0" borderId="45" xfId="0" applyFont="1" applyBorder="1" applyAlignment="1">
      <alignment horizontal="left" vertical="center" wrapText="1"/>
    </xf>
    <xf numFmtId="0" fontId="874" fillId="0" borderId="45" xfId="0" applyFont="1" applyBorder="1" applyAlignment="1">
      <alignment horizontal="left" vertical="center" wrapText="1"/>
    </xf>
    <xf numFmtId="0" fontId="877" fillId="0" borderId="45" xfId="0" applyFont="1" applyBorder="1" applyAlignment="1">
      <alignment horizontal="left" vertical="center" wrapText="1"/>
    </xf>
    <xf numFmtId="0" fontId="880" fillId="0" borderId="45" xfId="0" applyFont="1" applyBorder="1" applyAlignment="1">
      <alignment horizontal="left" vertical="center" wrapText="1"/>
    </xf>
    <xf numFmtId="0" fontId="883" fillId="0" borderId="45" xfId="0" applyFont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0" fontId="29" fillId="0" borderId="25" xfId="0" applyFont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3"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60"/>
  <sheetViews>
    <sheetView showGridLines="0" tabSelected="1" topLeftCell="A528" zoomScaleNormal="100" zoomScaleSheetLayoutView="100" workbookViewId="0">
      <selection activeCell="AA556" sqref="AA556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9" bestFit="1" customWidth="1"/>
    <col min="31" max="31" width="9.140625" style="9"/>
    <col min="32" max="32" width="8.85546875" style="9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5"/>
      <c r="B1" s="45"/>
      <c r="C1" s="45"/>
      <c r="D1" s="631" t="s">
        <v>26</v>
      </c>
      <c r="E1" s="631"/>
      <c r="F1" s="631"/>
      <c r="G1" s="14" t="s">
        <v>67</v>
      </c>
      <c r="H1" s="631" t="s">
        <v>47</v>
      </c>
      <c r="I1" s="631"/>
      <c r="J1" s="631"/>
      <c r="K1" s="631"/>
      <c r="L1" s="631"/>
      <c r="M1" s="631"/>
      <c r="N1" s="631"/>
      <c r="O1" s="631"/>
      <c r="P1" s="631"/>
      <c r="Q1" s="631"/>
      <c r="R1" s="632" t="s">
        <v>68</v>
      </c>
      <c r="S1" s="633"/>
      <c r="T1" s="633"/>
      <c r="U1" s="15"/>
      <c r="V1" s="15"/>
      <c r="W1" s="15"/>
      <c r="X1" s="15"/>
      <c r="Y1" s="15"/>
      <c r="Z1" s="15"/>
      <c r="AA1" s="15"/>
      <c r="AB1" s="58"/>
      <c r="AC1" s="58"/>
      <c r="AD1" s="58"/>
      <c r="AE1" s="58"/>
      <c r="AF1" s="58"/>
    </row>
    <row r="2" spans="1:32" s="17" customFormat="1" ht="16.5" customHeight="1" x14ac:dyDescent="0.2">
      <c r="A2" s="32" t="s">
        <v>42</v>
      </c>
      <c r="B2" s="33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634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34"/>
      <c r="R2" s="634"/>
      <c r="S2" s="634"/>
      <c r="T2" s="634"/>
      <c r="U2" s="634"/>
      <c r="V2" s="634"/>
      <c r="W2" s="634"/>
      <c r="X2" s="19"/>
      <c r="Y2" s="19"/>
      <c r="Z2" s="19"/>
      <c r="AA2" s="19"/>
      <c r="AB2" s="57"/>
      <c r="AC2" s="57"/>
      <c r="AD2" s="57"/>
      <c r="AE2" s="57"/>
    </row>
    <row r="3" spans="1:32" s="17" customFormat="1" ht="11.25" customHeight="1" x14ac:dyDescent="0.2">
      <c r="A3" s="30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634"/>
      <c r="Q3" s="634"/>
      <c r="R3" s="634"/>
      <c r="S3" s="634"/>
      <c r="T3" s="634"/>
      <c r="U3" s="634"/>
      <c r="V3" s="634"/>
      <c r="W3" s="634"/>
      <c r="X3" s="19"/>
      <c r="Y3" s="19"/>
      <c r="Z3" s="19"/>
      <c r="AA3" s="19"/>
      <c r="AB3" s="57"/>
      <c r="AC3" s="57"/>
      <c r="AD3" s="57"/>
      <c r="AE3" s="57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7"/>
      <c r="AC4" s="57"/>
      <c r="AD4" s="57"/>
      <c r="AE4" s="57"/>
    </row>
    <row r="5" spans="1:32" s="17" customFormat="1" ht="23.45" customHeight="1" x14ac:dyDescent="0.2">
      <c r="A5" s="635" t="s">
        <v>8</v>
      </c>
      <c r="B5" s="635"/>
      <c r="C5" s="635"/>
      <c r="D5" s="636"/>
      <c r="E5" s="636"/>
      <c r="F5" s="637" t="s">
        <v>14</v>
      </c>
      <c r="G5" s="637"/>
      <c r="H5" s="636"/>
      <c r="I5" s="636"/>
      <c r="J5" s="636"/>
      <c r="K5" s="636"/>
      <c r="L5" s="636"/>
      <c r="M5" s="636"/>
      <c r="N5" s="69"/>
      <c r="P5" s="26" t="s">
        <v>4</v>
      </c>
      <c r="Q5" s="638">
        <v>46230</v>
      </c>
      <c r="R5" s="638"/>
      <c r="T5" s="639" t="s">
        <v>3</v>
      </c>
      <c r="U5" s="640"/>
      <c r="V5" s="641" t="s">
        <v>868</v>
      </c>
      <c r="W5" s="642"/>
      <c r="AB5" s="57"/>
      <c r="AC5" s="57"/>
      <c r="AD5" s="57"/>
      <c r="AE5" s="57"/>
    </row>
    <row r="6" spans="1:32" s="17" customFormat="1" ht="24" customHeight="1" x14ac:dyDescent="0.2">
      <c r="A6" s="635" t="s">
        <v>1</v>
      </c>
      <c r="B6" s="635"/>
      <c r="C6" s="635"/>
      <c r="D6" s="643"/>
      <c r="E6" s="643"/>
      <c r="F6" s="643"/>
      <c r="G6" s="643"/>
      <c r="H6" s="643"/>
      <c r="I6" s="643"/>
      <c r="J6" s="643"/>
      <c r="K6" s="643"/>
      <c r="L6" s="643"/>
      <c r="M6" s="643"/>
      <c r="N6" s="70"/>
      <c r="P6" s="26" t="s">
        <v>27</v>
      </c>
      <c r="Q6" s="644" t="str">
        <f>IF(Q5=0," ",CHOOSE(WEEKDAY(Q5,2),"Понедельник","Вторник","Среда","Четверг","Пятница","Суббота","Воскресенье"))</f>
        <v>Понедельник</v>
      </c>
      <c r="R6" s="644"/>
      <c r="T6" s="645" t="s">
        <v>5</v>
      </c>
      <c r="U6" s="646"/>
      <c r="V6" s="647" t="s">
        <v>70</v>
      </c>
      <c r="W6" s="648"/>
      <c r="AB6" s="57"/>
      <c r="AC6" s="57"/>
      <c r="AD6" s="57"/>
      <c r="AE6" s="57"/>
    </row>
    <row r="7" spans="1:32" s="17" customFormat="1" ht="21.75" hidden="1" customHeight="1" x14ac:dyDescent="0.2">
      <c r="A7" s="61"/>
      <c r="B7" s="61"/>
      <c r="C7" s="61"/>
      <c r="D7" s="653">
        <f>IFERROR(VLOOKUP(DeliveryAddress,Table,3,0),1)</f>
        <v>1</v>
      </c>
      <c r="E7" s="654"/>
      <c r="F7" s="654"/>
      <c r="G7" s="654"/>
      <c r="H7" s="654"/>
      <c r="I7" s="654"/>
      <c r="J7" s="654"/>
      <c r="K7" s="654"/>
      <c r="L7" s="654"/>
      <c r="M7" s="655"/>
      <c r="N7" s="71"/>
      <c r="P7" s="26"/>
      <c r="Q7" s="46"/>
      <c r="R7" s="46"/>
      <c r="T7" s="645"/>
      <c r="U7" s="646"/>
      <c r="V7" s="649"/>
      <c r="W7" s="650"/>
      <c r="AB7" s="57"/>
      <c r="AC7" s="57"/>
      <c r="AD7" s="57"/>
      <c r="AE7" s="57"/>
    </row>
    <row r="8" spans="1:32" s="17" customFormat="1" ht="25.5" customHeight="1" x14ac:dyDescent="0.2">
      <c r="A8" s="656" t="s">
        <v>58</v>
      </c>
      <c r="B8" s="656"/>
      <c r="C8" s="656"/>
      <c r="D8" s="657"/>
      <c r="E8" s="657"/>
      <c r="F8" s="657"/>
      <c r="G8" s="657"/>
      <c r="H8" s="657"/>
      <c r="I8" s="657"/>
      <c r="J8" s="657"/>
      <c r="K8" s="657"/>
      <c r="L8" s="657"/>
      <c r="M8" s="657"/>
      <c r="N8" s="72"/>
      <c r="P8" s="26" t="s">
        <v>11</v>
      </c>
      <c r="Q8" s="658">
        <v>0.41666666666666669</v>
      </c>
      <c r="R8" s="658"/>
      <c r="T8" s="645"/>
      <c r="U8" s="646"/>
      <c r="V8" s="649"/>
      <c r="W8" s="650"/>
      <c r="AB8" s="57"/>
      <c r="AC8" s="57"/>
      <c r="AD8" s="57"/>
      <c r="AE8" s="57"/>
    </row>
    <row r="9" spans="1:32" s="17" customFormat="1" ht="39.950000000000003" customHeight="1" x14ac:dyDescent="0.2">
      <c r="A9" s="659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59"/>
      <c r="C9" s="659"/>
      <c r="D9" s="660" t="s">
        <v>46</v>
      </c>
      <c r="E9" s="661"/>
      <c r="F9" s="659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59"/>
      <c r="H9" s="662" t="str">
        <f>IF(AND($A$9="Тип доверенности/получателя при получении в адресе перегруза:",$D$9="Разовая доверенность"),"Введите ФИО","")</f>
        <v/>
      </c>
      <c r="I9" s="662"/>
      <c r="J9" s="662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62"/>
      <c r="L9" s="662"/>
      <c r="M9" s="662"/>
      <c r="N9" s="67"/>
      <c r="P9" s="29" t="s">
        <v>15</v>
      </c>
      <c r="Q9" s="663"/>
      <c r="R9" s="663"/>
      <c r="T9" s="645"/>
      <c r="U9" s="646"/>
      <c r="V9" s="651"/>
      <c r="W9" s="652"/>
      <c r="X9" s="47"/>
      <c r="Y9" s="47"/>
      <c r="Z9" s="47"/>
      <c r="AA9" s="47"/>
      <c r="AB9" s="57"/>
      <c r="AC9" s="57"/>
      <c r="AD9" s="57"/>
      <c r="AE9" s="57"/>
    </row>
    <row r="10" spans="1:32" s="17" customFormat="1" ht="26.45" customHeight="1" x14ac:dyDescent="0.2">
      <c r="A10" s="659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59"/>
      <c r="C10" s="659"/>
      <c r="D10" s="660"/>
      <c r="E10" s="661"/>
      <c r="F10" s="659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59"/>
      <c r="H10" s="664" t="str">
        <f>IFERROR(VLOOKUP($D$10,Proxy,2,FALSE),"")</f>
        <v/>
      </c>
      <c r="I10" s="664"/>
      <c r="J10" s="664"/>
      <c r="K10" s="664"/>
      <c r="L10" s="664"/>
      <c r="M10" s="664"/>
      <c r="N10" s="68"/>
      <c r="P10" s="29" t="s">
        <v>32</v>
      </c>
      <c r="Q10" s="665"/>
      <c r="R10" s="665"/>
      <c r="U10" s="26" t="s">
        <v>12</v>
      </c>
      <c r="V10" s="666" t="s">
        <v>71</v>
      </c>
      <c r="W10" s="667"/>
      <c r="X10" s="48"/>
      <c r="Y10" s="48"/>
      <c r="Z10" s="48"/>
      <c r="AA10" s="48"/>
      <c r="AB10" s="57"/>
      <c r="AC10" s="57"/>
      <c r="AD10" s="57"/>
      <c r="AE10" s="57"/>
    </row>
    <row r="11" spans="1:32" s="17" customFormat="1" ht="15.95" customHeight="1" x14ac:dyDescent="0.2">
      <c r="A11" s="31" t="s">
        <v>51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P11" s="29" t="s">
        <v>29</v>
      </c>
      <c r="Q11" s="668"/>
      <c r="R11" s="668"/>
      <c r="U11" s="26" t="s">
        <v>28</v>
      </c>
      <c r="V11" s="669" t="s">
        <v>55</v>
      </c>
      <c r="W11" s="669"/>
      <c r="X11" s="49"/>
      <c r="Y11" s="49"/>
      <c r="Z11" s="49"/>
      <c r="AA11" s="49"/>
      <c r="AB11" s="57"/>
      <c r="AC11" s="57"/>
      <c r="AD11" s="57"/>
      <c r="AE11" s="57"/>
    </row>
    <row r="12" spans="1:32" s="17" customFormat="1" ht="18.600000000000001" customHeight="1" x14ac:dyDescent="0.2">
      <c r="A12" s="670" t="s">
        <v>72</v>
      </c>
      <c r="B12" s="670"/>
      <c r="C12" s="670"/>
      <c r="D12" s="670"/>
      <c r="E12" s="670"/>
      <c r="F12" s="670"/>
      <c r="G12" s="670"/>
      <c r="H12" s="670"/>
      <c r="I12" s="670"/>
      <c r="J12" s="670"/>
      <c r="K12" s="670"/>
      <c r="L12" s="670"/>
      <c r="M12" s="670"/>
      <c r="N12" s="73"/>
      <c r="P12" s="26" t="s">
        <v>30</v>
      </c>
      <c r="Q12" s="658"/>
      <c r="R12" s="658"/>
      <c r="S12" s="27"/>
      <c r="T12"/>
      <c r="U12" s="26" t="s">
        <v>46</v>
      </c>
      <c r="V12" s="671"/>
      <c r="W12" s="671"/>
      <c r="X12"/>
      <c r="AB12" s="57"/>
      <c r="AC12" s="57"/>
      <c r="AD12" s="57"/>
      <c r="AE12" s="57"/>
    </row>
    <row r="13" spans="1:32" s="17" customFormat="1" ht="23.25" customHeight="1" x14ac:dyDescent="0.2">
      <c r="A13" s="670" t="s">
        <v>73</v>
      </c>
      <c r="B13" s="670"/>
      <c r="C13" s="670"/>
      <c r="D13" s="670"/>
      <c r="E13" s="670"/>
      <c r="F13" s="670"/>
      <c r="G13" s="670"/>
      <c r="H13" s="670"/>
      <c r="I13" s="670"/>
      <c r="J13" s="670"/>
      <c r="K13" s="670"/>
      <c r="L13" s="670"/>
      <c r="M13" s="670"/>
      <c r="N13" s="73"/>
      <c r="O13" s="29"/>
      <c r="P13" s="29" t="s">
        <v>31</v>
      </c>
      <c r="Q13" s="669"/>
      <c r="R13" s="669"/>
      <c r="S13" s="27"/>
      <c r="T13"/>
      <c r="U13"/>
      <c r="V13"/>
      <c r="W13"/>
      <c r="X13" s="54"/>
      <c r="Y13" s="54"/>
      <c r="Z13" s="54"/>
      <c r="AA13" s="54"/>
      <c r="AB13" s="57"/>
      <c r="AC13" s="57"/>
      <c r="AD13" s="57"/>
      <c r="AE13" s="57"/>
    </row>
    <row r="14" spans="1:32" s="17" customFormat="1" ht="18.600000000000001" customHeight="1" x14ac:dyDescent="0.2">
      <c r="A14" s="670" t="s">
        <v>74</v>
      </c>
      <c r="B14" s="670"/>
      <c r="C14" s="670"/>
      <c r="D14" s="670"/>
      <c r="E14" s="670"/>
      <c r="F14" s="670"/>
      <c r="G14" s="670"/>
      <c r="H14" s="670"/>
      <c r="I14" s="670"/>
      <c r="J14" s="670"/>
      <c r="K14" s="670"/>
      <c r="L14" s="670"/>
      <c r="M14" s="670"/>
      <c r="N14" s="73"/>
      <c r="O14"/>
      <c r="P14"/>
      <c r="Q14"/>
      <c r="R14"/>
      <c r="S14"/>
      <c r="T14"/>
      <c r="U14"/>
      <c r="V14"/>
      <c r="W14"/>
      <c r="X14" s="55"/>
      <c r="Y14" s="55"/>
      <c r="Z14" s="55"/>
      <c r="AA14" s="55"/>
      <c r="AB14" s="57"/>
      <c r="AC14" s="57"/>
      <c r="AD14" s="57"/>
      <c r="AE14" s="57"/>
    </row>
    <row r="15" spans="1:32" s="17" customFormat="1" ht="22.5" customHeight="1" x14ac:dyDescent="0.2">
      <c r="A15" s="672" t="s">
        <v>75</v>
      </c>
      <c r="B15" s="672"/>
      <c r="C15" s="672"/>
      <c r="D15" s="672"/>
      <c r="E15" s="672"/>
      <c r="F15" s="672"/>
      <c r="G15" s="672"/>
      <c r="H15" s="672"/>
      <c r="I15" s="672"/>
      <c r="J15" s="672"/>
      <c r="K15" s="672"/>
      <c r="L15" s="672"/>
      <c r="M15" s="672"/>
      <c r="N15" s="74"/>
      <c r="O15"/>
      <c r="P15" s="673" t="s">
        <v>61</v>
      </c>
      <c r="Q15" s="673"/>
      <c r="R15" s="673"/>
      <c r="S15" s="673"/>
      <c r="T15" s="673"/>
      <c r="U15"/>
      <c r="V15"/>
      <c r="W15"/>
      <c r="AB15" s="57"/>
      <c r="AC15" s="57"/>
      <c r="AD15" s="57"/>
      <c r="AE15" s="57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674"/>
      <c r="Q16" s="674"/>
      <c r="R16" s="674"/>
      <c r="S16" s="674"/>
      <c r="T16" s="674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677" t="s">
        <v>59</v>
      </c>
      <c r="B17" s="677" t="s">
        <v>49</v>
      </c>
      <c r="C17" s="679" t="s">
        <v>48</v>
      </c>
      <c r="D17" s="681" t="s">
        <v>50</v>
      </c>
      <c r="E17" s="682"/>
      <c r="F17" s="677" t="s">
        <v>21</v>
      </c>
      <c r="G17" s="677" t="s">
        <v>24</v>
      </c>
      <c r="H17" s="677" t="s">
        <v>22</v>
      </c>
      <c r="I17" s="677" t="s">
        <v>23</v>
      </c>
      <c r="J17" s="677" t="s">
        <v>16</v>
      </c>
      <c r="K17" s="677" t="s">
        <v>66</v>
      </c>
      <c r="L17" s="677" t="s">
        <v>64</v>
      </c>
      <c r="M17" s="677" t="s">
        <v>2</v>
      </c>
      <c r="N17" s="677" t="s">
        <v>63</v>
      </c>
      <c r="O17" s="677" t="s">
        <v>25</v>
      </c>
      <c r="P17" s="681" t="s">
        <v>17</v>
      </c>
      <c r="Q17" s="685"/>
      <c r="R17" s="685"/>
      <c r="S17" s="685"/>
      <c r="T17" s="682"/>
      <c r="U17" s="675" t="s">
        <v>56</v>
      </c>
      <c r="V17" s="676"/>
      <c r="W17" s="677" t="s">
        <v>6</v>
      </c>
      <c r="X17" s="677" t="s">
        <v>41</v>
      </c>
      <c r="Y17" s="687" t="s">
        <v>54</v>
      </c>
      <c r="Z17" s="689" t="s">
        <v>18</v>
      </c>
      <c r="AA17" s="691" t="s">
        <v>60</v>
      </c>
      <c r="AB17" s="691" t="s">
        <v>19</v>
      </c>
      <c r="AC17" s="691" t="s">
        <v>65</v>
      </c>
      <c r="AD17" s="693" t="s">
        <v>57</v>
      </c>
      <c r="AE17" s="694"/>
      <c r="AF17" s="695"/>
      <c r="AG17" s="77"/>
      <c r="BD17" s="76" t="s">
        <v>62</v>
      </c>
    </row>
    <row r="18" spans="1:68" ht="14.25" customHeight="1" x14ac:dyDescent="0.2">
      <c r="A18" s="678"/>
      <c r="B18" s="678"/>
      <c r="C18" s="680"/>
      <c r="D18" s="683"/>
      <c r="E18" s="684"/>
      <c r="F18" s="678"/>
      <c r="G18" s="678"/>
      <c r="H18" s="678"/>
      <c r="I18" s="678"/>
      <c r="J18" s="678"/>
      <c r="K18" s="678"/>
      <c r="L18" s="678"/>
      <c r="M18" s="678"/>
      <c r="N18" s="678"/>
      <c r="O18" s="678"/>
      <c r="P18" s="683"/>
      <c r="Q18" s="686"/>
      <c r="R18" s="686"/>
      <c r="S18" s="686"/>
      <c r="T18" s="684"/>
      <c r="U18" s="78" t="s">
        <v>44</v>
      </c>
      <c r="V18" s="78" t="s">
        <v>43</v>
      </c>
      <c r="W18" s="678"/>
      <c r="X18" s="678"/>
      <c r="Y18" s="688"/>
      <c r="Z18" s="690"/>
      <c r="AA18" s="692"/>
      <c r="AB18" s="692"/>
      <c r="AC18" s="692"/>
      <c r="AD18" s="696"/>
      <c r="AE18" s="697"/>
      <c r="AF18" s="698"/>
      <c r="AG18" s="77"/>
      <c r="BD18" s="76"/>
    </row>
    <row r="19" spans="1:68" ht="27.75" customHeight="1" x14ac:dyDescent="0.2">
      <c r="A19" s="699" t="s">
        <v>76</v>
      </c>
      <c r="B19" s="699"/>
      <c r="C19" s="699"/>
      <c r="D19" s="699"/>
      <c r="E19" s="699"/>
      <c r="F19" s="699"/>
      <c r="G19" s="699"/>
      <c r="H19" s="699"/>
      <c r="I19" s="699"/>
      <c r="J19" s="699"/>
      <c r="K19" s="699"/>
      <c r="L19" s="699"/>
      <c r="M19" s="699"/>
      <c r="N19" s="699"/>
      <c r="O19" s="699"/>
      <c r="P19" s="699"/>
      <c r="Q19" s="699"/>
      <c r="R19" s="699"/>
      <c r="S19" s="699"/>
      <c r="T19" s="699"/>
      <c r="U19" s="699"/>
      <c r="V19" s="699"/>
      <c r="W19" s="699"/>
      <c r="X19" s="699"/>
      <c r="Y19" s="699"/>
      <c r="Z19" s="699"/>
      <c r="AA19" s="52"/>
      <c r="AB19" s="52"/>
      <c r="AC19" s="52"/>
    </row>
    <row r="20" spans="1:68" ht="16.5" customHeight="1" x14ac:dyDescent="0.25">
      <c r="A20" s="700" t="s">
        <v>76</v>
      </c>
      <c r="B20" s="700"/>
      <c r="C20" s="700"/>
      <c r="D20" s="700"/>
      <c r="E20" s="700"/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  <c r="AA20" s="62"/>
      <c r="AB20" s="62"/>
      <c r="AC20" s="62"/>
    </row>
    <row r="21" spans="1:68" ht="14.25" customHeight="1" x14ac:dyDescent="0.25">
      <c r="A21" s="701" t="s">
        <v>77</v>
      </c>
      <c r="B21" s="701"/>
      <c r="C21" s="701"/>
      <c r="D21" s="701"/>
      <c r="E21" s="701"/>
      <c r="F21" s="701"/>
      <c r="G21" s="701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  <c r="AA21" s="63"/>
      <c r="AB21" s="63"/>
      <c r="AC21" s="63"/>
    </row>
    <row r="22" spans="1:68" ht="27" customHeight="1" x14ac:dyDescent="0.25">
      <c r="A22" s="60" t="s">
        <v>78</v>
      </c>
      <c r="B22" s="60" t="s">
        <v>79</v>
      </c>
      <c r="C22" s="34">
        <v>4301031278</v>
      </c>
      <c r="D22" s="702">
        <v>4680115886643</v>
      </c>
      <c r="E22" s="702"/>
      <c r="F22" s="59">
        <v>0.19</v>
      </c>
      <c r="G22" s="35">
        <v>10</v>
      </c>
      <c r="H22" s="59">
        <v>1.9</v>
      </c>
      <c r="I22" s="59">
        <v>2</v>
      </c>
      <c r="J22" s="35">
        <v>234</v>
      </c>
      <c r="K22" s="35" t="s">
        <v>82</v>
      </c>
      <c r="L22" s="35" t="s">
        <v>46</v>
      </c>
      <c r="M22" s="36" t="s">
        <v>81</v>
      </c>
      <c r="N22" s="36"/>
      <c r="O22" s="35">
        <v>40</v>
      </c>
      <c r="P22" s="703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704"/>
      <c r="R22" s="704"/>
      <c r="S22" s="704"/>
      <c r="T22" s="705"/>
      <c r="U22" s="37" t="s">
        <v>46</v>
      </c>
      <c r="V22" s="37" t="s">
        <v>46</v>
      </c>
      <c r="W22" s="38" t="s">
        <v>0</v>
      </c>
      <c r="X22" s="56">
        <v>0</v>
      </c>
      <c r="Y22" s="53">
        <f>IFERROR(IF(X22="",0,CEILING((X22/$H22),1)*$H22),"")</f>
        <v>0</v>
      </c>
      <c r="Z22" s="39" t="str">
        <f>IFERROR(IF(Y22=0,"",ROUNDUP(Y22/H22,0)*0.00502),"")</f>
        <v/>
      </c>
      <c r="AA22" s="65" t="s">
        <v>46</v>
      </c>
      <c r="AB22" s="66" t="s">
        <v>46</v>
      </c>
      <c r="AC22" s="81" t="s">
        <v>80</v>
      </c>
      <c r="AG22" s="75"/>
      <c r="AJ22" s="79" t="s">
        <v>46</v>
      </c>
      <c r="AK22" s="79">
        <v>0</v>
      </c>
      <c r="BB22" s="82" t="s">
        <v>67</v>
      </c>
      <c r="BM22" s="75">
        <f>IFERROR(X22*I22/H22,"0")</f>
        <v>0</v>
      </c>
      <c r="BN22" s="75">
        <f>IFERROR(Y22*I22/H22,"0")</f>
        <v>0</v>
      </c>
      <c r="BO22" s="75">
        <f>IFERROR(1/J22*(X22/H22),"0")</f>
        <v>0</v>
      </c>
      <c r="BP22" s="75">
        <f>IFERROR(1/J22*(Y22/H22),"0")</f>
        <v>0</v>
      </c>
    </row>
    <row r="23" spans="1:68" ht="27" customHeight="1" x14ac:dyDescent="0.25">
      <c r="A23" s="60" t="s">
        <v>83</v>
      </c>
      <c r="B23" s="60" t="s">
        <v>84</v>
      </c>
      <c r="C23" s="34">
        <v>4301031508</v>
      </c>
      <c r="D23" s="702">
        <v>4680115889071</v>
      </c>
      <c r="E23" s="702"/>
      <c r="F23" s="59">
        <v>0.3</v>
      </c>
      <c r="G23" s="35">
        <v>6</v>
      </c>
      <c r="H23" s="59">
        <v>1.8</v>
      </c>
      <c r="I23" s="59">
        <v>1.93</v>
      </c>
      <c r="J23" s="35">
        <v>234</v>
      </c>
      <c r="K23" s="35" t="s">
        <v>82</v>
      </c>
      <c r="L23" s="35" t="s">
        <v>46</v>
      </c>
      <c r="M23" s="36" t="s">
        <v>81</v>
      </c>
      <c r="N23" s="36"/>
      <c r="O23" s="35">
        <v>40</v>
      </c>
      <c r="P23" s="706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3" s="704"/>
      <c r="R23" s="704"/>
      <c r="S23" s="704"/>
      <c r="T23" s="705"/>
      <c r="U23" s="37" t="s">
        <v>46</v>
      </c>
      <c r="V23" s="37" t="s">
        <v>46</v>
      </c>
      <c r="W23" s="38" t="s">
        <v>0</v>
      </c>
      <c r="X23" s="56">
        <v>0</v>
      </c>
      <c r="Y23" s="53">
        <f>IFERROR(IF(X23="",0,CEILING((X23/$H23),1)*$H23),"")</f>
        <v>0</v>
      </c>
      <c r="Z23" s="39" t="str">
        <f>IFERROR(IF(Y23=0,"",ROUNDUP(Y23/H23,0)*0.00502),"")</f>
        <v/>
      </c>
      <c r="AA23" s="65" t="s">
        <v>46</v>
      </c>
      <c r="AB23" s="66" t="s">
        <v>46</v>
      </c>
      <c r="AC23" s="83" t="s">
        <v>85</v>
      </c>
      <c r="AG23" s="75"/>
      <c r="AJ23" s="79" t="s">
        <v>46</v>
      </c>
      <c r="AK23" s="79">
        <v>0</v>
      </c>
      <c r="BB23" s="84" t="s">
        <v>67</v>
      </c>
      <c r="BM23" s="75">
        <f>IFERROR(X23*I23/H23,"0")</f>
        <v>0</v>
      </c>
      <c r="BN23" s="75">
        <f>IFERROR(Y23*I23/H23,"0")</f>
        <v>0</v>
      </c>
      <c r="BO23" s="75">
        <f>IFERROR(1/J23*(X23/H23),"0")</f>
        <v>0</v>
      </c>
      <c r="BP23" s="75">
        <f>IFERROR(1/J23*(Y23/H23),"0")</f>
        <v>0</v>
      </c>
    </row>
    <row r="24" spans="1:68" x14ac:dyDescent="0.2">
      <c r="A24" s="710"/>
      <c r="B24" s="710"/>
      <c r="C24" s="710"/>
      <c r="D24" s="710"/>
      <c r="E24" s="710"/>
      <c r="F24" s="710"/>
      <c r="G24" s="710"/>
      <c r="H24" s="710"/>
      <c r="I24" s="710"/>
      <c r="J24" s="710"/>
      <c r="K24" s="710"/>
      <c r="L24" s="710"/>
      <c r="M24" s="710"/>
      <c r="N24" s="710"/>
      <c r="O24" s="711"/>
      <c r="P24" s="707" t="s">
        <v>40</v>
      </c>
      <c r="Q24" s="708"/>
      <c r="R24" s="708"/>
      <c r="S24" s="708"/>
      <c r="T24" s="708"/>
      <c r="U24" s="708"/>
      <c r="V24" s="709"/>
      <c r="W24" s="40" t="s">
        <v>39</v>
      </c>
      <c r="X24" s="41">
        <f>IFERROR(X22/H22,"0")+IFERROR(X23/H23,"0")</f>
        <v>0</v>
      </c>
      <c r="Y24" s="41">
        <f>IFERROR(Y22/H22,"0")+IFERROR(Y23/H23,"0")</f>
        <v>0</v>
      </c>
      <c r="Z24" s="41">
        <f>IFERROR(IF(Z22="",0,Z22),"0")+IFERROR(IF(Z23="",0,Z23),"0")</f>
        <v>0</v>
      </c>
      <c r="AA24" s="64"/>
      <c r="AB24" s="64"/>
      <c r="AC24" s="64"/>
    </row>
    <row r="25" spans="1:68" x14ac:dyDescent="0.2">
      <c r="A25" s="710"/>
      <c r="B25" s="710"/>
      <c r="C25" s="710"/>
      <c r="D25" s="710"/>
      <c r="E25" s="710"/>
      <c r="F25" s="710"/>
      <c r="G25" s="710"/>
      <c r="H25" s="710"/>
      <c r="I25" s="710"/>
      <c r="J25" s="710"/>
      <c r="K25" s="710"/>
      <c r="L25" s="710"/>
      <c r="M25" s="710"/>
      <c r="N25" s="710"/>
      <c r="O25" s="711"/>
      <c r="P25" s="707" t="s">
        <v>40</v>
      </c>
      <c r="Q25" s="708"/>
      <c r="R25" s="708"/>
      <c r="S25" s="708"/>
      <c r="T25" s="708"/>
      <c r="U25" s="708"/>
      <c r="V25" s="709"/>
      <c r="W25" s="40" t="s">
        <v>0</v>
      </c>
      <c r="X25" s="41">
        <f>IFERROR(SUM(X22:X23),"0")</f>
        <v>0</v>
      </c>
      <c r="Y25" s="41">
        <f>IFERROR(SUM(Y22:Y23),"0")</f>
        <v>0</v>
      </c>
      <c r="Z25" s="40"/>
      <c r="AA25" s="64"/>
      <c r="AB25" s="64"/>
      <c r="AC25" s="64"/>
    </row>
    <row r="26" spans="1:68" ht="14.25" customHeight="1" x14ac:dyDescent="0.25">
      <c r="A26" s="701" t="s">
        <v>86</v>
      </c>
      <c r="B26" s="701"/>
      <c r="C26" s="701"/>
      <c r="D26" s="701"/>
      <c r="E26" s="701"/>
      <c r="F26" s="701"/>
      <c r="G26" s="701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  <c r="AA26" s="63"/>
      <c r="AB26" s="63"/>
      <c r="AC26" s="63"/>
    </row>
    <row r="27" spans="1:68" ht="27" customHeight="1" x14ac:dyDescent="0.25">
      <c r="A27" s="60" t="s">
        <v>87</v>
      </c>
      <c r="B27" s="60" t="s">
        <v>88</v>
      </c>
      <c r="C27" s="34">
        <v>4301051866</v>
      </c>
      <c r="D27" s="702">
        <v>4680115885912</v>
      </c>
      <c r="E27" s="702"/>
      <c r="F27" s="59">
        <v>0.3</v>
      </c>
      <c r="G27" s="35">
        <v>6</v>
      </c>
      <c r="H27" s="59">
        <v>1.8</v>
      </c>
      <c r="I27" s="59">
        <v>3.18</v>
      </c>
      <c r="J27" s="35">
        <v>182</v>
      </c>
      <c r="K27" s="35" t="s">
        <v>91</v>
      </c>
      <c r="L27" s="35" t="s">
        <v>46</v>
      </c>
      <c r="M27" s="36" t="s">
        <v>90</v>
      </c>
      <c r="N27" s="36"/>
      <c r="O27" s="35">
        <v>40</v>
      </c>
      <c r="P27" s="712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704"/>
      <c r="R27" s="704"/>
      <c r="S27" s="704"/>
      <c r="T27" s="705"/>
      <c r="U27" s="37" t="s">
        <v>46</v>
      </c>
      <c r="V27" s="37" t="s">
        <v>46</v>
      </c>
      <c r="W27" s="38" t="s">
        <v>0</v>
      </c>
      <c r="X27" s="56">
        <v>0</v>
      </c>
      <c r="Y27" s="53">
        <f>IFERROR(IF(X27="",0,CEILING((X27/$H27),1)*$H27),"")</f>
        <v>0</v>
      </c>
      <c r="Z27" s="39" t="str">
        <f>IFERROR(IF(Y27=0,"",ROUNDUP(Y27/H27,0)*0.00651),"")</f>
        <v/>
      </c>
      <c r="AA27" s="65" t="s">
        <v>46</v>
      </c>
      <c r="AB27" s="66" t="s">
        <v>46</v>
      </c>
      <c r="AC27" s="85" t="s">
        <v>89</v>
      </c>
      <c r="AG27" s="75"/>
      <c r="AJ27" s="79" t="s">
        <v>46</v>
      </c>
      <c r="AK27" s="79">
        <v>0</v>
      </c>
      <c r="BB27" s="86" t="s">
        <v>67</v>
      </c>
      <c r="BM27" s="75">
        <f>IFERROR(X27*I27/H27,"0")</f>
        <v>0</v>
      </c>
      <c r="BN27" s="75">
        <f>IFERROR(Y27*I27/H27,"0")</f>
        <v>0</v>
      </c>
      <c r="BO27" s="75">
        <f>IFERROR(1/J27*(X27/H27),"0")</f>
        <v>0</v>
      </c>
      <c r="BP27" s="75">
        <f>IFERROR(1/J27*(Y27/H27),"0")</f>
        <v>0</v>
      </c>
    </row>
    <row r="28" spans="1:68" ht="27" customHeight="1" x14ac:dyDescent="0.25">
      <c r="A28" s="60" t="s">
        <v>92</v>
      </c>
      <c r="B28" s="60" t="s">
        <v>93</v>
      </c>
      <c r="C28" s="34">
        <v>4301051776</v>
      </c>
      <c r="D28" s="702">
        <v>4607091388237</v>
      </c>
      <c r="E28" s="702"/>
      <c r="F28" s="59">
        <v>0.42</v>
      </c>
      <c r="G28" s="35">
        <v>6</v>
      </c>
      <c r="H28" s="59">
        <v>2.52</v>
      </c>
      <c r="I28" s="59">
        <v>2.766</v>
      </c>
      <c r="J28" s="35">
        <v>182</v>
      </c>
      <c r="K28" s="35" t="s">
        <v>91</v>
      </c>
      <c r="L28" s="35" t="s">
        <v>46</v>
      </c>
      <c r="M28" s="36" t="s">
        <v>90</v>
      </c>
      <c r="N28" s="36"/>
      <c r="O28" s="35">
        <v>40</v>
      </c>
      <c r="P28" s="713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704"/>
      <c r="R28" s="704"/>
      <c r="S28" s="704"/>
      <c r="T28" s="705"/>
      <c r="U28" s="37" t="s">
        <v>46</v>
      </c>
      <c r="V28" s="37" t="s">
        <v>46</v>
      </c>
      <c r="W28" s="38" t="s">
        <v>0</v>
      </c>
      <c r="X28" s="56">
        <v>0</v>
      </c>
      <c r="Y28" s="53">
        <f>IFERROR(IF(X28="",0,CEILING((X28/$H28),1)*$H28),"")</f>
        <v>0</v>
      </c>
      <c r="Z28" s="39" t="str">
        <f>IFERROR(IF(Y28=0,"",ROUNDUP(Y28/H28,0)*0.00651),"")</f>
        <v/>
      </c>
      <c r="AA28" s="65" t="s">
        <v>46</v>
      </c>
      <c r="AB28" s="66" t="s">
        <v>46</v>
      </c>
      <c r="AC28" s="87" t="s">
        <v>89</v>
      </c>
      <c r="AG28" s="75"/>
      <c r="AJ28" s="79" t="s">
        <v>46</v>
      </c>
      <c r="AK28" s="79">
        <v>0</v>
      </c>
      <c r="BB28" s="88" t="s">
        <v>67</v>
      </c>
      <c r="BM28" s="75">
        <f>IFERROR(X28*I28/H28,"0")</f>
        <v>0</v>
      </c>
      <c r="BN28" s="75">
        <f>IFERROR(Y28*I28/H28,"0")</f>
        <v>0</v>
      </c>
      <c r="BO28" s="75">
        <f>IFERROR(1/J28*(X28/H28),"0")</f>
        <v>0</v>
      </c>
      <c r="BP28" s="75">
        <f>IFERROR(1/J28*(Y28/H28),"0")</f>
        <v>0</v>
      </c>
    </row>
    <row r="29" spans="1:68" ht="27" customHeight="1" x14ac:dyDescent="0.25">
      <c r="A29" s="60" t="s">
        <v>94</v>
      </c>
      <c r="B29" s="60" t="s">
        <v>95</v>
      </c>
      <c r="C29" s="34">
        <v>4301052063</v>
      </c>
      <c r="D29" s="702">
        <v>4680115887350</v>
      </c>
      <c r="E29" s="702"/>
      <c r="F29" s="59">
        <v>0.3</v>
      </c>
      <c r="G29" s="35">
        <v>6</v>
      </c>
      <c r="H29" s="59">
        <v>1.8</v>
      </c>
      <c r="I29" s="59">
        <v>3.18</v>
      </c>
      <c r="J29" s="35">
        <v>182</v>
      </c>
      <c r="K29" s="35" t="s">
        <v>91</v>
      </c>
      <c r="L29" s="35" t="s">
        <v>46</v>
      </c>
      <c r="M29" s="36" t="s">
        <v>97</v>
      </c>
      <c r="N29" s="36"/>
      <c r="O29" s="35">
        <v>40</v>
      </c>
      <c r="P29" s="714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704"/>
      <c r="R29" s="704"/>
      <c r="S29" s="704"/>
      <c r="T29" s="705"/>
      <c r="U29" s="37" t="s">
        <v>46</v>
      </c>
      <c r="V29" s="37" t="s">
        <v>46</v>
      </c>
      <c r="W29" s="38" t="s">
        <v>0</v>
      </c>
      <c r="X29" s="56">
        <v>0</v>
      </c>
      <c r="Y29" s="53">
        <f>IFERROR(IF(X29="",0,CEILING((X29/$H29),1)*$H29),"")</f>
        <v>0</v>
      </c>
      <c r="Z29" s="39" t="str">
        <f>IFERROR(IF(Y29=0,"",ROUNDUP(Y29/H29,0)*0.00651),"")</f>
        <v/>
      </c>
      <c r="AA29" s="65" t="s">
        <v>46</v>
      </c>
      <c r="AB29" s="66" t="s">
        <v>46</v>
      </c>
      <c r="AC29" s="89" t="s">
        <v>96</v>
      </c>
      <c r="AG29" s="75"/>
      <c r="AJ29" s="79" t="s">
        <v>46</v>
      </c>
      <c r="AK29" s="79">
        <v>0</v>
      </c>
      <c r="BB29" s="90" t="s">
        <v>67</v>
      </c>
      <c r="BM29" s="75">
        <f>IFERROR(X29*I29/H29,"0")</f>
        <v>0</v>
      </c>
      <c r="BN29" s="75">
        <f>IFERROR(Y29*I29/H29,"0")</f>
        <v>0</v>
      </c>
      <c r="BO29" s="75">
        <f>IFERROR(1/J29*(X29/H29),"0")</f>
        <v>0</v>
      </c>
      <c r="BP29" s="75">
        <f>IFERROR(1/J29*(Y29/H29),"0")</f>
        <v>0</v>
      </c>
    </row>
    <row r="30" spans="1:68" ht="27" customHeight="1" x14ac:dyDescent="0.25">
      <c r="A30" s="60" t="s">
        <v>98</v>
      </c>
      <c r="B30" s="60" t="s">
        <v>99</v>
      </c>
      <c r="C30" s="34">
        <v>4301051863</v>
      </c>
      <c r="D30" s="702">
        <v>4680115885905</v>
      </c>
      <c r="E30" s="702"/>
      <c r="F30" s="59">
        <v>0.3</v>
      </c>
      <c r="G30" s="35">
        <v>6</v>
      </c>
      <c r="H30" s="59">
        <v>1.8</v>
      </c>
      <c r="I30" s="59">
        <v>3.18</v>
      </c>
      <c r="J30" s="35">
        <v>182</v>
      </c>
      <c r="K30" s="35" t="s">
        <v>91</v>
      </c>
      <c r="L30" s="35" t="s">
        <v>46</v>
      </c>
      <c r="M30" s="36" t="s">
        <v>97</v>
      </c>
      <c r="N30" s="36"/>
      <c r="O30" s="35">
        <v>40</v>
      </c>
      <c r="P30" s="715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704"/>
      <c r="R30" s="704"/>
      <c r="S30" s="704"/>
      <c r="T30" s="705"/>
      <c r="U30" s="37" t="s">
        <v>46</v>
      </c>
      <c r="V30" s="37" t="s">
        <v>46</v>
      </c>
      <c r="W30" s="38" t="s">
        <v>0</v>
      </c>
      <c r="X30" s="56">
        <v>0</v>
      </c>
      <c r="Y30" s="53">
        <f>IFERROR(IF(X30="",0,CEILING((X30/$H30),1)*$H30),"")</f>
        <v>0</v>
      </c>
      <c r="Z30" s="39" t="str">
        <f>IFERROR(IF(Y30=0,"",ROUNDUP(Y30/H30,0)*0.00651),"")</f>
        <v/>
      </c>
      <c r="AA30" s="65" t="s">
        <v>46</v>
      </c>
      <c r="AB30" s="66" t="s">
        <v>46</v>
      </c>
      <c r="AC30" s="91" t="s">
        <v>100</v>
      </c>
      <c r="AG30" s="75"/>
      <c r="AJ30" s="79" t="s">
        <v>46</v>
      </c>
      <c r="AK30" s="79">
        <v>0</v>
      </c>
      <c r="BB30" s="92" t="s">
        <v>67</v>
      </c>
      <c r="BM30" s="75">
        <f>IFERROR(X30*I30/H30,"0")</f>
        <v>0</v>
      </c>
      <c r="BN30" s="75">
        <f>IFERROR(Y30*I30/H30,"0")</f>
        <v>0</v>
      </c>
      <c r="BO30" s="75">
        <f>IFERROR(1/J30*(X30/H30),"0")</f>
        <v>0</v>
      </c>
      <c r="BP30" s="75">
        <f>IFERROR(1/J30*(Y30/H30),"0")</f>
        <v>0</v>
      </c>
    </row>
    <row r="31" spans="1:68" ht="27" customHeight="1" x14ac:dyDescent="0.25">
      <c r="A31" s="60" t="s">
        <v>101</v>
      </c>
      <c r="B31" s="60" t="s">
        <v>102</v>
      </c>
      <c r="C31" s="34">
        <v>4301052071</v>
      </c>
      <c r="D31" s="702">
        <v>4680115887619</v>
      </c>
      <c r="E31" s="702"/>
      <c r="F31" s="59">
        <v>0.33</v>
      </c>
      <c r="G31" s="35">
        <v>6</v>
      </c>
      <c r="H31" s="59">
        <v>1.98</v>
      </c>
      <c r="I31" s="59">
        <v>2.16</v>
      </c>
      <c r="J31" s="35">
        <v>182</v>
      </c>
      <c r="K31" s="35" t="s">
        <v>91</v>
      </c>
      <c r="L31" s="35" t="s">
        <v>46</v>
      </c>
      <c r="M31" s="36" t="s">
        <v>90</v>
      </c>
      <c r="N31" s="36"/>
      <c r="O31" s="35">
        <v>40</v>
      </c>
      <c r="P31" s="716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1" s="704"/>
      <c r="R31" s="704"/>
      <c r="S31" s="704"/>
      <c r="T31" s="705"/>
      <c r="U31" s="37" t="s">
        <v>46</v>
      </c>
      <c r="V31" s="37" t="s">
        <v>46</v>
      </c>
      <c r="W31" s="38" t="s">
        <v>0</v>
      </c>
      <c r="X31" s="56">
        <v>0</v>
      </c>
      <c r="Y31" s="53">
        <f>IFERROR(IF(X31="",0,CEILING((X31/$H31),1)*$H31),"")</f>
        <v>0</v>
      </c>
      <c r="Z31" s="39" t="str">
        <f>IFERROR(IF(Y31=0,"",ROUNDUP(Y31/H31,0)*0.00651),"")</f>
        <v/>
      </c>
      <c r="AA31" s="65" t="s">
        <v>46</v>
      </c>
      <c r="AB31" s="66" t="s">
        <v>46</v>
      </c>
      <c r="AC31" s="93" t="s">
        <v>103</v>
      </c>
      <c r="AG31" s="75"/>
      <c r="AJ31" s="79" t="s">
        <v>46</v>
      </c>
      <c r="AK31" s="79">
        <v>0</v>
      </c>
      <c r="BB31" s="94" t="s">
        <v>67</v>
      </c>
      <c r="BM31" s="75">
        <f>IFERROR(X31*I31/H31,"0")</f>
        <v>0</v>
      </c>
      <c r="BN31" s="75">
        <f>IFERROR(Y31*I31/H31,"0")</f>
        <v>0</v>
      </c>
      <c r="BO31" s="75">
        <f>IFERROR(1/J31*(X31/H31),"0")</f>
        <v>0</v>
      </c>
      <c r="BP31" s="75">
        <f>IFERROR(1/J31*(Y31/H31),"0")</f>
        <v>0</v>
      </c>
    </row>
    <row r="32" spans="1:68" x14ac:dyDescent="0.2">
      <c r="A32" s="710"/>
      <c r="B32" s="710"/>
      <c r="C32" s="710"/>
      <c r="D32" s="710"/>
      <c r="E32" s="710"/>
      <c r="F32" s="710"/>
      <c r="G32" s="710"/>
      <c r="H32" s="710"/>
      <c r="I32" s="710"/>
      <c r="J32" s="710"/>
      <c r="K32" s="710"/>
      <c r="L32" s="710"/>
      <c r="M32" s="710"/>
      <c r="N32" s="710"/>
      <c r="O32" s="711"/>
      <c r="P32" s="707" t="s">
        <v>40</v>
      </c>
      <c r="Q32" s="708"/>
      <c r="R32" s="708"/>
      <c r="S32" s="708"/>
      <c r="T32" s="708"/>
      <c r="U32" s="708"/>
      <c r="V32" s="709"/>
      <c r="W32" s="40" t="s">
        <v>39</v>
      </c>
      <c r="X32" s="41">
        <f>IFERROR(X27/H27,"0")+IFERROR(X28/H28,"0")+IFERROR(X29/H29,"0")+IFERROR(X30/H30,"0")+IFERROR(X31/H31,"0")</f>
        <v>0</v>
      </c>
      <c r="Y32" s="41">
        <f>IFERROR(Y27/H27,"0")+IFERROR(Y28/H28,"0")+IFERROR(Y29/H29,"0")+IFERROR(Y30/H30,"0")+IFERROR(Y31/H31,"0")</f>
        <v>0</v>
      </c>
      <c r="Z32" s="41">
        <f>IFERROR(IF(Z27="",0,Z27),"0")+IFERROR(IF(Z28="",0,Z28),"0")+IFERROR(IF(Z29="",0,Z29),"0")+IFERROR(IF(Z30="",0,Z30),"0")+IFERROR(IF(Z31="",0,Z31),"0")</f>
        <v>0</v>
      </c>
      <c r="AA32" s="64"/>
      <c r="AB32" s="64"/>
      <c r="AC32" s="64"/>
    </row>
    <row r="33" spans="1:68" x14ac:dyDescent="0.2">
      <c r="A33" s="710"/>
      <c r="B33" s="710"/>
      <c r="C33" s="710"/>
      <c r="D33" s="710"/>
      <c r="E33" s="710"/>
      <c r="F33" s="710"/>
      <c r="G33" s="710"/>
      <c r="H33" s="710"/>
      <c r="I33" s="710"/>
      <c r="J33" s="710"/>
      <c r="K33" s="710"/>
      <c r="L33" s="710"/>
      <c r="M33" s="710"/>
      <c r="N33" s="710"/>
      <c r="O33" s="711"/>
      <c r="P33" s="707" t="s">
        <v>40</v>
      </c>
      <c r="Q33" s="708"/>
      <c r="R33" s="708"/>
      <c r="S33" s="708"/>
      <c r="T33" s="708"/>
      <c r="U33" s="708"/>
      <c r="V33" s="709"/>
      <c r="W33" s="40" t="s">
        <v>0</v>
      </c>
      <c r="X33" s="41">
        <f>IFERROR(SUM(X27:X31),"0")</f>
        <v>0</v>
      </c>
      <c r="Y33" s="41">
        <f>IFERROR(SUM(Y27:Y31),"0")</f>
        <v>0</v>
      </c>
      <c r="Z33" s="40"/>
      <c r="AA33" s="64"/>
      <c r="AB33" s="64"/>
      <c r="AC33" s="64"/>
    </row>
    <row r="34" spans="1:68" ht="14.25" customHeight="1" x14ac:dyDescent="0.25">
      <c r="A34" s="701" t="s">
        <v>104</v>
      </c>
      <c r="B34" s="701"/>
      <c r="C34" s="701"/>
      <c r="D34" s="701"/>
      <c r="E34" s="701"/>
      <c r="F34" s="701"/>
      <c r="G34" s="701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  <c r="AA34" s="63"/>
      <c r="AB34" s="63"/>
      <c r="AC34" s="63"/>
    </row>
    <row r="35" spans="1:68" ht="27" customHeight="1" x14ac:dyDescent="0.25">
      <c r="A35" s="60" t="s">
        <v>105</v>
      </c>
      <c r="B35" s="60" t="s">
        <v>106</v>
      </c>
      <c r="C35" s="34">
        <v>4301032013</v>
      </c>
      <c r="D35" s="702">
        <v>4607091388503</v>
      </c>
      <c r="E35" s="702"/>
      <c r="F35" s="59">
        <v>0.05</v>
      </c>
      <c r="G35" s="35">
        <v>12</v>
      </c>
      <c r="H35" s="59">
        <v>0.6</v>
      </c>
      <c r="I35" s="59">
        <v>0.82199999999999995</v>
      </c>
      <c r="J35" s="35">
        <v>182</v>
      </c>
      <c r="K35" s="35" t="s">
        <v>91</v>
      </c>
      <c r="L35" s="35" t="s">
        <v>46</v>
      </c>
      <c r="M35" s="36" t="s">
        <v>109</v>
      </c>
      <c r="N35" s="36"/>
      <c r="O35" s="35">
        <v>120</v>
      </c>
      <c r="P35" s="717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35" s="704"/>
      <c r="R35" s="704"/>
      <c r="S35" s="704"/>
      <c r="T35" s="705"/>
      <c r="U35" s="37" t="s">
        <v>46</v>
      </c>
      <c r="V35" s="37" t="s">
        <v>46</v>
      </c>
      <c r="W35" s="38" t="s">
        <v>0</v>
      </c>
      <c r="X35" s="56">
        <v>0</v>
      </c>
      <c r="Y35" s="53">
        <f>IFERROR(IF(X35="",0,CEILING((X35/$H35),1)*$H35),"")</f>
        <v>0</v>
      </c>
      <c r="Z35" s="39" t="str">
        <f>IFERROR(IF(Y35=0,"",ROUNDUP(Y35/H35,0)*0.00651),"")</f>
        <v/>
      </c>
      <c r="AA35" s="65" t="s">
        <v>46</v>
      </c>
      <c r="AB35" s="66" t="s">
        <v>46</v>
      </c>
      <c r="AC35" s="95" t="s">
        <v>107</v>
      </c>
      <c r="AG35" s="75"/>
      <c r="AJ35" s="79" t="s">
        <v>46</v>
      </c>
      <c r="AK35" s="79">
        <v>0</v>
      </c>
      <c r="BB35" s="96" t="s">
        <v>108</v>
      </c>
      <c r="BM35" s="75">
        <f>IFERROR(X35*I35/H35,"0")</f>
        <v>0</v>
      </c>
      <c r="BN35" s="75">
        <f>IFERROR(Y35*I35/H35,"0")</f>
        <v>0</v>
      </c>
      <c r="BO35" s="75">
        <f>IFERROR(1/J35*(X35/H35),"0")</f>
        <v>0</v>
      </c>
      <c r="BP35" s="75">
        <f>IFERROR(1/J35*(Y35/H35),"0")</f>
        <v>0</v>
      </c>
    </row>
    <row r="36" spans="1:68" x14ac:dyDescent="0.2">
      <c r="A36" s="710"/>
      <c r="B36" s="710"/>
      <c r="C36" s="710"/>
      <c r="D36" s="710"/>
      <c r="E36" s="710"/>
      <c r="F36" s="710"/>
      <c r="G36" s="710"/>
      <c r="H36" s="710"/>
      <c r="I36" s="710"/>
      <c r="J36" s="710"/>
      <c r="K36" s="710"/>
      <c r="L36" s="710"/>
      <c r="M36" s="710"/>
      <c r="N36" s="710"/>
      <c r="O36" s="711"/>
      <c r="P36" s="707" t="s">
        <v>40</v>
      </c>
      <c r="Q36" s="708"/>
      <c r="R36" s="708"/>
      <c r="S36" s="708"/>
      <c r="T36" s="708"/>
      <c r="U36" s="708"/>
      <c r="V36" s="709"/>
      <c r="W36" s="40" t="s">
        <v>39</v>
      </c>
      <c r="X36" s="41">
        <f>IFERROR(X35/H35,"0")</f>
        <v>0</v>
      </c>
      <c r="Y36" s="41">
        <f>IFERROR(Y35/H35,"0")</f>
        <v>0</v>
      </c>
      <c r="Z36" s="41">
        <f>IFERROR(IF(Z35="",0,Z35),"0")</f>
        <v>0</v>
      </c>
      <c r="AA36" s="64"/>
      <c r="AB36" s="64"/>
      <c r="AC36" s="64"/>
    </row>
    <row r="37" spans="1:68" x14ac:dyDescent="0.2">
      <c r="A37" s="710"/>
      <c r="B37" s="710"/>
      <c r="C37" s="710"/>
      <c r="D37" s="710"/>
      <c r="E37" s="710"/>
      <c r="F37" s="710"/>
      <c r="G37" s="710"/>
      <c r="H37" s="710"/>
      <c r="I37" s="710"/>
      <c r="J37" s="710"/>
      <c r="K37" s="710"/>
      <c r="L37" s="710"/>
      <c r="M37" s="710"/>
      <c r="N37" s="710"/>
      <c r="O37" s="711"/>
      <c r="P37" s="707" t="s">
        <v>40</v>
      </c>
      <c r="Q37" s="708"/>
      <c r="R37" s="708"/>
      <c r="S37" s="708"/>
      <c r="T37" s="708"/>
      <c r="U37" s="708"/>
      <c r="V37" s="709"/>
      <c r="W37" s="40" t="s">
        <v>0</v>
      </c>
      <c r="X37" s="41">
        <f>IFERROR(SUM(X35:X35),"0")</f>
        <v>0</v>
      </c>
      <c r="Y37" s="41">
        <f>IFERROR(SUM(Y35:Y35),"0")</f>
        <v>0</v>
      </c>
      <c r="Z37" s="40"/>
      <c r="AA37" s="64"/>
      <c r="AB37" s="64"/>
      <c r="AC37" s="64"/>
    </row>
    <row r="38" spans="1:68" ht="27.75" customHeight="1" x14ac:dyDescent="0.2">
      <c r="A38" s="699" t="s">
        <v>45</v>
      </c>
      <c r="B38" s="699"/>
      <c r="C38" s="699"/>
      <c r="D38" s="699"/>
      <c r="E38" s="699"/>
      <c r="F38" s="699"/>
      <c r="G38" s="699"/>
      <c r="H38" s="699"/>
      <c r="I38" s="699"/>
      <c r="J38" s="699"/>
      <c r="K38" s="699"/>
      <c r="L38" s="699"/>
      <c r="M38" s="699"/>
      <c r="N38" s="699"/>
      <c r="O38" s="699"/>
      <c r="P38" s="699"/>
      <c r="Q38" s="699"/>
      <c r="R38" s="699"/>
      <c r="S38" s="699"/>
      <c r="T38" s="699"/>
      <c r="U38" s="699"/>
      <c r="V38" s="699"/>
      <c r="W38" s="699"/>
      <c r="X38" s="699"/>
      <c r="Y38" s="699"/>
      <c r="Z38" s="699"/>
      <c r="AA38" s="52"/>
      <c r="AB38" s="52"/>
      <c r="AC38" s="52"/>
    </row>
    <row r="39" spans="1:68" ht="16.5" customHeight="1" x14ac:dyDescent="0.25">
      <c r="A39" s="700" t="s">
        <v>110</v>
      </c>
      <c r="B39" s="700"/>
      <c r="C39" s="700"/>
      <c r="D39" s="700"/>
      <c r="E39" s="700"/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  <c r="AA39" s="62"/>
      <c r="AB39" s="62"/>
      <c r="AC39" s="62"/>
    </row>
    <row r="40" spans="1:68" ht="14.25" customHeight="1" x14ac:dyDescent="0.25">
      <c r="A40" s="701" t="s">
        <v>86</v>
      </c>
      <c r="B40" s="701"/>
      <c r="C40" s="701"/>
      <c r="D40" s="701"/>
      <c r="E40" s="701"/>
      <c r="F40" s="701"/>
      <c r="G40" s="701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  <c r="AA40" s="63"/>
      <c r="AB40" s="63"/>
      <c r="AC40" s="63"/>
    </row>
    <row r="41" spans="1:68" ht="27" customHeight="1" x14ac:dyDescent="0.25">
      <c r="A41" s="60" t="s">
        <v>111</v>
      </c>
      <c r="B41" s="60" t="s">
        <v>112</v>
      </c>
      <c r="C41" s="34">
        <v>4301052187</v>
      </c>
      <c r="D41" s="702">
        <v>4680115889354</v>
      </c>
      <c r="E41" s="702"/>
      <c r="F41" s="59">
        <v>0.32</v>
      </c>
      <c r="G41" s="35">
        <v>6</v>
      </c>
      <c r="H41" s="59">
        <v>1.92</v>
      </c>
      <c r="I41" s="59">
        <v>2.1</v>
      </c>
      <c r="J41" s="35">
        <v>182</v>
      </c>
      <c r="K41" s="35" t="s">
        <v>91</v>
      </c>
      <c r="L41" s="35" t="s">
        <v>46</v>
      </c>
      <c r="M41" s="36" t="s">
        <v>97</v>
      </c>
      <c r="N41" s="36"/>
      <c r="O41" s="35">
        <v>40</v>
      </c>
      <c r="P41" s="718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41" s="704"/>
      <c r="R41" s="704"/>
      <c r="S41" s="704"/>
      <c r="T41" s="705"/>
      <c r="U41" s="37" t="s">
        <v>46</v>
      </c>
      <c r="V41" s="37" t="s">
        <v>46</v>
      </c>
      <c r="W41" s="38" t="s">
        <v>0</v>
      </c>
      <c r="X41" s="56">
        <v>0</v>
      </c>
      <c r="Y41" s="53">
        <f>IFERROR(IF(X41="",0,CEILING((X41/$H41),1)*$H41),"")</f>
        <v>0</v>
      </c>
      <c r="Z41" s="39" t="str">
        <f>IFERROR(IF(Y41=0,"",ROUNDUP(Y41/H41,0)*0.00651),"")</f>
        <v/>
      </c>
      <c r="AA41" s="65" t="s">
        <v>46</v>
      </c>
      <c r="AB41" s="66" t="s">
        <v>46</v>
      </c>
      <c r="AC41" s="97" t="s">
        <v>113</v>
      </c>
      <c r="AG41" s="75"/>
      <c r="AJ41" s="79" t="s">
        <v>46</v>
      </c>
      <c r="AK41" s="79">
        <v>0</v>
      </c>
      <c r="BB41" s="98" t="s">
        <v>67</v>
      </c>
      <c r="BM41" s="75">
        <f>IFERROR(X41*I41/H41,"0")</f>
        <v>0</v>
      </c>
      <c r="BN41" s="75">
        <f>IFERROR(Y41*I41/H41,"0")</f>
        <v>0</v>
      </c>
      <c r="BO41" s="75">
        <f>IFERROR(1/J41*(X41/H41),"0")</f>
        <v>0</v>
      </c>
      <c r="BP41" s="75">
        <f>IFERROR(1/J41*(Y41/H41),"0")</f>
        <v>0</v>
      </c>
    </row>
    <row r="42" spans="1:68" ht="27" customHeight="1" x14ac:dyDescent="0.25">
      <c r="A42" s="60" t="s">
        <v>114</v>
      </c>
      <c r="B42" s="60" t="s">
        <v>115</v>
      </c>
      <c r="C42" s="34">
        <v>4301052198</v>
      </c>
      <c r="D42" s="702">
        <v>4680115888463</v>
      </c>
      <c r="E42" s="702"/>
      <c r="F42" s="59">
        <v>0.32</v>
      </c>
      <c r="G42" s="35">
        <v>6</v>
      </c>
      <c r="H42" s="59">
        <v>1.92</v>
      </c>
      <c r="I42" s="59">
        <v>2.1</v>
      </c>
      <c r="J42" s="35">
        <v>182</v>
      </c>
      <c r="K42" s="35" t="s">
        <v>91</v>
      </c>
      <c r="L42" s="35" t="s">
        <v>46</v>
      </c>
      <c r="M42" s="36" t="s">
        <v>90</v>
      </c>
      <c r="N42" s="36"/>
      <c r="O42" s="35">
        <v>40</v>
      </c>
      <c r="P42" s="719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42" s="704"/>
      <c r="R42" s="704"/>
      <c r="S42" s="704"/>
      <c r="T42" s="705"/>
      <c r="U42" s="37" t="s">
        <v>46</v>
      </c>
      <c r="V42" s="37" t="s">
        <v>46</v>
      </c>
      <c r="W42" s="38" t="s">
        <v>0</v>
      </c>
      <c r="X42" s="56">
        <v>0</v>
      </c>
      <c r="Y42" s="53">
        <f>IFERROR(IF(X42="",0,CEILING((X42/$H42),1)*$H42),"")</f>
        <v>0</v>
      </c>
      <c r="Z42" s="39" t="str">
        <f>IFERROR(IF(Y42=0,"",ROUNDUP(Y42/H42,0)*0.00651),"")</f>
        <v/>
      </c>
      <c r="AA42" s="65" t="s">
        <v>46</v>
      </c>
      <c r="AB42" s="66" t="s">
        <v>46</v>
      </c>
      <c r="AC42" s="99" t="s">
        <v>116</v>
      </c>
      <c r="AG42" s="75"/>
      <c r="AJ42" s="79" t="s">
        <v>46</v>
      </c>
      <c r="AK42" s="79">
        <v>0</v>
      </c>
      <c r="BB42" s="100" t="s">
        <v>67</v>
      </c>
      <c r="BM42" s="75">
        <f>IFERROR(X42*I42/H42,"0")</f>
        <v>0</v>
      </c>
      <c r="BN42" s="75">
        <f>IFERROR(Y42*I42/H42,"0")</f>
        <v>0</v>
      </c>
      <c r="BO42" s="75">
        <f>IFERROR(1/J42*(X42/H42),"0")</f>
        <v>0</v>
      </c>
      <c r="BP42" s="75">
        <f>IFERROR(1/J42*(Y42/H42),"0")</f>
        <v>0</v>
      </c>
    </row>
    <row r="43" spans="1:68" ht="27" customHeight="1" x14ac:dyDescent="0.25">
      <c r="A43" s="60" t="s">
        <v>117</v>
      </c>
      <c r="B43" s="60" t="s">
        <v>118</v>
      </c>
      <c r="C43" s="34">
        <v>4301052202</v>
      </c>
      <c r="D43" s="702">
        <v>4680115888494</v>
      </c>
      <c r="E43" s="702"/>
      <c r="F43" s="59">
        <v>0.32</v>
      </c>
      <c r="G43" s="35">
        <v>6</v>
      </c>
      <c r="H43" s="59">
        <v>1.92</v>
      </c>
      <c r="I43" s="59">
        <v>2.1</v>
      </c>
      <c r="J43" s="35">
        <v>182</v>
      </c>
      <c r="K43" s="35" t="s">
        <v>91</v>
      </c>
      <c r="L43" s="35" t="s">
        <v>46</v>
      </c>
      <c r="M43" s="36" t="s">
        <v>90</v>
      </c>
      <c r="N43" s="36"/>
      <c r="O43" s="35">
        <v>40</v>
      </c>
      <c r="P43" s="720" t="str">
        <f>HYPERLINK("https://abi.ru/products/Охлажденные/Горячая штучка/Горячая штучка КИ/Сосиски/P005395/","Сосиски «со вкусом Кебаб по-грузински» Фикс.вес 0,32 целлофан ТМ «Горячая штучка»")</f>
        <v>Сосиски «со вкусом Кебаб по-грузински» Фикс.вес 0,32 целлофан ТМ «Горячая штучка»</v>
      </c>
      <c r="Q43" s="704"/>
      <c r="R43" s="704"/>
      <c r="S43" s="704"/>
      <c r="T43" s="705"/>
      <c r="U43" s="37" t="s">
        <v>46</v>
      </c>
      <c r="V43" s="37" t="s">
        <v>46</v>
      </c>
      <c r="W43" s="38" t="s">
        <v>0</v>
      </c>
      <c r="X43" s="56">
        <v>0</v>
      </c>
      <c r="Y43" s="53">
        <f>IFERROR(IF(X43="",0,CEILING((X43/$H43),1)*$H43),"")</f>
        <v>0</v>
      </c>
      <c r="Z43" s="39" t="str">
        <f>IFERROR(IF(Y43=0,"",ROUNDUP(Y43/H43,0)*0.00651),"")</f>
        <v/>
      </c>
      <c r="AA43" s="65" t="s">
        <v>46</v>
      </c>
      <c r="AB43" s="66" t="s">
        <v>46</v>
      </c>
      <c r="AC43" s="101" t="s">
        <v>119</v>
      </c>
      <c r="AG43" s="75"/>
      <c r="AJ43" s="79" t="s">
        <v>46</v>
      </c>
      <c r="AK43" s="79">
        <v>0</v>
      </c>
      <c r="BB43" s="102" t="s">
        <v>67</v>
      </c>
      <c r="BM43" s="75">
        <f>IFERROR(X43*I43/H43,"0")</f>
        <v>0</v>
      </c>
      <c r="BN43" s="75">
        <f>IFERROR(Y43*I43/H43,"0")</f>
        <v>0</v>
      </c>
      <c r="BO43" s="75">
        <f>IFERROR(1/J43*(X43/H43),"0")</f>
        <v>0</v>
      </c>
      <c r="BP43" s="75">
        <f>IFERROR(1/J43*(Y43/H43),"0")</f>
        <v>0</v>
      </c>
    </row>
    <row r="44" spans="1:68" ht="27" customHeight="1" x14ac:dyDescent="0.25">
      <c r="A44" s="60" t="s">
        <v>120</v>
      </c>
      <c r="B44" s="60" t="s">
        <v>121</v>
      </c>
      <c r="C44" s="34">
        <v>4301052184</v>
      </c>
      <c r="D44" s="702">
        <v>4680115888272</v>
      </c>
      <c r="E44" s="702"/>
      <c r="F44" s="59">
        <v>0.32</v>
      </c>
      <c r="G44" s="35">
        <v>6</v>
      </c>
      <c r="H44" s="59">
        <v>1.92</v>
      </c>
      <c r="I44" s="59">
        <v>2.1</v>
      </c>
      <c r="J44" s="35">
        <v>182</v>
      </c>
      <c r="K44" s="35" t="s">
        <v>91</v>
      </c>
      <c r="L44" s="35" t="s">
        <v>46</v>
      </c>
      <c r="M44" s="36" t="s">
        <v>90</v>
      </c>
      <c r="N44" s="36"/>
      <c r="O44" s="35">
        <v>40</v>
      </c>
      <c r="P44" s="721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4" s="704"/>
      <c r="R44" s="704"/>
      <c r="S44" s="704"/>
      <c r="T44" s="705"/>
      <c r="U44" s="37" t="s">
        <v>46</v>
      </c>
      <c r="V44" s="37" t="s">
        <v>46</v>
      </c>
      <c r="W44" s="38" t="s">
        <v>0</v>
      </c>
      <c r="X44" s="56">
        <v>0</v>
      </c>
      <c r="Y44" s="53">
        <f>IFERROR(IF(X44="",0,CEILING((X44/$H44),1)*$H44),"")</f>
        <v>0</v>
      </c>
      <c r="Z44" s="39" t="str">
        <f>IFERROR(IF(Y44=0,"",ROUNDUP(Y44/H44,0)*0.00651),"")</f>
        <v/>
      </c>
      <c r="AA44" s="65" t="s">
        <v>46</v>
      </c>
      <c r="AB44" s="66" t="s">
        <v>46</v>
      </c>
      <c r="AC44" s="103" t="s">
        <v>122</v>
      </c>
      <c r="AG44" s="75"/>
      <c r="AJ44" s="79" t="s">
        <v>46</v>
      </c>
      <c r="AK44" s="79">
        <v>0</v>
      </c>
      <c r="BB44" s="104" t="s">
        <v>67</v>
      </c>
      <c r="BM44" s="75">
        <f>IFERROR(X44*I44/H44,"0")</f>
        <v>0</v>
      </c>
      <c r="BN44" s="75">
        <f>IFERROR(Y44*I44/H44,"0")</f>
        <v>0</v>
      </c>
      <c r="BO44" s="75">
        <f>IFERROR(1/J44*(X44/H44),"0")</f>
        <v>0</v>
      </c>
      <c r="BP44" s="75">
        <f>IFERROR(1/J44*(Y44/H44),"0")</f>
        <v>0</v>
      </c>
    </row>
    <row r="45" spans="1:68" ht="27" customHeight="1" x14ac:dyDescent="0.25">
      <c r="A45" s="60" t="s">
        <v>123</v>
      </c>
      <c r="B45" s="60" t="s">
        <v>124</v>
      </c>
      <c r="C45" s="34">
        <v>4301052188</v>
      </c>
      <c r="D45" s="702">
        <v>4680115888364</v>
      </c>
      <c r="E45" s="702"/>
      <c r="F45" s="59">
        <v>0.32</v>
      </c>
      <c r="G45" s="35">
        <v>6</v>
      </c>
      <c r="H45" s="59">
        <v>1.92</v>
      </c>
      <c r="I45" s="59">
        <v>2.1</v>
      </c>
      <c r="J45" s="35">
        <v>182</v>
      </c>
      <c r="K45" s="35" t="s">
        <v>91</v>
      </c>
      <c r="L45" s="35" t="s">
        <v>46</v>
      </c>
      <c r="M45" s="36" t="s">
        <v>90</v>
      </c>
      <c r="N45" s="36"/>
      <c r="O45" s="35">
        <v>40</v>
      </c>
      <c r="P45" s="722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5" s="704"/>
      <c r="R45" s="704"/>
      <c r="S45" s="704"/>
      <c r="T45" s="705"/>
      <c r="U45" s="37" t="s">
        <v>46</v>
      </c>
      <c r="V45" s="37" t="s">
        <v>46</v>
      </c>
      <c r="W45" s="38" t="s">
        <v>0</v>
      </c>
      <c r="X45" s="56">
        <v>0</v>
      </c>
      <c r="Y45" s="53">
        <f>IFERROR(IF(X45="",0,CEILING((X45/$H45),1)*$H45),"")</f>
        <v>0</v>
      </c>
      <c r="Z45" s="39" t="str">
        <f>IFERROR(IF(Y45=0,"",ROUNDUP(Y45/H45,0)*0.00651),"")</f>
        <v/>
      </c>
      <c r="AA45" s="65" t="s">
        <v>46</v>
      </c>
      <c r="AB45" s="66" t="s">
        <v>46</v>
      </c>
      <c r="AC45" s="105" t="s">
        <v>125</v>
      </c>
      <c r="AG45" s="75"/>
      <c r="AJ45" s="79" t="s">
        <v>46</v>
      </c>
      <c r="AK45" s="79">
        <v>0</v>
      </c>
      <c r="BB45" s="106" t="s">
        <v>67</v>
      </c>
      <c r="BM45" s="75">
        <f>IFERROR(X45*I45/H45,"0")</f>
        <v>0</v>
      </c>
      <c r="BN45" s="75">
        <f>IFERROR(Y45*I45/H45,"0")</f>
        <v>0</v>
      </c>
      <c r="BO45" s="75">
        <f>IFERROR(1/J45*(X45/H45),"0")</f>
        <v>0</v>
      </c>
      <c r="BP45" s="75">
        <f>IFERROR(1/J45*(Y45/H45),"0")</f>
        <v>0</v>
      </c>
    </row>
    <row r="46" spans="1:68" x14ac:dyDescent="0.2">
      <c r="A46" s="710"/>
      <c r="B46" s="710"/>
      <c r="C46" s="710"/>
      <c r="D46" s="710"/>
      <c r="E46" s="710"/>
      <c r="F46" s="710"/>
      <c r="G46" s="710"/>
      <c r="H46" s="710"/>
      <c r="I46" s="710"/>
      <c r="J46" s="710"/>
      <c r="K46" s="710"/>
      <c r="L46" s="710"/>
      <c r="M46" s="710"/>
      <c r="N46" s="710"/>
      <c r="O46" s="711"/>
      <c r="P46" s="707" t="s">
        <v>40</v>
      </c>
      <c r="Q46" s="708"/>
      <c r="R46" s="708"/>
      <c r="S46" s="708"/>
      <c r="T46" s="708"/>
      <c r="U46" s="708"/>
      <c r="V46" s="709"/>
      <c r="W46" s="40" t="s">
        <v>39</v>
      </c>
      <c r="X46" s="41">
        <f>IFERROR(X41/H41,"0")+IFERROR(X42/H42,"0")+IFERROR(X43/H43,"0")+IFERROR(X44/H44,"0")+IFERROR(X45/H45,"0")</f>
        <v>0</v>
      </c>
      <c r="Y46" s="41">
        <f>IFERROR(Y41/H41,"0")+IFERROR(Y42/H42,"0")+IFERROR(Y43/H43,"0")+IFERROR(Y44/H44,"0")+IFERROR(Y45/H45,"0")</f>
        <v>0</v>
      </c>
      <c r="Z46" s="41">
        <f>IFERROR(IF(Z41="",0,Z41),"0")+IFERROR(IF(Z42="",0,Z42),"0")+IFERROR(IF(Z43="",0,Z43),"0")+IFERROR(IF(Z44="",0,Z44),"0")+IFERROR(IF(Z45="",0,Z45),"0")</f>
        <v>0</v>
      </c>
      <c r="AA46" s="64"/>
      <c r="AB46" s="64"/>
      <c r="AC46" s="64"/>
    </row>
    <row r="47" spans="1:68" x14ac:dyDescent="0.2">
      <c r="A47" s="710"/>
      <c r="B47" s="710"/>
      <c r="C47" s="710"/>
      <c r="D47" s="710"/>
      <c r="E47" s="710"/>
      <c r="F47" s="710"/>
      <c r="G47" s="710"/>
      <c r="H47" s="710"/>
      <c r="I47" s="710"/>
      <c r="J47" s="710"/>
      <c r="K47" s="710"/>
      <c r="L47" s="710"/>
      <c r="M47" s="710"/>
      <c r="N47" s="710"/>
      <c r="O47" s="711"/>
      <c r="P47" s="707" t="s">
        <v>40</v>
      </c>
      <c r="Q47" s="708"/>
      <c r="R47" s="708"/>
      <c r="S47" s="708"/>
      <c r="T47" s="708"/>
      <c r="U47" s="708"/>
      <c r="V47" s="709"/>
      <c r="W47" s="40" t="s">
        <v>0</v>
      </c>
      <c r="X47" s="41">
        <f>IFERROR(SUM(X41:X45),"0")</f>
        <v>0</v>
      </c>
      <c r="Y47" s="41">
        <f>IFERROR(SUM(Y41:Y45),"0")</f>
        <v>0</v>
      </c>
      <c r="Z47" s="40"/>
      <c r="AA47" s="64"/>
      <c r="AB47" s="64"/>
      <c r="AC47" s="64"/>
    </row>
    <row r="48" spans="1:68" ht="27.75" customHeight="1" x14ac:dyDescent="0.2">
      <c r="A48" s="699" t="s">
        <v>126</v>
      </c>
      <c r="B48" s="699"/>
      <c r="C48" s="699"/>
      <c r="D48" s="699"/>
      <c r="E48" s="699"/>
      <c r="F48" s="699"/>
      <c r="G48" s="699"/>
      <c r="H48" s="699"/>
      <c r="I48" s="699"/>
      <c r="J48" s="699"/>
      <c r="K48" s="699"/>
      <c r="L48" s="699"/>
      <c r="M48" s="699"/>
      <c r="N48" s="699"/>
      <c r="O48" s="699"/>
      <c r="P48" s="699"/>
      <c r="Q48" s="699"/>
      <c r="R48" s="699"/>
      <c r="S48" s="699"/>
      <c r="T48" s="699"/>
      <c r="U48" s="699"/>
      <c r="V48" s="699"/>
      <c r="W48" s="699"/>
      <c r="X48" s="699"/>
      <c r="Y48" s="699"/>
      <c r="Z48" s="699"/>
      <c r="AA48" s="52"/>
      <c r="AB48" s="52"/>
      <c r="AC48" s="52"/>
    </row>
    <row r="49" spans="1:68" ht="16.5" customHeight="1" x14ac:dyDescent="0.25">
      <c r="A49" s="700" t="s">
        <v>127</v>
      </c>
      <c r="B49" s="700"/>
      <c r="C49" s="700"/>
      <c r="D49" s="700"/>
      <c r="E49" s="700"/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  <c r="AA49" s="62"/>
      <c r="AB49" s="62"/>
      <c r="AC49" s="62"/>
    </row>
    <row r="50" spans="1:68" ht="14.25" customHeight="1" x14ac:dyDescent="0.25">
      <c r="A50" s="701" t="s">
        <v>128</v>
      </c>
      <c r="B50" s="701"/>
      <c r="C50" s="701"/>
      <c r="D50" s="701"/>
      <c r="E50" s="701"/>
      <c r="F50" s="701"/>
      <c r="G50" s="701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  <c r="AA50" s="63"/>
      <c r="AB50" s="63"/>
      <c r="AC50" s="63"/>
    </row>
    <row r="51" spans="1:68" ht="16.5" customHeight="1" x14ac:dyDescent="0.25">
      <c r="A51" s="60" t="s">
        <v>129</v>
      </c>
      <c r="B51" s="60" t="s">
        <v>130</v>
      </c>
      <c r="C51" s="34">
        <v>4301011380</v>
      </c>
      <c r="D51" s="702">
        <v>4607091385670</v>
      </c>
      <c r="E51" s="702"/>
      <c r="F51" s="59">
        <v>1.35</v>
      </c>
      <c r="G51" s="35">
        <v>8</v>
      </c>
      <c r="H51" s="59">
        <v>10.8</v>
      </c>
      <c r="I51" s="59">
        <v>11.21</v>
      </c>
      <c r="J51" s="35">
        <v>64</v>
      </c>
      <c r="K51" s="35" t="s">
        <v>133</v>
      </c>
      <c r="L51" s="35" t="s">
        <v>46</v>
      </c>
      <c r="M51" s="36" t="s">
        <v>132</v>
      </c>
      <c r="N51" s="36"/>
      <c r="O51" s="35">
        <v>50</v>
      </c>
      <c r="P51" s="723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51" s="704"/>
      <c r="R51" s="704"/>
      <c r="S51" s="704"/>
      <c r="T51" s="705"/>
      <c r="U51" s="37" t="s">
        <v>46</v>
      </c>
      <c r="V51" s="37" t="s">
        <v>46</v>
      </c>
      <c r="W51" s="38" t="s">
        <v>0</v>
      </c>
      <c r="X51" s="56">
        <v>0</v>
      </c>
      <c r="Y51" s="53">
        <f>IFERROR(IF(X51="",0,CEILING((X51/$H51),1)*$H51),"")</f>
        <v>0</v>
      </c>
      <c r="Z51" s="39" t="str">
        <f>IFERROR(IF(Y51=0,"",ROUNDUP(Y51/H51,0)*0.01898),"")</f>
        <v/>
      </c>
      <c r="AA51" s="65" t="s">
        <v>46</v>
      </c>
      <c r="AB51" s="66" t="s">
        <v>46</v>
      </c>
      <c r="AC51" s="107" t="s">
        <v>131</v>
      </c>
      <c r="AG51" s="75"/>
      <c r="AJ51" s="79" t="s">
        <v>46</v>
      </c>
      <c r="AK51" s="79">
        <v>0</v>
      </c>
      <c r="BB51" s="108" t="s">
        <v>67</v>
      </c>
      <c r="BM51" s="75">
        <f>IFERROR(X51*I51/H51,"0")</f>
        <v>0</v>
      </c>
      <c r="BN51" s="75">
        <f>IFERROR(Y51*I51/H51,"0")</f>
        <v>0</v>
      </c>
      <c r="BO51" s="75">
        <f>IFERROR(1/J51*(X51/H51),"0")</f>
        <v>0</v>
      </c>
      <c r="BP51" s="75">
        <f>IFERROR(1/J51*(Y51/H51),"0")</f>
        <v>0</v>
      </c>
    </row>
    <row r="52" spans="1:68" ht="27" customHeight="1" x14ac:dyDescent="0.25">
      <c r="A52" s="60" t="s">
        <v>134</v>
      </c>
      <c r="B52" s="60" t="s">
        <v>135</v>
      </c>
      <c r="C52" s="34">
        <v>4301012053</v>
      </c>
      <c r="D52" s="702">
        <v>4680115887725</v>
      </c>
      <c r="E52" s="702"/>
      <c r="F52" s="59">
        <v>0.11</v>
      </c>
      <c r="G52" s="35">
        <v>10</v>
      </c>
      <c r="H52" s="59">
        <v>1.1000000000000001</v>
      </c>
      <c r="I52" s="59">
        <v>1.31</v>
      </c>
      <c r="J52" s="35">
        <v>192</v>
      </c>
      <c r="K52" s="35" t="s">
        <v>137</v>
      </c>
      <c r="L52" s="35" t="s">
        <v>46</v>
      </c>
      <c r="M52" s="36" t="s">
        <v>81</v>
      </c>
      <c r="N52" s="36"/>
      <c r="O52" s="35">
        <v>30</v>
      </c>
      <c r="P52" s="724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52" s="704"/>
      <c r="R52" s="704"/>
      <c r="S52" s="704"/>
      <c r="T52" s="705"/>
      <c r="U52" s="37" t="s">
        <v>46</v>
      </c>
      <c r="V52" s="37" t="s">
        <v>46</v>
      </c>
      <c r="W52" s="38" t="s">
        <v>0</v>
      </c>
      <c r="X52" s="56">
        <v>0</v>
      </c>
      <c r="Y52" s="53">
        <f>IFERROR(IF(X52="",0,CEILING((X52/$H52),1)*$H52),"")</f>
        <v>0</v>
      </c>
      <c r="Z52" s="39" t="str">
        <f>IFERROR(IF(Y52=0,"",ROUNDUP(Y52/H52,0)*0.00726),"")</f>
        <v/>
      </c>
      <c r="AA52" s="65" t="s">
        <v>46</v>
      </c>
      <c r="AB52" s="66" t="s">
        <v>46</v>
      </c>
      <c r="AC52" s="109" t="s">
        <v>136</v>
      </c>
      <c r="AG52" s="75"/>
      <c r="AJ52" s="79" t="s">
        <v>46</v>
      </c>
      <c r="AK52" s="79">
        <v>0</v>
      </c>
      <c r="BB52" s="110" t="s">
        <v>67</v>
      </c>
      <c r="BM52" s="75">
        <f>IFERROR(X52*I52/H52,"0")</f>
        <v>0</v>
      </c>
      <c r="BN52" s="75">
        <f>IFERROR(Y52*I52/H52,"0")</f>
        <v>0</v>
      </c>
      <c r="BO52" s="75">
        <f>IFERROR(1/J52*(X52/H52),"0")</f>
        <v>0</v>
      </c>
      <c r="BP52" s="75">
        <f>IFERROR(1/J52*(Y52/H52),"0")</f>
        <v>0</v>
      </c>
    </row>
    <row r="53" spans="1:68" ht="27" customHeight="1" x14ac:dyDescent="0.25">
      <c r="A53" s="60" t="s">
        <v>138</v>
      </c>
      <c r="B53" s="60" t="s">
        <v>139</v>
      </c>
      <c r="C53" s="34">
        <v>4301011382</v>
      </c>
      <c r="D53" s="702">
        <v>4607091385687</v>
      </c>
      <c r="E53" s="702"/>
      <c r="F53" s="59">
        <v>0.4</v>
      </c>
      <c r="G53" s="35">
        <v>10</v>
      </c>
      <c r="H53" s="59">
        <v>4</v>
      </c>
      <c r="I53" s="59">
        <v>4.1900000000000004</v>
      </c>
      <c r="J53" s="35">
        <v>132</v>
      </c>
      <c r="K53" s="35" t="s">
        <v>140</v>
      </c>
      <c r="L53" s="35" t="s">
        <v>46</v>
      </c>
      <c r="M53" s="36" t="s">
        <v>90</v>
      </c>
      <c r="N53" s="36"/>
      <c r="O53" s="35">
        <v>50</v>
      </c>
      <c r="P53" s="725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53" s="704"/>
      <c r="R53" s="704"/>
      <c r="S53" s="704"/>
      <c r="T53" s="705"/>
      <c r="U53" s="37" t="s">
        <v>46</v>
      </c>
      <c r="V53" s="37" t="s">
        <v>46</v>
      </c>
      <c r="W53" s="38" t="s">
        <v>0</v>
      </c>
      <c r="X53" s="56">
        <v>0</v>
      </c>
      <c r="Y53" s="53">
        <f>IFERROR(IF(X53="",0,CEILING((X53/$H53),1)*$H53),"")</f>
        <v>0</v>
      </c>
      <c r="Z53" s="39" t="str">
        <f>IFERROR(IF(Y53=0,"",ROUNDUP(Y53/H53,0)*0.00902),"")</f>
        <v/>
      </c>
      <c r="AA53" s="65" t="s">
        <v>46</v>
      </c>
      <c r="AB53" s="66" t="s">
        <v>46</v>
      </c>
      <c r="AC53" s="111" t="s">
        <v>131</v>
      </c>
      <c r="AG53" s="75"/>
      <c r="AJ53" s="79" t="s">
        <v>46</v>
      </c>
      <c r="AK53" s="79">
        <v>0</v>
      </c>
      <c r="BB53" s="112" t="s">
        <v>67</v>
      </c>
      <c r="BM53" s="75">
        <f>IFERROR(X53*I53/H53,"0")</f>
        <v>0</v>
      </c>
      <c r="BN53" s="75">
        <f>IFERROR(Y53*I53/H53,"0")</f>
        <v>0</v>
      </c>
      <c r="BO53" s="75">
        <f>IFERROR(1/J53*(X53/H53),"0")</f>
        <v>0</v>
      </c>
      <c r="BP53" s="75">
        <f>IFERROR(1/J53*(Y53/H53),"0")</f>
        <v>0</v>
      </c>
    </row>
    <row r="54" spans="1:68" ht="27" customHeight="1" x14ac:dyDescent="0.25">
      <c r="A54" s="60" t="s">
        <v>141</v>
      </c>
      <c r="B54" s="60" t="s">
        <v>142</v>
      </c>
      <c r="C54" s="34">
        <v>4301011565</v>
      </c>
      <c r="D54" s="702">
        <v>4680115882539</v>
      </c>
      <c r="E54" s="702"/>
      <c r="F54" s="59">
        <v>0.37</v>
      </c>
      <c r="G54" s="35">
        <v>10</v>
      </c>
      <c r="H54" s="59">
        <v>3.7</v>
      </c>
      <c r="I54" s="59">
        <v>3.89</v>
      </c>
      <c r="J54" s="35">
        <v>132</v>
      </c>
      <c r="K54" s="35" t="s">
        <v>140</v>
      </c>
      <c r="L54" s="35" t="s">
        <v>46</v>
      </c>
      <c r="M54" s="36" t="s">
        <v>90</v>
      </c>
      <c r="N54" s="36"/>
      <c r="O54" s="35">
        <v>50</v>
      </c>
      <c r="P54" s="726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4" s="704"/>
      <c r="R54" s="704"/>
      <c r="S54" s="704"/>
      <c r="T54" s="705"/>
      <c r="U54" s="37" t="s">
        <v>46</v>
      </c>
      <c r="V54" s="37" t="s">
        <v>46</v>
      </c>
      <c r="W54" s="38" t="s">
        <v>0</v>
      </c>
      <c r="X54" s="56">
        <v>0</v>
      </c>
      <c r="Y54" s="53">
        <f>IFERROR(IF(X54="",0,CEILING((X54/$H54),1)*$H54),"")</f>
        <v>0</v>
      </c>
      <c r="Z54" s="39" t="str">
        <f>IFERROR(IF(Y54=0,"",ROUNDUP(Y54/H54,0)*0.00902),"")</f>
        <v/>
      </c>
      <c r="AA54" s="65" t="s">
        <v>46</v>
      </c>
      <c r="AB54" s="66" t="s">
        <v>46</v>
      </c>
      <c r="AC54" s="113" t="s">
        <v>131</v>
      </c>
      <c r="AG54" s="75"/>
      <c r="AJ54" s="79" t="s">
        <v>46</v>
      </c>
      <c r="AK54" s="79">
        <v>0</v>
      </c>
      <c r="BB54" s="114" t="s">
        <v>67</v>
      </c>
      <c r="BM54" s="75">
        <f>IFERROR(X54*I54/H54,"0")</f>
        <v>0</v>
      </c>
      <c r="BN54" s="75">
        <f>IFERROR(Y54*I54/H54,"0")</f>
        <v>0</v>
      </c>
      <c r="BO54" s="75">
        <f>IFERROR(1/J54*(X54/H54),"0")</f>
        <v>0</v>
      </c>
      <c r="BP54" s="75">
        <f>IFERROR(1/J54*(Y54/H54),"0")</f>
        <v>0</v>
      </c>
    </row>
    <row r="55" spans="1:68" x14ac:dyDescent="0.2">
      <c r="A55" s="710"/>
      <c r="B55" s="710"/>
      <c r="C55" s="710"/>
      <c r="D55" s="710"/>
      <c r="E55" s="710"/>
      <c r="F55" s="710"/>
      <c r="G55" s="710"/>
      <c r="H55" s="710"/>
      <c r="I55" s="710"/>
      <c r="J55" s="710"/>
      <c r="K55" s="710"/>
      <c r="L55" s="710"/>
      <c r="M55" s="710"/>
      <c r="N55" s="710"/>
      <c r="O55" s="711"/>
      <c r="P55" s="707" t="s">
        <v>40</v>
      </c>
      <c r="Q55" s="708"/>
      <c r="R55" s="708"/>
      <c r="S55" s="708"/>
      <c r="T55" s="708"/>
      <c r="U55" s="708"/>
      <c r="V55" s="709"/>
      <c r="W55" s="40" t="s">
        <v>39</v>
      </c>
      <c r="X55" s="41">
        <f>IFERROR(X51/H51,"0")+IFERROR(X52/H52,"0")+IFERROR(X53/H53,"0")+IFERROR(X54/H54,"0")</f>
        <v>0</v>
      </c>
      <c r="Y55" s="41">
        <f>IFERROR(Y51/H51,"0")+IFERROR(Y52/H52,"0")+IFERROR(Y53/H53,"0")+IFERROR(Y54/H54,"0")</f>
        <v>0</v>
      </c>
      <c r="Z55" s="41">
        <f>IFERROR(IF(Z51="",0,Z51),"0")+IFERROR(IF(Z52="",0,Z52),"0")+IFERROR(IF(Z53="",0,Z53),"0")+IFERROR(IF(Z54="",0,Z54),"0")</f>
        <v>0</v>
      </c>
      <c r="AA55" s="64"/>
      <c r="AB55" s="64"/>
      <c r="AC55" s="64"/>
    </row>
    <row r="56" spans="1:68" x14ac:dyDescent="0.2">
      <c r="A56" s="710"/>
      <c r="B56" s="710"/>
      <c r="C56" s="710"/>
      <c r="D56" s="710"/>
      <c r="E56" s="710"/>
      <c r="F56" s="710"/>
      <c r="G56" s="710"/>
      <c r="H56" s="710"/>
      <c r="I56" s="710"/>
      <c r="J56" s="710"/>
      <c r="K56" s="710"/>
      <c r="L56" s="710"/>
      <c r="M56" s="710"/>
      <c r="N56" s="710"/>
      <c r="O56" s="711"/>
      <c r="P56" s="707" t="s">
        <v>40</v>
      </c>
      <c r="Q56" s="708"/>
      <c r="R56" s="708"/>
      <c r="S56" s="708"/>
      <c r="T56" s="708"/>
      <c r="U56" s="708"/>
      <c r="V56" s="709"/>
      <c r="W56" s="40" t="s">
        <v>0</v>
      </c>
      <c r="X56" s="41">
        <f>IFERROR(SUM(X51:X54),"0")</f>
        <v>0</v>
      </c>
      <c r="Y56" s="41">
        <f>IFERROR(SUM(Y51:Y54),"0")</f>
        <v>0</v>
      </c>
      <c r="Z56" s="40"/>
      <c r="AA56" s="64"/>
      <c r="AB56" s="64"/>
      <c r="AC56" s="64"/>
    </row>
    <row r="57" spans="1:68" ht="16.5" customHeight="1" x14ac:dyDescent="0.25">
      <c r="A57" s="700" t="s">
        <v>143</v>
      </c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  <c r="AA57" s="62"/>
      <c r="AB57" s="62"/>
      <c r="AC57" s="62"/>
    </row>
    <row r="58" spans="1:68" ht="14.25" customHeight="1" x14ac:dyDescent="0.25">
      <c r="A58" s="701" t="s">
        <v>128</v>
      </c>
      <c r="B58" s="701"/>
      <c r="C58" s="701"/>
      <c r="D58" s="701"/>
      <c r="E58" s="701"/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  <c r="AA58" s="63"/>
      <c r="AB58" s="63"/>
      <c r="AC58" s="63"/>
    </row>
    <row r="59" spans="1:68" ht="27" customHeight="1" x14ac:dyDescent="0.25">
      <c r="A59" s="60" t="s">
        <v>144</v>
      </c>
      <c r="B59" s="60" t="s">
        <v>145</v>
      </c>
      <c r="C59" s="34">
        <v>4301012030</v>
      </c>
      <c r="D59" s="702">
        <v>4680115885882</v>
      </c>
      <c r="E59" s="702"/>
      <c r="F59" s="59">
        <v>1.4</v>
      </c>
      <c r="G59" s="35">
        <v>8</v>
      </c>
      <c r="H59" s="59">
        <v>11.2</v>
      </c>
      <c r="I59" s="59">
        <v>11.61</v>
      </c>
      <c r="J59" s="35">
        <v>64</v>
      </c>
      <c r="K59" s="35" t="s">
        <v>133</v>
      </c>
      <c r="L59" s="35" t="s">
        <v>46</v>
      </c>
      <c r="M59" s="36" t="s">
        <v>90</v>
      </c>
      <c r="N59" s="36"/>
      <c r="O59" s="35">
        <v>50</v>
      </c>
      <c r="P59" s="727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59" s="704"/>
      <c r="R59" s="704"/>
      <c r="S59" s="704"/>
      <c r="T59" s="705"/>
      <c r="U59" s="37" t="s">
        <v>46</v>
      </c>
      <c r="V59" s="37" t="s">
        <v>46</v>
      </c>
      <c r="W59" s="38" t="s">
        <v>0</v>
      </c>
      <c r="X59" s="56">
        <v>0</v>
      </c>
      <c r="Y59" s="53">
        <f t="shared" ref="Y59:Y66" si="0">IFERROR(IF(X59="",0,CEILING((X59/$H59),1)*$H59),"")</f>
        <v>0</v>
      </c>
      <c r="Z59" s="39" t="str">
        <f>IFERROR(IF(Y59=0,"",ROUNDUP(Y59/H59,0)*0.01898),"")</f>
        <v/>
      </c>
      <c r="AA59" s="65" t="s">
        <v>46</v>
      </c>
      <c r="AB59" s="66" t="s">
        <v>46</v>
      </c>
      <c r="AC59" s="115" t="s">
        <v>146</v>
      </c>
      <c r="AG59" s="75"/>
      <c r="AJ59" s="79" t="s">
        <v>46</v>
      </c>
      <c r="AK59" s="79">
        <v>0</v>
      </c>
      <c r="BB59" s="116" t="s">
        <v>67</v>
      </c>
      <c r="BM59" s="75">
        <f t="shared" ref="BM59:BM66" si="1">IFERROR(X59*I59/H59,"0")</f>
        <v>0</v>
      </c>
      <c r="BN59" s="75">
        <f t="shared" ref="BN59:BN66" si="2">IFERROR(Y59*I59/H59,"0")</f>
        <v>0</v>
      </c>
      <c r="BO59" s="75">
        <f t="shared" ref="BO59:BO66" si="3">IFERROR(1/J59*(X59/H59),"0")</f>
        <v>0</v>
      </c>
      <c r="BP59" s="75">
        <f t="shared" ref="BP59:BP66" si="4">IFERROR(1/J59*(Y59/H59),"0")</f>
        <v>0</v>
      </c>
    </row>
    <row r="60" spans="1:68" ht="27" customHeight="1" x14ac:dyDescent="0.25">
      <c r="A60" s="60" t="s">
        <v>144</v>
      </c>
      <c r="B60" s="60" t="s">
        <v>147</v>
      </c>
      <c r="C60" s="34">
        <v>4301012161</v>
      </c>
      <c r="D60" s="702">
        <v>4680115885882</v>
      </c>
      <c r="E60" s="702"/>
      <c r="F60" s="59">
        <v>1.4</v>
      </c>
      <c r="G60" s="35">
        <v>8</v>
      </c>
      <c r="H60" s="59">
        <v>11.2</v>
      </c>
      <c r="I60" s="59">
        <v>11.61</v>
      </c>
      <c r="J60" s="35">
        <v>64</v>
      </c>
      <c r="K60" s="35" t="s">
        <v>133</v>
      </c>
      <c r="L60" s="35" t="s">
        <v>46</v>
      </c>
      <c r="M60" s="36" t="s">
        <v>132</v>
      </c>
      <c r="N60" s="36"/>
      <c r="O60" s="35">
        <v>50</v>
      </c>
      <c r="P60" s="728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60" s="704"/>
      <c r="R60" s="704"/>
      <c r="S60" s="704"/>
      <c r="T60" s="705"/>
      <c r="U60" s="37" t="s">
        <v>46</v>
      </c>
      <c r="V60" s="37" t="s">
        <v>46</v>
      </c>
      <c r="W60" s="38" t="s">
        <v>0</v>
      </c>
      <c r="X60" s="56">
        <v>0</v>
      </c>
      <c r="Y60" s="53">
        <f t="shared" si="0"/>
        <v>0</v>
      </c>
      <c r="Z60" s="39" t="str">
        <f>IFERROR(IF(Y60=0,"",ROUNDUP(Y60/H60,0)*0.01898),"")</f>
        <v/>
      </c>
      <c r="AA60" s="65" t="s">
        <v>46</v>
      </c>
      <c r="AB60" s="66" t="s">
        <v>46</v>
      </c>
      <c r="AC60" s="117" t="s">
        <v>148</v>
      </c>
      <c r="AG60" s="75"/>
      <c r="AJ60" s="79" t="s">
        <v>46</v>
      </c>
      <c r="AK60" s="79">
        <v>0</v>
      </c>
      <c r="BB60" s="118" t="s">
        <v>67</v>
      </c>
      <c r="BM60" s="75">
        <f t="shared" si="1"/>
        <v>0</v>
      </c>
      <c r="BN60" s="75">
        <f t="shared" si="2"/>
        <v>0</v>
      </c>
      <c r="BO60" s="75">
        <f t="shared" si="3"/>
        <v>0</v>
      </c>
      <c r="BP60" s="75">
        <f t="shared" si="4"/>
        <v>0</v>
      </c>
    </row>
    <row r="61" spans="1:68" ht="27" customHeight="1" x14ac:dyDescent="0.25">
      <c r="A61" s="60" t="s">
        <v>149</v>
      </c>
      <c r="B61" s="60" t="s">
        <v>150</v>
      </c>
      <c r="C61" s="34">
        <v>4301011816</v>
      </c>
      <c r="D61" s="702">
        <v>4680115881426</v>
      </c>
      <c r="E61" s="702"/>
      <c r="F61" s="59">
        <v>1.35</v>
      </c>
      <c r="G61" s="35">
        <v>8</v>
      </c>
      <c r="H61" s="59">
        <v>10.8</v>
      </c>
      <c r="I61" s="59">
        <v>11.21</v>
      </c>
      <c r="J61" s="35">
        <v>64</v>
      </c>
      <c r="K61" s="35" t="s">
        <v>133</v>
      </c>
      <c r="L61" s="35" t="s">
        <v>46</v>
      </c>
      <c r="M61" s="36" t="s">
        <v>132</v>
      </c>
      <c r="N61" s="36"/>
      <c r="O61" s="35">
        <v>50</v>
      </c>
      <c r="P61" s="729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61" s="704"/>
      <c r="R61" s="704"/>
      <c r="S61" s="704"/>
      <c r="T61" s="705"/>
      <c r="U61" s="37" t="s">
        <v>46</v>
      </c>
      <c r="V61" s="37" t="s">
        <v>46</v>
      </c>
      <c r="W61" s="38" t="s">
        <v>0</v>
      </c>
      <c r="X61" s="56">
        <v>0</v>
      </c>
      <c r="Y61" s="53">
        <f t="shared" si="0"/>
        <v>0</v>
      </c>
      <c r="Z61" s="39" t="str">
        <f>IFERROR(IF(Y61=0,"",ROUNDUP(Y61/H61,0)*0.01898),"")</f>
        <v/>
      </c>
      <c r="AA61" s="65" t="s">
        <v>46</v>
      </c>
      <c r="AB61" s="66" t="s">
        <v>46</v>
      </c>
      <c r="AC61" s="119" t="s">
        <v>151</v>
      </c>
      <c r="AG61" s="75"/>
      <c r="AJ61" s="79" t="s">
        <v>46</v>
      </c>
      <c r="AK61" s="79">
        <v>0</v>
      </c>
      <c r="BB61" s="120" t="s">
        <v>67</v>
      </c>
      <c r="BM61" s="75">
        <f t="shared" si="1"/>
        <v>0</v>
      </c>
      <c r="BN61" s="75">
        <f t="shared" si="2"/>
        <v>0</v>
      </c>
      <c r="BO61" s="75">
        <f t="shared" si="3"/>
        <v>0</v>
      </c>
      <c r="BP61" s="75">
        <f t="shared" si="4"/>
        <v>0</v>
      </c>
    </row>
    <row r="62" spans="1:68" ht="27" customHeight="1" x14ac:dyDescent="0.25">
      <c r="A62" s="60" t="s">
        <v>152</v>
      </c>
      <c r="B62" s="60" t="s">
        <v>153</v>
      </c>
      <c r="C62" s="34">
        <v>4301011386</v>
      </c>
      <c r="D62" s="702">
        <v>4680115880283</v>
      </c>
      <c r="E62" s="702"/>
      <c r="F62" s="59">
        <v>0.6</v>
      </c>
      <c r="G62" s="35">
        <v>8</v>
      </c>
      <c r="H62" s="59">
        <v>4.8</v>
      </c>
      <c r="I62" s="59">
        <v>4.99</v>
      </c>
      <c r="J62" s="35">
        <v>132</v>
      </c>
      <c r="K62" s="35" t="s">
        <v>140</v>
      </c>
      <c r="L62" s="35" t="s">
        <v>46</v>
      </c>
      <c r="M62" s="36" t="s">
        <v>132</v>
      </c>
      <c r="N62" s="36"/>
      <c r="O62" s="35">
        <v>45</v>
      </c>
      <c r="P62" s="730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62" s="704"/>
      <c r="R62" s="704"/>
      <c r="S62" s="704"/>
      <c r="T62" s="705"/>
      <c r="U62" s="37" t="s">
        <v>46</v>
      </c>
      <c r="V62" s="37" t="s">
        <v>46</v>
      </c>
      <c r="W62" s="38" t="s">
        <v>0</v>
      </c>
      <c r="X62" s="56">
        <v>0</v>
      </c>
      <c r="Y62" s="53">
        <f t="shared" si="0"/>
        <v>0</v>
      </c>
      <c r="Z62" s="39" t="str">
        <f>IFERROR(IF(Y62=0,"",ROUNDUP(Y62/H62,0)*0.00902),"")</f>
        <v/>
      </c>
      <c r="AA62" s="65" t="s">
        <v>46</v>
      </c>
      <c r="AB62" s="66" t="s">
        <v>46</v>
      </c>
      <c r="AC62" s="121" t="s">
        <v>154</v>
      </c>
      <c r="AG62" s="75"/>
      <c r="AJ62" s="79" t="s">
        <v>46</v>
      </c>
      <c r="AK62" s="79">
        <v>0</v>
      </c>
      <c r="BB62" s="122" t="s">
        <v>67</v>
      </c>
      <c r="BM62" s="75">
        <f t="shared" si="1"/>
        <v>0</v>
      </c>
      <c r="BN62" s="75">
        <f t="shared" si="2"/>
        <v>0</v>
      </c>
      <c r="BO62" s="75">
        <f t="shared" si="3"/>
        <v>0</v>
      </c>
      <c r="BP62" s="75">
        <f t="shared" si="4"/>
        <v>0</v>
      </c>
    </row>
    <row r="63" spans="1:68" ht="27" customHeight="1" x14ac:dyDescent="0.25">
      <c r="A63" s="60" t="s">
        <v>152</v>
      </c>
      <c r="B63" s="60" t="s">
        <v>155</v>
      </c>
      <c r="C63" s="34">
        <v>4301012259</v>
      </c>
      <c r="D63" s="702">
        <v>4680115880283</v>
      </c>
      <c r="E63" s="702"/>
      <c r="F63" s="59">
        <v>0.6</v>
      </c>
      <c r="G63" s="35">
        <v>8</v>
      </c>
      <c r="H63" s="59">
        <v>4.8</v>
      </c>
      <c r="I63" s="59">
        <v>4.99</v>
      </c>
      <c r="J63" s="35">
        <v>132</v>
      </c>
      <c r="K63" s="35" t="s">
        <v>140</v>
      </c>
      <c r="L63" s="35" t="s">
        <v>46</v>
      </c>
      <c r="M63" s="36" t="s">
        <v>132</v>
      </c>
      <c r="N63" s="36"/>
      <c r="O63" s="35">
        <v>45</v>
      </c>
      <c r="P63" s="731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63" s="704"/>
      <c r="R63" s="704"/>
      <c r="S63" s="704"/>
      <c r="T63" s="705"/>
      <c r="U63" s="37" t="s">
        <v>46</v>
      </c>
      <c r="V63" s="37" t="s">
        <v>46</v>
      </c>
      <c r="W63" s="38" t="s">
        <v>0</v>
      </c>
      <c r="X63" s="56">
        <v>0</v>
      </c>
      <c r="Y63" s="53">
        <f t="shared" si="0"/>
        <v>0</v>
      </c>
      <c r="Z63" s="39" t="str">
        <f>IFERROR(IF(Y63=0,"",ROUNDUP(Y63/H63,0)*0.00902),"")</f>
        <v/>
      </c>
      <c r="AA63" s="65" t="s">
        <v>46</v>
      </c>
      <c r="AB63" s="66" t="s">
        <v>46</v>
      </c>
      <c r="AC63" s="123" t="s">
        <v>154</v>
      </c>
      <c r="AG63" s="75"/>
      <c r="AJ63" s="79" t="s">
        <v>46</v>
      </c>
      <c r="AK63" s="79">
        <v>0</v>
      </c>
      <c r="BB63" s="124" t="s">
        <v>67</v>
      </c>
      <c r="BM63" s="75">
        <f t="shared" si="1"/>
        <v>0</v>
      </c>
      <c r="BN63" s="75">
        <f t="shared" si="2"/>
        <v>0</v>
      </c>
      <c r="BO63" s="75">
        <f t="shared" si="3"/>
        <v>0</v>
      </c>
      <c r="BP63" s="75">
        <f t="shared" si="4"/>
        <v>0</v>
      </c>
    </row>
    <row r="64" spans="1:68" ht="27" customHeight="1" x14ac:dyDescent="0.25">
      <c r="A64" s="60" t="s">
        <v>156</v>
      </c>
      <c r="B64" s="60" t="s">
        <v>157</v>
      </c>
      <c r="C64" s="34">
        <v>4301011806</v>
      </c>
      <c r="D64" s="702">
        <v>4680115881525</v>
      </c>
      <c r="E64" s="702"/>
      <c r="F64" s="59">
        <v>0.4</v>
      </c>
      <c r="G64" s="35">
        <v>10</v>
      </c>
      <c r="H64" s="59">
        <v>4</v>
      </c>
      <c r="I64" s="59">
        <v>4.1900000000000004</v>
      </c>
      <c r="J64" s="35">
        <v>132</v>
      </c>
      <c r="K64" s="35" t="s">
        <v>140</v>
      </c>
      <c r="L64" s="35" t="s">
        <v>46</v>
      </c>
      <c r="M64" s="36" t="s">
        <v>132</v>
      </c>
      <c r="N64" s="36"/>
      <c r="O64" s="35">
        <v>50</v>
      </c>
      <c r="P64" s="732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64" s="704"/>
      <c r="R64" s="704"/>
      <c r="S64" s="704"/>
      <c r="T64" s="705"/>
      <c r="U64" s="37" t="s">
        <v>46</v>
      </c>
      <c r="V64" s="37" t="s">
        <v>46</v>
      </c>
      <c r="W64" s="38" t="s">
        <v>0</v>
      </c>
      <c r="X64" s="56">
        <v>0</v>
      </c>
      <c r="Y64" s="53">
        <f t="shared" si="0"/>
        <v>0</v>
      </c>
      <c r="Z64" s="39" t="str">
        <f>IFERROR(IF(Y64=0,"",ROUNDUP(Y64/H64,0)*0.00902),"")</f>
        <v/>
      </c>
      <c r="AA64" s="65" t="s">
        <v>46</v>
      </c>
      <c r="AB64" s="66" t="s">
        <v>46</v>
      </c>
      <c r="AC64" s="125" t="s">
        <v>158</v>
      </c>
      <c r="AG64" s="75"/>
      <c r="AJ64" s="79" t="s">
        <v>46</v>
      </c>
      <c r="AK64" s="79">
        <v>0</v>
      </c>
      <c r="BB64" s="126" t="s">
        <v>67</v>
      </c>
      <c r="BM64" s="75">
        <f t="shared" si="1"/>
        <v>0</v>
      </c>
      <c r="BN64" s="75">
        <f t="shared" si="2"/>
        <v>0</v>
      </c>
      <c r="BO64" s="75">
        <f t="shared" si="3"/>
        <v>0</v>
      </c>
      <c r="BP64" s="75">
        <f t="shared" si="4"/>
        <v>0</v>
      </c>
    </row>
    <row r="65" spans="1:68" ht="27" customHeight="1" x14ac:dyDescent="0.25">
      <c r="A65" s="60" t="s">
        <v>159</v>
      </c>
      <c r="B65" s="60" t="s">
        <v>160</v>
      </c>
      <c r="C65" s="34">
        <v>4301012165</v>
      </c>
      <c r="D65" s="702">
        <v>4680115885899</v>
      </c>
      <c r="E65" s="702"/>
      <c r="F65" s="59">
        <v>0.35</v>
      </c>
      <c r="G65" s="35">
        <v>6</v>
      </c>
      <c r="H65" s="59">
        <v>2.1</v>
      </c>
      <c r="I65" s="59">
        <v>2.2799999999999998</v>
      </c>
      <c r="J65" s="35">
        <v>182</v>
      </c>
      <c r="K65" s="35" t="s">
        <v>91</v>
      </c>
      <c r="L65" s="35" t="s">
        <v>46</v>
      </c>
      <c r="M65" s="36" t="s">
        <v>132</v>
      </c>
      <c r="N65" s="36"/>
      <c r="O65" s="35">
        <v>50</v>
      </c>
      <c r="P65" s="733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5" s="704"/>
      <c r="R65" s="704"/>
      <c r="S65" s="704"/>
      <c r="T65" s="705"/>
      <c r="U65" s="37" t="s">
        <v>46</v>
      </c>
      <c r="V65" s="37" t="s">
        <v>46</v>
      </c>
      <c r="W65" s="38" t="s">
        <v>0</v>
      </c>
      <c r="X65" s="56">
        <v>0</v>
      </c>
      <c r="Y65" s="53">
        <f t="shared" si="0"/>
        <v>0</v>
      </c>
      <c r="Z65" s="39" t="str">
        <f>IFERROR(IF(Y65=0,"",ROUNDUP(Y65/H65,0)*0.00651),"")</f>
        <v/>
      </c>
      <c r="AA65" s="65" t="s">
        <v>46</v>
      </c>
      <c r="AB65" s="66" t="s">
        <v>46</v>
      </c>
      <c r="AC65" s="127" t="s">
        <v>148</v>
      </c>
      <c r="AG65" s="75"/>
      <c r="AJ65" s="79" t="s">
        <v>46</v>
      </c>
      <c r="AK65" s="79">
        <v>0</v>
      </c>
      <c r="BB65" s="128" t="s">
        <v>67</v>
      </c>
      <c r="BM65" s="75">
        <f t="shared" si="1"/>
        <v>0</v>
      </c>
      <c r="BN65" s="75">
        <f t="shared" si="2"/>
        <v>0</v>
      </c>
      <c r="BO65" s="75">
        <f t="shared" si="3"/>
        <v>0</v>
      </c>
      <c r="BP65" s="75">
        <f t="shared" si="4"/>
        <v>0</v>
      </c>
    </row>
    <row r="66" spans="1:68" ht="37.5" customHeight="1" x14ac:dyDescent="0.25">
      <c r="A66" s="60" t="s">
        <v>161</v>
      </c>
      <c r="B66" s="60" t="s">
        <v>162</v>
      </c>
      <c r="C66" s="34">
        <v>4301011801</v>
      </c>
      <c r="D66" s="702">
        <v>4680115881419</v>
      </c>
      <c r="E66" s="702"/>
      <c r="F66" s="59">
        <v>0.45</v>
      </c>
      <c r="G66" s="35">
        <v>10</v>
      </c>
      <c r="H66" s="59">
        <v>4.5</v>
      </c>
      <c r="I66" s="59">
        <v>4.6900000000000004</v>
      </c>
      <c r="J66" s="35">
        <v>132</v>
      </c>
      <c r="K66" s="35" t="s">
        <v>140</v>
      </c>
      <c r="L66" s="35" t="s">
        <v>46</v>
      </c>
      <c r="M66" s="36" t="s">
        <v>132</v>
      </c>
      <c r="N66" s="36"/>
      <c r="O66" s="35">
        <v>50</v>
      </c>
      <c r="P66" s="734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6" s="704"/>
      <c r="R66" s="704"/>
      <c r="S66" s="704"/>
      <c r="T66" s="705"/>
      <c r="U66" s="37" t="s">
        <v>46</v>
      </c>
      <c r="V66" s="37" t="s">
        <v>46</v>
      </c>
      <c r="W66" s="38" t="s">
        <v>0</v>
      </c>
      <c r="X66" s="56">
        <v>0</v>
      </c>
      <c r="Y66" s="53">
        <f t="shared" si="0"/>
        <v>0</v>
      </c>
      <c r="Z66" s="39" t="str">
        <f>IFERROR(IF(Y66=0,"",ROUNDUP(Y66/H66,0)*0.00902),"")</f>
        <v/>
      </c>
      <c r="AA66" s="65" t="s">
        <v>46</v>
      </c>
      <c r="AB66" s="66" t="s">
        <v>46</v>
      </c>
      <c r="AC66" s="129" t="s">
        <v>163</v>
      </c>
      <c r="AG66" s="75"/>
      <c r="AJ66" s="79" t="s">
        <v>46</v>
      </c>
      <c r="AK66" s="79">
        <v>0</v>
      </c>
      <c r="BB66" s="130" t="s">
        <v>67</v>
      </c>
      <c r="BM66" s="75">
        <f t="shared" si="1"/>
        <v>0</v>
      </c>
      <c r="BN66" s="75">
        <f t="shared" si="2"/>
        <v>0</v>
      </c>
      <c r="BO66" s="75">
        <f t="shared" si="3"/>
        <v>0</v>
      </c>
      <c r="BP66" s="75">
        <f t="shared" si="4"/>
        <v>0</v>
      </c>
    </row>
    <row r="67" spans="1:68" x14ac:dyDescent="0.2">
      <c r="A67" s="710"/>
      <c r="B67" s="710"/>
      <c r="C67" s="710"/>
      <c r="D67" s="710"/>
      <c r="E67" s="710"/>
      <c r="F67" s="710"/>
      <c r="G67" s="710"/>
      <c r="H67" s="710"/>
      <c r="I67" s="710"/>
      <c r="J67" s="710"/>
      <c r="K67" s="710"/>
      <c r="L67" s="710"/>
      <c r="M67" s="710"/>
      <c r="N67" s="710"/>
      <c r="O67" s="711"/>
      <c r="P67" s="707" t="s">
        <v>40</v>
      </c>
      <c r="Q67" s="708"/>
      <c r="R67" s="708"/>
      <c r="S67" s="708"/>
      <c r="T67" s="708"/>
      <c r="U67" s="708"/>
      <c r="V67" s="709"/>
      <c r="W67" s="40" t="s">
        <v>39</v>
      </c>
      <c r="X67" s="41">
        <f>IFERROR(X59/H59,"0")+IFERROR(X60/H60,"0")+IFERROR(X61/H61,"0")+IFERROR(X62/H62,"0")+IFERROR(X63/H63,"0")+IFERROR(X64/H64,"0")+IFERROR(X65/H65,"0")+IFERROR(X66/H66,"0")</f>
        <v>0</v>
      </c>
      <c r="Y67" s="41">
        <f>IFERROR(Y59/H59,"0")+IFERROR(Y60/H60,"0")+IFERROR(Y61/H61,"0")+IFERROR(Y62/H62,"0")+IFERROR(Y63/H63,"0")+IFERROR(Y64/H64,"0")+IFERROR(Y65/H65,"0")+IFERROR(Y66/H66,"0")</f>
        <v>0</v>
      </c>
      <c r="Z67" s="41">
        <f>IFERROR(IF(Z59="",0,Z59),"0")+IFERROR(IF(Z60="",0,Z60),"0")+IFERROR(IF(Z61="",0,Z61),"0")+IFERROR(IF(Z62="",0,Z62),"0")+IFERROR(IF(Z63="",0,Z63),"0")+IFERROR(IF(Z64="",0,Z64),"0")+IFERROR(IF(Z65="",0,Z65),"0")+IFERROR(IF(Z66="",0,Z66),"0")</f>
        <v>0</v>
      </c>
      <c r="AA67" s="64"/>
      <c r="AB67" s="64"/>
      <c r="AC67" s="64"/>
    </row>
    <row r="68" spans="1:68" x14ac:dyDescent="0.2">
      <c r="A68" s="710"/>
      <c r="B68" s="710"/>
      <c r="C68" s="710"/>
      <c r="D68" s="710"/>
      <c r="E68" s="710"/>
      <c r="F68" s="710"/>
      <c r="G68" s="710"/>
      <c r="H68" s="710"/>
      <c r="I68" s="710"/>
      <c r="J68" s="710"/>
      <c r="K68" s="710"/>
      <c r="L68" s="710"/>
      <c r="M68" s="710"/>
      <c r="N68" s="710"/>
      <c r="O68" s="711"/>
      <c r="P68" s="707" t="s">
        <v>40</v>
      </c>
      <c r="Q68" s="708"/>
      <c r="R68" s="708"/>
      <c r="S68" s="708"/>
      <c r="T68" s="708"/>
      <c r="U68" s="708"/>
      <c r="V68" s="709"/>
      <c r="W68" s="40" t="s">
        <v>0</v>
      </c>
      <c r="X68" s="41">
        <f>IFERROR(SUM(X59:X66),"0")</f>
        <v>0</v>
      </c>
      <c r="Y68" s="41">
        <f>IFERROR(SUM(Y59:Y66),"0")</f>
        <v>0</v>
      </c>
      <c r="Z68" s="40"/>
      <c r="AA68" s="64"/>
      <c r="AB68" s="64"/>
      <c r="AC68" s="64"/>
    </row>
    <row r="69" spans="1:68" ht="14.25" customHeight="1" x14ac:dyDescent="0.25">
      <c r="A69" s="701" t="s">
        <v>164</v>
      </c>
      <c r="B69" s="701"/>
      <c r="C69" s="701"/>
      <c r="D69" s="701"/>
      <c r="E69" s="701"/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  <c r="AA69" s="63"/>
      <c r="AB69" s="63"/>
      <c r="AC69" s="63"/>
    </row>
    <row r="70" spans="1:68" ht="16.5" customHeight="1" x14ac:dyDescent="0.25">
      <c r="A70" s="60" t="s">
        <v>165</v>
      </c>
      <c r="B70" s="60" t="s">
        <v>166</v>
      </c>
      <c r="C70" s="34">
        <v>4301020298</v>
      </c>
      <c r="D70" s="702">
        <v>4680115881440</v>
      </c>
      <c r="E70" s="702"/>
      <c r="F70" s="59">
        <v>1.35</v>
      </c>
      <c r="G70" s="35">
        <v>8</v>
      </c>
      <c r="H70" s="59">
        <v>10.8</v>
      </c>
      <c r="I70" s="59">
        <v>11.21</v>
      </c>
      <c r="J70" s="35">
        <v>64</v>
      </c>
      <c r="K70" s="35" t="s">
        <v>133</v>
      </c>
      <c r="L70" s="35" t="s">
        <v>46</v>
      </c>
      <c r="M70" s="36" t="s">
        <v>132</v>
      </c>
      <c r="N70" s="36"/>
      <c r="O70" s="35">
        <v>50</v>
      </c>
      <c r="P70" s="735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70" s="704"/>
      <c r="R70" s="704"/>
      <c r="S70" s="704"/>
      <c r="T70" s="705"/>
      <c r="U70" s="37" t="s">
        <v>46</v>
      </c>
      <c r="V70" s="37" t="s">
        <v>46</v>
      </c>
      <c r="W70" s="38" t="s">
        <v>0</v>
      </c>
      <c r="X70" s="56">
        <v>0</v>
      </c>
      <c r="Y70" s="53">
        <f>IFERROR(IF(X70="",0,CEILING((X70/$H70),1)*$H70),"")</f>
        <v>0</v>
      </c>
      <c r="Z70" s="39" t="str">
        <f>IFERROR(IF(Y70=0,"",ROUNDUP(Y70/H70,0)*0.01898),"")</f>
        <v/>
      </c>
      <c r="AA70" s="65" t="s">
        <v>46</v>
      </c>
      <c r="AB70" s="66" t="s">
        <v>46</v>
      </c>
      <c r="AC70" s="131" t="s">
        <v>167</v>
      </c>
      <c r="AG70" s="75"/>
      <c r="AJ70" s="79" t="s">
        <v>46</v>
      </c>
      <c r="AK70" s="79">
        <v>0</v>
      </c>
      <c r="BB70" s="132" t="s">
        <v>67</v>
      </c>
      <c r="BM70" s="75">
        <f>IFERROR(X70*I70/H70,"0")</f>
        <v>0</v>
      </c>
      <c r="BN70" s="75">
        <f>IFERROR(Y70*I70/H70,"0")</f>
        <v>0</v>
      </c>
      <c r="BO70" s="75">
        <f>IFERROR(1/J70*(X70/H70),"0")</f>
        <v>0</v>
      </c>
      <c r="BP70" s="75">
        <f>IFERROR(1/J70*(Y70/H70),"0")</f>
        <v>0</v>
      </c>
    </row>
    <row r="71" spans="1:68" ht="16.5" customHeight="1" x14ac:dyDescent="0.25">
      <c r="A71" s="60" t="s">
        <v>168</v>
      </c>
      <c r="B71" s="60" t="s">
        <v>169</v>
      </c>
      <c r="C71" s="34">
        <v>4301020358</v>
      </c>
      <c r="D71" s="702">
        <v>4680115885950</v>
      </c>
      <c r="E71" s="702"/>
      <c r="F71" s="59">
        <v>0.37</v>
      </c>
      <c r="G71" s="35">
        <v>6</v>
      </c>
      <c r="H71" s="59">
        <v>2.2200000000000002</v>
      </c>
      <c r="I71" s="59">
        <v>2.4</v>
      </c>
      <c r="J71" s="35">
        <v>182</v>
      </c>
      <c r="K71" s="35" t="s">
        <v>91</v>
      </c>
      <c r="L71" s="35" t="s">
        <v>46</v>
      </c>
      <c r="M71" s="36" t="s">
        <v>90</v>
      </c>
      <c r="N71" s="36"/>
      <c r="O71" s="35">
        <v>50</v>
      </c>
      <c r="P71" s="736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71" s="704"/>
      <c r="R71" s="704"/>
      <c r="S71" s="704"/>
      <c r="T71" s="705"/>
      <c r="U71" s="37" t="s">
        <v>46</v>
      </c>
      <c r="V71" s="37" t="s">
        <v>46</v>
      </c>
      <c r="W71" s="38" t="s">
        <v>0</v>
      </c>
      <c r="X71" s="56">
        <v>0</v>
      </c>
      <c r="Y71" s="53">
        <f>IFERROR(IF(X71="",0,CEILING((X71/$H71),1)*$H71),"")</f>
        <v>0</v>
      </c>
      <c r="Z71" s="39" t="str">
        <f>IFERROR(IF(Y71=0,"",ROUNDUP(Y71/H71,0)*0.00651),"")</f>
        <v/>
      </c>
      <c r="AA71" s="65" t="s">
        <v>46</v>
      </c>
      <c r="AB71" s="66" t="s">
        <v>46</v>
      </c>
      <c r="AC71" s="133" t="s">
        <v>167</v>
      </c>
      <c r="AG71" s="75"/>
      <c r="AJ71" s="79" t="s">
        <v>46</v>
      </c>
      <c r="AK71" s="79">
        <v>0</v>
      </c>
      <c r="BB71" s="134" t="s">
        <v>67</v>
      </c>
      <c r="BM71" s="75">
        <f>IFERROR(X71*I71/H71,"0")</f>
        <v>0</v>
      </c>
      <c r="BN71" s="75">
        <f>IFERROR(Y71*I71/H71,"0")</f>
        <v>0</v>
      </c>
      <c r="BO71" s="75">
        <f>IFERROR(1/J71*(X71/H71),"0")</f>
        <v>0</v>
      </c>
      <c r="BP71" s="75">
        <f>IFERROR(1/J71*(Y71/H71),"0")</f>
        <v>0</v>
      </c>
    </row>
    <row r="72" spans="1:68" ht="16.5" customHeight="1" x14ac:dyDescent="0.25">
      <c r="A72" s="60" t="s">
        <v>170</v>
      </c>
      <c r="B72" s="60" t="s">
        <v>171</v>
      </c>
      <c r="C72" s="34">
        <v>4301020371</v>
      </c>
      <c r="D72" s="702">
        <v>4680115887688</v>
      </c>
      <c r="E72" s="702"/>
      <c r="F72" s="59">
        <v>0.1</v>
      </c>
      <c r="G72" s="35">
        <v>10</v>
      </c>
      <c r="H72" s="59">
        <v>1</v>
      </c>
      <c r="I72" s="59">
        <v>1.21</v>
      </c>
      <c r="J72" s="35">
        <v>192</v>
      </c>
      <c r="K72" s="35" t="s">
        <v>137</v>
      </c>
      <c r="L72" s="35" t="s">
        <v>46</v>
      </c>
      <c r="M72" s="36" t="s">
        <v>81</v>
      </c>
      <c r="N72" s="36"/>
      <c r="O72" s="35">
        <v>30</v>
      </c>
      <c r="P72" s="737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72" s="704"/>
      <c r="R72" s="704"/>
      <c r="S72" s="704"/>
      <c r="T72" s="705"/>
      <c r="U72" s="37" t="s">
        <v>46</v>
      </c>
      <c r="V72" s="37" t="s">
        <v>46</v>
      </c>
      <c r="W72" s="38" t="s">
        <v>0</v>
      </c>
      <c r="X72" s="56">
        <v>0</v>
      </c>
      <c r="Y72" s="53">
        <f>IFERROR(IF(X72="",0,CEILING((X72/$H72),1)*$H72),"")</f>
        <v>0</v>
      </c>
      <c r="Z72" s="39" t="str">
        <f>IFERROR(IF(Y72=0,"",ROUNDUP(Y72/H72,0)*0.00726),"")</f>
        <v/>
      </c>
      <c r="AA72" s="65" t="s">
        <v>46</v>
      </c>
      <c r="AB72" s="66" t="s">
        <v>46</v>
      </c>
      <c r="AC72" s="135" t="s">
        <v>172</v>
      </c>
      <c r="AG72" s="75"/>
      <c r="AJ72" s="79" t="s">
        <v>46</v>
      </c>
      <c r="AK72" s="79">
        <v>0</v>
      </c>
      <c r="BB72" s="136" t="s">
        <v>67</v>
      </c>
      <c r="BM72" s="75">
        <f>IFERROR(X72*I72/H72,"0")</f>
        <v>0</v>
      </c>
      <c r="BN72" s="75">
        <f>IFERROR(Y72*I72/H72,"0")</f>
        <v>0</v>
      </c>
      <c r="BO72" s="75">
        <f>IFERROR(1/J72*(X72/H72),"0")</f>
        <v>0</v>
      </c>
      <c r="BP72" s="75">
        <f>IFERROR(1/J72*(Y72/H72),"0")</f>
        <v>0</v>
      </c>
    </row>
    <row r="73" spans="1:68" ht="27" customHeight="1" x14ac:dyDescent="0.25">
      <c r="A73" s="60" t="s">
        <v>173</v>
      </c>
      <c r="B73" s="60" t="s">
        <v>174</v>
      </c>
      <c r="C73" s="34">
        <v>4301020296</v>
      </c>
      <c r="D73" s="702">
        <v>4680115881433</v>
      </c>
      <c r="E73" s="702"/>
      <c r="F73" s="59">
        <v>0.45</v>
      </c>
      <c r="G73" s="35">
        <v>6</v>
      </c>
      <c r="H73" s="59">
        <v>2.7</v>
      </c>
      <c r="I73" s="59">
        <v>2.88</v>
      </c>
      <c r="J73" s="35">
        <v>182</v>
      </c>
      <c r="K73" s="35" t="s">
        <v>91</v>
      </c>
      <c r="L73" s="35" t="s">
        <v>46</v>
      </c>
      <c r="M73" s="36" t="s">
        <v>132</v>
      </c>
      <c r="N73" s="36"/>
      <c r="O73" s="35">
        <v>50</v>
      </c>
      <c r="P73" s="738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73" s="704"/>
      <c r="R73" s="704"/>
      <c r="S73" s="704"/>
      <c r="T73" s="705"/>
      <c r="U73" s="37" t="s">
        <v>46</v>
      </c>
      <c r="V73" s="37" t="s">
        <v>46</v>
      </c>
      <c r="W73" s="38" t="s">
        <v>0</v>
      </c>
      <c r="X73" s="56">
        <v>0</v>
      </c>
      <c r="Y73" s="53">
        <f>IFERROR(IF(X73="",0,CEILING((X73/$H73),1)*$H73),"")</f>
        <v>0</v>
      </c>
      <c r="Z73" s="39" t="str">
        <f>IFERROR(IF(Y73=0,"",ROUNDUP(Y73/H73,0)*0.00651),"")</f>
        <v/>
      </c>
      <c r="AA73" s="65" t="s">
        <v>46</v>
      </c>
      <c r="AB73" s="66" t="s">
        <v>46</v>
      </c>
      <c r="AC73" s="137" t="s">
        <v>167</v>
      </c>
      <c r="AG73" s="75"/>
      <c r="AJ73" s="79" t="s">
        <v>46</v>
      </c>
      <c r="AK73" s="79">
        <v>0</v>
      </c>
      <c r="BB73" s="138" t="s">
        <v>67</v>
      </c>
      <c r="BM73" s="75">
        <f>IFERROR(X73*I73/H73,"0")</f>
        <v>0</v>
      </c>
      <c r="BN73" s="75">
        <f>IFERROR(Y73*I73/H73,"0")</f>
        <v>0</v>
      </c>
      <c r="BO73" s="75">
        <f>IFERROR(1/J73*(X73/H73),"0")</f>
        <v>0</v>
      </c>
      <c r="BP73" s="75">
        <f>IFERROR(1/J73*(Y73/H73),"0")</f>
        <v>0</v>
      </c>
    </row>
    <row r="74" spans="1:68" x14ac:dyDescent="0.2">
      <c r="A74" s="710"/>
      <c r="B74" s="710"/>
      <c r="C74" s="710"/>
      <c r="D74" s="710"/>
      <c r="E74" s="710"/>
      <c r="F74" s="710"/>
      <c r="G74" s="710"/>
      <c r="H74" s="710"/>
      <c r="I74" s="710"/>
      <c r="J74" s="710"/>
      <c r="K74" s="710"/>
      <c r="L74" s="710"/>
      <c r="M74" s="710"/>
      <c r="N74" s="710"/>
      <c r="O74" s="711"/>
      <c r="P74" s="707" t="s">
        <v>40</v>
      </c>
      <c r="Q74" s="708"/>
      <c r="R74" s="708"/>
      <c r="S74" s="708"/>
      <c r="T74" s="708"/>
      <c r="U74" s="708"/>
      <c r="V74" s="709"/>
      <c r="W74" s="40" t="s">
        <v>39</v>
      </c>
      <c r="X74" s="41">
        <f>IFERROR(X70/H70,"0")+IFERROR(X71/H71,"0")+IFERROR(X72/H72,"0")+IFERROR(X73/H73,"0")</f>
        <v>0</v>
      </c>
      <c r="Y74" s="41">
        <f>IFERROR(Y70/H70,"0")+IFERROR(Y71/H71,"0")+IFERROR(Y72/H72,"0")+IFERROR(Y73/H73,"0")</f>
        <v>0</v>
      </c>
      <c r="Z74" s="41">
        <f>IFERROR(IF(Z70="",0,Z70),"0")+IFERROR(IF(Z71="",0,Z71),"0")+IFERROR(IF(Z72="",0,Z72),"0")+IFERROR(IF(Z73="",0,Z73),"0")</f>
        <v>0</v>
      </c>
      <c r="AA74" s="64"/>
      <c r="AB74" s="64"/>
      <c r="AC74" s="64"/>
    </row>
    <row r="75" spans="1:68" x14ac:dyDescent="0.2">
      <c r="A75" s="710"/>
      <c r="B75" s="710"/>
      <c r="C75" s="710"/>
      <c r="D75" s="710"/>
      <c r="E75" s="710"/>
      <c r="F75" s="710"/>
      <c r="G75" s="710"/>
      <c r="H75" s="710"/>
      <c r="I75" s="710"/>
      <c r="J75" s="710"/>
      <c r="K75" s="710"/>
      <c r="L75" s="710"/>
      <c r="M75" s="710"/>
      <c r="N75" s="710"/>
      <c r="O75" s="711"/>
      <c r="P75" s="707" t="s">
        <v>40</v>
      </c>
      <c r="Q75" s="708"/>
      <c r="R75" s="708"/>
      <c r="S75" s="708"/>
      <c r="T75" s="708"/>
      <c r="U75" s="708"/>
      <c r="V75" s="709"/>
      <c r="W75" s="40" t="s">
        <v>0</v>
      </c>
      <c r="X75" s="41">
        <f>IFERROR(SUM(X70:X73),"0")</f>
        <v>0</v>
      </c>
      <c r="Y75" s="41">
        <f>IFERROR(SUM(Y70:Y73),"0")</f>
        <v>0</v>
      </c>
      <c r="Z75" s="40"/>
      <c r="AA75" s="64"/>
      <c r="AB75" s="64"/>
      <c r="AC75" s="64"/>
    </row>
    <row r="76" spans="1:68" ht="14.25" customHeight="1" x14ac:dyDescent="0.25">
      <c r="A76" s="701" t="s">
        <v>86</v>
      </c>
      <c r="B76" s="701"/>
      <c r="C76" s="701"/>
      <c r="D76" s="701"/>
      <c r="E76" s="701"/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  <c r="AA76" s="63"/>
      <c r="AB76" s="63"/>
      <c r="AC76" s="63"/>
    </row>
    <row r="77" spans="1:68" ht="16.5" customHeight="1" x14ac:dyDescent="0.25">
      <c r="A77" s="60" t="s">
        <v>175</v>
      </c>
      <c r="B77" s="60" t="s">
        <v>176</v>
      </c>
      <c r="C77" s="34">
        <v>4301051837</v>
      </c>
      <c r="D77" s="702">
        <v>4680115884311</v>
      </c>
      <c r="E77" s="702"/>
      <c r="F77" s="59">
        <v>0.3</v>
      </c>
      <c r="G77" s="35">
        <v>6</v>
      </c>
      <c r="H77" s="59">
        <v>1.8</v>
      </c>
      <c r="I77" s="59">
        <v>2.0459999999999998</v>
      </c>
      <c r="J77" s="35">
        <v>182</v>
      </c>
      <c r="K77" s="35" t="s">
        <v>91</v>
      </c>
      <c r="L77" s="35" t="s">
        <v>46</v>
      </c>
      <c r="M77" s="36" t="s">
        <v>90</v>
      </c>
      <c r="N77" s="36"/>
      <c r="O77" s="35">
        <v>40</v>
      </c>
      <c r="P77" s="739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7" s="704"/>
      <c r="R77" s="704"/>
      <c r="S77" s="704"/>
      <c r="T77" s="705"/>
      <c r="U77" s="37" t="s">
        <v>46</v>
      </c>
      <c r="V77" s="37" t="s">
        <v>46</v>
      </c>
      <c r="W77" s="38" t="s">
        <v>0</v>
      </c>
      <c r="X77" s="56">
        <v>0</v>
      </c>
      <c r="Y77" s="53">
        <f>IFERROR(IF(X77="",0,CEILING((X77/$H77),1)*$H77),"")</f>
        <v>0</v>
      </c>
      <c r="Z77" s="39" t="str">
        <f>IFERROR(IF(Y77=0,"",ROUNDUP(Y77/H77,0)*0.00651),"")</f>
        <v/>
      </c>
      <c r="AA77" s="65" t="s">
        <v>46</v>
      </c>
      <c r="AB77" s="66" t="s">
        <v>46</v>
      </c>
      <c r="AC77" s="139" t="s">
        <v>177</v>
      </c>
      <c r="AG77" s="75"/>
      <c r="AJ77" s="79" t="s">
        <v>46</v>
      </c>
      <c r="AK77" s="79">
        <v>0</v>
      </c>
      <c r="BB77" s="140" t="s">
        <v>67</v>
      </c>
      <c r="BM77" s="75">
        <f>IFERROR(X77*I77/H77,"0")</f>
        <v>0</v>
      </c>
      <c r="BN77" s="75">
        <f>IFERROR(Y77*I77/H77,"0")</f>
        <v>0</v>
      </c>
      <c r="BO77" s="75">
        <f>IFERROR(1/J77*(X77/H77),"0")</f>
        <v>0</v>
      </c>
      <c r="BP77" s="75">
        <f>IFERROR(1/J77*(Y77/H77),"0")</f>
        <v>0</v>
      </c>
    </row>
    <row r="78" spans="1:68" ht="27" customHeight="1" x14ac:dyDescent="0.25">
      <c r="A78" s="60" t="s">
        <v>178</v>
      </c>
      <c r="B78" s="60" t="s">
        <v>179</v>
      </c>
      <c r="C78" s="34">
        <v>4301051929</v>
      </c>
      <c r="D78" s="702">
        <v>4680115884403</v>
      </c>
      <c r="E78" s="702"/>
      <c r="F78" s="59">
        <v>0.3</v>
      </c>
      <c r="G78" s="35">
        <v>6</v>
      </c>
      <c r="H78" s="59">
        <v>1.8</v>
      </c>
      <c r="I78" s="59">
        <v>1.98</v>
      </c>
      <c r="J78" s="35">
        <v>182</v>
      </c>
      <c r="K78" s="35" t="s">
        <v>91</v>
      </c>
      <c r="L78" s="35" t="s">
        <v>46</v>
      </c>
      <c r="M78" s="36" t="s">
        <v>90</v>
      </c>
      <c r="N78" s="36"/>
      <c r="O78" s="35">
        <v>40</v>
      </c>
      <c r="P78" s="740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8" s="704"/>
      <c r="R78" s="704"/>
      <c r="S78" s="704"/>
      <c r="T78" s="705"/>
      <c r="U78" s="37" t="s">
        <v>46</v>
      </c>
      <c r="V78" s="37" t="s">
        <v>46</v>
      </c>
      <c r="W78" s="38" t="s">
        <v>0</v>
      </c>
      <c r="X78" s="56">
        <v>0</v>
      </c>
      <c r="Y78" s="53">
        <f>IFERROR(IF(X78="",0,CEILING((X78/$H78),1)*$H78),"")</f>
        <v>0</v>
      </c>
      <c r="Z78" s="39" t="str">
        <f>IFERROR(IF(Y78=0,"",ROUNDUP(Y78/H78,0)*0.00651),"")</f>
        <v/>
      </c>
      <c r="AA78" s="65" t="s">
        <v>46</v>
      </c>
      <c r="AB78" s="66" t="s">
        <v>46</v>
      </c>
      <c r="AC78" s="141" t="s">
        <v>180</v>
      </c>
      <c r="AG78" s="75"/>
      <c r="AJ78" s="79" t="s">
        <v>46</v>
      </c>
      <c r="AK78" s="79">
        <v>0</v>
      </c>
      <c r="BB78" s="142" t="s">
        <v>67</v>
      </c>
      <c r="BM78" s="75">
        <f>IFERROR(X78*I78/H78,"0")</f>
        <v>0</v>
      </c>
      <c r="BN78" s="75">
        <f>IFERROR(Y78*I78/H78,"0")</f>
        <v>0</v>
      </c>
      <c r="BO78" s="75">
        <f>IFERROR(1/J78*(X78/H78),"0")</f>
        <v>0</v>
      </c>
      <c r="BP78" s="75">
        <f>IFERROR(1/J78*(Y78/H78),"0")</f>
        <v>0</v>
      </c>
    </row>
    <row r="79" spans="1:68" x14ac:dyDescent="0.2">
      <c r="A79" s="710"/>
      <c r="B79" s="710"/>
      <c r="C79" s="710"/>
      <c r="D79" s="710"/>
      <c r="E79" s="710"/>
      <c r="F79" s="710"/>
      <c r="G79" s="710"/>
      <c r="H79" s="710"/>
      <c r="I79" s="710"/>
      <c r="J79" s="710"/>
      <c r="K79" s="710"/>
      <c r="L79" s="710"/>
      <c r="M79" s="710"/>
      <c r="N79" s="710"/>
      <c r="O79" s="711"/>
      <c r="P79" s="707" t="s">
        <v>40</v>
      </c>
      <c r="Q79" s="708"/>
      <c r="R79" s="708"/>
      <c r="S79" s="708"/>
      <c r="T79" s="708"/>
      <c r="U79" s="708"/>
      <c r="V79" s="709"/>
      <c r="W79" s="40" t="s">
        <v>39</v>
      </c>
      <c r="X79" s="41">
        <f>IFERROR(X77/H77,"0")+IFERROR(X78/H78,"0")</f>
        <v>0</v>
      </c>
      <c r="Y79" s="41">
        <f>IFERROR(Y77/H77,"0")+IFERROR(Y78/H78,"0")</f>
        <v>0</v>
      </c>
      <c r="Z79" s="41">
        <f>IFERROR(IF(Z77="",0,Z77),"0")+IFERROR(IF(Z78="",0,Z78),"0")</f>
        <v>0</v>
      </c>
      <c r="AA79" s="64"/>
      <c r="AB79" s="64"/>
      <c r="AC79" s="64"/>
    </row>
    <row r="80" spans="1:68" x14ac:dyDescent="0.2">
      <c r="A80" s="710"/>
      <c r="B80" s="710"/>
      <c r="C80" s="710"/>
      <c r="D80" s="710"/>
      <c r="E80" s="710"/>
      <c r="F80" s="710"/>
      <c r="G80" s="710"/>
      <c r="H80" s="710"/>
      <c r="I80" s="710"/>
      <c r="J80" s="710"/>
      <c r="K80" s="710"/>
      <c r="L80" s="710"/>
      <c r="M80" s="710"/>
      <c r="N80" s="710"/>
      <c r="O80" s="711"/>
      <c r="P80" s="707" t="s">
        <v>40</v>
      </c>
      <c r="Q80" s="708"/>
      <c r="R80" s="708"/>
      <c r="S80" s="708"/>
      <c r="T80" s="708"/>
      <c r="U80" s="708"/>
      <c r="V80" s="709"/>
      <c r="W80" s="40" t="s">
        <v>0</v>
      </c>
      <c r="X80" s="41">
        <f>IFERROR(SUM(X77:X78),"0")</f>
        <v>0</v>
      </c>
      <c r="Y80" s="41">
        <f>IFERROR(SUM(Y77:Y78),"0")</f>
        <v>0</v>
      </c>
      <c r="Z80" s="40"/>
      <c r="AA80" s="64"/>
      <c r="AB80" s="64"/>
      <c r="AC80" s="64"/>
    </row>
    <row r="81" spans="1:68" ht="14.25" customHeight="1" x14ac:dyDescent="0.25">
      <c r="A81" s="701" t="s">
        <v>181</v>
      </c>
      <c r="B81" s="701"/>
      <c r="C81" s="701"/>
      <c r="D81" s="701"/>
      <c r="E81" s="701"/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  <c r="AA81" s="63"/>
      <c r="AB81" s="63"/>
      <c r="AC81" s="63"/>
    </row>
    <row r="82" spans="1:68" ht="27" customHeight="1" x14ac:dyDescent="0.25">
      <c r="A82" s="60" t="s">
        <v>182</v>
      </c>
      <c r="B82" s="60" t="s">
        <v>183</v>
      </c>
      <c r="C82" s="34">
        <v>4301060455</v>
      </c>
      <c r="D82" s="702">
        <v>4680115881532</v>
      </c>
      <c r="E82" s="702"/>
      <c r="F82" s="59">
        <v>1.3</v>
      </c>
      <c r="G82" s="35">
        <v>6</v>
      </c>
      <c r="H82" s="59">
        <v>7.8</v>
      </c>
      <c r="I82" s="59">
        <v>8.2100000000000009</v>
      </c>
      <c r="J82" s="35">
        <v>64</v>
      </c>
      <c r="K82" s="35" t="s">
        <v>133</v>
      </c>
      <c r="L82" s="35" t="s">
        <v>46</v>
      </c>
      <c r="M82" s="36" t="s">
        <v>97</v>
      </c>
      <c r="N82" s="36"/>
      <c r="O82" s="35">
        <v>30</v>
      </c>
      <c r="P82" s="741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82" s="704"/>
      <c r="R82" s="704"/>
      <c r="S82" s="704"/>
      <c r="T82" s="705"/>
      <c r="U82" s="37" t="s">
        <v>46</v>
      </c>
      <c r="V82" s="37" t="s">
        <v>46</v>
      </c>
      <c r="W82" s="38" t="s">
        <v>0</v>
      </c>
      <c r="X82" s="56">
        <v>0</v>
      </c>
      <c r="Y82" s="53">
        <f>IFERROR(IF(X82="",0,CEILING((X82/$H82),1)*$H82),"")</f>
        <v>0</v>
      </c>
      <c r="Z82" s="39" t="str">
        <f>IFERROR(IF(Y82=0,"",ROUNDUP(Y82/H82,0)*0.01898),"")</f>
        <v/>
      </c>
      <c r="AA82" s="65" t="s">
        <v>46</v>
      </c>
      <c r="AB82" s="66" t="s">
        <v>46</v>
      </c>
      <c r="AC82" s="143" t="s">
        <v>184</v>
      </c>
      <c r="AG82" s="75"/>
      <c r="AJ82" s="79" t="s">
        <v>46</v>
      </c>
      <c r="AK82" s="79">
        <v>0</v>
      </c>
      <c r="BB82" s="144" t="s">
        <v>67</v>
      </c>
      <c r="BM82" s="75">
        <f>IFERROR(X82*I82/H82,"0")</f>
        <v>0</v>
      </c>
      <c r="BN82" s="75">
        <f>IFERROR(Y82*I82/H82,"0")</f>
        <v>0</v>
      </c>
      <c r="BO82" s="75">
        <f>IFERROR(1/J82*(X82/H82),"0")</f>
        <v>0</v>
      </c>
      <c r="BP82" s="75">
        <f>IFERROR(1/J82*(Y82/H82),"0")</f>
        <v>0</v>
      </c>
    </row>
    <row r="83" spans="1:68" ht="27" customHeight="1" x14ac:dyDescent="0.25">
      <c r="A83" s="60" t="s">
        <v>185</v>
      </c>
      <c r="B83" s="60" t="s">
        <v>186</v>
      </c>
      <c r="C83" s="34">
        <v>4301060351</v>
      </c>
      <c r="D83" s="702">
        <v>4680115881464</v>
      </c>
      <c r="E83" s="702"/>
      <c r="F83" s="59">
        <v>0.4</v>
      </c>
      <c r="G83" s="35">
        <v>6</v>
      </c>
      <c r="H83" s="59">
        <v>2.4</v>
      </c>
      <c r="I83" s="59">
        <v>2.59</v>
      </c>
      <c r="J83" s="35">
        <v>132</v>
      </c>
      <c r="K83" s="35" t="s">
        <v>140</v>
      </c>
      <c r="L83" s="35" t="s">
        <v>46</v>
      </c>
      <c r="M83" s="36" t="s">
        <v>90</v>
      </c>
      <c r="N83" s="36"/>
      <c r="O83" s="35">
        <v>30</v>
      </c>
      <c r="P83" s="742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83" s="704"/>
      <c r="R83" s="704"/>
      <c r="S83" s="704"/>
      <c r="T83" s="705"/>
      <c r="U83" s="37" t="s">
        <v>46</v>
      </c>
      <c r="V83" s="37" t="s">
        <v>46</v>
      </c>
      <c r="W83" s="38" t="s">
        <v>0</v>
      </c>
      <c r="X83" s="56">
        <v>0</v>
      </c>
      <c r="Y83" s="53">
        <f>IFERROR(IF(X83="",0,CEILING((X83/$H83),1)*$H83),"")</f>
        <v>0</v>
      </c>
      <c r="Z83" s="39" t="str">
        <f>IFERROR(IF(Y83=0,"",ROUNDUP(Y83/H83,0)*0.00902),"")</f>
        <v/>
      </c>
      <c r="AA83" s="65" t="s">
        <v>46</v>
      </c>
      <c r="AB83" s="66" t="s">
        <v>46</v>
      </c>
      <c r="AC83" s="145" t="s">
        <v>187</v>
      </c>
      <c r="AG83" s="75"/>
      <c r="AJ83" s="79" t="s">
        <v>46</v>
      </c>
      <c r="AK83" s="79">
        <v>0</v>
      </c>
      <c r="BB83" s="146" t="s">
        <v>67</v>
      </c>
      <c r="BM83" s="75">
        <f>IFERROR(X83*I83/H83,"0")</f>
        <v>0</v>
      </c>
      <c r="BN83" s="75">
        <f>IFERROR(Y83*I83/H83,"0")</f>
        <v>0</v>
      </c>
      <c r="BO83" s="75">
        <f>IFERROR(1/J83*(X83/H83),"0")</f>
        <v>0</v>
      </c>
      <c r="BP83" s="75">
        <f>IFERROR(1/J83*(Y83/H83),"0")</f>
        <v>0</v>
      </c>
    </row>
    <row r="84" spans="1:68" x14ac:dyDescent="0.2">
      <c r="A84" s="710"/>
      <c r="B84" s="710"/>
      <c r="C84" s="710"/>
      <c r="D84" s="710"/>
      <c r="E84" s="710"/>
      <c r="F84" s="710"/>
      <c r="G84" s="710"/>
      <c r="H84" s="710"/>
      <c r="I84" s="710"/>
      <c r="J84" s="710"/>
      <c r="K84" s="710"/>
      <c r="L84" s="710"/>
      <c r="M84" s="710"/>
      <c r="N84" s="710"/>
      <c r="O84" s="711"/>
      <c r="P84" s="707" t="s">
        <v>40</v>
      </c>
      <c r="Q84" s="708"/>
      <c r="R84" s="708"/>
      <c r="S84" s="708"/>
      <c r="T84" s="708"/>
      <c r="U84" s="708"/>
      <c r="V84" s="709"/>
      <c r="W84" s="40" t="s">
        <v>39</v>
      </c>
      <c r="X84" s="41">
        <f>IFERROR(X82/H82,"0")+IFERROR(X83/H83,"0")</f>
        <v>0</v>
      </c>
      <c r="Y84" s="41">
        <f>IFERROR(Y82/H82,"0")+IFERROR(Y83/H83,"0")</f>
        <v>0</v>
      </c>
      <c r="Z84" s="41">
        <f>IFERROR(IF(Z82="",0,Z82),"0")+IFERROR(IF(Z83="",0,Z83),"0")</f>
        <v>0</v>
      </c>
      <c r="AA84" s="64"/>
      <c r="AB84" s="64"/>
      <c r="AC84" s="64"/>
    </row>
    <row r="85" spans="1:68" x14ac:dyDescent="0.2">
      <c r="A85" s="710"/>
      <c r="B85" s="710"/>
      <c r="C85" s="710"/>
      <c r="D85" s="710"/>
      <c r="E85" s="710"/>
      <c r="F85" s="710"/>
      <c r="G85" s="710"/>
      <c r="H85" s="710"/>
      <c r="I85" s="710"/>
      <c r="J85" s="710"/>
      <c r="K85" s="710"/>
      <c r="L85" s="710"/>
      <c r="M85" s="710"/>
      <c r="N85" s="710"/>
      <c r="O85" s="711"/>
      <c r="P85" s="707" t="s">
        <v>40</v>
      </c>
      <c r="Q85" s="708"/>
      <c r="R85" s="708"/>
      <c r="S85" s="708"/>
      <c r="T85" s="708"/>
      <c r="U85" s="708"/>
      <c r="V85" s="709"/>
      <c r="W85" s="40" t="s">
        <v>0</v>
      </c>
      <c r="X85" s="41">
        <f>IFERROR(SUM(X82:X83),"0")</f>
        <v>0</v>
      </c>
      <c r="Y85" s="41">
        <f>IFERROR(SUM(Y82:Y83),"0")</f>
        <v>0</v>
      </c>
      <c r="Z85" s="40"/>
      <c r="AA85" s="64"/>
      <c r="AB85" s="64"/>
      <c r="AC85" s="64"/>
    </row>
    <row r="86" spans="1:68" ht="16.5" customHeight="1" x14ac:dyDescent="0.25">
      <c r="A86" s="700" t="s">
        <v>188</v>
      </c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  <c r="AA86" s="62"/>
      <c r="AB86" s="62"/>
      <c r="AC86" s="62"/>
    </row>
    <row r="87" spans="1:68" ht="14.25" customHeight="1" x14ac:dyDescent="0.25">
      <c r="A87" s="701" t="s">
        <v>128</v>
      </c>
      <c r="B87" s="701"/>
      <c r="C87" s="701"/>
      <c r="D87" s="701"/>
      <c r="E87" s="701"/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  <c r="AA87" s="63"/>
      <c r="AB87" s="63"/>
      <c r="AC87" s="63"/>
    </row>
    <row r="88" spans="1:68" ht="27" customHeight="1" x14ac:dyDescent="0.25">
      <c r="A88" s="60" t="s">
        <v>189</v>
      </c>
      <c r="B88" s="60" t="s">
        <v>190</v>
      </c>
      <c r="C88" s="34">
        <v>4301011468</v>
      </c>
      <c r="D88" s="702">
        <v>4680115881327</v>
      </c>
      <c r="E88" s="702"/>
      <c r="F88" s="59">
        <v>1.35</v>
      </c>
      <c r="G88" s="35">
        <v>8</v>
      </c>
      <c r="H88" s="59">
        <v>10.8</v>
      </c>
      <c r="I88" s="59">
        <v>11.21</v>
      </c>
      <c r="J88" s="35">
        <v>64</v>
      </c>
      <c r="K88" s="35" t="s">
        <v>133</v>
      </c>
      <c r="L88" s="35" t="s">
        <v>46</v>
      </c>
      <c r="M88" s="36" t="s">
        <v>97</v>
      </c>
      <c r="N88" s="36"/>
      <c r="O88" s="35">
        <v>50</v>
      </c>
      <c r="P88" s="743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8" s="704"/>
      <c r="R88" s="704"/>
      <c r="S88" s="704"/>
      <c r="T88" s="705"/>
      <c r="U88" s="37" t="s">
        <v>46</v>
      </c>
      <c r="V88" s="37" t="s">
        <v>46</v>
      </c>
      <c r="W88" s="38" t="s">
        <v>0</v>
      </c>
      <c r="X88" s="56">
        <v>0</v>
      </c>
      <c r="Y88" s="53">
        <f>IFERROR(IF(X88="",0,CEILING((X88/$H88),1)*$H88),"")</f>
        <v>0</v>
      </c>
      <c r="Z88" s="39" t="str">
        <f>IFERROR(IF(Y88=0,"",ROUNDUP(Y88/H88,0)*0.01898),"")</f>
        <v/>
      </c>
      <c r="AA88" s="65" t="s">
        <v>46</v>
      </c>
      <c r="AB88" s="66" t="s">
        <v>46</v>
      </c>
      <c r="AC88" s="147" t="s">
        <v>191</v>
      </c>
      <c r="AG88" s="75"/>
      <c r="AJ88" s="79" t="s">
        <v>46</v>
      </c>
      <c r="AK88" s="79">
        <v>0</v>
      </c>
      <c r="BB88" s="148" t="s">
        <v>67</v>
      </c>
      <c r="BM88" s="75">
        <f>IFERROR(X88*I88/H88,"0")</f>
        <v>0</v>
      </c>
      <c r="BN88" s="75">
        <f>IFERROR(Y88*I88/H88,"0")</f>
        <v>0</v>
      </c>
      <c r="BO88" s="75">
        <f>IFERROR(1/J88*(X88/H88),"0")</f>
        <v>0</v>
      </c>
      <c r="BP88" s="75">
        <f>IFERROR(1/J88*(Y88/H88),"0")</f>
        <v>0</v>
      </c>
    </row>
    <row r="89" spans="1:68" ht="27" customHeight="1" x14ac:dyDescent="0.25">
      <c r="A89" s="60" t="s">
        <v>192</v>
      </c>
      <c r="B89" s="60" t="s">
        <v>193</v>
      </c>
      <c r="C89" s="34">
        <v>4301011261</v>
      </c>
      <c r="D89" s="702">
        <v>4680115887732</v>
      </c>
      <c r="E89" s="702"/>
      <c r="F89" s="59">
        <v>0.17</v>
      </c>
      <c r="G89" s="35">
        <v>10</v>
      </c>
      <c r="H89" s="59">
        <v>1.7</v>
      </c>
      <c r="I89" s="59">
        <v>1.8</v>
      </c>
      <c r="J89" s="35">
        <v>192</v>
      </c>
      <c r="K89" s="35" t="s">
        <v>137</v>
      </c>
      <c r="L89" s="35" t="s">
        <v>46</v>
      </c>
      <c r="M89" s="36" t="s">
        <v>81</v>
      </c>
      <c r="N89" s="36"/>
      <c r="O89" s="35">
        <v>30</v>
      </c>
      <c r="P89" s="744" t="str">
        <f>HYPERLINK("https://abi.ru/products/Охлажденные/Вязанка/Молокуша/Вареные колбасы/P002641/","Вареные колбасы «Молокуша» Фикс.вес 0,17 нарезка ТМ «Вязанка»")</f>
        <v>Вареные колбасы «Молокуша» Фикс.вес 0,17 нарезка ТМ «Вязанка»</v>
      </c>
      <c r="Q89" s="704"/>
      <c r="R89" s="704"/>
      <c r="S89" s="704"/>
      <c r="T89" s="705"/>
      <c r="U89" s="37" t="s">
        <v>46</v>
      </c>
      <c r="V89" s="37" t="s">
        <v>46</v>
      </c>
      <c r="W89" s="38" t="s">
        <v>0</v>
      </c>
      <c r="X89" s="56">
        <v>0</v>
      </c>
      <c r="Y89" s="53">
        <f>IFERROR(IF(X89="",0,CEILING((X89/$H89),1)*$H89),"")</f>
        <v>0</v>
      </c>
      <c r="Z89" s="39" t="str">
        <f>IFERROR(IF(Y89=0,"",ROUNDUP(Y89/H89,0)*0.00726),"")</f>
        <v/>
      </c>
      <c r="AA89" s="65" t="s">
        <v>46</v>
      </c>
      <c r="AB89" s="66" t="s">
        <v>46</v>
      </c>
      <c r="AC89" s="149" t="s">
        <v>194</v>
      </c>
      <c r="AG89" s="75"/>
      <c r="AJ89" s="79" t="s">
        <v>46</v>
      </c>
      <c r="AK89" s="79">
        <v>0</v>
      </c>
      <c r="BB89" s="150" t="s">
        <v>67</v>
      </c>
      <c r="BM89" s="75">
        <f>IFERROR(X89*I89/H89,"0")</f>
        <v>0</v>
      </c>
      <c r="BN89" s="75">
        <f>IFERROR(Y89*I89/H89,"0")</f>
        <v>0</v>
      </c>
      <c r="BO89" s="75">
        <f>IFERROR(1/J89*(X89/H89),"0")</f>
        <v>0</v>
      </c>
      <c r="BP89" s="75">
        <f>IFERROR(1/J89*(Y89/H89),"0")</f>
        <v>0</v>
      </c>
    </row>
    <row r="90" spans="1:68" ht="27" customHeight="1" x14ac:dyDescent="0.25">
      <c r="A90" s="60" t="s">
        <v>195</v>
      </c>
      <c r="B90" s="60" t="s">
        <v>196</v>
      </c>
      <c r="C90" s="34">
        <v>4301011476</v>
      </c>
      <c r="D90" s="702">
        <v>4680115881518</v>
      </c>
      <c r="E90" s="702"/>
      <c r="F90" s="59">
        <v>0.4</v>
      </c>
      <c r="G90" s="35">
        <v>10</v>
      </c>
      <c r="H90" s="59">
        <v>4</v>
      </c>
      <c r="I90" s="59">
        <v>4.1900000000000004</v>
      </c>
      <c r="J90" s="35">
        <v>132</v>
      </c>
      <c r="K90" s="35" t="s">
        <v>140</v>
      </c>
      <c r="L90" s="35" t="s">
        <v>46</v>
      </c>
      <c r="M90" s="36" t="s">
        <v>90</v>
      </c>
      <c r="N90" s="36"/>
      <c r="O90" s="35">
        <v>50</v>
      </c>
      <c r="P90" s="745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90" s="704"/>
      <c r="R90" s="704"/>
      <c r="S90" s="704"/>
      <c r="T90" s="705"/>
      <c r="U90" s="37" t="s">
        <v>46</v>
      </c>
      <c r="V90" s="37" t="s">
        <v>46</v>
      </c>
      <c r="W90" s="38" t="s">
        <v>0</v>
      </c>
      <c r="X90" s="56">
        <v>0</v>
      </c>
      <c r="Y90" s="53">
        <f>IFERROR(IF(X90="",0,CEILING((X90/$H90),1)*$H90),"")</f>
        <v>0</v>
      </c>
      <c r="Z90" s="39" t="str">
        <f>IFERROR(IF(Y90=0,"",ROUNDUP(Y90/H90,0)*0.00902),"")</f>
        <v/>
      </c>
      <c r="AA90" s="65" t="s">
        <v>46</v>
      </c>
      <c r="AB90" s="66" t="s">
        <v>46</v>
      </c>
      <c r="AC90" s="151" t="s">
        <v>191</v>
      </c>
      <c r="AG90" s="75"/>
      <c r="AJ90" s="79" t="s">
        <v>46</v>
      </c>
      <c r="AK90" s="79">
        <v>0</v>
      </c>
      <c r="BB90" s="152" t="s">
        <v>67</v>
      </c>
      <c r="BM90" s="75">
        <f>IFERROR(X90*I90/H90,"0")</f>
        <v>0</v>
      </c>
      <c r="BN90" s="75">
        <f>IFERROR(Y90*I90/H90,"0")</f>
        <v>0</v>
      </c>
      <c r="BO90" s="75">
        <f>IFERROR(1/J90*(X90/H90),"0")</f>
        <v>0</v>
      </c>
      <c r="BP90" s="75">
        <f>IFERROR(1/J90*(Y90/H90),"0")</f>
        <v>0</v>
      </c>
    </row>
    <row r="91" spans="1:68" ht="27" customHeight="1" x14ac:dyDescent="0.25">
      <c r="A91" s="60" t="s">
        <v>197</v>
      </c>
      <c r="B91" s="60" t="s">
        <v>198</v>
      </c>
      <c r="C91" s="34">
        <v>4301011443</v>
      </c>
      <c r="D91" s="702">
        <v>4680115881303</v>
      </c>
      <c r="E91" s="702"/>
      <c r="F91" s="59">
        <v>0.45</v>
      </c>
      <c r="G91" s="35">
        <v>10</v>
      </c>
      <c r="H91" s="59">
        <v>4.5</v>
      </c>
      <c r="I91" s="59">
        <v>4.6900000000000004</v>
      </c>
      <c r="J91" s="35">
        <v>132</v>
      </c>
      <c r="K91" s="35" t="s">
        <v>140</v>
      </c>
      <c r="L91" s="35" t="s">
        <v>46</v>
      </c>
      <c r="M91" s="36" t="s">
        <v>97</v>
      </c>
      <c r="N91" s="36"/>
      <c r="O91" s="35">
        <v>50</v>
      </c>
      <c r="P91" s="746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91" s="704"/>
      <c r="R91" s="704"/>
      <c r="S91" s="704"/>
      <c r="T91" s="705"/>
      <c r="U91" s="37" t="s">
        <v>46</v>
      </c>
      <c r="V91" s="37" t="s">
        <v>46</v>
      </c>
      <c r="W91" s="38" t="s">
        <v>0</v>
      </c>
      <c r="X91" s="56">
        <v>0</v>
      </c>
      <c r="Y91" s="53">
        <f>IFERROR(IF(X91="",0,CEILING((X91/$H91),1)*$H91),"")</f>
        <v>0</v>
      </c>
      <c r="Z91" s="39" t="str">
        <f>IFERROR(IF(Y91=0,"",ROUNDUP(Y91/H91,0)*0.00902),"")</f>
        <v/>
      </c>
      <c r="AA91" s="65" t="s">
        <v>46</v>
      </c>
      <c r="AB91" s="66" t="s">
        <v>46</v>
      </c>
      <c r="AC91" s="153" t="s">
        <v>191</v>
      </c>
      <c r="AG91" s="75"/>
      <c r="AJ91" s="79" t="s">
        <v>46</v>
      </c>
      <c r="AK91" s="79">
        <v>0</v>
      </c>
      <c r="BB91" s="154" t="s">
        <v>67</v>
      </c>
      <c r="BM91" s="75">
        <f>IFERROR(X91*I91/H91,"0")</f>
        <v>0</v>
      </c>
      <c r="BN91" s="75">
        <f>IFERROR(Y91*I91/H91,"0")</f>
        <v>0</v>
      </c>
      <c r="BO91" s="75">
        <f>IFERROR(1/J91*(X91/H91),"0")</f>
        <v>0</v>
      </c>
      <c r="BP91" s="75">
        <f>IFERROR(1/J91*(Y91/H91),"0")</f>
        <v>0</v>
      </c>
    </row>
    <row r="92" spans="1:68" x14ac:dyDescent="0.2">
      <c r="A92" s="710"/>
      <c r="B92" s="710"/>
      <c r="C92" s="710"/>
      <c r="D92" s="710"/>
      <c r="E92" s="710"/>
      <c r="F92" s="710"/>
      <c r="G92" s="710"/>
      <c r="H92" s="710"/>
      <c r="I92" s="710"/>
      <c r="J92" s="710"/>
      <c r="K92" s="710"/>
      <c r="L92" s="710"/>
      <c r="M92" s="710"/>
      <c r="N92" s="710"/>
      <c r="O92" s="711"/>
      <c r="P92" s="707" t="s">
        <v>40</v>
      </c>
      <c r="Q92" s="708"/>
      <c r="R92" s="708"/>
      <c r="S92" s="708"/>
      <c r="T92" s="708"/>
      <c r="U92" s="708"/>
      <c r="V92" s="709"/>
      <c r="W92" s="40" t="s">
        <v>39</v>
      </c>
      <c r="X92" s="41">
        <f>IFERROR(X88/H88,"0")+IFERROR(X89/H89,"0")+IFERROR(X90/H90,"0")+IFERROR(X91/H91,"0")</f>
        <v>0</v>
      </c>
      <c r="Y92" s="41">
        <f>IFERROR(Y88/H88,"0")+IFERROR(Y89/H89,"0")+IFERROR(Y90/H90,"0")+IFERROR(Y91/H91,"0")</f>
        <v>0</v>
      </c>
      <c r="Z92" s="41">
        <f>IFERROR(IF(Z88="",0,Z88),"0")+IFERROR(IF(Z89="",0,Z89),"0")+IFERROR(IF(Z90="",0,Z90),"0")+IFERROR(IF(Z91="",0,Z91),"0")</f>
        <v>0</v>
      </c>
      <c r="AA92" s="64"/>
      <c r="AB92" s="64"/>
      <c r="AC92" s="64"/>
    </row>
    <row r="93" spans="1:68" x14ac:dyDescent="0.2">
      <c r="A93" s="710"/>
      <c r="B93" s="710"/>
      <c r="C93" s="710"/>
      <c r="D93" s="710"/>
      <c r="E93" s="710"/>
      <c r="F93" s="710"/>
      <c r="G93" s="710"/>
      <c r="H93" s="710"/>
      <c r="I93" s="710"/>
      <c r="J93" s="710"/>
      <c r="K93" s="710"/>
      <c r="L93" s="710"/>
      <c r="M93" s="710"/>
      <c r="N93" s="710"/>
      <c r="O93" s="711"/>
      <c r="P93" s="707" t="s">
        <v>40</v>
      </c>
      <c r="Q93" s="708"/>
      <c r="R93" s="708"/>
      <c r="S93" s="708"/>
      <c r="T93" s="708"/>
      <c r="U93" s="708"/>
      <c r="V93" s="709"/>
      <c r="W93" s="40" t="s">
        <v>0</v>
      </c>
      <c r="X93" s="41">
        <f>IFERROR(SUM(X88:X91),"0")</f>
        <v>0</v>
      </c>
      <c r="Y93" s="41">
        <f>IFERROR(SUM(Y88:Y91),"0")</f>
        <v>0</v>
      </c>
      <c r="Z93" s="40"/>
      <c r="AA93" s="64"/>
      <c r="AB93" s="64"/>
      <c r="AC93" s="64"/>
    </row>
    <row r="94" spans="1:68" ht="14.25" customHeight="1" x14ac:dyDescent="0.25">
      <c r="A94" s="701" t="s">
        <v>86</v>
      </c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  <c r="AA94" s="63"/>
      <c r="AB94" s="63"/>
      <c r="AC94" s="63"/>
    </row>
    <row r="95" spans="1:68" ht="27" customHeight="1" x14ac:dyDescent="0.25">
      <c r="A95" s="60" t="s">
        <v>199</v>
      </c>
      <c r="B95" s="60" t="s">
        <v>200</v>
      </c>
      <c r="C95" s="34">
        <v>4301051712</v>
      </c>
      <c r="D95" s="702">
        <v>4607091386967</v>
      </c>
      <c r="E95" s="702"/>
      <c r="F95" s="59">
        <v>1.35</v>
      </c>
      <c r="G95" s="35">
        <v>6</v>
      </c>
      <c r="H95" s="59">
        <v>8.1</v>
      </c>
      <c r="I95" s="59">
        <v>8.5939999999999994</v>
      </c>
      <c r="J95" s="35">
        <v>64</v>
      </c>
      <c r="K95" s="35" t="s">
        <v>133</v>
      </c>
      <c r="L95" s="35" t="s">
        <v>46</v>
      </c>
      <c r="M95" s="36" t="s">
        <v>97</v>
      </c>
      <c r="N95" s="36"/>
      <c r="O95" s="35">
        <v>45</v>
      </c>
      <c r="P95" s="747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5" s="704"/>
      <c r="R95" s="704"/>
      <c r="S95" s="704"/>
      <c r="T95" s="705"/>
      <c r="U95" s="37" t="s">
        <v>46</v>
      </c>
      <c r="V95" s="37" t="s">
        <v>46</v>
      </c>
      <c r="W95" s="38" t="s">
        <v>0</v>
      </c>
      <c r="X95" s="56">
        <v>0</v>
      </c>
      <c r="Y95" s="53">
        <f>IFERROR(IF(X95="",0,CEILING((X95/$H95),1)*$H95),"")</f>
        <v>0</v>
      </c>
      <c r="Z95" s="39" t="str">
        <f>IFERROR(IF(Y95=0,"",ROUNDUP(Y95/H95,0)*0.01898),"")</f>
        <v/>
      </c>
      <c r="AA95" s="65" t="s">
        <v>46</v>
      </c>
      <c r="AB95" s="66" t="s">
        <v>46</v>
      </c>
      <c r="AC95" s="155" t="s">
        <v>201</v>
      </c>
      <c r="AG95" s="75"/>
      <c r="AJ95" s="79" t="s">
        <v>46</v>
      </c>
      <c r="AK95" s="79">
        <v>0</v>
      </c>
      <c r="BB95" s="156" t="s">
        <v>67</v>
      </c>
      <c r="BM95" s="75">
        <f>IFERROR(X95*I95/H95,"0")</f>
        <v>0</v>
      </c>
      <c r="BN95" s="75">
        <f>IFERROR(Y95*I95/H95,"0")</f>
        <v>0</v>
      </c>
      <c r="BO95" s="75">
        <f>IFERROR(1/J95*(X95/H95),"0")</f>
        <v>0</v>
      </c>
      <c r="BP95" s="75">
        <f>IFERROR(1/J95*(Y95/H95),"0")</f>
        <v>0</v>
      </c>
    </row>
    <row r="96" spans="1:68" ht="27" customHeight="1" x14ac:dyDescent="0.25">
      <c r="A96" s="60" t="s">
        <v>202</v>
      </c>
      <c r="B96" s="60" t="s">
        <v>203</v>
      </c>
      <c r="C96" s="34">
        <v>4301051788</v>
      </c>
      <c r="D96" s="702">
        <v>4680115884953</v>
      </c>
      <c r="E96" s="702"/>
      <c r="F96" s="59">
        <v>0.37</v>
      </c>
      <c r="G96" s="35">
        <v>6</v>
      </c>
      <c r="H96" s="59">
        <v>2.2200000000000002</v>
      </c>
      <c r="I96" s="59">
        <v>2.472</v>
      </c>
      <c r="J96" s="35">
        <v>182</v>
      </c>
      <c r="K96" s="35" t="s">
        <v>91</v>
      </c>
      <c r="L96" s="35" t="s">
        <v>46</v>
      </c>
      <c r="M96" s="36" t="s">
        <v>90</v>
      </c>
      <c r="N96" s="36"/>
      <c r="O96" s="35">
        <v>45</v>
      </c>
      <c r="P96" s="748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6" s="704"/>
      <c r="R96" s="704"/>
      <c r="S96" s="704"/>
      <c r="T96" s="705"/>
      <c r="U96" s="37" t="s">
        <v>46</v>
      </c>
      <c r="V96" s="37" t="s">
        <v>46</v>
      </c>
      <c r="W96" s="38" t="s">
        <v>0</v>
      </c>
      <c r="X96" s="56">
        <v>0</v>
      </c>
      <c r="Y96" s="53">
        <f>IFERROR(IF(X96="",0,CEILING((X96/$H96),1)*$H96),"")</f>
        <v>0</v>
      </c>
      <c r="Z96" s="39" t="str">
        <f>IFERROR(IF(Y96=0,"",ROUNDUP(Y96/H96,0)*0.00651),"")</f>
        <v/>
      </c>
      <c r="AA96" s="65" t="s">
        <v>46</v>
      </c>
      <c r="AB96" s="66" t="s">
        <v>46</v>
      </c>
      <c r="AC96" s="157" t="s">
        <v>201</v>
      </c>
      <c r="AG96" s="75"/>
      <c r="AJ96" s="79" t="s">
        <v>46</v>
      </c>
      <c r="AK96" s="79">
        <v>0</v>
      </c>
      <c r="BB96" s="158" t="s">
        <v>67</v>
      </c>
      <c r="BM96" s="75">
        <f>IFERROR(X96*I96/H96,"0")</f>
        <v>0</v>
      </c>
      <c r="BN96" s="75">
        <f>IFERROR(Y96*I96/H96,"0")</f>
        <v>0</v>
      </c>
      <c r="BO96" s="75">
        <f>IFERROR(1/J96*(X96/H96),"0")</f>
        <v>0</v>
      </c>
      <c r="BP96" s="75">
        <f>IFERROR(1/J96*(Y96/H96),"0")</f>
        <v>0</v>
      </c>
    </row>
    <row r="97" spans="1:68" ht="27" customHeight="1" x14ac:dyDescent="0.25">
      <c r="A97" s="60" t="s">
        <v>204</v>
      </c>
      <c r="B97" s="60" t="s">
        <v>205</v>
      </c>
      <c r="C97" s="34">
        <v>4301051718</v>
      </c>
      <c r="D97" s="702">
        <v>4607091385731</v>
      </c>
      <c r="E97" s="702"/>
      <c r="F97" s="59">
        <v>0.45</v>
      </c>
      <c r="G97" s="35">
        <v>6</v>
      </c>
      <c r="H97" s="59">
        <v>2.7</v>
      </c>
      <c r="I97" s="59">
        <v>2.952</v>
      </c>
      <c r="J97" s="35">
        <v>182</v>
      </c>
      <c r="K97" s="35" t="s">
        <v>91</v>
      </c>
      <c r="L97" s="35" t="s">
        <v>46</v>
      </c>
      <c r="M97" s="36" t="s">
        <v>97</v>
      </c>
      <c r="N97" s="36"/>
      <c r="O97" s="35">
        <v>45</v>
      </c>
      <c r="P97" s="749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7" s="704"/>
      <c r="R97" s="704"/>
      <c r="S97" s="704"/>
      <c r="T97" s="705"/>
      <c r="U97" s="37" t="s">
        <v>46</v>
      </c>
      <c r="V97" s="37" t="s">
        <v>46</v>
      </c>
      <c r="W97" s="38" t="s">
        <v>0</v>
      </c>
      <c r="X97" s="56">
        <v>0</v>
      </c>
      <c r="Y97" s="53">
        <f>IFERROR(IF(X97="",0,CEILING((X97/$H97),1)*$H97),"")</f>
        <v>0</v>
      </c>
      <c r="Z97" s="39" t="str">
        <f>IFERROR(IF(Y97=0,"",ROUNDUP(Y97/H97,0)*0.00651),"")</f>
        <v/>
      </c>
      <c r="AA97" s="65" t="s">
        <v>46</v>
      </c>
      <c r="AB97" s="66" t="s">
        <v>46</v>
      </c>
      <c r="AC97" s="159" t="s">
        <v>201</v>
      </c>
      <c r="AG97" s="75"/>
      <c r="AJ97" s="79" t="s">
        <v>46</v>
      </c>
      <c r="AK97" s="79">
        <v>0</v>
      </c>
      <c r="BB97" s="160" t="s">
        <v>67</v>
      </c>
      <c r="BM97" s="75">
        <f>IFERROR(X97*I97/H97,"0")</f>
        <v>0</v>
      </c>
      <c r="BN97" s="75">
        <f>IFERROR(Y97*I97/H97,"0")</f>
        <v>0</v>
      </c>
      <c r="BO97" s="75">
        <f>IFERROR(1/J97*(X97/H97),"0")</f>
        <v>0</v>
      </c>
      <c r="BP97" s="75">
        <f>IFERROR(1/J97*(Y97/H97),"0")</f>
        <v>0</v>
      </c>
    </row>
    <row r="98" spans="1:68" ht="16.5" customHeight="1" x14ac:dyDescent="0.25">
      <c r="A98" s="60" t="s">
        <v>206</v>
      </c>
      <c r="B98" s="60" t="s">
        <v>207</v>
      </c>
      <c r="C98" s="34">
        <v>4301052092</v>
      </c>
      <c r="D98" s="702">
        <v>4680115880894</v>
      </c>
      <c r="E98" s="702"/>
      <c r="F98" s="59">
        <v>0.33</v>
      </c>
      <c r="G98" s="35">
        <v>6</v>
      </c>
      <c r="H98" s="59">
        <v>1.98</v>
      </c>
      <c r="I98" s="59">
        <v>2.238</v>
      </c>
      <c r="J98" s="35">
        <v>182</v>
      </c>
      <c r="K98" s="35" t="s">
        <v>91</v>
      </c>
      <c r="L98" s="35" t="s">
        <v>46</v>
      </c>
      <c r="M98" s="36" t="s">
        <v>90</v>
      </c>
      <c r="N98" s="36"/>
      <c r="O98" s="35">
        <v>45</v>
      </c>
      <c r="P98" s="750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8" s="704"/>
      <c r="R98" s="704"/>
      <c r="S98" s="704"/>
      <c r="T98" s="705"/>
      <c r="U98" s="37" t="s">
        <v>46</v>
      </c>
      <c r="V98" s="37" t="s">
        <v>46</v>
      </c>
      <c r="W98" s="38" t="s">
        <v>0</v>
      </c>
      <c r="X98" s="56">
        <v>0</v>
      </c>
      <c r="Y98" s="53">
        <f>IFERROR(IF(X98="",0,CEILING((X98/$H98),1)*$H98),"")</f>
        <v>0</v>
      </c>
      <c r="Z98" s="39" t="str">
        <f>IFERROR(IF(Y98=0,"",ROUNDUP(Y98/H98,0)*0.00651),"")</f>
        <v/>
      </c>
      <c r="AA98" s="65" t="s">
        <v>46</v>
      </c>
      <c r="AB98" s="66" t="s">
        <v>46</v>
      </c>
      <c r="AC98" s="161" t="s">
        <v>208</v>
      </c>
      <c r="AG98" s="75"/>
      <c r="AJ98" s="79" t="s">
        <v>46</v>
      </c>
      <c r="AK98" s="79">
        <v>0</v>
      </c>
      <c r="BB98" s="162" t="s">
        <v>67</v>
      </c>
      <c r="BM98" s="75">
        <f>IFERROR(X98*I98/H98,"0")</f>
        <v>0</v>
      </c>
      <c r="BN98" s="75">
        <f>IFERROR(Y98*I98/H98,"0")</f>
        <v>0</v>
      </c>
      <c r="BO98" s="75">
        <f>IFERROR(1/J98*(X98/H98),"0")</f>
        <v>0</v>
      </c>
      <c r="BP98" s="75">
        <f>IFERROR(1/J98*(Y98/H98),"0")</f>
        <v>0</v>
      </c>
    </row>
    <row r="99" spans="1:68" x14ac:dyDescent="0.2">
      <c r="A99" s="710"/>
      <c r="B99" s="710"/>
      <c r="C99" s="710"/>
      <c r="D99" s="710"/>
      <c r="E99" s="710"/>
      <c r="F99" s="710"/>
      <c r="G99" s="710"/>
      <c r="H99" s="710"/>
      <c r="I99" s="710"/>
      <c r="J99" s="710"/>
      <c r="K99" s="710"/>
      <c r="L99" s="710"/>
      <c r="M99" s="710"/>
      <c r="N99" s="710"/>
      <c r="O99" s="711"/>
      <c r="P99" s="707" t="s">
        <v>40</v>
      </c>
      <c r="Q99" s="708"/>
      <c r="R99" s="708"/>
      <c r="S99" s="708"/>
      <c r="T99" s="708"/>
      <c r="U99" s="708"/>
      <c r="V99" s="709"/>
      <c r="W99" s="40" t="s">
        <v>39</v>
      </c>
      <c r="X99" s="41">
        <f>IFERROR(X95/H95,"0")+IFERROR(X96/H96,"0")+IFERROR(X97/H97,"0")+IFERROR(X98/H98,"0")</f>
        <v>0</v>
      </c>
      <c r="Y99" s="41">
        <f>IFERROR(Y95/H95,"0")+IFERROR(Y96/H96,"0")+IFERROR(Y97/H97,"0")+IFERROR(Y98/H98,"0")</f>
        <v>0</v>
      </c>
      <c r="Z99" s="41">
        <f>IFERROR(IF(Z95="",0,Z95),"0")+IFERROR(IF(Z96="",0,Z96),"0")+IFERROR(IF(Z97="",0,Z97),"0")+IFERROR(IF(Z98="",0,Z98),"0")</f>
        <v>0</v>
      </c>
      <c r="AA99" s="64"/>
      <c r="AB99" s="64"/>
      <c r="AC99" s="64"/>
    </row>
    <row r="100" spans="1:68" x14ac:dyDescent="0.2">
      <c r="A100" s="710"/>
      <c r="B100" s="710"/>
      <c r="C100" s="710"/>
      <c r="D100" s="710"/>
      <c r="E100" s="710"/>
      <c r="F100" s="710"/>
      <c r="G100" s="710"/>
      <c r="H100" s="710"/>
      <c r="I100" s="710"/>
      <c r="J100" s="710"/>
      <c r="K100" s="710"/>
      <c r="L100" s="710"/>
      <c r="M100" s="710"/>
      <c r="N100" s="710"/>
      <c r="O100" s="711"/>
      <c r="P100" s="707" t="s">
        <v>40</v>
      </c>
      <c r="Q100" s="708"/>
      <c r="R100" s="708"/>
      <c r="S100" s="708"/>
      <c r="T100" s="708"/>
      <c r="U100" s="708"/>
      <c r="V100" s="709"/>
      <c r="W100" s="40" t="s">
        <v>0</v>
      </c>
      <c r="X100" s="41">
        <f>IFERROR(SUM(X95:X98),"0")</f>
        <v>0</v>
      </c>
      <c r="Y100" s="41">
        <f>IFERROR(SUM(Y95:Y98),"0")</f>
        <v>0</v>
      </c>
      <c r="Z100" s="40"/>
      <c r="AA100" s="64"/>
      <c r="AB100" s="64"/>
      <c r="AC100" s="64"/>
    </row>
    <row r="101" spans="1:68" ht="16.5" customHeight="1" x14ac:dyDescent="0.25">
      <c r="A101" s="700" t="s">
        <v>209</v>
      </c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  <c r="AA101" s="62"/>
      <c r="AB101" s="62"/>
      <c r="AC101" s="62"/>
    </row>
    <row r="102" spans="1:68" ht="14.25" customHeight="1" x14ac:dyDescent="0.25">
      <c r="A102" s="701" t="s">
        <v>128</v>
      </c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  <c r="AA102" s="63"/>
      <c r="AB102" s="63"/>
      <c r="AC102" s="63"/>
    </row>
    <row r="103" spans="1:68" ht="37.5" customHeight="1" x14ac:dyDescent="0.25">
      <c r="A103" s="60" t="s">
        <v>210</v>
      </c>
      <c r="B103" s="60" t="s">
        <v>211</v>
      </c>
      <c r="C103" s="34">
        <v>4301011514</v>
      </c>
      <c r="D103" s="702">
        <v>4680115882133</v>
      </c>
      <c r="E103" s="702"/>
      <c r="F103" s="59">
        <v>1.35</v>
      </c>
      <c r="G103" s="35">
        <v>8</v>
      </c>
      <c r="H103" s="59">
        <v>10.8</v>
      </c>
      <c r="I103" s="59">
        <v>11.21</v>
      </c>
      <c r="J103" s="35">
        <v>64</v>
      </c>
      <c r="K103" s="35" t="s">
        <v>133</v>
      </c>
      <c r="L103" s="35" t="s">
        <v>46</v>
      </c>
      <c r="M103" s="36" t="s">
        <v>132</v>
      </c>
      <c r="N103" s="36"/>
      <c r="O103" s="35">
        <v>50</v>
      </c>
      <c r="P103" s="751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3" s="704"/>
      <c r="R103" s="704"/>
      <c r="S103" s="704"/>
      <c r="T103" s="705"/>
      <c r="U103" s="37" t="s">
        <v>46</v>
      </c>
      <c r="V103" s="37" t="s">
        <v>46</v>
      </c>
      <c r="W103" s="38" t="s">
        <v>0</v>
      </c>
      <c r="X103" s="56">
        <v>0</v>
      </c>
      <c r="Y103" s="53">
        <f t="shared" ref="Y103:Y108" si="5">IFERROR(IF(X103="",0,CEILING((X103/$H103),1)*$H103),"")</f>
        <v>0</v>
      </c>
      <c r="Z103" s="39" t="str">
        <f>IFERROR(IF(Y103=0,"",ROUNDUP(Y103/H103,0)*0.01898),"")</f>
        <v/>
      </c>
      <c r="AA103" s="65" t="s">
        <v>46</v>
      </c>
      <c r="AB103" s="66" t="s">
        <v>46</v>
      </c>
      <c r="AC103" s="163" t="s">
        <v>212</v>
      </c>
      <c r="AG103" s="75"/>
      <c r="AJ103" s="79" t="s">
        <v>46</v>
      </c>
      <c r="AK103" s="79">
        <v>0</v>
      </c>
      <c r="BB103" s="164" t="s">
        <v>67</v>
      </c>
      <c r="BM103" s="75">
        <f t="shared" ref="BM103:BM108" si="6">IFERROR(X103*I103/H103,"0")</f>
        <v>0</v>
      </c>
      <c r="BN103" s="75">
        <f t="shared" ref="BN103:BN108" si="7">IFERROR(Y103*I103/H103,"0")</f>
        <v>0</v>
      </c>
      <c r="BO103" s="75">
        <f t="shared" ref="BO103:BO108" si="8">IFERROR(1/J103*(X103/H103),"0")</f>
        <v>0</v>
      </c>
      <c r="BP103" s="75">
        <f t="shared" ref="BP103:BP108" si="9">IFERROR(1/J103*(Y103/H103),"0")</f>
        <v>0</v>
      </c>
    </row>
    <row r="104" spans="1:68" ht="27" customHeight="1" x14ac:dyDescent="0.25">
      <c r="A104" s="60" t="s">
        <v>213</v>
      </c>
      <c r="B104" s="60" t="s">
        <v>214</v>
      </c>
      <c r="C104" s="34">
        <v>4301012051</v>
      </c>
      <c r="D104" s="702">
        <v>4680115887718</v>
      </c>
      <c r="E104" s="702"/>
      <c r="F104" s="59">
        <v>0.11</v>
      </c>
      <c r="G104" s="35">
        <v>10</v>
      </c>
      <c r="H104" s="59">
        <v>1.1000000000000001</v>
      </c>
      <c r="I104" s="59">
        <v>1.31</v>
      </c>
      <c r="J104" s="35">
        <v>192</v>
      </c>
      <c r="K104" s="35" t="s">
        <v>137</v>
      </c>
      <c r="L104" s="35" t="s">
        <v>46</v>
      </c>
      <c r="M104" s="36" t="s">
        <v>81</v>
      </c>
      <c r="N104" s="36"/>
      <c r="O104" s="35">
        <v>30</v>
      </c>
      <c r="P104" s="752" t="str">
        <f>HYPERLINK("https://abi.ru/products/Охлажденные/Вязанка/Сливушка/Вареные колбасы/P004758/","Вареные колбасы «Сливушка» Фикс.вес 0,11 нарезка ТМ «Вязанка»")</f>
        <v>Вареные колбасы «Сливушка» Фикс.вес 0,11 нарезка ТМ «Вязанка»</v>
      </c>
      <c r="Q104" s="704"/>
      <c r="R104" s="704"/>
      <c r="S104" s="704"/>
      <c r="T104" s="705"/>
      <c r="U104" s="37" t="s">
        <v>46</v>
      </c>
      <c r="V104" s="37" t="s">
        <v>46</v>
      </c>
      <c r="W104" s="38" t="s">
        <v>0</v>
      </c>
      <c r="X104" s="56">
        <v>0</v>
      </c>
      <c r="Y104" s="53">
        <f t="shared" si="5"/>
        <v>0</v>
      </c>
      <c r="Z104" s="39" t="str">
        <f>IFERROR(IF(Y104=0,"",ROUNDUP(Y104/H104,0)*0.00726),"")</f>
        <v/>
      </c>
      <c r="AA104" s="65" t="s">
        <v>46</v>
      </c>
      <c r="AB104" s="66" t="s">
        <v>46</v>
      </c>
      <c r="AC104" s="165" t="s">
        <v>215</v>
      </c>
      <c r="AG104" s="75"/>
      <c r="AJ104" s="79" t="s">
        <v>46</v>
      </c>
      <c r="AK104" s="79">
        <v>0</v>
      </c>
      <c r="BB104" s="166" t="s">
        <v>67</v>
      </c>
      <c r="BM104" s="75">
        <f t="shared" si="6"/>
        <v>0</v>
      </c>
      <c r="BN104" s="75">
        <f t="shared" si="7"/>
        <v>0</v>
      </c>
      <c r="BO104" s="75">
        <f t="shared" si="8"/>
        <v>0</v>
      </c>
      <c r="BP104" s="75">
        <f t="shared" si="9"/>
        <v>0</v>
      </c>
    </row>
    <row r="105" spans="1:68" ht="27" customHeight="1" x14ac:dyDescent="0.25">
      <c r="A105" s="60" t="s">
        <v>213</v>
      </c>
      <c r="B105" s="60" t="s">
        <v>216</v>
      </c>
      <c r="C105" s="34">
        <v>4301012334</v>
      </c>
      <c r="D105" s="702">
        <v>4680115887718</v>
      </c>
      <c r="E105" s="702"/>
      <c r="F105" s="59">
        <v>0.11</v>
      </c>
      <c r="G105" s="35">
        <v>8</v>
      </c>
      <c r="H105" s="59">
        <v>0.88</v>
      </c>
      <c r="I105" s="59">
        <v>1.0680000000000001</v>
      </c>
      <c r="J105" s="35">
        <v>192</v>
      </c>
      <c r="K105" s="35" t="s">
        <v>137</v>
      </c>
      <c r="L105" s="35" t="s">
        <v>46</v>
      </c>
      <c r="M105" s="36" t="s">
        <v>81</v>
      </c>
      <c r="N105" s="36"/>
      <c r="O105" s="35">
        <v>30</v>
      </c>
      <c r="P105" s="753" t="str">
        <f>HYPERLINK("https://abi.ru/products/Охлажденные/Вязанка/Сливушка/Вареные колбасы/P005406/","Вареные колбасы «Сливушка» Фикс.вес 0,11 нарезка ТМ «Вязанка»")</f>
        <v>Вареные колбасы «Сливушка» Фикс.вес 0,11 нарезка ТМ «Вязанка»</v>
      </c>
      <c r="Q105" s="704"/>
      <c r="R105" s="704"/>
      <c r="S105" s="704"/>
      <c r="T105" s="705"/>
      <c r="U105" s="37" t="s">
        <v>46</v>
      </c>
      <c r="V105" s="37" t="s">
        <v>46</v>
      </c>
      <c r="W105" s="38" t="s">
        <v>0</v>
      </c>
      <c r="X105" s="56">
        <v>0</v>
      </c>
      <c r="Y105" s="53">
        <f t="shared" si="5"/>
        <v>0</v>
      </c>
      <c r="Z105" s="39" t="str">
        <f>IFERROR(IF(Y105=0,"",ROUNDUP(Y105/H105,0)*0.00726),"")</f>
        <v/>
      </c>
      <c r="AA105" s="65" t="s">
        <v>46</v>
      </c>
      <c r="AB105" s="66" t="s">
        <v>46</v>
      </c>
      <c r="AC105" s="167" t="s">
        <v>215</v>
      </c>
      <c r="AG105" s="75"/>
      <c r="AJ105" s="79" t="s">
        <v>46</v>
      </c>
      <c r="AK105" s="79">
        <v>0</v>
      </c>
      <c r="BB105" s="168" t="s">
        <v>67</v>
      </c>
      <c r="BM105" s="75">
        <f t="shared" si="6"/>
        <v>0</v>
      </c>
      <c r="BN105" s="75">
        <f t="shared" si="7"/>
        <v>0</v>
      </c>
      <c r="BO105" s="75">
        <f t="shared" si="8"/>
        <v>0</v>
      </c>
      <c r="BP105" s="75">
        <f t="shared" si="9"/>
        <v>0</v>
      </c>
    </row>
    <row r="106" spans="1:68" ht="37.5" customHeight="1" x14ac:dyDescent="0.25">
      <c r="A106" s="60" t="s">
        <v>217</v>
      </c>
      <c r="B106" s="60" t="s">
        <v>218</v>
      </c>
      <c r="C106" s="34">
        <v>4301011417</v>
      </c>
      <c r="D106" s="702">
        <v>4680115880269</v>
      </c>
      <c r="E106" s="702"/>
      <c r="F106" s="59">
        <v>0.375</v>
      </c>
      <c r="G106" s="35">
        <v>10</v>
      </c>
      <c r="H106" s="59">
        <v>3.75</v>
      </c>
      <c r="I106" s="59">
        <v>3.94</v>
      </c>
      <c r="J106" s="35">
        <v>132</v>
      </c>
      <c r="K106" s="35" t="s">
        <v>140</v>
      </c>
      <c r="L106" s="35" t="s">
        <v>46</v>
      </c>
      <c r="M106" s="36" t="s">
        <v>90</v>
      </c>
      <c r="N106" s="36"/>
      <c r="O106" s="35">
        <v>50</v>
      </c>
      <c r="P106" s="754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6" s="704"/>
      <c r="R106" s="704"/>
      <c r="S106" s="704"/>
      <c r="T106" s="705"/>
      <c r="U106" s="37" t="s">
        <v>46</v>
      </c>
      <c r="V106" s="37" t="s">
        <v>46</v>
      </c>
      <c r="W106" s="38" t="s">
        <v>0</v>
      </c>
      <c r="X106" s="56">
        <v>0</v>
      </c>
      <c r="Y106" s="53">
        <f t="shared" si="5"/>
        <v>0</v>
      </c>
      <c r="Z106" s="39" t="str">
        <f>IFERROR(IF(Y106=0,"",ROUNDUP(Y106/H106,0)*0.00902),"")</f>
        <v/>
      </c>
      <c r="AA106" s="65" t="s">
        <v>46</v>
      </c>
      <c r="AB106" s="66" t="s">
        <v>46</v>
      </c>
      <c r="AC106" s="169" t="s">
        <v>212</v>
      </c>
      <c r="AG106" s="75"/>
      <c r="AJ106" s="79" t="s">
        <v>46</v>
      </c>
      <c r="AK106" s="79">
        <v>0</v>
      </c>
      <c r="BB106" s="170" t="s">
        <v>67</v>
      </c>
      <c r="BM106" s="75">
        <f t="shared" si="6"/>
        <v>0</v>
      </c>
      <c r="BN106" s="75">
        <f t="shared" si="7"/>
        <v>0</v>
      </c>
      <c r="BO106" s="75">
        <f t="shared" si="8"/>
        <v>0</v>
      </c>
      <c r="BP106" s="75">
        <f t="shared" si="9"/>
        <v>0</v>
      </c>
    </row>
    <row r="107" spans="1:68" ht="37.5" customHeight="1" x14ac:dyDescent="0.25">
      <c r="A107" s="60" t="s">
        <v>219</v>
      </c>
      <c r="B107" s="60" t="s">
        <v>220</v>
      </c>
      <c r="C107" s="34">
        <v>4301011415</v>
      </c>
      <c r="D107" s="702">
        <v>4680115880429</v>
      </c>
      <c r="E107" s="702"/>
      <c r="F107" s="59">
        <v>0.45</v>
      </c>
      <c r="G107" s="35">
        <v>10</v>
      </c>
      <c r="H107" s="59">
        <v>4.5</v>
      </c>
      <c r="I107" s="59">
        <v>4.6900000000000004</v>
      </c>
      <c r="J107" s="35">
        <v>132</v>
      </c>
      <c r="K107" s="35" t="s">
        <v>140</v>
      </c>
      <c r="L107" s="35" t="s">
        <v>46</v>
      </c>
      <c r="M107" s="36" t="s">
        <v>90</v>
      </c>
      <c r="N107" s="36"/>
      <c r="O107" s="35">
        <v>50</v>
      </c>
      <c r="P107" s="755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7" s="704"/>
      <c r="R107" s="704"/>
      <c r="S107" s="704"/>
      <c r="T107" s="705"/>
      <c r="U107" s="37" t="s">
        <v>46</v>
      </c>
      <c r="V107" s="37" t="s">
        <v>46</v>
      </c>
      <c r="W107" s="38" t="s">
        <v>0</v>
      </c>
      <c r="X107" s="56">
        <v>0</v>
      </c>
      <c r="Y107" s="53">
        <f t="shared" si="5"/>
        <v>0</v>
      </c>
      <c r="Z107" s="39" t="str">
        <f>IFERROR(IF(Y107=0,"",ROUNDUP(Y107/H107,0)*0.00902),"")</f>
        <v/>
      </c>
      <c r="AA107" s="65" t="s">
        <v>46</v>
      </c>
      <c r="AB107" s="66" t="s">
        <v>46</v>
      </c>
      <c r="AC107" s="171" t="s">
        <v>212</v>
      </c>
      <c r="AG107" s="75"/>
      <c r="AJ107" s="79" t="s">
        <v>46</v>
      </c>
      <c r="AK107" s="79">
        <v>0</v>
      </c>
      <c r="BB107" s="172" t="s">
        <v>67</v>
      </c>
      <c r="BM107" s="75">
        <f t="shared" si="6"/>
        <v>0</v>
      </c>
      <c r="BN107" s="75">
        <f t="shared" si="7"/>
        <v>0</v>
      </c>
      <c r="BO107" s="75">
        <f t="shared" si="8"/>
        <v>0</v>
      </c>
      <c r="BP107" s="75">
        <f t="shared" si="9"/>
        <v>0</v>
      </c>
    </row>
    <row r="108" spans="1:68" ht="37.5" customHeight="1" x14ac:dyDescent="0.25">
      <c r="A108" s="60" t="s">
        <v>221</v>
      </c>
      <c r="B108" s="60" t="s">
        <v>222</v>
      </c>
      <c r="C108" s="34">
        <v>4301011462</v>
      </c>
      <c r="D108" s="702">
        <v>4680115881457</v>
      </c>
      <c r="E108" s="702"/>
      <c r="F108" s="59">
        <v>0.75</v>
      </c>
      <c r="G108" s="35">
        <v>6</v>
      </c>
      <c r="H108" s="59">
        <v>4.5</v>
      </c>
      <c r="I108" s="59">
        <v>4.6900000000000004</v>
      </c>
      <c r="J108" s="35">
        <v>132</v>
      </c>
      <c r="K108" s="35" t="s">
        <v>140</v>
      </c>
      <c r="L108" s="35" t="s">
        <v>46</v>
      </c>
      <c r="M108" s="36" t="s">
        <v>90</v>
      </c>
      <c r="N108" s="36"/>
      <c r="O108" s="35">
        <v>50</v>
      </c>
      <c r="P108" s="756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8" s="704"/>
      <c r="R108" s="704"/>
      <c r="S108" s="704"/>
      <c r="T108" s="705"/>
      <c r="U108" s="37" t="s">
        <v>46</v>
      </c>
      <c r="V108" s="37" t="s">
        <v>46</v>
      </c>
      <c r="W108" s="38" t="s">
        <v>0</v>
      </c>
      <c r="X108" s="56">
        <v>0</v>
      </c>
      <c r="Y108" s="53">
        <f t="shared" si="5"/>
        <v>0</v>
      </c>
      <c r="Z108" s="39" t="str">
        <f>IFERROR(IF(Y108=0,"",ROUNDUP(Y108/H108,0)*0.00902),"")</f>
        <v/>
      </c>
      <c r="AA108" s="65" t="s">
        <v>46</v>
      </c>
      <c r="AB108" s="66" t="s">
        <v>46</v>
      </c>
      <c r="AC108" s="173" t="s">
        <v>212</v>
      </c>
      <c r="AG108" s="75"/>
      <c r="AJ108" s="79" t="s">
        <v>46</v>
      </c>
      <c r="AK108" s="79">
        <v>0</v>
      </c>
      <c r="BB108" s="174" t="s">
        <v>67</v>
      </c>
      <c r="BM108" s="75">
        <f t="shared" si="6"/>
        <v>0</v>
      </c>
      <c r="BN108" s="75">
        <f t="shared" si="7"/>
        <v>0</v>
      </c>
      <c r="BO108" s="75">
        <f t="shared" si="8"/>
        <v>0</v>
      </c>
      <c r="BP108" s="75">
        <f t="shared" si="9"/>
        <v>0</v>
      </c>
    </row>
    <row r="109" spans="1:68" x14ac:dyDescent="0.2">
      <c r="A109" s="710"/>
      <c r="B109" s="710"/>
      <c r="C109" s="710"/>
      <c r="D109" s="710"/>
      <c r="E109" s="710"/>
      <c r="F109" s="710"/>
      <c r="G109" s="710"/>
      <c r="H109" s="710"/>
      <c r="I109" s="710"/>
      <c r="J109" s="710"/>
      <c r="K109" s="710"/>
      <c r="L109" s="710"/>
      <c r="M109" s="710"/>
      <c r="N109" s="710"/>
      <c r="O109" s="711"/>
      <c r="P109" s="707" t="s">
        <v>40</v>
      </c>
      <c r="Q109" s="708"/>
      <c r="R109" s="708"/>
      <c r="S109" s="708"/>
      <c r="T109" s="708"/>
      <c r="U109" s="708"/>
      <c r="V109" s="709"/>
      <c r="W109" s="40" t="s">
        <v>39</v>
      </c>
      <c r="X109" s="41">
        <f>IFERROR(X103/H103,"0")+IFERROR(X104/H104,"0")+IFERROR(X105/H105,"0")+IFERROR(X106/H106,"0")+IFERROR(X107/H107,"0")+IFERROR(X108/H108,"0")</f>
        <v>0</v>
      </c>
      <c r="Y109" s="41">
        <f>IFERROR(Y103/H103,"0")+IFERROR(Y104/H104,"0")+IFERROR(Y105/H105,"0")+IFERROR(Y106/H106,"0")+IFERROR(Y107/H107,"0")+IFERROR(Y108/H108,"0")</f>
        <v>0</v>
      </c>
      <c r="Z109" s="41">
        <f>IFERROR(IF(Z103="",0,Z103),"0")+IFERROR(IF(Z104="",0,Z104),"0")+IFERROR(IF(Z105="",0,Z105),"0")+IFERROR(IF(Z106="",0,Z106),"0")+IFERROR(IF(Z107="",0,Z107),"0")+IFERROR(IF(Z108="",0,Z108),"0")</f>
        <v>0</v>
      </c>
      <c r="AA109" s="64"/>
      <c r="AB109" s="64"/>
      <c r="AC109" s="64"/>
    </row>
    <row r="110" spans="1:68" x14ac:dyDescent="0.2">
      <c r="A110" s="710"/>
      <c r="B110" s="710"/>
      <c r="C110" s="710"/>
      <c r="D110" s="710"/>
      <c r="E110" s="710"/>
      <c r="F110" s="710"/>
      <c r="G110" s="710"/>
      <c r="H110" s="710"/>
      <c r="I110" s="710"/>
      <c r="J110" s="710"/>
      <c r="K110" s="710"/>
      <c r="L110" s="710"/>
      <c r="M110" s="710"/>
      <c r="N110" s="710"/>
      <c r="O110" s="711"/>
      <c r="P110" s="707" t="s">
        <v>40</v>
      </c>
      <c r="Q110" s="708"/>
      <c r="R110" s="708"/>
      <c r="S110" s="708"/>
      <c r="T110" s="708"/>
      <c r="U110" s="708"/>
      <c r="V110" s="709"/>
      <c r="W110" s="40" t="s">
        <v>0</v>
      </c>
      <c r="X110" s="41">
        <f>IFERROR(SUM(X103:X108),"0")</f>
        <v>0</v>
      </c>
      <c r="Y110" s="41">
        <f>IFERROR(SUM(Y103:Y108),"0")</f>
        <v>0</v>
      </c>
      <c r="Z110" s="40"/>
      <c r="AA110" s="64"/>
      <c r="AB110" s="64"/>
      <c r="AC110" s="64"/>
    </row>
    <row r="111" spans="1:68" ht="14.25" customHeight="1" x14ac:dyDescent="0.25">
      <c r="A111" s="701" t="s">
        <v>164</v>
      </c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  <c r="AA111" s="63"/>
      <c r="AB111" s="63"/>
      <c r="AC111" s="63"/>
    </row>
    <row r="112" spans="1:68" ht="27" customHeight="1" x14ac:dyDescent="0.25">
      <c r="A112" s="60" t="s">
        <v>223</v>
      </c>
      <c r="B112" s="60" t="s">
        <v>224</v>
      </c>
      <c r="C112" s="34">
        <v>4301020391</v>
      </c>
      <c r="D112" s="702">
        <v>4680115881488</v>
      </c>
      <c r="E112" s="702"/>
      <c r="F112" s="59">
        <v>1.35</v>
      </c>
      <c r="G112" s="35">
        <v>8</v>
      </c>
      <c r="H112" s="59">
        <v>10.8</v>
      </c>
      <c r="I112" s="59">
        <v>11.21</v>
      </c>
      <c r="J112" s="35">
        <v>64</v>
      </c>
      <c r="K112" s="35" t="s">
        <v>133</v>
      </c>
      <c r="L112" s="35" t="s">
        <v>46</v>
      </c>
      <c r="M112" s="36" t="s">
        <v>132</v>
      </c>
      <c r="N112" s="36"/>
      <c r="O112" s="35">
        <v>55</v>
      </c>
      <c r="P112" s="757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2" s="704"/>
      <c r="R112" s="704"/>
      <c r="S112" s="704"/>
      <c r="T112" s="705"/>
      <c r="U112" s="37" t="s">
        <v>46</v>
      </c>
      <c r="V112" s="37" t="s">
        <v>46</v>
      </c>
      <c r="W112" s="38" t="s">
        <v>0</v>
      </c>
      <c r="X112" s="56">
        <v>0</v>
      </c>
      <c r="Y112" s="53">
        <f>IFERROR(IF(X112="",0,CEILING((X112/$H112),1)*$H112),"")</f>
        <v>0</v>
      </c>
      <c r="Z112" s="39" t="str">
        <f>IFERROR(IF(Y112=0,"",ROUNDUP(Y112/H112,0)*0.01898),"")</f>
        <v/>
      </c>
      <c r="AA112" s="65" t="s">
        <v>46</v>
      </c>
      <c r="AB112" s="66" t="s">
        <v>46</v>
      </c>
      <c r="AC112" s="175" t="s">
        <v>225</v>
      </c>
      <c r="AG112" s="75"/>
      <c r="AJ112" s="79" t="s">
        <v>46</v>
      </c>
      <c r="AK112" s="79">
        <v>0</v>
      </c>
      <c r="BB112" s="176" t="s">
        <v>67</v>
      </c>
      <c r="BM112" s="75">
        <f>IFERROR(X112*I112/H112,"0")</f>
        <v>0</v>
      </c>
      <c r="BN112" s="75">
        <f>IFERROR(Y112*I112/H112,"0")</f>
        <v>0</v>
      </c>
      <c r="BO112" s="75">
        <f>IFERROR(1/J112*(X112/H112),"0")</f>
        <v>0</v>
      </c>
      <c r="BP112" s="75">
        <f>IFERROR(1/J112*(Y112/H112),"0")</f>
        <v>0</v>
      </c>
    </row>
    <row r="113" spans="1:68" ht="27" customHeight="1" x14ac:dyDescent="0.25">
      <c r="A113" s="60" t="s">
        <v>226</v>
      </c>
      <c r="B113" s="60" t="s">
        <v>227</v>
      </c>
      <c r="C113" s="34">
        <v>4301020186</v>
      </c>
      <c r="D113" s="702">
        <v>4680115887664</v>
      </c>
      <c r="E113" s="702"/>
      <c r="F113" s="59">
        <v>0.1</v>
      </c>
      <c r="G113" s="35">
        <v>10</v>
      </c>
      <c r="H113" s="59">
        <v>1</v>
      </c>
      <c r="I113" s="59">
        <v>1.21</v>
      </c>
      <c r="J113" s="35">
        <v>392</v>
      </c>
      <c r="K113" s="35" t="s">
        <v>229</v>
      </c>
      <c r="L113" s="35" t="s">
        <v>46</v>
      </c>
      <c r="M113" s="36" t="s">
        <v>81</v>
      </c>
      <c r="N113" s="36"/>
      <c r="O113" s="35">
        <v>30</v>
      </c>
      <c r="P113" s="758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3" s="704"/>
      <c r="R113" s="704"/>
      <c r="S113" s="704"/>
      <c r="T113" s="705"/>
      <c r="U113" s="37" t="s">
        <v>46</v>
      </c>
      <c r="V113" s="37" t="s">
        <v>46</v>
      </c>
      <c r="W113" s="38" t="s">
        <v>0</v>
      </c>
      <c r="X113" s="56">
        <v>0</v>
      </c>
      <c r="Y113" s="53">
        <f>IFERROR(IF(X113="",0,CEILING((X113/$H113),1)*$H113),"")</f>
        <v>0</v>
      </c>
      <c r="Z113" s="39" t="str">
        <f>IFERROR(IF(Y113=0,"",ROUNDUP(Y113/H113,0)*0.00358),"")</f>
        <v/>
      </c>
      <c r="AA113" s="65" t="s">
        <v>46</v>
      </c>
      <c r="AB113" s="66" t="s">
        <v>46</v>
      </c>
      <c r="AC113" s="177" t="s">
        <v>228</v>
      </c>
      <c r="AG113" s="75"/>
      <c r="AJ113" s="79" t="s">
        <v>46</v>
      </c>
      <c r="AK113" s="79">
        <v>0</v>
      </c>
      <c r="BB113" s="178" t="s">
        <v>67</v>
      </c>
      <c r="BM113" s="75">
        <f>IFERROR(X113*I113/H113,"0")</f>
        <v>0</v>
      </c>
      <c r="BN113" s="75">
        <f>IFERROR(Y113*I113/H113,"0")</f>
        <v>0</v>
      </c>
      <c r="BO113" s="75">
        <f>IFERROR(1/J113*(X113/H113),"0")</f>
        <v>0</v>
      </c>
      <c r="BP113" s="75">
        <f>IFERROR(1/J113*(Y113/H113),"0")</f>
        <v>0</v>
      </c>
    </row>
    <row r="114" spans="1:68" ht="27" customHeight="1" x14ac:dyDescent="0.25">
      <c r="A114" s="60" t="s">
        <v>226</v>
      </c>
      <c r="B114" s="60" t="s">
        <v>230</v>
      </c>
      <c r="C114" s="34">
        <v>4301020430</v>
      </c>
      <c r="D114" s="702">
        <v>4680115887664</v>
      </c>
      <c r="E114" s="702"/>
      <c r="F114" s="59">
        <v>0.1</v>
      </c>
      <c r="G114" s="35">
        <v>8</v>
      </c>
      <c r="H114" s="59">
        <v>0.8</v>
      </c>
      <c r="I114" s="59">
        <v>0.98799999999999999</v>
      </c>
      <c r="J114" s="35">
        <v>392</v>
      </c>
      <c r="K114" s="35" t="s">
        <v>229</v>
      </c>
      <c r="L114" s="35" t="s">
        <v>46</v>
      </c>
      <c r="M114" s="36" t="s">
        <v>81</v>
      </c>
      <c r="N114" s="36"/>
      <c r="O114" s="35">
        <v>30</v>
      </c>
      <c r="P114" s="759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4" s="704"/>
      <c r="R114" s="704"/>
      <c r="S114" s="704"/>
      <c r="T114" s="705"/>
      <c r="U114" s="37" t="s">
        <v>46</v>
      </c>
      <c r="V114" s="37" t="s">
        <v>46</v>
      </c>
      <c r="W114" s="38" t="s">
        <v>0</v>
      </c>
      <c r="X114" s="56">
        <v>0</v>
      </c>
      <c r="Y114" s="53">
        <f>IFERROR(IF(X114="",0,CEILING((X114/$H114),1)*$H114),"")</f>
        <v>0</v>
      </c>
      <c r="Z114" s="39" t="str">
        <f>IFERROR(IF(Y114=0,"",ROUNDUP(Y114/H114,0)*0.00358),"")</f>
        <v/>
      </c>
      <c r="AA114" s="65" t="s">
        <v>46</v>
      </c>
      <c r="AB114" s="66" t="s">
        <v>46</v>
      </c>
      <c r="AC114" s="179" t="s">
        <v>228</v>
      </c>
      <c r="AG114" s="75"/>
      <c r="AJ114" s="79" t="s">
        <v>46</v>
      </c>
      <c r="AK114" s="79">
        <v>0</v>
      </c>
      <c r="BB114" s="180" t="s">
        <v>67</v>
      </c>
      <c r="BM114" s="75">
        <f>IFERROR(X114*I114/H114,"0")</f>
        <v>0</v>
      </c>
      <c r="BN114" s="75">
        <f>IFERROR(Y114*I114/H114,"0")</f>
        <v>0</v>
      </c>
      <c r="BO114" s="75">
        <f>IFERROR(1/J114*(X114/H114),"0")</f>
        <v>0</v>
      </c>
      <c r="BP114" s="75">
        <f>IFERROR(1/J114*(Y114/H114),"0")</f>
        <v>0</v>
      </c>
    </row>
    <row r="115" spans="1:68" ht="27" customHeight="1" x14ac:dyDescent="0.25">
      <c r="A115" s="60" t="s">
        <v>231</v>
      </c>
      <c r="B115" s="60" t="s">
        <v>232</v>
      </c>
      <c r="C115" s="34">
        <v>4301020393</v>
      </c>
      <c r="D115" s="702">
        <v>4680115882775</v>
      </c>
      <c r="E115" s="702"/>
      <c r="F115" s="59">
        <v>0.3</v>
      </c>
      <c r="G115" s="35">
        <v>8</v>
      </c>
      <c r="H115" s="59">
        <v>2.4</v>
      </c>
      <c r="I115" s="59">
        <v>2.5</v>
      </c>
      <c r="J115" s="35">
        <v>234</v>
      </c>
      <c r="K115" s="35" t="s">
        <v>82</v>
      </c>
      <c r="L115" s="35" t="s">
        <v>46</v>
      </c>
      <c r="M115" s="36" t="s">
        <v>132</v>
      </c>
      <c r="N115" s="36"/>
      <c r="O115" s="35">
        <v>55</v>
      </c>
      <c r="P115" s="760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5" s="704"/>
      <c r="R115" s="704"/>
      <c r="S115" s="704"/>
      <c r="T115" s="705"/>
      <c r="U115" s="37" t="s">
        <v>46</v>
      </c>
      <c r="V115" s="37" t="s">
        <v>46</v>
      </c>
      <c r="W115" s="38" t="s">
        <v>0</v>
      </c>
      <c r="X115" s="56">
        <v>0</v>
      </c>
      <c r="Y115" s="53">
        <f>IFERROR(IF(X115="",0,CEILING((X115/$H115),1)*$H115),"")</f>
        <v>0</v>
      </c>
      <c r="Z115" s="39" t="str">
        <f>IFERROR(IF(Y115=0,"",ROUNDUP(Y115/H115,0)*0.00502),"")</f>
        <v/>
      </c>
      <c r="AA115" s="65" t="s">
        <v>46</v>
      </c>
      <c r="AB115" s="66" t="s">
        <v>46</v>
      </c>
      <c r="AC115" s="181" t="s">
        <v>225</v>
      </c>
      <c r="AG115" s="75"/>
      <c r="AJ115" s="79" t="s">
        <v>46</v>
      </c>
      <c r="AK115" s="79">
        <v>0</v>
      </c>
      <c r="BB115" s="182" t="s">
        <v>67</v>
      </c>
      <c r="BM115" s="75">
        <f>IFERROR(X115*I115/H115,"0")</f>
        <v>0</v>
      </c>
      <c r="BN115" s="75">
        <f>IFERROR(Y115*I115/H115,"0")</f>
        <v>0</v>
      </c>
      <c r="BO115" s="75">
        <f>IFERROR(1/J115*(X115/H115),"0")</f>
        <v>0</v>
      </c>
      <c r="BP115" s="75">
        <f>IFERROR(1/J115*(Y115/H115),"0")</f>
        <v>0</v>
      </c>
    </row>
    <row r="116" spans="1:68" ht="27" customHeight="1" x14ac:dyDescent="0.25">
      <c r="A116" s="60" t="s">
        <v>233</v>
      </c>
      <c r="B116" s="60" t="s">
        <v>234</v>
      </c>
      <c r="C116" s="34">
        <v>4301020392</v>
      </c>
      <c r="D116" s="702">
        <v>4680115880658</v>
      </c>
      <c r="E116" s="702"/>
      <c r="F116" s="59">
        <v>0.4</v>
      </c>
      <c r="G116" s="35">
        <v>6</v>
      </c>
      <c r="H116" s="59">
        <v>2.4</v>
      </c>
      <c r="I116" s="59">
        <v>2.58</v>
      </c>
      <c r="J116" s="35">
        <v>182</v>
      </c>
      <c r="K116" s="35" t="s">
        <v>91</v>
      </c>
      <c r="L116" s="35" t="s">
        <v>46</v>
      </c>
      <c r="M116" s="36" t="s">
        <v>132</v>
      </c>
      <c r="N116" s="36"/>
      <c r="O116" s="35">
        <v>55</v>
      </c>
      <c r="P116" s="761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6" s="704"/>
      <c r="R116" s="704"/>
      <c r="S116" s="704"/>
      <c r="T116" s="705"/>
      <c r="U116" s="37" t="s">
        <v>46</v>
      </c>
      <c r="V116" s="37" t="s">
        <v>46</v>
      </c>
      <c r="W116" s="38" t="s">
        <v>0</v>
      </c>
      <c r="X116" s="56">
        <v>0</v>
      </c>
      <c r="Y116" s="53">
        <f>IFERROR(IF(X116="",0,CEILING((X116/$H116),1)*$H116),"")</f>
        <v>0</v>
      </c>
      <c r="Z116" s="39" t="str">
        <f>IFERROR(IF(Y116=0,"",ROUNDUP(Y116/H116,0)*0.00651),"")</f>
        <v/>
      </c>
      <c r="AA116" s="65" t="s">
        <v>46</v>
      </c>
      <c r="AB116" s="66" t="s">
        <v>46</v>
      </c>
      <c r="AC116" s="183" t="s">
        <v>225</v>
      </c>
      <c r="AG116" s="75"/>
      <c r="AJ116" s="79" t="s">
        <v>46</v>
      </c>
      <c r="AK116" s="79">
        <v>0</v>
      </c>
      <c r="BB116" s="184" t="s">
        <v>67</v>
      </c>
      <c r="BM116" s="75">
        <f>IFERROR(X116*I116/H116,"0")</f>
        <v>0</v>
      </c>
      <c r="BN116" s="75">
        <f>IFERROR(Y116*I116/H116,"0")</f>
        <v>0</v>
      </c>
      <c r="BO116" s="75">
        <f>IFERROR(1/J116*(X116/H116),"0")</f>
        <v>0</v>
      </c>
      <c r="BP116" s="75">
        <f>IFERROR(1/J116*(Y116/H116),"0")</f>
        <v>0</v>
      </c>
    </row>
    <row r="117" spans="1:68" x14ac:dyDescent="0.2">
      <c r="A117" s="710"/>
      <c r="B117" s="710"/>
      <c r="C117" s="710"/>
      <c r="D117" s="710"/>
      <c r="E117" s="710"/>
      <c r="F117" s="710"/>
      <c r="G117" s="710"/>
      <c r="H117" s="710"/>
      <c r="I117" s="710"/>
      <c r="J117" s="710"/>
      <c r="K117" s="710"/>
      <c r="L117" s="710"/>
      <c r="M117" s="710"/>
      <c r="N117" s="710"/>
      <c r="O117" s="711"/>
      <c r="P117" s="707" t="s">
        <v>40</v>
      </c>
      <c r="Q117" s="708"/>
      <c r="R117" s="708"/>
      <c r="S117" s="708"/>
      <c r="T117" s="708"/>
      <c r="U117" s="708"/>
      <c r="V117" s="709"/>
      <c r="W117" s="40" t="s">
        <v>39</v>
      </c>
      <c r="X117" s="41">
        <f>IFERROR(X112/H112,"0")+IFERROR(X113/H113,"0")+IFERROR(X114/H114,"0")+IFERROR(X115/H115,"0")+IFERROR(X116/H116,"0")</f>
        <v>0</v>
      </c>
      <c r="Y117" s="41">
        <f>IFERROR(Y112/H112,"0")+IFERROR(Y113/H113,"0")+IFERROR(Y114/H114,"0")+IFERROR(Y115/H115,"0")+IFERROR(Y116/H116,"0")</f>
        <v>0</v>
      </c>
      <c r="Z117" s="41">
        <f>IFERROR(IF(Z112="",0,Z112),"0")+IFERROR(IF(Z113="",0,Z113),"0")+IFERROR(IF(Z114="",0,Z114),"0")+IFERROR(IF(Z115="",0,Z115),"0")+IFERROR(IF(Z116="",0,Z116),"0")</f>
        <v>0</v>
      </c>
      <c r="AA117" s="64"/>
      <c r="AB117" s="64"/>
      <c r="AC117" s="64"/>
    </row>
    <row r="118" spans="1:68" x14ac:dyDescent="0.2">
      <c r="A118" s="710"/>
      <c r="B118" s="710"/>
      <c r="C118" s="710"/>
      <c r="D118" s="710"/>
      <c r="E118" s="710"/>
      <c r="F118" s="710"/>
      <c r="G118" s="710"/>
      <c r="H118" s="710"/>
      <c r="I118" s="710"/>
      <c r="J118" s="710"/>
      <c r="K118" s="710"/>
      <c r="L118" s="710"/>
      <c r="M118" s="710"/>
      <c r="N118" s="710"/>
      <c r="O118" s="711"/>
      <c r="P118" s="707" t="s">
        <v>40</v>
      </c>
      <c r="Q118" s="708"/>
      <c r="R118" s="708"/>
      <c r="S118" s="708"/>
      <c r="T118" s="708"/>
      <c r="U118" s="708"/>
      <c r="V118" s="709"/>
      <c r="W118" s="40" t="s">
        <v>0</v>
      </c>
      <c r="X118" s="41">
        <f>IFERROR(SUM(X112:X116),"0")</f>
        <v>0</v>
      </c>
      <c r="Y118" s="41">
        <f>IFERROR(SUM(Y112:Y116),"0")</f>
        <v>0</v>
      </c>
      <c r="Z118" s="40"/>
      <c r="AA118" s="64"/>
      <c r="AB118" s="64"/>
      <c r="AC118" s="64"/>
    </row>
    <row r="119" spans="1:68" ht="14.25" customHeight="1" x14ac:dyDescent="0.25">
      <c r="A119" s="701" t="s">
        <v>86</v>
      </c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  <c r="AA119" s="63"/>
      <c r="AB119" s="63"/>
      <c r="AC119" s="63"/>
    </row>
    <row r="120" spans="1:68" ht="27" customHeight="1" x14ac:dyDescent="0.25">
      <c r="A120" s="60" t="s">
        <v>235</v>
      </c>
      <c r="B120" s="60" t="s">
        <v>236</v>
      </c>
      <c r="C120" s="34">
        <v>4301051724</v>
      </c>
      <c r="D120" s="702">
        <v>4607091385168</v>
      </c>
      <c r="E120" s="702"/>
      <c r="F120" s="59">
        <v>1.35</v>
      </c>
      <c r="G120" s="35">
        <v>6</v>
      </c>
      <c r="H120" s="59">
        <v>8.1</v>
      </c>
      <c r="I120" s="59">
        <v>8.5879999999999992</v>
      </c>
      <c r="J120" s="35">
        <v>64</v>
      </c>
      <c r="K120" s="35" t="s">
        <v>133</v>
      </c>
      <c r="L120" s="35" t="s">
        <v>46</v>
      </c>
      <c r="M120" s="36" t="s">
        <v>97</v>
      </c>
      <c r="N120" s="36"/>
      <c r="O120" s="35">
        <v>45</v>
      </c>
      <c r="P120" s="762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20" s="704"/>
      <c r="R120" s="704"/>
      <c r="S120" s="704"/>
      <c r="T120" s="705"/>
      <c r="U120" s="37" t="s">
        <v>46</v>
      </c>
      <c r="V120" s="37" t="s">
        <v>46</v>
      </c>
      <c r="W120" s="38" t="s">
        <v>0</v>
      </c>
      <c r="X120" s="56">
        <v>0</v>
      </c>
      <c r="Y120" s="53">
        <f>IFERROR(IF(X120="",0,CEILING((X120/$H120),1)*$H120),"")</f>
        <v>0</v>
      </c>
      <c r="Z120" s="39" t="str">
        <f>IFERROR(IF(Y120=0,"",ROUNDUP(Y120/H120,0)*0.01898),"")</f>
        <v/>
      </c>
      <c r="AA120" s="65" t="s">
        <v>46</v>
      </c>
      <c r="AB120" s="66" t="s">
        <v>46</v>
      </c>
      <c r="AC120" s="185" t="s">
        <v>237</v>
      </c>
      <c r="AG120" s="75"/>
      <c r="AJ120" s="79" t="s">
        <v>46</v>
      </c>
      <c r="AK120" s="79">
        <v>0</v>
      </c>
      <c r="BB120" s="186" t="s">
        <v>67</v>
      </c>
      <c r="BM120" s="75">
        <f>IFERROR(X120*I120/H120,"0")</f>
        <v>0</v>
      </c>
      <c r="BN120" s="75">
        <f>IFERROR(Y120*I120/H120,"0")</f>
        <v>0</v>
      </c>
      <c r="BO120" s="75">
        <f>IFERROR(1/J120*(X120/H120),"0")</f>
        <v>0</v>
      </c>
      <c r="BP120" s="75">
        <f>IFERROR(1/J120*(Y120/H120),"0")</f>
        <v>0</v>
      </c>
    </row>
    <row r="121" spans="1:68" ht="27" customHeight="1" x14ac:dyDescent="0.25">
      <c r="A121" s="60" t="s">
        <v>238</v>
      </c>
      <c r="B121" s="60" t="s">
        <v>239</v>
      </c>
      <c r="C121" s="34">
        <v>4301051730</v>
      </c>
      <c r="D121" s="702">
        <v>4607091383256</v>
      </c>
      <c r="E121" s="702"/>
      <c r="F121" s="59">
        <v>0.33</v>
      </c>
      <c r="G121" s="35">
        <v>6</v>
      </c>
      <c r="H121" s="59">
        <v>1.98</v>
      </c>
      <c r="I121" s="59">
        <v>2.226</v>
      </c>
      <c r="J121" s="35">
        <v>182</v>
      </c>
      <c r="K121" s="35" t="s">
        <v>91</v>
      </c>
      <c r="L121" s="35" t="s">
        <v>46</v>
      </c>
      <c r="M121" s="36" t="s">
        <v>97</v>
      </c>
      <c r="N121" s="36"/>
      <c r="O121" s="35">
        <v>45</v>
      </c>
      <c r="P121" s="763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21" s="704"/>
      <c r="R121" s="704"/>
      <c r="S121" s="704"/>
      <c r="T121" s="705"/>
      <c r="U121" s="37" t="s">
        <v>46</v>
      </c>
      <c r="V121" s="37" t="s">
        <v>46</v>
      </c>
      <c r="W121" s="38" t="s">
        <v>0</v>
      </c>
      <c r="X121" s="56">
        <v>0</v>
      </c>
      <c r="Y121" s="53">
        <f>IFERROR(IF(X121="",0,CEILING((X121/$H121),1)*$H121),"")</f>
        <v>0</v>
      </c>
      <c r="Z121" s="39" t="str">
        <f>IFERROR(IF(Y121=0,"",ROUNDUP(Y121/H121,0)*0.00651),"")</f>
        <v/>
      </c>
      <c r="AA121" s="65" t="s">
        <v>46</v>
      </c>
      <c r="AB121" s="66" t="s">
        <v>46</v>
      </c>
      <c r="AC121" s="187" t="s">
        <v>237</v>
      </c>
      <c r="AG121" s="75"/>
      <c r="AJ121" s="79" t="s">
        <v>46</v>
      </c>
      <c r="AK121" s="79">
        <v>0</v>
      </c>
      <c r="BB121" s="188" t="s">
        <v>67</v>
      </c>
      <c r="BM121" s="75">
        <f>IFERROR(X121*I121/H121,"0")</f>
        <v>0</v>
      </c>
      <c r="BN121" s="75">
        <f>IFERROR(Y121*I121/H121,"0")</f>
        <v>0</v>
      </c>
      <c r="BO121" s="75">
        <f>IFERROR(1/J121*(X121/H121),"0")</f>
        <v>0</v>
      </c>
      <c r="BP121" s="75">
        <f>IFERROR(1/J121*(Y121/H121),"0")</f>
        <v>0</v>
      </c>
    </row>
    <row r="122" spans="1:68" ht="27" customHeight="1" x14ac:dyDescent="0.25">
      <c r="A122" s="60" t="s">
        <v>240</v>
      </c>
      <c r="B122" s="60" t="s">
        <v>241</v>
      </c>
      <c r="C122" s="34">
        <v>4301051721</v>
      </c>
      <c r="D122" s="702">
        <v>4607091385748</v>
      </c>
      <c r="E122" s="702"/>
      <c r="F122" s="59">
        <v>0.45</v>
      </c>
      <c r="G122" s="35">
        <v>6</v>
      </c>
      <c r="H122" s="59">
        <v>2.7</v>
      </c>
      <c r="I122" s="59">
        <v>2.952</v>
      </c>
      <c r="J122" s="35">
        <v>182</v>
      </c>
      <c r="K122" s="35" t="s">
        <v>91</v>
      </c>
      <c r="L122" s="35" t="s">
        <v>46</v>
      </c>
      <c r="M122" s="36" t="s">
        <v>97</v>
      </c>
      <c r="N122" s="36"/>
      <c r="O122" s="35">
        <v>45</v>
      </c>
      <c r="P122" s="764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22" s="704"/>
      <c r="R122" s="704"/>
      <c r="S122" s="704"/>
      <c r="T122" s="705"/>
      <c r="U122" s="37" t="s">
        <v>46</v>
      </c>
      <c r="V122" s="37" t="s">
        <v>46</v>
      </c>
      <c r="W122" s="38" t="s">
        <v>0</v>
      </c>
      <c r="X122" s="56">
        <v>0</v>
      </c>
      <c r="Y122" s="53">
        <f>IFERROR(IF(X122="",0,CEILING((X122/$H122),1)*$H122),"")</f>
        <v>0</v>
      </c>
      <c r="Z122" s="39" t="str">
        <f>IFERROR(IF(Y122=0,"",ROUNDUP(Y122/H122,0)*0.00651),"")</f>
        <v/>
      </c>
      <c r="AA122" s="65" t="s">
        <v>46</v>
      </c>
      <c r="AB122" s="66" t="s">
        <v>46</v>
      </c>
      <c r="AC122" s="189" t="s">
        <v>237</v>
      </c>
      <c r="AG122" s="75"/>
      <c r="AJ122" s="79" t="s">
        <v>46</v>
      </c>
      <c r="AK122" s="79">
        <v>0</v>
      </c>
      <c r="BB122" s="190" t="s">
        <v>67</v>
      </c>
      <c r="BM122" s="75">
        <f>IFERROR(X122*I122/H122,"0")</f>
        <v>0</v>
      </c>
      <c r="BN122" s="75">
        <f>IFERROR(Y122*I122/H122,"0")</f>
        <v>0</v>
      </c>
      <c r="BO122" s="75">
        <f>IFERROR(1/J122*(X122/H122),"0")</f>
        <v>0</v>
      </c>
      <c r="BP122" s="75">
        <f>IFERROR(1/J122*(Y122/H122),"0")</f>
        <v>0</v>
      </c>
    </row>
    <row r="123" spans="1:68" ht="16.5" customHeight="1" x14ac:dyDescent="0.25">
      <c r="A123" s="60" t="s">
        <v>242</v>
      </c>
      <c r="B123" s="60" t="s">
        <v>243</v>
      </c>
      <c r="C123" s="34">
        <v>4301051740</v>
      </c>
      <c r="D123" s="702">
        <v>4680115884533</v>
      </c>
      <c r="E123" s="702"/>
      <c r="F123" s="59">
        <v>0.3</v>
      </c>
      <c r="G123" s="35">
        <v>6</v>
      </c>
      <c r="H123" s="59">
        <v>1.8</v>
      </c>
      <c r="I123" s="59">
        <v>1.98</v>
      </c>
      <c r="J123" s="35">
        <v>182</v>
      </c>
      <c r="K123" s="35" t="s">
        <v>91</v>
      </c>
      <c r="L123" s="35" t="s">
        <v>46</v>
      </c>
      <c r="M123" s="36" t="s">
        <v>90</v>
      </c>
      <c r="N123" s="36"/>
      <c r="O123" s="35">
        <v>45</v>
      </c>
      <c r="P123" s="765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23" s="704"/>
      <c r="R123" s="704"/>
      <c r="S123" s="704"/>
      <c r="T123" s="705"/>
      <c r="U123" s="37" t="s">
        <v>46</v>
      </c>
      <c r="V123" s="37" t="s">
        <v>46</v>
      </c>
      <c r="W123" s="38" t="s">
        <v>0</v>
      </c>
      <c r="X123" s="56">
        <v>0</v>
      </c>
      <c r="Y123" s="53">
        <f>IFERROR(IF(X123="",0,CEILING((X123/$H123),1)*$H123),"")</f>
        <v>0</v>
      </c>
      <c r="Z123" s="39" t="str">
        <f>IFERROR(IF(Y123=0,"",ROUNDUP(Y123/H123,0)*0.00651),"")</f>
        <v/>
      </c>
      <c r="AA123" s="65" t="s">
        <v>46</v>
      </c>
      <c r="AB123" s="66" t="s">
        <v>46</v>
      </c>
      <c r="AC123" s="191" t="s">
        <v>244</v>
      </c>
      <c r="AG123" s="75"/>
      <c r="AJ123" s="79" t="s">
        <v>46</v>
      </c>
      <c r="AK123" s="79">
        <v>0</v>
      </c>
      <c r="BB123" s="192" t="s">
        <v>67</v>
      </c>
      <c r="BM123" s="75">
        <f>IFERROR(X123*I123/H123,"0")</f>
        <v>0</v>
      </c>
      <c r="BN123" s="75">
        <f>IFERROR(Y123*I123/H123,"0")</f>
        <v>0</v>
      </c>
      <c r="BO123" s="75">
        <f>IFERROR(1/J123*(X123/H123),"0")</f>
        <v>0</v>
      </c>
      <c r="BP123" s="75">
        <f>IFERROR(1/J123*(Y123/H123),"0")</f>
        <v>0</v>
      </c>
    </row>
    <row r="124" spans="1:68" x14ac:dyDescent="0.2">
      <c r="A124" s="710"/>
      <c r="B124" s="710"/>
      <c r="C124" s="710"/>
      <c r="D124" s="710"/>
      <c r="E124" s="710"/>
      <c r="F124" s="710"/>
      <c r="G124" s="710"/>
      <c r="H124" s="710"/>
      <c r="I124" s="710"/>
      <c r="J124" s="710"/>
      <c r="K124" s="710"/>
      <c r="L124" s="710"/>
      <c r="M124" s="710"/>
      <c r="N124" s="710"/>
      <c r="O124" s="711"/>
      <c r="P124" s="707" t="s">
        <v>40</v>
      </c>
      <c r="Q124" s="708"/>
      <c r="R124" s="708"/>
      <c r="S124" s="708"/>
      <c r="T124" s="708"/>
      <c r="U124" s="708"/>
      <c r="V124" s="709"/>
      <c r="W124" s="40" t="s">
        <v>39</v>
      </c>
      <c r="X124" s="41">
        <f>IFERROR(X120/H120,"0")+IFERROR(X121/H121,"0")+IFERROR(X122/H122,"0")+IFERROR(X123/H123,"0")</f>
        <v>0</v>
      </c>
      <c r="Y124" s="41">
        <f>IFERROR(Y120/H120,"0")+IFERROR(Y121/H121,"0")+IFERROR(Y122/H122,"0")+IFERROR(Y123/H123,"0")</f>
        <v>0</v>
      </c>
      <c r="Z124" s="41">
        <f>IFERROR(IF(Z120="",0,Z120),"0")+IFERROR(IF(Z121="",0,Z121),"0")+IFERROR(IF(Z122="",0,Z122),"0")+IFERROR(IF(Z123="",0,Z123),"0")</f>
        <v>0</v>
      </c>
      <c r="AA124" s="64"/>
      <c r="AB124" s="64"/>
      <c r="AC124" s="64"/>
    </row>
    <row r="125" spans="1:68" x14ac:dyDescent="0.2">
      <c r="A125" s="710"/>
      <c r="B125" s="710"/>
      <c r="C125" s="710"/>
      <c r="D125" s="710"/>
      <c r="E125" s="710"/>
      <c r="F125" s="710"/>
      <c r="G125" s="710"/>
      <c r="H125" s="710"/>
      <c r="I125" s="710"/>
      <c r="J125" s="710"/>
      <c r="K125" s="710"/>
      <c r="L125" s="710"/>
      <c r="M125" s="710"/>
      <c r="N125" s="710"/>
      <c r="O125" s="711"/>
      <c r="P125" s="707" t="s">
        <v>40</v>
      </c>
      <c r="Q125" s="708"/>
      <c r="R125" s="708"/>
      <c r="S125" s="708"/>
      <c r="T125" s="708"/>
      <c r="U125" s="708"/>
      <c r="V125" s="709"/>
      <c r="W125" s="40" t="s">
        <v>0</v>
      </c>
      <c r="X125" s="41">
        <f>IFERROR(SUM(X120:X123),"0")</f>
        <v>0</v>
      </c>
      <c r="Y125" s="41">
        <f>IFERROR(SUM(Y120:Y123),"0")</f>
        <v>0</v>
      </c>
      <c r="Z125" s="40"/>
      <c r="AA125" s="64"/>
      <c r="AB125" s="64"/>
      <c r="AC125" s="64"/>
    </row>
    <row r="126" spans="1:68" ht="14.25" customHeight="1" x14ac:dyDescent="0.25">
      <c r="A126" s="701" t="s">
        <v>181</v>
      </c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  <c r="AA126" s="63"/>
      <c r="AB126" s="63"/>
      <c r="AC126" s="63"/>
    </row>
    <row r="127" spans="1:68" ht="16.5" customHeight="1" x14ac:dyDescent="0.25">
      <c r="A127" s="60" t="s">
        <v>245</v>
      </c>
      <c r="B127" s="60" t="s">
        <v>246</v>
      </c>
      <c r="C127" s="34">
        <v>4301060317</v>
      </c>
      <c r="D127" s="702">
        <v>4680115880238</v>
      </c>
      <c r="E127" s="702"/>
      <c r="F127" s="59">
        <v>0.33</v>
      </c>
      <c r="G127" s="35">
        <v>6</v>
      </c>
      <c r="H127" s="59">
        <v>1.98</v>
      </c>
      <c r="I127" s="59">
        <v>2.238</v>
      </c>
      <c r="J127" s="35">
        <v>182</v>
      </c>
      <c r="K127" s="35" t="s">
        <v>91</v>
      </c>
      <c r="L127" s="35" t="s">
        <v>46</v>
      </c>
      <c r="M127" s="36" t="s">
        <v>90</v>
      </c>
      <c r="N127" s="36"/>
      <c r="O127" s="35">
        <v>40</v>
      </c>
      <c r="P127" s="766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27" s="704"/>
      <c r="R127" s="704"/>
      <c r="S127" s="704"/>
      <c r="T127" s="705"/>
      <c r="U127" s="37" t="s">
        <v>46</v>
      </c>
      <c r="V127" s="37" t="s">
        <v>46</v>
      </c>
      <c r="W127" s="38" t="s">
        <v>0</v>
      </c>
      <c r="X127" s="56">
        <v>0</v>
      </c>
      <c r="Y127" s="53">
        <f>IFERROR(IF(X127="",0,CEILING((X127/$H127),1)*$H127),"")</f>
        <v>0</v>
      </c>
      <c r="Z127" s="39" t="str">
        <f>IFERROR(IF(Y127=0,"",ROUNDUP(Y127/H127,0)*0.00651),"")</f>
        <v/>
      </c>
      <c r="AA127" s="65" t="s">
        <v>46</v>
      </c>
      <c r="AB127" s="66" t="s">
        <v>46</v>
      </c>
      <c r="AC127" s="193" t="s">
        <v>247</v>
      </c>
      <c r="AG127" s="75"/>
      <c r="AJ127" s="79" t="s">
        <v>46</v>
      </c>
      <c r="AK127" s="79">
        <v>0</v>
      </c>
      <c r="BB127" s="194" t="s">
        <v>67</v>
      </c>
      <c r="BM127" s="75">
        <f>IFERROR(X127*I127/H127,"0")</f>
        <v>0</v>
      </c>
      <c r="BN127" s="75">
        <f>IFERROR(Y127*I127/H127,"0")</f>
        <v>0</v>
      </c>
      <c r="BO127" s="75">
        <f>IFERROR(1/J127*(X127/H127),"0")</f>
        <v>0</v>
      </c>
      <c r="BP127" s="75">
        <f>IFERROR(1/J127*(Y127/H127),"0")</f>
        <v>0</v>
      </c>
    </row>
    <row r="128" spans="1:68" x14ac:dyDescent="0.2">
      <c r="A128" s="710"/>
      <c r="B128" s="710"/>
      <c r="C128" s="710"/>
      <c r="D128" s="710"/>
      <c r="E128" s="710"/>
      <c r="F128" s="710"/>
      <c r="G128" s="710"/>
      <c r="H128" s="710"/>
      <c r="I128" s="710"/>
      <c r="J128" s="710"/>
      <c r="K128" s="710"/>
      <c r="L128" s="710"/>
      <c r="M128" s="710"/>
      <c r="N128" s="710"/>
      <c r="O128" s="711"/>
      <c r="P128" s="707" t="s">
        <v>40</v>
      </c>
      <c r="Q128" s="708"/>
      <c r="R128" s="708"/>
      <c r="S128" s="708"/>
      <c r="T128" s="708"/>
      <c r="U128" s="708"/>
      <c r="V128" s="709"/>
      <c r="W128" s="40" t="s">
        <v>39</v>
      </c>
      <c r="X128" s="41">
        <f>IFERROR(X127/H127,"0")</f>
        <v>0</v>
      </c>
      <c r="Y128" s="41">
        <f>IFERROR(Y127/H127,"0")</f>
        <v>0</v>
      </c>
      <c r="Z128" s="41">
        <f>IFERROR(IF(Z127="",0,Z127),"0")</f>
        <v>0</v>
      </c>
      <c r="AA128" s="64"/>
      <c r="AB128" s="64"/>
      <c r="AC128" s="64"/>
    </row>
    <row r="129" spans="1:68" x14ac:dyDescent="0.2">
      <c r="A129" s="710"/>
      <c r="B129" s="710"/>
      <c r="C129" s="710"/>
      <c r="D129" s="710"/>
      <c r="E129" s="710"/>
      <c r="F129" s="710"/>
      <c r="G129" s="710"/>
      <c r="H129" s="710"/>
      <c r="I129" s="710"/>
      <c r="J129" s="710"/>
      <c r="K129" s="710"/>
      <c r="L129" s="710"/>
      <c r="M129" s="710"/>
      <c r="N129" s="710"/>
      <c r="O129" s="711"/>
      <c r="P129" s="707" t="s">
        <v>40</v>
      </c>
      <c r="Q129" s="708"/>
      <c r="R129" s="708"/>
      <c r="S129" s="708"/>
      <c r="T129" s="708"/>
      <c r="U129" s="708"/>
      <c r="V129" s="709"/>
      <c r="W129" s="40" t="s">
        <v>0</v>
      </c>
      <c r="X129" s="41">
        <f>IFERROR(SUM(X127:X127),"0")</f>
        <v>0</v>
      </c>
      <c r="Y129" s="41">
        <f>IFERROR(SUM(Y127:Y127),"0")</f>
        <v>0</v>
      </c>
      <c r="Z129" s="40"/>
      <c r="AA129" s="64"/>
      <c r="AB129" s="64"/>
      <c r="AC129" s="64"/>
    </row>
    <row r="130" spans="1:68" ht="16.5" customHeight="1" x14ac:dyDescent="0.25">
      <c r="A130" s="700" t="s">
        <v>248</v>
      </c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  <c r="AA130" s="62"/>
      <c r="AB130" s="62"/>
      <c r="AC130" s="62"/>
    </row>
    <row r="131" spans="1:68" ht="14.25" customHeight="1" x14ac:dyDescent="0.25">
      <c r="A131" s="701" t="s">
        <v>128</v>
      </c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  <c r="AA131" s="63"/>
      <c r="AB131" s="63"/>
      <c r="AC131" s="63"/>
    </row>
    <row r="132" spans="1:68" ht="27" customHeight="1" x14ac:dyDescent="0.25">
      <c r="A132" s="60" t="s">
        <v>249</v>
      </c>
      <c r="B132" s="60" t="s">
        <v>250</v>
      </c>
      <c r="C132" s="34">
        <v>4301012347</v>
      </c>
      <c r="D132" s="702">
        <v>4680115888784</v>
      </c>
      <c r="E132" s="702"/>
      <c r="F132" s="59">
        <v>1</v>
      </c>
      <c r="G132" s="35">
        <v>6</v>
      </c>
      <c r="H132" s="59">
        <v>6</v>
      </c>
      <c r="I132" s="59">
        <v>6.38</v>
      </c>
      <c r="J132" s="35">
        <v>104</v>
      </c>
      <c r="K132" s="35" t="s">
        <v>133</v>
      </c>
      <c r="L132" s="35" t="s">
        <v>46</v>
      </c>
      <c r="M132" s="36" t="s">
        <v>253</v>
      </c>
      <c r="N132" s="36"/>
      <c r="O132" s="35">
        <v>90</v>
      </c>
      <c r="P132" s="767" t="str">
        <f>HYPERLINK("https://abi.ru/products/Охлажденные/Вязанка/Халяль/Вареные колбасы/P005446/","Вареные колбасы «Исламская Халяль» Весовой п/а ТМ «Вязанка»")</f>
        <v>Вареные колбасы «Исламская Халяль» Весовой п/а ТМ «Вязанка»</v>
      </c>
      <c r="Q132" s="704"/>
      <c r="R132" s="704"/>
      <c r="S132" s="704"/>
      <c r="T132" s="705"/>
      <c r="U132" s="37" t="s">
        <v>46</v>
      </c>
      <c r="V132" s="37" t="s">
        <v>46</v>
      </c>
      <c r="W132" s="38" t="s">
        <v>0</v>
      </c>
      <c r="X132" s="56">
        <v>0</v>
      </c>
      <c r="Y132" s="53">
        <f>IFERROR(IF(X132="",0,CEILING((X132/$H132),1)*$H132),"")</f>
        <v>0</v>
      </c>
      <c r="Z132" s="39" t="str">
        <f>IFERROR(IF(Y132=0,"",ROUNDUP(Y132/H132,0)*0.01196),"")</f>
        <v/>
      </c>
      <c r="AA132" s="65" t="s">
        <v>46</v>
      </c>
      <c r="AB132" s="66" t="s">
        <v>252</v>
      </c>
      <c r="AC132" s="195" t="s">
        <v>251</v>
      </c>
      <c r="AG132" s="75"/>
      <c r="AJ132" s="79" t="s">
        <v>46</v>
      </c>
      <c r="AK132" s="79">
        <v>0</v>
      </c>
      <c r="BB132" s="196" t="s">
        <v>67</v>
      </c>
      <c r="BM132" s="75">
        <f>IFERROR(X132*I132/H132,"0")</f>
        <v>0</v>
      </c>
      <c r="BN132" s="75">
        <f>IFERROR(Y132*I132/H132,"0")</f>
        <v>0</v>
      </c>
      <c r="BO132" s="75">
        <f>IFERROR(1/J132*(X132/H132),"0")</f>
        <v>0</v>
      </c>
      <c r="BP132" s="75">
        <f>IFERROR(1/J132*(Y132/H132),"0")</f>
        <v>0</v>
      </c>
    </row>
    <row r="133" spans="1:68" ht="27" customHeight="1" x14ac:dyDescent="0.25">
      <c r="A133" s="60" t="s">
        <v>254</v>
      </c>
      <c r="B133" s="60" t="s">
        <v>255</v>
      </c>
      <c r="C133" s="34">
        <v>4301012350</v>
      </c>
      <c r="D133" s="702">
        <v>4680115888845</v>
      </c>
      <c r="E133" s="702"/>
      <c r="F133" s="59">
        <v>0.4</v>
      </c>
      <c r="G133" s="35">
        <v>8</v>
      </c>
      <c r="H133" s="59">
        <v>3.2</v>
      </c>
      <c r="I133" s="59">
        <v>3.43</v>
      </c>
      <c r="J133" s="35">
        <v>132</v>
      </c>
      <c r="K133" s="35" t="s">
        <v>140</v>
      </c>
      <c r="L133" s="35" t="s">
        <v>46</v>
      </c>
      <c r="M133" s="36" t="s">
        <v>253</v>
      </c>
      <c r="N133" s="36"/>
      <c r="O133" s="35">
        <v>90</v>
      </c>
      <c r="P133" s="768" t="str">
        <f>HYPERLINK("https://abi.ru/products/Охлажденные/Вязанка/Халяль/Вареные колбасы/P005452/","Вареные колбасы «Исламская Халяль» Фикс.вес 0,4 п/а ТМ «Вязанка»")</f>
        <v>Вареные колбасы «Исламская Халяль» Фикс.вес 0,4 п/а ТМ «Вязанка»</v>
      </c>
      <c r="Q133" s="704"/>
      <c r="R133" s="704"/>
      <c r="S133" s="704"/>
      <c r="T133" s="705"/>
      <c r="U133" s="37" t="s">
        <v>46</v>
      </c>
      <c r="V133" s="37" t="s">
        <v>46</v>
      </c>
      <c r="W133" s="38" t="s">
        <v>0</v>
      </c>
      <c r="X133" s="56">
        <v>0</v>
      </c>
      <c r="Y133" s="53">
        <f>IFERROR(IF(X133="",0,CEILING((X133/$H133),1)*$H133),"")</f>
        <v>0</v>
      </c>
      <c r="Z133" s="39" t="str">
        <f>IFERROR(IF(Y133=0,"",ROUNDUP(Y133/H133,0)*0.00902),"")</f>
        <v/>
      </c>
      <c r="AA133" s="65" t="s">
        <v>46</v>
      </c>
      <c r="AB133" s="66" t="s">
        <v>252</v>
      </c>
      <c r="AC133" s="197" t="s">
        <v>251</v>
      </c>
      <c r="AG133" s="75"/>
      <c r="AJ133" s="79" t="s">
        <v>46</v>
      </c>
      <c r="AK133" s="79">
        <v>0</v>
      </c>
      <c r="BB133" s="198" t="s">
        <v>67</v>
      </c>
      <c r="BM133" s="75">
        <f>IFERROR(X133*I133/H133,"0")</f>
        <v>0</v>
      </c>
      <c r="BN133" s="75">
        <f>IFERROR(Y133*I133/H133,"0")</f>
        <v>0</v>
      </c>
      <c r="BO133" s="75">
        <f>IFERROR(1/J133*(X133/H133),"0")</f>
        <v>0</v>
      </c>
      <c r="BP133" s="75">
        <f>IFERROR(1/J133*(Y133/H133),"0")</f>
        <v>0</v>
      </c>
    </row>
    <row r="134" spans="1:68" ht="27" customHeight="1" x14ac:dyDescent="0.25">
      <c r="A134" s="60" t="s">
        <v>256</v>
      </c>
      <c r="B134" s="60" t="s">
        <v>257</v>
      </c>
      <c r="C134" s="34">
        <v>4301011562</v>
      </c>
      <c r="D134" s="702">
        <v>4680115882577</v>
      </c>
      <c r="E134" s="702"/>
      <c r="F134" s="59">
        <v>0.4</v>
      </c>
      <c r="G134" s="35">
        <v>8</v>
      </c>
      <c r="H134" s="59">
        <v>3.2</v>
      </c>
      <c r="I134" s="59">
        <v>3.38</v>
      </c>
      <c r="J134" s="35">
        <v>182</v>
      </c>
      <c r="K134" s="35" t="s">
        <v>91</v>
      </c>
      <c r="L134" s="35" t="s">
        <v>46</v>
      </c>
      <c r="M134" s="36" t="s">
        <v>109</v>
      </c>
      <c r="N134" s="36"/>
      <c r="O134" s="35">
        <v>90</v>
      </c>
      <c r="P134" s="769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4" s="704"/>
      <c r="R134" s="704"/>
      <c r="S134" s="704"/>
      <c r="T134" s="705"/>
      <c r="U134" s="37" t="s">
        <v>46</v>
      </c>
      <c r="V134" s="37" t="s">
        <v>46</v>
      </c>
      <c r="W134" s="38" t="s">
        <v>0</v>
      </c>
      <c r="X134" s="56">
        <v>0</v>
      </c>
      <c r="Y134" s="53">
        <f>IFERROR(IF(X134="",0,CEILING((X134/$H134),1)*$H134),"")</f>
        <v>0</v>
      </c>
      <c r="Z134" s="39" t="str">
        <f>IFERROR(IF(Y134=0,"",ROUNDUP(Y134/H134,0)*0.00651),"")</f>
        <v/>
      </c>
      <c r="AA134" s="65" t="s">
        <v>46</v>
      </c>
      <c r="AB134" s="66" t="s">
        <v>46</v>
      </c>
      <c r="AC134" s="199" t="s">
        <v>258</v>
      </c>
      <c r="AG134" s="75"/>
      <c r="AJ134" s="79" t="s">
        <v>46</v>
      </c>
      <c r="AK134" s="79">
        <v>0</v>
      </c>
      <c r="BB134" s="200" t="s">
        <v>67</v>
      </c>
      <c r="BM134" s="75">
        <f>IFERROR(X134*I134/H134,"0")</f>
        <v>0</v>
      </c>
      <c r="BN134" s="75">
        <f>IFERROR(Y134*I134/H134,"0")</f>
        <v>0</v>
      </c>
      <c r="BO134" s="75">
        <f>IFERROR(1/J134*(X134/H134),"0")</f>
        <v>0</v>
      </c>
      <c r="BP134" s="75">
        <f>IFERROR(1/J134*(Y134/H134),"0")</f>
        <v>0</v>
      </c>
    </row>
    <row r="135" spans="1:68" ht="27" customHeight="1" x14ac:dyDescent="0.25">
      <c r="A135" s="60" t="s">
        <v>256</v>
      </c>
      <c r="B135" s="60" t="s">
        <v>259</v>
      </c>
      <c r="C135" s="34">
        <v>4301011564</v>
      </c>
      <c r="D135" s="702">
        <v>4680115882577</v>
      </c>
      <c r="E135" s="702"/>
      <c r="F135" s="59">
        <v>0.4</v>
      </c>
      <c r="G135" s="35">
        <v>8</v>
      </c>
      <c r="H135" s="59">
        <v>3.2</v>
      </c>
      <c r="I135" s="59">
        <v>3.38</v>
      </c>
      <c r="J135" s="35">
        <v>182</v>
      </c>
      <c r="K135" s="35" t="s">
        <v>91</v>
      </c>
      <c r="L135" s="35" t="s">
        <v>46</v>
      </c>
      <c r="M135" s="36" t="s">
        <v>109</v>
      </c>
      <c r="N135" s="36"/>
      <c r="O135" s="35">
        <v>90</v>
      </c>
      <c r="P135" s="770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5" s="704"/>
      <c r="R135" s="704"/>
      <c r="S135" s="704"/>
      <c r="T135" s="705"/>
      <c r="U135" s="37" t="s">
        <v>46</v>
      </c>
      <c r="V135" s="37" t="s">
        <v>46</v>
      </c>
      <c r="W135" s="38" t="s">
        <v>0</v>
      </c>
      <c r="X135" s="56">
        <v>0</v>
      </c>
      <c r="Y135" s="53">
        <f>IFERROR(IF(X135="",0,CEILING((X135/$H135),1)*$H135),"")</f>
        <v>0</v>
      </c>
      <c r="Z135" s="39" t="str">
        <f>IFERROR(IF(Y135=0,"",ROUNDUP(Y135/H135,0)*0.00651),"")</f>
        <v/>
      </c>
      <c r="AA135" s="65" t="s">
        <v>46</v>
      </c>
      <c r="AB135" s="66" t="s">
        <v>46</v>
      </c>
      <c r="AC135" s="201" t="s">
        <v>258</v>
      </c>
      <c r="AG135" s="75"/>
      <c r="AJ135" s="79" t="s">
        <v>46</v>
      </c>
      <c r="AK135" s="79">
        <v>0</v>
      </c>
      <c r="BB135" s="202" t="s">
        <v>67</v>
      </c>
      <c r="BM135" s="75">
        <f>IFERROR(X135*I135/H135,"0")</f>
        <v>0</v>
      </c>
      <c r="BN135" s="75">
        <f>IFERROR(Y135*I135/H135,"0")</f>
        <v>0</v>
      </c>
      <c r="BO135" s="75">
        <f>IFERROR(1/J135*(X135/H135),"0")</f>
        <v>0</v>
      </c>
      <c r="BP135" s="75">
        <f>IFERROR(1/J135*(Y135/H135),"0")</f>
        <v>0</v>
      </c>
    </row>
    <row r="136" spans="1:68" x14ac:dyDescent="0.2">
      <c r="A136" s="710"/>
      <c r="B136" s="710"/>
      <c r="C136" s="710"/>
      <c r="D136" s="710"/>
      <c r="E136" s="710"/>
      <c r="F136" s="710"/>
      <c r="G136" s="710"/>
      <c r="H136" s="710"/>
      <c r="I136" s="710"/>
      <c r="J136" s="710"/>
      <c r="K136" s="710"/>
      <c r="L136" s="710"/>
      <c r="M136" s="710"/>
      <c r="N136" s="710"/>
      <c r="O136" s="711"/>
      <c r="P136" s="707" t="s">
        <v>40</v>
      </c>
      <c r="Q136" s="708"/>
      <c r="R136" s="708"/>
      <c r="S136" s="708"/>
      <c r="T136" s="708"/>
      <c r="U136" s="708"/>
      <c r="V136" s="709"/>
      <c r="W136" s="40" t="s">
        <v>39</v>
      </c>
      <c r="X136" s="41">
        <f>IFERROR(X132/H132,"0")+IFERROR(X133/H133,"0")+IFERROR(X134/H134,"0")+IFERROR(X135/H135,"0")</f>
        <v>0</v>
      </c>
      <c r="Y136" s="41">
        <f>IFERROR(Y132/H132,"0")+IFERROR(Y133/H133,"0")+IFERROR(Y134/H134,"0")+IFERROR(Y135/H135,"0")</f>
        <v>0</v>
      </c>
      <c r="Z136" s="41">
        <f>IFERROR(IF(Z132="",0,Z132),"0")+IFERROR(IF(Z133="",0,Z133),"0")+IFERROR(IF(Z134="",0,Z134),"0")+IFERROR(IF(Z135="",0,Z135),"0")</f>
        <v>0</v>
      </c>
      <c r="AA136" s="64"/>
      <c r="AB136" s="64"/>
      <c r="AC136" s="64"/>
    </row>
    <row r="137" spans="1:68" x14ac:dyDescent="0.2">
      <c r="A137" s="710"/>
      <c r="B137" s="710"/>
      <c r="C137" s="710"/>
      <c r="D137" s="710"/>
      <c r="E137" s="710"/>
      <c r="F137" s="710"/>
      <c r="G137" s="710"/>
      <c r="H137" s="710"/>
      <c r="I137" s="710"/>
      <c r="J137" s="710"/>
      <c r="K137" s="710"/>
      <c r="L137" s="710"/>
      <c r="M137" s="710"/>
      <c r="N137" s="710"/>
      <c r="O137" s="711"/>
      <c r="P137" s="707" t="s">
        <v>40</v>
      </c>
      <c r="Q137" s="708"/>
      <c r="R137" s="708"/>
      <c r="S137" s="708"/>
      <c r="T137" s="708"/>
      <c r="U137" s="708"/>
      <c r="V137" s="709"/>
      <c r="W137" s="40" t="s">
        <v>0</v>
      </c>
      <c r="X137" s="41">
        <f>IFERROR(SUM(X132:X135),"0")</f>
        <v>0</v>
      </c>
      <c r="Y137" s="41">
        <f>IFERROR(SUM(Y132:Y135),"0")</f>
        <v>0</v>
      </c>
      <c r="Z137" s="40"/>
      <c r="AA137" s="64"/>
      <c r="AB137" s="64"/>
      <c r="AC137" s="64"/>
    </row>
    <row r="138" spans="1:68" ht="14.25" customHeight="1" x14ac:dyDescent="0.25">
      <c r="A138" s="701" t="s">
        <v>77</v>
      </c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  <c r="AA138" s="63"/>
      <c r="AB138" s="63"/>
      <c r="AC138" s="63"/>
    </row>
    <row r="139" spans="1:68" ht="16.5" customHeight="1" x14ac:dyDescent="0.25">
      <c r="A139" s="60" t="s">
        <v>260</v>
      </c>
      <c r="B139" s="60" t="s">
        <v>261</v>
      </c>
      <c r="C139" s="34">
        <v>4301031506</v>
      </c>
      <c r="D139" s="702">
        <v>4680115888913</v>
      </c>
      <c r="E139" s="702"/>
      <c r="F139" s="59">
        <v>0.7</v>
      </c>
      <c r="G139" s="35">
        <v>6</v>
      </c>
      <c r="H139" s="59">
        <v>4.2</v>
      </c>
      <c r="I139" s="59">
        <v>4.58</v>
      </c>
      <c r="J139" s="35">
        <v>104</v>
      </c>
      <c r="K139" s="35" t="s">
        <v>133</v>
      </c>
      <c r="L139" s="35" t="s">
        <v>46</v>
      </c>
      <c r="M139" s="36" t="s">
        <v>253</v>
      </c>
      <c r="N139" s="36"/>
      <c r="O139" s="35">
        <v>90</v>
      </c>
      <c r="P139" s="771" t="str">
        <f>HYPERLINK("https://abi.ru/products/Охлажденные/Вязанка/Халяль/Копченые колбасы/P005457/","Копченые колбасы «Пряная Халяль» Весовой п/а ТМ «Вязанка»")</f>
        <v>Копченые колбасы «Пряная Халяль» Весовой п/а ТМ «Вязанка»</v>
      </c>
      <c r="Q139" s="704"/>
      <c r="R139" s="704"/>
      <c r="S139" s="704"/>
      <c r="T139" s="705"/>
      <c r="U139" s="37" t="s">
        <v>46</v>
      </c>
      <c r="V139" s="37" t="s">
        <v>46</v>
      </c>
      <c r="W139" s="38" t="s">
        <v>0</v>
      </c>
      <c r="X139" s="56">
        <v>0</v>
      </c>
      <c r="Y139" s="53">
        <f>IFERROR(IF(X139="",0,CEILING((X139/$H139),1)*$H139),"")</f>
        <v>0</v>
      </c>
      <c r="Z139" s="39" t="str">
        <f>IFERROR(IF(Y139=0,"",ROUNDUP(Y139/H139,0)*0.01196),"")</f>
        <v/>
      </c>
      <c r="AA139" s="65" t="s">
        <v>46</v>
      </c>
      <c r="AB139" s="66" t="s">
        <v>252</v>
      </c>
      <c r="AC139" s="203" t="s">
        <v>262</v>
      </c>
      <c r="AG139" s="75"/>
      <c r="AJ139" s="79" t="s">
        <v>46</v>
      </c>
      <c r="AK139" s="79">
        <v>0</v>
      </c>
      <c r="BB139" s="204" t="s">
        <v>67</v>
      </c>
      <c r="BM139" s="75">
        <f>IFERROR(X139*I139/H139,"0")</f>
        <v>0</v>
      </c>
      <c r="BN139" s="75">
        <f>IFERROR(Y139*I139/H139,"0")</f>
        <v>0</v>
      </c>
      <c r="BO139" s="75">
        <f>IFERROR(1/J139*(X139/H139),"0")</f>
        <v>0</v>
      </c>
      <c r="BP139" s="75">
        <f>IFERROR(1/J139*(Y139/H139),"0")</f>
        <v>0</v>
      </c>
    </row>
    <row r="140" spans="1:68" ht="16.5" customHeight="1" x14ac:dyDescent="0.25">
      <c r="A140" s="60" t="s">
        <v>263</v>
      </c>
      <c r="B140" s="60" t="s">
        <v>264</v>
      </c>
      <c r="C140" s="34">
        <v>4301031504</v>
      </c>
      <c r="D140" s="702">
        <v>4680115888920</v>
      </c>
      <c r="E140" s="702"/>
      <c r="F140" s="59">
        <v>0.35</v>
      </c>
      <c r="G140" s="35">
        <v>8</v>
      </c>
      <c r="H140" s="59">
        <v>2.8</v>
      </c>
      <c r="I140" s="59">
        <v>2.94</v>
      </c>
      <c r="J140" s="35">
        <v>234</v>
      </c>
      <c r="K140" s="35" t="s">
        <v>82</v>
      </c>
      <c r="L140" s="35" t="s">
        <v>46</v>
      </c>
      <c r="M140" s="36" t="s">
        <v>253</v>
      </c>
      <c r="N140" s="36"/>
      <c r="O140" s="35">
        <v>90</v>
      </c>
      <c r="P140" s="772" t="str">
        <f>HYPERLINK("https://abi.ru/products/Охлажденные/Вязанка/Халяль/Копченые колбасы/P005455/","Копченые колбасы «Пряная Халяль» Фикс.вес 0,35 п/а ТМ «Вязанка»")</f>
        <v>Копченые колбасы «Пряная Халяль» Фикс.вес 0,35 п/а ТМ «Вязанка»</v>
      </c>
      <c r="Q140" s="704"/>
      <c r="R140" s="704"/>
      <c r="S140" s="704"/>
      <c r="T140" s="705"/>
      <c r="U140" s="37" t="s">
        <v>46</v>
      </c>
      <c r="V140" s="37" t="s">
        <v>46</v>
      </c>
      <c r="W140" s="38" t="s">
        <v>0</v>
      </c>
      <c r="X140" s="56">
        <v>0</v>
      </c>
      <c r="Y140" s="53">
        <f>IFERROR(IF(X140="",0,CEILING((X140/$H140),1)*$H140),"")</f>
        <v>0</v>
      </c>
      <c r="Z140" s="39" t="str">
        <f>IFERROR(IF(Y140=0,"",ROUNDUP(Y140/H140,0)*0.00502),"")</f>
        <v/>
      </c>
      <c r="AA140" s="65" t="s">
        <v>46</v>
      </c>
      <c r="AB140" s="66" t="s">
        <v>252</v>
      </c>
      <c r="AC140" s="205" t="s">
        <v>262</v>
      </c>
      <c r="AG140" s="75"/>
      <c r="AJ140" s="79" t="s">
        <v>46</v>
      </c>
      <c r="AK140" s="79">
        <v>0</v>
      </c>
      <c r="BB140" s="206" t="s">
        <v>67</v>
      </c>
      <c r="BM140" s="75">
        <f>IFERROR(X140*I140/H140,"0")</f>
        <v>0</v>
      </c>
      <c r="BN140" s="75">
        <f>IFERROR(Y140*I140/H140,"0")</f>
        <v>0</v>
      </c>
      <c r="BO140" s="75">
        <f>IFERROR(1/J140*(X140/H140),"0")</f>
        <v>0</v>
      </c>
      <c r="BP140" s="75">
        <f>IFERROR(1/J140*(Y140/H140),"0")</f>
        <v>0</v>
      </c>
    </row>
    <row r="141" spans="1:68" ht="27" customHeight="1" x14ac:dyDescent="0.25">
      <c r="A141" s="60" t="s">
        <v>265</v>
      </c>
      <c r="B141" s="60" t="s">
        <v>266</v>
      </c>
      <c r="C141" s="34">
        <v>4301031234</v>
      </c>
      <c r="D141" s="702">
        <v>4680115883444</v>
      </c>
      <c r="E141" s="702"/>
      <c r="F141" s="59">
        <v>0.35</v>
      </c>
      <c r="G141" s="35">
        <v>8</v>
      </c>
      <c r="H141" s="59">
        <v>2.8</v>
      </c>
      <c r="I141" s="59">
        <v>3.0680000000000001</v>
      </c>
      <c r="J141" s="35">
        <v>182</v>
      </c>
      <c r="K141" s="35" t="s">
        <v>91</v>
      </c>
      <c r="L141" s="35" t="s">
        <v>46</v>
      </c>
      <c r="M141" s="36" t="s">
        <v>109</v>
      </c>
      <c r="N141" s="36"/>
      <c r="O141" s="35">
        <v>90</v>
      </c>
      <c r="P141" s="773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41" s="704"/>
      <c r="R141" s="704"/>
      <c r="S141" s="704"/>
      <c r="T141" s="705"/>
      <c r="U141" s="37" t="s">
        <v>46</v>
      </c>
      <c r="V141" s="37" t="s">
        <v>46</v>
      </c>
      <c r="W141" s="38" t="s">
        <v>0</v>
      </c>
      <c r="X141" s="56">
        <v>0</v>
      </c>
      <c r="Y141" s="53">
        <f>IFERROR(IF(X141="",0,CEILING((X141/$H141),1)*$H141),"")</f>
        <v>0</v>
      </c>
      <c r="Z141" s="39" t="str">
        <f>IFERROR(IF(Y141=0,"",ROUNDUP(Y141/H141,0)*0.00651),"")</f>
        <v/>
      </c>
      <c r="AA141" s="65" t="s">
        <v>46</v>
      </c>
      <c r="AB141" s="66" t="s">
        <v>46</v>
      </c>
      <c r="AC141" s="207" t="s">
        <v>267</v>
      </c>
      <c r="AG141" s="75"/>
      <c r="AJ141" s="79" t="s">
        <v>46</v>
      </c>
      <c r="AK141" s="79">
        <v>0</v>
      </c>
      <c r="BB141" s="208" t="s">
        <v>67</v>
      </c>
      <c r="BM141" s="75">
        <f>IFERROR(X141*I141/H141,"0")</f>
        <v>0</v>
      </c>
      <c r="BN141" s="75">
        <f>IFERROR(Y141*I141/H141,"0")</f>
        <v>0</v>
      </c>
      <c r="BO141" s="75">
        <f>IFERROR(1/J141*(X141/H141),"0")</f>
        <v>0</v>
      </c>
      <c r="BP141" s="75">
        <f>IFERROR(1/J141*(Y141/H141),"0")</f>
        <v>0</v>
      </c>
    </row>
    <row r="142" spans="1:68" ht="27" customHeight="1" x14ac:dyDescent="0.25">
      <c r="A142" s="60" t="s">
        <v>265</v>
      </c>
      <c r="B142" s="60" t="s">
        <v>268</v>
      </c>
      <c r="C142" s="34">
        <v>4301031235</v>
      </c>
      <c r="D142" s="702">
        <v>4680115883444</v>
      </c>
      <c r="E142" s="702"/>
      <c r="F142" s="59">
        <v>0.35</v>
      </c>
      <c r="G142" s="35">
        <v>8</v>
      </c>
      <c r="H142" s="59">
        <v>2.8</v>
      </c>
      <c r="I142" s="59">
        <v>3.0680000000000001</v>
      </c>
      <c r="J142" s="35">
        <v>182</v>
      </c>
      <c r="K142" s="35" t="s">
        <v>91</v>
      </c>
      <c r="L142" s="35" t="s">
        <v>46</v>
      </c>
      <c r="M142" s="36" t="s">
        <v>109</v>
      </c>
      <c r="N142" s="36"/>
      <c r="O142" s="35">
        <v>90</v>
      </c>
      <c r="P142" s="774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42" s="704"/>
      <c r="R142" s="704"/>
      <c r="S142" s="704"/>
      <c r="T142" s="705"/>
      <c r="U142" s="37" t="s">
        <v>46</v>
      </c>
      <c r="V142" s="37" t="s">
        <v>46</v>
      </c>
      <c r="W142" s="38" t="s">
        <v>0</v>
      </c>
      <c r="X142" s="56">
        <v>0</v>
      </c>
      <c r="Y142" s="53">
        <f>IFERROR(IF(X142="",0,CEILING((X142/$H142),1)*$H142),"")</f>
        <v>0</v>
      </c>
      <c r="Z142" s="39" t="str">
        <f>IFERROR(IF(Y142=0,"",ROUNDUP(Y142/H142,0)*0.00651),"")</f>
        <v/>
      </c>
      <c r="AA142" s="65" t="s">
        <v>46</v>
      </c>
      <c r="AB142" s="66" t="s">
        <v>46</v>
      </c>
      <c r="AC142" s="209" t="s">
        <v>267</v>
      </c>
      <c r="AG142" s="75"/>
      <c r="AJ142" s="79" t="s">
        <v>46</v>
      </c>
      <c r="AK142" s="79">
        <v>0</v>
      </c>
      <c r="BB142" s="210" t="s">
        <v>67</v>
      </c>
      <c r="BM142" s="75">
        <f>IFERROR(X142*I142/H142,"0")</f>
        <v>0</v>
      </c>
      <c r="BN142" s="75">
        <f>IFERROR(Y142*I142/H142,"0")</f>
        <v>0</v>
      </c>
      <c r="BO142" s="75">
        <f>IFERROR(1/J142*(X142/H142),"0")</f>
        <v>0</v>
      </c>
      <c r="BP142" s="75">
        <f>IFERROR(1/J142*(Y142/H142),"0")</f>
        <v>0</v>
      </c>
    </row>
    <row r="143" spans="1:68" x14ac:dyDescent="0.2">
      <c r="A143" s="710"/>
      <c r="B143" s="710"/>
      <c r="C143" s="710"/>
      <c r="D143" s="710"/>
      <c r="E143" s="710"/>
      <c r="F143" s="710"/>
      <c r="G143" s="710"/>
      <c r="H143" s="710"/>
      <c r="I143" s="710"/>
      <c r="J143" s="710"/>
      <c r="K143" s="710"/>
      <c r="L143" s="710"/>
      <c r="M143" s="710"/>
      <c r="N143" s="710"/>
      <c r="O143" s="711"/>
      <c r="P143" s="707" t="s">
        <v>40</v>
      </c>
      <c r="Q143" s="708"/>
      <c r="R143" s="708"/>
      <c r="S143" s="708"/>
      <c r="T143" s="708"/>
      <c r="U143" s="708"/>
      <c r="V143" s="709"/>
      <c r="W143" s="40" t="s">
        <v>39</v>
      </c>
      <c r="X143" s="41">
        <f>IFERROR(X139/H139,"0")+IFERROR(X140/H140,"0")+IFERROR(X141/H141,"0")+IFERROR(X142/H142,"0")</f>
        <v>0</v>
      </c>
      <c r="Y143" s="41">
        <f>IFERROR(Y139/H139,"0")+IFERROR(Y140/H140,"0")+IFERROR(Y141/H141,"0")+IFERROR(Y142/H142,"0")</f>
        <v>0</v>
      </c>
      <c r="Z143" s="41">
        <f>IFERROR(IF(Z139="",0,Z139),"0")+IFERROR(IF(Z140="",0,Z140),"0")+IFERROR(IF(Z141="",0,Z141),"0")+IFERROR(IF(Z142="",0,Z142),"0")</f>
        <v>0</v>
      </c>
      <c r="AA143" s="64"/>
      <c r="AB143" s="64"/>
      <c r="AC143" s="64"/>
    </row>
    <row r="144" spans="1:68" x14ac:dyDescent="0.2">
      <c r="A144" s="710"/>
      <c r="B144" s="710"/>
      <c r="C144" s="710"/>
      <c r="D144" s="710"/>
      <c r="E144" s="710"/>
      <c r="F144" s="710"/>
      <c r="G144" s="710"/>
      <c r="H144" s="710"/>
      <c r="I144" s="710"/>
      <c r="J144" s="710"/>
      <c r="K144" s="710"/>
      <c r="L144" s="710"/>
      <c r="M144" s="710"/>
      <c r="N144" s="710"/>
      <c r="O144" s="711"/>
      <c r="P144" s="707" t="s">
        <v>40</v>
      </c>
      <c r="Q144" s="708"/>
      <c r="R144" s="708"/>
      <c r="S144" s="708"/>
      <c r="T144" s="708"/>
      <c r="U144" s="708"/>
      <c r="V144" s="709"/>
      <c r="W144" s="40" t="s">
        <v>0</v>
      </c>
      <c r="X144" s="41">
        <f>IFERROR(SUM(X139:X142),"0")</f>
        <v>0</v>
      </c>
      <c r="Y144" s="41">
        <f>IFERROR(SUM(Y139:Y142),"0")</f>
        <v>0</v>
      </c>
      <c r="Z144" s="40"/>
      <c r="AA144" s="64"/>
      <c r="AB144" s="64"/>
      <c r="AC144" s="64"/>
    </row>
    <row r="145" spans="1:68" ht="14.25" customHeight="1" x14ac:dyDescent="0.25">
      <c r="A145" s="701" t="s">
        <v>86</v>
      </c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  <c r="AA145" s="63"/>
      <c r="AB145" s="63"/>
      <c r="AC145" s="63"/>
    </row>
    <row r="146" spans="1:68" ht="16.5" customHeight="1" x14ac:dyDescent="0.25">
      <c r="A146" s="60" t="s">
        <v>269</v>
      </c>
      <c r="B146" s="60" t="s">
        <v>270</v>
      </c>
      <c r="C146" s="34">
        <v>4301052218</v>
      </c>
      <c r="D146" s="702">
        <v>4680115888937</v>
      </c>
      <c r="E146" s="702"/>
      <c r="F146" s="59">
        <v>1</v>
      </c>
      <c r="G146" s="35">
        <v>4</v>
      </c>
      <c r="H146" s="59">
        <v>4</v>
      </c>
      <c r="I146" s="59">
        <v>4.37</v>
      </c>
      <c r="J146" s="35">
        <v>104</v>
      </c>
      <c r="K146" s="35" t="s">
        <v>133</v>
      </c>
      <c r="L146" s="35" t="s">
        <v>46</v>
      </c>
      <c r="M146" s="36" t="s">
        <v>253</v>
      </c>
      <c r="N146" s="36"/>
      <c r="O146" s="35">
        <v>90</v>
      </c>
      <c r="P146" s="775" t="str">
        <f>HYPERLINK("https://abi.ru/products/Охлажденные/Вязанка/Халяль/Сосиски/P005445/","Сосиски «Аравийские Халяль» Весовой п/а ТМ «Вязанка»")</f>
        <v>Сосиски «Аравийские Халяль» Весовой п/а ТМ «Вязанка»</v>
      </c>
      <c r="Q146" s="704"/>
      <c r="R146" s="704"/>
      <c r="S146" s="704"/>
      <c r="T146" s="705"/>
      <c r="U146" s="37" t="s">
        <v>46</v>
      </c>
      <c r="V146" s="37" t="s">
        <v>46</v>
      </c>
      <c r="W146" s="38" t="s">
        <v>0</v>
      </c>
      <c r="X146" s="56">
        <v>0</v>
      </c>
      <c r="Y146" s="53">
        <f>IFERROR(IF(X146="",0,CEILING((X146/$H146),1)*$H146),"")</f>
        <v>0</v>
      </c>
      <c r="Z146" s="39" t="str">
        <f>IFERROR(IF(Y146=0,"",ROUNDUP(Y146/H146,0)*0.01196),"")</f>
        <v/>
      </c>
      <c r="AA146" s="65" t="s">
        <v>46</v>
      </c>
      <c r="AB146" s="66" t="s">
        <v>252</v>
      </c>
      <c r="AC146" s="211" t="s">
        <v>251</v>
      </c>
      <c r="AG146" s="75"/>
      <c r="AJ146" s="79" t="s">
        <v>46</v>
      </c>
      <c r="AK146" s="79">
        <v>0</v>
      </c>
      <c r="BB146" s="212" t="s">
        <v>67</v>
      </c>
      <c r="BM146" s="75">
        <f>IFERROR(X146*I146/H146,"0")</f>
        <v>0</v>
      </c>
      <c r="BN146" s="75">
        <f>IFERROR(Y146*I146/H146,"0")</f>
        <v>0</v>
      </c>
      <c r="BO146" s="75">
        <f>IFERROR(1/J146*(X146/H146),"0")</f>
        <v>0</v>
      </c>
      <c r="BP146" s="75">
        <f>IFERROR(1/J146*(Y146/H146),"0")</f>
        <v>0</v>
      </c>
    </row>
    <row r="147" spans="1:68" ht="16.5" customHeight="1" x14ac:dyDescent="0.25">
      <c r="A147" s="60" t="s">
        <v>271</v>
      </c>
      <c r="B147" s="60" t="s">
        <v>272</v>
      </c>
      <c r="C147" s="34">
        <v>4301052219</v>
      </c>
      <c r="D147" s="702">
        <v>4680115888944</v>
      </c>
      <c r="E147" s="702"/>
      <c r="F147" s="59">
        <v>0.33</v>
      </c>
      <c r="G147" s="35">
        <v>8</v>
      </c>
      <c r="H147" s="59">
        <v>2.64</v>
      </c>
      <c r="I147" s="59">
        <v>2.86</v>
      </c>
      <c r="J147" s="35">
        <v>182</v>
      </c>
      <c r="K147" s="35" t="s">
        <v>91</v>
      </c>
      <c r="L147" s="35" t="s">
        <v>46</v>
      </c>
      <c r="M147" s="36" t="s">
        <v>253</v>
      </c>
      <c r="N147" s="36"/>
      <c r="O147" s="35">
        <v>90</v>
      </c>
      <c r="P147" s="776" t="str">
        <f>HYPERLINK("https://abi.ru/products/Охлажденные/Вязанка/Халяль/Сосиски/P005448/","Сосиски «Аравийские Халяль» Фикс.вес 0,33 п/а ТМ «Вязанка»")</f>
        <v>Сосиски «Аравийские Халяль» Фикс.вес 0,33 п/а ТМ «Вязанка»</v>
      </c>
      <c r="Q147" s="704"/>
      <c r="R147" s="704"/>
      <c r="S147" s="704"/>
      <c r="T147" s="705"/>
      <c r="U147" s="37" t="s">
        <v>46</v>
      </c>
      <c r="V147" s="37" t="s">
        <v>46</v>
      </c>
      <c r="W147" s="38" t="s">
        <v>0</v>
      </c>
      <c r="X147" s="56">
        <v>0</v>
      </c>
      <c r="Y147" s="53">
        <f>IFERROR(IF(X147="",0,CEILING((X147/$H147),1)*$H147),"")</f>
        <v>0</v>
      </c>
      <c r="Z147" s="39" t="str">
        <f>IFERROR(IF(Y147=0,"",ROUNDUP(Y147/H147,0)*0.00651),"")</f>
        <v/>
      </c>
      <c r="AA147" s="65" t="s">
        <v>46</v>
      </c>
      <c r="AB147" s="66" t="s">
        <v>252</v>
      </c>
      <c r="AC147" s="213" t="s">
        <v>251</v>
      </c>
      <c r="AG147" s="75"/>
      <c r="AJ147" s="79" t="s">
        <v>46</v>
      </c>
      <c r="AK147" s="79">
        <v>0</v>
      </c>
      <c r="BB147" s="214" t="s">
        <v>67</v>
      </c>
      <c r="BM147" s="75">
        <f>IFERROR(X147*I147/H147,"0")</f>
        <v>0</v>
      </c>
      <c r="BN147" s="75">
        <f>IFERROR(Y147*I147/H147,"0")</f>
        <v>0</v>
      </c>
      <c r="BO147" s="75">
        <f>IFERROR(1/J147*(X147/H147),"0")</f>
        <v>0</v>
      </c>
      <c r="BP147" s="75">
        <f>IFERROR(1/J147*(Y147/H147),"0")</f>
        <v>0</v>
      </c>
    </row>
    <row r="148" spans="1:68" ht="16.5" customHeight="1" x14ac:dyDescent="0.25">
      <c r="A148" s="60" t="s">
        <v>273</v>
      </c>
      <c r="B148" s="60" t="s">
        <v>274</v>
      </c>
      <c r="C148" s="34">
        <v>4301051476</v>
      </c>
      <c r="D148" s="702">
        <v>4680115882584</v>
      </c>
      <c r="E148" s="702"/>
      <c r="F148" s="59">
        <v>0.33</v>
      </c>
      <c r="G148" s="35">
        <v>8</v>
      </c>
      <c r="H148" s="59">
        <v>2.64</v>
      </c>
      <c r="I148" s="59">
        <v>2.9079999999999999</v>
      </c>
      <c r="J148" s="35">
        <v>182</v>
      </c>
      <c r="K148" s="35" t="s">
        <v>91</v>
      </c>
      <c r="L148" s="35" t="s">
        <v>46</v>
      </c>
      <c r="M148" s="36" t="s">
        <v>109</v>
      </c>
      <c r="N148" s="36"/>
      <c r="O148" s="35">
        <v>60</v>
      </c>
      <c r="P148" s="777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8" s="704"/>
      <c r="R148" s="704"/>
      <c r="S148" s="704"/>
      <c r="T148" s="705"/>
      <c r="U148" s="37" t="s">
        <v>46</v>
      </c>
      <c r="V148" s="37" t="s">
        <v>46</v>
      </c>
      <c r="W148" s="38" t="s">
        <v>0</v>
      </c>
      <c r="X148" s="56">
        <v>0</v>
      </c>
      <c r="Y148" s="53">
        <f>IFERROR(IF(X148="",0,CEILING((X148/$H148),1)*$H148),"")</f>
        <v>0</v>
      </c>
      <c r="Z148" s="39" t="str">
        <f>IFERROR(IF(Y148=0,"",ROUNDUP(Y148/H148,0)*0.00651),"")</f>
        <v/>
      </c>
      <c r="AA148" s="65" t="s">
        <v>46</v>
      </c>
      <c r="AB148" s="66" t="s">
        <v>46</v>
      </c>
      <c r="AC148" s="215" t="s">
        <v>258</v>
      </c>
      <c r="AG148" s="75"/>
      <c r="AJ148" s="79" t="s">
        <v>46</v>
      </c>
      <c r="AK148" s="79">
        <v>0</v>
      </c>
      <c r="BB148" s="216" t="s">
        <v>67</v>
      </c>
      <c r="BM148" s="75">
        <f>IFERROR(X148*I148/H148,"0")</f>
        <v>0</v>
      </c>
      <c r="BN148" s="75">
        <f>IFERROR(Y148*I148/H148,"0")</f>
        <v>0</v>
      </c>
      <c r="BO148" s="75">
        <f>IFERROR(1/J148*(X148/H148),"0")</f>
        <v>0</v>
      </c>
      <c r="BP148" s="75">
        <f>IFERROR(1/J148*(Y148/H148),"0")</f>
        <v>0</v>
      </c>
    </row>
    <row r="149" spans="1:68" ht="16.5" customHeight="1" x14ac:dyDescent="0.25">
      <c r="A149" s="60" t="s">
        <v>273</v>
      </c>
      <c r="B149" s="60" t="s">
        <v>275</v>
      </c>
      <c r="C149" s="34">
        <v>4301051477</v>
      </c>
      <c r="D149" s="702">
        <v>4680115882584</v>
      </c>
      <c r="E149" s="702"/>
      <c r="F149" s="59">
        <v>0.33</v>
      </c>
      <c r="G149" s="35">
        <v>8</v>
      </c>
      <c r="H149" s="59">
        <v>2.64</v>
      </c>
      <c r="I149" s="59">
        <v>2.9079999999999999</v>
      </c>
      <c r="J149" s="35">
        <v>182</v>
      </c>
      <c r="K149" s="35" t="s">
        <v>91</v>
      </c>
      <c r="L149" s="35" t="s">
        <v>46</v>
      </c>
      <c r="M149" s="36" t="s">
        <v>109</v>
      </c>
      <c r="N149" s="36"/>
      <c r="O149" s="35">
        <v>60</v>
      </c>
      <c r="P149" s="778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9" s="704"/>
      <c r="R149" s="704"/>
      <c r="S149" s="704"/>
      <c r="T149" s="705"/>
      <c r="U149" s="37" t="s">
        <v>46</v>
      </c>
      <c r="V149" s="37" t="s">
        <v>46</v>
      </c>
      <c r="W149" s="38" t="s">
        <v>0</v>
      </c>
      <c r="X149" s="56">
        <v>0</v>
      </c>
      <c r="Y149" s="53">
        <f>IFERROR(IF(X149="",0,CEILING((X149/$H149),1)*$H149),"")</f>
        <v>0</v>
      </c>
      <c r="Z149" s="39" t="str">
        <f>IFERROR(IF(Y149=0,"",ROUNDUP(Y149/H149,0)*0.00651),"")</f>
        <v/>
      </c>
      <c r="AA149" s="65" t="s">
        <v>46</v>
      </c>
      <c r="AB149" s="66" t="s">
        <v>46</v>
      </c>
      <c r="AC149" s="217" t="s">
        <v>258</v>
      </c>
      <c r="AG149" s="75"/>
      <c r="AJ149" s="79" t="s">
        <v>46</v>
      </c>
      <c r="AK149" s="79">
        <v>0</v>
      </c>
      <c r="BB149" s="218" t="s">
        <v>67</v>
      </c>
      <c r="BM149" s="75">
        <f>IFERROR(X149*I149/H149,"0")</f>
        <v>0</v>
      </c>
      <c r="BN149" s="75">
        <f>IFERROR(Y149*I149/H149,"0")</f>
        <v>0</v>
      </c>
      <c r="BO149" s="75">
        <f>IFERROR(1/J149*(X149/H149),"0")</f>
        <v>0</v>
      </c>
      <c r="BP149" s="75">
        <f>IFERROR(1/J149*(Y149/H149),"0")</f>
        <v>0</v>
      </c>
    </row>
    <row r="150" spans="1:68" x14ac:dyDescent="0.2">
      <c r="A150" s="710"/>
      <c r="B150" s="710"/>
      <c r="C150" s="710"/>
      <c r="D150" s="710"/>
      <c r="E150" s="710"/>
      <c r="F150" s="710"/>
      <c r="G150" s="710"/>
      <c r="H150" s="710"/>
      <c r="I150" s="710"/>
      <c r="J150" s="710"/>
      <c r="K150" s="710"/>
      <c r="L150" s="710"/>
      <c r="M150" s="710"/>
      <c r="N150" s="710"/>
      <c r="O150" s="711"/>
      <c r="P150" s="707" t="s">
        <v>40</v>
      </c>
      <c r="Q150" s="708"/>
      <c r="R150" s="708"/>
      <c r="S150" s="708"/>
      <c r="T150" s="708"/>
      <c r="U150" s="708"/>
      <c r="V150" s="709"/>
      <c r="W150" s="40" t="s">
        <v>39</v>
      </c>
      <c r="X150" s="41">
        <f>IFERROR(X146/H146,"0")+IFERROR(X147/H147,"0")+IFERROR(X148/H148,"0")+IFERROR(X149/H149,"0")</f>
        <v>0</v>
      </c>
      <c r="Y150" s="41">
        <f>IFERROR(Y146/H146,"0")+IFERROR(Y147/H147,"0")+IFERROR(Y148/H148,"0")+IFERROR(Y149/H149,"0")</f>
        <v>0</v>
      </c>
      <c r="Z150" s="41">
        <f>IFERROR(IF(Z146="",0,Z146),"0")+IFERROR(IF(Z147="",0,Z147),"0")+IFERROR(IF(Z148="",0,Z148),"0")+IFERROR(IF(Z149="",0,Z149),"0")</f>
        <v>0</v>
      </c>
      <c r="AA150" s="64"/>
      <c r="AB150" s="64"/>
      <c r="AC150" s="64"/>
    </row>
    <row r="151" spans="1:68" x14ac:dyDescent="0.2">
      <c r="A151" s="710"/>
      <c r="B151" s="710"/>
      <c r="C151" s="710"/>
      <c r="D151" s="710"/>
      <c r="E151" s="710"/>
      <c r="F151" s="710"/>
      <c r="G151" s="710"/>
      <c r="H151" s="710"/>
      <c r="I151" s="710"/>
      <c r="J151" s="710"/>
      <c r="K151" s="710"/>
      <c r="L151" s="710"/>
      <c r="M151" s="710"/>
      <c r="N151" s="710"/>
      <c r="O151" s="711"/>
      <c r="P151" s="707" t="s">
        <v>40</v>
      </c>
      <c r="Q151" s="708"/>
      <c r="R151" s="708"/>
      <c r="S151" s="708"/>
      <c r="T151" s="708"/>
      <c r="U151" s="708"/>
      <c r="V151" s="709"/>
      <c r="W151" s="40" t="s">
        <v>0</v>
      </c>
      <c r="X151" s="41">
        <f>IFERROR(SUM(X146:X149),"0")</f>
        <v>0</v>
      </c>
      <c r="Y151" s="41">
        <f>IFERROR(SUM(Y146:Y149),"0")</f>
        <v>0</v>
      </c>
      <c r="Z151" s="40"/>
      <c r="AA151" s="64"/>
      <c r="AB151" s="64"/>
      <c r="AC151" s="64"/>
    </row>
    <row r="152" spans="1:68" ht="16.5" customHeight="1" x14ac:dyDescent="0.25">
      <c r="A152" s="700" t="s">
        <v>276</v>
      </c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  <c r="AA152" s="62"/>
      <c r="AB152" s="62"/>
      <c r="AC152" s="62"/>
    </row>
    <row r="153" spans="1:68" ht="14.25" customHeight="1" x14ac:dyDescent="0.25">
      <c r="A153" s="701" t="s">
        <v>86</v>
      </c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  <c r="AA153" s="63"/>
      <c r="AB153" s="63"/>
      <c r="AC153" s="63"/>
    </row>
    <row r="154" spans="1:68" ht="27" customHeight="1" x14ac:dyDescent="0.25">
      <c r="A154" s="60" t="s">
        <v>277</v>
      </c>
      <c r="B154" s="60" t="s">
        <v>278</v>
      </c>
      <c r="C154" s="34">
        <v>4301052254</v>
      </c>
      <c r="D154" s="702">
        <v>4680115888203</v>
      </c>
      <c r="E154" s="702"/>
      <c r="F154" s="59">
        <v>0.22</v>
      </c>
      <c r="G154" s="35">
        <v>6</v>
      </c>
      <c r="H154" s="59">
        <v>1.32</v>
      </c>
      <c r="I154" s="59">
        <v>1.5660000000000001</v>
      </c>
      <c r="J154" s="35">
        <v>182</v>
      </c>
      <c r="K154" s="35" t="s">
        <v>91</v>
      </c>
      <c r="L154" s="35" t="s">
        <v>46</v>
      </c>
      <c r="M154" s="36" t="s">
        <v>97</v>
      </c>
      <c r="N154" s="36"/>
      <c r="O154" s="35">
        <v>40</v>
      </c>
      <c r="P154" s="779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54" s="704"/>
      <c r="R154" s="704"/>
      <c r="S154" s="704"/>
      <c r="T154" s="705"/>
      <c r="U154" s="37" t="s">
        <v>46</v>
      </c>
      <c r="V154" s="37" t="s">
        <v>46</v>
      </c>
      <c r="W154" s="38" t="s">
        <v>0</v>
      </c>
      <c r="X154" s="56">
        <v>0</v>
      </c>
      <c r="Y154" s="53">
        <f>IFERROR(IF(X154="",0,CEILING((X154/$H154),1)*$H154),"")</f>
        <v>0</v>
      </c>
      <c r="Z154" s="39" t="str">
        <f>IFERROR(IF(Y154=0,"",ROUNDUP(Y154/H154,0)*0.00651),"")</f>
        <v/>
      </c>
      <c r="AA154" s="65" t="s">
        <v>46</v>
      </c>
      <c r="AB154" s="66" t="s">
        <v>46</v>
      </c>
      <c r="AC154" s="219" t="s">
        <v>279</v>
      </c>
      <c r="AG154" s="75"/>
      <c r="AJ154" s="79" t="s">
        <v>46</v>
      </c>
      <c r="AK154" s="79">
        <v>0</v>
      </c>
      <c r="BB154" s="220" t="s">
        <v>67</v>
      </c>
      <c r="BM154" s="75">
        <f>IFERROR(X154*I154/H154,"0")</f>
        <v>0</v>
      </c>
      <c r="BN154" s="75">
        <f>IFERROR(Y154*I154/H154,"0")</f>
        <v>0</v>
      </c>
      <c r="BO154" s="75">
        <f>IFERROR(1/J154*(X154/H154),"0")</f>
        <v>0</v>
      </c>
      <c r="BP154" s="75">
        <f>IFERROR(1/J154*(Y154/H154),"0")</f>
        <v>0</v>
      </c>
    </row>
    <row r="155" spans="1:68" ht="27" customHeight="1" x14ac:dyDescent="0.25">
      <c r="A155" s="60" t="s">
        <v>280</v>
      </c>
      <c r="B155" s="60" t="s">
        <v>281</v>
      </c>
      <c r="C155" s="34">
        <v>4301052172</v>
      </c>
      <c r="D155" s="702">
        <v>4680115888180</v>
      </c>
      <c r="E155" s="702"/>
      <c r="F155" s="59">
        <v>0.22</v>
      </c>
      <c r="G155" s="35">
        <v>9</v>
      </c>
      <c r="H155" s="59">
        <v>1.98</v>
      </c>
      <c r="I155" s="59">
        <v>2.2589999999999999</v>
      </c>
      <c r="J155" s="35">
        <v>182</v>
      </c>
      <c r="K155" s="35" t="s">
        <v>91</v>
      </c>
      <c r="L155" s="35" t="s">
        <v>46</v>
      </c>
      <c r="M155" s="36" t="s">
        <v>97</v>
      </c>
      <c r="N155" s="36"/>
      <c r="O155" s="35">
        <v>40</v>
      </c>
      <c r="P155" s="780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5" s="704"/>
      <c r="R155" s="704"/>
      <c r="S155" s="704"/>
      <c r="T155" s="705"/>
      <c r="U155" s="37" t="s">
        <v>46</v>
      </c>
      <c r="V155" s="37" t="s">
        <v>46</v>
      </c>
      <c r="W155" s="38" t="s">
        <v>0</v>
      </c>
      <c r="X155" s="56">
        <v>0</v>
      </c>
      <c r="Y155" s="53">
        <f>IFERROR(IF(X155="",0,CEILING((X155/$H155),1)*$H155),"")</f>
        <v>0</v>
      </c>
      <c r="Z155" s="39" t="str">
        <f>IFERROR(IF(Y155=0,"",ROUNDUP(Y155/H155,0)*0.00651),"")</f>
        <v/>
      </c>
      <c r="AA155" s="65" t="s">
        <v>46</v>
      </c>
      <c r="AB155" s="66" t="s">
        <v>46</v>
      </c>
      <c r="AC155" s="221" t="s">
        <v>282</v>
      </c>
      <c r="AG155" s="75"/>
      <c r="AJ155" s="79" t="s">
        <v>46</v>
      </c>
      <c r="AK155" s="79">
        <v>0</v>
      </c>
      <c r="BB155" s="222" t="s">
        <v>67</v>
      </c>
      <c r="BM155" s="75">
        <f>IFERROR(X155*I155/H155,"0")</f>
        <v>0</v>
      </c>
      <c r="BN155" s="75">
        <f>IFERROR(Y155*I155/H155,"0")</f>
        <v>0</v>
      </c>
      <c r="BO155" s="75">
        <f>IFERROR(1/J155*(X155/H155),"0")</f>
        <v>0</v>
      </c>
      <c r="BP155" s="75">
        <f>IFERROR(1/J155*(Y155/H155),"0")</f>
        <v>0</v>
      </c>
    </row>
    <row r="156" spans="1:68" ht="27" customHeight="1" x14ac:dyDescent="0.25">
      <c r="A156" s="60" t="s">
        <v>283</v>
      </c>
      <c r="B156" s="60" t="s">
        <v>284</v>
      </c>
      <c r="C156" s="34">
        <v>4301052173</v>
      </c>
      <c r="D156" s="702">
        <v>4680115888197</v>
      </c>
      <c r="E156" s="702"/>
      <c r="F156" s="59">
        <v>0.22</v>
      </c>
      <c r="G156" s="35">
        <v>9</v>
      </c>
      <c r="H156" s="59">
        <v>1.98</v>
      </c>
      <c r="I156" s="59">
        <v>2.2589999999999999</v>
      </c>
      <c r="J156" s="35">
        <v>182</v>
      </c>
      <c r="K156" s="35" t="s">
        <v>91</v>
      </c>
      <c r="L156" s="35" t="s">
        <v>46</v>
      </c>
      <c r="M156" s="36" t="s">
        <v>97</v>
      </c>
      <c r="N156" s="36"/>
      <c r="O156" s="35">
        <v>40</v>
      </c>
      <c r="P156" s="781" t="str">
        <f>HYPERLINK("https://abi.ru/products/Охлажденные/Вязанка/Хайперсы/Сосиски/P005371/","Сосиски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6" s="704"/>
      <c r="R156" s="704"/>
      <c r="S156" s="704"/>
      <c r="T156" s="705"/>
      <c r="U156" s="37" t="s">
        <v>46</v>
      </c>
      <c r="V156" s="37" t="s">
        <v>46</v>
      </c>
      <c r="W156" s="38" t="s">
        <v>0</v>
      </c>
      <c r="X156" s="56">
        <v>0</v>
      </c>
      <c r="Y156" s="53">
        <f>IFERROR(IF(X156="",0,CEILING((X156/$H156),1)*$H156),"")</f>
        <v>0</v>
      </c>
      <c r="Z156" s="39" t="str">
        <f>IFERROR(IF(Y156=0,"",ROUNDUP(Y156/H156,0)*0.00651),"")</f>
        <v/>
      </c>
      <c r="AA156" s="65" t="s">
        <v>46</v>
      </c>
      <c r="AB156" s="66" t="s">
        <v>46</v>
      </c>
      <c r="AC156" s="223" t="s">
        <v>285</v>
      </c>
      <c r="AG156" s="75"/>
      <c r="AJ156" s="79" t="s">
        <v>46</v>
      </c>
      <c r="AK156" s="79">
        <v>0</v>
      </c>
      <c r="BB156" s="224" t="s">
        <v>67</v>
      </c>
      <c r="BM156" s="75">
        <f>IFERROR(X156*I156/H156,"0")</f>
        <v>0</v>
      </c>
      <c r="BN156" s="75">
        <f>IFERROR(Y156*I156/H156,"0")</f>
        <v>0</v>
      </c>
      <c r="BO156" s="75">
        <f>IFERROR(1/J156*(X156/H156),"0")</f>
        <v>0</v>
      </c>
      <c r="BP156" s="75">
        <f>IFERROR(1/J156*(Y156/H156),"0")</f>
        <v>0</v>
      </c>
    </row>
    <row r="157" spans="1:68" ht="27" customHeight="1" x14ac:dyDescent="0.25">
      <c r="A157" s="60" t="s">
        <v>286</v>
      </c>
      <c r="B157" s="60" t="s">
        <v>287</v>
      </c>
      <c r="C157" s="34">
        <v>4301052175</v>
      </c>
      <c r="D157" s="702">
        <v>4680115888210</v>
      </c>
      <c r="E157" s="702"/>
      <c r="F157" s="59">
        <v>0.22</v>
      </c>
      <c r="G157" s="35">
        <v>9</v>
      </c>
      <c r="H157" s="59">
        <v>1.98</v>
      </c>
      <c r="I157" s="59">
        <v>2.2589999999999999</v>
      </c>
      <c r="J157" s="35">
        <v>182</v>
      </c>
      <c r="K157" s="35" t="s">
        <v>91</v>
      </c>
      <c r="L157" s="35" t="s">
        <v>46</v>
      </c>
      <c r="M157" s="36" t="s">
        <v>97</v>
      </c>
      <c r="N157" s="36"/>
      <c r="O157" s="35">
        <v>40</v>
      </c>
      <c r="P157" s="782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7" s="704"/>
      <c r="R157" s="704"/>
      <c r="S157" s="704"/>
      <c r="T157" s="705"/>
      <c r="U157" s="37" t="s">
        <v>46</v>
      </c>
      <c r="V157" s="37" t="s">
        <v>46</v>
      </c>
      <c r="W157" s="38" t="s">
        <v>0</v>
      </c>
      <c r="X157" s="56">
        <v>0</v>
      </c>
      <c r="Y157" s="53">
        <f>IFERROR(IF(X157="",0,CEILING((X157/$H157),1)*$H157),"")</f>
        <v>0</v>
      </c>
      <c r="Z157" s="39" t="str">
        <f>IFERROR(IF(Y157=0,"",ROUNDUP(Y157/H157,0)*0.00651),"")</f>
        <v/>
      </c>
      <c r="AA157" s="65" t="s">
        <v>46</v>
      </c>
      <c r="AB157" s="66" t="s">
        <v>46</v>
      </c>
      <c r="AC157" s="225" t="s">
        <v>288</v>
      </c>
      <c r="AG157" s="75"/>
      <c r="AJ157" s="79" t="s">
        <v>46</v>
      </c>
      <c r="AK157" s="79">
        <v>0</v>
      </c>
      <c r="BB157" s="226" t="s">
        <v>67</v>
      </c>
      <c r="BM157" s="75">
        <f>IFERROR(X157*I157/H157,"0")</f>
        <v>0</v>
      </c>
      <c r="BN157" s="75">
        <f>IFERROR(Y157*I157/H157,"0")</f>
        <v>0</v>
      </c>
      <c r="BO157" s="75">
        <f>IFERROR(1/J157*(X157/H157),"0")</f>
        <v>0</v>
      </c>
      <c r="BP157" s="75">
        <f>IFERROR(1/J157*(Y157/H157),"0")</f>
        <v>0</v>
      </c>
    </row>
    <row r="158" spans="1:68" x14ac:dyDescent="0.2">
      <c r="A158" s="710"/>
      <c r="B158" s="710"/>
      <c r="C158" s="710"/>
      <c r="D158" s="710"/>
      <c r="E158" s="710"/>
      <c r="F158" s="710"/>
      <c r="G158" s="710"/>
      <c r="H158" s="710"/>
      <c r="I158" s="710"/>
      <c r="J158" s="710"/>
      <c r="K158" s="710"/>
      <c r="L158" s="710"/>
      <c r="M158" s="710"/>
      <c r="N158" s="710"/>
      <c r="O158" s="711"/>
      <c r="P158" s="707" t="s">
        <v>40</v>
      </c>
      <c r="Q158" s="708"/>
      <c r="R158" s="708"/>
      <c r="S158" s="708"/>
      <c r="T158" s="708"/>
      <c r="U158" s="708"/>
      <c r="V158" s="709"/>
      <c r="W158" s="40" t="s">
        <v>39</v>
      </c>
      <c r="X158" s="41">
        <f>IFERROR(X154/H154,"0")+IFERROR(X155/H155,"0")+IFERROR(X156/H156,"0")+IFERROR(X157/H157,"0")</f>
        <v>0</v>
      </c>
      <c r="Y158" s="41">
        <f>IFERROR(Y154/H154,"0")+IFERROR(Y155/H155,"0")+IFERROR(Y156/H156,"0")+IFERROR(Y157/H157,"0")</f>
        <v>0</v>
      </c>
      <c r="Z158" s="41">
        <f>IFERROR(IF(Z154="",0,Z154),"0")+IFERROR(IF(Z155="",0,Z155),"0")+IFERROR(IF(Z156="",0,Z156),"0")+IFERROR(IF(Z157="",0,Z157),"0")</f>
        <v>0</v>
      </c>
      <c r="AA158" s="64"/>
      <c r="AB158" s="64"/>
      <c r="AC158" s="64"/>
    </row>
    <row r="159" spans="1:68" x14ac:dyDescent="0.2">
      <c r="A159" s="710"/>
      <c r="B159" s="710"/>
      <c r="C159" s="710"/>
      <c r="D159" s="710"/>
      <c r="E159" s="710"/>
      <c r="F159" s="710"/>
      <c r="G159" s="710"/>
      <c r="H159" s="710"/>
      <c r="I159" s="710"/>
      <c r="J159" s="710"/>
      <c r="K159" s="710"/>
      <c r="L159" s="710"/>
      <c r="M159" s="710"/>
      <c r="N159" s="710"/>
      <c r="O159" s="711"/>
      <c r="P159" s="707" t="s">
        <v>40</v>
      </c>
      <c r="Q159" s="708"/>
      <c r="R159" s="708"/>
      <c r="S159" s="708"/>
      <c r="T159" s="708"/>
      <c r="U159" s="708"/>
      <c r="V159" s="709"/>
      <c r="W159" s="40" t="s">
        <v>0</v>
      </c>
      <c r="X159" s="41">
        <f>IFERROR(SUM(X154:X157),"0")</f>
        <v>0</v>
      </c>
      <c r="Y159" s="41">
        <f>IFERROR(SUM(Y154:Y157),"0")</f>
        <v>0</v>
      </c>
      <c r="Z159" s="40"/>
      <c r="AA159" s="64"/>
      <c r="AB159" s="64"/>
      <c r="AC159" s="64"/>
    </row>
    <row r="160" spans="1:68" ht="14.25" customHeight="1" x14ac:dyDescent="0.25">
      <c r="A160" s="701" t="s">
        <v>104</v>
      </c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  <c r="AA160" s="63"/>
      <c r="AB160" s="63"/>
      <c r="AC160" s="63"/>
    </row>
    <row r="161" spans="1:68" ht="27" customHeight="1" x14ac:dyDescent="0.25">
      <c r="A161" s="60" t="s">
        <v>289</v>
      </c>
      <c r="B161" s="60" t="s">
        <v>290</v>
      </c>
      <c r="C161" s="34">
        <v>4301032067</v>
      </c>
      <c r="D161" s="702">
        <v>4680115889132</v>
      </c>
      <c r="E161" s="702"/>
      <c r="F161" s="59">
        <v>0.04</v>
      </c>
      <c r="G161" s="35">
        <v>8</v>
      </c>
      <c r="H161" s="59">
        <v>0.32</v>
      </c>
      <c r="I161" s="59">
        <v>0.5</v>
      </c>
      <c r="J161" s="35">
        <v>330</v>
      </c>
      <c r="K161" s="35" t="s">
        <v>293</v>
      </c>
      <c r="L161" s="35" t="s">
        <v>46</v>
      </c>
      <c r="M161" s="36" t="s">
        <v>292</v>
      </c>
      <c r="N161" s="36"/>
      <c r="O161" s="35">
        <v>120</v>
      </c>
      <c r="P161" s="783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61" s="704"/>
      <c r="R161" s="704"/>
      <c r="S161" s="704"/>
      <c r="T161" s="705"/>
      <c r="U161" s="37" t="s">
        <v>46</v>
      </c>
      <c r="V161" s="37" t="s">
        <v>46</v>
      </c>
      <c r="W161" s="38" t="s">
        <v>0</v>
      </c>
      <c r="X161" s="56">
        <v>0</v>
      </c>
      <c r="Y161" s="53">
        <f>IFERROR(IF(X161="",0,CEILING((X161/$H161),1)*$H161),"")</f>
        <v>0</v>
      </c>
      <c r="Z161" s="39" t="str">
        <f>IFERROR(IF(Y161=0,"",ROUNDUP(Y161/H161,0)*0.00337),"")</f>
        <v/>
      </c>
      <c r="AA161" s="65" t="s">
        <v>46</v>
      </c>
      <c r="AB161" s="66" t="s">
        <v>46</v>
      </c>
      <c r="AC161" s="227" t="s">
        <v>291</v>
      </c>
      <c r="AG161" s="75"/>
      <c r="AJ161" s="79" t="s">
        <v>46</v>
      </c>
      <c r="AK161" s="79">
        <v>0</v>
      </c>
      <c r="BB161" s="228" t="s">
        <v>108</v>
      </c>
      <c r="BM161" s="75">
        <f>IFERROR(X161*I161/H161,"0")</f>
        <v>0</v>
      </c>
      <c r="BN161" s="75">
        <f>IFERROR(Y161*I161/H161,"0")</f>
        <v>0</v>
      </c>
      <c r="BO161" s="75">
        <f>IFERROR(1/J161*(X161/H161),"0")</f>
        <v>0</v>
      </c>
      <c r="BP161" s="75">
        <f>IFERROR(1/J161*(Y161/H161),"0")</f>
        <v>0</v>
      </c>
    </row>
    <row r="162" spans="1:68" x14ac:dyDescent="0.2">
      <c r="A162" s="710"/>
      <c r="B162" s="710"/>
      <c r="C162" s="710"/>
      <c r="D162" s="710"/>
      <c r="E162" s="710"/>
      <c r="F162" s="710"/>
      <c r="G162" s="710"/>
      <c r="H162" s="710"/>
      <c r="I162" s="710"/>
      <c r="J162" s="710"/>
      <c r="K162" s="710"/>
      <c r="L162" s="710"/>
      <c r="M162" s="710"/>
      <c r="N162" s="710"/>
      <c r="O162" s="711"/>
      <c r="P162" s="707" t="s">
        <v>40</v>
      </c>
      <c r="Q162" s="708"/>
      <c r="R162" s="708"/>
      <c r="S162" s="708"/>
      <c r="T162" s="708"/>
      <c r="U162" s="708"/>
      <c r="V162" s="709"/>
      <c r="W162" s="40" t="s">
        <v>39</v>
      </c>
      <c r="X162" s="41">
        <f>IFERROR(X161/H161,"0")</f>
        <v>0</v>
      </c>
      <c r="Y162" s="41">
        <f>IFERROR(Y161/H161,"0")</f>
        <v>0</v>
      </c>
      <c r="Z162" s="41">
        <f>IFERROR(IF(Z161="",0,Z161),"0")</f>
        <v>0</v>
      </c>
      <c r="AA162" s="64"/>
      <c r="AB162" s="64"/>
      <c r="AC162" s="64"/>
    </row>
    <row r="163" spans="1:68" x14ac:dyDescent="0.2">
      <c r="A163" s="710"/>
      <c r="B163" s="710"/>
      <c r="C163" s="710"/>
      <c r="D163" s="710"/>
      <c r="E163" s="710"/>
      <c r="F163" s="710"/>
      <c r="G163" s="710"/>
      <c r="H163" s="710"/>
      <c r="I163" s="710"/>
      <c r="J163" s="710"/>
      <c r="K163" s="710"/>
      <c r="L163" s="710"/>
      <c r="M163" s="710"/>
      <c r="N163" s="710"/>
      <c r="O163" s="711"/>
      <c r="P163" s="707" t="s">
        <v>40</v>
      </c>
      <c r="Q163" s="708"/>
      <c r="R163" s="708"/>
      <c r="S163" s="708"/>
      <c r="T163" s="708"/>
      <c r="U163" s="708"/>
      <c r="V163" s="709"/>
      <c r="W163" s="40" t="s">
        <v>0</v>
      </c>
      <c r="X163" s="41">
        <f>IFERROR(SUM(X161:X161),"0")</f>
        <v>0</v>
      </c>
      <c r="Y163" s="41">
        <f>IFERROR(SUM(Y161:Y161),"0")</f>
        <v>0</v>
      </c>
      <c r="Z163" s="40"/>
      <c r="AA163" s="64"/>
      <c r="AB163" s="64"/>
      <c r="AC163" s="64"/>
    </row>
    <row r="164" spans="1:68" ht="16.5" customHeight="1" x14ac:dyDescent="0.25">
      <c r="A164" s="700" t="s">
        <v>126</v>
      </c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  <c r="AA164" s="62"/>
      <c r="AB164" s="62"/>
      <c r="AC164" s="62"/>
    </row>
    <row r="165" spans="1:68" ht="14.25" customHeight="1" x14ac:dyDescent="0.25">
      <c r="A165" s="701" t="s">
        <v>128</v>
      </c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  <c r="AA165" s="63"/>
      <c r="AB165" s="63"/>
      <c r="AC165" s="63"/>
    </row>
    <row r="166" spans="1:68" ht="16.5" customHeight="1" x14ac:dyDescent="0.25">
      <c r="A166" s="60" t="s">
        <v>294</v>
      </c>
      <c r="B166" s="60" t="s">
        <v>295</v>
      </c>
      <c r="C166" s="34">
        <v>4301012344</v>
      </c>
      <c r="D166" s="702">
        <v>4680115888876</v>
      </c>
      <c r="E166" s="702"/>
      <c r="F166" s="59">
        <v>0.43</v>
      </c>
      <c r="G166" s="35">
        <v>6</v>
      </c>
      <c r="H166" s="59">
        <v>2.58</v>
      </c>
      <c r="I166" s="59">
        <v>2.76</v>
      </c>
      <c r="J166" s="35">
        <v>182</v>
      </c>
      <c r="K166" s="35" t="s">
        <v>91</v>
      </c>
      <c r="L166" s="35" t="s">
        <v>46</v>
      </c>
      <c r="M166" s="36" t="s">
        <v>90</v>
      </c>
      <c r="N166" s="36"/>
      <c r="O166" s="35">
        <v>55</v>
      </c>
      <c r="P166" s="784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66" s="704"/>
      <c r="R166" s="704"/>
      <c r="S166" s="704"/>
      <c r="T166" s="705"/>
      <c r="U166" s="37" t="s">
        <v>46</v>
      </c>
      <c r="V166" s="37" t="s">
        <v>46</v>
      </c>
      <c r="W166" s="38" t="s">
        <v>0</v>
      </c>
      <c r="X166" s="56">
        <v>0</v>
      </c>
      <c r="Y166" s="53">
        <f>IFERROR(IF(X166="",0,CEILING((X166/$H166),1)*$H166),"")</f>
        <v>0</v>
      </c>
      <c r="Z166" s="39" t="str">
        <f>IFERROR(IF(Y166=0,"",ROUNDUP(Y166/H166,0)*0.00651),"")</f>
        <v/>
      </c>
      <c r="AA166" s="65" t="s">
        <v>46</v>
      </c>
      <c r="AB166" s="66" t="s">
        <v>252</v>
      </c>
      <c r="AC166" s="229" t="s">
        <v>296</v>
      </c>
      <c r="AG166" s="75"/>
      <c r="AJ166" s="79" t="s">
        <v>46</v>
      </c>
      <c r="AK166" s="79">
        <v>0</v>
      </c>
      <c r="BB166" s="230" t="s">
        <v>67</v>
      </c>
      <c r="BM166" s="75">
        <f>IFERROR(X166*I166/H166,"0")</f>
        <v>0</v>
      </c>
      <c r="BN166" s="75">
        <f>IFERROR(Y166*I166/H166,"0")</f>
        <v>0</v>
      </c>
      <c r="BO166" s="75">
        <f>IFERROR(1/J166*(X166/H166),"0")</f>
        <v>0</v>
      </c>
      <c r="BP166" s="75">
        <f>IFERROR(1/J166*(Y166/H166),"0")</f>
        <v>0</v>
      </c>
    </row>
    <row r="167" spans="1:68" ht="27" customHeight="1" x14ac:dyDescent="0.25">
      <c r="A167" s="60" t="s">
        <v>297</v>
      </c>
      <c r="B167" s="60" t="s">
        <v>298</v>
      </c>
      <c r="C167" s="34">
        <v>4301012244</v>
      </c>
      <c r="D167" s="702">
        <v>4680115887374</v>
      </c>
      <c r="E167" s="702"/>
      <c r="F167" s="59">
        <v>1.6</v>
      </c>
      <c r="G167" s="35">
        <v>8</v>
      </c>
      <c r="H167" s="59">
        <v>12.8</v>
      </c>
      <c r="I167" s="59">
        <v>13.21</v>
      </c>
      <c r="J167" s="35">
        <v>64</v>
      </c>
      <c r="K167" s="35" t="s">
        <v>133</v>
      </c>
      <c r="L167" s="35" t="s">
        <v>46</v>
      </c>
      <c r="M167" s="36" t="s">
        <v>132</v>
      </c>
      <c r="N167" s="36"/>
      <c r="O167" s="35">
        <v>55</v>
      </c>
      <c r="P167" s="785" t="str">
        <f>HYPERLINK("https://abi.ru/products/Охлажденные/Вязанка/Вязанка/Вареные колбасы/P005156/","Вареные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67" s="704"/>
      <c r="R167" s="704"/>
      <c r="S167" s="704"/>
      <c r="T167" s="705"/>
      <c r="U167" s="37" t="s">
        <v>46</v>
      </c>
      <c r="V167" s="37" t="s">
        <v>46</v>
      </c>
      <c r="W167" s="38" t="s">
        <v>0</v>
      </c>
      <c r="X167" s="56">
        <v>0</v>
      </c>
      <c r="Y167" s="53">
        <f>IFERROR(IF(X167="",0,CEILING((X167/$H167),1)*$H167),"")</f>
        <v>0</v>
      </c>
      <c r="Z167" s="39" t="str">
        <f>IFERROR(IF(Y167=0,"",ROUNDUP(Y167/H167,0)*0.01898),"")</f>
        <v/>
      </c>
      <c r="AA167" s="65" t="s">
        <v>46</v>
      </c>
      <c r="AB167" s="66" t="s">
        <v>46</v>
      </c>
      <c r="AC167" s="231" t="s">
        <v>299</v>
      </c>
      <c r="AG167" s="75"/>
      <c r="AJ167" s="79" t="s">
        <v>46</v>
      </c>
      <c r="AK167" s="79">
        <v>0</v>
      </c>
      <c r="BB167" s="232" t="s">
        <v>67</v>
      </c>
      <c r="BM167" s="75">
        <f>IFERROR(X167*I167/H167,"0")</f>
        <v>0</v>
      </c>
      <c r="BN167" s="75">
        <f>IFERROR(Y167*I167/H167,"0")</f>
        <v>0</v>
      </c>
      <c r="BO167" s="75">
        <f>IFERROR(1/J167*(X167/H167),"0")</f>
        <v>0</v>
      </c>
      <c r="BP167" s="75">
        <f>IFERROR(1/J167*(Y167/H167),"0")</f>
        <v>0</v>
      </c>
    </row>
    <row r="168" spans="1:68" ht="27" customHeight="1" x14ac:dyDescent="0.25">
      <c r="A168" s="60" t="s">
        <v>300</v>
      </c>
      <c r="B168" s="60" t="s">
        <v>301</v>
      </c>
      <c r="C168" s="34">
        <v>4301011705</v>
      </c>
      <c r="D168" s="702">
        <v>4607091384604</v>
      </c>
      <c r="E168" s="702"/>
      <c r="F168" s="59">
        <v>0.4</v>
      </c>
      <c r="G168" s="35">
        <v>10</v>
      </c>
      <c r="H168" s="59">
        <v>4</v>
      </c>
      <c r="I168" s="59">
        <v>4.1900000000000004</v>
      </c>
      <c r="J168" s="35">
        <v>132</v>
      </c>
      <c r="K168" s="35" t="s">
        <v>140</v>
      </c>
      <c r="L168" s="35" t="s">
        <v>46</v>
      </c>
      <c r="M168" s="36" t="s">
        <v>132</v>
      </c>
      <c r="N168" s="36"/>
      <c r="O168" s="35">
        <v>50</v>
      </c>
      <c r="P168" s="786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68" s="704"/>
      <c r="R168" s="704"/>
      <c r="S168" s="704"/>
      <c r="T168" s="705"/>
      <c r="U168" s="37" t="s">
        <v>46</v>
      </c>
      <c r="V168" s="37" t="s">
        <v>46</v>
      </c>
      <c r="W168" s="38" t="s">
        <v>0</v>
      </c>
      <c r="X168" s="56">
        <v>0</v>
      </c>
      <c r="Y168" s="53">
        <f>IFERROR(IF(X168="",0,CEILING((X168/$H168),1)*$H168),"")</f>
        <v>0</v>
      </c>
      <c r="Z168" s="39" t="str">
        <f>IFERROR(IF(Y168=0,"",ROUNDUP(Y168/H168,0)*0.00902),"")</f>
        <v/>
      </c>
      <c r="AA168" s="65" t="s">
        <v>46</v>
      </c>
      <c r="AB168" s="66" t="s">
        <v>46</v>
      </c>
      <c r="AC168" s="233" t="s">
        <v>302</v>
      </c>
      <c r="AG168" s="75"/>
      <c r="AJ168" s="79" t="s">
        <v>46</v>
      </c>
      <c r="AK168" s="79">
        <v>0</v>
      </c>
      <c r="BB168" s="234" t="s">
        <v>67</v>
      </c>
      <c r="BM168" s="75">
        <f>IFERROR(X168*I168/H168,"0")</f>
        <v>0</v>
      </c>
      <c r="BN168" s="75">
        <f>IFERROR(Y168*I168/H168,"0")</f>
        <v>0</v>
      </c>
      <c r="BO168" s="75">
        <f>IFERROR(1/J168*(X168/H168),"0")</f>
        <v>0</v>
      </c>
      <c r="BP168" s="75">
        <f>IFERROR(1/J168*(Y168/H168),"0")</f>
        <v>0</v>
      </c>
    </row>
    <row r="169" spans="1:68" x14ac:dyDescent="0.2">
      <c r="A169" s="710"/>
      <c r="B169" s="710"/>
      <c r="C169" s="710"/>
      <c r="D169" s="710"/>
      <c r="E169" s="710"/>
      <c r="F169" s="710"/>
      <c r="G169" s="710"/>
      <c r="H169" s="710"/>
      <c r="I169" s="710"/>
      <c r="J169" s="710"/>
      <c r="K169" s="710"/>
      <c r="L169" s="710"/>
      <c r="M169" s="710"/>
      <c r="N169" s="710"/>
      <c r="O169" s="711"/>
      <c r="P169" s="707" t="s">
        <v>40</v>
      </c>
      <c r="Q169" s="708"/>
      <c r="R169" s="708"/>
      <c r="S169" s="708"/>
      <c r="T169" s="708"/>
      <c r="U169" s="708"/>
      <c r="V169" s="709"/>
      <c r="W169" s="40" t="s">
        <v>39</v>
      </c>
      <c r="X169" s="41">
        <f>IFERROR(X166/H166,"0")+IFERROR(X167/H167,"0")+IFERROR(X168/H168,"0")</f>
        <v>0</v>
      </c>
      <c r="Y169" s="41">
        <f>IFERROR(Y166/H166,"0")+IFERROR(Y167/H167,"0")+IFERROR(Y168/H168,"0")</f>
        <v>0</v>
      </c>
      <c r="Z169" s="41">
        <f>IFERROR(IF(Z166="",0,Z166),"0")+IFERROR(IF(Z167="",0,Z167),"0")+IFERROR(IF(Z168="",0,Z168),"0")</f>
        <v>0</v>
      </c>
      <c r="AA169" s="64"/>
      <c r="AB169" s="64"/>
      <c r="AC169" s="64"/>
    </row>
    <row r="170" spans="1:68" x14ac:dyDescent="0.2">
      <c r="A170" s="710"/>
      <c r="B170" s="710"/>
      <c r="C170" s="710"/>
      <c r="D170" s="710"/>
      <c r="E170" s="710"/>
      <c r="F170" s="710"/>
      <c r="G170" s="710"/>
      <c r="H170" s="710"/>
      <c r="I170" s="710"/>
      <c r="J170" s="710"/>
      <c r="K170" s="710"/>
      <c r="L170" s="710"/>
      <c r="M170" s="710"/>
      <c r="N170" s="710"/>
      <c r="O170" s="711"/>
      <c r="P170" s="707" t="s">
        <v>40</v>
      </c>
      <c r="Q170" s="708"/>
      <c r="R170" s="708"/>
      <c r="S170" s="708"/>
      <c r="T170" s="708"/>
      <c r="U170" s="708"/>
      <c r="V170" s="709"/>
      <c r="W170" s="40" t="s">
        <v>0</v>
      </c>
      <c r="X170" s="41">
        <f>IFERROR(SUM(X166:X168),"0")</f>
        <v>0</v>
      </c>
      <c r="Y170" s="41">
        <f>IFERROR(SUM(Y166:Y168),"0")</f>
        <v>0</v>
      </c>
      <c r="Z170" s="40"/>
      <c r="AA170" s="64"/>
      <c r="AB170" s="64"/>
      <c r="AC170" s="64"/>
    </row>
    <row r="171" spans="1:68" ht="14.25" customHeight="1" x14ac:dyDescent="0.25">
      <c r="A171" s="701" t="s">
        <v>164</v>
      </c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  <c r="AA171" s="63"/>
      <c r="AB171" s="63"/>
      <c r="AC171" s="63"/>
    </row>
    <row r="172" spans="1:68" ht="16.5" customHeight="1" x14ac:dyDescent="0.25">
      <c r="A172" s="60" t="s">
        <v>303</v>
      </c>
      <c r="B172" s="60" t="s">
        <v>304</v>
      </c>
      <c r="C172" s="34">
        <v>4301020439</v>
      </c>
      <c r="D172" s="702">
        <v>4680115889491</v>
      </c>
      <c r="E172" s="702"/>
      <c r="F172" s="59">
        <v>0.3</v>
      </c>
      <c r="G172" s="35">
        <v>8</v>
      </c>
      <c r="H172" s="59">
        <v>2.4</v>
      </c>
      <c r="I172" s="59">
        <v>2.5</v>
      </c>
      <c r="J172" s="35">
        <v>234</v>
      </c>
      <c r="K172" s="35" t="s">
        <v>82</v>
      </c>
      <c r="L172" s="35" t="s">
        <v>46</v>
      </c>
      <c r="M172" s="36" t="s">
        <v>132</v>
      </c>
      <c r="N172" s="36"/>
      <c r="O172" s="35">
        <v>55</v>
      </c>
      <c r="P172" s="787" t="s">
        <v>305</v>
      </c>
      <c r="Q172" s="704"/>
      <c r="R172" s="704"/>
      <c r="S172" s="704"/>
      <c r="T172" s="705"/>
      <c r="U172" s="37" t="s">
        <v>46</v>
      </c>
      <c r="V172" s="37" t="s">
        <v>46</v>
      </c>
      <c r="W172" s="38" t="s">
        <v>0</v>
      </c>
      <c r="X172" s="56">
        <v>0</v>
      </c>
      <c r="Y172" s="53">
        <f>IFERROR(IF(X172="",0,CEILING((X172/$H172),1)*$H172),"")</f>
        <v>0</v>
      </c>
      <c r="Z172" s="39" t="str">
        <f>IFERROR(IF(Y172=0,"",ROUNDUP(Y172/H172,0)*0.00502),"")</f>
        <v/>
      </c>
      <c r="AA172" s="65" t="s">
        <v>46</v>
      </c>
      <c r="AB172" s="66" t="s">
        <v>252</v>
      </c>
      <c r="AC172" s="235" t="s">
        <v>306</v>
      </c>
      <c r="AG172" s="75"/>
      <c r="AJ172" s="79" t="s">
        <v>46</v>
      </c>
      <c r="AK172" s="79">
        <v>0</v>
      </c>
      <c r="BB172" s="236" t="s">
        <v>67</v>
      </c>
      <c r="BM172" s="75">
        <f>IFERROR(X172*I172/H172,"0")</f>
        <v>0</v>
      </c>
      <c r="BN172" s="75">
        <f>IFERROR(Y172*I172/H172,"0")</f>
        <v>0</v>
      </c>
      <c r="BO172" s="75">
        <f>IFERROR(1/J172*(X172/H172),"0")</f>
        <v>0</v>
      </c>
      <c r="BP172" s="75">
        <f>IFERROR(1/J172*(Y172/H172),"0")</f>
        <v>0</v>
      </c>
    </row>
    <row r="173" spans="1:68" ht="16.5" customHeight="1" x14ac:dyDescent="0.25">
      <c r="A173" s="60" t="s">
        <v>307</v>
      </c>
      <c r="B173" s="60" t="s">
        <v>308</v>
      </c>
      <c r="C173" s="34">
        <v>4301020410</v>
      </c>
      <c r="D173" s="702">
        <v>4680115887695</v>
      </c>
      <c r="E173" s="702"/>
      <c r="F173" s="59">
        <v>0.12</v>
      </c>
      <c r="G173" s="35">
        <v>6</v>
      </c>
      <c r="H173" s="59">
        <v>0.72</v>
      </c>
      <c r="I173" s="59">
        <v>0.85</v>
      </c>
      <c r="J173" s="35">
        <v>252</v>
      </c>
      <c r="K173" s="35" t="s">
        <v>82</v>
      </c>
      <c r="L173" s="35" t="s">
        <v>46</v>
      </c>
      <c r="M173" s="36" t="s">
        <v>81</v>
      </c>
      <c r="N173" s="36"/>
      <c r="O173" s="35">
        <v>30</v>
      </c>
      <c r="P173" s="788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73" s="704"/>
      <c r="R173" s="704"/>
      <c r="S173" s="704"/>
      <c r="T173" s="705"/>
      <c r="U173" s="37" t="s">
        <v>46</v>
      </c>
      <c r="V173" s="37" t="s">
        <v>46</v>
      </c>
      <c r="W173" s="38" t="s">
        <v>0</v>
      </c>
      <c r="X173" s="56">
        <v>0</v>
      </c>
      <c r="Y173" s="53">
        <f>IFERROR(IF(X173="",0,CEILING((X173/$H173),1)*$H173),"")</f>
        <v>0</v>
      </c>
      <c r="Z173" s="39" t="str">
        <f>IFERROR(IF(Y173=0,"",ROUNDUP(Y173/H173,0)*0.00556),"")</f>
        <v/>
      </c>
      <c r="AA173" s="65" t="s">
        <v>46</v>
      </c>
      <c r="AB173" s="66" t="s">
        <v>46</v>
      </c>
      <c r="AC173" s="237" t="s">
        <v>309</v>
      </c>
      <c r="AG173" s="75"/>
      <c r="AJ173" s="79" t="s">
        <v>46</v>
      </c>
      <c r="AK173" s="79">
        <v>0</v>
      </c>
      <c r="BB173" s="238" t="s">
        <v>67</v>
      </c>
      <c r="BM173" s="75">
        <f>IFERROR(X173*I173/H173,"0")</f>
        <v>0</v>
      </c>
      <c r="BN173" s="75">
        <f>IFERROR(Y173*I173/H173,"0")</f>
        <v>0</v>
      </c>
      <c r="BO173" s="75">
        <f>IFERROR(1/J173*(X173/H173),"0")</f>
        <v>0</v>
      </c>
      <c r="BP173" s="75">
        <f>IFERROR(1/J173*(Y173/H173),"0")</f>
        <v>0</v>
      </c>
    </row>
    <row r="174" spans="1:68" x14ac:dyDescent="0.2">
      <c r="A174" s="710"/>
      <c r="B174" s="710"/>
      <c r="C174" s="710"/>
      <c r="D174" s="710"/>
      <c r="E174" s="710"/>
      <c r="F174" s="710"/>
      <c r="G174" s="710"/>
      <c r="H174" s="710"/>
      <c r="I174" s="710"/>
      <c r="J174" s="710"/>
      <c r="K174" s="710"/>
      <c r="L174" s="710"/>
      <c r="M174" s="710"/>
      <c r="N174" s="710"/>
      <c r="O174" s="711"/>
      <c r="P174" s="707" t="s">
        <v>40</v>
      </c>
      <c r="Q174" s="708"/>
      <c r="R174" s="708"/>
      <c r="S174" s="708"/>
      <c r="T174" s="708"/>
      <c r="U174" s="708"/>
      <c r="V174" s="709"/>
      <c r="W174" s="40" t="s">
        <v>39</v>
      </c>
      <c r="X174" s="41">
        <f>IFERROR(X172/H172,"0")+IFERROR(X173/H173,"0")</f>
        <v>0</v>
      </c>
      <c r="Y174" s="41">
        <f>IFERROR(Y172/H172,"0")+IFERROR(Y173/H173,"0")</f>
        <v>0</v>
      </c>
      <c r="Z174" s="41">
        <f>IFERROR(IF(Z172="",0,Z172),"0")+IFERROR(IF(Z173="",0,Z173),"0")</f>
        <v>0</v>
      </c>
      <c r="AA174" s="64"/>
      <c r="AB174" s="64"/>
      <c r="AC174" s="64"/>
    </row>
    <row r="175" spans="1:68" x14ac:dyDescent="0.2">
      <c r="A175" s="710"/>
      <c r="B175" s="710"/>
      <c r="C175" s="710"/>
      <c r="D175" s="710"/>
      <c r="E175" s="710"/>
      <c r="F175" s="710"/>
      <c r="G175" s="710"/>
      <c r="H175" s="710"/>
      <c r="I175" s="710"/>
      <c r="J175" s="710"/>
      <c r="K175" s="710"/>
      <c r="L175" s="710"/>
      <c r="M175" s="710"/>
      <c r="N175" s="710"/>
      <c r="O175" s="711"/>
      <c r="P175" s="707" t="s">
        <v>40</v>
      </c>
      <c r="Q175" s="708"/>
      <c r="R175" s="708"/>
      <c r="S175" s="708"/>
      <c r="T175" s="708"/>
      <c r="U175" s="708"/>
      <c r="V175" s="709"/>
      <c r="W175" s="40" t="s">
        <v>0</v>
      </c>
      <c r="X175" s="41">
        <f>IFERROR(SUM(X172:X173),"0")</f>
        <v>0</v>
      </c>
      <c r="Y175" s="41">
        <f>IFERROR(SUM(Y172:Y173),"0")</f>
        <v>0</v>
      </c>
      <c r="Z175" s="40"/>
      <c r="AA175" s="64"/>
      <c r="AB175" s="64"/>
      <c r="AC175" s="64"/>
    </row>
    <row r="176" spans="1:68" ht="14.25" customHeight="1" x14ac:dyDescent="0.25">
      <c r="A176" s="701" t="s">
        <v>77</v>
      </c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  <c r="AA176" s="63"/>
      <c r="AB176" s="63"/>
      <c r="AC176" s="63"/>
    </row>
    <row r="177" spans="1:68" ht="27" customHeight="1" x14ac:dyDescent="0.25">
      <c r="A177" s="60" t="s">
        <v>310</v>
      </c>
      <c r="B177" s="60" t="s">
        <v>311</v>
      </c>
      <c r="C177" s="34">
        <v>4301031496</v>
      </c>
      <c r="D177" s="702">
        <v>4680115887428</v>
      </c>
      <c r="E177" s="702"/>
      <c r="F177" s="59">
        <v>0.7</v>
      </c>
      <c r="G177" s="35">
        <v>5</v>
      </c>
      <c r="H177" s="59">
        <v>3.5</v>
      </c>
      <c r="I177" s="59">
        <v>3.69</v>
      </c>
      <c r="J177" s="35">
        <v>132</v>
      </c>
      <c r="K177" s="35" t="s">
        <v>140</v>
      </c>
      <c r="L177" s="35" t="s">
        <v>46</v>
      </c>
      <c r="M177" s="36" t="s">
        <v>81</v>
      </c>
      <c r="N177" s="36"/>
      <c r="O177" s="35">
        <v>40</v>
      </c>
      <c r="P177" s="789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77" s="704"/>
      <c r="R177" s="704"/>
      <c r="S177" s="704"/>
      <c r="T177" s="705"/>
      <c r="U177" s="37" t="s">
        <v>46</v>
      </c>
      <c r="V177" s="37" t="s">
        <v>46</v>
      </c>
      <c r="W177" s="38" t="s">
        <v>0</v>
      </c>
      <c r="X177" s="56">
        <v>0</v>
      </c>
      <c r="Y177" s="53">
        <f t="shared" ref="Y177:Y187" si="10">IFERROR(IF(X177="",0,CEILING((X177/$H177),1)*$H177),"")</f>
        <v>0</v>
      </c>
      <c r="Z177" s="39" t="str">
        <f>IFERROR(IF(Y177=0,"",ROUNDUP(Y177/H177,0)*0.00902),"")</f>
        <v/>
      </c>
      <c r="AA177" s="65" t="s">
        <v>46</v>
      </c>
      <c r="AB177" s="66" t="s">
        <v>46</v>
      </c>
      <c r="AC177" s="239" t="s">
        <v>312</v>
      </c>
      <c r="AG177" s="75"/>
      <c r="AJ177" s="79" t="s">
        <v>46</v>
      </c>
      <c r="AK177" s="79">
        <v>0</v>
      </c>
      <c r="BB177" s="240" t="s">
        <v>67</v>
      </c>
      <c r="BM177" s="75">
        <f t="shared" ref="BM177:BM187" si="11">IFERROR(X177*I177/H177,"0")</f>
        <v>0</v>
      </c>
      <c r="BN177" s="75">
        <f t="shared" ref="BN177:BN187" si="12">IFERROR(Y177*I177/H177,"0")</f>
        <v>0</v>
      </c>
      <c r="BO177" s="75">
        <f t="shared" ref="BO177:BO187" si="13">IFERROR(1/J177*(X177/H177),"0")</f>
        <v>0</v>
      </c>
      <c r="BP177" s="75">
        <f t="shared" ref="BP177:BP187" si="14">IFERROR(1/J177*(Y177/H177),"0")</f>
        <v>0</v>
      </c>
    </row>
    <row r="178" spans="1:68" ht="27" customHeight="1" x14ac:dyDescent="0.25">
      <c r="A178" s="60" t="s">
        <v>313</v>
      </c>
      <c r="B178" s="60" t="s">
        <v>314</v>
      </c>
      <c r="C178" s="34">
        <v>4301031509</v>
      </c>
      <c r="D178" s="702">
        <v>4680115889170</v>
      </c>
      <c r="E178" s="702"/>
      <c r="F178" s="59">
        <v>0.7</v>
      </c>
      <c r="G178" s="35">
        <v>5</v>
      </c>
      <c r="H178" s="59">
        <v>3.5</v>
      </c>
      <c r="I178" s="59">
        <v>3.7650000000000001</v>
      </c>
      <c r="J178" s="35">
        <v>132</v>
      </c>
      <c r="K178" s="35" t="s">
        <v>140</v>
      </c>
      <c r="L178" s="35" t="s">
        <v>46</v>
      </c>
      <c r="M178" s="36" t="s">
        <v>81</v>
      </c>
      <c r="N178" s="36"/>
      <c r="O178" s="35">
        <v>45</v>
      </c>
      <c r="P178" s="790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78" s="704"/>
      <c r="R178" s="704"/>
      <c r="S178" s="704"/>
      <c r="T178" s="705"/>
      <c r="U178" s="37" t="s">
        <v>46</v>
      </c>
      <c r="V178" s="37" t="s">
        <v>46</v>
      </c>
      <c r="W178" s="38" t="s">
        <v>0</v>
      </c>
      <c r="X178" s="56">
        <v>0</v>
      </c>
      <c r="Y178" s="53">
        <f t="shared" si="10"/>
        <v>0</v>
      </c>
      <c r="Z178" s="39" t="str">
        <f>IFERROR(IF(Y178=0,"",ROUNDUP(Y178/H178,0)*0.00902),"")</f>
        <v/>
      </c>
      <c r="AA178" s="65" t="s">
        <v>46</v>
      </c>
      <c r="AB178" s="66" t="s">
        <v>46</v>
      </c>
      <c r="AC178" s="241" t="s">
        <v>315</v>
      </c>
      <c r="AG178" s="75"/>
      <c r="AJ178" s="79" t="s">
        <v>46</v>
      </c>
      <c r="AK178" s="79">
        <v>0</v>
      </c>
      <c r="BB178" s="242" t="s">
        <v>67</v>
      </c>
      <c r="BM178" s="75">
        <f t="shared" si="11"/>
        <v>0</v>
      </c>
      <c r="BN178" s="75">
        <f t="shared" si="12"/>
        <v>0</v>
      </c>
      <c r="BO178" s="75">
        <f t="shared" si="13"/>
        <v>0</v>
      </c>
      <c r="BP178" s="75">
        <f t="shared" si="14"/>
        <v>0</v>
      </c>
    </row>
    <row r="179" spans="1:68" ht="27" customHeight="1" x14ac:dyDescent="0.25">
      <c r="A179" s="60" t="s">
        <v>316</v>
      </c>
      <c r="B179" s="60" t="s">
        <v>317</v>
      </c>
      <c r="C179" s="34">
        <v>4301031498</v>
      </c>
      <c r="D179" s="702">
        <v>4680115887398</v>
      </c>
      <c r="E179" s="702"/>
      <c r="F179" s="59">
        <v>0.7</v>
      </c>
      <c r="G179" s="35">
        <v>5</v>
      </c>
      <c r="H179" s="59">
        <v>3.5</v>
      </c>
      <c r="I179" s="59">
        <v>3.69</v>
      </c>
      <c r="J179" s="35">
        <v>132</v>
      </c>
      <c r="K179" s="35" t="s">
        <v>140</v>
      </c>
      <c r="L179" s="35" t="s">
        <v>46</v>
      </c>
      <c r="M179" s="36" t="s">
        <v>81</v>
      </c>
      <c r="N179" s="36"/>
      <c r="O179" s="35">
        <v>40</v>
      </c>
      <c r="P179" s="791" t="str">
        <f>HYPERLINK("https://abi.ru/products/Охлажденные/Вязанка/Вязанка/Копченые колбасы/P005377/","Копченые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9" s="704"/>
      <c r="R179" s="704"/>
      <c r="S179" s="704"/>
      <c r="T179" s="705"/>
      <c r="U179" s="37" t="s">
        <v>46</v>
      </c>
      <c r="V179" s="37" t="s">
        <v>46</v>
      </c>
      <c r="W179" s="38" t="s">
        <v>0</v>
      </c>
      <c r="X179" s="56">
        <v>0</v>
      </c>
      <c r="Y179" s="53">
        <f t="shared" si="10"/>
        <v>0</v>
      </c>
      <c r="Z179" s="39" t="str">
        <f>IFERROR(IF(Y179=0,"",ROUNDUP(Y179/H179,0)*0.00902),"")</f>
        <v/>
      </c>
      <c r="AA179" s="65" t="s">
        <v>46</v>
      </c>
      <c r="AB179" s="66" t="s">
        <v>46</v>
      </c>
      <c r="AC179" s="243" t="s">
        <v>318</v>
      </c>
      <c r="AG179" s="75"/>
      <c r="AJ179" s="79" t="s">
        <v>46</v>
      </c>
      <c r="AK179" s="79">
        <v>0</v>
      </c>
      <c r="BB179" s="244" t="s">
        <v>67</v>
      </c>
      <c r="BM179" s="75">
        <f t="shared" si="11"/>
        <v>0</v>
      </c>
      <c r="BN179" s="75">
        <f t="shared" si="12"/>
        <v>0</v>
      </c>
      <c r="BO179" s="75">
        <f t="shared" si="13"/>
        <v>0</v>
      </c>
      <c r="BP179" s="75">
        <f t="shared" si="14"/>
        <v>0</v>
      </c>
    </row>
    <row r="180" spans="1:68" ht="27" customHeight="1" x14ac:dyDescent="0.25">
      <c r="A180" s="60" t="s">
        <v>319</v>
      </c>
      <c r="B180" s="60" t="s">
        <v>320</v>
      </c>
      <c r="C180" s="34">
        <v>4301031497</v>
      </c>
      <c r="D180" s="702">
        <v>4680115887336</v>
      </c>
      <c r="E180" s="702"/>
      <c r="F180" s="59">
        <v>0.7</v>
      </c>
      <c r="G180" s="35">
        <v>5</v>
      </c>
      <c r="H180" s="59">
        <v>3.5</v>
      </c>
      <c r="I180" s="59">
        <v>3.69</v>
      </c>
      <c r="J180" s="35">
        <v>132</v>
      </c>
      <c r="K180" s="35" t="s">
        <v>140</v>
      </c>
      <c r="L180" s="35" t="s">
        <v>46</v>
      </c>
      <c r="M180" s="36" t="s">
        <v>81</v>
      </c>
      <c r="N180" s="36"/>
      <c r="O180" s="35">
        <v>40</v>
      </c>
      <c r="P180" s="792" t="str">
        <f>HYPERLINK("https://abi.ru/products/Охлажденные/Вязанка/Вязанка/Копченые колбасы/P005376/","Копченые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80" s="704"/>
      <c r="R180" s="704"/>
      <c r="S180" s="704"/>
      <c r="T180" s="705"/>
      <c r="U180" s="37" t="s">
        <v>46</v>
      </c>
      <c r="V180" s="37" t="s">
        <v>46</v>
      </c>
      <c r="W180" s="38" t="s">
        <v>0</v>
      </c>
      <c r="X180" s="56">
        <v>0</v>
      </c>
      <c r="Y180" s="53">
        <f t="shared" si="10"/>
        <v>0</v>
      </c>
      <c r="Z180" s="39" t="str">
        <f>IFERROR(IF(Y180=0,"",ROUNDUP(Y180/H180,0)*0.00902),"")</f>
        <v/>
      </c>
      <c r="AA180" s="65" t="s">
        <v>46</v>
      </c>
      <c r="AB180" s="66" t="s">
        <v>46</v>
      </c>
      <c r="AC180" s="245" t="s">
        <v>321</v>
      </c>
      <c r="AG180" s="75"/>
      <c r="AJ180" s="79" t="s">
        <v>46</v>
      </c>
      <c r="AK180" s="79">
        <v>0</v>
      </c>
      <c r="BB180" s="246" t="s">
        <v>67</v>
      </c>
      <c r="BM180" s="75">
        <f t="shared" si="11"/>
        <v>0</v>
      </c>
      <c r="BN180" s="75">
        <f t="shared" si="12"/>
        <v>0</v>
      </c>
      <c r="BO180" s="75">
        <f t="shared" si="13"/>
        <v>0</v>
      </c>
      <c r="BP180" s="75">
        <f t="shared" si="14"/>
        <v>0</v>
      </c>
    </row>
    <row r="181" spans="1:68" ht="16.5" customHeight="1" x14ac:dyDescent="0.25">
      <c r="A181" s="60" t="s">
        <v>322</v>
      </c>
      <c r="B181" s="60" t="s">
        <v>323</v>
      </c>
      <c r="C181" s="34">
        <v>4301032049</v>
      </c>
      <c r="D181" s="702">
        <v>4680115887787</v>
      </c>
      <c r="E181" s="702"/>
      <c r="F181" s="59">
        <v>0.09</v>
      </c>
      <c r="G181" s="35">
        <v>10</v>
      </c>
      <c r="H181" s="59">
        <v>0.9</v>
      </c>
      <c r="I181" s="59">
        <v>1.1100000000000001</v>
      </c>
      <c r="J181" s="35">
        <v>336</v>
      </c>
      <c r="K181" s="35" t="s">
        <v>137</v>
      </c>
      <c r="L181" s="35" t="s">
        <v>46</v>
      </c>
      <c r="M181" s="36" t="s">
        <v>81</v>
      </c>
      <c r="N181" s="36"/>
      <c r="O181" s="35">
        <v>45</v>
      </c>
      <c r="P181" s="793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81" s="704"/>
      <c r="R181" s="704"/>
      <c r="S181" s="704"/>
      <c r="T181" s="705"/>
      <c r="U181" s="37" t="s">
        <v>46</v>
      </c>
      <c r="V181" s="37" t="s">
        <v>46</v>
      </c>
      <c r="W181" s="38" t="s">
        <v>0</v>
      </c>
      <c r="X181" s="56">
        <v>0</v>
      </c>
      <c r="Y181" s="53">
        <f t="shared" si="10"/>
        <v>0</v>
      </c>
      <c r="Z181" s="39" t="str">
        <f>IFERROR(IF(Y181=0,"",ROUNDUP(Y181/H181,0)*0.00417),"")</f>
        <v/>
      </c>
      <c r="AA181" s="65" t="s">
        <v>46</v>
      </c>
      <c r="AB181" s="66" t="s">
        <v>46</v>
      </c>
      <c r="AC181" s="247" t="s">
        <v>324</v>
      </c>
      <c r="AG181" s="75"/>
      <c r="AJ181" s="79" t="s">
        <v>46</v>
      </c>
      <c r="AK181" s="79">
        <v>0</v>
      </c>
      <c r="BB181" s="248" t="s">
        <v>67</v>
      </c>
      <c r="BM181" s="75">
        <f t="shared" si="11"/>
        <v>0</v>
      </c>
      <c r="BN181" s="75">
        <f t="shared" si="12"/>
        <v>0</v>
      </c>
      <c r="BO181" s="75">
        <f t="shared" si="13"/>
        <v>0</v>
      </c>
      <c r="BP181" s="75">
        <f t="shared" si="14"/>
        <v>0</v>
      </c>
    </row>
    <row r="182" spans="1:68" ht="27" customHeight="1" x14ac:dyDescent="0.25">
      <c r="A182" s="60" t="s">
        <v>325</v>
      </c>
      <c r="B182" s="60" t="s">
        <v>326</v>
      </c>
      <c r="C182" s="34">
        <v>4301031448</v>
      </c>
      <c r="D182" s="702">
        <v>4680115887503</v>
      </c>
      <c r="E182" s="702"/>
      <c r="F182" s="59">
        <v>0.28000000000000003</v>
      </c>
      <c r="G182" s="35">
        <v>6</v>
      </c>
      <c r="H182" s="59">
        <v>1.68</v>
      </c>
      <c r="I182" s="59">
        <v>1.78</v>
      </c>
      <c r="J182" s="35">
        <v>234</v>
      </c>
      <c r="K182" s="35" t="s">
        <v>82</v>
      </c>
      <c r="L182" s="35" t="s">
        <v>46</v>
      </c>
      <c r="M182" s="36" t="s">
        <v>81</v>
      </c>
      <c r="N182" s="36"/>
      <c r="O182" s="35">
        <v>40</v>
      </c>
      <c r="P182" s="794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82" s="704"/>
      <c r="R182" s="704"/>
      <c r="S182" s="704"/>
      <c r="T182" s="705"/>
      <c r="U182" s="37" t="s">
        <v>46</v>
      </c>
      <c r="V182" s="37" t="s">
        <v>46</v>
      </c>
      <c r="W182" s="38" t="s">
        <v>0</v>
      </c>
      <c r="X182" s="56">
        <v>0</v>
      </c>
      <c r="Y182" s="53">
        <f t="shared" si="10"/>
        <v>0</v>
      </c>
      <c r="Z182" s="39" t="str">
        <f>IFERROR(IF(Y182=0,"",ROUNDUP(Y182/H182,0)*0.00502),"")</f>
        <v/>
      </c>
      <c r="AA182" s="65" t="s">
        <v>46</v>
      </c>
      <c r="AB182" s="66" t="s">
        <v>46</v>
      </c>
      <c r="AC182" s="249" t="s">
        <v>312</v>
      </c>
      <c r="AG182" s="75"/>
      <c r="AJ182" s="79" t="s">
        <v>46</v>
      </c>
      <c r="AK182" s="79">
        <v>0</v>
      </c>
      <c r="BB182" s="250" t="s">
        <v>67</v>
      </c>
      <c r="BM182" s="75">
        <f t="shared" si="11"/>
        <v>0</v>
      </c>
      <c r="BN182" s="75">
        <f t="shared" si="12"/>
        <v>0</v>
      </c>
      <c r="BO182" s="75">
        <f t="shared" si="13"/>
        <v>0</v>
      </c>
      <c r="BP182" s="75">
        <f t="shared" si="14"/>
        <v>0</v>
      </c>
    </row>
    <row r="183" spans="1:68" ht="27" customHeight="1" x14ac:dyDescent="0.25">
      <c r="A183" s="60" t="s">
        <v>327</v>
      </c>
      <c r="B183" s="60" t="s">
        <v>328</v>
      </c>
      <c r="C183" s="34">
        <v>4301031389</v>
      </c>
      <c r="D183" s="702">
        <v>4680115887763</v>
      </c>
      <c r="E183" s="702"/>
      <c r="F183" s="59">
        <v>0.09</v>
      </c>
      <c r="G183" s="35">
        <v>10</v>
      </c>
      <c r="H183" s="59">
        <v>0.9</v>
      </c>
      <c r="I183" s="59">
        <v>1.1100000000000001</v>
      </c>
      <c r="J183" s="35">
        <v>336</v>
      </c>
      <c r="K183" s="35" t="s">
        <v>137</v>
      </c>
      <c r="L183" s="35" t="s">
        <v>46</v>
      </c>
      <c r="M183" s="36" t="s">
        <v>81</v>
      </c>
      <c r="N183" s="36"/>
      <c r="O183" s="35">
        <v>45</v>
      </c>
      <c r="P183" s="795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3" s="704"/>
      <c r="R183" s="704"/>
      <c r="S183" s="704"/>
      <c r="T183" s="705"/>
      <c r="U183" s="37" t="s">
        <v>46</v>
      </c>
      <c r="V183" s="37" t="s">
        <v>46</v>
      </c>
      <c r="W183" s="38" t="s">
        <v>0</v>
      </c>
      <c r="X183" s="56">
        <v>0</v>
      </c>
      <c r="Y183" s="53">
        <f t="shared" si="10"/>
        <v>0</v>
      </c>
      <c r="Z183" s="39" t="str">
        <f>IFERROR(IF(Y183=0,"",ROUNDUP(Y183/H183,0)*0.00417),"")</f>
        <v/>
      </c>
      <c r="AA183" s="65" t="s">
        <v>46</v>
      </c>
      <c r="AB183" s="66" t="s">
        <v>46</v>
      </c>
      <c r="AC183" s="251" t="s">
        <v>329</v>
      </c>
      <c r="AG183" s="75"/>
      <c r="AJ183" s="79" t="s">
        <v>46</v>
      </c>
      <c r="AK183" s="79">
        <v>0</v>
      </c>
      <c r="BB183" s="252" t="s">
        <v>67</v>
      </c>
      <c r="BM183" s="75">
        <f t="shared" si="11"/>
        <v>0</v>
      </c>
      <c r="BN183" s="75">
        <f t="shared" si="12"/>
        <v>0</v>
      </c>
      <c r="BO183" s="75">
        <f t="shared" si="13"/>
        <v>0</v>
      </c>
      <c r="BP183" s="75">
        <f t="shared" si="14"/>
        <v>0</v>
      </c>
    </row>
    <row r="184" spans="1:68" ht="27" customHeight="1" x14ac:dyDescent="0.25">
      <c r="A184" s="60" t="s">
        <v>327</v>
      </c>
      <c r="B184" s="60" t="s">
        <v>330</v>
      </c>
      <c r="C184" s="34">
        <v>4301031510</v>
      </c>
      <c r="D184" s="702">
        <v>4680115887763</v>
      </c>
      <c r="E184" s="702"/>
      <c r="F184" s="59">
        <v>0.09</v>
      </c>
      <c r="G184" s="35">
        <v>8</v>
      </c>
      <c r="H184" s="59">
        <v>0.72</v>
      </c>
      <c r="I184" s="59">
        <v>0.90800000000000003</v>
      </c>
      <c r="J184" s="35">
        <v>336</v>
      </c>
      <c r="K184" s="35" t="s">
        <v>137</v>
      </c>
      <c r="L184" s="35" t="s">
        <v>46</v>
      </c>
      <c r="M184" s="36" t="s">
        <v>81</v>
      </c>
      <c r="N184" s="36"/>
      <c r="O184" s="35">
        <v>45</v>
      </c>
      <c r="P184" s="796" t="str">
        <f>HYPERLINK("https://abi.ru/products/Охлажденные/Вязанка/Вязанка/Копченые колбасы/P005504/","Копченые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4" s="704"/>
      <c r="R184" s="704"/>
      <c r="S184" s="704"/>
      <c r="T184" s="705"/>
      <c r="U184" s="37" t="s">
        <v>46</v>
      </c>
      <c r="V184" s="37" t="s">
        <v>46</v>
      </c>
      <c r="W184" s="38" t="s">
        <v>0</v>
      </c>
      <c r="X184" s="56">
        <v>0</v>
      </c>
      <c r="Y184" s="53">
        <f t="shared" si="10"/>
        <v>0</v>
      </c>
      <c r="Z184" s="39" t="str">
        <f>IFERROR(IF(Y184=0,"",ROUNDUP(Y184/H184,0)*0.00417),"")</f>
        <v/>
      </c>
      <c r="AA184" s="65" t="s">
        <v>46</v>
      </c>
      <c r="AB184" s="66" t="s">
        <v>46</v>
      </c>
      <c r="AC184" s="253" t="s">
        <v>329</v>
      </c>
      <c r="AG184" s="75"/>
      <c r="AJ184" s="79" t="s">
        <v>46</v>
      </c>
      <c r="AK184" s="79">
        <v>0</v>
      </c>
      <c r="BB184" s="254" t="s">
        <v>67</v>
      </c>
      <c r="BM184" s="75">
        <f t="shared" si="11"/>
        <v>0</v>
      </c>
      <c r="BN184" s="75">
        <f t="shared" si="12"/>
        <v>0</v>
      </c>
      <c r="BO184" s="75">
        <f t="shared" si="13"/>
        <v>0</v>
      </c>
      <c r="BP184" s="75">
        <f t="shared" si="14"/>
        <v>0</v>
      </c>
    </row>
    <row r="185" spans="1:68" ht="27" customHeight="1" x14ac:dyDescent="0.25">
      <c r="A185" s="60" t="s">
        <v>331</v>
      </c>
      <c r="B185" s="60" t="s">
        <v>332</v>
      </c>
      <c r="C185" s="34">
        <v>4301031454</v>
      </c>
      <c r="D185" s="702">
        <v>4680115887480</v>
      </c>
      <c r="E185" s="702"/>
      <c r="F185" s="59">
        <v>0.28000000000000003</v>
      </c>
      <c r="G185" s="35">
        <v>6</v>
      </c>
      <c r="H185" s="59">
        <v>1.68</v>
      </c>
      <c r="I185" s="59">
        <v>1.78</v>
      </c>
      <c r="J185" s="35">
        <v>234</v>
      </c>
      <c r="K185" s="35" t="s">
        <v>82</v>
      </c>
      <c r="L185" s="35" t="s">
        <v>46</v>
      </c>
      <c r="M185" s="36" t="s">
        <v>81</v>
      </c>
      <c r="N185" s="36"/>
      <c r="O185" s="35">
        <v>40</v>
      </c>
      <c r="P185" s="797" t="str">
        <f>HYPERLINK("https://abi.ru/products/Охлажденные/Вязанка/Вязанка/Копченые колбасы/P005169/","Копченые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85" s="704"/>
      <c r="R185" s="704"/>
      <c r="S185" s="704"/>
      <c r="T185" s="705"/>
      <c r="U185" s="37" t="s">
        <v>46</v>
      </c>
      <c r="V185" s="37" t="s">
        <v>46</v>
      </c>
      <c r="W185" s="38" t="s">
        <v>0</v>
      </c>
      <c r="X185" s="56">
        <v>0</v>
      </c>
      <c r="Y185" s="53">
        <f t="shared" si="10"/>
        <v>0</v>
      </c>
      <c r="Z185" s="39" t="str">
        <f>IFERROR(IF(Y185=0,"",ROUNDUP(Y185/H185,0)*0.00502),"")</f>
        <v/>
      </c>
      <c r="AA185" s="65" t="s">
        <v>46</v>
      </c>
      <c r="AB185" s="66" t="s">
        <v>46</v>
      </c>
      <c r="AC185" s="255" t="s">
        <v>318</v>
      </c>
      <c r="AG185" s="75"/>
      <c r="AJ185" s="79" t="s">
        <v>46</v>
      </c>
      <c r="AK185" s="79">
        <v>0</v>
      </c>
      <c r="BB185" s="256" t="s">
        <v>67</v>
      </c>
      <c r="BM185" s="75">
        <f t="shared" si="11"/>
        <v>0</v>
      </c>
      <c r="BN185" s="75">
        <f t="shared" si="12"/>
        <v>0</v>
      </c>
      <c r="BO185" s="75">
        <f t="shared" si="13"/>
        <v>0</v>
      </c>
      <c r="BP185" s="75">
        <f t="shared" si="14"/>
        <v>0</v>
      </c>
    </row>
    <row r="186" spans="1:68" ht="27" customHeight="1" x14ac:dyDescent="0.25">
      <c r="A186" s="60" t="s">
        <v>333</v>
      </c>
      <c r="B186" s="60" t="s">
        <v>334</v>
      </c>
      <c r="C186" s="34">
        <v>4301031434</v>
      </c>
      <c r="D186" s="702">
        <v>4680115888067</v>
      </c>
      <c r="E186" s="702"/>
      <c r="F186" s="59">
        <v>0.09</v>
      </c>
      <c r="G186" s="35">
        <v>10</v>
      </c>
      <c r="H186" s="59">
        <v>0.9</v>
      </c>
      <c r="I186" s="59">
        <v>1</v>
      </c>
      <c r="J186" s="35">
        <v>336</v>
      </c>
      <c r="K186" s="35" t="s">
        <v>137</v>
      </c>
      <c r="L186" s="35" t="s">
        <v>46</v>
      </c>
      <c r="M186" s="36" t="s">
        <v>81</v>
      </c>
      <c r="N186" s="36"/>
      <c r="O186" s="35">
        <v>45</v>
      </c>
      <c r="P186" s="798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86" s="704"/>
      <c r="R186" s="704"/>
      <c r="S186" s="704"/>
      <c r="T186" s="705"/>
      <c r="U186" s="37" t="s">
        <v>46</v>
      </c>
      <c r="V186" s="37" t="s">
        <v>46</v>
      </c>
      <c r="W186" s="38" t="s">
        <v>0</v>
      </c>
      <c r="X186" s="56">
        <v>0</v>
      </c>
      <c r="Y186" s="53">
        <f t="shared" si="10"/>
        <v>0</v>
      </c>
      <c r="Z186" s="39" t="str">
        <f>IFERROR(IF(Y186=0,"",ROUNDUP(Y186/H186,0)*0.00417),"")</f>
        <v/>
      </c>
      <c r="AA186" s="65" t="s">
        <v>46</v>
      </c>
      <c r="AB186" s="66" t="s">
        <v>46</v>
      </c>
      <c r="AC186" s="257" t="s">
        <v>335</v>
      </c>
      <c r="AG186" s="75"/>
      <c r="AJ186" s="79" t="s">
        <v>46</v>
      </c>
      <c r="AK186" s="79">
        <v>0</v>
      </c>
      <c r="BB186" s="258" t="s">
        <v>67</v>
      </c>
      <c r="BM186" s="75">
        <f t="shared" si="11"/>
        <v>0</v>
      </c>
      <c r="BN186" s="75">
        <f t="shared" si="12"/>
        <v>0</v>
      </c>
      <c r="BO186" s="75">
        <f t="shared" si="13"/>
        <v>0</v>
      </c>
      <c r="BP186" s="75">
        <f t="shared" si="14"/>
        <v>0</v>
      </c>
    </row>
    <row r="187" spans="1:68" ht="27" customHeight="1" x14ac:dyDescent="0.25">
      <c r="A187" s="60" t="s">
        <v>336</v>
      </c>
      <c r="B187" s="60" t="s">
        <v>337</v>
      </c>
      <c r="C187" s="34">
        <v>4301031451</v>
      </c>
      <c r="D187" s="702">
        <v>4680115887435</v>
      </c>
      <c r="E187" s="702"/>
      <c r="F187" s="59">
        <v>0.28000000000000003</v>
      </c>
      <c r="G187" s="35">
        <v>6</v>
      </c>
      <c r="H187" s="59">
        <v>1.68</v>
      </c>
      <c r="I187" s="59">
        <v>1.78</v>
      </c>
      <c r="J187" s="35">
        <v>234</v>
      </c>
      <c r="K187" s="35" t="s">
        <v>82</v>
      </c>
      <c r="L187" s="35" t="s">
        <v>46</v>
      </c>
      <c r="M187" s="36" t="s">
        <v>81</v>
      </c>
      <c r="N187" s="36"/>
      <c r="O187" s="35">
        <v>40</v>
      </c>
      <c r="P187" s="799" t="str">
        <f>HYPERLINK("https://abi.ru/products/Охлажденные/Вязанка/Вязанка/Копченые колбасы/P005166/","Копченые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87" s="704"/>
      <c r="R187" s="704"/>
      <c r="S187" s="704"/>
      <c r="T187" s="705"/>
      <c r="U187" s="37" t="s">
        <v>46</v>
      </c>
      <c r="V187" s="37" t="s">
        <v>46</v>
      </c>
      <c r="W187" s="38" t="s">
        <v>0</v>
      </c>
      <c r="X187" s="56">
        <v>0</v>
      </c>
      <c r="Y187" s="53">
        <f t="shared" si="10"/>
        <v>0</v>
      </c>
      <c r="Z187" s="39" t="str">
        <f>IFERROR(IF(Y187=0,"",ROUNDUP(Y187/H187,0)*0.00502),"")</f>
        <v/>
      </c>
      <c r="AA187" s="65" t="s">
        <v>46</v>
      </c>
      <c r="AB187" s="66" t="s">
        <v>46</v>
      </c>
      <c r="AC187" s="259" t="s">
        <v>321</v>
      </c>
      <c r="AG187" s="75"/>
      <c r="AJ187" s="79" t="s">
        <v>46</v>
      </c>
      <c r="AK187" s="79">
        <v>0</v>
      </c>
      <c r="BB187" s="260" t="s">
        <v>67</v>
      </c>
      <c r="BM187" s="75">
        <f t="shared" si="11"/>
        <v>0</v>
      </c>
      <c r="BN187" s="75">
        <f t="shared" si="12"/>
        <v>0</v>
      </c>
      <c r="BO187" s="75">
        <f t="shared" si="13"/>
        <v>0</v>
      </c>
      <c r="BP187" s="75">
        <f t="shared" si="14"/>
        <v>0</v>
      </c>
    </row>
    <row r="188" spans="1:68" x14ac:dyDescent="0.2">
      <c r="A188" s="710"/>
      <c r="B188" s="710"/>
      <c r="C188" s="710"/>
      <c r="D188" s="710"/>
      <c r="E188" s="710"/>
      <c r="F188" s="710"/>
      <c r="G188" s="710"/>
      <c r="H188" s="710"/>
      <c r="I188" s="710"/>
      <c r="J188" s="710"/>
      <c r="K188" s="710"/>
      <c r="L188" s="710"/>
      <c r="M188" s="710"/>
      <c r="N188" s="710"/>
      <c r="O188" s="711"/>
      <c r="P188" s="707" t="s">
        <v>40</v>
      </c>
      <c r="Q188" s="708"/>
      <c r="R188" s="708"/>
      <c r="S188" s="708"/>
      <c r="T188" s="708"/>
      <c r="U188" s="708"/>
      <c r="V188" s="709"/>
      <c r="W188" s="40" t="s">
        <v>39</v>
      </c>
      <c r="X188" s="41">
        <f>IFERROR(X177/H177,"0")+IFERROR(X178/H178,"0")+IFERROR(X179/H179,"0")+IFERROR(X180/H180,"0")+IFERROR(X181/H181,"0")+IFERROR(X182/H182,"0")+IFERROR(X183/H183,"0")+IFERROR(X184/H184,"0")+IFERROR(X185/H185,"0")+IFERROR(X186/H186,"0")+IFERROR(X187/H187,"0")</f>
        <v>0</v>
      </c>
      <c r="Y188" s="41">
        <f>IFERROR(Y177/H177,"0")+IFERROR(Y178/H178,"0")+IFERROR(Y179/H179,"0")+IFERROR(Y180/H180,"0")+IFERROR(Y181/H181,"0")+IFERROR(Y182/H182,"0")+IFERROR(Y183/H183,"0")+IFERROR(Y184/H184,"0")+IFERROR(Y185/H185,"0")+IFERROR(Y186/H186,"0")+IFERROR(Y187/H187,"0")</f>
        <v>0</v>
      </c>
      <c r="Z188" s="41">
        <f>IFERROR(IF(Z177="",0,Z177),"0")+IFERROR(IF(Z178="",0,Z178),"0")+IFERROR(IF(Z179="",0,Z179),"0")+IFERROR(IF(Z180="",0,Z180),"0")+IFERROR(IF(Z181="",0,Z181),"0")+IFERROR(IF(Z182="",0,Z182),"0")+IFERROR(IF(Z183="",0,Z183),"0")+IFERROR(IF(Z184="",0,Z184),"0")+IFERROR(IF(Z185="",0,Z185),"0")+IFERROR(IF(Z186="",0,Z186),"0")+IFERROR(IF(Z187="",0,Z187),"0")</f>
        <v>0</v>
      </c>
      <c r="AA188" s="64"/>
      <c r="AB188" s="64"/>
      <c r="AC188" s="64"/>
    </row>
    <row r="189" spans="1:68" x14ac:dyDescent="0.2">
      <c r="A189" s="710"/>
      <c r="B189" s="710"/>
      <c r="C189" s="710"/>
      <c r="D189" s="710"/>
      <c r="E189" s="710"/>
      <c r="F189" s="710"/>
      <c r="G189" s="710"/>
      <c r="H189" s="710"/>
      <c r="I189" s="710"/>
      <c r="J189" s="710"/>
      <c r="K189" s="710"/>
      <c r="L189" s="710"/>
      <c r="M189" s="710"/>
      <c r="N189" s="710"/>
      <c r="O189" s="711"/>
      <c r="P189" s="707" t="s">
        <v>40</v>
      </c>
      <c r="Q189" s="708"/>
      <c r="R189" s="708"/>
      <c r="S189" s="708"/>
      <c r="T189" s="708"/>
      <c r="U189" s="708"/>
      <c r="V189" s="709"/>
      <c r="W189" s="40" t="s">
        <v>0</v>
      </c>
      <c r="X189" s="41">
        <f>IFERROR(SUM(X177:X187),"0")</f>
        <v>0</v>
      </c>
      <c r="Y189" s="41">
        <f>IFERROR(SUM(Y177:Y187),"0")</f>
        <v>0</v>
      </c>
      <c r="Z189" s="40"/>
      <c r="AA189" s="64"/>
      <c r="AB189" s="64"/>
      <c r="AC189" s="64"/>
    </row>
    <row r="190" spans="1:68" ht="14.25" customHeight="1" x14ac:dyDescent="0.25">
      <c r="A190" s="701" t="s">
        <v>86</v>
      </c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  <c r="AA190" s="63"/>
      <c r="AB190" s="63"/>
      <c r="AC190" s="63"/>
    </row>
    <row r="191" spans="1:68" ht="16.5" customHeight="1" x14ac:dyDescent="0.25">
      <c r="A191" s="60" t="s">
        <v>338</v>
      </c>
      <c r="B191" s="60" t="s">
        <v>339</v>
      </c>
      <c r="C191" s="34">
        <v>4301052193</v>
      </c>
      <c r="D191" s="702">
        <v>4680115888395</v>
      </c>
      <c r="E191" s="702"/>
      <c r="F191" s="59">
        <v>0.42</v>
      </c>
      <c r="G191" s="35">
        <v>6</v>
      </c>
      <c r="H191" s="59">
        <v>2.52</v>
      </c>
      <c r="I191" s="59">
        <v>2.766</v>
      </c>
      <c r="J191" s="35">
        <v>182</v>
      </c>
      <c r="K191" s="35" t="s">
        <v>91</v>
      </c>
      <c r="L191" s="35" t="s">
        <v>46</v>
      </c>
      <c r="M191" s="36" t="s">
        <v>97</v>
      </c>
      <c r="N191" s="36"/>
      <c r="O191" s="35">
        <v>40</v>
      </c>
      <c r="P191" s="800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91" s="704"/>
      <c r="R191" s="704"/>
      <c r="S191" s="704"/>
      <c r="T191" s="705"/>
      <c r="U191" s="37" t="s">
        <v>46</v>
      </c>
      <c r="V191" s="37" t="s">
        <v>46</v>
      </c>
      <c r="W191" s="38" t="s">
        <v>0</v>
      </c>
      <c r="X191" s="56">
        <v>0</v>
      </c>
      <c r="Y191" s="53">
        <f>IFERROR(IF(X191="",0,CEILING((X191/$H191),1)*$H191),"")</f>
        <v>0</v>
      </c>
      <c r="Z191" s="39" t="str">
        <f>IFERROR(IF(Y191=0,"",ROUNDUP(Y191/H191,0)*0.00651),"")</f>
        <v/>
      </c>
      <c r="AA191" s="65" t="s">
        <v>46</v>
      </c>
      <c r="AB191" s="66" t="s">
        <v>46</v>
      </c>
      <c r="AC191" s="261" t="s">
        <v>340</v>
      </c>
      <c r="AG191" s="75"/>
      <c r="AJ191" s="79" t="s">
        <v>46</v>
      </c>
      <c r="AK191" s="79">
        <v>0</v>
      </c>
      <c r="BB191" s="262" t="s">
        <v>67</v>
      </c>
      <c r="BM191" s="75">
        <f>IFERROR(X191*I191/H191,"0")</f>
        <v>0</v>
      </c>
      <c r="BN191" s="75">
        <f>IFERROR(Y191*I191/H191,"0")</f>
        <v>0</v>
      </c>
      <c r="BO191" s="75">
        <f>IFERROR(1/J191*(X191/H191),"0")</f>
        <v>0</v>
      </c>
      <c r="BP191" s="75">
        <f>IFERROR(1/J191*(Y191/H191),"0")</f>
        <v>0</v>
      </c>
    </row>
    <row r="192" spans="1:68" ht="16.5" customHeight="1" x14ac:dyDescent="0.25">
      <c r="A192" s="60" t="s">
        <v>341</v>
      </c>
      <c r="B192" s="60" t="s">
        <v>342</v>
      </c>
      <c r="C192" s="34">
        <v>4301052191</v>
      </c>
      <c r="D192" s="702">
        <v>4680115888371</v>
      </c>
      <c r="E192" s="702"/>
      <c r="F192" s="59">
        <v>0.42</v>
      </c>
      <c r="G192" s="35">
        <v>6</v>
      </c>
      <c r="H192" s="59">
        <v>2.52</v>
      </c>
      <c r="I192" s="59">
        <v>2.766</v>
      </c>
      <c r="J192" s="35">
        <v>182</v>
      </c>
      <c r="K192" s="35" t="s">
        <v>91</v>
      </c>
      <c r="L192" s="35" t="s">
        <v>46</v>
      </c>
      <c r="M192" s="36" t="s">
        <v>97</v>
      </c>
      <c r="N192" s="36"/>
      <c r="O192" s="35">
        <v>40</v>
      </c>
      <c r="P192" s="801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92" s="704"/>
      <c r="R192" s="704"/>
      <c r="S192" s="704"/>
      <c r="T192" s="705"/>
      <c r="U192" s="37" t="s">
        <v>46</v>
      </c>
      <c r="V192" s="37" t="s">
        <v>46</v>
      </c>
      <c r="W192" s="38" t="s">
        <v>0</v>
      </c>
      <c r="X192" s="56">
        <v>0</v>
      </c>
      <c r="Y192" s="53">
        <f>IFERROR(IF(X192="",0,CEILING((X192/$H192),1)*$H192),"")</f>
        <v>0</v>
      </c>
      <c r="Z192" s="39" t="str">
        <f>IFERROR(IF(Y192=0,"",ROUNDUP(Y192/H192,0)*0.00651),"")</f>
        <v/>
      </c>
      <c r="AA192" s="65" t="s">
        <v>46</v>
      </c>
      <c r="AB192" s="66" t="s">
        <v>46</v>
      </c>
      <c r="AC192" s="263" t="s">
        <v>343</v>
      </c>
      <c r="AG192" s="75"/>
      <c r="AJ192" s="79" t="s">
        <v>46</v>
      </c>
      <c r="AK192" s="79">
        <v>0</v>
      </c>
      <c r="BB192" s="264" t="s">
        <v>67</v>
      </c>
      <c r="BM192" s="75">
        <f>IFERROR(X192*I192/H192,"0")</f>
        <v>0</v>
      </c>
      <c r="BN192" s="75">
        <f>IFERROR(Y192*I192/H192,"0")</f>
        <v>0</v>
      </c>
      <c r="BO192" s="75">
        <f>IFERROR(1/J192*(X192/H192),"0")</f>
        <v>0</v>
      </c>
      <c r="BP192" s="75">
        <f>IFERROR(1/J192*(Y192/H192),"0")</f>
        <v>0</v>
      </c>
    </row>
    <row r="193" spans="1:68" ht="27" customHeight="1" x14ac:dyDescent="0.25">
      <c r="A193" s="60" t="s">
        <v>344</v>
      </c>
      <c r="B193" s="60" t="s">
        <v>345</v>
      </c>
      <c r="C193" s="34">
        <v>4301052064</v>
      </c>
      <c r="D193" s="702">
        <v>4680115887459</v>
      </c>
      <c r="E193" s="702"/>
      <c r="F193" s="59">
        <v>0.3</v>
      </c>
      <c r="G193" s="35">
        <v>6</v>
      </c>
      <c r="H193" s="59">
        <v>1.8</v>
      </c>
      <c r="I193" s="59">
        <v>2.0579999999999998</v>
      </c>
      <c r="J193" s="35">
        <v>182</v>
      </c>
      <c r="K193" s="35" t="s">
        <v>91</v>
      </c>
      <c r="L193" s="35" t="s">
        <v>46</v>
      </c>
      <c r="M193" s="36" t="s">
        <v>90</v>
      </c>
      <c r="N193" s="36"/>
      <c r="O193" s="35">
        <v>45</v>
      </c>
      <c r="P193" s="802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93" s="704"/>
      <c r="R193" s="704"/>
      <c r="S193" s="704"/>
      <c r="T193" s="705"/>
      <c r="U193" s="37" t="s">
        <v>46</v>
      </c>
      <c r="V193" s="37" t="s">
        <v>46</v>
      </c>
      <c r="W193" s="38" t="s">
        <v>0</v>
      </c>
      <c r="X193" s="56">
        <v>0</v>
      </c>
      <c r="Y193" s="53">
        <f>IFERROR(IF(X193="",0,CEILING((X193/$H193),1)*$H193),"")</f>
        <v>0</v>
      </c>
      <c r="Z193" s="39" t="str">
        <f>IFERROR(IF(Y193=0,"",ROUNDUP(Y193/H193,0)*0.00651),"")</f>
        <v/>
      </c>
      <c r="AA193" s="65" t="s">
        <v>46</v>
      </c>
      <c r="AB193" s="66" t="s">
        <v>46</v>
      </c>
      <c r="AC193" s="265" t="s">
        <v>346</v>
      </c>
      <c r="AG193" s="75"/>
      <c r="AJ193" s="79" t="s">
        <v>46</v>
      </c>
      <c r="AK193" s="79">
        <v>0</v>
      </c>
      <c r="BB193" s="266" t="s">
        <v>67</v>
      </c>
      <c r="BM193" s="75">
        <f>IFERROR(X193*I193/H193,"0")</f>
        <v>0</v>
      </c>
      <c r="BN193" s="75">
        <f>IFERROR(Y193*I193/H193,"0")</f>
        <v>0</v>
      </c>
      <c r="BO193" s="75">
        <f>IFERROR(1/J193*(X193/H193),"0")</f>
        <v>0</v>
      </c>
      <c r="BP193" s="75">
        <f>IFERROR(1/J193*(Y193/H193),"0")</f>
        <v>0</v>
      </c>
    </row>
    <row r="194" spans="1:68" x14ac:dyDescent="0.2">
      <c r="A194" s="710"/>
      <c r="B194" s="710"/>
      <c r="C194" s="710"/>
      <c r="D194" s="710"/>
      <c r="E194" s="710"/>
      <c r="F194" s="710"/>
      <c r="G194" s="710"/>
      <c r="H194" s="710"/>
      <c r="I194" s="710"/>
      <c r="J194" s="710"/>
      <c r="K194" s="710"/>
      <c r="L194" s="710"/>
      <c r="M194" s="710"/>
      <c r="N194" s="710"/>
      <c r="O194" s="711"/>
      <c r="P194" s="707" t="s">
        <v>40</v>
      </c>
      <c r="Q194" s="708"/>
      <c r="R194" s="708"/>
      <c r="S194" s="708"/>
      <c r="T194" s="708"/>
      <c r="U194" s="708"/>
      <c r="V194" s="709"/>
      <c r="W194" s="40" t="s">
        <v>39</v>
      </c>
      <c r="X194" s="41">
        <f>IFERROR(X191/H191,"0")+IFERROR(X192/H192,"0")+IFERROR(X193/H193,"0")</f>
        <v>0</v>
      </c>
      <c r="Y194" s="41">
        <f>IFERROR(Y191/H191,"0")+IFERROR(Y192/H192,"0")+IFERROR(Y193/H193,"0")</f>
        <v>0</v>
      </c>
      <c r="Z194" s="41">
        <f>IFERROR(IF(Z191="",0,Z191),"0")+IFERROR(IF(Z192="",0,Z192),"0")+IFERROR(IF(Z193="",0,Z193),"0")</f>
        <v>0</v>
      </c>
      <c r="AA194" s="64"/>
      <c r="AB194" s="64"/>
      <c r="AC194" s="64"/>
    </row>
    <row r="195" spans="1:68" x14ac:dyDescent="0.2">
      <c r="A195" s="710"/>
      <c r="B195" s="710"/>
      <c r="C195" s="710"/>
      <c r="D195" s="710"/>
      <c r="E195" s="710"/>
      <c r="F195" s="710"/>
      <c r="G195" s="710"/>
      <c r="H195" s="710"/>
      <c r="I195" s="710"/>
      <c r="J195" s="710"/>
      <c r="K195" s="710"/>
      <c r="L195" s="710"/>
      <c r="M195" s="710"/>
      <c r="N195" s="710"/>
      <c r="O195" s="711"/>
      <c r="P195" s="707" t="s">
        <v>40</v>
      </c>
      <c r="Q195" s="708"/>
      <c r="R195" s="708"/>
      <c r="S195" s="708"/>
      <c r="T195" s="708"/>
      <c r="U195" s="708"/>
      <c r="V195" s="709"/>
      <c r="W195" s="40" t="s">
        <v>0</v>
      </c>
      <c r="X195" s="41">
        <f>IFERROR(SUM(X191:X193),"0")</f>
        <v>0</v>
      </c>
      <c r="Y195" s="41">
        <f>IFERROR(SUM(Y191:Y193),"0")</f>
        <v>0</v>
      </c>
      <c r="Z195" s="40"/>
      <c r="AA195" s="64"/>
      <c r="AB195" s="64"/>
      <c r="AC195" s="64"/>
    </row>
    <row r="196" spans="1:68" ht="14.25" customHeight="1" x14ac:dyDescent="0.25">
      <c r="A196" s="701" t="s">
        <v>104</v>
      </c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  <c r="AA196" s="63"/>
      <c r="AB196" s="63"/>
      <c r="AC196" s="63"/>
    </row>
    <row r="197" spans="1:68" ht="16.5" customHeight="1" x14ac:dyDescent="0.25">
      <c r="A197" s="60" t="s">
        <v>347</v>
      </c>
      <c r="B197" s="60" t="s">
        <v>348</v>
      </c>
      <c r="C197" s="34">
        <v>4301032058</v>
      </c>
      <c r="D197" s="702">
        <v>4680115889026</v>
      </c>
      <c r="E197" s="702"/>
      <c r="F197" s="59">
        <v>0.06</v>
      </c>
      <c r="G197" s="35">
        <v>18</v>
      </c>
      <c r="H197" s="59">
        <v>1.08</v>
      </c>
      <c r="I197" s="59">
        <v>1.36</v>
      </c>
      <c r="J197" s="35">
        <v>216</v>
      </c>
      <c r="K197" s="35" t="s">
        <v>350</v>
      </c>
      <c r="L197" s="35" t="s">
        <v>46</v>
      </c>
      <c r="M197" s="36" t="s">
        <v>292</v>
      </c>
      <c r="N197" s="36"/>
      <c r="O197" s="35">
        <v>60</v>
      </c>
      <c r="P197" s="803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197" s="704"/>
      <c r="R197" s="704"/>
      <c r="S197" s="704"/>
      <c r="T197" s="705"/>
      <c r="U197" s="37" t="s">
        <v>46</v>
      </c>
      <c r="V197" s="37" t="s">
        <v>46</v>
      </c>
      <c r="W197" s="38" t="s">
        <v>0</v>
      </c>
      <c r="X197" s="56">
        <v>0</v>
      </c>
      <c r="Y197" s="53">
        <f>IFERROR(IF(X197="",0,CEILING((X197/$H197),1)*$H197),"")</f>
        <v>0</v>
      </c>
      <c r="Z197" s="39" t="str">
        <f>IFERROR(IF(Y197=0,"",ROUNDUP(Y197/H197,0)*0.0059),"")</f>
        <v/>
      </c>
      <c r="AA197" s="65" t="s">
        <v>46</v>
      </c>
      <c r="AB197" s="66" t="s">
        <v>46</v>
      </c>
      <c r="AC197" s="267" t="s">
        <v>349</v>
      </c>
      <c r="AG197" s="75"/>
      <c r="AJ197" s="79" t="s">
        <v>46</v>
      </c>
      <c r="AK197" s="79">
        <v>0</v>
      </c>
      <c r="BB197" s="268" t="s">
        <v>67</v>
      </c>
      <c r="BM197" s="75">
        <f>IFERROR(X197*I197/H197,"0")</f>
        <v>0</v>
      </c>
      <c r="BN197" s="75">
        <f>IFERROR(Y197*I197/H197,"0")</f>
        <v>0</v>
      </c>
      <c r="BO197" s="75">
        <f>IFERROR(1/J197*(X197/H197),"0")</f>
        <v>0</v>
      </c>
      <c r="BP197" s="75">
        <f>IFERROR(1/J197*(Y197/H197),"0")</f>
        <v>0</v>
      </c>
    </row>
    <row r="198" spans="1:68" ht="27" customHeight="1" x14ac:dyDescent="0.25">
      <c r="A198" s="60" t="s">
        <v>351</v>
      </c>
      <c r="B198" s="60" t="s">
        <v>352</v>
      </c>
      <c r="C198" s="34">
        <v>4301032057</v>
      </c>
      <c r="D198" s="702">
        <v>4680115889088</v>
      </c>
      <c r="E198" s="702"/>
      <c r="F198" s="59">
        <v>0.06</v>
      </c>
      <c r="G198" s="35">
        <v>18</v>
      </c>
      <c r="H198" s="59">
        <v>1.08</v>
      </c>
      <c r="I198" s="59">
        <v>1.36</v>
      </c>
      <c r="J198" s="35">
        <v>216</v>
      </c>
      <c r="K198" s="35" t="s">
        <v>350</v>
      </c>
      <c r="L198" s="35" t="s">
        <v>46</v>
      </c>
      <c r="M198" s="36" t="s">
        <v>292</v>
      </c>
      <c r="N198" s="36"/>
      <c r="O198" s="35">
        <v>45</v>
      </c>
      <c r="P198" s="804" t="str">
        <f>HYPERLINK("https://abi.ru/products/Охлажденные/Вязанка/Вязанка/Сырокопченые колбасы/P005449/","Сырокопченые колбасы «Продукт сырокопченый Пьемонтини» Фикс.вес 0,06 нарезка ТМ «Вязанка»")</f>
        <v>Сырокопченые колбасы «Продукт сырокопченый Пьемонтини» Фикс.вес 0,06 нарезка ТМ «Вязанка»</v>
      </c>
      <c r="Q198" s="704"/>
      <c r="R198" s="704"/>
      <c r="S198" s="704"/>
      <c r="T198" s="705"/>
      <c r="U198" s="37" t="s">
        <v>46</v>
      </c>
      <c r="V198" s="37" t="s">
        <v>46</v>
      </c>
      <c r="W198" s="38" t="s">
        <v>0</v>
      </c>
      <c r="X198" s="56">
        <v>0</v>
      </c>
      <c r="Y198" s="53">
        <f>IFERROR(IF(X198="",0,CEILING((X198/$H198),1)*$H198),"")</f>
        <v>0</v>
      </c>
      <c r="Z198" s="39" t="str">
        <f>IFERROR(IF(Y198=0,"",ROUNDUP(Y198/H198,0)*0.0059),"")</f>
        <v/>
      </c>
      <c r="AA198" s="65" t="s">
        <v>46</v>
      </c>
      <c r="AB198" s="66" t="s">
        <v>46</v>
      </c>
      <c r="AC198" s="269" t="s">
        <v>353</v>
      </c>
      <c r="AG198" s="75"/>
      <c r="AJ198" s="79" t="s">
        <v>46</v>
      </c>
      <c r="AK198" s="79">
        <v>0</v>
      </c>
      <c r="BB198" s="270" t="s">
        <v>67</v>
      </c>
      <c r="BM198" s="75">
        <f>IFERROR(X198*I198/H198,"0")</f>
        <v>0</v>
      </c>
      <c r="BN198" s="75">
        <f>IFERROR(Y198*I198/H198,"0")</f>
        <v>0</v>
      </c>
      <c r="BO198" s="75">
        <f>IFERROR(1/J198*(X198/H198),"0")</f>
        <v>0</v>
      </c>
      <c r="BP198" s="75">
        <f>IFERROR(1/J198*(Y198/H198),"0")</f>
        <v>0</v>
      </c>
    </row>
    <row r="199" spans="1:68" x14ac:dyDescent="0.2">
      <c r="A199" s="710"/>
      <c r="B199" s="710"/>
      <c r="C199" s="710"/>
      <c r="D199" s="710"/>
      <c r="E199" s="710"/>
      <c r="F199" s="710"/>
      <c r="G199" s="710"/>
      <c r="H199" s="710"/>
      <c r="I199" s="710"/>
      <c r="J199" s="710"/>
      <c r="K199" s="710"/>
      <c r="L199" s="710"/>
      <c r="M199" s="710"/>
      <c r="N199" s="710"/>
      <c r="O199" s="711"/>
      <c r="P199" s="707" t="s">
        <v>40</v>
      </c>
      <c r="Q199" s="708"/>
      <c r="R199" s="708"/>
      <c r="S199" s="708"/>
      <c r="T199" s="708"/>
      <c r="U199" s="708"/>
      <c r="V199" s="709"/>
      <c r="W199" s="40" t="s">
        <v>39</v>
      </c>
      <c r="X199" s="41">
        <f>IFERROR(X197/H197,"0")+IFERROR(X198/H198,"0")</f>
        <v>0</v>
      </c>
      <c r="Y199" s="41">
        <f>IFERROR(Y197/H197,"0")+IFERROR(Y198/H198,"0")</f>
        <v>0</v>
      </c>
      <c r="Z199" s="41">
        <f>IFERROR(IF(Z197="",0,Z197),"0")+IFERROR(IF(Z198="",0,Z198),"0")</f>
        <v>0</v>
      </c>
      <c r="AA199" s="64"/>
      <c r="AB199" s="64"/>
      <c r="AC199" s="64"/>
    </row>
    <row r="200" spans="1:68" x14ac:dyDescent="0.2">
      <c r="A200" s="710"/>
      <c r="B200" s="710"/>
      <c r="C200" s="710"/>
      <c r="D200" s="710"/>
      <c r="E200" s="710"/>
      <c r="F200" s="710"/>
      <c r="G200" s="710"/>
      <c r="H200" s="710"/>
      <c r="I200" s="710"/>
      <c r="J200" s="710"/>
      <c r="K200" s="710"/>
      <c r="L200" s="710"/>
      <c r="M200" s="710"/>
      <c r="N200" s="710"/>
      <c r="O200" s="711"/>
      <c r="P200" s="707" t="s">
        <v>40</v>
      </c>
      <c r="Q200" s="708"/>
      <c r="R200" s="708"/>
      <c r="S200" s="708"/>
      <c r="T200" s="708"/>
      <c r="U200" s="708"/>
      <c r="V200" s="709"/>
      <c r="W200" s="40" t="s">
        <v>0</v>
      </c>
      <c r="X200" s="41">
        <f>IFERROR(SUM(X197:X198),"0")</f>
        <v>0</v>
      </c>
      <c r="Y200" s="41">
        <f>IFERROR(SUM(Y197:Y198),"0")</f>
        <v>0</v>
      </c>
      <c r="Z200" s="40"/>
      <c r="AA200" s="64"/>
      <c r="AB200" s="64"/>
      <c r="AC200" s="64"/>
    </row>
    <row r="201" spans="1:68" ht="14.25" customHeight="1" x14ac:dyDescent="0.25">
      <c r="A201" s="701" t="s">
        <v>354</v>
      </c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  <c r="AA201" s="63"/>
      <c r="AB201" s="63"/>
      <c r="AC201" s="63"/>
    </row>
    <row r="202" spans="1:68" ht="27" customHeight="1" x14ac:dyDescent="0.25">
      <c r="A202" s="60" t="s">
        <v>355</v>
      </c>
      <c r="B202" s="60" t="s">
        <v>356</v>
      </c>
      <c r="C202" s="34">
        <v>4301041009</v>
      </c>
      <c r="D202" s="702">
        <v>4680115889033</v>
      </c>
      <c r="E202" s="702"/>
      <c r="F202" s="59">
        <v>0.11</v>
      </c>
      <c r="G202" s="35">
        <v>15</v>
      </c>
      <c r="H202" s="59">
        <v>1.65</v>
      </c>
      <c r="I202" s="59">
        <v>1.9</v>
      </c>
      <c r="J202" s="35">
        <v>216</v>
      </c>
      <c r="K202" s="35" t="s">
        <v>350</v>
      </c>
      <c r="L202" s="35" t="s">
        <v>46</v>
      </c>
      <c r="M202" s="36" t="s">
        <v>292</v>
      </c>
      <c r="N202" s="36"/>
      <c r="O202" s="35">
        <v>60</v>
      </c>
      <c r="P202" s="805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202" s="704"/>
      <c r="R202" s="704"/>
      <c r="S202" s="704"/>
      <c r="T202" s="705"/>
      <c r="U202" s="37" t="s">
        <v>46</v>
      </c>
      <c r="V202" s="37" t="s">
        <v>46</v>
      </c>
      <c r="W202" s="38" t="s">
        <v>0</v>
      </c>
      <c r="X202" s="56">
        <v>0</v>
      </c>
      <c r="Y202" s="53">
        <f>IFERROR(IF(X202="",0,CEILING((X202/$H202),1)*$H202),"")</f>
        <v>0</v>
      </c>
      <c r="Z202" s="39" t="str">
        <f>IFERROR(IF(Y202=0,"",ROUNDUP(Y202/H202,0)*0.0059),"")</f>
        <v/>
      </c>
      <c r="AA202" s="65" t="s">
        <v>46</v>
      </c>
      <c r="AB202" s="66" t="s">
        <v>46</v>
      </c>
      <c r="AC202" s="271" t="s">
        <v>357</v>
      </c>
      <c r="AG202" s="75"/>
      <c r="AJ202" s="79" t="s">
        <v>46</v>
      </c>
      <c r="AK202" s="79">
        <v>0</v>
      </c>
      <c r="BB202" s="272" t="s">
        <v>67</v>
      </c>
      <c r="BM202" s="75">
        <f>IFERROR(X202*I202/H202,"0")</f>
        <v>0</v>
      </c>
      <c r="BN202" s="75">
        <f>IFERROR(Y202*I202/H202,"0")</f>
        <v>0</v>
      </c>
      <c r="BO202" s="75">
        <f>IFERROR(1/J202*(X202/H202),"0")</f>
        <v>0</v>
      </c>
      <c r="BP202" s="75">
        <f>IFERROR(1/J202*(Y202/H202),"0")</f>
        <v>0</v>
      </c>
    </row>
    <row r="203" spans="1:68" x14ac:dyDescent="0.2">
      <c r="A203" s="710"/>
      <c r="B203" s="710"/>
      <c r="C203" s="710"/>
      <c r="D203" s="710"/>
      <c r="E203" s="710"/>
      <c r="F203" s="710"/>
      <c r="G203" s="710"/>
      <c r="H203" s="710"/>
      <c r="I203" s="710"/>
      <c r="J203" s="710"/>
      <c r="K203" s="710"/>
      <c r="L203" s="710"/>
      <c r="M203" s="710"/>
      <c r="N203" s="710"/>
      <c r="O203" s="711"/>
      <c r="P203" s="707" t="s">
        <v>40</v>
      </c>
      <c r="Q203" s="708"/>
      <c r="R203" s="708"/>
      <c r="S203" s="708"/>
      <c r="T203" s="708"/>
      <c r="U203" s="708"/>
      <c r="V203" s="709"/>
      <c r="W203" s="40" t="s">
        <v>39</v>
      </c>
      <c r="X203" s="41">
        <f>IFERROR(X202/H202,"0")</f>
        <v>0</v>
      </c>
      <c r="Y203" s="41">
        <f>IFERROR(Y202/H202,"0")</f>
        <v>0</v>
      </c>
      <c r="Z203" s="41">
        <f>IFERROR(IF(Z202="",0,Z202),"0")</f>
        <v>0</v>
      </c>
      <c r="AA203" s="64"/>
      <c r="AB203" s="64"/>
      <c r="AC203" s="64"/>
    </row>
    <row r="204" spans="1:68" x14ac:dyDescent="0.2">
      <c r="A204" s="710"/>
      <c r="B204" s="710"/>
      <c r="C204" s="710"/>
      <c r="D204" s="710"/>
      <c r="E204" s="710"/>
      <c r="F204" s="710"/>
      <c r="G204" s="710"/>
      <c r="H204" s="710"/>
      <c r="I204" s="710"/>
      <c r="J204" s="710"/>
      <c r="K204" s="710"/>
      <c r="L204" s="710"/>
      <c r="M204" s="710"/>
      <c r="N204" s="710"/>
      <c r="O204" s="711"/>
      <c r="P204" s="707" t="s">
        <v>40</v>
      </c>
      <c r="Q204" s="708"/>
      <c r="R204" s="708"/>
      <c r="S204" s="708"/>
      <c r="T204" s="708"/>
      <c r="U204" s="708"/>
      <c r="V204" s="709"/>
      <c r="W204" s="40" t="s">
        <v>0</v>
      </c>
      <c r="X204" s="41">
        <f>IFERROR(SUM(X202:X202),"0")</f>
        <v>0</v>
      </c>
      <c r="Y204" s="41">
        <f>IFERROR(SUM(Y202:Y202),"0")</f>
        <v>0</v>
      </c>
      <c r="Z204" s="40"/>
      <c r="AA204" s="64"/>
      <c r="AB204" s="64"/>
      <c r="AC204" s="64"/>
    </row>
    <row r="205" spans="1:68" ht="27.75" customHeight="1" x14ac:dyDescent="0.2">
      <c r="A205" s="699" t="s">
        <v>358</v>
      </c>
      <c r="B205" s="699"/>
      <c r="C205" s="699"/>
      <c r="D205" s="699"/>
      <c r="E205" s="699"/>
      <c r="F205" s="699"/>
      <c r="G205" s="699"/>
      <c r="H205" s="699"/>
      <c r="I205" s="699"/>
      <c r="J205" s="699"/>
      <c r="K205" s="699"/>
      <c r="L205" s="699"/>
      <c r="M205" s="699"/>
      <c r="N205" s="699"/>
      <c r="O205" s="699"/>
      <c r="P205" s="699"/>
      <c r="Q205" s="699"/>
      <c r="R205" s="699"/>
      <c r="S205" s="699"/>
      <c r="T205" s="699"/>
      <c r="U205" s="699"/>
      <c r="V205" s="699"/>
      <c r="W205" s="699"/>
      <c r="X205" s="699"/>
      <c r="Y205" s="699"/>
      <c r="Z205" s="699"/>
      <c r="AA205" s="52"/>
      <c r="AB205" s="52"/>
      <c r="AC205" s="52"/>
    </row>
    <row r="206" spans="1:68" ht="16.5" customHeight="1" x14ac:dyDescent="0.25">
      <c r="A206" s="700" t="s">
        <v>359</v>
      </c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  <c r="AA206" s="62"/>
      <c r="AB206" s="62"/>
      <c r="AC206" s="62"/>
    </row>
    <row r="207" spans="1:68" ht="14.25" customHeight="1" x14ac:dyDescent="0.25">
      <c r="A207" s="701" t="s">
        <v>128</v>
      </c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  <c r="AA207" s="63"/>
      <c r="AB207" s="63"/>
      <c r="AC207" s="63"/>
    </row>
    <row r="208" spans="1:68" ht="27" customHeight="1" x14ac:dyDescent="0.25">
      <c r="A208" s="60" t="s">
        <v>360</v>
      </c>
      <c r="B208" s="60" t="s">
        <v>361</v>
      </c>
      <c r="C208" s="34">
        <v>4301011223</v>
      </c>
      <c r="D208" s="702">
        <v>4607091383423</v>
      </c>
      <c r="E208" s="702"/>
      <c r="F208" s="59">
        <v>1.35</v>
      </c>
      <c r="G208" s="35">
        <v>8</v>
      </c>
      <c r="H208" s="59">
        <v>10.8</v>
      </c>
      <c r="I208" s="59">
        <v>11.305999999999999</v>
      </c>
      <c r="J208" s="35">
        <v>64</v>
      </c>
      <c r="K208" s="35" t="s">
        <v>133</v>
      </c>
      <c r="L208" s="35" t="s">
        <v>46</v>
      </c>
      <c r="M208" s="36" t="s">
        <v>90</v>
      </c>
      <c r="N208" s="36"/>
      <c r="O208" s="35">
        <v>35</v>
      </c>
      <c r="P208" s="806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08" s="704"/>
      <c r="R208" s="704"/>
      <c r="S208" s="704"/>
      <c r="T208" s="705"/>
      <c r="U208" s="37" t="s">
        <v>46</v>
      </c>
      <c r="V208" s="37" t="s">
        <v>46</v>
      </c>
      <c r="W208" s="38" t="s">
        <v>0</v>
      </c>
      <c r="X208" s="56">
        <v>0</v>
      </c>
      <c r="Y208" s="53">
        <f t="shared" ref="Y208:Y214" si="15">IFERROR(IF(X208="",0,CEILING((X208/$H208),1)*$H208),"")</f>
        <v>0</v>
      </c>
      <c r="Z208" s="39" t="str">
        <f t="shared" ref="Z208:Z214" si="16">IFERROR(IF(Y208=0,"",ROUNDUP(Y208/H208,0)*0.01898),"")</f>
        <v/>
      </c>
      <c r="AA208" s="65" t="s">
        <v>46</v>
      </c>
      <c r="AB208" s="66" t="s">
        <v>46</v>
      </c>
      <c r="AC208" s="273" t="s">
        <v>131</v>
      </c>
      <c r="AG208" s="75"/>
      <c r="AJ208" s="79" t="s">
        <v>46</v>
      </c>
      <c r="AK208" s="79">
        <v>0</v>
      </c>
      <c r="BB208" s="274" t="s">
        <v>67</v>
      </c>
      <c r="BM208" s="75">
        <f t="shared" ref="BM208:BM214" si="17">IFERROR(X208*I208/H208,"0")</f>
        <v>0</v>
      </c>
      <c r="BN208" s="75">
        <f t="shared" ref="BN208:BN214" si="18">IFERROR(Y208*I208/H208,"0")</f>
        <v>0</v>
      </c>
      <c r="BO208" s="75">
        <f t="shared" ref="BO208:BO214" si="19">IFERROR(1/J208*(X208/H208),"0")</f>
        <v>0</v>
      </c>
      <c r="BP208" s="75">
        <f t="shared" ref="BP208:BP214" si="20">IFERROR(1/J208*(Y208/H208),"0")</f>
        <v>0</v>
      </c>
    </row>
    <row r="209" spans="1:68" ht="27" customHeight="1" x14ac:dyDescent="0.25">
      <c r="A209" s="60" t="s">
        <v>362</v>
      </c>
      <c r="B209" s="60" t="s">
        <v>363</v>
      </c>
      <c r="C209" s="34">
        <v>4301012340</v>
      </c>
      <c r="D209" s="702">
        <v>4680115888760</v>
      </c>
      <c r="E209" s="702"/>
      <c r="F209" s="59">
        <v>1.4</v>
      </c>
      <c r="G209" s="35">
        <v>6</v>
      </c>
      <c r="H209" s="59">
        <v>8.4</v>
      </c>
      <c r="I209" s="59">
        <v>8.81</v>
      </c>
      <c r="J209" s="35">
        <v>64</v>
      </c>
      <c r="K209" s="35" t="s">
        <v>133</v>
      </c>
      <c r="L209" s="35" t="s">
        <v>46</v>
      </c>
      <c r="M209" s="36" t="s">
        <v>90</v>
      </c>
      <c r="N209" s="36"/>
      <c r="O209" s="35">
        <v>35</v>
      </c>
      <c r="P209" s="807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09" s="704"/>
      <c r="R209" s="704"/>
      <c r="S209" s="704"/>
      <c r="T209" s="705"/>
      <c r="U209" s="37" t="s">
        <v>46</v>
      </c>
      <c r="V209" s="37" t="s">
        <v>46</v>
      </c>
      <c r="W209" s="38" t="s">
        <v>0</v>
      </c>
      <c r="X209" s="56">
        <v>0</v>
      </c>
      <c r="Y209" s="53">
        <f t="shared" si="15"/>
        <v>0</v>
      </c>
      <c r="Z209" s="39" t="str">
        <f t="shared" si="16"/>
        <v/>
      </c>
      <c r="AA209" s="65" t="s">
        <v>46</v>
      </c>
      <c r="AB209" s="66" t="s">
        <v>46</v>
      </c>
      <c r="AC209" s="275" t="s">
        <v>364</v>
      </c>
      <c r="AG209" s="75"/>
      <c r="AJ209" s="79" t="s">
        <v>46</v>
      </c>
      <c r="AK209" s="79">
        <v>0</v>
      </c>
      <c r="BB209" s="276" t="s">
        <v>67</v>
      </c>
      <c r="BM209" s="75">
        <f t="shared" si="17"/>
        <v>0</v>
      </c>
      <c r="BN209" s="75">
        <f t="shared" si="18"/>
        <v>0</v>
      </c>
      <c r="BO209" s="75">
        <f t="shared" si="19"/>
        <v>0</v>
      </c>
      <c r="BP209" s="75">
        <f t="shared" si="20"/>
        <v>0</v>
      </c>
    </row>
    <row r="210" spans="1:68" ht="27" customHeight="1" x14ac:dyDescent="0.25">
      <c r="A210" s="60" t="s">
        <v>365</v>
      </c>
      <c r="B210" s="60" t="s">
        <v>366</v>
      </c>
      <c r="C210" s="34">
        <v>4301012341</v>
      </c>
      <c r="D210" s="702">
        <v>4680115888807</v>
      </c>
      <c r="E210" s="702"/>
      <c r="F210" s="59">
        <v>1.4</v>
      </c>
      <c r="G210" s="35">
        <v>6</v>
      </c>
      <c r="H210" s="59">
        <v>8.4</v>
      </c>
      <c r="I210" s="59">
        <v>8.81</v>
      </c>
      <c r="J210" s="35">
        <v>64</v>
      </c>
      <c r="K210" s="35" t="s">
        <v>133</v>
      </c>
      <c r="L210" s="35" t="s">
        <v>46</v>
      </c>
      <c r="M210" s="36" t="s">
        <v>90</v>
      </c>
      <c r="N210" s="36"/>
      <c r="O210" s="35">
        <v>35</v>
      </c>
      <c r="P210" s="808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10" s="704"/>
      <c r="R210" s="704"/>
      <c r="S210" s="704"/>
      <c r="T210" s="705"/>
      <c r="U210" s="37" t="s">
        <v>46</v>
      </c>
      <c r="V210" s="37" t="s">
        <v>46</v>
      </c>
      <c r="W210" s="38" t="s">
        <v>0</v>
      </c>
      <c r="X210" s="56">
        <v>0</v>
      </c>
      <c r="Y210" s="53">
        <f t="shared" si="15"/>
        <v>0</v>
      </c>
      <c r="Z210" s="39" t="str">
        <f t="shared" si="16"/>
        <v/>
      </c>
      <c r="AA210" s="65" t="s">
        <v>46</v>
      </c>
      <c r="AB210" s="66" t="s">
        <v>46</v>
      </c>
      <c r="AC210" s="277" t="s">
        <v>367</v>
      </c>
      <c r="AG210" s="75"/>
      <c r="AJ210" s="79" t="s">
        <v>46</v>
      </c>
      <c r="AK210" s="79">
        <v>0</v>
      </c>
      <c r="BB210" s="278" t="s">
        <v>67</v>
      </c>
      <c r="BM210" s="75">
        <f t="shared" si="17"/>
        <v>0</v>
      </c>
      <c r="BN210" s="75">
        <f t="shared" si="18"/>
        <v>0</v>
      </c>
      <c r="BO210" s="75">
        <f t="shared" si="19"/>
        <v>0</v>
      </c>
      <c r="BP210" s="75">
        <f t="shared" si="20"/>
        <v>0</v>
      </c>
    </row>
    <row r="211" spans="1:68" ht="27" customHeight="1" x14ac:dyDescent="0.25">
      <c r="A211" s="60" t="s">
        <v>368</v>
      </c>
      <c r="B211" s="60" t="s">
        <v>369</v>
      </c>
      <c r="C211" s="34">
        <v>4301012342</v>
      </c>
      <c r="D211" s="702">
        <v>4680115888852</v>
      </c>
      <c r="E211" s="702"/>
      <c r="F211" s="59">
        <v>0.9</v>
      </c>
      <c r="G211" s="35">
        <v>6</v>
      </c>
      <c r="H211" s="59">
        <v>5.4</v>
      </c>
      <c r="I211" s="59">
        <v>5.81</v>
      </c>
      <c r="J211" s="35">
        <v>64</v>
      </c>
      <c r="K211" s="35" t="s">
        <v>133</v>
      </c>
      <c r="L211" s="35" t="s">
        <v>46</v>
      </c>
      <c r="M211" s="36" t="s">
        <v>90</v>
      </c>
      <c r="N211" s="36"/>
      <c r="O211" s="35">
        <v>35</v>
      </c>
      <c r="P211" s="809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11" s="704"/>
      <c r="R211" s="704"/>
      <c r="S211" s="704"/>
      <c r="T211" s="705"/>
      <c r="U211" s="37" t="s">
        <v>46</v>
      </c>
      <c r="V211" s="37" t="s">
        <v>46</v>
      </c>
      <c r="W211" s="38" t="s">
        <v>0</v>
      </c>
      <c r="X211" s="56">
        <v>0</v>
      </c>
      <c r="Y211" s="53">
        <f t="shared" si="15"/>
        <v>0</v>
      </c>
      <c r="Z211" s="39" t="str">
        <f t="shared" si="16"/>
        <v/>
      </c>
      <c r="AA211" s="65" t="s">
        <v>46</v>
      </c>
      <c r="AB211" s="66" t="s">
        <v>46</v>
      </c>
      <c r="AC211" s="279" t="s">
        <v>370</v>
      </c>
      <c r="AG211" s="75"/>
      <c r="AJ211" s="79" t="s">
        <v>46</v>
      </c>
      <c r="AK211" s="79">
        <v>0</v>
      </c>
      <c r="BB211" s="280" t="s">
        <v>67</v>
      </c>
      <c r="BM211" s="75">
        <f t="shared" si="17"/>
        <v>0</v>
      </c>
      <c r="BN211" s="75">
        <f t="shared" si="18"/>
        <v>0</v>
      </c>
      <c r="BO211" s="75">
        <f t="shared" si="19"/>
        <v>0</v>
      </c>
      <c r="BP211" s="75">
        <f t="shared" si="20"/>
        <v>0</v>
      </c>
    </row>
    <row r="212" spans="1:68" ht="37.5" customHeight="1" x14ac:dyDescent="0.25">
      <c r="A212" s="60" t="s">
        <v>371</v>
      </c>
      <c r="B212" s="60" t="s">
        <v>372</v>
      </c>
      <c r="C212" s="34">
        <v>4301012370</v>
      </c>
      <c r="D212" s="702">
        <v>4680115886957</v>
      </c>
      <c r="E212" s="702"/>
      <c r="F212" s="59">
        <v>1.35</v>
      </c>
      <c r="G212" s="35">
        <v>8</v>
      </c>
      <c r="H212" s="59">
        <v>10.8</v>
      </c>
      <c r="I212" s="59">
        <v>11.29</v>
      </c>
      <c r="J212" s="35">
        <v>64</v>
      </c>
      <c r="K212" s="35" t="s">
        <v>133</v>
      </c>
      <c r="L212" s="35" t="s">
        <v>46</v>
      </c>
      <c r="M212" s="36" t="s">
        <v>90</v>
      </c>
      <c r="N212" s="36"/>
      <c r="O212" s="35">
        <v>35</v>
      </c>
      <c r="P212" s="810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12" s="704"/>
      <c r="R212" s="704"/>
      <c r="S212" s="704"/>
      <c r="T212" s="705"/>
      <c r="U212" s="37" t="s">
        <v>46</v>
      </c>
      <c r="V212" s="37" t="s">
        <v>46</v>
      </c>
      <c r="W212" s="38" t="s">
        <v>0</v>
      </c>
      <c r="X212" s="56">
        <v>0</v>
      </c>
      <c r="Y212" s="53">
        <f t="shared" si="15"/>
        <v>0</v>
      </c>
      <c r="Z212" s="39" t="str">
        <f t="shared" si="16"/>
        <v/>
      </c>
      <c r="AA212" s="65" t="s">
        <v>46</v>
      </c>
      <c r="AB212" s="66" t="s">
        <v>46</v>
      </c>
      <c r="AC212" s="281" t="s">
        <v>373</v>
      </c>
      <c r="AG212" s="75"/>
      <c r="AJ212" s="79" t="s">
        <v>46</v>
      </c>
      <c r="AK212" s="79">
        <v>0</v>
      </c>
      <c r="BB212" s="282" t="s">
        <v>67</v>
      </c>
      <c r="BM212" s="75">
        <f t="shared" si="17"/>
        <v>0</v>
      </c>
      <c r="BN212" s="75">
        <f t="shared" si="18"/>
        <v>0</v>
      </c>
      <c r="BO212" s="75">
        <f t="shared" si="19"/>
        <v>0</v>
      </c>
      <c r="BP212" s="75">
        <f t="shared" si="20"/>
        <v>0</v>
      </c>
    </row>
    <row r="213" spans="1:68" ht="27" customHeight="1" x14ac:dyDescent="0.25">
      <c r="A213" s="60" t="s">
        <v>374</v>
      </c>
      <c r="B213" s="60" t="s">
        <v>375</v>
      </c>
      <c r="C213" s="34">
        <v>4301012098</v>
      </c>
      <c r="D213" s="702">
        <v>4680115885660</v>
      </c>
      <c r="E213" s="702"/>
      <c r="F213" s="59">
        <v>1.35</v>
      </c>
      <c r="G213" s="35">
        <v>8</v>
      </c>
      <c r="H213" s="59">
        <v>10.8</v>
      </c>
      <c r="I213" s="59">
        <v>11.21</v>
      </c>
      <c r="J213" s="35">
        <v>64</v>
      </c>
      <c r="K213" s="35" t="s">
        <v>133</v>
      </c>
      <c r="L213" s="35" t="s">
        <v>46</v>
      </c>
      <c r="M213" s="36" t="s">
        <v>90</v>
      </c>
      <c r="N213" s="36"/>
      <c r="O213" s="35">
        <v>35</v>
      </c>
      <c r="P213" s="811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13" s="704"/>
      <c r="R213" s="704"/>
      <c r="S213" s="704"/>
      <c r="T213" s="705"/>
      <c r="U213" s="37" t="s">
        <v>46</v>
      </c>
      <c r="V213" s="37" t="s">
        <v>46</v>
      </c>
      <c r="W213" s="38" t="s">
        <v>0</v>
      </c>
      <c r="X213" s="56">
        <v>0</v>
      </c>
      <c r="Y213" s="53">
        <f t="shared" si="15"/>
        <v>0</v>
      </c>
      <c r="Z213" s="39" t="str">
        <f t="shared" si="16"/>
        <v/>
      </c>
      <c r="AA213" s="65" t="s">
        <v>46</v>
      </c>
      <c r="AB213" s="66" t="s">
        <v>46</v>
      </c>
      <c r="AC213" s="283" t="s">
        <v>376</v>
      </c>
      <c r="AG213" s="75"/>
      <c r="AJ213" s="79" t="s">
        <v>46</v>
      </c>
      <c r="AK213" s="79">
        <v>0</v>
      </c>
      <c r="BB213" s="284" t="s">
        <v>67</v>
      </c>
      <c r="BM213" s="75">
        <f t="shared" si="17"/>
        <v>0</v>
      </c>
      <c r="BN213" s="75">
        <f t="shared" si="18"/>
        <v>0</v>
      </c>
      <c r="BO213" s="75">
        <f t="shared" si="19"/>
        <v>0</v>
      </c>
      <c r="BP213" s="75">
        <f t="shared" si="20"/>
        <v>0</v>
      </c>
    </row>
    <row r="214" spans="1:68" ht="27" customHeight="1" x14ac:dyDescent="0.25">
      <c r="A214" s="60" t="s">
        <v>377</v>
      </c>
      <c r="B214" s="60" t="s">
        <v>378</v>
      </c>
      <c r="C214" s="34">
        <v>4301012369</v>
      </c>
      <c r="D214" s="702">
        <v>4680115886773</v>
      </c>
      <c r="E214" s="702"/>
      <c r="F214" s="59">
        <v>0.9</v>
      </c>
      <c r="G214" s="35">
        <v>10</v>
      </c>
      <c r="H214" s="59">
        <v>9</v>
      </c>
      <c r="I214" s="59">
        <v>9.51</v>
      </c>
      <c r="J214" s="35">
        <v>64</v>
      </c>
      <c r="K214" s="35" t="s">
        <v>133</v>
      </c>
      <c r="L214" s="35" t="s">
        <v>46</v>
      </c>
      <c r="M214" s="36" t="s">
        <v>90</v>
      </c>
      <c r="N214" s="36"/>
      <c r="O214" s="35">
        <v>35</v>
      </c>
      <c r="P214" s="812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14" s="704"/>
      <c r="R214" s="704"/>
      <c r="S214" s="704"/>
      <c r="T214" s="705"/>
      <c r="U214" s="37" t="s">
        <v>46</v>
      </c>
      <c r="V214" s="37" t="s">
        <v>46</v>
      </c>
      <c r="W214" s="38" t="s">
        <v>0</v>
      </c>
      <c r="X214" s="56">
        <v>0</v>
      </c>
      <c r="Y214" s="53">
        <f t="shared" si="15"/>
        <v>0</v>
      </c>
      <c r="Z214" s="39" t="str">
        <f t="shared" si="16"/>
        <v/>
      </c>
      <c r="AA214" s="65" t="s">
        <v>46</v>
      </c>
      <c r="AB214" s="66" t="s">
        <v>46</v>
      </c>
      <c r="AC214" s="285" t="s">
        <v>379</v>
      </c>
      <c r="AG214" s="75"/>
      <c r="AJ214" s="79" t="s">
        <v>46</v>
      </c>
      <c r="AK214" s="79">
        <v>0</v>
      </c>
      <c r="BB214" s="286" t="s">
        <v>67</v>
      </c>
      <c r="BM214" s="75">
        <f t="shared" si="17"/>
        <v>0</v>
      </c>
      <c r="BN214" s="75">
        <f t="shared" si="18"/>
        <v>0</v>
      </c>
      <c r="BO214" s="75">
        <f t="shared" si="19"/>
        <v>0</v>
      </c>
      <c r="BP214" s="75">
        <f t="shared" si="20"/>
        <v>0</v>
      </c>
    </row>
    <row r="215" spans="1:68" x14ac:dyDescent="0.2">
      <c r="A215" s="710"/>
      <c r="B215" s="710"/>
      <c r="C215" s="710"/>
      <c r="D215" s="710"/>
      <c r="E215" s="710"/>
      <c r="F215" s="710"/>
      <c r="G215" s="710"/>
      <c r="H215" s="710"/>
      <c r="I215" s="710"/>
      <c r="J215" s="710"/>
      <c r="K215" s="710"/>
      <c r="L215" s="710"/>
      <c r="M215" s="710"/>
      <c r="N215" s="710"/>
      <c r="O215" s="711"/>
      <c r="P215" s="707" t="s">
        <v>40</v>
      </c>
      <c r="Q215" s="708"/>
      <c r="R215" s="708"/>
      <c r="S215" s="708"/>
      <c r="T215" s="708"/>
      <c r="U215" s="708"/>
      <c r="V215" s="709"/>
      <c r="W215" s="40" t="s">
        <v>39</v>
      </c>
      <c r="X215" s="41">
        <f>IFERROR(X208/H208,"0")+IFERROR(X209/H209,"0")+IFERROR(X210/H210,"0")+IFERROR(X211/H211,"0")+IFERROR(X212/H212,"0")+IFERROR(X213/H213,"0")+IFERROR(X214/H214,"0")</f>
        <v>0</v>
      </c>
      <c r="Y215" s="41">
        <f>IFERROR(Y208/H208,"0")+IFERROR(Y209/H209,"0")+IFERROR(Y210/H210,"0")+IFERROR(Y211/H211,"0")+IFERROR(Y212/H212,"0")+IFERROR(Y213/H213,"0")+IFERROR(Y214/H214,"0")</f>
        <v>0</v>
      </c>
      <c r="Z215" s="41">
        <f>IFERROR(IF(Z208="",0,Z208),"0")+IFERROR(IF(Z209="",0,Z209),"0")+IFERROR(IF(Z210="",0,Z210),"0")+IFERROR(IF(Z211="",0,Z211),"0")+IFERROR(IF(Z212="",0,Z212),"0")+IFERROR(IF(Z213="",0,Z213),"0")+IFERROR(IF(Z214="",0,Z214),"0")</f>
        <v>0</v>
      </c>
      <c r="AA215" s="64"/>
      <c r="AB215" s="64"/>
      <c r="AC215" s="64"/>
    </row>
    <row r="216" spans="1:68" x14ac:dyDescent="0.2">
      <c r="A216" s="710"/>
      <c r="B216" s="710"/>
      <c r="C216" s="710"/>
      <c r="D216" s="710"/>
      <c r="E216" s="710"/>
      <c r="F216" s="710"/>
      <c r="G216" s="710"/>
      <c r="H216" s="710"/>
      <c r="I216" s="710"/>
      <c r="J216" s="710"/>
      <c r="K216" s="710"/>
      <c r="L216" s="710"/>
      <c r="M216" s="710"/>
      <c r="N216" s="710"/>
      <c r="O216" s="711"/>
      <c r="P216" s="707" t="s">
        <v>40</v>
      </c>
      <c r="Q216" s="708"/>
      <c r="R216" s="708"/>
      <c r="S216" s="708"/>
      <c r="T216" s="708"/>
      <c r="U216" s="708"/>
      <c r="V216" s="709"/>
      <c r="W216" s="40" t="s">
        <v>0</v>
      </c>
      <c r="X216" s="41">
        <f>IFERROR(SUM(X208:X214),"0")</f>
        <v>0</v>
      </c>
      <c r="Y216" s="41">
        <f>IFERROR(SUM(Y208:Y214),"0")</f>
        <v>0</v>
      </c>
      <c r="Z216" s="40"/>
      <c r="AA216" s="64"/>
      <c r="AB216" s="64"/>
      <c r="AC216" s="64"/>
    </row>
    <row r="217" spans="1:68" ht="16.5" customHeight="1" x14ac:dyDescent="0.25">
      <c r="A217" s="700" t="s">
        <v>380</v>
      </c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  <c r="AA217" s="62"/>
      <c r="AB217" s="62"/>
      <c r="AC217" s="62"/>
    </row>
    <row r="218" spans="1:68" ht="14.25" customHeight="1" x14ac:dyDescent="0.25">
      <c r="A218" s="701" t="s">
        <v>164</v>
      </c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  <c r="AA218" s="63"/>
      <c r="AB218" s="63"/>
      <c r="AC218" s="63"/>
    </row>
    <row r="219" spans="1:68" ht="27" customHeight="1" x14ac:dyDescent="0.25">
      <c r="A219" s="60" t="s">
        <v>381</v>
      </c>
      <c r="B219" s="60" t="s">
        <v>382</v>
      </c>
      <c r="C219" s="34">
        <v>4301020323</v>
      </c>
      <c r="D219" s="702">
        <v>4680115886223</v>
      </c>
      <c r="E219" s="702"/>
      <c r="F219" s="59">
        <v>0.33</v>
      </c>
      <c r="G219" s="35">
        <v>6</v>
      </c>
      <c r="H219" s="59">
        <v>1.98</v>
      </c>
      <c r="I219" s="59">
        <v>2.08</v>
      </c>
      <c r="J219" s="35">
        <v>234</v>
      </c>
      <c r="K219" s="35" t="s">
        <v>82</v>
      </c>
      <c r="L219" s="35" t="s">
        <v>46</v>
      </c>
      <c r="M219" s="36" t="s">
        <v>81</v>
      </c>
      <c r="N219" s="36"/>
      <c r="O219" s="35">
        <v>40</v>
      </c>
      <c r="P219" s="813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19" s="704"/>
      <c r="R219" s="704"/>
      <c r="S219" s="704"/>
      <c r="T219" s="705"/>
      <c r="U219" s="37" t="s">
        <v>46</v>
      </c>
      <c r="V219" s="37" t="s">
        <v>46</v>
      </c>
      <c r="W219" s="38" t="s">
        <v>0</v>
      </c>
      <c r="X219" s="56">
        <v>0</v>
      </c>
      <c r="Y219" s="53">
        <f>IFERROR(IF(X219="",0,CEILING((X219/$H219),1)*$H219),"")</f>
        <v>0</v>
      </c>
      <c r="Z219" s="39" t="str">
        <f>IFERROR(IF(Y219=0,"",ROUNDUP(Y219/H219,0)*0.00502),"")</f>
        <v/>
      </c>
      <c r="AA219" s="65" t="s">
        <v>46</v>
      </c>
      <c r="AB219" s="66" t="s">
        <v>46</v>
      </c>
      <c r="AC219" s="287" t="s">
        <v>383</v>
      </c>
      <c r="AG219" s="75"/>
      <c r="AJ219" s="79" t="s">
        <v>46</v>
      </c>
      <c r="AK219" s="79">
        <v>0</v>
      </c>
      <c r="BB219" s="288" t="s">
        <v>67</v>
      </c>
      <c r="BM219" s="75">
        <f>IFERROR(X219*I219/H219,"0")</f>
        <v>0</v>
      </c>
      <c r="BN219" s="75">
        <f>IFERROR(Y219*I219/H219,"0")</f>
        <v>0</v>
      </c>
      <c r="BO219" s="75">
        <f>IFERROR(1/J219*(X219/H219),"0")</f>
        <v>0</v>
      </c>
      <c r="BP219" s="75">
        <f>IFERROR(1/J219*(Y219/H219),"0")</f>
        <v>0</v>
      </c>
    </row>
    <row r="220" spans="1:68" x14ac:dyDescent="0.2">
      <c r="A220" s="710"/>
      <c r="B220" s="710"/>
      <c r="C220" s="710"/>
      <c r="D220" s="710"/>
      <c r="E220" s="710"/>
      <c r="F220" s="710"/>
      <c r="G220" s="710"/>
      <c r="H220" s="710"/>
      <c r="I220" s="710"/>
      <c r="J220" s="710"/>
      <c r="K220" s="710"/>
      <c r="L220" s="710"/>
      <c r="M220" s="710"/>
      <c r="N220" s="710"/>
      <c r="O220" s="711"/>
      <c r="P220" s="707" t="s">
        <v>40</v>
      </c>
      <c r="Q220" s="708"/>
      <c r="R220" s="708"/>
      <c r="S220" s="708"/>
      <c r="T220" s="708"/>
      <c r="U220" s="708"/>
      <c r="V220" s="709"/>
      <c r="W220" s="40" t="s">
        <v>39</v>
      </c>
      <c r="X220" s="41">
        <f>IFERROR(X219/H219,"0")</f>
        <v>0</v>
      </c>
      <c r="Y220" s="41">
        <f>IFERROR(Y219/H219,"0")</f>
        <v>0</v>
      </c>
      <c r="Z220" s="41">
        <f>IFERROR(IF(Z219="",0,Z219),"0")</f>
        <v>0</v>
      </c>
      <c r="AA220" s="64"/>
      <c r="AB220" s="64"/>
      <c r="AC220" s="64"/>
    </row>
    <row r="221" spans="1:68" x14ac:dyDescent="0.2">
      <c r="A221" s="710"/>
      <c r="B221" s="710"/>
      <c r="C221" s="710"/>
      <c r="D221" s="710"/>
      <c r="E221" s="710"/>
      <c r="F221" s="710"/>
      <c r="G221" s="710"/>
      <c r="H221" s="710"/>
      <c r="I221" s="710"/>
      <c r="J221" s="710"/>
      <c r="K221" s="710"/>
      <c r="L221" s="710"/>
      <c r="M221" s="710"/>
      <c r="N221" s="710"/>
      <c r="O221" s="711"/>
      <c r="P221" s="707" t="s">
        <v>40</v>
      </c>
      <c r="Q221" s="708"/>
      <c r="R221" s="708"/>
      <c r="S221" s="708"/>
      <c r="T221" s="708"/>
      <c r="U221" s="708"/>
      <c r="V221" s="709"/>
      <c r="W221" s="40" t="s">
        <v>0</v>
      </c>
      <c r="X221" s="41">
        <f>IFERROR(SUM(X219:X219),"0")</f>
        <v>0</v>
      </c>
      <c r="Y221" s="41">
        <f>IFERROR(SUM(Y219:Y219),"0")</f>
        <v>0</v>
      </c>
      <c r="Z221" s="40"/>
      <c r="AA221" s="64"/>
      <c r="AB221" s="64"/>
      <c r="AC221" s="64"/>
    </row>
    <row r="222" spans="1:68" ht="14.25" customHeight="1" x14ac:dyDescent="0.25">
      <c r="A222" s="701" t="s">
        <v>77</v>
      </c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  <c r="AA222" s="63"/>
      <c r="AB222" s="63"/>
      <c r="AC222" s="63"/>
    </row>
    <row r="223" spans="1:68" ht="27" customHeight="1" x14ac:dyDescent="0.25">
      <c r="A223" s="60" t="s">
        <v>384</v>
      </c>
      <c r="B223" s="60" t="s">
        <v>385</v>
      </c>
      <c r="C223" s="34">
        <v>4301031191</v>
      </c>
      <c r="D223" s="702">
        <v>4680115880993</v>
      </c>
      <c r="E223" s="702"/>
      <c r="F223" s="59">
        <v>0.7</v>
      </c>
      <c r="G223" s="35">
        <v>6</v>
      </c>
      <c r="H223" s="59">
        <v>4.2</v>
      </c>
      <c r="I223" s="59">
        <v>4.45</v>
      </c>
      <c r="J223" s="35">
        <v>132</v>
      </c>
      <c r="K223" s="35" t="s">
        <v>140</v>
      </c>
      <c r="L223" s="35" t="s">
        <v>46</v>
      </c>
      <c r="M223" s="36" t="s">
        <v>81</v>
      </c>
      <c r="N223" s="36"/>
      <c r="O223" s="35">
        <v>40</v>
      </c>
      <c r="P223" s="814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23" s="704"/>
      <c r="R223" s="704"/>
      <c r="S223" s="704"/>
      <c r="T223" s="705"/>
      <c r="U223" s="37" t="s">
        <v>46</v>
      </c>
      <c r="V223" s="37" t="s">
        <v>46</v>
      </c>
      <c r="W223" s="38" t="s">
        <v>0</v>
      </c>
      <c r="X223" s="56">
        <v>0</v>
      </c>
      <c r="Y223" s="53">
        <f t="shared" ref="Y223:Y236" si="21">IFERROR(IF(X223="",0,CEILING((X223/$H223),1)*$H223),"")</f>
        <v>0</v>
      </c>
      <c r="Z223" s="39" t="str">
        <f>IFERROR(IF(Y223=0,"",ROUNDUP(Y223/H223,0)*0.00902),"")</f>
        <v/>
      </c>
      <c r="AA223" s="65" t="s">
        <v>46</v>
      </c>
      <c r="AB223" s="66" t="s">
        <v>46</v>
      </c>
      <c r="AC223" s="289" t="s">
        <v>386</v>
      </c>
      <c r="AG223" s="75"/>
      <c r="AJ223" s="79" t="s">
        <v>46</v>
      </c>
      <c r="AK223" s="79">
        <v>0</v>
      </c>
      <c r="BB223" s="290" t="s">
        <v>67</v>
      </c>
      <c r="BM223" s="75">
        <f t="shared" ref="BM223:BM236" si="22">IFERROR(X223*I223/H223,"0")</f>
        <v>0</v>
      </c>
      <c r="BN223" s="75">
        <f t="shared" ref="BN223:BN236" si="23">IFERROR(Y223*I223/H223,"0")</f>
        <v>0</v>
      </c>
      <c r="BO223" s="75">
        <f t="shared" ref="BO223:BO236" si="24">IFERROR(1/J223*(X223/H223),"0")</f>
        <v>0</v>
      </c>
      <c r="BP223" s="75">
        <f t="shared" ref="BP223:BP236" si="25">IFERROR(1/J223*(Y223/H223),"0")</f>
        <v>0</v>
      </c>
    </row>
    <row r="224" spans="1:68" ht="27" customHeight="1" x14ac:dyDescent="0.25">
      <c r="A224" s="60" t="s">
        <v>387</v>
      </c>
      <c r="B224" s="60" t="s">
        <v>388</v>
      </c>
      <c r="C224" s="34">
        <v>4301031204</v>
      </c>
      <c r="D224" s="702">
        <v>4680115881761</v>
      </c>
      <c r="E224" s="702"/>
      <c r="F224" s="59">
        <v>0.7</v>
      </c>
      <c r="G224" s="35">
        <v>6</v>
      </c>
      <c r="H224" s="59">
        <v>4.2</v>
      </c>
      <c r="I224" s="59">
        <v>4.45</v>
      </c>
      <c r="J224" s="35">
        <v>132</v>
      </c>
      <c r="K224" s="35" t="s">
        <v>140</v>
      </c>
      <c r="L224" s="35" t="s">
        <v>46</v>
      </c>
      <c r="M224" s="36" t="s">
        <v>81</v>
      </c>
      <c r="N224" s="36"/>
      <c r="O224" s="35">
        <v>40</v>
      </c>
      <c r="P224" s="815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24" s="704"/>
      <c r="R224" s="704"/>
      <c r="S224" s="704"/>
      <c r="T224" s="705"/>
      <c r="U224" s="37" t="s">
        <v>46</v>
      </c>
      <c r="V224" s="37" t="s">
        <v>46</v>
      </c>
      <c r="W224" s="38" t="s">
        <v>0</v>
      </c>
      <c r="X224" s="56">
        <v>0</v>
      </c>
      <c r="Y224" s="53">
        <f t="shared" si="21"/>
        <v>0</v>
      </c>
      <c r="Z224" s="39" t="str">
        <f>IFERROR(IF(Y224=0,"",ROUNDUP(Y224/H224,0)*0.00902),"")</f>
        <v/>
      </c>
      <c r="AA224" s="65" t="s">
        <v>46</v>
      </c>
      <c r="AB224" s="66" t="s">
        <v>46</v>
      </c>
      <c r="AC224" s="291" t="s">
        <v>389</v>
      </c>
      <c r="AG224" s="75"/>
      <c r="AJ224" s="79" t="s">
        <v>46</v>
      </c>
      <c r="AK224" s="79">
        <v>0</v>
      </c>
      <c r="BB224" s="292" t="s">
        <v>67</v>
      </c>
      <c r="BM224" s="75">
        <f t="shared" si="22"/>
        <v>0</v>
      </c>
      <c r="BN224" s="75">
        <f t="shared" si="23"/>
        <v>0</v>
      </c>
      <c r="BO224" s="75">
        <f t="shared" si="24"/>
        <v>0</v>
      </c>
      <c r="BP224" s="75">
        <f t="shared" si="25"/>
        <v>0</v>
      </c>
    </row>
    <row r="225" spans="1:68" ht="27" customHeight="1" x14ac:dyDescent="0.25">
      <c r="A225" s="60" t="s">
        <v>390</v>
      </c>
      <c r="B225" s="60" t="s">
        <v>391</v>
      </c>
      <c r="C225" s="34">
        <v>4301031201</v>
      </c>
      <c r="D225" s="702">
        <v>4680115881563</v>
      </c>
      <c r="E225" s="702"/>
      <c r="F225" s="59">
        <v>0.7</v>
      </c>
      <c r="G225" s="35">
        <v>6</v>
      </c>
      <c r="H225" s="59">
        <v>4.2</v>
      </c>
      <c r="I225" s="59">
        <v>4.3899999999999997</v>
      </c>
      <c r="J225" s="35">
        <v>132</v>
      </c>
      <c r="K225" s="35" t="s">
        <v>140</v>
      </c>
      <c r="L225" s="35" t="s">
        <v>46</v>
      </c>
      <c r="M225" s="36" t="s">
        <v>81</v>
      </c>
      <c r="N225" s="36"/>
      <c r="O225" s="35">
        <v>40</v>
      </c>
      <c r="P225" s="816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25" s="704"/>
      <c r="R225" s="704"/>
      <c r="S225" s="704"/>
      <c r="T225" s="705"/>
      <c r="U225" s="37" t="s">
        <v>46</v>
      </c>
      <c r="V225" s="37" t="s">
        <v>46</v>
      </c>
      <c r="W225" s="38" t="s">
        <v>0</v>
      </c>
      <c r="X225" s="56">
        <v>0</v>
      </c>
      <c r="Y225" s="53">
        <f t="shared" si="21"/>
        <v>0</v>
      </c>
      <c r="Z225" s="39" t="str">
        <f>IFERROR(IF(Y225=0,"",ROUNDUP(Y225/H225,0)*0.00902),"")</f>
        <v/>
      </c>
      <c r="AA225" s="65" t="s">
        <v>46</v>
      </c>
      <c r="AB225" s="66" t="s">
        <v>46</v>
      </c>
      <c r="AC225" s="293" t="s">
        <v>392</v>
      </c>
      <c r="AG225" s="75"/>
      <c r="AJ225" s="79" t="s">
        <v>46</v>
      </c>
      <c r="AK225" s="79">
        <v>0</v>
      </c>
      <c r="BB225" s="294" t="s">
        <v>67</v>
      </c>
      <c r="BM225" s="75">
        <f t="shared" si="22"/>
        <v>0</v>
      </c>
      <c r="BN225" s="75">
        <f t="shared" si="23"/>
        <v>0</v>
      </c>
      <c r="BO225" s="75">
        <f t="shared" si="24"/>
        <v>0</v>
      </c>
      <c r="BP225" s="75">
        <f t="shared" si="25"/>
        <v>0</v>
      </c>
    </row>
    <row r="226" spans="1:68" ht="37.5" customHeight="1" x14ac:dyDescent="0.25">
      <c r="A226" s="60" t="s">
        <v>393</v>
      </c>
      <c r="B226" s="60" t="s">
        <v>394</v>
      </c>
      <c r="C226" s="34">
        <v>4301031447</v>
      </c>
      <c r="D226" s="702">
        <v>4680115887565</v>
      </c>
      <c r="E226" s="702"/>
      <c r="F226" s="59">
        <v>0.08</v>
      </c>
      <c r="G226" s="35">
        <v>10</v>
      </c>
      <c r="H226" s="59">
        <v>0.8</v>
      </c>
      <c r="I226" s="59">
        <v>0.93</v>
      </c>
      <c r="J226" s="35">
        <v>252</v>
      </c>
      <c r="K226" s="35" t="s">
        <v>82</v>
      </c>
      <c r="L226" s="35" t="s">
        <v>46</v>
      </c>
      <c r="M226" s="36" t="s">
        <v>81</v>
      </c>
      <c r="N226" s="36"/>
      <c r="O226" s="35">
        <v>45</v>
      </c>
      <c r="P226" s="817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26" s="704"/>
      <c r="R226" s="704"/>
      <c r="S226" s="704"/>
      <c r="T226" s="705"/>
      <c r="U226" s="37" t="s">
        <v>46</v>
      </c>
      <c r="V226" s="37" t="s">
        <v>46</v>
      </c>
      <c r="W226" s="38" t="s">
        <v>0</v>
      </c>
      <c r="X226" s="56">
        <v>0</v>
      </c>
      <c r="Y226" s="53">
        <f t="shared" si="21"/>
        <v>0</v>
      </c>
      <c r="Z226" s="39" t="str">
        <f>IFERROR(IF(Y226=0,"",ROUNDUP(Y226/H226,0)*0.00556),"")</f>
        <v/>
      </c>
      <c r="AA226" s="65" t="s">
        <v>46</v>
      </c>
      <c r="AB226" s="66" t="s">
        <v>46</v>
      </c>
      <c r="AC226" s="295" t="s">
        <v>395</v>
      </c>
      <c r="AG226" s="75"/>
      <c r="AJ226" s="79" t="s">
        <v>46</v>
      </c>
      <c r="AK226" s="79">
        <v>0</v>
      </c>
      <c r="BB226" s="296" t="s">
        <v>67</v>
      </c>
      <c r="BM226" s="75">
        <f t="shared" si="22"/>
        <v>0</v>
      </c>
      <c r="BN226" s="75">
        <f t="shared" si="23"/>
        <v>0</v>
      </c>
      <c r="BO226" s="75">
        <f t="shared" si="24"/>
        <v>0</v>
      </c>
      <c r="BP226" s="75">
        <f t="shared" si="25"/>
        <v>0</v>
      </c>
    </row>
    <row r="227" spans="1:68" ht="27" customHeight="1" x14ac:dyDescent="0.25">
      <c r="A227" s="60" t="s">
        <v>396</v>
      </c>
      <c r="B227" s="60" t="s">
        <v>397</v>
      </c>
      <c r="C227" s="34">
        <v>4301031199</v>
      </c>
      <c r="D227" s="702">
        <v>4680115880986</v>
      </c>
      <c r="E227" s="702"/>
      <c r="F227" s="59">
        <v>0.35</v>
      </c>
      <c r="G227" s="35">
        <v>6</v>
      </c>
      <c r="H227" s="59">
        <v>2.1</v>
      </c>
      <c r="I227" s="59">
        <v>2.23</v>
      </c>
      <c r="J227" s="35">
        <v>234</v>
      </c>
      <c r="K227" s="35" t="s">
        <v>82</v>
      </c>
      <c r="L227" s="35" t="s">
        <v>46</v>
      </c>
      <c r="M227" s="36" t="s">
        <v>81</v>
      </c>
      <c r="N227" s="36"/>
      <c r="O227" s="35">
        <v>40</v>
      </c>
      <c r="P227" s="818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27" s="704"/>
      <c r="R227" s="704"/>
      <c r="S227" s="704"/>
      <c r="T227" s="705"/>
      <c r="U227" s="37" t="s">
        <v>46</v>
      </c>
      <c r="V227" s="37" t="s">
        <v>46</v>
      </c>
      <c r="W227" s="38" t="s">
        <v>0</v>
      </c>
      <c r="X227" s="56">
        <v>0</v>
      </c>
      <c r="Y227" s="53">
        <f t="shared" si="21"/>
        <v>0</v>
      </c>
      <c r="Z227" s="39" t="str">
        <f t="shared" ref="Z227:Z232" si="26">IFERROR(IF(Y227=0,"",ROUNDUP(Y227/H227,0)*0.00502),"")</f>
        <v/>
      </c>
      <c r="AA227" s="65" t="s">
        <v>46</v>
      </c>
      <c r="AB227" s="66" t="s">
        <v>46</v>
      </c>
      <c r="AC227" s="297" t="s">
        <v>386</v>
      </c>
      <c r="AG227" s="75"/>
      <c r="AJ227" s="79" t="s">
        <v>46</v>
      </c>
      <c r="AK227" s="79">
        <v>0</v>
      </c>
      <c r="BB227" s="298" t="s">
        <v>67</v>
      </c>
      <c r="BM227" s="75">
        <f t="shared" si="22"/>
        <v>0</v>
      </c>
      <c r="BN227" s="75">
        <f t="shared" si="23"/>
        <v>0</v>
      </c>
      <c r="BO227" s="75">
        <f t="shared" si="24"/>
        <v>0</v>
      </c>
      <c r="BP227" s="75">
        <f t="shared" si="25"/>
        <v>0</v>
      </c>
    </row>
    <row r="228" spans="1:68" ht="27" customHeight="1" x14ac:dyDescent="0.25">
      <c r="A228" s="60" t="s">
        <v>398</v>
      </c>
      <c r="B228" s="60" t="s">
        <v>399</v>
      </c>
      <c r="C228" s="34">
        <v>4301031443</v>
      </c>
      <c r="D228" s="702">
        <v>4680115887213</v>
      </c>
      <c r="E228" s="702"/>
      <c r="F228" s="59">
        <v>0.3</v>
      </c>
      <c r="G228" s="35">
        <v>6</v>
      </c>
      <c r="H228" s="59">
        <v>1.8</v>
      </c>
      <c r="I228" s="59">
        <v>1.9</v>
      </c>
      <c r="J228" s="35">
        <v>234</v>
      </c>
      <c r="K228" s="35" t="s">
        <v>82</v>
      </c>
      <c r="L228" s="35" t="s">
        <v>46</v>
      </c>
      <c r="M228" s="36" t="s">
        <v>81</v>
      </c>
      <c r="N228" s="36"/>
      <c r="O228" s="35">
        <v>45</v>
      </c>
      <c r="P228" s="819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28" s="704"/>
      <c r="R228" s="704"/>
      <c r="S228" s="704"/>
      <c r="T228" s="705"/>
      <c r="U228" s="37" t="s">
        <v>46</v>
      </c>
      <c r="V228" s="37" t="s">
        <v>46</v>
      </c>
      <c r="W228" s="38" t="s">
        <v>0</v>
      </c>
      <c r="X228" s="56">
        <v>0</v>
      </c>
      <c r="Y228" s="53">
        <f t="shared" si="21"/>
        <v>0</v>
      </c>
      <c r="Z228" s="39" t="str">
        <f t="shared" si="26"/>
        <v/>
      </c>
      <c r="AA228" s="65" t="s">
        <v>46</v>
      </c>
      <c r="AB228" s="66" t="s">
        <v>46</v>
      </c>
      <c r="AC228" s="299" t="s">
        <v>400</v>
      </c>
      <c r="AG228" s="75"/>
      <c r="AJ228" s="79" t="s">
        <v>46</v>
      </c>
      <c r="AK228" s="79">
        <v>0</v>
      </c>
      <c r="BB228" s="300" t="s">
        <v>67</v>
      </c>
      <c r="BM228" s="75">
        <f t="shared" si="22"/>
        <v>0</v>
      </c>
      <c r="BN228" s="75">
        <f t="shared" si="23"/>
        <v>0</v>
      </c>
      <c r="BO228" s="75">
        <f t="shared" si="24"/>
        <v>0</v>
      </c>
      <c r="BP228" s="75">
        <f t="shared" si="25"/>
        <v>0</v>
      </c>
    </row>
    <row r="229" spans="1:68" ht="27" customHeight="1" x14ac:dyDescent="0.25">
      <c r="A229" s="60" t="s">
        <v>401</v>
      </c>
      <c r="B229" s="60" t="s">
        <v>402</v>
      </c>
      <c r="C229" s="34">
        <v>4301031205</v>
      </c>
      <c r="D229" s="702">
        <v>4680115881785</v>
      </c>
      <c r="E229" s="702"/>
      <c r="F229" s="59">
        <v>0.35</v>
      </c>
      <c r="G229" s="35">
        <v>6</v>
      </c>
      <c r="H229" s="59">
        <v>2.1</v>
      </c>
      <c r="I229" s="59">
        <v>2.23</v>
      </c>
      <c r="J229" s="35">
        <v>234</v>
      </c>
      <c r="K229" s="35" t="s">
        <v>82</v>
      </c>
      <c r="L229" s="35" t="s">
        <v>46</v>
      </c>
      <c r="M229" s="36" t="s">
        <v>81</v>
      </c>
      <c r="N229" s="36"/>
      <c r="O229" s="35">
        <v>40</v>
      </c>
      <c r="P229" s="820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29" s="704"/>
      <c r="R229" s="704"/>
      <c r="S229" s="704"/>
      <c r="T229" s="705"/>
      <c r="U229" s="37" t="s">
        <v>46</v>
      </c>
      <c r="V229" s="37" t="s">
        <v>46</v>
      </c>
      <c r="W229" s="38" t="s">
        <v>0</v>
      </c>
      <c r="X229" s="56">
        <v>0</v>
      </c>
      <c r="Y229" s="53">
        <f t="shared" si="21"/>
        <v>0</v>
      </c>
      <c r="Z229" s="39" t="str">
        <f t="shared" si="26"/>
        <v/>
      </c>
      <c r="AA229" s="65" t="s">
        <v>46</v>
      </c>
      <c r="AB229" s="66" t="s">
        <v>46</v>
      </c>
      <c r="AC229" s="301" t="s">
        <v>389</v>
      </c>
      <c r="AG229" s="75"/>
      <c r="AJ229" s="79" t="s">
        <v>46</v>
      </c>
      <c r="AK229" s="79">
        <v>0</v>
      </c>
      <c r="BB229" s="302" t="s">
        <v>67</v>
      </c>
      <c r="BM229" s="75">
        <f t="shared" si="22"/>
        <v>0</v>
      </c>
      <c r="BN229" s="75">
        <f t="shared" si="23"/>
        <v>0</v>
      </c>
      <c r="BO229" s="75">
        <f t="shared" si="24"/>
        <v>0</v>
      </c>
      <c r="BP229" s="75">
        <f t="shared" si="25"/>
        <v>0</v>
      </c>
    </row>
    <row r="230" spans="1:68" ht="27" customHeight="1" x14ac:dyDescent="0.25">
      <c r="A230" s="60" t="s">
        <v>403</v>
      </c>
      <c r="B230" s="60" t="s">
        <v>404</v>
      </c>
      <c r="C230" s="34">
        <v>4301031499</v>
      </c>
      <c r="D230" s="702">
        <v>4680115888432</v>
      </c>
      <c r="E230" s="702"/>
      <c r="F230" s="59">
        <v>0.3</v>
      </c>
      <c r="G230" s="35">
        <v>6</v>
      </c>
      <c r="H230" s="59">
        <v>1.8</v>
      </c>
      <c r="I230" s="59">
        <v>1.93</v>
      </c>
      <c r="J230" s="35">
        <v>234</v>
      </c>
      <c r="K230" s="35" t="s">
        <v>82</v>
      </c>
      <c r="L230" s="35" t="s">
        <v>46</v>
      </c>
      <c r="M230" s="36" t="s">
        <v>81</v>
      </c>
      <c r="N230" s="36"/>
      <c r="O230" s="35">
        <v>45</v>
      </c>
      <c r="P230" s="821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30" s="704"/>
      <c r="R230" s="704"/>
      <c r="S230" s="704"/>
      <c r="T230" s="705"/>
      <c r="U230" s="37" t="s">
        <v>46</v>
      </c>
      <c r="V230" s="37" t="s">
        <v>46</v>
      </c>
      <c r="W230" s="38" t="s">
        <v>0</v>
      </c>
      <c r="X230" s="56">
        <v>0</v>
      </c>
      <c r="Y230" s="53">
        <f t="shared" si="21"/>
        <v>0</v>
      </c>
      <c r="Z230" s="39" t="str">
        <f t="shared" si="26"/>
        <v/>
      </c>
      <c r="AA230" s="65" t="s">
        <v>46</v>
      </c>
      <c r="AB230" s="66" t="s">
        <v>46</v>
      </c>
      <c r="AC230" s="303" t="s">
        <v>405</v>
      </c>
      <c r="AG230" s="75"/>
      <c r="AJ230" s="79" t="s">
        <v>46</v>
      </c>
      <c r="AK230" s="79">
        <v>0</v>
      </c>
      <c r="BB230" s="304" t="s">
        <v>67</v>
      </c>
      <c r="BM230" s="75">
        <f t="shared" si="22"/>
        <v>0</v>
      </c>
      <c r="BN230" s="75">
        <f t="shared" si="23"/>
        <v>0</v>
      </c>
      <c r="BO230" s="75">
        <f t="shared" si="24"/>
        <v>0</v>
      </c>
      <c r="BP230" s="75">
        <f t="shared" si="25"/>
        <v>0</v>
      </c>
    </row>
    <row r="231" spans="1:68" ht="27" customHeight="1" x14ac:dyDescent="0.25">
      <c r="A231" s="60" t="s">
        <v>406</v>
      </c>
      <c r="B231" s="60" t="s">
        <v>407</v>
      </c>
      <c r="C231" s="34">
        <v>4301031427</v>
      </c>
      <c r="D231" s="702">
        <v>4680115888104</v>
      </c>
      <c r="E231" s="702"/>
      <c r="F231" s="59">
        <v>0.35</v>
      </c>
      <c r="G231" s="35">
        <v>6</v>
      </c>
      <c r="H231" s="59">
        <v>2.1</v>
      </c>
      <c r="I231" s="59">
        <v>2.2000000000000002</v>
      </c>
      <c r="J231" s="35">
        <v>234</v>
      </c>
      <c r="K231" s="35" t="s">
        <v>82</v>
      </c>
      <c r="L231" s="35" t="s">
        <v>46</v>
      </c>
      <c r="M231" s="36" t="s">
        <v>81</v>
      </c>
      <c r="N231" s="36"/>
      <c r="O231" s="35">
        <v>45</v>
      </c>
      <c r="P231" s="822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31" s="704"/>
      <c r="R231" s="704"/>
      <c r="S231" s="704"/>
      <c r="T231" s="705"/>
      <c r="U231" s="37" t="s">
        <v>46</v>
      </c>
      <c r="V231" s="37" t="s">
        <v>46</v>
      </c>
      <c r="W231" s="38" t="s">
        <v>0</v>
      </c>
      <c r="X231" s="56">
        <v>0</v>
      </c>
      <c r="Y231" s="53">
        <f t="shared" si="21"/>
        <v>0</v>
      </c>
      <c r="Z231" s="39" t="str">
        <f t="shared" si="26"/>
        <v/>
      </c>
      <c r="AA231" s="65" t="s">
        <v>46</v>
      </c>
      <c r="AB231" s="66" t="s">
        <v>46</v>
      </c>
      <c r="AC231" s="305" t="s">
        <v>408</v>
      </c>
      <c r="AG231" s="75"/>
      <c r="AJ231" s="79" t="s">
        <v>46</v>
      </c>
      <c r="AK231" s="79">
        <v>0</v>
      </c>
      <c r="BB231" s="306" t="s">
        <v>67</v>
      </c>
      <c r="BM231" s="75">
        <f t="shared" si="22"/>
        <v>0</v>
      </c>
      <c r="BN231" s="75">
        <f t="shared" si="23"/>
        <v>0</v>
      </c>
      <c r="BO231" s="75">
        <f t="shared" si="24"/>
        <v>0</v>
      </c>
      <c r="BP231" s="75">
        <f t="shared" si="25"/>
        <v>0</v>
      </c>
    </row>
    <row r="232" spans="1:68" ht="27" customHeight="1" x14ac:dyDescent="0.25">
      <c r="A232" s="60" t="s">
        <v>409</v>
      </c>
      <c r="B232" s="60" t="s">
        <v>410</v>
      </c>
      <c r="C232" s="34">
        <v>4301031399</v>
      </c>
      <c r="D232" s="702">
        <v>4680115886537</v>
      </c>
      <c r="E232" s="702"/>
      <c r="F232" s="59">
        <v>0.3</v>
      </c>
      <c r="G232" s="35">
        <v>6</v>
      </c>
      <c r="H232" s="59">
        <v>1.8</v>
      </c>
      <c r="I232" s="59">
        <v>1.93</v>
      </c>
      <c r="J232" s="35">
        <v>234</v>
      </c>
      <c r="K232" s="35" t="s">
        <v>82</v>
      </c>
      <c r="L232" s="35" t="s">
        <v>46</v>
      </c>
      <c r="M232" s="36" t="s">
        <v>81</v>
      </c>
      <c r="N232" s="36"/>
      <c r="O232" s="35">
        <v>40</v>
      </c>
      <c r="P232" s="823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32" s="704"/>
      <c r="R232" s="704"/>
      <c r="S232" s="704"/>
      <c r="T232" s="705"/>
      <c r="U232" s="37" t="s">
        <v>46</v>
      </c>
      <c r="V232" s="37" t="s">
        <v>46</v>
      </c>
      <c r="W232" s="38" t="s">
        <v>0</v>
      </c>
      <c r="X232" s="56">
        <v>0</v>
      </c>
      <c r="Y232" s="53">
        <f t="shared" si="21"/>
        <v>0</v>
      </c>
      <c r="Z232" s="39" t="str">
        <f t="shared" si="26"/>
        <v/>
      </c>
      <c r="AA232" s="65" t="s">
        <v>46</v>
      </c>
      <c r="AB232" s="66" t="s">
        <v>46</v>
      </c>
      <c r="AC232" s="307" t="s">
        <v>411</v>
      </c>
      <c r="AG232" s="75"/>
      <c r="AJ232" s="79" t="s">
        <v>46</v>
      </c>
      <c r="AK232" s="79">
        <v>0</v>
      </c>
      <c r="BB232" s="308" t="s">
        <v>67</v>
      </c>
      <c r="BM232" s="75">
        <f t="shared" si="22"/>
        <v>0</v>
      </c>
      <c r="BN232" s="75">
        <f t="shared" si="23"/>
        <v>0</v>
      </c>
      <c r="BO232" s="75">
        <f t="shared" si="24"/>
        <v>0</v>
      </c>
      <c r="BP232" s="75">
        <f t="shared" si="25"/>
        <v>0</v>
      </c>
    </row>
    <row r="233" spans="1:68" ht="27" customHeight="1" x14ac:dyDescent="0.25">
      <c r="A233" s="60" t="s">
        <v>412</v>
      </c>
      <c r="B233" s="60" t="s">
        <v>413</v>
      </c>
      <c r="C233" s="34">
        <v>4301031279</v>
      </c>
      <c r="D233" s="702">
        <v>4680115887596</v>
      </c>
      <c r="E233" s="702"/>
      <c r="F233" s="59">
        <v>0.08</v>
      </c>
      <c r="G233" s="35">
        <v>10</v>
      </c>
      <c r="H233" s="59">
        <v>0.8</v>
      </c>
      <c r="I233" s="59">
        <v>1.01</v>
      </c>
      <c r="J233" s="35">
        <v>336</v>
      </c>
      <c r="K233" s="35" t="s">
        <v>137</v>
      </c>
      <c r="L233" s="35" t="s">
        <v>46</v>
      </c>
      <c r="M233" s="36" t="s">
        <v>81</v>
      </c>
      <c r="N233" s="36"/>
      <c r="O233" s="35">
        <v>45</v>
      </c>
      <c r="P233" s="824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33" s="704"/>
      <c r="R233" s="704"/>
      <c r="S233" s="704"/>
      <c r="T233" s="705"/>
      <c r="U233" s="37" t="s">
        <v>46</v>
      </c>
      <c r="V233" s="37" t="s">
        <v>46</v>
      </c>
      <c r="W233" s="38" t="s">
        <v>0</v>
      </c>
      <c r="X233" s="56">
        <v>0</v>
      </c>
      <c r="Y233" s="53">
        <f t="shared" si="21"/>
        <v>0</v>
      </c>
      <c r="Z233" s="39" t="str">
        <f>IFERROR(IF(Y233=0,"",ROUNDUP(Y233/H233,0)*0.00417),"")</f>
        <v/>
      </c>
      <c r="AA233" s="65" t="s">
        <v>46</v>
      </c>
      <c r="AB233" s="66" t="s">
        <v>46</v>
      </c>
      <c r="AC233" s="309" t="s">
        <v>414</v>
      </c>
      <c r="AG233" s="75"/>
      <c r="AJ233" s="79" t="s">
        <v>46</v>
      </c>
      <c r="AK233" s="79">
        <v>0</v>
      </c>
      <c r="BB233" s="310" t="s">
        <v>67</v>
      </c>
      <c r="BM233" s="75">
        <f t="shared" si="22"/>
        <v>0</v>
      </c>
      <c r="BN233" s="75">
        <f t="shared" si="23"/>
        <v>0</v>
      </c>
      <c r="BO233" s="75">
        <f t="shared" si="24"/>
        <v>0</v>
      </c>
      <c r="BP233" s="75">
        <f t="shared" si="25"/>
        <v>0</v>
      </c>
    </row>
    <row r="234" spans="1:68" ht="37.5" customHeight="1" x14ac:dyDescent="0.25">
      <c r="A234" s="60" t="s">
        <v>415</v>
      </c>
      <c r="B234" s="60" t="s">
        <v>416</v>
      </c>
      <c r="C234" s="34">
        <v>4301031202</v>
      </c>
      <c r="D234" s="702">
        <v>4680115881679</v>
      </c>
      <c r="E234" s="702"/>
      <c r="F234" s="59">
        <v>0.35</v>
      </c>
      <c r="G234" s="35">
        <v>6</v>
      </c>
      <c r="H234" s="59">
        <v>2.1</v>
      </c>
      <c r="I234" s="59">
        <v>2.2000000000000002</v>
      </c>
      <c r="J234" s="35">
        <v>234</v>
      </c>
      <c r="K234" s="35" t="s">
        <v>82</v>
      </c>
      <c r="L234" s="35" t="s">
        <v>46</v>
      </c>
      <c r="M234" s="36" t="s">
        <v>81</v>
      </c>
      <c r="N234" s="36"/>
      <c r="O234" s="35">
        <v>40</v>
      </c>
      <c r="P234" s="825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234" s="704"/>
      <c r="R234" s="704"/>
      <c r="S234" s="704"/>
      <c r="T234" s="705"/>
      <c r="U234" s="37" t="s">
        <v>46</v>
      </c>
      <c r="V234" s="37" t="s">
        <v>46</v>
      </c>
      <c r="W234" s="38" t="s">
        <v>0</v>
      </c>
      <c r="X234" s="56">
        <v>0</v>
      </c>
      <c r="Y234" s="53">
        <f t="shared" si="21"/>
        <v>0</v>
      </c>
      <c r="Z234" s="39" t="str">
        <f>IFERROR(IF(Y234=0,"",ROUNDUP(Y234/H234,0)*0.00502),"")</f>
        <v/>
      </c>
      <c r="AA234" s="65" t="s">
        <v>46</v>
      </c>
      <c r="AB234" s="66" t="s">
        <v>46</v>
      </c>
      <c r="AC234" s="311" t="s">
        <v>392</v>
      </c>
      <c r="AG234" s="75"/>
      <c r="AJ234" s="79" t="s">
        <v>46</v>
      </c>
      <c r="AK234" s="79">
        <v>0</v>
      </c>
      <c r="BB234" s="312" t="s">
        <v>67</v>
      </c>
      <c r="BM234" s="75">
        <f t="shared" si="22"/>
        <v>0</v>
      </c>
      <c r="BN234" s="75">
        <f t="shared" si="23"/>
        <v>0</v>
      </c>
      <c r="BO234" s="75">
        <f t="shared" si="24"/>
        <v>0</v>
      </c>
      <c r="BP234" s="75">
        <f t="shared" si="25"/>
        <v>0</v>
      </c>
    </row>
    <row r="235" spans="1:68" ht="27" customHeight="1" x14ac:dyDescent="0.25">
      <c r="A235" s="60" t="s">
        <v>417</v>
      </c>
      <c r="B235" s="60" t="s">
        <v>418</v>
      </c>
      <c r="C235" s="34">
        <v>4301031158</v>
      </c>
      <c r="D235" s="702">
        <v>4680115880191</v>
      </c>
      <c r="E235" s="702"/>
      <c r="F235" s="59">
        <v>0.4</v>
      </c>
      <c r="G235" s="35">
        <v>6</v>
      </c>
      <c r="H235" s="59">
        <v>2.4</v>
      </c>
      <c r="I235" s="59">
        <v>2.58</v>
      </c>
      <c r="J235" s="35">
        <v>182</v>
      </c>
      <c r="K235" s="35" t="s">
        <v>91</v>
      </c>
      <c r="L235" s="35" t="s">
        <v>46</v>
      </c>
      <c r="M235" s="36" t="s">
        <v>81</v>
      </c>
      <c r="N235" s="36"/>
      <c r="O235" s="35">
        <v>40</v>
      </c>
      <c r="P235" s="826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35" s="704"/>
      <c r="R235" s="704"/>
      <c r="S235" s="704"/>
      <c r="T235" s="705"/>
      <c r="U235" s="37" t="s">
        <v>46</v>
      </c>
      <c r="V235" s="37" t="s">
        <v>46</v>
      </c>
      <c r="W235" s="38" t="s">
        <v>0</v>
      </c>
      <c r="X235" s="56">
        <v>0</v>
      </c>
      <c r="Y235" s="53">
        <f t="shared" si="21"/>
        <v>0</v>
      </c>
      <c r="Z235" s="39" t="str">
        <f>IFERROR(IF(Y235=0,"",ROUNDUP(Y235/H235,0)*0.00651),"")</f>
        <v/>
      </c>
      <c r="AA235" s="65" t="s">
        <v>46</v>
      </c>
      <c r="AB235" s="66" t="s">
        <v>46</v>
      </c>
      <c r="AC235" s="313" t="s">
        <v>392</v>
      </c>
      <c r="AG235" s="75"/>
      <c r="AJ235" s="79" t="s">
        <v>46</v>
      </c>
      <c r="AK235" s="79">
        <v>0</v>
      </c>
      <c r="BB235" s="314" t="s">
        <v>67</v>
      </c>
      <c r="BM235" s="75">
        <f t="shared" si="22"/>
        <v>0</v>
      </c>
      <c r="BN235" s="75">
        <f t="shared" si="23"/>
        <v>0</v>
      </c>
      <c r="BO235" s="75">
        <f t="shared" si="24"/>
        <v>0</v>
      </c>
      <c r="BP235" s="75">
        <f t="shared" si="25"/>
        <v>0</v>
      </c>
    </row>
    <row r="236" spans="1:68" ht="27" customHeight="1" x14ac:dyDescent="0.25">
      <c r="A236" s="60" t="s">
        <v>419</v>
      </c>
      <c r="B236" s="60" t="s">
        <v>420</v>
      </c>
      <c r="C236" s="34">
        <v>4301031245</v>
      </c>
      <c r="D236" s="702">
        <v>4680115883963</v>
      </c>
      <c r="E236" s="702"/>
      <c r="F236" s="59">
        <v>0.28000000000000003</v>
      </c>
      <c r="G236" s="35">
        <v>6</v>
      </c>
      <c r="H236" s="59">
        <v>1.68</v>
      </c>
      <c r="I236" s="59">
        <v>1.78</v>
      </c>
      <c r="J236" s="35">
        <v>234</v>
      </c>
      <c r="K236" s="35" t="s">
        <v>82</v>
      </c>
      <c r="L236" s="35" t="s">
        <v>46</v>
      </c>
      <c r="M236" s="36" t="s">
        <v>81</v>
      </c>
      <c r="N236" s="36"/>
      <c r="O236" s="35">
        <v>40</v>
      </c>
      <c r="P236" s="827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36" s="704"/>
      <c r="R236" s="704"/>
      <c r="S236" s="704"/>
      <c r="T236" s="705"/>
      <c r="U236" s="37" t="s">
        <v>46</v>
      </c>
      <c r="V236" s="37" t="s">
        <v>46</v>
      </c>
      <c r="W236" s="38" t="s">
        <v>0</v>
      </c>
      <c r="X236" s="56">
        <v>0</v>
      </c>
      <c r="Y236" s="53">
        <f t="shared" si="21"/>
        <v>0</v>
      </c>
      <c r="Z236" s="39" t="str">
        <f>IFERROR(IF(Y236=0,"",ROUNDUP(Y236/H236,0)*0.00502),"")</f>
        <v/>
      </c>
      <c r="AA236" s="65" t="s">
        <v>46</v>
      </c>
      <c r="AB236" s="66" t="s">
        <v>46</v>
      </c>
      <c r="AC236" s="315" t="s">
        <v>421</v>
      </c>
      <c r="AG236" s="75"/>
      <c r="AJ236" s="79" t="s">
        <v>46</v>
      </c>
      <c r="AK236" s="79">
        <v>0</v>
      </c>
      <c r="BB236" s="316" t="s">
        <v>67</v>
      </c>
      <c r="BM236" s="75">
        <f t="shared" si="22"/>
        <v>0</v>
      </c>
      <c r="BN236" s="75">
        <f t="shared" si="23"/>
        <v>0</v>
      </c>
      <c r="BO236" s="75">
        <f t="shared" si="24"/>
        <v>0</v>
      </c>
      <c r="BP236" s="75">
        <f t="shared" si="25"/>
        <v>0</v>
      </c>
    </row>
    <row r="237" spans="1:68" x14ac:dyDescent="0.2">
      <c r="A237" s="710"/>
      <c r="B237" s="710"/>
      <c r="C237" s="710"/>
      <c r="D237" s="710"/>
      <c r="E237" s="710"/>
      <c r="F237" s="710"/>
      <c r="G237" s="710"/>
      <c r="H237" s="710"/>
      <c r="I237" s="710"/>
      <c r="J237" s="710"/>
      <c r="K237" s="710"/>
      <c r="L237" s="710"/>
      <c r="M237" s="710"/>
      <c r="N237" s="710"/>
      <c r="O237" s="711"/>
      <c r="P237" s="707" t="s">
        <v>40</v>
      </c>
      <c r="Q237" s="708"/>
      <c r="R237" s="708"/>
      <c r="S237" s="708"/>
      <c r="T237" s="708"/>
      <c r="U237" s="708"/>
      <c r="V237" s="709"/>
      <c r="W237" s="40" t="s">
        <v>39</v>
      </c>
      <c r="X237" s="41">
        <f>IFERROR(X223/H223,"0")+IFERROR(X224/H224,"0")+IFERROR(X225/H225,"0")+IFERROR(X226/H226,"0")+IFERROR(X227/H227,"0")+IFERROR(X228/H228,"0")+IFERROR(X229/H229,"0")+IFERROR(X230/H230,"0")+IFERROR(X231/H231,"0")+IFERROR(X232/H232,"0")+IFERROR(X233/H233,"0")+IFERROR(X234/H234,"0")+IFERROR(X235/H235,"0")+IFERROR(X236/H236,"0")</f>
        <v>0</v>
      </c>
      <c r="Y237" s="41">
        <f>IFERROR(Y223/H223,"0")+IFERROR(Y224/H224,"0")+IFERROR(Y225/H225,"0")+IFERROR(Y226/H226,"0")+IFERROR(Y227/H227,"0")+IFERROR(Y228/H228,"0")+IFERROR(Y229/H229,"0")+IFERROR(Y230/H230,"0")+IFERROR(Y231/H231,"0")+IFERROR(Y232/H232,"0")+IFERROR(Y233/H233,"0")+IFERROR(Y234/H234,"0")+IFERROR(Y235/H235,"0")+IFERROR(Y236/H236,"0")</f>
        <v>0</v>
      </c>
      <c r="Z237" s="41">
        <f>IFERROR(IF(Z223="",0,Z223),"0")+IFERROR(IF(Z224="",0,Z224),"0")+IFERROR(IF(Z225="",0,Z225),"0")+IFERROR(IF(Z226="",0,Z226),"0")+IFERROR(IF(Z227="",0,Z227),"0")+IFERROR(IF(Z228="",0,Z228),"0")+IFERROR(IF(Z229="",0,Z229),"0")+IFERROR(IF(Z230="",0,Z230),"0")+IFERROR(IF(Z231="",0,Z231),"0")+IFERROR(IF(Z232="",0,Z232),"0")+IFERROR(IF(Z233="",0,Z233),"0")+IFERROR(IF(Z234="",0,Z234),"0")+IFERROR(IF(Z235="",0,Z235),"0")+IFERROR(IF(Z236="",0,Z236),"0")</f>
        <v>0</v>
      </c>
      <c r="AA237" s="64"/>
      <c r="AB237" s="64"/>
      <c r="AC237" s="64"/>
    </row>
    <row r="238" spans="1:68" x14ac:dyDescent="0.2">
      <c r="A238" s="710"/>
      <c r="B238" s="710"/>
      <c r="C238" s="710"/>
      <c r="D238" s="710"/>
      <c r="E238" s="710"/>
      <c r="F238" s="710"/>
      <c r="G238" s="710"/>
      <c r="H238" s="710"/>
      <c r="I238" s="710"/>
      <c r="J238" s="710"/>
      <c r="K238" s="710"/>
      <c r="L238" s="710"/>
      <c r="M238" s="710"/>
      <c r="N238" s="710"/>
      <c r="O238" s="711"/>
      <c r="P238" s="707" t="s">
        <v>40</v>
      </c>
      <c r="Q238" s="708"/>
      <c r="R238" s="708"/>
      <c r="S238" s="708"/>
      <c r="T238" s="708"/>
      <c r="U238" s="708"/>
      <c r="V238" s="709"/>
      <c r="W238" s="40" t="s">
        <v>0</v>
      </c>
      <c r="X238" s="41">
        <f>IFERROR(SUM(X223:X236),"0")</f>
        <v>0</v>
      </c>
      <c r="Y238" s="41">
        <f>IFERROR(SUM(Y223:Y236),"0")</f>
        <v>0</v>
      </c>
      <c r="Z238" s="40"/>
      <c r="AA238" s="64"/>
      <c r="AB238" s="64"/>
      <c r="AC238" s="64"/>
    </row>
    <row r="239" spans="1:68" ht="14.25" customHeight="1" x14ac:dyDescent="0.25">
      <c r="A239" s="701" t="s">
        <v>86</v>
      </c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  <c r="AA239" s="63"/>
      <c r="AB239" s="63"/>
      <c r="AC239" s="63"/>
    </row>
    <row r="240" spans="1:68" ht="16.5" customHeight="1" x14ac:dyDescent="0.25">
      <c r="A240" s="60" t="s">
        <v>422</v>
      </c>
      <c r="B240" s="60" t="s">
        <v>423</v>
      </c>
      <c r="C240" s="34">
        <v>4301052209</v>
      </c>
      <c r="D240" s="702">
        <v>4680115888692</v>
      </c>
      <c r="E240" s="702"/>
      <c r="F240" s="59">
        <v>0.8</v>
      </c>
      <c r="G240" s="35">
        <v>6</v>
      </c>
      <c r="H240" s="59">
        <v>4.8</v>
      </c>
      <c r="I240" s="59">
        <v>5.2220000000000004</v>
      </c>
      <c r="J240" s="35">
        <v>104</v>
      </c>
      <c r="K240" s="35" t="s">
        <v>133</v>
      </c>
      <c r="L240" s="35" t="s">
        <v>46</v>
      </c>
      <c r="M240" s="36" t="s">
        <v>97</v>
      </c>
      <c r="N240" s="36"/>
      <c r="O240" s="35">
        <v>35</v>
      </c>
      <c r="P240" s="828" t="str">
        <f>HYPERLINK("https://abi.ru/products/Охлажденные/Стародворье/Мясорубская/Сосиски/P005435/","Сосиски «Мясорубские» Весовой ц/о ТМ «Стародворье»")</f>
        <v>Сосиски «Мясорубские» Весовой ц/о ТМ «Стародворье»</v>
      </c>
      <c r="Q240" s="704"/>
      <c r="R240" s="704"/>
      <c r="S240" s="704"/>
      <c r="T240" s="705"/>
      <c r="U240" s="37" t="s">
        <v>46</v>
      </c>
      <c r="V240" s="37" t="s">
        <v>46</v>
      </c>
      <c r="W240" s="38" t="s">
        <v>0</v>
      </c>
      <c r="X240" s="56">
        <v>0</v>
      </c>
      <c r="Y240" s="53">
        <f>IFERROR(IF(X240="",0,CEILING((X240/$H240),1)*$H240),"")</f>
        <v>0</v>
      </c>
      <c r="Z240" s="39" t="str">
        <f>IFERROR(IF(Y240=0,"",ROUNDUP(Y240/H240,0)*0.01196),"")</f>
        <v/>
      </c>
      <c r="AA240" s="65" t="s">
        <v>46</v>
      </c>
      <c r="AB240" s="66" t="s">
        <v>46</v>
      </c>
      <c r="AC240" s="317" t="s">
        <v>424</v>
      </c>
      <c r="AG240" s="75"/>
      <c r="AJ240" s="79" t="s">
        <v>46</v>
      </c>
      <c r="AK240" s="79">
        <v>0</v>
      </c>
      <c r="BB240" s="318" t="s">
        <v>67</v>
      </c>
      <c r="BM240" s="75">
        <f>IFERROR(X240*I240/H240,"0")</f>
        <v>0</v>
      </c>
      <c r="BN240" s="75">
        <f>IFERROR(Y240*I240/H240,"0")</f>
        <v>0</v>
      </c>
      <c r="BO240" s="75">
        <f>IFERROR(1/J240*(X240/H240),"0")</f>
        <v>0</v>
      </c>
      <c r="BP240" s="75">
        <f>IFERROR(1/J240*(Y240/H240),"0")</f>
        <v>0</v>
      </c>
    </row>
    <row r="241" spans="1:68" ht="27" customHeight="1" x14ac:dyDescent="0.25">
      <c r="A241" s="60" t="s">
        <v>425</v>
      </c>
      <c r="B241" s="60" t="s">
        <v>426</v>
      </c>
      <c r="C241" s="34">
        <v>4301052213</v>
      </c>
      <c r="D241" s="702">
        <v>4680115888722</v>
      </c>
      <c r="E241" s="702"/>
      <c r="F241" s="59">
        <v>0.8</v>
      </c>
      <c r="G241" s="35">
        <v>6</v>
      </c>
      <c r="H241" s="59">
        <v>4.8</v>
      </c>
      <c r="I241" s="59">
        <v>5.2220000000000004</v>
      </c>
      <c r="J241" s="35">
        <v>104</v>
      </c>
      <c r="K241" s="35" t="s">
        <v>133</v>
      </c>
      <c r="L241" s="35" t="s">
        <v>46</v>
      </c>
      <c r="M241" s="36" t="s">
        <v>97</v>
      </c>
      <c r="N241" s="36"/>
      <c r="O241" s="35">
        <v>35</v>
      </c>
      <c r="P241" s="829" t="str">
        <f>HYPERLINK("https://abi.ru/products/Охлажденные/Стародворье/Мясорубская/Сосиски/P005437/","Сосиски «Мясорубские с сыром» Весовой ц/о ТМ «Стародворье»")</f>
        <v>Сосиски «Мясорубские с сыром» Весовой ц/о ТМ «Стародворье»</v>
      </c>
      <c r="Q241" s="704"/>
      <c r="R241" s="704"/>
      <c r="S241" s="704"/>
      <c r="T241" s="705"/>
      <c r="U241" s="37" t="s">
        <v>46</v>
      </c>
      <c r="V241" s="37" t="s">
        <v>46</v>
      </c>
      <c r="W241" s="38" t="s">
        <v>0</v>
      </c>
      <c r="X241" s="56">
        <v>0</v>
      </c>
      <c r="Y241" s="53">
        <f>IFERROR(IF(X241="",0,CEILING((X241/$H241),1)*$H241),"")</f>
        <v>0</v>
      </c>
      <c r="Z241" s="39" t="str">
        <f>IFERROR(IF(Y241=0,"",ROUNDUP(Y241/H241,0)*0.01196),"")</f>
        <v/>
      </c>
      <c r="AA241" s="65" t="s">
        <v>46</v>
      </c>
      <c r="AB241" s="66" t="s">
        <v>46</v>
      </c>
      <c r="AC241" s="319" t="s">
        <v>427</v>
      </c>
      <c r="AG241" s="75"/>
      <c r="AJ241" s="79" t="s">
        <v>46</v>
      </c>
      <c r="AK241" s="79">
        <v>0</v>
      </c>
      <c r="BB241" s="320" t="s">
        <v>67</v>
      </c>
      <c r="BM241" s="75">
        <f>IFERROR(X241*I241/H241,"0")</f>
        <v>0</v>
      </c>
      <c r="BN241" s="75">
        <f>IFERROR(Y241*I241/H241,"0")</f>
        <v>0</v>
      </c>
      <c r="BO241" s="75">
        <f>IFERROR(1/J241*(X241/H241),"0")</f>
        <v>0</v>
      </c>
      <c r="BP241" s="75">
        <f>IFERROR(1/J241*(Y241/H241),"0")</f>
        <v>0</v>
      </c>
    </row>
    <row r="242" spans="1:68" ht="27" customHeight="1" x14ac:dyDescent="0.25">
      <c r="A242" s="60" t="s">
        <v>428</v>
      </c>
      <c r="B242" s="60" t="s">
        <v>429</v>
      </c>
      <c r="C242" s="34">
        <v>4301052177</v>
      </c>
      <c r="D242" s="702">
        <v>4680115888951</v>
      </c>
      <c r="E242" s="702"/>
      <c r="F242" s="59">
        <v>0.36</v>
      </c>
      <c r="G242" s="35">
        <v>6</v>
      </c>
      <c r="H242" s="59">
        <v>2.16</v>
      </c>
      <c r="I242" s="59">
        <v>2.4220000000000002</v>
      </c>
      <c r="J242" s="35">
        <v>132</v>
      </c>
      <c r="K242" s="35" t="s">
        <v>140</v>
      </c>
      <c r="L242" s="35" t="s">
        <v>46</v>
      </c>
      <c r="M242" s="36" t="s">
        <v>97</v>
      </c>
      <c r="N242" s="36"/>
      <c r="O242" s="35">
        <v>35</v>
      </c>
      <c r="P242" s="830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42" s="704"/>
      <c r="R242" s="704"/>
      <c r="S242" s="704"/>
      <c r="T242" s="705"/>
      <c r="U242" s="37" t="s">
        <v>46</v>
      </c>
      <c r="V242" s="37" t="s">
        <v>46</v>
      </c>
      <c r="W242" s="38" t="s">
        <v>0</v>
      </c>
      <c r="X242" s="56">
        <v>0</v>
      </c>
      <c r="Y242" s="53">
        <f>IFERROR(IF(X242="",0,CEILING((X242/$H242),1)*$H242),"")</f>
        <v>0</v>
      </c>
      <c r="Z242" s="39" t="str">
        <f>IFERROR(IF(Y242=0,"",ROUNDUP(Y242/H242,0)*0.00902),"")</f>
        <v/>
      </c>
      <c r="AA242" s="65" t="s">
        <v>46</v>
      </c>
      <c r="AB242" s="66" t="s">
        <v>46</v>
      </c>
      <c r="AC242" s="321" t="s">
        <v>430</v>
      </c>
      <c r="AG242" s="75"/>
      <c r="AJ242" s="79" t="s">
        <v>46</v>
      </c>
      <c r="AK242" s="79">
        <v>0</v>
      </c>
      <c r="BB242" s="322" t="s">
        <v>67</v>
      </c>
      <c r="BM242" s="75">
        <f>IFERROR(X242*I242/H242,"0")</f>
        <v>0</v>
      </c>
      <c r="BN242" s="75">
        <f>IFERROR(Y242*I242/H242,"0")</f>
        <v>0</v>
      </c>
      <c r="BO242" s="75">
        <f>IFERROR(1/J242*(X242/H242),"0")</f>
        <v>0</v>
      </c>
      <c r="BP242" s="75">
        <f>IFERROR(1/J242*(Y242/H242),"0")</f>
        <v>0</v>
      </c>
    </row>
    <row r="243" spans="1:68" ht="27" customHeight="1" x14ac:dyDescent="0.25">
      <c r="A243" s="60" t="s">
        <v>431</v>
      </c>
      <c r="B243" s="60" t="s">
        <v>432</v>
      </c>
      <c r="C243" s="34">
        <v>4301052178</v>
      </c>
      <c r="D243" s="702">
        <v>4680115888975</v>
      </c>
      <c r="E243" s="702"/>
      <c r="F243" s="59">
        <v>0.32</v>
      </c>
      <c r="G243" s="35">
        <v>6</v>
      </c>
      <c r="H243" s="59">
        <v>1.92</v>
      </c>
      <c r="I243" s="59">
        <v>2.1819999999999999</v>
      </c>
      <c r="J243" s="35">
        <v>132</v>
      </c>
      <c r="K243" s="35" t="s">
        <v>140</v>
      </c>
      <c r="L243" s="35" t="s">
        <v>46</v>
      </c>
      <c r="M243" s="36" t="s">
        <v>97</v>
      </c>
      <c r="N243" s="36"/>
      <c r="O243" s="35">
        <v>35</v>
      </c>
      <c r="P243" s="831" t="str">
        <f>HYPERLINK("https://abi.ru/products/Охлажденные/Стародворье/Мясорубская/Сосиски/P005358/","Сосиски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43" s="704"/>
      <c r="R243" s="704"/>
      <c r="S243" s="704"/>
      <c r="T243" s="705"/>
      <c r="U243" s="37" t="s">
        <v>46</v>
      </c>
      <c r="V243" s="37" t="s">
        <v>46</v>
      </c>
      <c r="W243" s="38" t="s">
        <v>0</v>
      </c>
      <c r="X243" s="56">
        <v>0</v>
      </c>
      <c r="Y243" s="53">
        <f>IFERROR(IF(X243="",0,CEILING((X243/$H243),1)*$H243),"")</f>
        <v>0</v>
      </c>
      <c r="Z243" s="39" t="str">
        <f>IFERROR(IF(Y243=0,"",ROUNDUP(Y243/H243,0)*0.00902),"")</f>
        <v/>
      </c>
      <c r="AA243" s="65" t="s">
        <v>46</v>
      </c>
      <c r="AB243" s="66" t="s">
        <v>46</v>
      </c>
      <c r="AC243" s="323" t="s">
        <v>433</v>
      </c>
      <c r="AG243" s="75"/>
      <c r="AJ243" s="79" t="s">
        <v>46</v>
      </c>
      <c r="AK243" s="79">
        <v>0</v>
      </c>
      <c r="BB243" s="324" t="s">
        <v>67</v>
      </c>
      <c r="BM243" s="75">
        <f>IFERROR(X243*I243/H243,"0")</f>
        <v>0</v>
      </c>
      <c r="BN243" s="75">
        <f>IFERROR(Y243*I243/H243,"0")</f>
        <v>0</v>
      </c>
      <c r="BO243" s="75">
        <f>IFERROR(1/J243*(X243/H243),"0")</f>
        <v>0</v>
      </c>
      <c r="BP243" s="75">
        <f>IFERROR(1/J243*(Y243/H243),"0")</f>
        <v>0</v>
      </c>
    </row>
    <row r="244" spans="1:68" ht="27" customHeight="1" x14ac:dyDescent="0.25">
      <c r="A244" s="60" t="s">
        <v>434</v>
      </c>
      <c r="B244" s="60" t="s">
        <v>435</v>
      </c>
      <c r="C244" s="34">
        <v>4301052176</v>
      </c>
      <c r="D244" s="702">
        <v>4680115888982</v>
      </c>
      <c r="E244" s="702"/>
      <c r="F244" s="59">
        <v>0.36</v>
      </c>
      <c r="G244" s="35">
        <v>6</v>
      </c>
      <c r="H244" s="59">
        <v>2.16</v>
      </c>
      <c r="I244" s="59">
        <v>2.4220000000000002</v>
      </c>
      <c r="J244" s="35">
        <v>132</v>
      </c>
      <c r="K244" s="35" t="s">
        <v>140</v>
      </c>
      <c r="L244" s="35" t="s">
        <v>46</v>
      </c>
      <c r="M244" s="36" t="s">
        <v>97</v>
      </c>
      <c r="N244" s="36"/>
      <c r="O244" s="35">
        <v>35</v>
      </c>
      <c r="P244" s="832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44" s="704"/>
      <c r="R244" s="704"/>
      <c r="S244" s="704"/>
      <c r="T244" s="705"/>
      <c r="U244" s="37" t="s">
        <v>46</v>
      </c>
      <c r="V244" s="37" t="s">
        <v>46</v>
      </c>
      <c r="W244" s="38" t="s">
        <v>0</v>
      </c>
      <c r="X244" s="56">
        <v>0</v>
      </c>
      <c r="Y244" s="53">
        <f>IFERROR(IF(X244="",0,CEILING((X244/$H244),1)*$H244),"")</f>
        <v>0</v>
      </c>
      <c r="Z244" s="39" t="str">
        <f>IFERROR(IF(Y244=0,"",ROUNDUP(Y244/H244,0)*0.00902),"")</f>
        <v/>
      </c>
      <c r="AA244" s="65" t="s">
        <v>46</v>
      </c>
      <c r="AB244" s="66" t="s">
        <v>46</v>
      </c>
      <c r="AC244" s="325" t="s">
        <v>427</v>
      </c>
      <c r="AG244" s="75"/>
      <c r="AJ244" s="79" t="s">
        <v>46</v>
      </c>
      <c r="AK244" s="79">
        <v>0</v>
      </c>
      <c r="BB244" s="326" t="s">
        <v>67</v>
      </c>
      <c r="BM244" s="75">
        <f>IFERROR(X244*I244/H244,"0")</f>
        <v>0</v>
      </c>
      <c r="BN244" s="75">
        <f>IFERROR(Y244*I244/H244,"0")</f>
        <v>0</v>
      </c>
      <c r="BO244" s="75">
        <f>IFERROR(1/J244*(X244/H244),"0")</f>
        <v>0</v>
      </c>
      <c r="BP244" s="75">
        <f>IFERROR(1/J244*(Y244/H244),"0")</f>
        <v>0</v>
      </c>
    </row>
    <row r="245" spans="1:68" x14ac:dyDescent="0.2">
      <c r="A245" s="710"/>
      <c r="B245" s="710"/>
      <c r="C245" s="710"/>
      <c r="D245" s="710"/>
      <c r="E245" s="710"/>
      <c r="F245" s="710"/>
      <c r="G245" s="710"/>
      <c r="H245" s="710"/>
      <c r="I245" s="710"/>
      <c r="J245" s="710"/>
      <c r="K245" s="710"/>
      <c r="L245" s="710"/>
      <c r="M245" s="710"/>
      <c r="N245" s="710"/>
      <c r="O245" s="711"/>
      <c r="P245" s="707" t="s">
        <v>40</v>
      </c>
      <c r="Q245" s="708"/>
      <c r="R245" s="708"/>
      <c r="S245" s="708"/>
      <c r="T245" s="708"/>
      <c r="U245" s="708"/>
      <c r="V245" s="709"/>
      <c r="W245" s="40" t="s">
        <v>39</v>
      </c>
      <c r="X245" s="41">
        <f>IFERROR(X240/H240,"0")+IFERROR(X241/H241,"0")+IFERROR(X242/H242,"0")+IFERROR(X243/H243,"0")+IFERROR(X244/H244,"0")</f>
        <v>0</v>
      </c>
      <c r="Y245" s="41">
        <f>IFERROR(Y240/H240,"0")+IFERROR(Y241/H241,"0")+IFERROR(Y242/H242,"0")+IFERROR(Y243/H243,"0")+IFERROR(Y244/H244,"0")</f>
        <v>0</v>
      </c>
      <c r="Z245" s="41">
        <f>IFERROR(IF(Z240="",0,Z240),"0")+IFERROR(IF(Z241="",0,Z241),"0")+IFERROR(IF(Z242="",0,Z242),"0")+IFERROR(IF(Z243="",0,Z243),"0")+IFERROR(IF(Z244="",0,Z244),"0")</f>
        <v>0</v>
      </c>
      <c r="AA245" s="64"/>
      <c r="AB245" s="64"/>
      <c r="AC245" s="64"/>
    </row>
    <row r="246" spans="1:68" x14ac:dyDescent="0.2">
      <c r="A246" s="710"/>
      <c r="B246" s="710"/>
      <c r="C246" s="710"/>
      <c r="D246" s="710"/>
      <c r="E246" s="710"/>
      <c r="F246" s="710"/>
      <c r="G246" s="710"/>
      <c r="H246" s="710"/>
      <c r="I246" s="710"/>
      <c r="J246" s="710"/>
      <c r="K246" s="710"/>
      <c r="L246" s="710"/>
      <c r="M246" s="710"/>
      <c r="N246" s="710"/>
      <c r="O246" s="711"/>
      <c r="P246" s="707" t="s">
        <v>40</v>
      </c>
      <c r="Q246" s="708"/>
      <c r="R246" s="708"/>
      <c r="S246" s="708"/>
      <c r="T246" s="708"/>
      <c r="U246" s="708"/>
      <c r="V246" s="709"/>
      <c r="W246" s="40" t="s">
        <v>0</v>
      </c>
      <c r="X246" s="41">
        <f>IFERROR(SUM(X240:X244),"0")</f>
        <v>0</v>
      </c>
      <c r="Y246" s="41">
        <f>IFERROR(SUM(Y240:Y244),"0")</f>
        <v>0</v>
      </c>
      <c r="Z246" s="40"/>
      <c r="AA246" s="64"/>
      <c r="AB246" s="64"/>
      <c r="AC246" s="64"/>
    </row>
    <row r="247" spans="1:68" ht="14.25" customHeight="1" x14ac:dyDescent="0.25">
      <c r="A247" s="701" t="s">
        <v>104</v>
      </c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  <c r="AA247" s="63"/>
      <c r="AB247" s="63"/>
      <c r="AC247" s="63"/>
    </row>
    <row r="248" spans="1:68" ht="27" customHeight="1" x14ac:dyDescent="0.25">
      <c r="A248" s="60" t="s">
        <v>436</v>
      </c>
      <c r="B248" s="60" t="s">
        <v>437</v>
      </c>
      <c r="C248" s="34">
        <v>4301032053</v>
      </c>
      <c r="D248" s="702">
        <v>4680115886780</v>
      </c>
      <c r="E248" s="702"/>
      <c r="F248" s="59">
        <v>7.0000000000000007E-2</v>
      </c>
      <c r="G248" s="35">
        <v>18</v>
      </c>
      <c r="H248" s="59">
        <v>1.26</v>
      </c>
      <c r="I248" s="59">
        <v>1.45</v>
      </c>
      <c r="J248" s="35">
        <v>216</v>
      </c>
      <c r="K248" s="35" t="s">
        <v>350</v>
      </c>
      <c r="L248" s="35" t="s">
        <v>46</v>
      </c>
      <c r="M248" s="36" t="s">
        <v>292</v>
      </c>
      <c r="N248" s="36"/>
      <c r="O248" s="35">
        <v>60</v>
      </c>
      <c r="P248" s="833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48" s="704"/>
      <c r="R248" s="704"/>
      <c r="S248" s="704"/>
      <c r="T248" s="705"/>
      <c r="U248" s="37" t="s">
        <v>46</v>
      </c>
      <c r="V248" s="37" t="s">
        <v>46</v>
      </c>
      <c r="W248" s="38" t="s">
        <v>0</v>
      </c>
      <c r="X248" s="56">
        <v>0</v>
      </c>
      <c r="Y248" s="53">
        <f>IFERROR(IF(X248="",0,CEILING((X248/$H248),1)*$H248),"")</f>
        <v>0</v>
      </c>
      <c r="Z248" s="39" t="str">
        <f>IFERROR(IF(Y248=0,"",ROUNDUP(Y248/H248,0)*0.0059),"")</f>
        <v/>
      </c>
      <c r="AA248" s="65" t="s">
        <v>46</v>
      </c>
      <c r="AB248" s="66" t="s">
        <v>46</v>
      </c>
      <c r="AC248" s="327" t="s">
        <v>438</v>
      </c>
      <c r="AG248" s="75"/>
      <c r="AJ248" s="79" t="s">
        <v>46</v>
      </c>
      <c r="AK248" s="79">
        <v>0</v>
      </c>
      <c r="BB248" s="328" t="s">
        <v>67</v>
      </c>
      <c r="BM248" s="75">
        <f>IFERROR(X248*I248/H248,"0")</f>
        <v>0</v>
      </c>
      <c r="BN248" s="75">
        <f>IFERROR(Y248*I248/H248,"0")</f>
        <v>0</v>
      </c>
      <c r="BO248" s="75">
        <f>IFERROR(1/J248*(X248/H248),"0")</f>
        <v>0</v>
      </c>
      <c r="BP248" s="75">
        <f>IFERROR(1/J248*(Y248/H248),"0")</f>
        <v>0</v>
      </c>
    </row>
    <row r="249" spans="1:68" ht="27" customHeight="1" x14ac:dyDescent="0.25">
      <c r="A249" s="60" t="s">
        <v>439</v>
      </c>
      <c r="B249" s="60" t="s">
        <v>440</v>
      </c>
      <c r="C249" s="34">
        <v>4301032051</v>
      </c>
      <c r="D249" s="702">
        <v>4680115886742</v>
      </c>
      <c r="E249" s="702"/>
      <c r="F249" s="59">
        <v>7.0000000000000007E-2</v>
      </c>
      <c r="G249" s="35">
        <v>18</v>
      </c>
      <c r="H249" s="59">
        <v>1.26</v>
      </c>
      <c r="I249" s="59">
        <v>1.45</v>
      </c>
      <c r="J249" s="35">
        <v>216</v>
      </c>
      <c r="K249" s="35" t="s">
        <v>350</v>
      </c>
      <c r="L249" s="35" t="s">
        <v>46</v>
      </c>
      <c r="M249" s="36" t="s">
        <v>292</v>
      </c>
      <c r="N249" s="36"/>
      <c r="O249" s="35">
        <v>90</v>
      </c>
      <c r="P249" s="834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49" s="704"/>
      <c r="R249" s="704"/>
      <c r="S249" s="704"/>
      <c r="T249" s="705"/>
      <c r="U249" s="37" t="s">
        <v>46</v>
      </c>
      <c r="V249" s="37" t="s">
        <v>46</v>
      </c>
      <c r="W249" s="38" t="s">
        <v>0</v>
      </c>
      <c r="X249" s="56">
        <v>0</v>
      </c>
      <c r="Y249" s="53">
        <f>IFERROR(IF(X249="",0,CEILING((X249/$H249),1)*$H249),"")</f>
        <v>0</v>
      </c>
      <c r="Z249" s="39" t="str">
        <f>IFERROR(IF(Y249=0,"",ROUNDUP(Y249/H249,0)*0.0059),"")</f>
        <v/>
      </c>
      <c r="AA249" s="65" t="s">
        <v>46</v>
      </c>
      <c r="AB249" s="66" t="s">
        <v>46</v>
      </c>
      <c r="AC249" s="329" t="s">
        <v>441</v>
      </c>
      <c r="AG249" s="75"/>
      <c r="AJ249" s="79" t="s">
        <v>46</v>
      </c>
      <c r="AK249" s="79">
        <v>0</v>
      </c>
      <c r="BB249" s="330" t="s">
        <v>67</v>
      </c>
      <c r="BM249" s="75">
        <f>IFERROR(X249*I249/H249,"0")</f>
        <v>0</v>
      </c>
      <c r="BN249" s="75">
        <f>IFERROR(Y249*I249/H249,"0")</f>
        <v>0</v>
      </c>
      <c r="BO249" s="75">
        <f>IFERROR(1/J249*(X249/H249),"0")</f>
        <v>0</v>
      </c>
      <c r="BP249" s="75">
        <f>IFERROR(1/J249*(Y249/H249),"0")</f>
        <v>0</v>
      </c>
    </row>
    <row r="250" spans="1:68" ht="27" customHeight="1" x14ac:dyDescent="0.25">
      <c r="A250" s="60" t="s">
        <v>442</v>
      </c>
      <c r="B250" s="60" t="s">
        <v>443</v>
      </c>
      <c r="C250" s="34">
        <v>4301032052</v>
      </c>
      <c r="D250" s="702">
        <v>4680115886766</v>
      </c>
      <c r="E250" s="702"/>
      <c r="F250" s="59">
        <v>7.0000000000000007E-2</v>
      </c>
      <c r="G250" s="35">
        <v>18</v>
      </c>
      <c r="H250" s="59">
        <v>1.26</v>
      </c>
      <c r="I250" s="59">
        <v>1.45</v>
      </c>
      <c r="J250" s="35">
        <v>216</v>
      </c>
      <c r="K250" s="35" t="s">
        <v>350</v>
      </c>
      <c r="L250" s="35" t="s">
        <v>46</v>
      </c>
      <c r="M250" s="36" t="s">
        <v>292</v>
      </c>
      <c r="N250" s="36"/>
      <c r="O250" s="35">
        <v>90</v>
      </c>
      <c r="P250" s="835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50" s="704"/>
      <c r="R250" s="704"/>
      <c r="S250" s="704"/>
      <c r="T250" s="705"/>
      <c r="U250" s="37" t="s">
        <v>46</v>
      </c>
      <c r="V250" s="37" t="s">
        <v>46</v>
      </c>
      <c r="W250" s="38" t="s">
        <v>0</v>
      </c>
      <c r="X250" s="56">
        <v>0</v>
      </c>
      <c r="Y250" s="53">
        <f>IFERROR(IF(X250="",0,CEILING((X250/$H250),1)*$H250),"")</f>
        <v>0</v>
      </c>
      <c r="Z250" s="39" t="str">
        <f>IFERROR(IF(Y250=0,"",ROUNDUP(Y250/H250,0)*0.0059),"")</f>
        <v/>
      </c>
      <c r="AA250" s="65" t="s">
        <v>46</v>
      </c>
      <c r="AB250" s="66" t="s">
        <v>46</v>
      </c>
      <c r="AC250" s="331" t="s">
        <v>441</v>
      </c>
      <c r="AG250" s="75"/>
      <c r="AJ250" s="79" t="s">
        <v>46</v>
      </c>
      <c r="AK250" s="79">
        <v>0</v>
      </c>
      <c r="BB250" s="332" t="s">
        <v>67</v>
      </c>
      <c r="BM250" s="75">
        <f>IFERROR(X250*I250/H250,"0")</f>
        <v>0</v>
      </c>
      <c r="BN250" s="75">
        <f>IFERROR(Y250*I250/H250,"0")</f>
        <v>0</v>
      </c>
      <c r="BO250" s="75">
        <f>IFERROR(1/J250*(X250/H250),"0")</f>
        <v>0</v>
      </c>
      <c r="BP250" s="75">
        <f>IFERROR(1/J250*(Y250/H250),"0")</f>
        <v>0</v>
      </c>
    </row>
    <row r="251" spans="1:68" x14ac:dyDescent="0.2">
      <c r="A251" s="710"/>
      <c r="B251" s="710"/>
      <c r="C251" s="710"/>
      <c r="D251" s="710"/>
      <c r="E251" s="710"/>
      <c r="F251" s="710"/>
      <c r="G251" s="710"/>
      <c r="H251" s="710"/>
      <c r="I251" s="710"/>
      <c r="J251" s="710"/>
      <c r="K251" s="710"/>
      <c r="L251" s="710"/>
      <c r="M251" s="710"/>
      <c r="N251" s="710"/>
      <c r="O251" s="711"/>
      <c r="P251" s="707" t="s">
        <v>40</v>
      </c>
      <c r="Q251" s="708"/>
      <c r="R251" s="708"/>
      <c r="S251" s="708"/>
      <c r="T251" s="708"/>
      <c r="U251" s="708"/>
      <c r="V251" s="709"/>
      <c r="W251" s="40" t="s">
        <v>39</v>
      </c>
      <c r="X251" s="41">
        <f>IFERROR(X248/H248,"0")+IFERROR(X249/H249,"0")+IFERROR(X250/H250,"0")</f>
        <v>0</v>
      </c>
      <c r="Y251" s="41">
        <f>IFERROR(Y248/H248,"0")+IFERROR(Y249/H249,"0")+IFERROR(Y250/H250,"0")</f>
        <v>0</v>
      </c>
      <c r="Z251" s="41">
        <f>IFERROR(IF(Z248="",0,Z248),"0")+IFERROR(IF(Z249="",0,Z249),"0")+IFERROR(IF(Z250="",0,Z250),"0")</f>
        <v>0</v>
      </c>
      <c r="AA251" s="64"/>
      <c r="AB251" s="64"/>
      <c r="AC251" s="64"/>
    </row>
    <row r="252" spans="1:68" x14ac:dyDescent="0.2">
      <c r="A252" s="710"/>
      <c r="B252" s="710"/>
      <c r="C252" s="710"/>
      <c r="D252" s="710"/>
      <c r="E252" s="710"/>
      <c r="F252" s="710"/>
      <c r="G252" s="710"/>
      <c r="H252" s="710"/>
      <c r="I252" s="710"/>
      <c r="J252" s="710"/>
      <c r="K252" s="710"/>
      <c r="L252" s="710"/>
      <c r="M252" s="710"/>
      <c r="N252" s="710"/>
      <c r="O252" s="711"/>
      <c r="P252" s="707" t="s">
        <v>40</v>
      </c>
      <c r="Q252" s="708"/>
      <c r="R252" s="708"/>
      <c r="S252" s="708"/>
      <c r="T252" s="708"/>
      <c r="U252" s="708"/>
      <c r="V252" s="709"/>
      <c r="W252" s="40" t="s">
        <v>0</v>
      </c>
      <c r="X252" s="41">
        <f>IFERROR(SUM(X248:X250),"0")</f>
        <v>0</v>
      </c>
      <c r="Y252" s="41">
        <f>IFERROR(SUM(Y248:Y250),"0")</f>
        <v>0</v>
      </c>
      <c r="Z252" s="40"/>
      <c r="AA252" s="64"/>
      <c r="AB252" s="64"/>
      <c r="AC252" s="64"/>
    </row>
    <row r="253" spans="1:68" ht="14.25" customHeight="1" x14ac:dyDescent="0.25">
      <c r="A253" s="701" t="s">
        <v>444</v>
      </c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  <c r="AA253" s="63"/>
      <c r="AB253" s="63"/>
      <c r="AC253" s="63"/>
    </row>
    <row r="254" spans="1:68" ht="27" customHeight="1" x14ac:dyDescent="0.25">
      <c r="A254" s="60" t="s">
        <v>445</v>
      </c>
      <c r="B254" s="60" t="s">
        <v>446</v>
      </c>
      <c r="C254" s="34">
        <v>4301170013</v>
      </c>
      <c r="D254" s="702">
        <v>4680115886797</v>
      </c>
      <c r="E254" s="702"/>
      <c r="F254" s="59">
        <v>7.0000000000000007E-2</v>
      </c>
      <c r="G254" s="35">
        <v>18</v>
      </c>
      <c r="H254" s="59">
        <v>1.26</v>
      </c>
      <c r="I254" s="59">
        <v>1.45</v>
      </c>
      <c r="J254" s="35">
        <v>216</v>
      </c>
      <c r="K254" s="35" t="s">
        <v>350</v>
      </c>
      <c r="L254" s="35" t="s">
        <v>46</v>
      </c>
      <c r="M254" s="36" t="s">
        <v>292</v>
      </c>
      <c r="N254" s="36"/>
      <c r="O254" s="35">
        <v>90</v>
      </c>
      <c r="P254" s="836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54" s="704"/>
      <c r="R254" s="704"/>
      <c r="S254" s="704"/>
      <c r="T254" s="705"/>
      <c r="U254" s="37" t="s">
        <v>46</v>
      </c>
      <c r="V254" s="37" t="s">
        <v>46</v>
      </c>
      <c r="W254" s="38" t="s">
        <v>0</v>
      </c>
      <c r="X254" s="56">
        <v>0</v>
      </c>
      <c r="Y254" s="53">
        <f>IFERROR(IF(X254="",0,CEILING((X254/$H254),1)*$H254),"")</f>
        <v>0</v>
      </c>
      <c r="Z254" s="39" t="str">
        <f>IFERROR(IF(Y254=0,"",ROUNDUP(Y254/H254,0)*0.0059),"")</f>
        <v/>
      </c>
      <c r="AA254" s="65" t="s">
        <v>46</v>
      </c>
      <c r="AB254" s="66" t="s">
        <v>46</v>
      </c>
      <c r="AC254" s="333" t="s">
        <v>441</v>
      </c>
      <c r="AG254" s="75"/>
      <c r="AJ254" s="79" t="s">
        <v>46</v>
      </c>
      <c r="AK254" s="79">
        <v>0</v>
      </c>
      <c r="BB254" s="334" t="s">
        <v>67</v>
      </c>
      <c r="BM254" s="75">
        <f>IFERROR(X254*I254/H254,"0")</f>
        <v>0</v>
      </c>
      <c r="BN254" s="75">
        <f>IFERROR(Y254*I254/H254,"0")</f>
        <v>0</v>
      </c>
      <c r="BO254" s="75">
        <f>IFERROR(1/J254*(X254/H254),"0")</f>
        <v>0</v>
      </c>
      <c r="BP254" s="75">
        <f>IFERROR(1/J254*(Y254/H254),"0")</f>
        <v>0</v>
      </c>
    </row>
    <row r="255" spans="1:68" x14ac:dyDescent="0.2">
      <c r="A255" s="710"/>
      <c r="B255" s="710"/>
      <c r="C255" s="710"/>
      <c r="D255" s="710"/>
      <c r="E255" s="710"/>
      <c r="F255" s="710"/>
      <c r="G255" s="710"/>
      <c r="H255" s="710"/>
      <c r="I255" s="710"/>
      <c r="J255" s="710"/>
      <c r="K255" s="710"/>
      <c r="L255" s="710"/>
      <c r="M255" s="710"/>
      <c r="N255" s="710"/>
      <c r="O255" s="711"/>
      <c r="P255" s="707" t="s">
        <v>40</v>
      </c>
      <c r="Q255" s="708"/>
      <c r="R255" s="708"/>
      <c r="S255" s="708"/>
      <c r="T255" s="708"/>
      <c r="U255" s="708"/>
      <c r="V255" s="709"/>
      <c r="W255" s="40" t="s">
        <v>39</v>
      </c>
      <c r="X255" s="41">
        <f>IFERROR(X254/H254,"0")</f>
        <v>0</v>
      </c>
      <c r="Y255" s="41">
        <f>IFERROR(Y254/H254,"0")</f>
        <v>0</v>
      </c>
      <c r="Z255" s="41">
        <f>IFERROR(IF(Z254="",0,Z254),"0")</f>
        <v>0</v>
      </c>
      <c r="AA255" s="64"/>
      <c r="AB255" s="64"/>
      <c r="AC255" s="64"/>
    </row>
    <row r="256" spans="1:68" x14ac:dyDescent="0.2">
      <c r="A256" s="710"/>
      <c r="B256" s="710"/>
      <c r="C256" s="710"/>
      <c r="D256" s="710"/>
      <c r="E256" s="710"/>
      <c r="F256" s="710"/>
      <c r="G256" s="710"/>
      <c r="H256" s="710"/>
      <c r="I256" s="710"/>
      <c r="J256" s="710"/>
      <c r="K256" s="710"/>
      <c r="L256" s="710"/>
      <c r="M256" s="710"/>
      <c r="N256" s="710"/>
      <c r="O256" s="711"/>
      <c r="P256" s="707" t="s">
        <v>40</v>
      </c>
      <c r="Q256" s="708"/>
      <c r="R256" s="708"/>
      <c r="S256" s="708"/>
      <c r="T256" s="708"/>
      <c r="U256" s="708"/>
      <c r="V256" s="709"/>
      <c r="W256" s="40" t="s">
        <v>0</v>
      </c>
      <c r="X256" s="41">
        <f>IFERROR(SUM(X254:X254),"0")</f>
        <v>0</v>
      </c>
      <c r="Y256" s="41">
        <f>IFERROR(SUM(Y254:Y254),"0")</f>
        <v>0</v>
      </c>
      <c r="Z256" s="40"/>
      <c r="AA256" s="64"/>
      <c r="AB256" s="64"/>
      <c r="AC256" s="64"/>
    </row>
    <row r="257" spans="1:68" ht="16.5" customHeight="1" x14ac:dyDescent="0.25">
      <c r="A257" s="700" t="s">
        <v>447</v>
      </c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  <c r="AA257" s="62"/>
      <c r="AB257" s="62"/>
      <c r="AC257" s="62"/>
    </row>
    <row r="258" spans="1:68" ht="14.25" customHeight="1" x14ac:dyDescent="0.25">
      <c r="A258" s="701" t="s">
        <v>128</v>
      </c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  <c r="AA258" s="63"/>
      <c r="AB258" s="63"/>
      <c r="AC258" s="63"/>
    </row>
    <row r="259" spans="1:68" ht="27" customHeight="1" x14ac:dyDescent="0.25">
      <c r="A259" s="60" t="s">
        <v>448</v>
      </c>
      <c r="B259" s="60" t="s">
        <v>449</v>
      </c>
      <c r="C259" s="34">
        <v>4301011450</v>
      </c>
      <c r="D259" s="702">
        <v>4680115881402</v>
      </c>
      <c r="E259" s="702"/>
      <c r="F259" s="59">
        <v>1.35</v>
      </c>
      <c r="G259" s="35">
        <v>8</v>
      </c>
      <c r="H259" s="59">
        <v>10.8</v>
      </c>
      <c r="I259" s="59">
        <v>11.21</v>
      </c>
      <c r="J259" s="35">
        <v>64</v>
      </c>
      <c r="K259" s="35" t="s">
        <v>133</v>
      </c>
      <c r="L259" s="35" t="s">
        <v>46</v>
      </c>
      <c r="M259" s="36" t="s">
        <v>132</v>
      </c>
      <c r="N259" s="36"/>
      <c r="O259" s="35">
        <v>55</v>
      </c>
      <c r="P259" s="837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59" s="704"/>
      <c r="R259" s="704"/>
      <c r="S259" s="704"/>
      <c r="T259" s="705"/>
      <c r="U259" s="37" t="s">
        <v>46</v>
      </c>
      <c r="V259" s="37" t="s">
        <v>46</v>
      </c>
      <c r="W259" s="38" t="s">
        <v>0</v>
      </c>
      <c r="X259" s="56">
        <v>0</v>
      </c>
      <c r="Y259" s="53">
        <f>IFERROR(IF(X259="",0,CEILING((X259/$H259),1)*$H259),"")</f>
        <v>0</v>
      </c>
      <c r="Z259" s="39" t="str">
        <f>IFERROR(IF(Y259=0,"",ROUNDUP(Y259/H259,0)*0.01898),"")</f>
        <v/>
      </c>
      <c r="AA259" s="65" t="s">
        <v>46</v>
      </c>
      <c r="AB259" s="66" t="s">
        <v>46</v>
      </c>
      <c r="AC259" s="335" t="s">
        <v>450</v>
      </c>
      <c r="AG259" s="75"/>
      <c r="AJ259" s="79" t="s">
        <v>46</v>
      </c>
      <c r="AK259" s="79">
        <v>0</v>
      </c>
      <c r="BB259" s="336" t="s">
        <v>67</v>
      </c>
      <c r="BM259" s="75">
        <f>IFERROR(X259*I259/H259,"0")</f>
        <v>0</v>
      </c>
      <c r="BN259" s="75">
        <f>IFERROR(Y259*I259/H259,"0")</f>
        <v>0</v>
      </c>
      <c r="BO259" s="75">
        <f>IFERROR(1/J259*(X259/H259),"0")</f>
        <v>0</v>
      </c>
      <c r="BP259" s="75">
        <f>IFERROR(1/J259*(Y259/H259),"0")</f>
        <v>0</v>
      </c>
    </row>
    <row r="260" spans="1:68" ht="27" customHeight="1" x14ac:dyDescent="0.25">
      <c r="A260" s="60" t="s">
        <v>451</v>
      </c>
      <c r="B260" s="60" t="s">
        <v>452</v>
      </c>
      <c r="C260" s="34">
        <v>4301011768</v>
      </c>
      <c r="D260" s="702">
        <v>4680115881396</v>
      </c>
      <c r="E260" s="702"/>
      <c r="F260" s="59">
        <v>0.45</v>
      </c>
      <c r="G260" s="35">
        <v>6</v>
      </c>
      <c r="H260" s="59">
        <v>2.7</v>
      </c>
      <c r="I260" s="59">
        <v>2.88</v>
      </c>
      <c r="J260" s="35">
        <v>182</v>
      </c>
      <c r="K260" s="35" t="s">
        <v>91</v>
      </c>
      <c r="L260" s="35" t="s">
        <v>46</v>
      </c>
      <c r="M260" s="36" t="s">
        <v>132</v>
      </c>
      <c r="N260" s="36"/>
      <c r="O260" s="35">
        <v>55</v>
      </c>
      <c r="P260" s="838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60" s="704"/>
      <c r="R260" s="704"/>
      <c r="S260" s="704"/>
      <c r="T260" s="705"/>
      <c r="U260" s="37" t="s">
        <v>46</v>
      </c>
      <c r="V260" s="37" t="s">
        <v>46</v>
      </c>
      <c r="W260" s="38" t="s">
        <v>0</v>
      </c>
      <c r="X260" s="56">
        <v>0</v>
      </c>
      <c r="Y260" s="53">
        <f>IFERROR(IF(X260="",0,CEILING((X260/$H260),1)*$H260),"")</f>
        <v>0</v>
      </c>
      <c r="Z260" s="39" t="str">
        <f>IFERROR(IF(Y260=0,"",ROUNDUP(Y260/H260,0)*0.00651),"")</f>
        <v/>
      </c>
      <c r="AA260" s="65" t="s">
        <v>46</v>
      </c>
      <c r="AB260" s="66" t="s">
        <v>46</v>
      </c>
      <c r="AC260" s="337" t="s">
        <v>450</v>
      </c>
      <c r="AG260" s="75"/>
      <c r="AJ260" s="79" t="s">
        <v>46</v>
      </c>
      <c r="AK260" s="79">
        <v>0</v>
      </c>
      <c r="BB260" s="338" t="s">
        <v>67</v>
      </c>
      <c r="BM260" s="75">
        <f>IFERROR(X260*I260/H260,"0")</f>
        <v>0</v>
      </c>
      <c r="BN260" s="75">
        <f>IFERROR(Y260*I260/H260,"0")</f>
        <v>0</v>
      </c>
      <c r="BO260" s="75">
        <f>IFERROR(1/J260*(X260/H260),"0")</f>
        <v>0</v>
      </c>
      <c r="BP260" s="75">
        <f>IFERROR(1/J260*(Y260/H260),"0")</f>
        <v>0</v>
      </c>
    </row>
    <row r="261" spans="1:68" x14ac:dyDescent="0.2">
      <c r="A261" s="710"/>
      <c r="B261" s="710"/>
      <c r="C261" s="710"/>
      <c r="D261" s="710"/>
      <c r="E261" s="710"/>
      <c r="F261" s="710"/>
      <c r="G261" s="710"/>
      <c r="H261" s="710"/>
      <c r="I261" s="710"/>
      <c r="J261" s="710"/>
      <c r="K261" s="710"/>
      <c r="L261" s="710"/>
      <c r="M261" s="710"/>
      <c r="N261" s="710"/>
      <c r="O261" s="711"/>
      <c r="P261" s="707" t="s">
        <v>40</v>
      </c>
      <c r="Q261" s="708"/>
      <c r="R261" s="708"/>
      <c r="S261" s="708"/>
      <c r="T261" s="708"/>
      <c r="U261" s="708"/>
      <c r="V261" s="709"/>
      <c r="W261" s="40" t="s">
        <v>39</v>
      </c>
      <c r="X261" s="41">
        <f>IFERROR(X259/H259,"0")+IFERROR(X260/H260,"0")</f>
        <v>0</v>
      </c>
      <c r="Y261" s="41">
        <f>IFERROR(Y259/H259,"0")+IFERROR(Y260/H260,"0")</f>
        <v>0</v>
      </c>
      <c r="Z261" s="41">
        <f>IFERROR(IF(Z259="",0,Z259),"0")+IFERROR(IF(Z260="",0,Z260),"0")</f>
        <v>0</v>
      </c>
      <c r="AA261" s="64"/>
      <c r="AB261" s="64"/>
      <c r="AC261" s="64"/>
    </row>
    <row r="262" spans="1:68" x14ac:dyDescent="0.2">
      <c r="A262" s="710"/>
      <c r="B262" s="710"/>
      <c r="C262" s="710"/>
      <c r="D262" s="710"/>
      <c r="E262" s="710"/>
      <c r="F262" s="710"/>
      <c r="G262" s="710"/>
      <c r="H262" s="710"/>
      <c r="I262" s="710"/>
      <c r="J262" s="710"/>
      <c r="K262" s="710"/>
      <c r="L262" s="710"/>
      <c r="M262" s="710"/>
      <c r="N262" s="710"/>
      <c r="O262" s="711"/>
      <c r="P262" s="707" t="s">
        <v>40</v>
      </c>
      <c r="Q262" s="708"/>
      <c r="R262" s="708"/>
      <c r="S262" s="708"/>
      <c r="T262" s="708"/>
      <c r="U262" s="708"/>
      <c r="V262" s="709"/>
      <c r="W262" s="40" t="s">
        <v>0</v>
      </c>
      <c r="X262" s="41">
        <f>IFERROR(SUM(X259:X260),"0")</f>
        <v>0</v>
      </c>
      <c r="Y262" s="41">
        <f>IFERROR(SUM(Y259:Y260),"0")</f>
        <v>0</v>
      </c>
      <c r="Z262" s="40"/>
      <c r="AA262" s="64"/>
      <c r="AB262" s="64"/>
      <c r="AC262" s="64"/>
    </row>
    <row r="263" spans="1:68" ht="14.25" customHeight="1" x14ac:dyDescent="0.25">
      <c r="A263" s="701" t="s">
        <v>164</v>
      </c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  <c r="AA263" s="63"/>
      <c r="AB263" s="63"/>
      <c r="AC263" s="63"/>
    </row>
    <row r="264" spans="1:68" ht="16.5" customHeight="1" x14ac:dyDescent="0.25">
      <c r="A264" s="60" t="s">
        <v>453</v>
      </c>
      <c r="B264" s="60" t="s">
        <v>454</v>
      </c>
      <c r="C264" s="34">
        <v>4301020261</v>
      </c>
      <c r="D264" s="702">
        <v>4680115882935</v>
      </c>
      <c r="E264" s="702"/>
      <c r="F264" s="59">
        <v>1.35</v>
      </c>
      <c r="G264" s="35">
        <v>8</v>
      </c>
      <c r="H264" s="59">
        <v>10.8</v>
      </c>
      <c r="I264" s="59">
        <v>11.21</v>
      </c>
      <c r="J264" s="35">
        <v>64</v>
      </c>
      <c r="K264" s="35" t="s">
        <v>133</v>
      </c>
      <c r="L264" s="35" t="s">
        <v>46</v>
      </c>
      <c r="M264" s="36" t="s">
        <v>132</v>
      </c>
      <c r="N264" s="36"/>
      <c r="O264" s="35">
        <v>50</v>
      </c>
      <c r="P264" s="839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64" s="704"/>
      <c r="R264" s="704"/>
      <c r="S264" s="704"/>
      <c r="T264" s="705"/>
      <c r="U264" s="37" t="s">
        <v>46</v>
      </c>
      <c r="V264" s="37" t="s">
        <v>46</v>
      </c>
      <c r="W264" s="38" t="s">
        <v>0</v>
      </c>
      <c r="X264" s="56">
        <v>0</v>
      </c>
      <c r="Y264" s="53">
        <f>IFERROR(IF(X264="",0,CEILING((X264/$H264),1)*$H264),"")</f>
        <v>0</v>
      </c>
      <c r="Z264" s="39" t="str">
        <f>IFERROR(IF(Y264=0,"",ROUNDUP(Y264/H264,0)*0.01898),"")</f>
        <v/>
      </c>
      <c r="AA264" s="65" t="s">
        <v>46</v>
      </c>
      <c r="AB264" s="66" t="s">
        <v>46</v>
      </c>
      <c r="AC264" s="339" t="s">
        <v>455</v>
      </c>
      <c r="AG264" s="75"/>
      <c r="AJ264" s="79" t="s">
        <v>46</v>
      </c>
      <c r="AK264" s="79">
        <v>0</v>
      </c>
      <c r="BB264" s="340" t="s">
        <v>67</v>
      </c>
      <c r="BM264" s="75">
        <f>IFERROR(X264*I264/H264,"0")</f>
        <v>0</v>
      </c>
      <c r="BN264" s="75">
        <f>IFERROR(Y264*I264/H264,"0")</f>
        <v>0</v>
      </c>
      <c r="BO264" s="75">
        <f>IFERROR(1/J264*(X264/H264),"0")</f>
        <v>0</v>
      </c>
      <c r="BP264" s="75">
        <f>IFERROR(1/J264*(Y264/H264),"0")</f>
        <v>0</v>
      </c>
    </row>
    <row r="265" spans="1:68" ht="16.5" customHeight="1" x14ac:dyDescent="0.25">
      <c r="A265" s="60" t="s">
        <v>456</v>
      </c>
      <c r="B265" s="60" t="s">
        <v>457</v>
      </c>
      <c r="C265" s="34">
        <v>4301020220</v>
      </c>
      <c r="D265" s="702">
        <v>4680115880764</v>
      </c>
      <c r="E265" s="702"/>
      <c r="F265" s="59">
        <v>0.35</v>
      </c>
      <c r="G265" s="35">
        <v>6</v>
      </c>
      <c r="H265" s="59">
        <v>2.1</v>
      </c>
      <c r="I265" s="59">
        <v>2.2799999999999998</v>
      </c>
      <c r="J265" s="35">
        <v>182</v>
      </c>
      <c r="K265" s="35" t="s">
        <v>91</v>
      </c>
      <c r="L265" s="35" t="s">
        <v>46</v>
      </c>
      <c r="M265" s="36" t="s">
        <v>132</v>
      </c>
      <c r="N265" s="36"/>
      <c r="O265" s="35">
        <v>50</v>
      </c>
      <c r="P265" s="840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65" s="704"/>
      <c r="R265" s="704"/>
      <c r="S265" s="704"/>
      <c r="T265" s="705"/>
      <c r="U265" s="37" t="s">
        <v>46</v>
      </c>
      <c r="V265" s="37" t="s">
        <v>46</v>
      </c>
      <c r="W265" s="38" t="s">
        <v>0</v>
      </c>
      <c r="X265" s="56">
        <v>0</v>
      </c>
      <c r="Y265" s="53">
        <f>IFERROR(IF(X265="",0,CEILING((X265/$H265),1)*$H265),"")</f>
        <v>0</v>
      </c>
      <c r="Z265" s="39" t="str">
        <f>IFERROR(IF(Y265=0,"",ROUNDUP(Y265/H265,0)*0.00651),"")</f>
        <v/>
      </c>
      <c r="AA265" s="65" t="s">
        <v>46</v>
      </c>
      <c r="AB265" s="66" t="s">
        <v>46</v>
      </c>
      <c r="AC265" s="341" t="s">
        <v>455</v>
      </c>
      <c r="AG265" s="75"/>
      <c r="AJ265" s="79" t="s">
        <v>46</v>
      </c>
      <c r="AK265" s="79">
        <v>0</v>
      </c>
      <c r="BB265" s="342" t="s">
        <v>67</v>
      </c>
      <c r="BM265" s="75">
        <f>IFERROR(X265*I265/H265,"0")</f>
        <v>0</v>
      </c>
      <c r="BN265" s="75">
        <f>IFERROR(Y265*I265/H265,"0")</f>
        <v>0</v>
      </c>
      <c r="BO265" s="75">
        <f>IFERROR(1/J265*(X265/H265),"0")</f>
        <v>0</v>
      </c>
      <c r="BP265" s="75">
        <f>IFERROR(1/J265*(Y265/H265),"0")</f>
        <v>0</v>
      </c>
    </row>
    <row r="266" spans="1:68" x14ac:dyDescent="0.2">
      <c r="A266" s="710"/>
      <c r="B266" s="710"/>
      <c r="C266" s="710"/>
      <c r="D266" s="710"/>
      <c r="E266" s="710"/>
      <c r="F266" s="710"/>
      <c r="G266" s="710"/>
      <c r="H266" s="710"/>
      <c r="I266" s="710"/>
      <c r="J266" s="710"/>
      <c r="K266" s="710"/>
      <c r="L266" s="710"/>
      <c r="M266" s="710"/>
      <c r="N266" s="710"/>
      <c r="O266" s="711"/>
      <c r="P266" s="707" t="s">
        <v>40</v>
      </c>
      <c r="Q266" s="708"/>
      <c r="R266" s="708"/>
      <c r="S266" s="708"/>
      <c r="T266" s="708"/>
      <c r="U266" s="708"/>
      <c r="V266" s="709"/>
      <c r="W266" s="40" t="s">
        <v>39</v>
      </c>
      <c r="X266" s="41">
        <f>IFERROR(X264/H264,"0")+IFERROR(X265/H265,"0")</f>
        <v>0</v>
      </c>
      <c r="Y266" s="41">
        <f>IFERROR(Y264/H264,"0")+IFERROR(Y265/H265,"0")</f>
        <v>0</v>
      </c>
      <c r="Z266" s="41">
        <f>IFERROR(IF(Z264="",0,Z264),"0")+IFERROR(IF(Z265="",0,Z265),"0")</f>
        <v>0</v>
      </c>
      <c r="AA266" s="64"/>
      <c r="AB266" s="64"/>
      <c r="AC266" s="64"/>
    </row>
    <row r="267" spans="1:68" x14ac:dyDescent="0.2">
      <c r="A267" s="710"/>
      <c r="B267" s="710"/>
      <c r="C267" s="710"/>
      <c r="D267" s="710"/>
      <c r="E267" s="710"/>
      <c r="F267" s="710"/>
      <c r="G267" s="710"/>
      <c r="H267" s="710"/>
      <c r="I267" s="710"/>
      <c r="J267" s="710"/>
      <c r="K267" s="710"/>
      <c r="L267" s="710"/>
      <c r="M267" s="710"/>
      <c r="N267" s="710"/>
      <c r="O267" s="711"/>
      <c r="P267" s="707" t="s">
        <v>40</v>
      </c>
      <c r="Q267" s="708"/>
      <c r="R267" s="708"/>
      <c r="S267" s="708"/>
      <c r="T267" s="708"/>
      <c r="U267" s="708"/>
      <c r="V267" s="709"/>
      <c r="W267" s="40" t="s">
        <v>0</v>
      </c>
      <c r="X267" s="41">
        <f>IFERROR(SUM(X264:X265),"0")</f>
        <v>0</v>
      </c>
      <c r="Y267" s="41">
        <f>IFERROR(SUM(Y264:Y265),"0")</f>
        <v>0</v>
      </c>
      <c r="Z267" s="40"/>
      <c r="AA267" s="64"/>
      <c r="AB267" s="64"/>
      <c r="AC267" s="64"/>
    </row>
    <row r="268" spans="1:68" ht="14.25" customHeight="1" x14ac:dyDescent="0.25">
      <c r="A268" s="701" t="s">
        <v>77</v>
      </c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  <c r="AA268" s="63"/>
      <c r="AB268" s="63"/>
      <c r="AC268" s="63"/>
    </row>
    <row r="269" spans="1:68" ht="27" customHeight="1" x14ac:dyDescent="0.25">
      <c r="A269" s="60" t="s">
        <v>458</v>
      </c>
      <c r="B269" s="60" t="s">
        <v>459</v>
      </c>
      <c r="C269" s="34">
        <v>4301031224</v>
      </c>
      <c r="D269" s="702">
        <v>4680115882683</v>
      </c>
      <c r="E269" s="702"/>
      <c r="F269" s="59">
        <v>0.9</v>
      </c>
      <c r="G269" s="35">
        <v>6</v>
      </c>
      <c r="H269" s="59">
        <v>5.4</v>
      </c>
      <c r="I269" s="59">
        <v>5.59</v>
      </c>
      <c r="J269" s="35">
        <v>132</v>
      </c>
      <c r="K269" s="35" t="s">
        <v>140</v>
      </c>
      <c r="L269" s="35" t="s">
        <v>46</v>
      </c>
      <c r="M269" s="36" t="s">
        <v>81</v>
      </c>
      <c r="N269" s="36"/>
      <c r="O269" s="35">
        <v>40</v>
      </c>
      <c r="P269" s="841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69" s="704"/>
      <c r="R269" s="704"/>
      <c r="S269" s="704"/>
      <c r="T269" s="705"/>
      <c r="U269" s="37" t="s">
        <v>46</v>
      </c>
      <c r="V269" s="37" t="s">
        <v>46</v>
      </c>
      <c r="W269" s="38" t="s">
        <v>0</v>
      </c>
      <c r="X269" s="56">
        <v>0</v>
      </c>
      <c r="Y269" s="53">
        <f t="shared" ref="Y269:Y276" si="27">IFERROR(IF(X269="",0,CEILING((X269/$H269),1)*$H269),"")</f>
        <v>0</v>
      </c>
      <c r="Z269" s="39" t="str">
        <f>IFERROR(IF(Y269=0,"",ROUNDUP(Y269/H269,0)*0.00902),"")</f>
        <v/>
      </c>
      <c r="AA269" s="65" t="s">
        <v>46</v>
      </c>
      <c r="AB269" s="66" t="s">
        <v>46</v>
      </c>
      <c r="AC269" s="343" t="s">
        <v>460</v>
      </c>
      <c r="AG269" s="75"/>
      <c r="AJ269" s="79" t="s">
        <v>46</v>
      </c>
      <c r="AK269" s="79">
        <v>0</v>
      </c>
      <c r="BB269" s="344" t="s">
        <v>67</v>
      </c>
      <c r="BM269" s="75">
        <f t="shared" ref="BM269:BM276" si="28">IFERROR(X269*I269/H269,"0")</f>
        <v>0</v>
      </c>
      <c r="BN269" s="75">
        <f t="shared" ref="BN269:BN276" si="29">IFERROR(Y269*I269/H269,"0")</f>
        <v>0</v>
      </c>
      <c r="BO269" s="75">
        <f t="shared" ref="BO269:BO276" si="30">IFERROR(1/J269*(X269/H269),"0")</f>
        <v>0</v>
      </c>
      <c r="BP269" s="75">
        <f t="shared" ref="BP269:BP276" si="31">IFERROR(1/J269*(Y269/H269),"0")</f>
        <v>0</v>
      </c>
    </row>
    <row r="270" spans="1:68" ht="27" customHeight="1" x14ac:dyDescent="0.25">
      <c r="A270" s="60" t="s">
        <v>461</v>
      </c>
      <c r="B270" s="60" t="s">
        <v>462</v>
      </c>
      <c r="C270" s="34">
        <v>4301031230</v>
      </c>
      <c r="D270" s="702">
        <v>4680115882690</v>
      </c>
      <c r="E270" s="702"/>
      <c r="F270" s="59">
        <v>0.9</v>
      </c>
      <c r="G270" s="35">
        <v>6</v>
      </c>
      <c r="H270" s="59">
        <v>5.4</v>
      </c>
      <c r="I270" s="59">
        <v>5.59</v>
      </c>
      <c r="J270" s="35">
        <v>132</v>
      </c>
      <c r="K270" s="35" t="s">
        <v>140</v>
      </c>
      <c r="L270" s="35" t="s">
        <v>46</v>
      </c>
      <c r="M270" s="36" t="s">
        <v>81</v>
      </c>
      <c r="N270" s="36"/>
      <c r="O270" s="35">
        <v>40</v>
      </c>
      <c r="P270" s="842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70" s="704"/>
      <c r="R270" s="704"/>
      <c r="S270" s="704"/>
      <c r="T270" s="705"/>
      <c r="U270" s="37" t="s">
        <v>46</v>
      </c>
      <c r="V270" s="37" t="s">
        <v>46</v>
      </c>
      <c r="W270" s="38" t="s">
        <v>0</v>
      </c>
      <c r="X270" s="56">
        <v>0</v>
      </c>
      <c r="Y270" s="53">
        <f t="shared" si="27"/>
        <v>0</v>
      </c>
      <c r="Z270" s="39" t="str">
        <f>IFERROR(IF(Y270=0,"",ROUNDUP(Y270/H270,0)*0.00902),"")</f>
        <v/>
      </c>
      <c r="AA270" s="65" t="s">
        <v>46</v>
      </c>
      <c r="AB270" s="66" t="s">
        <v>46</v>
      </c>
      <c r="AC270" s="345" t="s">
        <v>463</v>
      </c>
      <c r="AG270" s="75"/>
      <c r="AJ270" s="79" t="s">
        <v>46</v>
      </c>
      <c r="AK270" s="79">
        <v>0</v>
      </c>
      <c r="BB270" s="346" t="s">
        <v>67</v>
      </c>
      <c r="BM270" s="75">
        <f t="shared" si="28"/>
        <v>0</v>
      </c>
      <c r="BN270" s="75">
        <f t="shared" si="29"/>
        <v>0</v>
      </c>
      <c r="BO270" s="75">
        <f t="shared" si="30"/>
        <v>0</v>
      </c>
      <c r="BP270" s="75">
        <f t="shared" si="31"/>
        <v>0</v>
      </c>
    </row>
    <row r="271" spans="1:68" ht="27" customHeight="1" x14ac:dyDescent="0.25">
      <c r="A271" s="60" t="s">
        <v>464</v>
      </c>
      <c r="B271" s="60" t="s">
        <v>465</v>
      </c>
      <c r="C271" s="34">
        <v>4301031220</v>
      </c>
      <c r="D271" s="702">
        <v>4680115882669</v>
      </c>
      <c r="E271" s="702"/>
      <c r="F271" s="59">
        <v>0.9</v>
      </c>
      <c r="G271" s="35">
        <v>6</v>
      </c>
      <c r="H271" s="59">
        <v>5.4</v>
      </c>
      <c r="I271" s="59">
        <v>5.59</v>
      </c>
      <c r="J271" s="35">
        <v>132</v>
      </c>
      <c r="K271" s="35" t="s">
        <v>140</v>
      </c>
      <c r="L271" s="35" t="s">
        <v>46</v>
      </c>
      <c r="M271" s="36" t="s">
        <v>81</v>
      </c>
      <c r="N271" s="36"/>
      <c r="O271" s="35">
        <v>40</v>
      </c>
      <c r="P271" s="843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71" s="704"/>
      <c r="R271" s="704"/>
      <c r="S271" s="704"/>
      <c r="T271" s="705"/>
      <c r="U271" s="37" t="s">
        <v>46</v>
      </c>
      <c r="V271" s="37" t="s">
        <v>46</v>
      </c>
      <c r="W271" s="38" t="s">
        <v>0</v>
      </c>
      <c r="X271" s="56">
        <v>0</v>
      </c>
      <c r="Y271" s="53">
        <f t="shared" si="27"/>
        <v>0</v>
      </c>
      <c r="Z271" s="39" t="str">
        <f>IFERROR(IF(Y271=0,"",ROUNDUP(Y271/H271,0)*0.00902),"")</f>
        <v/>
      </c>
      <c r="AA271" s="65" t="s">
        <v>46</v>
      </c>
      <c r="AB271" s="66" t="s">
        <v>46</v>
      </c>
      <c r="AC271" s="347" t="s">
        <v>466</v>
      </c>
      <c r="AG271" s="75"/>
      <c r="AJ271" s="79" t="s">
        <v>46</v>
      </c>
      <c r="AK271" s="79">
        <v>0</v>
      </c>
      <c r="BB271" s="348" t="s">
        <v>67</v>
      </c>
      <c r="BM271" s="75">
        <f t="shared" si="28"/>
        <v>0</v>
      </c>
      <c r="BN271" s="75">
        <f t="shared" si="29"/>
        <v>0</v>
      </c>
      <c r="BO271" s="75">
        <f t="shared" si="30"/>
        <v>0</v>
      </c>
      <c r="BP271" s="75">
        <f t="shared" si="31"/>
        <v>0</v>
      </c>
    </row>
    <row r="272" spans="1:68" ht="27" customHeight="1" x14ac:dyDescent="0.25">
      <c r="A272" s="60" t="s">
        <v>467</v>
      </c>
      <c r="B272" s="60" t="s">
        <v>468</v>
      </c>
      <c r="C272" s="34">
        <v>4301031221</v>
      </c>
      <c r="D272" s="702">
        <v>4680115882676</v>
      </c>
      <c r="E272" s="702"/>
      <c r="F272" s="59">
        <v>0.9</v>
      </c>
      <c r="G272" s="35">
        <v>6</v>
      </c>
      <c r="H272" s="59">
        <v>5.4</v>
      </c>
      <c r="I272" s="59">
        <v>5.59</v>
      </c>
      <c r="J272" s="35">
        <v>132</v>
      </c>
      <c r="K272" s="35" t="s">
        <v>140</v>
      </c>
      <c r="L272" s="35" t="s">
        <v>46</v>
      </c>
      <c r="M272" s="36" t="s">
        <v>81</v>
      </c>
      <c r="N272" s="36"/>
      <c r="O272" s="35">
        <v>40</v>
      </c>
      <c r="P272" s="844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72" s="704"/>
      <c r="R272" s="704"/>
      <c r="S272" s="704"/>
      <c r="T272" s="705"/>
      <c r="U272" s="37" t="s">
        <v>46</v>
      </c>
      <c r="V272" s="37" t="s">
        <v>46</v>
      </c>
      <c r="W272" s="38" t="s">
        <v>0</v>
      </c>
      <c r="X272" s="56">
        <v>0</v>
      </c>
      <c r="Y272" s="53">
        <f t="shared" si="27"/>
        <v>0</v>
      </c>
      <c r="Z272" s="39" t="str">
        <f>IFERROR(IF(Y272=0,"",ROUNDUP(Y272/H272,0)*0.00902),"")</f>
        <v/>
      </c>
      <c r="AA272" s="65" t="s">
        <v>46</v>
      </c>
      <c r="AB272" s="66" t="s">
        <v>46</v>
      </c>
      <c r="AC272" s="349" t="s">
        <v>469</v>
      </c>
      <c r="AG272" s="75"/>
      <c r="AJ272" s="79" t="s">
        <v>46</v>
      </c>
      <c r="AK272" s="79">
        <v>0</v>
      </c>
      <c r="BB272" s="350" t="s">
        <v>67</v>
      </c>
      <c r="BM272" s="75">
        <f t="shared" si="28"/>
        <v>0</v>
      </c>
      <c r="BN272" s="75">
        <f t="shared" si="29"/>
        <v>0</v>
      </c>
      <c r="BO272" s="75">
        <f t="shared" si="30"/>
        <v>0</v>
      </c>
      <c r="BP272" s="75">
        <f t="shared" si="31"/>
        <v>0</v>
      </c>
    </row>
    <row r="273" spans="1:68" ht="27" customHeight="1" x14ac:dyDescent="0.25">
      <c r="A273" s="60" t="s">
        <v>470</v>
      </c>
      <c r="B273" s="60" t="s">
        <v>471</v>
      </c>
      <c r="C273" s="34">
        <v>4301031223</v>
      </c>
      <c r="D273" s="702">
        <v>4680115884014</v>
      </c>
      <c r="E273" s="702"/>
      <c r="F273" s="59">
        <v>0.3</v>
      </c>
      <c r="G273" s="35">
        <v>6</v>
      </c>
      <c r="H273" s="59">
        <v>1.8</v>
      </c>
      <c r="I273" s="59">
        <v>1.93</v>
      </c>
      <c r="J273" s="35">
        <v>234</v>
      </c>
      <c r="K273" s="35" t="s">
        <v>82</v>
      </c>
      <c r="L273" s="35" t="s">
        <v>46</v>
      </c>
      <c r="M273" s="36" t="s">
        <v>81</v>
      </c>
      <c r="N273" s="36"/>
      <c r="O273" s="35">
        <v>40</v>
      </c>
      <c r="P273" s="845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73" s="704"/>
      <c r="R273" s="704"/>
      <c r="S273" s="704"/>
      <c r="T273" s="705"/>
      <c r="U273" s="37" t="s">
        <v>46</v>
      </c>
      <c r="V273" s="37" t="s">
        <v>46</v>
      </c>
      <c r="W273" s="38" t="s">
        <v>0</v>
      </c>
      <c r="X273" s="56">
        <v>0</v>
      </c>
      <c r="Y273" s="53">
        <f t="shared" si="27"/>
        <v>0</v>
      </c>
      <c r="Z273" s="39" t="str">
        <f>IFERROR(IF(Y273=0,"",ROUNDUP(Y273/H273,0)*0.00502),"")</f>
        <v/>
      </c>
      <c r="AA273" s="65" t="s">
        <v>46</v>
      </c>
      <c r="AB273" s="66" t="s">
        <v>46</v>
      </c>
      <c r="AC273" s="351" t="s">
        <v>460</v>
      </c>
      <c r="AG273" s="75"/>
      <c r="AJ273" s="79" t="s">
        <v>46</v>
      </c>
      <c r="AK273" s="79">
        <v>0</v>
      </c>
      <c r="BB273" s="352" t="s">
        <v>67</v>
      </c>
      <c r="BM273" s="75">
        <f t="shared" si="28"/>
        <v>0</v>
      </c>
      <c r="BN273" s="75">
        <f t="shared" si="29"/>
        <v>0</v>
      </c>
      <c r="BO273" s="75">
        <f t="shared" si="30"/>
        <v>0</v>
      </c>
      <c r="BP273" s="75">
        <f t="shared" si="31"/>
        <v>0</v>
      </c>
    </row>
    <row r="274" spans="1:68" ht="27" customHeight="1" x14ac:dyDescent="0.25">
      <c r="A274" s="60" t="s">
        <v>472</v>
      </c>
      <c r="B274" s="60" t="s">
        <v>473</v>
      </c>
      <c r="C274" s="34">
        <v>4301031222</v>
      </c>
      <c r="D274" s="702">
        <v>4680115884007</v>
      </c>
      <c r="E274" s="702"/>
      <c r="F274" s="59">
        <v>0.3</v>
      </c>
      <c r="G274" s="35">
        <v>6</v>
      </c>
      <c r="H274" s="59">
        <v>1.8</v>
      </c>
      <c r="I274" s="59">
        <v>1.9</v>
      </c>
      <c r="J274" s="35">
        <v>234</v>
      </c>
      <c r="K274" s="35" t="s">
        <v>82</v>
      </c>
      <c r="L274" s="35" t="s">
        <v>46</v>
      </c>
      <c r="M274" s="36" t="s">
        <v>81</v>
      </c>
      <c r="N274" s="36"/>
      <c r="O274" s="35">
        <v>40</v>
      </c>
      <c r="P274" s="846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74" s="704"/>
      <c r="R274" s="704"/>
      <c r="S274" s="704"/>
      <c r="T274" s="705"/>
      <c r="U274" s="37" t="s">
        <v>46</v>
      </c>
      <c r="V274" s="37" t="s">
        <v>46</v>
      </c>
      <c r="W274" s="38" t="s">
        <v>0</v>
      </c>
      <c r="X274" s="56">
        <v>0</v>
      </c>
      <c r="Y274" s="53">
        <f t="shared" si="27"/>
        <v>0</v>
      </c>
      <c r="Z274" s="39" t="str">
        <f>IFERROR(IF(Y274=0,"",ROUNDUP(Y274/H274,0)*0.00502),"")</f>
        <v/>
      </c>
      <c r="AA274" s="65" t="s">
        <v>46</v>
      </c>
      <c r="AB274" s="66" t="s">
        <v>46</v>
      </c>
      <c r="AC274" s="353" t="s">
        <v>463</v>
      </c>
      <c r="AG274" s="75"/>
      <c r="AJ274" s="79" t="s">
        <v>46</v>
      </c>
      <c r="AK274" s="79">
        <v>0</v>
      </c>
      <c r="BB274" s="354" t="s">
        <v>67</v>
      </c>
      <c r="BM274" s="75">
        <f t="shared" si="28"/>
        <v>0</v>
      </c>
      <c r="BN274" s="75">
        <f t="shared" si="29"/>
        <v>0</v>
      </c>
      <c r="BO274" s="75">
        <f t="shared" si="30"/>
        <v>0</v>
      </c>
      <c r="BP274" s="75">
        <f t="shared" si="31"/>
        <v>0</v>
      </c>
    </row>
    <row r="275" spans="1:68" ht="27" customHeight="1" x14ac:dyDescent="0.25">
      <c r="A275" s="60" t="s">
        <v>474</v>
      </c>
      <c r="B275" s="60" t="s">
        <v>475</v>
      </c>
      <c r="C275" s="34">
        <v>4301031229</v>
      </c>
      <c r="D275" s="702">
        <v>4680115884038</v>
      </c>
      <c r="E275" s="702"/>
      <c r="F275" s="59">
        <v>0.3</v>
      </c>
      <c r="G275" s="35">
        <v>6</v>
      </c>
      <c r="H275" s="59">
        <v>1.8</v>
      </c>
      <c r="I275" s="59">
        <v>1.9</v>
      </c>
      <c r="J275" s="35">
        <v>234</v>
      </c>
      <c r="K275" s="35" t="s">
        <v>82</v>
      </c>
      <c r="L275" s="35" t="s">
        <v>46</v>
      </c>
      <c r="M275" s="36" t="s">
        <v>81</v>
      </c>
      <c r="N275" s="36"/>
      <c r="O275" s="35">
        <v>40</v>
      </c>
      <c r="P275" s="847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75" s="704"/>
      <c r="R275" s="704"/>
      <c r="S275" s="704"/>
      <c r="T275" s="705"/>
      <c r="U275" s="37" t="s">
        <v>46</v>
      </c>
      <c r="V275" s="37" t="s">
        <v>46</v>
      </c>
      <c r="W275" s="38" t="s">
        <v>0</v>
      </c>
      <c r="X275" s="56">
        <v>0</v>
      </c>
      <c r="Y275" s="53">
        <f t="shared" si="27"/>
        <v>0</v>
      </c>
      <c r="Z275" s="39" t="str">
        <f>IFERROR(IF(Y275=0,"",ROUNDUP(Y275/H275,0)*0.00502),"")</f>
        <v/>
      </c>
      <c r="AA275" s="65" t="s">
        <v>46</v>
      </c>
      <c r="AB275" s="66" t="s">
        <v>46</v>
      </c>
      <c r="AC275" s="355" t="s">
        <v>466</v>
      </c>
      <c r="AG275" s="75"/>
      <c r="AJ275" s="79" t="s">
        <v>46</v>
      </c>
      <c r="AK275" s="79">
        <v>0</v>
      </c>
      <c r="BB275" s="356" t="s">
        <v>67</v>
      </c>
      <c r="BM275" s="75">
        <f t="shared" si="28"/>
        <v>0</v>
      </c>
      <c r="BN275" s="75">
        <f t="shared" si="29"/>
        <v>0</v>
      </c>
      <c r="BO275" s="75">
        <f t="shared" si="30"/>
        <v>0</v>
      </c>
      <c r="BP275" s="75">
        <f t="shared" si="31"/>
        <v>0</v>
      </c>
    </row>
    <row r="276" spans="1:68" ht="27" customHeight="1" x14ac:dyDescent="0.25">
      <c r="A276" s="60" t="s">
        <v>476</v>
      </c>
      <c r="B276" s="60" t="s">
        <v>477</v>
      </c>
      <c r="C276" s="34">
        <v>4301031225</v>
      </c>
      <c r="D276" s="702">
        <v>4680115884021</v>
      </c>
      <c r="E276" s="702"/>
      <c r="F276" s="59">
        <v>0.3</v>
      </c>
      <c r="G276" s="35">
        <v>6</v>
      </c>
      <c r="H276" s="59">
        <v>1.8</v>
      </c>
      <c r="I276" s="59">
        <v>1.9</v>
      </c>
      <c r="J276" s="35">
        <v>234</v>
      </c>
      <c r="K276" s="35" t="s">
        <v>82</v>
      </c>
      <c r="L276" s="35" t="s">
        <v>46</v>
      </c>
      <c r="M276" s="36" t="s">
        <v>81</v>
      </c>
      <c r="N276" s="36"/>
      <c r="O276" s="35">
        <v>40</v>
      </c>
      <c r="P276" s="848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76" s="704"/>
      <c r="R276" s="704"/>
      <c r="S276" s="704"/>
      <c r="T276" s="705"/>
      <c r="U276" s="37" t="s">
        <v>46</v>
      </c>
      <c r="V276" s="37" t="s">
        <v>46</v>
      </c>
      <c r="W276" s="38" t="s">
        <v>0</v>
      </c>
      <c r="X276" s="56">
        <v>0</v>
      </c>
      <c r="Y276" s="53">
        <f t="shared" si="27"/>
        <v>0</v>
      </c>
      <c r="Z276" s="39" t="str">
        <f>IFERROR(IF(Y276=0,"",ROUNDUP(Y276/H276,0)*0.00502),"")</f>
        <v/>
      </c>
      <c r="AA276" s="65" t="s">
        <v>46</v>
      </c>
      <c r="AB276" s="66" t="s">
        <v>46</v>
      </c>
      <c r="AC276" s="357" t="s">
        <v>469</v>
      </c>
      <c r="AG276" s="75"/>
      <c r="AJ276" s="79" t="s">
        <v>46</v>
      </c>
      <c r="AK276" s="79">
        <v>0</v>
      </c>
      <c r="BB276" s="358" t="s">
        <v>67</v>
      </c>
      <c r="BM276" s="75">
        <f t="shared" si="28"/>
        <v>0</v>
      </c>
      <c r="BN276" s="75">
        <f t="shared" si="29"/>
        <v>0</v>
      </c>
      <c r="BO276" s="75">
        <f t="shared" si="30"/>
        <v>0</v>
      </c>
      <c r="BP276" s="75">
        <f t="shared" si="31"/>
        <v>0</v>
      </c>
    </row>
    <row r="277" spans="1:68" x14ac:dyDescent="0.2">
      <c r="A277" s="710"/>
      <c r="B277" s="710"/>
      <c r="C277" s="710"/>
      <c r="D277" s="710"/>
      <c r="E277" s="710"/>
      <c r="F277" s="710"/>
      <c r="G277" s="710"/>
      <c r="H277" s="710"/>
      <c r="I277" s="710"/>
      <c r="J277" s="710"/>
      <c r="K277" s="710"/>
      <c r="L277" s="710"/>
      <c r="M277" s="710"/>
      <c r="N277" s="710"/>
      <c r="O277" s="711"/>
      <c r="P277" s="707" t="s">
        <v>40</v>
      </c>
      <c r="Q277" s="708"/>
      <c r="R277" s="708"/>
      <c r="S277" s="708"/>
      <c r="T277" s="708"/>
      <c r="U277" s="708"/>
      <c r="V277" s="709"/>
      <c r="W277" s="40" t="s">
        <v>39</v>
      </c>
      <c r="X277" s="41">
        <f>IFERROR(X269/H269,"0")+IFERROR(X270/H270,"0")+IFERROR(X271/H271,"0")+IFERROR(X272/H272,"0")+IFERROR(X273/H273,"0")+IFERROR(X274/H274,"0")+IFERROR(X275/H275,"0")+IFERROR(X276/H276,"0")</f>
        <v>0</v>
      </c>
      <c r="Y277" s="41">
        <f>IFERROR(Y269/H269,"0")+IFERROR(Y270/H270,"0")+IFERROR(Y271/H271,"0")+IFERROR(Y272/H272,"0")+IFERROR(Y273/H273,"0")+IFERROR(Y274/H274,"0")+IFERROR(Y275/H275,"0")+IFERROR(Y276/H276,"0")</f>
        <v>0</v>
      </c>
      <c r="Z277" s="41">
        <f>IFERROR(IF(Z269="",0,Z269),"0")+IFERROR(IF(Z270="",0,Z270),"0")+IFERROR(IF(Z271="",0,Z271),"0")+IFERROR(IF(Z272="",0,Z272),"0")+IFERROR(IF(Z273="",0,Z273),"0")+IFERROR(IF(Z274="",0,Z274),"0")+IFERROR(IF(Z275="",0,Z275),"0")+IFERROR(IF(Z276="",0,Z276),"0")</f>
        <v>0</v>
      </c>
      <c r="AA277" s="64"/>
      <c r="AB277" s="64"/>
      <c r="AC277" s="64"/>
    </row>
    <row r="278" spans="1:68" x14ac:dyDescent="0.2">
      <c r="A278" s="710"/>
      <c r="B278" s="710"/>
      <c r="C278" s="710"/>
      <c r="D278" s="710"/>
      <c r="E278" s="710"/>
      <c r="F278" s="710"/>
      <c r="G278" s="710"/>
      <c r="H278" s="710"/>
      <c r="I278" s="710"/>
      <c r="J278" s="710"/>
      <c r="K278" s="710"/>
      <c r="L278" s="710"/>
      <c r="M278" s="710"/>
      <c r="N278" s="710"/>
      <c r="O278" s="711"/>
      <c r="P278" s="707" t="s">
        <v>40</v>
      </c>
      <c r="Q278" s="708"/>
      <c r="R278" s="708"/>
      <c r="S278" s="708"/>
      <c r="T278" s="708"/>
      <c r="U278" s="708"/>
      <c r="V278" s="709"/>
      <c r="W278" s="40" t="s">
        <v>0</v>
      </c>
      <c r="X278" s="41">
        <f>IFERROR(SUM(X269:X276),"0")</f>
        <v>0</v>
      </c>
      <c r="Y278" s="41">
        <f>IFERROR(SUM(Y269:Y276),"0")</f>
        <v>0</v>
      </c>
      <c r="Z278" s="40"/>
      <c r="AA278" s="64"/>
      <c r="AB278" s="64"/>
      <c r="AC278" s="64"/>
    </row>
    <row r="279" spans="1:68" ht="14.25" customHeight="1" x14ac:dyDescent="0.25">
      <c r="A279" s="701" t="s">
        <v>86</v>
      </c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  <c r="AA279" s="63"/>
      <c r="AB279" s="63"/>
      <c r="AC279" s="63"/>
    </row>
    <row r="280" spans="1:68" ht="27" customHeight="1" x14ac:dyDescent="0.25">
      <c r="A280" s="60" t="s">
        <v>478</v>
      </c>
      <c r="B280" s="60" t="s">
        <v>479</v>
      </c>
      <c r="C280" s="34">
        <v>4301051408</v>
      </c>
      <c r="D280" s="702">
        <v>4680115881594</v>
      </c>
      <c r="E280" s="702"/>
      <c r="F280" s="59">
        <v>1.35</v>
      </c>
      <c r="G280" s="35">
        <v>6</v>
      </c>
      <c r="H280" s="59">
        <v>8.1</v>
      </c>
      <c r="I280" s="59">
        <v>8.5939999999999994</v>
      </c>
      <c r="J280" s="35">
        <v>64</v>
      </c>
      <c r="K280" s="35" t="s">
        <v>133</v>
      </c>
      <c r="L280" s="35" t="s">
        <v>46</v>
      </c>
      <c r="M280" s="36" t="s">
        <v>90</v>
      </c>
      <c r="N280" s="36"/>
      <c r="O280" s="35">
        <v>40</v>
      </c>
      <c r="P280" s="849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80" s="704"/>
      <c r="R280" s="704"/>
      <c r="S280" s="704"/>
      <c r="T280" s="705"/>
      <c r="U280" s="37" t="s">
        <v>46</v>
      </c>
      <c r="V280" s="37" t="s">
        <v>46</v>
      </c>
      <c r="W280" s="38" t="s">
        <v>0</v>
      </c>
      <c r="X280" s="56">
        <v>0</v>
      </c>
      <c r="Y280" s="53">
        <f t="shared" ref="Y280:Y291" si="32">IFERROR(IF(X280="",0,CEILING((X280/$H280),1)*$H280),"")</f>
        <v>0</v>
      </c>
      <c r="Z280" s="39" t="str">
        <f>IFERROR(IF(Y280=0,"",ROUNDUP(Y280/H280,0)*0.01898),"")</f>
        <v/>
      </c>
      <c r="AA280" s="65" t="s">
        <v>46</v>
      </c>
      <c r="AB280" s="66" t="s">
        <v>46</v>
      </c>
      <c r="AC280" s="359" t="s">
        <v>480</v>
      </c>
      <c r="AG280" s="75"/>
      <c r="AJ280" s="79" t="s">
        <v>46</v>
      </c>
      <c r="AK280" s="79">
        <v>0</v>
      </c>
      <c r="BB280" s="360" t="s">
        <v>67</v>
      </c>
      <c r="BM280" s="75">
        <f t="shared" ref="BM280:BM291" si="33">IFERROR(X280*I280/H280,"0")</f>
        <v>0</v>
      </c>
      <c r="BN280" s="75">
        <f t="shared" ref="BN280:BN291" si="34">IFERROR(Y280*I280/H280,"0")</f>
        <v>0</v>
      </c>
      <c r="BO280" s="75">
        <f t="shared" ref="BO280:BO291" si="35">IFERROR(1/J280*(X280/H280),"0")</f>
        <v>0</v>
      </c>
      <c r="BP280" s="75">
        <f t="shared" ref="BP280:BP291" si="36">IFERROR(1/J280*(Y280/H280),"0")</f>
        <v>0</v>
      </c>
    </row>
    <row r="281" spans="1:68" ht="27" customHeight="1" x14ac:dyDescent="0.25">
      <c r="A281" s="60" t="s">
        <v>481</v>
      </c>
      <c r="B281" s="60" t="s">
        <v>482</v>
      </c>
      <c r="C281" s="34">
        <v>4301051411</v>
      </c>
      <c r="D281" s="702">
        <v>4680115881617</v>
      </c>
      <c r="E281" s="702"/>
      <c r="F281" s="59">
        <v>1.35</v>
      </c>
      <c r="G281" s="35">
        <v>6</v>
      </c>
      <c r="H281" s="59">
        <v>8.1</v>
      </c>
      <c r="I281" s="59">
        <v>8.5760000000000005</v>
      </c>
      <c r="J281" s="35">
        <v>64</v>
      </c>
      <c r="K281" s="35" t="s">
        <v>133</v>
      </c>
      <c r="L281" s="35" t="s">
        <v>46</v>
      </c>
      <c r="M281" s="36" t="s">
        <v>90</v>
      </c>
      <c r="N281" s="36"/>
      <c r="O281" s="35">
        <v>40</v>
      </c>
      <c r="P281" s="850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81" s="704"/>
      <c r="R281" s="704"/>
      <c r="S281" s="704"/>
      <c r="T281" s="705"/>
      <c r="U281" s="37" t="s">
        <v>46</v>
      </c>
      <c r="V281" s="37" t="s">
        <v>46</v>
      </c>
      <c r="W281" s="38" t="s">
        <v>0</v>
      </c>
      <c r="X281" s="56">
        <v>0</v>
      </c>
      <c r="Y281" s="53">
        <f t="shared" si="32"/>
        <v>0</v>
      </c>
      <c r="Z281" s="39" t="str">
        <f>IFERROR(IF(Y281=0,"",ROUNDUP(Y281/H281,0)*0.01898),"")</f>
        <v/>
      </c>
      <c r="AA281" s="65" t="s">
        <v>46</v>
      </c>
      <c r="AB281" s="66" t="s">
        <v>46</v>
      </c>
      <c r="AC281" s="361" t="s">
        <v>483</v>
      </c>
      <c r="AG281" s="75"/>
      <c r="AJ281" s="79" t="s">
        <v>46</v>
      </c>
      <c r="AK281" s="79">
        <v>0</v>
      </c>
      <c r="BB281" s="362" t="s">
        <v>67</v>
      </c>
      <c r="BM281" s="75">
        <f t="shared" si="33"/>
        <v>0</v>
      </c>
      <c r="BN281" s="75">
        <f t="shared" si="34"/>
        <v>0</v>
      </c>
      <c r="BO281" s="75">
        <f t="shared" si="35"/>
        <v>0</v>
      </c>
      <c r="BP281" s="75">
        <f t="shared" si="36"/>
        <v>0</v>
      </c>
    </row>
    <row r="282" spans="1:68" ht="27" customHeight="1" x14ac:dyDescent="0.25">
      <c r="A282" s="60" t="s">
        <v>484</v>
      </c>
      <c r="B282" s="60" t="s">
        <v>485</v>
      </c>
      <c r="C282" s="34">
        <v>4301051656</v>
      </c>
      <c r="D282" s="702">
        <v>4680115880573</v>
      </c>
      <c r="E282" s="702"/>
      <c r="F282" s="59">
        <v>1.45</v>
      </c>
      <c r="G282" s="35">
        <v>6</v>
      </c>
      <c r="H282" s="59">
        <v>8.6999999999999993</v>
      </c>
      <c r="I282" s="59">
        <v>9.1940000000000008</v>
      </c>
      <c r="J282" s="35">
        <v>64</v>
      </c>
      <c r="K282" s="35" t="s">
        <v>133</v>
      </c>
      <c r="L282" s="35" t="s">
        <v>46</v>
      </c>
      <c r="M282" s="36" t="s">
        <v>90</v>
      </c>
      <c r="N282" s="36"/>
      <c r="O282" s="35">
        <v>45</v>
      </c>
      <c r="P282" s="851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82" s="704"/>
      <c r="R282" s="704"/>
      <c r="S282" s="704"/>
      <c r="T282" s="705"/>
      <c r="U282" s="37" t="s">
        <v>46</v>
      </c>
      <c r="V282" s="37" t="s">
        <v>46</v>
      </c>
      <c r="W282" s="38" t="s">
        <v>0</v>
      </c>
      <c r="X282" s="56">
        <v>0</v>
      </c>
      <c r="Y282" s="53">
        <f t="shared" si="32"/>
        <v>0</v>
      </c>
      <c r="Z282" s="39" t="str">
        <f>IFERROR(IF(Y282=0,"",ROUNDUP(Y282/H282,0)*0.01898),"")</f>
        <v/>
      </c>
      <c r="AA282" s="65" t="s">
        <v>46</v>
      </c>
      <c r="AB282" s="66" t="s">
        <v>46</v>
      </c>
      <c r="AC282" s="363" t="s">
        <v>486</v>
      </c>
      <c r="AG282" s="75"/>
      <c r="AJ282" s="79" t="s">
        <v>46</v>
      </c>
      <c r="AK282" s="79">
        <v>0</v>
      </c>
      <c r="BB282" s="364" t="s">
        <v>67</v>
      </c>
      <c r="BM282" s="75">
        <f t="shared" si="33"/>
        <v>0</v>
      </c>
      <c r="BN282" s="75">
        <f t="shared" si="34"/>
        <v>0</v>
      </c>
      <c r="BO282" s="75">
        <f t="shared" si="35"/>
        <v>0</v>
      </c>
      <c r="BP282" s="75">
        <f t="shared" si="36"/>
        <v>0</v>
      </c>
    </row>
    <row r="283" spans="1:68" ht="27" customHeight="1" x14ac:dyDescent="0.25">
      <c r="A283" s="60" t="s">
        <v>487</v>
      </c>
      <c r="B283" s="60" t="s">
        <v>488</v>
      </c>
      <c r="C283" s="34">
        <v>4301051407</v>
      </c>
      <c r="D283" s="702">
        <v>4680115882195</v>
      </c>
      <c r="E283" s="702"/>
      <c r="F283" s="59">
        <v>0.4</v>
      </c>
      <c r="G283" s="35">
        <v>6</v>
      </c>
      <c r="H283" s="59">
        <v>2.4</v>
      </c>
      <c r="I283" s="59">
        <v>2.67</v>
      </c>
      <c r="J283" s="35">
        <v>182</v>
      </c>
      <c r="K283" s="35" t="s">
        <v>91</v>
      </c>
      <c r="L283" s="35" t="s">
        <v>46</v>
      </c>
      <c r="M283" s="36" t="s">
        <v>90</v>
      </c>
      <c r="N283" s="36"/>
      <c r="O283" s="35">
        <v>40</v>
      </c>
      <c r="P283" s="852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83" s="704"/>
      <c r="R283" s="704"/>
      <c r="S283" s="704"/>
      <c r="T283" s="705"/>
      <c r="U283" s="37" t="s">
        <v>46</v>
      </c>
      <c r="V283" s="37" t="s">
        <v>46</v>
      </c>
      <c r="W283" s="38" t="s">
        <v>0</v>
      </c>
      <c r="X283" s="56">
        <v>0</v>
      </c>
      <c r="Y283" s="53">
        <f t="shared" si="32"/>
        <v>0</v>
      </c>
      <c r="Z283" s="39" t="str">
        <f>IFERROR(IF(Y283=0,"",ROUNDUP(Y283/H283,0)*0.00651),"")</f>
        <v/>
      </c>
      <c r="AA283" s="65" t="s">
        <v>46</v>
      </c>
      <c r="AB283" s="66" t="s">
        <v>46</v>
      </c>
      <c r="AC283" s="365" t="s">
        <v>480</v>
      </c>
      <c r="AG283" s="75"/>
      <c r="AJ283" s="79" t="s">
        <v>46</v>
      </c>
      <c r="AK283" s="79">
        <v>0</v>
      </c>
      <c r="BB283" s="366" t="s">
        <v>67</v>
      </c>
      <c r="BM283" s="75">
        <f t="shared" si="33"/>
        <v>0</v>
      </c>
      <c r="BN283" s="75">
        <f t="shared" si="34"/>
        <v>0</v>
      </c>
      <c r="BO283" s="75">
        <f t="shared" si="35"/>
        <v>0</v>
      </c>
      <c r="BP283" s="75">
        <f t="shared" si="36"/>
        <v>0</v>
      </c>
    </row>
    <row r="284" spans="1:68" ht="27" customHeight="1" x14ac:dyDescent="0.25">
      <c r="A284" s="60" t="s">
        <v>489</v>
      </c>
      <c r="B284" s="60" t="s">
        <v>490</v>
      </c>
      <c r="C284" s="34">
        <v>4301051752</v>
      </c>
      <c r="D284" s="702">
        <v>4680115882607</v>
      </c>
      <c r="E284" s="702"/>
      <c r="F284" s="59">
        <v>0.3</v>
      </c>
      <c r="G284" s="35">
        <v>6</v>
      </c>
      <c r="H284" s="59">
        <v>1.8</v>
      </c>
      <c r="I284" s="59">
        <v>2.052</v>
      </c>
      <c r="J284" s="35">
        <v>182</v>
      </c>
      <c r="K284" s="35" t="s">
        <v>91</v>
      </c>
      <c r="L284" s="35" t="s">
        <v>46</v>
      </c>
      <c r="M284" s="36" t="s">
        <v>97</v>
      </c>
      <c r="N284" s="36"/>
      <c r="O284" s="35">
        <v>45</v>
      </c>
      <c r="P284" s="853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84" s="704"/>
      <c r="R284" s="704"/>
      <c r="S284" s="704"/>
      <c r="T284" s="705"/>
      <c r="U284" s="37" t="s">
        <v>46</v>
      </c>
      <c r="V284" s="37" t="s">
        <v>46</v>
      </c>
      <c r="W284" s="38" t="s">
        <v>0</v>
      </c>
      <c r="X284" s="56">
        <v>0</v>
      </c>
      <c r="Y284" s="53">
        <f t="shared" si="32"/>
        <v>0</v>
      </c>
      <c r="Z284" s="39" t="str">
        <f>IFERROR(IF(Y284=0,"",ROUNDUP(Y284/H284,0)*0.00651),"")</f>
        <v/>
      </c>
      <c r="AA284" s="65" t="s">
        <v>46</v>
      </c>
      <c r="AB284" s="66" t="s">
        <v>46</v>
      </c>
      <c r="AC284" s="367" t="s">
        <v>486</v>
      </c>
      <c r="AG284" s="75"/>
      <c r="AJ284" s="79" t="s">
        <v>46</v>
      </c>
      <c r="AK284" s="79">
        <v>0</v>
      </c>
      <c r="BB284" s="368" t="s">
        <v>67</v>
      </c>
      <c r="BM284" s="75">
        <f t="shared" si="33"/>
        <v>0</v>
      </c>
      <c r="BN284" s="75">
        <f t="shared" si="34"/>
        <v>0</v>
      </c>
      <c r="BO284" s="75">
        <f t="shared" si="35"/>
        <v>0</v>
      </c>
      <c r="BP284" s="75">
        <f t="shared" si="36"/>
        <v>0</v>
      </c>
    </row>
    <row r="285" spans="1:68" ht="27" customHeight="1" x14ac:dyDescent="0.25">
      <c r="A285" s="60" t="s">
        <v>491</v>
      </c>
      <c r="B285" s="60" t="s">
        <v>492</v>
      </c>
      <c r="C285" s="34">
        <v>4301052143</v>
      </c>
      <c r="D285" s="702">
        <v>4680115882607</v>
      </c>
      <c r="E285" s="702"/>
      <c r="F285" s="59">
        <v>0.3</v>
      </c>
      <c r="G285" s="35">
        <v>6</v>
      </c>
      <c r="H285" s="59">
        <v>1.8</v>
      </c>
      <c r="I285" s="59">
        <v>2.0619999999999998</v>
      </c>
      <c r="J285" s="35">
        <v>132</v>
      </c>
      <c r="K285" s="35" t="s">
        <v>140</v>
      </c>
      <c r="L285" s="35" t="s">
        <v>46</v>
      </c>
      <c r="M285" s="36" t="s">
        <v>90</v>
      </c>
      <c r="N285" s="36"/>
      <c r="O285" s="35">
        <v>45</v>
      </c>
      <c r="P285" s="854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85" s="704"/>
      <c r="R285" s="704"/>
      <c r="S285" s="704"/>
      <c r="T285" s="705"/>
      <c r="U285" s="37" t="s">
        <v>46</v>
      </c>
      <c r="V285" s="37" t="s">
        <v>46</v>
      </c>
      <c r="W285" s="38" t="s">
        <v>0</v>
      </c>
      <c r="X285" s="56">
        <v>0</v>
      </c>
      <c r="Y285" s="53">
        <f t="shared" si="32"/>
        <v>0</v>
      </c>
      <c r="Z285" s="39" t="str">
        <f>IFERROR(IF(Y285=0,"",ROUNDUP(Y285/H285,0)*0.00902),"")</f>
        <v/>
      </c>
      <c r="AA285" s="65" t="s">
        <v>46</v>
      </c>
      <c r="AB285" s="66" t="s">
        <v>46</v>
      </c>
      <c r="AC285" s="369" t="s">
        <v>493</v>
      </c>
      <c r="AG285" s="75"/>
      <c r="AJ285" s="79" t="s">
        <v>46</v>
      </c>
      <c r="AK285" s="79">
        <v>0</v>
      </c>
      <c r="BB285" s="370" t="s">
        <v>67</v>
      </c>
      <c r="BM285" s="75">
        <f t="shared" si="33"/>
        <v>0</v>
      </c>
      <c r="BN285" s="75">
        <f t="shared" si="34"/>
        <v>0</v>
      </c>
      <c r="BO285" s="75">
        <f t="shared" si="35"/>
        <v>0</v>
      </c>
      <c r="BP285" s="75">
        <f t="shared" si="36"/>
        <v>0</v>
      </c>
    </row>
    <row r="286" spans="1:68" ht="27" customHeight="1" x14ac:dyDescent="0.25">
      <c r="A286" s="60" t="s">
        <v>494</v>
      </c>
      <c r="B286" s="60" t="s">
        <v>495</v>
      </c>
      <c r="C286" s="34">
        <v>4301051666</v>
      </c>
      <c r="D286" s="702">
        <v>4680115880092</v>
      </c>
      <c r="E286" s="702"/>
      <c r="F286" s="59">
        <v>0.4</v>
      </c>
      <c r="G286" s="35">
        <v>6</v>
      </c>
      <c r="H286" s="59">
        <v>2.4</v>
      </c>
      <c r="I286" s="59">
        <v>2.6520000000000001</v>
      </c>
      <c r="J286" s="35">
        <v>182</v>
      </c>
      <c r="K286" s="35" t="s">
        <v>91</v>
      </c>
      <c r="L286" s="35" t="s">
        <v>46</v>
      </c>
      <c r="M286" s="36" t="s">
        <v>90</v>
      </c>
      <c r="N286" s="36"/>
      <c r="O286" s="35">
        <v>45</v>
      </c>
      <c r="P286" s="855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86" s="704"/>
      <c r="R286" s="704"/>
      <c r="S286" s="704"/>
      <c r="T286" s="705"/>
      <c r="U286" s="37" t="s">
        <v>46</v>
      </c>
      <c r="V286" s="37" t="s">
        <v>46</v>
      </c>
      <c r="W286" s="38" t="s">
        <v>0</v>
      </c>
      <c r="X286" s="56">
        <v>0</v>
      </c>
      <c r="Y286" s="53">
        <f t="shared" si="32"/>
        <v>0</v>
      </c>
      <c r="Z286" s="39" t="str">
        <f>IFERROR(IF(Y286=0,"",ROUNDUP(Y286/H286,0)*0.00651),"")</f>
        <v/>
      </c>
      <c r="AA286" s="65" t="s">
        <v>46</v>
      </c>
      <c r="AB286" s="66" t="s">
        <v>46</v>
      </c>
      <c r="AC286" s="371" t="s">
        <v>486</v>
      </c>
      <c r="AG286" s="75"/>
      <c r="AJ286" s="79" t="s">
        <v>46</v>
      </c>
      <c r="AK286" s="79">
        <v>0</v>
      </c>
      <c r="BB286" s="372" t="s">
        <v>67</v>
      </c>
      <c r="BM286" s="75">
        <f t="shared" si="33"/>
        <v>0</v>
      </c>
      <c r="BN286" s="75">
        <f t="shared" si="34"/>
        <v>0</v>
      </c>
      <c r="BO286" s="75">
        <f t="shared" si="35"/>
        <v>0</v>
      </c>
      <c r="BP286" s="75">
        <f t="shared" si="36"/>
        <v>0</v>
      </c>
    </row>
    <row r="287" spans="1:68" ht="27" customHeight="1" x14ac:dyDescent="0.25">
      <c r="A287" s="60" t="s">
        <v>496</v>
      </c>
      <c r="B287" s="60" t="s">
        <v>497</v>
      </c>
      <c r="C287" s="34">
        <v>4301052214</v>
      </c>
      <c r="D287" s="702">
        <v>4680115889064</v>
      </c>
      <c r="E287" s="702"/>
      <c r="F287" s="59">
        <v>0.7</v>
      </c>
      <c r="G287" s="35">
        <v>6</v>
      </c>
      <c r="H287" s="59">
        <v>4.2</v>
      </c>
      <c r="I287" s="59">
        <v>4.6159999999999997</v>
      </c>
      <c r="J287" s="35">
        <v>104</v>
      </c>
      <c r="K287" s="35" t="s">
        <v>133</v>
      </c>
      <c r="L287" s="35" t="s">
        <v>46</v>
      </c>
      <c r="M287" s="36" t="s">
        <v>90</v>
      </c>
      <c r="N287" s="36"/>
      <c r="O287" s="35">
        <v>45</v>
      </c>
      <c r="P287" s="856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87" s="704"/>
      <c r="R287" s="704"/>
      <c r="S287" s="704"/>
      <c r="T287" s="705"/>
      <c r="U287" s="37" t="s">
        <v>46</v>
      </c>
      <c r="V287" s="37" t="s">
        <v>46</v>
      </c>
      <c r="W287" s="38" t="s">
        <v>0</v>
      </c>
      <c r="X287" s="56">
        <v>0</v>
      </c>
      <c r="Y287" s="53">
        <f t="shared" si="32"/>
        <v>0</v>
      </c>
      <c r="Z287" s="39" t="str">
        <f>IFERROR(IF(Y287=0,"",ROUNDUP(Y287/H287,0)*0.01196),"")</f>
        <v/>
      </c>
      <c r="AA287" s="65" t="s">
        <v>46</v>
      </c>
      <c r="AB287" s="66" t="s">
        <v>46</v>
      </c>
      <c r="AC287" s="373" t="s">
        <v>493</v>
      </c>
      <c r="AG287" s="75"/>
      <c r="AJ287" s="79" t="s">
        <v>46</v>
      </c>
      <c r="AK287" s="79">
        <v>0</v>
      </c>
      <c r="BB287" s="374" t="s">
        <v>67</v>
      </c>
      <c r="BM287" s="75">
        <f t="shared" si="33"/>
        <v>0</v>
      </c>
      <c r="BN287" s="75">
        <f t="shared" si="34"/>
        <v>0</v>
      </c>
      <c r="BO287" s="75">
        <f t="shared" si="35"/>
        <v>0</v>
      </c>
      <c r="BP287" s="75">
        <f t="shared" si="36"/>
        <v>0</v>
      </c>
    </row>
    <row r="288" spans="1:68" ht="27" customHeight="1" x14ac:dyDescent="0.25">
      <c r="A288" s="60" t="s">
        <v>498</v>
      </c>
      <c r="B288" s="60" t="s">
        <v>499</v>
      </c>
      <c r="C288" s="34">
        <v>4301051668</v>
      </c>
      <c r="D288" s="702">
        <v>4680115880221</v>
      </c>
      <c r="E288" s="702"/>
      <c r="F288" s="59">
        <v>0.4</v>
      </c>
      <c r="G288" s="35">
        <v>6</v>
      </c>
      <c r="H288" s="59">
        <v>2.4</v>
      </c>
      <c r="I288" s="59">
        <v>2.6520000000000001</v>
      </c>
      <c r="J288" s="35">
        <v>182</v>
      </c>
      <c r="K288" s="35" t="s">
        <v>91</v>
      </c>
      <c r="L288" s="35" t="s">
        <v>46</v>
      </c>
      <c r="M288" s="36" t="s">
        <v>90</v>
      </c>
      <c r="N288" s="36"/>
      <c r="O288" s="35">
        <v>45</v>
      </c>
      <c r="P288" s="857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88" s="704"/>
      <c r="R288" s="704"/>
      <c r="S288" s="704"/>
      <c r="T288" s="705"/>
      <c r="U288" s="37" t="s">
        <v>46</v>
      </c>
      <c r="V288" s="37" t="s">
        <v>46</v>
      </c>
      <c r="W288" s="38" t="s">
        <v>0</v>
      </c>
      <c r="X288" s="56">
        <v>0</v>
      </c>
      <c r="Y288" s="53">
        <f t="shared" si="32"/>
        <v>0</v>
      </c>
      <c r="Z288" s="39" t="str">
        <f>IFERROR(IF(Y288=0,"",ROUNDUP(Y288/H288,0)*0.00651),"")</f>
        <v/>
      </c>
      <c r="AA288" s="65" t="s">
        <v>46</v>
      </c>
      <c r="AB288" s="66" t="s">
        <v>46</v>
      </c>
      <c r="AC288" s="375" t="s">
        <v>486</v>
      </c>
      <c r="AG288" s="75"/>
      <c r="AJ288" s="79" t="s">
        <v>46</v>
      </c>
      <c r="AK288" s="79">
        <v>0</v>
      </c>
      <c r="BB288" s="376" t="s">
        <v>67</v>
      </c>
      <c r="BM288" s="75">
        <f t="shared" si="33"/>
        <v>0</v>
      </c>
      <c r="BN288" s="75">
        <f t="shared" si="34"/>
        <v>0</v>
      </c>
      <c r="BO288" s="75">
        <f t="shared" si="35"/>
        <v>0</v>
      </c>
      <c r="BP288" s="75">
        <f t="shared" si="36"/>
        <v>0</v>
      </c>
    </row>
    <row r="289" spans="1:68" ht="27" customHeight="1" x14ac:dyDescent="0.25">
      <c r="A289" s="60" t="s">
        <v>500</v>
      </c>
      <c r="B289" s="60" t="s">
        <v>501</v>
      </c>
      <c r="C289" s="34">
        <v>4301051945</v>
      </c>
      <c r="D289" s="702">
        <v>4680115880504</v>
      </c>
      <c r="E289" s="702"/>
      <c r="F289" s="59">
        <v>0.4</v>
      </c>
      <c r="G289" s="35">
        <v>6</v>
      </c>
      <c r="H289" s="59">
        <v>2.4</v>
      </c>
      <c r="I289" s="59">
        <v>2.6520000000000001</v>
      </c>
      <c r="J289" s="35">
        <v>182</v>
      </c>
      <c r="K289" s="35" t="s">
        <v>91</v>
      </c>
      <c r="L289" s="35" t="s">
        <v>46</v>
      </c>
      <c r="M289" s="36" t="s">
        <v>97</v>
      </c>
      <c r="N289" s="36"/>
      <c r="O289" s="35">
        <v>40</v>
      </c>
      <c r="P289" s="858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89" s="704"/>
      <c r="R289" s="704"/>
      <c r="S289" s="704"/>
      <c r="T289" s="705"/>
      <c r="U289" s="37" t="s">
        <v>46</v>
      </c>
      <c r="V289" s="37" t="s">
        <v>46</v>
      </c>
      <c r="W289" s="38" t="s">
        <v>0</v>
      </c>
      <c r="X289" s="56">
        <v>0</v>
      </c>
      <c r="Y289" s="53">
        <f t="shared" si="32"/>
        <v>0</v>
      </c>
      <c r="Z289" s="39" t="str">
        <f>IFERROR(IF(Y289=0,"",ROUNDUP(Y289/H289,0)*0.00651),"")</f>
        <v/>
      </c>
      <c r="AA289" s="65" t="s">
        <v>46</v>
      </c>
      <c r="AB289" s="66" t="s">
        <v>46</v>
      </c>
      <c r="AC289" s="377" t="s">
        <v>502</v>
      </c>
      <c r="AG289" s="75"/>
      <c r="AJ289" s="79" t="s">
        <v>46</v>
      </c>
      <c r="AK289" s="79">
        <v>0</v>
      </c>
      <c r="BB289" s="378" t="s">
        <v>67</v>
      </c>
      <c r="BM289" s="75">
        <f t="shared" si="33"/>
        <v>0</v>
      </c>
      <c r="BN289" s="75">
        <f t="shared" si="34"/>
        <v>0</v>
      </c>
      <c r="BO289" s="75">
        <f t="shared" si="35"/>
        <v>0</v>
      </c>
      <c r="BP289" s="75">
        <f t="shared" si="36"/>
        <v>0</v>
      </c>
    </row>
    <row r="290" spans="1:68" ht="27" customHeight="1" x14ac:dyDescent="0.25">
      <c r="A290" s="60" t="s">
        <v>503</v>
      </c>
      <c r="B290" s="60" t="s">
        <v>504</v>
      </c>
      <c r="C290" s="34">
        <v>4301051410</v>
      </c>
      <c r="D290" s="702">
        <v>4680115882164</v>
      </c>
      <c r="E290" s="702"/>
      <c r="F290" s="59">
        <v>0.4</v>
      </c>
      <c r="G290" s="35">
        <v>6</v>
      </c>
      <c r="H290" s="59">
        <v>2.4</v>
      </c>
      <c r="I290" s="59">
        <v>2.6579999999999999</v>
      </c>
      <c r="J290" s="35">
        <v>182</v>
      </c>
      <c r="K290" s="35" t="s">
        <v>91</v>
      </c>
      <c r="L290" s="35" t="s">
        <v>46</v>
      </c>
      <c r="M290" s="36" t="s">
        <v>90</v>
      </c>
      <c r="N290" s="36"/>
      <c r="O290" s="35">
        <v>40</v>
      </c>
      <c r="P290" s="859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90" s="704"/>
      <c r="R290" s="704"/>
      <c r="S290" s="704"/>
      <c r="T290" s="705"/>
      <c r="U290" s="37" t="s">
        <v>46</v>
      </c>
      <c r="V290" s="37" t="s">
        <v>46</v>
      </c>
      <c r="W290" s="38" t="s">
        <v>0</v>
      </c>
      <c r="X290" s="56">
        <v>0</v>
      </c>
      <c r="Y290" s="53">
        <f t="shared" si="32"/>
        <v>0</v>
      </c>
      <c r="Z290" s="39" t="str">
        <f>IFERROR(IF(Y290=0,"",ROUNDUP(Y290/H290,0)*0.00651),"")</f>
        <v/>
      </c>
      <c r="AA290" s="65" t="s">
        <v>46</v>
      </c>
      <c r="AB290" s="66" t="s">
        <v>46</v>
      </c>
      <c r="AC290" s="379" t="s">
        <v>505</v>
      </c>
      <c r="AG290" s="75"/>
      <c r="AJ290" s="79" t="s">
        <v>46</v>
      </c>
      <c r="AK290" s="79">
        <v>0</v>
      </c>
      <c r="BB290" s="380" t="s">
        <v>67</v>
      </c>
      <c r="BM290" s="75">
        <f t="shared" si="33"/>
        <v>0</v>
      </c>
      <c r="BN290" s="75">
        <f t="shared" si="34"/>
        <v>0</v>
      </c>
      <c r="BO290" s="75">
        <f t="shared" si="35"/>
        <v>0</v>
      </c>
      <c r="BP290" s="75">
        <f t="shared" si="36"/>
        <v>0</v>
      </c>
    </row>
    <row r="291" spans="1:68" ht="27" customHeight="1" x14ac:dyDescent="0.25">
      <c r="A291" s="60" t="s">
        <v>506</v>
      </c>
      <c r="B291" s="60" t="s">
        <v>507</v>
      </c>
      <c r="C291" s="34">
        <v>4301052180</v>
      </c>
      <c r="D291" s="702">
        <v>4680115888340</v>
      </c>
      <c r="E291" s="702"/>
      <c r="F291" s="59">
        <v>0.4</v>
      </c>
      <c r="G291" s="35">
        <v>6</v>
      </c>
      <c r="H291" s="59">
        <v>2.4</v>
      </c>
      <c r="I291" s="59">
        <v>2.6520000000000001</v>
      </c>
      <c r="J291" s="35">
        <v>182</v>
      </c>
      <c r="K291" s="35" t="s">
        <v>91</v>
      </c>
      <c r="L291" s="35" t="s">
        <v>46</v>
      </c>
      <c r="M291" s="36" t="s">
        <v>90</v>
      </c>
      <c r="N291" s="36"/>
      <c r="O291" s="35">
        <v>45</v>
      </c>
      <c r="P291" s="860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91" s="704"/>
      <c r="R291" s="704"/>
      <c r="S291" s="704"/>
      <c r="T291" s="705"/>
      <c r="U291" s="37" t="s">
        <v>46</v>
      </c>
      <c r="V291" s="37" t="s">
        <v>46</v>
      </c>
      <c r="W291" s="38" t="s">
        <v>0</v>
      </c>
      <c r="X291" s="56">
        <v>0</v>
      </c>
      <c r="Y291" s="53">
        <f t="shared" si="32"/>
        <v>0</v>
      </c>
      <c r="Z291" s="39" t="str">
        <f>IFERROR(IF(Y291=0,"",ROUNDUP(Y291/H291,0)*0.00651),"")</f>
        <v/>
      </c>
      <c r="AA291" s="65" t="s">
        <v>46</v>
      </c>
      <c r="AB291" s="66" t="s">
        <v>46</v>
      </c>
      <c r="AC291" s="381" t="s">
        <v>508</v>
      </c>
      <c r="AG291" s="75"/>
      <c r="AJ291" s="79" t="s">
        <v>46</v>
      </c>
      <c r="AK291" s="79">
        <v>0</v>
      </c>
      <c r="BB291" s="382" t="s">
        <v>67</v>
      </c>
      <c r="BM291" s="75">
        <f t="shared" si="33"/>
        <v>0</v>
      </c>
      <c r="BN291" s="75">
        <f t="shared" si="34"/>
        <v>0</v>
      </c>
      <c r="BO291" s="75">
        <f t="shared" si="35"/>
        <v>0</v>
      </c>
      <c r="BP291" s="75">
        <f t="shared" si="36"/>
        <v>0</v>
      </c>
    </row>
    <row r="292" spans="1:68" x14ac:dyDescent="0.2">
      <c r="A292" s="710"/>
      <c r="B292" s="710"/>
      <c r="C292" s="710"/>
      <c r="D292" s="710"/>
      <c r="E292" s="710"/>
      <c r="F292" s="710"/>
      <c r="G292" s="710"/>
      <c r="H292" s="710"/>
      <c r="I292" s="710"/>
      <c r="J292" s="710"/>
      <c r="K292" s="710"/>
      <c r="L292" s="710"/>
      <c r="M292" s="710"/>
      <c r="N292" s="710"/>
      <c r="O292" s="711"/>
      <c r="P292" s="707" t="s">
        <v>40</v>
      </c>
      <c r="Q292" s="708"/>
      <c r="R292" s="708"/>
      <c r="S292" s="708"/>
      <c r="T292" s="708"/>
      <c r="U292" s="708"/>
      <c r="V292" s="709"/>
      <c r="W292" s="40" t="s">
        <v>39</v>
      </c>
      <c r="X292" s="41">
        <f>IFERROR(X280/H280,"0")+IFERROR(X281/H281,"0")+IFERROR(X282/H282,"0")+IFERROR(X283/H283,"0")+IFERROR(X284/H284,"0")+IFERROR(X285/H285,"0")+IFERROR(X286/H286,"0")+IFERROR(X287/H287,"0")+IFERROR(X288/H288,"0")+IFERROR(X289/H289,"0")+IFERROR(X290/H290,"0")+IFERROR(X291/H291,"0")</f>
        <v>0</v>
      </c>
      <c r="Y292" s="41">
        <f>IFERROR(Y280/H280,"0")+IFERROR(Y281/H281,"0")+IFERROR(Y282/H282,"0")+IFERROR(Y283/H283,"0")+IFERROR(Y284/H284,"0")+IFERROR(Y285/H285,"0")+IFERROR(Y286/H286,"0")+IFERROR(Y287/H287,"0")+IFERROR(Y288/H288,"0")+IFERROR(Y289/H289,"0")+IFERROR(Y290/H290,"0")+IFERROR(Y291/H291,"0")</f>
        <v>0</v>
      </c>
      <c r="Z292" s="41">
        <f>IFERROR(IF(Z280="",0,Z280),"0")+IFERROR(IF(Z281="",0,Z281),"0")+IFERROR(IF(Z282="",0,Z282),"0")+IFERROR(IF(Z283="",0,Z283),"0")+IFERROR(IF(Z284="",0,Z284),"0")+IFERROR(IF(Z285="",0,Z285),"0")+IFERROR(IF(Z286="",0,Z286),"0")+IFERROR(IF(Z287="",0,Z287),"0")+IFERROR(IF(Z288="",0,Z288),"0")+IFERROR(IF(Z289="",0,Z289),"0")+IFERROR(IF(Z290="",0,Z290),"0")+IFERROR(IF(Z291="",0,Z291),"0")</f>
        <v>0</v>
      </c>
      <c r="AA292" s="64"/>
      <c r="AB292" s="64"/>
      <c r="AC292" s="64"/>
    </row>
    <row r="293" spans="1:68" x14ac:dyDescent="0.2">
      <c r="A293" s="710"/>
      <c r="B293" s="710"/>
      <c r="C293" s="710"/>
      <c r="D293" s="710"/>
      <c r="E293" s="710"/>
      <c r="F293" s="710"/>
      <c r="G293" s="710"/>
      <c r="H293" s="710"/>
      <c r="I293" s="710"/>
      <c r="J293" s="710"/>
      <c r="K293" s="710"/>
      <c r="L293" s="710"/>
      <c r="M293" s="710"/>
      <c r="N293" s="710"/>
      <c r="O293" s="711"/>
      <c r="P293" s="707" t="s">
        <v>40</v>
      </c>
      <c r="Q293" s="708"/>
      <c r="R293" s="708"/>
      <c r="S293" s="708"/>
      <c r="T293" s="708"/>
      <c r="U293" s="708"/>
      <c r="V293" s="709"/>
      <c r="W293" s="40" t="s">
        <v>0</v>
      </c>
      <c r="X293" s="41">
        <f>IFERROR(SUM(X280:X291),"0")</f>
        <v>0</v>
      </c>
      <c r="Y293" s="41">
        <f>IFERROR(SUM(Y280:Y291),"0")</f>
        <v>0</v>
      </c>
      <c r="Z293" s="40"/>
      <c r="AA293" s="64"/>
      <c r="AB293" s="64"/>
      <c r="AC293" s="64"/>
    </row>
    <row r="294" spans="1:68" ht="14.25" customHeight="1" x14ac:dyDescent="0.25">
      <c r="A294" s="701" t="s">
        <v>181</v>
      </c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  <c r="AA294" s="63"/>
      <c r="AB294" s="63"/>
      <c r="AC294" s="63"/>
    </row>
    <row r="295" spans="1:68" ht="27" customHeight="1" x14ac:dyDescent="0.25">
      <c r="A295" s="60" t="s">
        <v>509</v>
      </c>
      <c r="B295" s="60" t="s">
        <v>510</v>
      </c>
      <c r="C295" s="34">
        <v>4301060463</v>
      </c>
      <c r="D295" s="702">
        <v>4680115880818</v>
      </c>
      <c r="E295" s="702"/>
      <c r="F295" s="59">
        <v>0.4</v>
      </c>
      <c r="G295" s="35">
        <v>6</v>
      </c>
      <c r="H295" s="59">
        <v>2.4</v>
      </c>
      <c r="I295" s="59">
        <v>2.6520000000000001</v>
      </c>
      <c r="J295" s="35">
        <v>182</v>
      </c>
      <c r="K295" s="35" t="s">
        <v>91</v>
      </c>
      <c r="L295" s="35" t="s">
        <v>46</v>
      </c>
      <c r="M295" s="36" t="s">
        <v>97</v>
      </c>
      <c r="N295" s="36"/>
      <c r="O295" s="35">
        <v>40</v>
      </c>
      <c r="P295" s="861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95" s="704"/>
      <c r="R295" s="704"/>
      <c r="S295" s="704"/>
      <c r="T295" s="705"/>
      <c r="U295" s="37" t="s">
        <v>46</v>
      </c>
      <c r="V295" s="37" t="s">
        <v>46</v>
      </c>
      <c r="W295" s="38" t="s">
        <v>0</v>
      </c>
      <c r="X295" s="56">
        <v>0</v>
      </c>
      <c r="Y295" s="53">
        <f>IFERROR(IF(X295="",0,CEILING((X295/$H295),1)*$H295),"")</f>
        <v>0</v>
      </c>
      <c r="Z295" s="39" t="str">
        <f>IFERROR(IF(Y295=0,"",ROUNDUP(Y295/H295,0)*0.00651),"")</f>
        <v/>
      </c>
      <c r="AA295" s="65" t="s">
        <v>46</v>
      </c>
      <c r="AB295" s="66" t="s">
        <v>46</v>
      </c>
      <c r="AC295" s="383" t="s">
        <v>511</v>
      </c>
      <c r="AG295" s="75"/>
      <c r="AJ295" s="79" t="s">
        <v>46</v>
      </c>
      <c r="AK295" s="79">
        <v>0</v>
      </c>
      <c r="BB295" s="384" t="s">
        <v>67</v>
      </c>
      <c r="BM295" s="75">
        <f>IFERROR(X295*I295/H295,"0")</f>
        <v>0</v>
      </c>
      <c r="BN295" s="75">
        <f>IFERROR(Y295*I295/H295,"0")</f>
        <v>0</v>
      </c>
      <c r="BO295" s="75">
        <f>IFERROR(1/J295*(X295/H295),"0")</f>
        <v>0</v>
      </c>
      <c r="BP295" s="75">
        <f>IFERROR(1/J295*(Y295/H295),"0")</f>
        <v>0</v>
      </c>
    </row>
    <row r="296" spans="1:68" ht="27" customHeight="1" x14ac:dyDescent="0.25">
      <c r="A296" s="60" t="s">
        <v>512</v>
      </c>
      <c r="B296" s="60" t="s">
        <v>513</v>
      </c>
      <c r="C296" s="34">
        <v>4301060389</v>
      </c>
      <c r="D296" s="702">
        <v>4680115880801</v>
      </c>
      <c r="E296" s="702"/>
      <c r="F296" s="59">
        <v>0.4</v>
      </c>
      <c r="G296" s="35">
        <v>6</v>
      </c>
      <c r="H296" s="59">
        <v>2.4</v>
      </c>
      <c r="I296" s="59">
        <v>2.6520000000000001</v>
      </c>
      <c r="J296" s="35">
        <v>182</v>
      </c>
      <c r="K296" s="35" t="s">
        <v>91</v>
      </c>
      <c r="L296" s="35" t="s">
        <v>46</v>
      </c>
      <c r="M296" s="36" t="s">
        <v>90</v>
      </c>
      <c r="N296" s="36"/>
      <c r="O296" s="35">
        <v>40</v>
      </c>
      <c r="P296" s="862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96" s="704"/>
      <c r="R296" s="704"/>
      <c r="S296" s="704"/>
      <c r="T296" s="705"/>
      <c r="U296" s="37" t="s">
        <v>46</v>
      </c>
      <c r="V296" s="37" t="s">
        <v>46</v>
      </c>
      <c r="W296" s="38" t="s">
        <v>0</v>
      </c>
      <c r="X296" s="56">
        <v>0</v>
      </c>
      <c r="Y296" s="53">
        <f>IFERROR(IF(X296="",0,CEILING((X296/$H296),1)*$H296),"")</f>
        <v>0</v>
      </c>
      <c r="Z296" s="39" t="str">
        <f>IFERROR(IF(Y296=0,"",ROUNDUP(Y296/H296,0)*0.00651),"")</f>
        <v/>
      </c>
      <c r="AA296" s="65" t="s">
        <v>46</v>
      </c>
      <c r="AB296" s="66" t="s">
        <v>46</v>
      </c>
      <c r="AC296" s="385" t="s">
        <v>514</v>
      </c>
      <c r="AG296" s="75"/>
      <c r="AJ296" s="79" t="s">
        <v>46</v>
      </c>
      <c r="AK296" s="79">
        <v>0</v>
      </c>
      <c r="BB296" s="386" t="s">
        <v>67</v>
      </c>
      <c r="BM296" s="75">
        <f>IFERROR(X296*I296/H296,"0")</f>
        <v>0</v>
      </c>
      <c r="BN296" s="75">
        <f>IFERROR(Y296*I296/H296,"0")</f>
        <v>0</v>
      </c>
      <c r="BO296" s="75">
        <f>IFERROR(1/J296*(X296/H296),"0")</f>
        <v>0</v>
      </c>
      <c r="BP296" s="75">
        <f>IFERROR(1/J296*(Y296/H296),"0")</f>
        <v>0</v>
      </c>
    </row>
    <row r="297" spans="1:68" x14ac:dyDescent="0.2">
      <c r="A297" s="710"/>
      <c r="B297" s="710"/>
      <c r="C297" s="710"/>
      <c r="D297" s="710"/>
      <c r="E297" s="710"/>
      <c r="F297" s="710"/>
      <c r="G297" s="710"/>
      <c r="H297" s="710"/>
      <c r="I297" s="710"/>
      <c r="J297" s="710"/>
      <c r="K297" s="710"/>
      <c r="L297" s="710"/>
      <c r="M297" s="710"/>
      <c r="N297" s="710"/>
      <c r="O297" s="711"/>
      <c r="P297" s="707" t="s">
        <v>40</v>
      </c>
      <c r="Q297" s="708"/>
      <c r="R297" s="708"/>
      <c r="S297" s="708"/>
      <c r="T297" s="708"/>
      <c r="U297" s="708"/>
      <c r="V297" s="709"/>
      <c r="W297" s="40" t="s">
        <v>39</v>
      </c>
      <c r="X297" s="41">
        <f>IFERROR(X295/H295,"0")+IFERROR(X296/H296,"0")</f>
        <v>0</v>
      </c>
      <c r="Y297" s="41">
        <f>IFERROR(Y295/H295,"0")+IFERROR(Y296/H296,"0")</f>
        <v>0</v>
      </c>
      <c r="Z297" s="41">
        <f>IFERROR(IF(Z295="",0,Z295),"0")+IFERROR(IF(Z296="",0,Z296),"0")</f>
        <v>0</v>
      </c>
      <c r="AA297" s="64"/>
      <c r="AB297" s="64"/>
      <c r="AC297" s="64"/>
    </row>
    <row r="298" spans="1:68" x14ac:dyDescent="0.2">
      <c r="A298" s="710"/>
      <c r="B298" s="710"/>
      <c r="C298" s="710"/>
      <c r="D298" s="710"/>
      <c r="E298" s="710"/>
      <c r="F298" s="710"/>
      <c r="G298" s="710"/>
      <c r="H298" s="710"/>
      <c r="I298" s="710"/>
      <c r="J298" s="710"/>
      <c r="K298" s="710"/>
      <c r="L298" s="710"/>
      <c r="M298" s="710"/>
      <c r="N298" s="710"/>
      <c r="O298" s="711"/>
      <c r="P298" s="707" t="s">
        <v>40</v>
      </c>
      <c r="Q298" s="708"/>
      <c r="R298" s="708"/>
      <c r="S298" s="708"/>
      <c r="T298" s="708"/>
      <c r="U298" s="708"/>
      <c r="V298" s="709"/>
      <c r="W298" s="40" t="s">
        <v>0</v>
      </c>
      <c r="X298" s="41">
        <f>IFERROR(SUM(X295:X296),"0")</f>
        <v>0</v>
      </c>
      <c r="Y298" s="41">
        <f>IFERROR(SUM(Y295:Y296),"0")</f>
        <v>0</v>
      </c>
      <c r="Z298" s="40"/>
      <c r="AA298" s="64"/>
      <c r="AB298" s="64"/>
      <c r="AC298" s="64"/>
    </row>
    <row r="299" spans="1:68" ht="16.5" customHeight="1" x14ac:dyDescent="0.25">
      <c r="A299" s="700" t="s">
        <v>515</v>
      </c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  <c r="AA299" s="62"/>
      <c r="AB299" s="62"/>
      <c r="AC299" s="62"/>
    </row>
    <row r="300" spans="1:68" ht="14.25" customHeight="1" x14ac:dyDescent="0.25">
      <c r="A300" s="701" t="s">
        <v>128</v>
      </c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  <c r="AA300" s="63"/>
      <c r="AB300" s="63"/>
      <c r="AC300" s="63"/>
    </row>
    <row r="301" spans="1:68" ht="27" customHeight="1" x14ac:dyDescent="0.25">
      <c r="A301" s="60" t="s">
        <v>516</v>
      </c>
      <c r="B301" s="60" t="s">
        <v>517</v>
      </c>
      <c r="C301" s="34">
        <v>4301011826</v>
      </c>
      <c r="D301" s="702">
        <v>4680115884137</v>
      </c>
      <c r="E301" s="702"/>
      <c r="F301" s="59">
        <v>1.45</v>
      </c>
      <c r="G301" s="35">
        <v>8</v>
      </c>
      <c r="H301" s="59">
        <v>11.6</v>
      </c>
      <c r="I301" s="59">
        <v>12.01</v>
      </c>
      <c r="J301" s="35">
        <v>64</v>
      </c>
      <c r="K301" s="35" t="s">
        <v>133</v>
      </c>
      <c r="L301" s="35" t="s">
        <v>46</v>
      </c>
      <c r="M301" s="36" t="s">
        <v>132</v>
      </c>
      <c r="N301" s="36"/>
      <c r="O301" s="35">
        <v>55</v>
      </c>
      <c r="P301" s="863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301" s="704"/>
      <c r="R301" s="704"/>
      <c r="S301" s="704"/>
      <c r="T301" s="705"/>
      <c r="U301" s="37" t="s">
        <v>46</v>
      </c>
      <c r="V301" s="37" t="s">
        <v>46</v>
      </c>
      <c r="W301" s="38" t="s">
        <v>0</v>
      </c>
      <c r="X301" s="56">
        <v>0</v>
      </c>
      <c r="Y301" s="53">
        <f t="shared" ref="Y301:Y307" si="37">IFERROR(IF(X301="",0,CEILING((X301/$H301),1)*$H301),"")</f>
        <v>0</v>
      </c>
      <c r="Z301" s="39" t="str">
        <f>IFERROR(IF(Y301=0,"",ROUNDUP(Y301/H301,0)*0.01898),"")</f>
        <v/>
      </c>
      <c r="AA301" s="65" t="s">
        <v>46</v>
      </c>
      <c r="AB301" s="66" t="s">
        <v>46</v>
      </c>
      <c r="AC301" s="387" t="s">
        <v>518</v>
      </c>
      <c r="AG301" s="75"/>
      <c r="AJ301" s="79" t="s">
        <v>46</v>
      </c>
      <c r="AK301" s="79">
        <v>0</v>
      </c>
      <c r="BB301" s="388" t="s">
        <v>67</v>
      </c>
      <c r="BM301" s="75">
        <f t="shared" ref="BM301:BM307" si="38">IFERROR(X301*I301/H301,"0")</f>
        <v>0</v>
      </c>
      <c r="BN301" s="75">
        <f t="shared" ref="BN301:BN307" si="39">IFERROR(Y301*I301/H301,"0")</f>
        <v>0</v>
      </c>
      <c r="BO301" s="75">
        <f t="shared" ref="BO301:BO307" si="40">IFERROR(1/J301*(X301/H301),"0")</f>
        <v>0</v>
      </c>
      <c r="BP301" s="75">
        <f t="shared" ref="BP301:BP307" si="41">IFERROR(1/J301*(Y301/H301),"0")</f>
        <v>0</v>
      </c>
    </row>
    <row r="302" spans="1:68" ht="27" customHeight="1" x14ac:dyDescent="0.25">
      <c r="A302" s="60" t="s">
        <v>519</v>
      </c>
      <c r="B302" s="60" t="s">
        <v>520</v>
      </c>
      <c r="C302" s="34">
        <v>4301011724</v>
      </c>
      <c r="D302" s="702">
        <v>4680115884236</v>
      </c>
      <c r="E302" s="702"/>
      <c r="F302" s="59">
        <v>1.45</v>
      </c>
      <c r="G302" s="35">
        <v>8</v>
      </c>
      <c r="H302" s="59">
        <v>11.6</v>
      </c>
      <c r="I302" s="59">
        <v>12.01</v>
      </c>
      <c r="J302" s="35">
        <v>64</v>
      </c>
      <c r="K302" s="35" t="s">
        <v>133</v>
      </c>
      <c r="L302" s="35" t="s">
        <v>46</v>
      </c>
      <c r="M302" s="36" t="s">
        <v>132</v>
      </c>
      <c r="N302" s="36"/>
      <c r="O302" s="35">
        <v>55</v>
      </c>
      <c r="P302" s="864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302" s="704"/>
      <c r="R302" s="704"/>
      <c r="S302" s="704"/>
      <c r="T302" s="705"/>
      <c r="U302" s="37" t="s">
        <v>46</v>
      </c>
      <c r="V302" s="37" t="s">
        <v>46</v>
      </c>
      <c r="W302" s="38" t="s">
        <v>0</v>
      </c>
      <c r="X302" s="56">
        <v>0</v>
      </c>
      <c r="Y302" s="53">
        <f t="shared" si="37"/>
        <v>0</v>
      </c>
      <c r="Z302" s="39" t="str">
        <f>IFERROR(IF(Y302=0,"",ROUNDUP(Y302/H302,0)*0.01898),"")</f>
        <v/>
      </c>
      <c r="AA302" s="65" t="s">
        <v>46</v>
      </c>
      <c r="AB302" s="66" t="s">
        <v>46</v>
      </c>
      <c r="AC302" s="389" t="s">
        <v>521</v>
      </c>
      <c r="AG302" s="75"/>
      <c r="AJ302" s="79" t="s">
        <v>46</v>
      </c>
      <c r="AK302" s="79">
        <v>0</v>
      </c>
      <c r="BB302" s="390" t="s">
        <v>67</v>
      </c>
      <c r="BM302" s="75">
        <f t="shared" si="38"/>
        <v>0</v>
      </c>
      <c r="BN302" s="75">
        <f t="shared" si="39"/>
        <v>0</v>
      </c>
      <c r="BO302" s="75">
        <f t="shared" si="40"/>
        <v>0</v>
      </c>
      <c r="BP302" s="75">
        <f t="shared" si="41"/>
        <v>0</v>
      </c>
    </row>
    <row r="303" spans="1:68" ht="27" customHeight="1" x14ac:dyDescent="0.25">
      <c r="A303" s="60" t="s">
        <v>522</v>
      </c>
      <c r="B303" s="60" t="s">
        <v>523</v>
      </c>
      <c r="C303" s="34">
        <v>4301011721</v>
      </c>
      <c r="D303" s="702">
        <v>4680115884175</v>
      </c>
      <c r="E303" s="702"/>
      <c r="F303" s="59">
        <v>1.45</v>
      </c>
      <c r="G303" s="35">
        <v>8</v>
      </c>
      <c r="H303" s="59">
        <v>11.6</v>
      </c>
      <c r="I303" s="59">
        <v>12.01</v>
      </c>
      <c r="J303" s="35">
        <v>64</v>
      </c>
      <c r="K303" s="35" t="s">
        <v>133</v>
      </c>
      <c r="L303" s="35" t="s">
        <v>46</v>
      </c>
      <c r="M303" s="36" t="s">
        <v>132</v>
      </c>
      <c r="N303" s="36"/>
      <c r="O303" s="35">
        <v>55</v>
      </c>
      <c r="P303" s="865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303" s="704"/>
      <c r="R303" s="704"/>
      <c r="S303" s="704"/>
      <c r="T303" s="705"/>
      <c r="U303" s="37" t="s">
        <v>46</v>
      </c>
      <c r="V303" s="37" t="s">
        <v>46</v>
      </c>
      <c r="W303" s="38" t="s">
        <v>0</v>
      </c>
      <c r="X303" s="56">
        <v>0</v>
      </c>
      <c r="Y303" s="53">
        <f t="shared" si="37"/>
        <v>0</v>
      </c>
      <c r="Z303" s="39" t="str">
        <f>IFERROR(IF(Y303=0,"",ROUNDUP(Y303/H303,0)*0.01898),"")</f>
        <v/>
      </c>
      <c r="AA303" s="65" t="s">
        <v>46</v>
      </c>
      <c r="AB303" s="66" t="s">
        <v>46</v>
      </c>
      <c r="AC303" s="391" t="s">
        <v>376</v>
      </c>
      <c r="AG303" s="75"/>
      <c r="AJ303" s="79" t="s">
        <v>46</v>
      </c>
      <c r="AK303" s="79">
        <v>0</v>
      </c>
      <c r="BB303" s="392" t="s">
        <v>67</v>
      </c>
      <c r="BM303" s="75">
        <f t="shared" si="38"/>
        <v>0</v>
      </c>
      <c r="BN303" s="75">
        <f t="shared" si="39"/>
        <v>0</v>
      </c>
      <c r="BO303" s="75">
        <f t="shared" si="40"/>
        <v>0</v>
      </c>
      <c r="BP303" s="75">
        <f t="shared" si="41"/>
        <v>0</v>
      </c>
    </row>
    <row r="304" spans="1:68" ht="27" customHeight="1" x14ac:dyDescent="0.25">
      <c r="A304" s="60" t="s">
        <v>524</v>
      </c>
      <c r="B304" s="60" t="s">
        <v>525</v>
      </c>
      <c r="C304" s="34">
        <v>4301011824</v>
      </c>
      <c r="D304" s="702">
        <v>4680115884144</v>
      </c>
      <c r="E304" s="702"/>
      <c r="F304" s="59">
        <v>0.4</v>
      </c>
      <c r="G304" s="35">
        <v>10</v>
      </c>
      <c r="H304" s="59">
        <v>4</v>
      </c>
      <c r="I304" s="59">
        <v>4.1900000000000004</v>
      </c>
      <c r="J304" s="35">
        <v>132</v>
      </c>
      <c r="K304" s="35" t="s">
        <v>140</v>
      </c>
      <c r="L304" s="35" t="s">
        <v>46</v>
      </c>
      <c r="M304" s="36" t="s">
        <v>132</v>
      </c>
      <c r="N304" s="36"/>
      <c r="O304" s="35">
        <v>55</v>
      </c>
      <c r="P304" s="866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304" s="704"/>
      <c r="R304" s="704"/>
      <c r="S304" s="704"/>
      <c r="T304" s="705"/>
      <c r="U304" s="37" t="s">
        <v>46</v>
      </c>
      <c r="V304" s="37" t="s">
        <v>46</v>
      </c>
      <c r="W304" s="38" t="s">
        <v>0</v>
      </c>
      <c r="X304" s="56">
        <v>0</v>
      </c>
      <c r="Y304" s="53">
        <f t="shared" si="37"/>
        <v>0</v>
      </c>
      <c r="Z304" s="39" t="str">
        <f>IFERROR(IF(Y304=0,"",ROUNDUP(Y304/H304,0)*0.00902),"")</f>
        <v/>
      </c>
      <c r="AA304" s="65" t="s">
        <v>46</v>
      </c>
      <c r="AB304" s="66" t="s">
        <v>46</v>
      </c>
      <c r="AC304" s="393" t="s">
        <v>518</v>
      </c>
      <c r="AG304" s="75"/>
      <c r="AJ304" s="79" t="s">
        <v>46</v>
      </c>
      <c r="AK304" s="79">
        <v>0</v>
      </c>
      <c r="BB304" s="394" t="s">
        <v>67</v>
      </c>
      <c r="BM304" s="75">
        <f t="shared" si="38"/>
        <v>0</v>
      </c>
      <c r="BN304" s="75">
        <f t="shared" si="39"/>
        <v>0</v>
      </c>
      <c r="BO304" s="75">
        <f t="shared" si="40"/>
        <v>0</v>
      </c>
      <c r="BP304" s="75">
        <f t="shared" si="41"/>
        <v>0</v>
      </c>
    </row>
    <row r="305" spans="1:68" ht="27" customHeight="1" x14ac:dyDescent="0.25">
      <c r="A305" s="60" t="s">
        <v>526</v>
      </c>
      <c r="B305" s="60" t="s">
        <v>527</v>
      </c>
      <c r="C305" s="34">
        <v>4301012149</v>
      </c>
      <c r="D305" s="702">
        <v>4680115886551</v>
      </c>
      <c r="E305" s="702"/>
      <c r="F305" s="59">
        <v>0.4</v>
      </c>
      <c r="G305" s="35">
        <v>10</v>
      </c>
      <c r="H305" s="59">
        <v>4</v>
      </c>
      <c r="I305" s="59">
        <v>4.1900000000000004</v>
      </c>
      <c r="J305" s="35">
        <v>132</v>
      </c>
      <c r="K305" s="35" t="s">
        <v>140</v>
      </c>
      <c r="L305" s="35" t="s">
        <v>46</v>
      </c>
      <c r="M305" s="36" t="s">
        <v>132</v>
      </c>
      <c r="N305" s="36"/>
      <c r="O305" s="35">
        <v>55</v>
      </c>
      <c r="P305" s="867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305" s="704"/>
      <c r="R305" s="704"/>
      <c r="S305" s="704"/>
      <c r="T305" s="705"/>
      <c r="U305" s="37" t="s">
        <v>46</v>
      </c>
      <c r="V305" s="37" t="s">
        <v>46</v>
      </c>
      <c r="W305" s="38" t="s">
        <v>0</v>
      </c>
      <c r="X305" s="56">
        <v>0</v>
      </c>
      <c r="Y305" s="53">
        <f t="shared" si="37"/>
        <v>0</v>
      </c>
      <c r="Z305" s="39" t="str">
        <f>IFERROR(IF(Y305=0,"",ROUNDUP(Y305/H305,0)*0.00902),"")</f>
        <v/>
      </c>
      <c r="AA305" s="65" t="s">
        <v>46</v>
      </c>
      <c r="AB305" s="66" t="s">
        <v>46</v>
      </c>
      <c r="AC305" s="395" t="s">
        <v>528</v>
      </c>
      <c r="AG305" s="75"/>
      <c r="AJ305" s="79" t="s">
        <v>46</v>
      </c>
      <c r="AK305" s="79">
        <v>0</v>
      </c>
      <c r="BB305" s="396" t="s">
        <v>67</v>
      </c>
      <c r="BM305" s="75">
        <f t="shared" si="38"/>
        <v>0</v>
      </c>
      <c r="BN305" s="75">
        <f t="shared" si="39"/>
        <v>0</v>
      </c>
      <c r="BO305" s="75">
        <f t="shared" si="40"/>
        <v>0</v>
      </c>
      <c r="BP305" s="75">
        <f t="shared" si="41"/>
        <v>0</v>
      </c>
    </row>
    <row r="306" spans="1:68" ht="27" customHeight="1" x14ac:dyDescent="0.25">
      <c r="A306" s="60" t="s">
        <v>529</v>
      </c>
      <c r="B306" s="60" t="s">
        <v>530</v>
      </c>
      <c r="C306" s="34">
        <v>4301012228</v>
      </c>
      <c r="D306" s="702">
        <v>4680115887282</v>
      </c>
      <c r="E306" s="702"/>
      <c r="F306" s="59">
        <v>0.4</v>
      </c>
      <c r="G306" s="35">
        <v>6</v>
      </c>
      <c r="H306" s="59">
        <v>2.4</v>
      </c>
      <c r="I306" s="59">
        <v>2.58</v>
      </c>
      <c r="J306" s="35">
        <v>182</v>
      </c>
      <c r="K306" s="35" t="s">
        <v>91</v>
      </c>
      <c r="L306" s="35" t="s">
        <v>46</v>
      </c>
      <c r="M306" s="36" t="s">
        <v>132</v>
      </c>
      <c r="N306" s="36"/>
      <c r="O306" s="35">
        <v>55</v>
      </c>
      <c r="P306" s="868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306" s="704"/>
      <c r="R306" s="704"/>
      <c r="S306" s="704"/>
      <c r="T306" s="705"/>
      <c r="U306" s="37" t="s">
        <v>46</v>
      </c>
      <c r="V306" s="37" t="s">
        <v>46</v>
      </c>
      <c r="W306" s="38" t="s">
        <v>0</v>
      </c>
      <c r="X306" s="56">
        <v>0</v>
      </c>
      <c r="Y306" s="53">
        <f t="shared" si="37"/>
        <v>0</v>
      </c>
      <c r="Z306" s="39" t="str">
        <f>IFERROR(IF(Y306=0,"",ROUNDUP(Y306/H306,0)*0.00651),"")</f>
        <v/>
      </c>
      <c r="AA306" s="65" t="s">
        <v>46</v>
      </c>
      <c r="AB306" s="66" t="s">
        <v>46</v>
      </c>
      <c r="AC306" s="397" t="s">
        <v>531</v>
      </c>
      <c r="AG306" s="75"/>
      <c r="AJ306" s="79" t="s">
        <v>46</v>
      </c>
      <c r="AK306" s="79">
        <v>0</v>
      </c>
      <c r="BB306" s="398" t="s">
        <v>67</v>
      </c>
      <c r="BM306" s="75">
        <f t="shared" si="38"/>
        <v>0</v>
      </c>
      <c r="BN306" s="75">
        <f t="shared" si="39"/>
        <v>0</v>
      </c>
      <c r="BO306" s="75">
        <f t="shared" si="40"/>
        <v>0</v>
      </c>
      <c r="BP306" s="75">
        <f t="shared" si="41"/>
        <v>0</v>
      </c>
    </row>
    <row r="307" spans="1:68" ht="27" customHeight="1" x14ac:dyDescent="0.25">
      <c r="A307" s="60" t="s">
        <v>532</v>
      </c>
      <c r="B307" s="60" t="s">
        <v>533</v>
      </c>
      <c r="C307" s="34">
        <v>4301011722</v>
      </c>
      <c r="D307" s="702">
        <v>4680115884205</v>
      </c>
      <c r="E307" s="702"/>
      <c r="F307" s="59">
        <v>0.4</v>
      </c>
      <c r="G307" s="35">
        <v>10</v>
      </c>
      <c r="H307" s="59">
        <v>4</v>
      </c>
      <c r="I307" s="59">
        <v>4.1900000000000004</v>
      </c>
      <c r="J307" s="35">
        <v>132</v>
      </c>
      <c r="K307" s="35" t="s">
        <v>140</v>
      </c>
      <c r="L307" s="35" t="s">
        <v>46</v>
      </c>
      <c r="M307" s="36" t="s">
        <v>132</v>
      </c>
      <c r="N307" s="36"/>
      <c r="O307" s="35">
        <v>55</v>
      </c>
      <c r="P307" s="869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307" s="704"/>
      <c r="R307" s="704"/>
      <c r="S307" s="704"/>
      <c r="T307" s="705"/>
      <c r="U307" s="37" t="s">
        <v>46</v>
      </c>
      <c r="V307" s="37" t="s">
        <v>46</v>
      </c>
      <c r="W307" s="38" t="s">
        <v>0</v>
      </c>
      <c r="X307" s="56">
        <v>0</v>
      </c>
      <c r="Y307" s="53">
        <f t="shared" si="37"/>
        <v>0</v>
      </c>
      <c r="Z307" s="39" t="str">
        <f>IFERROR(IF(Y307=0,"",ROUNDUP(Y307/H307,0)*0.00902),"")</f>
        <v/>
      </c>
      <c r="AA307" s="65" t="s">
        <v>46</v>
      </c>
      <c r="AB307" s="66" t="s">
        <v>46</v>
      </c>
      <c r="AC307" s="399" t="s">
        <v>376</v>
      </c>
      <c r="AG307" s="75"/>
      <c r="AJ307" s="79" t="s">
        <v>46</v>
      </c>
      <c r="AK307" s="79">
        <v>0</v>
      </c>
      <c r="BB307" s="400" t="s">
        <v>67</v>
      </c>
      <c r="BM307" s="75">
        <f t="shared" si="38"/>
        <v>0</v>
      </c>
      <c r="BN307" s="75">
        <f t="shared" si="39"/>
        <v>0</v>
      </c>
      <c r="BO307" s="75">
        <f t="shared" si="40"/>
        <v>0</v>
      </c>
      <c r="BP307" s="75">
        <f t="shared" si="41"/>
        <v>0</v>
      </c>
    </row>
    <row r="308" spans="1:68" x14ac:dyDescent="0.2">
      <c r="A308" s="710"/>
      <c r="B308" s="710"/>
      <c r="C308" s="710"/>
      <c r="D308" s="710"/>
      <c r="E308" s="710"/>
      <c r="F308" s="710"/>
      <c r="G308" s="710"/>
      <c r="H308" s="710"/>
      <c r="I308" s="710"/>
      <c r="J308" s="710"/>
      <c r="K308" s="710"/>
      <c r="L308" s="710"/>
      <c r="M308" s="710"/>
      <c r="N308" s="710"/>
      <c r="O308" s="711"/>
      <c r="P308" s="707" t="s">
        <v>40</v>
      </c>
      <c r="Q308" s="708"/>
      <c r="R308" s="708"/>
      <c r="S308" s="708"/>
      <c r="T308" s="708"/>
      <c r="U308" s="708"/>
      <c r="V308" s="709"/>
      <c r="W308" s="40" t="s">
        <v>39</v>
      </c>
      <c r="X308" s="41">
        <f>IFERROR(X301/H301,"0")+IFERROR(X302/H302,"0")+IFERROR(X303/H303,"0")+IFERROR(X304/H304,"0")+IFERROR(X305/H305,"0")+IFERROR(X306/H306,"0")+IFERROR(X307/H307,"0")</f>
        <v>0</v>
      </c>
      <c r="Y308" s="41">
        <f>IFERROR(Y301/H301,"0")+IFERROR(Y302/H302,"0")+IFERROR(Y303/H303,"0")+IFERROR(Y304/H304,"0")+IFERROR(Y305/H305,"0")+IFERROR(Y306/H306,"0")+IFERROR(Y307/H307,"0")</f>
        <v>0</v>
      </c>
      <c r="Z308" s="41">
        <f>IFERROR(IF(Z301="",0,Z301),"0")+IFERROR(IF(Z302="",0,Z302),"0")+IFERROR(IF(Z303="",0,Z303),"0")+IFERROR(IF(Z304="",0,Z304),"0")+IFERROR(IF(Z305="",0,Z305),"0")+IFERROR(IF(Z306="",0,Z306),"0")+IFERROR(IF(Z307="",0,Z307),"0")</f>
        <v>0</v>
      </c>
      <c r="AA308" s="64"/>
      <c r="AB308" s="64"/>
      <c r="AC308" s="64"/>
    </row>
    <row r="309" spans="1:68" x14ac:dyDescent="0.2">
      <c r="A309" s="710"/>
      <c r="B309" s="710"/>
      <c r="C309" s="710"/>
      <c r="D309" s="710"/>
      <c r="E309" s="710"/>
      <c r="F309" s="710"/>
      <c r="G309" s="710"/>
      <c r="H309" s="710"/>
      <c r="I309" s="710"/>
      <c r="J309" s="710"/>
      <c r="K309" s="710"/>
      <c r="L309" s="710"/>
      <c r="M309" s="710"/>
      <c r="N309" s="710"/>
      <c r="O309" s="711"/>
      <c r="P309" s="707" t="s">
        <v>40</v>
      </c>
      <c r="Q309" s="708"/>
      <c r="R309" s="708"/>
      <c r="S309" s="708"/>
      <c r="T309" s="708"/>
      <c r="U309" s="708"/>
      <c r="V309" s="709"/>
      <c r="W309" s="40" t="s">
        <v>0</v>
      </c>
      <c r="X309" s="41">
        <f>IFERROR(SUM(X301:X307),"0")</f>
        <v>0</v>
      </c>
      <c r="Y309" s="41">
        <f>IFERROR(SUM(Y301:Y307),"0")</f>
        <v>0</v>
      </c>
      <c r="Z309" s="40"/>
      <c r="AA309" s="64"/>
      <c r="AB309" s="64"/>
      <c r="AC309" s="64"/>
    </row>
    <row r="310" spans="1:68" ht="14.25" customHeight="1" x14ac:dyDescent="0.25">
      <c r="A310" s="701" t="s">
        <v>164</v>
      </c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  <c r="AA310" s="63"/>
      <c r="AB310" s="63"/>
      <c r="AC310" s="63"/>
    </row>
    <row r="311" spans="1:68" ht="27" customHeight="1" x14ac:dyDescent="0.25">
      <c r="A311" s="60" t="s">
        <v>534</v>
      </c>
      <c r="B311" s="60" t="s">
        <v>535</v>
      </c>
      <c r="C311" s="34">
        <v>4301020377</v>
      </c>
      <c r="D311" s="702">
        <v>4680115885981</v>
      </c>
      <c r="E311" s="702"/>
      <c r="F311" s="59">
        <v>0.33</v>
      </c>
      <c r="G311" s="35">
        <v>6</v>
      </c>
      <c r="H311" s="59">
        <v>1.98</v>
      </c>
      <c r="I311" s="59">
        <v>2.08</v>
      </c>
      <c r="J311" s="35">
        <v>234</v>
      </c>
      <c r="K311" s="35" t="s">
        <v>82</v>
      </c>
      <c r="L311" s="35" t="s">
        <v>46</v>
      </c>
      <c r="M311" s="36" t="s">
        <v>90</v>
      </c>
      <c r="N311" s="36"/>
      <c r="O311" s="35">
        <v>50</v>
      </c>
      <c r="P311" s="870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11" s="704"/>
      <c r="R311" s="704"/>
      <c r="S311" s="704"/>
      <c r="T311" s="705"/>
      <c r="U311" s="37" t="s">
        <v>46</v>
      </c>
      <c r="V311" s="37" t="s">
        <v>46</v>
      </c>
      <c r="W311" s="38" t="s">
        <v>0</v>
      </c>
      <c r="X311" s="56">
        <v>0</v>
      </c>
      <c r="Y311" s="53">
        <f>IFERROR(IF(X311="",0,CEILING((X311/$H311),1)*$H311),"")</f>
        <v>0</v>
      </c>
      <c r="Z311" s="39" t="str">
        <f>IFERROR(IF(Y311=0,"",ROUNDUP(Y311/H311,0)*0.00502),"")</f>
        <v/>
      </c>
      <c r="AA311" s="65" t="s">
        <v>46</v>
      </c>
      <c r="AB311" s="66" t="s">
        <v>46</v>
      </c>
      <c r="AC311" s="401" t="s">
        <v>536</v>
      </c>
      <c r="AG311" s="75"/>
      <c r="AJ311" s="79" t="s">
        <v>46</v>
      </c>
      <c r="AK311" s="79">
        <v>0</v>
      </c>
      <c r="BB311" s="402" t="s">
        <v>67</v>
      </c>
      <c r="BM311" s="75">
        <f>IFERROR(X311*I311/H311,"0")</f>
        <v>0</v>
      </c>
      <c r="BN311" s="75">
        <f>IFERROR(Y311*I311/H311,"0")</f>
        <v>0</v>
      </c>
      <c r="BO311" s="75">
        <f>IFERROR(1/J311*(X311/H311),"0")</f>
        <v>0</v>
      </c>
      <c r="BP311" s="75">
        <f>IFERROR(1/J311*(Y311/H311),"0")</f>
        <v>0</v>
      </c>
    </row>
    <row r="312" spans="1:68" x14ac:dyDescent="0.2">
      <c r="A312" s="710"/>
      <c r="B312" s="710"/>
      <c r="C312" s="710"/>
      <c r="D312" s="710"/>
      <c r="E312" s="710"/>
      <c r="F312" s="710"/>
      <c r="G312" s="710"/>
      <c r="H312" s="710"/>
      <c r="I312" s="710"/>
      <c r="J312" s="710"/>
      <c r="K312" s="710"/>
      <c r="L312" s="710"/>
      <c r="M312" s="710"/>
      <c r="N312" s="710"/>
      <c r="O312" s="711"/>
      <c r="P312" s="707" t="s">
        <v>40</v>
      </c>
      <c r="Q312" s="708"/>
      <c r="R312" s="708"/>
      <c r="S312" s="708"/>
      <c r="T312" s="708"/>
      <c r="U312" s="708"/>
      <c r="V312" s="709"/>
      <c r="W312" s="40" t="s">
        <v>39</v>
      </c>
      <c r="X312" s="41">
        <f>IFERROR(X311/H311,"0")</f>
        <v>0</v>
      </c>
      <c r="Y312" s="41">
        <f>IFERROR(Y311/H311,"0")</f>
        <v>0</v>
      </c>
      <c r="Z312" s="41">
        <f>IFERROR(IF(Z311="",0,Z311),"0")</f>
        <v>0</v>
      </c>
      <c r="AA312" s="64"/>
      <c r="AB312" s="64"/>
      <c r="AC312" s="64"/>
    </row>
    <row r="313" spans="1:68" x14ac:dyDescent="0.2">
      <c r="A313" s="710"/>
      <c r="B313" s="710"/>
      <c r="C313" s="710"/>
      <c r="D313" s="710"/>
      <c r="E313" s="710"/>
      <c r="F313" s="710"/>
      <c r="G313" s="710"/>
      <c r="H313" s="710"/>
      <c r="I313" s="710"/>
      <c r="J313" s="710"/>
      <c r="K313" s="710"/>
      <c r="L313" s="710"/>
      <c r="M313" s="710"/>
      <c r="N313" s="710"/>
      <c r="O313" s="711"/>
      <c r="P313" s="707" t="s">
        <v>40</v>
      </c>
      <c r="Q313" s="708"/>
      <c r="R313" s="708"/>
      <c r="S313" s="708"/>
      <c r="T313" s="708"/>
      <c r="U313" s="708"/>
      <c r="V313" s="709"/>
      <c r="W313" s="40" t="s">
        <v>0</v>
      </c>
      <c r="X313" s="41">
        <f>IFERROR(SUM(X311:X311),"0")</f>
        <v>0</v>
      </c>
      <c r="Y313" s="41">
        <f>IFERROR(SUM(Y311:Y311),"0")</f>
        <v>0</v>
      </c>
      <c r="Z313" s="40"/>
      <c r="AA313" s="64"/>
      <c r="AB313" s="64"/>
      <c r="AC313" s="64"/>
    </row>
    <row r="314" spans="1:68" ht="14.25" customHeight="1" x14ac:dyDescent="0.25">
      <c r="A314" s="701" t="s">
        <v>537</v>
      </c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  <c r="AA314" s="63"/>
      <c r="AB314" s="63"/>
      <c r="AC314" s="63"/>
    </row>
    <row r="315" spans="1:68" ht="27" customHeight="1" x14ac:dyDescent="0.25">
      <c r="A315" s="60" t="s">
        <v>538</v>
      </c>
      <c r="B315" s="60" t="s">
        <v>539</v>
      </c>
      <c r="C315" s="34">
        <v>4301040362</v>
      </c>
      <c r="D315" s="702">
        <v>4680115886803</v>
      </c>
      <c r="E315" s="702"/>
      <c r="F315" s="59">
        <v>0.12</v>
      </c>
      <c r="G315" s="35">
        <v>15</v>
      </c>
      <c r="H315" s="59">
        <v>1.8</v>
      </c>
      <c r="I315" s="59">
        <v>1.9750000000000001</v>
      </c>
      <c r="J315" s="35">
        <v>216</v>
      </c>
      <c r="K315" s="35" t="s">
        <v>350</v>
      </c>
      <c r="L315" s="35" t="s">
        <v>46</v>
      </c>
      <c r="M315" s="36" t="s">
        <v>292</v>
      </c>
      <c r="N315" s="36"/>
      <c r="O315" s="35">
        <v>45</v>
      </c>
      <c r="P315" s="871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15" s="704"/>
      <c r="R315" s="704"/>
      <c r="S315" s="704"/>
      <c r="T315" s="705"/>
      <c r="U315" s="37" t="s">
        <v>46</v>
      </c>
      <c r="V315" s="37" t="s">
        <v>46</v>
      </c>
      <c r="W315" s="38" t="s">
        <v>0</v>
      </c>
      <c r="X315" s="56">
        <v>0</v>
      </c>
      <c r="Y315" s="53">
        <f>IFERROR(IF(X315="",0,CEILING((X315/$H315),1)*$H315),"")</f>
        <v>0</v>
      </c>
      <c r="Z315" s="39" t="str">
        <f>IFERROR(IF(Y315=0,"",ROUNDUP(Y315/H315,0)*0.0059),"")</f>
        <v/>
      </c>
      <c r="AA315" s="65" t="s">
        <v>46</v>
      </c>
      <c r="AB315" s="66" t="s">
        <v>46</v>
      </c>
      <c r="AC315" s="403" t="s">
        <v>540</v>
      </c>
      <c r="AG315" s="75"/>
      <c r="AJ315" s="79" t="s">
        <v>46</v>
      </c>
      <c r="AK315" s="79">
        <v>0</v>
      </c>
      <c r="BB315" s="404" t="s">
        <v>67</v>
      </c>
      <c r="BM315" s="75">
        <f>IFERROR(X315*I315/H315,"0")</f>
        <v>0</v>
      </c>
      <c r="BN315" s="75">
        <f>IFERROR(Y315*I315/H315,"0")</f>
        <v>0</v>
      </c>
      <c r="BO315" s="75">
        <f>IFERROR(1/J315*(X315/H315),"0")</f>
        <v>0</v>
      </c>
      <c r="BP315" s="75">
        <f>IFERROR(1/J315*(Y315/H315),"0")</f>
        <v>0</v>
      </c>
    </row>
    <row r="316" spans="1:68" x14ac:dyDescent="0.2">
      <c r="A316" s="710"/>
      <c r="B316" s="710"/>
      <c r="C316" s="710"/>
      <c r="D316" s="710"/>
      <c r="E316" s="710"/>
      <c r="F316" s="710"/>
      <c r="G316" s="710"/>
      <c r="H316" s="710"/>
      <c r="I316" s="710"/>
      <c r="J316" s="710"/>
      <c r="K316" s="710"/>
      <c r="L316" s="710"/>
      <c r="M316" s="710"/>
      <c r="N316" s="710"/>
      <c r="O316" s="711"/>
      <c r="P316" s="707" t="s">
        <v>40</v>
      </c>
      <c r="Q316" s="708"/>
      <c r="R316" s="708"/>
      <c r="S316" s="708"/>
      <c r="T316" s="708"/>
      <c r="U316" s="708"/>
      <c r="V316" s="709"/>
      <c r="W316" s="40" t="s">
        <v>39</v>
      </c>
      <c r="X316" s="41">
        <f>IFERROR(X315/H315,"0")</f>
        <v>0</v>
      </c>
      <c r="Y316" s="41">
        <f>IFERROR(Y315/H315,"0")</f>
        <v>0</v>
      </c>
      <c r="Z316" s="41">
        <f>IFERROR(IF(Z315="",0,Z315),"0")</f>
        <v>0</v>
      </c>
      <c r="AA316" s="64"/>
      <c r="AB316" s="64"/>
      <c r="AC316" s="64"/>
    </row>
    <row r="317" spans="1:68" x14ac:dyDescent="0.2">
      <c r="A317" s="710"/>
      <c r="B317" s="710"/>
      <c r="C317" s="710"/>
      <c r="D317" s="710"/>
      <c r="E317" s="710"/>
      <c r="F317" s="710"/>
      <c r="G317" s="710"/>
      <c r="H317" s="710"/>
      <c r="I317" s="710"/>
      <c r="J317" s="710"/>
      <c r="K317" s="710"/>
      <c r="L317" s="710"/>
      <c r="M317" s="710"/>
      <c r="N317" s="710"/>
      <c r="O317" s="711"/>
      <c r="P317" s="707" t="s">
        <v>40</v>
      </c>
      <c r="Q317" s="708"/>
      <c r="R317" s="708"/>
      <c r="S317" s="708"/>
      <c r="T317" s="708"/>
      <c r="U317" s="708"/>
      <c r="V317" s="709"/>
      <c r="W317" s="40" t="s">
        <v>0</v>
      </c>
      <c r="X317" s="41">
        <f>IFERROR(SUM(X315:X315),"0")</f>
        <v>0</v>
      </c>
      <c r="Y317" s="41">
        <f>IFERROR(SUM(Y315:Y315),"0")</f>
        <v>0</v>
      </c>
      <c r="Z317" s="40"/>
      <c r="AA317" s="64"/>
      <c r="AB317" s="64"/>
      <c r="AC317" s="64"/>
    </row>
    <row r="318" spans="1:68" ht="14.25" customHeight="1" x14ac:dyDescent="0.25">
      <c r="A318" s="701" t="s">
        <v>354</v>
      </c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  <c r="AA318" s="63"/>
      <c r="AB318" s="63"/>
      <c r="AC318" s="63"/>
    </row>
    <row r="319" spans="1:68" ht="27" customHeight="1" x14ac:dyDescent="0.25">
      <c r="A319" s="60" t="s">
        <v>541</v>
      </c>
      <c r="B319" s="60" t="s">
        <v>542</v>
      </c>
      <c r="C319" s="34">
        <v>4301041004</v>
      </c>
      <c r="D319" s="702">
        <v>4680115886704</v>
      </c>
      <c r="E319" s="702"/>
      <c r="F319" s="59">
        <v>5.5E-2</v>
      </c>
      <c r="G319" s="35">
        <v>18</v>
      </c>
      <c r="H319" s="59">
        <v>0.99</v>
      </c>
      <c r="I319" s="59">
        <v>1.18</v>
      </c>
      <c r="J319" s="35">
        <v>216</v>
      </c>
      <c r="K319" s="35" t="s">
        <v>350</v>
      </c>
      <c r="L319" s="35" t="s">
        <v>46</v>
      </c>
      <c r="M319" s="36" t="s">
        <v>292</v>
      </c>
      <c r="N319" s="36"/>
      <c r="O319" s="35">
        <v>90</v>
      </c>
      <c r="P319" s="872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319" s="704"/>
      <c r="R319" s="704"/>
      <c r="S319" s="704"/>
      <c r="T319" s="705"/>
      <c r="U319" s="37" t="s">
        <v>46</v>
      </c>
      <c r="V319" s="37" t="s">
        <v>46</v>
      </c>
      <c r="W319" s="38" t="s">
        <v>0</v>
      </c>
      <c r="X319" s="56">
        <v>0</v>
      </c>
      <c r="Y319" s="53">
        <f>IFERROR(IF(X319="",0,CEILING((X319/$H319),1)*$H319),"")</f>
        <v>0</v>
      </c>
      <c r="Z319" s="39" t="str">
        <f>IFERROR(IF(Y319=0,"",ROUNDUP(Y319/H319,0)*0.0059),"")</f>
        <v/>
      </c>
      <c r="AA319" s="65" t="s">
        <v>46</v>
      </c>
      <c r="AB319" s="66" t="s">
        <v>46</v>
      </c>
      <c r="AC319" s="405" t="s">
        <v>543</v>
      </c>
      <c r="AG319" s="75"/>
      <c r="AJ319" s="79" t="s">
        <v>46</v>
      </c>
      <c r="AK319" s="79">
        <v>0</v>
      </c>
      <c r="BB319" s="406" t="s">
        <v>67</v>
      </c>
      <c r="BM319" s="75">
        <f>IFERROR(X319*I319/H319,"0")</f>
        <v>0</v>
      </c>
      <c r="BN319" s="75">
        <f>IFERROR(Y319*I319/H319,"0")</f>
        <v>0</v>
      </c>
      <c r="BO319" s="75">
        <f>IFERROR(1/J319*(X319/H319),"0")</f>
        <v>0</v>
      </c>
      <c r="BP319" s="75">
        <f>IFERROR(1/J319*(Y319/H319),"0")</f>
        <v>0</v>
      </c>
    </row>
    <row r="320" spans="1:68" ht="27" customHeight="1" x14ac:dyDescent="0.25">
      <c r="A320" s="60" t="s">
        <v>544</v>
      </c>
      <c r="B320" s="60" t="s">
        <v>545</v>
      </c>
      <c r="C320" s="34">
        <v>4301041008</v>
      </c>
      <c r="D320" s="702">
        <v>4680115886681</v>
      </c>
      <c r="E320" s="702"/>
      <c r="F320" s="59">
        <v>0.12</v>
      </c>
      <c r="G320" s="35">
        <v>15</v>
      </c>
      <c r="H320" s="59">
        <v>1.8</v>
      </c>
      <c r="I320" s="59">
        <v>1.9750000000000001</v>
      </c>
      <c r="J320" s="35">
        <v>216</v>
      </c>
      <c r="K320" s="35" t="s">
        <v>350</v>
      </c>
      <c r="L320" s="35" t="s">
        <v>46</v>
      </c>
      <c r="M320" s="36" t="s">
        <v>292</v>
      </c>
      <c r="N320" s="36"/>
      <c r="O320" s="35">
        <v>90</v>
      </c>
      <c r="P320" s="873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20" s="704"/>
      <c r="R320" s="704"/>
      <c r="S320" s="704"/>
      <c r="T320" s="705"/>
      <c r="U320" s="37" t="s">
        <v>46</v>
      </c>
      <c r="V320" s="37" t="s">
        <v>46</v>
      </c>
      <c r="W320" s="38" t="s">
        <v>0</v>
      </c>
      <c r="X320" s="56">
        <v>0</v>
      </c>
      <c r="Y320" s="53">
        <f>IFERROR(IF(X320="",0,CEILING((X320/$H320),1)*$H320),"")</f>
        <v>0</v>
      </c>
      <c r="Z320" s="39" t="str">
        <f>IFERROR(IF(Y320=0,"",ROUNDUP(Y320/H320,0)*0.0059),"")</f>
        <v/>
      </c>
      <c r="AA320" s="65" t="s">
        <v>46</v>
      </c>
      <c r="AB320" s="66" t="s">
        <v>46</v>
      </c>
      <c r="AC320" s="407" t="s">
        <v>543</v>
      </c>
      <c r="AG320" s="75"/>
      <c r="AJ320" s="79" t="s">
        <v>46</v>
      </c>
      <c r="AK320" s="79">
        <v>0</v>
      </c>
      <c r="BB320" s="408" t="s">
        <v>67</v>
      </c>
      <c r="BM320" s="75">
        <f>IFERROR(X320*I320/H320,"0")</f>
        <v>0</v>
      </c>
      <c r="BN320" s="75">
        <f>IFERROR(Y320*I320/H320,"0")</f>
        <v>0</v>
      </c>
      <c r="BO320" s="75">
        <f>IFERROR(1/J320*(X320/H320),"0")</f>
        <v>0</v>
      </c>
      <c r="BP320" s="75">
        <f>IFERROR(1/J320*(Y320/H320),"0")</f>
        <v>0</v>
      </c>
    </row>
    <row r="321" spans="1:68" ht="27" customHeight="1" x14ac:dyDescent="0.25">
      <c r="A321" s="60" t="s">
        <v>546</v>
      </c>
      <c r="B321" s="60" t="s">
        <v>547</v>
      </c>
      <c r="C321" s="34">
        <v>4301041007</v>
      </c>
      <c r="D321" s="702">
        <v>4680115886735</v>
      </c>
      <c r="E321" s="702"/>
      <c r="F321" s="59">
        <v>0.05</v>
      </c>
      <c r="G321" s="35">
        <v>18</v>
      </c>
      <c r="H321" s="59">
        <v>0.9</v>
      </c>
      <c r="I321" s="59">
        <v>1.0900000000000001</v>
      </c>
      <c r="J321" s="35">
        <v>216</v>
      </c>
      <c r="K321" s="35" t="s">
        <v>350</v>
      </c>
      <c r="L321" s="35" t="s">
        <v>46</v>
      </c>
      <c r="M321" s="36" t="s">
        <v>292</v>
      </c>
      <c r="N321" s="36"/>
      <c r="O321" s="35">
        <v>90</v>
      </c>
      <c r="P321" s="874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21" s="704"/>
      <c r="R321" s="704"/>
      <c r="S321" s="704"/>
      <c r="T321" s="705"/>
      <c r="U321" s="37" t="s">
        <v>46</v>
      </c>
      <c r="V321" s="37" t="s">
        <v>46</v>
      </c>
      <c r="W321" s="38" t="s">
        <v>0</v>
      </c>
      <c r="X321" s="56">
        <v>0</v>
      </c>
      <c r="Y321" s="53">
        <f>IFERROR(IF(X321="",0,CEILING((X321/$H321),1)*$H321),"")</f>
        <v>0</v>
      </c>
      <c r="Z321" s="39" t="str">
        <f>IFERROR(IF(Y321=0,"",ROUNDUP(Y321/H321,0)*0.0059),"")</f>
        <v/>
      </c>
      <c r="AA321" s="65" t="s">
        <v>46</v>
      </c>
      <c r="AB321" s="66" t="s">
        <v>46</v>
      </c>
      <c r="AC321" s="409" t="s">
        <v>543</v>
      </c>
      <c r="AG321" s="75"/>
      <c r="AJ321" s="79" t="s">
        <v>46</v>
      </c>
      <c r="AK321" s="79">
        <v>0</v>
      </c>
      <c r="BB321" s="410" t="s">
        <v>67</v>
      </c>
      <c r="BM321" s="75">
        <f>IFERROR(X321*I321/H321,"0")</f>
        <v>0</v>
      </c>
      <c r="BN321" s="75">
        <f>IFERROR(Y321*I321/H321,"0")</f>
        <v>0</v>
      </c>
      <c r="BO321" s="75">
        <f>IFERROR(1/J321*(X321/H321),"0")</f>
        <v>0</v>
      </c>
      <c r="BP321" s="75">
        <f>IFERROR(1/J321*(Y321/H321),"0")</f>
        <v>0</v>
      </c>
    </row>
    <row r="322" spans="1:68" x14ac:dyDescent="0.2">
      <c r="A322" s="710"/>
      <c r="B322" s="710"/>
      <c r="C322" s="710"/>
      <c r="D322" s="710"/>
      <c r="E322" s="710"/>
      <c r="F322" s="710"/>
      <c r="G322" s="710"/>
      <c r="H322" s="710"/>
      <c r="I322" s="710"/>
      <c r="J322" s="710"/>
      <c r="K322" s="710"/>
      <c r="L322" s="710"/>
      <c r="M322" s="710"/>
      <c r="N322" s="710"/>
      <c r="O322" s="711"/>
      <c r="P322" s="707" t="s">
        <v>40</v>
      </c>
      <c r="Q322" s="708"/>
      <c r="R322" s="708"/>
      <c r="S322" s="708"/>
      <c r="T322" s="708"/>
      <c r="U322" s="708"/>
      <c r="V322" s="709"/>
      <c r="W322" s="40" t="s">
        <v>39</v>
      </c>
      <c r="X322" s="41">
        <f>IFERROR(X319/H319,"0")+IFERROR(X320/H320,"0")+IFERROR(X321/H321,"0")</f>
        <v>0</v>
      </c>
      <c r="Y322" s="41">
        <f>IFERROR(Y319/H319,"0")+IFERROR(Y320/H320,"0")+IFERROR(Y321/H321,"0")</f>
        <v>0</v>
      </c>
      <c r="Z322" s="41">
        <f>IFERROR(IF(Z319="",0,Z319),"0")+IFERROR(IF(Z320="",0,Z320),"0")+IFERROR(IF(Z321="",0,Z321),"0")</f>
        <v>0</v>
      </c>
      <c r="AA322" s="64"/>
      <c r="AB322" s="64"/>
      <c r="AC322" s="64"/>
    </row>
    <row r="323" spans="1:68" x14ac:dyDescent="0.2">
      <c r="A323" s="710"/>
      <c r="B323" s="710"/>
      <c r="C323" s="710"/>
      <c r="D323" s="710"/>
      <c r="E323" s="710"/>
      <c r="F323" s="710"/>
      <c r="G323" s="710"/>
      <c r="H323" s="710"/>
      <c r="I323" s="710"/>
      <c r="J323" s="710"/>
      <c r="K323" s="710"/>
      <c r="L323" s="710"/>
      <c r="M323" s="710"/>
      <c r="N323" s="710"/>
      <c r="O323" s="711"/>
      <c r="P323" s="707" t="s">
        <v>40</v>
      </c>
      <c r="Q323" s="708"/>
      <c r="R323" s="708"/>
      <c r="S323" s="708"/>
      <c r="T323" s="708"/>
      <c r="U323" s="708"/>
      <c r="V323" s="709"/>
      <c r="W323" s="40" t="s">
        <v>0</v>
      </c>
      <c r="X323" s="41">
        <f>IFERROR(SUM(X319:X321),"0")</f>
        <v>0</v>
      </c>
      <c r="Y323" s="41">
        <f>IFERROR(SUM(Y319:Y321),"0")</f>
        <v>0</v>
      </c>
      <c r="Z323" s="40"/>
      <c r="AA323" s="64"/>
      <c r="AB323" s="64"/>
      <c r="AC323" s="64"/>
    </row>
    <row r="324" spans="1:68" ht="16.5" customHeight="1" x14ac:dyDescent="0.25">
      <c r="A324" s="700" t="s">
        <v>548</v>
      </c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  <c r="AA324" s="62"/>
      <c r="AB324" s="62"/>
      <c r="AC324" s="62"/>
    </row>
    <row r="325" spans="1:68" ht="14.25" customHeight="1" x14ac:dyDescent="0.25">
      <c r="A325" s="701" t="s">
        <v>128</v>
      </c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  <c r="AA325" s="63"/>
      <c r="AB325" s="63"/>
      <c r="AC325" s="63"/>
    </row>
    <row r="326" spans="1:68" ht="27" customHeight="1" x14ac:dyDescent="0.25">
      <c r="A326" s="60" t="s">
        <v>549</v>
      </c>
      <c r="B326" s="60" t="s">
        <v>550</v>
      </c>
      <c r="C326" s="34">
        <v>4301011855</v>
      </c>
      <c r="D326" s="702">
        <v>4680115885837</v>
      </c>
      <c r="E326" s="702"/>
      <c r="F326" s="59">
        <v>1.35</v>
      </c>
      <c r="G326" s="35">
        <v>8</v>
      </c>
      <c r="H326" s="59">
        <v>10.8</v>
      </c>
      <c r="I326" s="59">
        <v>11.21</v>
      </c>
      <c r="J326" s="35">
        <v>64</v>
      </c>
      <c r="K326" s="35" t="s">
        <v>133</v>
      </c>
      <c r="L326" s="35" t="s">
        <v>46</v>
      </c>
      <c r="M326" s="36" t="s">
        <v>132</v>
      </c>
      <c r="N326" s="36"/>
      <c r="O326" s="35">
        <v>55</v>
      </c>
      <c r="P326" s="875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26" s="704"/>
      <c r="R326" s="704"/>
      <c r="S326" s="704"/>
      <c r="T326" s="705"/>
      <c r="U326" s="37" t="s">
        <v>46</v>
      </c>
      <c r="V326" s="37" t="s">
        <v>46</v>
      </c>
      <c r="W326" s="38" t="s">
        <v>0</v>
      </c>
      <c r="X326" s="56">
        <v>0</v>
      </c>
      <c r="Y326" s="53">
        <f>IFERROR(IF(X326="",0,CEILING((X326/$H326),1)*$H326),"")</f>
        <v>0</v>
      </c>
      <c r="Z326" s="39" t="str">
        <f>IFERROR(IF(Y326=0,"",ROUNDUP(Y326/H326,0)*0.01898),"")</f>
        <v/>
      </c>
      <c r="AA326" s="65" t="s">
        <v>46</v>
      </c>
      <c r="AB326" s="66" t="s">
        <v>46</v>
      </c>
      <c r="AC326" s="411" t="s">
        <v>551</v>
      </c>
      <c r="AG326" s="75"/>
      <c r="AJ326" s="79" t="s">
        <v>46</v>
      </c>
      <c r="AK326" s="79">
        <v>0</v>
      </c>
      <c r="BB326" s="412" t="s">
        <v>67</v>
      </c>
      <c r="BM326" s="75">
        <f>IFERROR(X326*I326/H326,"0")</f>
        <v>0</v>
      </c>
      <c r="BN326" s="75">
        <f>IFERROR(Y326*I326/H326,"0")</f>
        <v>0</v>
      </c>
      <c r="BO326" s="75">
        <f>IFERROR(1/J326*(X326/H326),"0")</f>
        <v>0</v>
      </c>
      <c r="BP326" s="75">
        <f>IFERROR(1/J326*(Y326/H326),"0")</f>
        <v>0</v>
      </c>
    </row>
    <row r="327" spans="1:68" ht="37.5" customHeight="1" x14ac:dyDescent="0.25">
      <c r="A327" s="60" t="s">
        <v>552</v>
      </c>
      <c r="B327" s="60" t="s">
        <v>553</v>
      </c>
      <c r="C327" s="34">
        <v>4301012234</v>
      </c>
      <c r="D327" s="702">
        <v>4680115887237</v>
      </c>
      <c r="E327" s="702"/>
      <c r="F327" s="59">
        <v>1.35</v>
      </c>
      <c r="G327" s="35">
        <v>8</v>
      </c>
      <c r="H327" s="59">
        <v>10.8</v>
      </c>
      <c r="I327" s="59">
        <v>11.21</v>
      </c>
      <c r="J327" s="35">
        <v>64</v>
      </c>
      <c r="K327" s="35" t="s">
        <v>133</v>
      </c>
      <c r="L327" s="35" t="s">
        <v>46</v>
      </c>
      <c r="M327" s="36" t="s">
        <v>132</v>
      </c>
      <c r="N327" s="36"/>
      <c r="O327" s="35">
        <v>55</v>
      </c>
      <c r="P327" s="876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27" s="704"/>
      <c r="R327" s="704"/>
      <c r="S327" s="704"/>
      <c r="T327" s="705"/>
      <c r="U327" s="37" t="s">
        <v>46</v>
      </c>
      <c r="V327" s="37" t="s">
        <v>46</v>
      </c>
      <c r="W327" s="38" t="s">
        <v>0</v>
      </c>
      <c r="X327" s="56">
        <v>0</v>
      </c>
      <c r="Y327" s="53">
        <f>IFERROR(IF(X327="",0,CEILING((X327/$H327),1)*$H327),"")</f>
        <v>0</v>
      </c>
      <c r="Z327" s="39" t="str">
        <f>IFERROR(IF(Y327=0,"",ROUNDUP(Y327/H327,0)*0.01898),"")</f>
        <v/>
      </c>
      <c r="AA327" s="65" t="s">
        <v>46</v>
      </c>
      <c r="AB327" s="66" t="s">
        <v>46</v>
      </c>
      <c r="AC327" s="413" t="s">
        <v>554</v>
      </c>
      <c r="AG327" s="75"/>
      <c r="AJ327" s="79" t="s">
        <v>46</v>
      </c>
      <c r="AK327" s="79">
        <v>0</v>
      </c>
      <c r="BB327" s="414" t="s">
        <v>67</v>
      </c>
      <c r="BM327" s="75">
        <f>IFERROR(X327*I327/H327,"0")</f>
        <v>0</v>
      </c>
      <c r="BN327" s="75">
        <f>IFERROR(Y327*I327/H327,"0")</f>
        <v>0</v>
      </c>
      <c r="BO327" s="75">
        <f>IFERROR(1/J327*(X327/H327),"0")</f>
        <v>0</v>
      </c>
      <c r="BP327" s="75">
        <f>IFERROR(1/J327*(Y327/H327),"0")</f>
        <v>0</v>
      </c>
    </row>
    <row r="328" spans="1:68" ht="27" customHeight="1" x14ac:dyDescent="0.25">
      <c r="A328" s="60" t="s">
        <v>555</v>
      </c>
      <c r="B328" s="60" t="s">
        <v>556</v>
      </c>
      <c r="C328" s="34">
        <v>4301011850</v>
      </c>
      <c r="D328" s="702">
        <v>4680115885806</v>
      </c>
      <c r="E328" s="702"/>
      <c r="F328" s="59">
        <v>1.35</v>
      </c>
      <c r="G328" s="35">
        <v>8</v>
      </c>
      <c r="H328" s="59">
        <v>10.8</v>
      </c>
      <c r="I328" s="59">
        <v>11.21</v>
      </c>
      <c r="J328" s="35">
        <v>64</v>
      </c>
      <c r="K328" s="35" t="s">
        <v>133</v>
      </c>
      <c r="L328" s="35" t="s">
        <v>46</v>
      </c>
      <c r="M328" s="36" t="s">
        <v>132</v>
      </c>
      <c r="N328" s="36"/>
      <c r="O328" s="35">
        <v>55</v>
      </c>
      <c r="P328" s="877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28" s="704"/>
      <c r="R328" s="704"/>
      <c r="S328" s="704"/>
      <c r="T328" s="705"/>
      <c r="U328" s="37" t="s">
        <v>46</v>
      </c>
      <c r="V328" s="37" t="s">
        <v>46</v>
      </c>
      <c r="W328" s="38" t="s">
        <v>0</v>
      </c>
      <c r="X328" s="56">
        <v>0</v>
      </c>
      <c r="Y328" s="53">
        <f>IFERROR(IF(X328="",0,CEILING((X328/$H328),1)*$H328),"")</f>
        <v>0</v>
      </c>
      <c r="Z328" s="39" t="str">
        <f>IFERROR(IF(Y328=0,"",ROUNDUP(Y328/H328,0)*0.01898),"")</f>
        <v/>
      </c>
      <c r="AA328" s="65" t="s">
        <v>46</v>
      </c>
      <c r="AB328" s="66" t="s">
        <v>46</v>
      </c>
      <c r="AC328" s="415" t="s">
        <v>557</v>
      </c>
      <c r="AG328" s="75"/>
      <c r="AJ328" s="79" t="s">
        <v>46</v>
      </c>
      <c r="AK328" s="79">
        <v>0</v>
      </c>
      <c r="BB328" s="416" t="s">
        <v>67</v>
      </c>
      <c r="BM328" s="75">
        <f>IFERROR(X328*I328/H328,"0")</f>
        <v>0</v>
      </c>
      <c r="BN328" s="75">
        <f>IFERROR(Y328*I328/H328,"0")</f>
        <v>0</v>
      </c>
      <c r="BO328" s="75">
        <f>IFERROR(1/J328*(X328/H328),"0")</f>
        <v>0</v>
      </c>
      <c r="BP328" s="75">
        <f>IFERROR(1/J328*(Y328/H328),"0")</f>
        <v>0</v>
      </c>
    </row>
    <row r="329" spans="1:68" ht="27" customHeight="1" x14ac:dyDescent="0.25">
      <c r="A329" s="60" t="s">
        <v>558</v>
      </c>
      <c r="B329" s="60" t="s">
        <v>559</v>
      </c>
      <c r="C329" s="34">
        <v>4301011852</v>
      </c>
      <c r="D329" s="702">
        <v>4680115885844</v>
      </c>
      <c r="E329" s="702"/>
      <c r="F329" s="59">
        <v>0.4</v>
      </c>
      <c r="G329" s="35">
        <v>10</v>
      </c>
      <c r="H329" s="59">
        <v>4</v>
      </c>
      <c r="I329" s="59">
        <v>4.1900000000000004</v>
      </c>
      <c r="J329" s="35">
        <v>132</v>
      </c>
      <c r="K329" s="35" t="s">
        <v>140</v>
      </c>
      <c r="L329" s="35" t="s">
        <v>46</v>
      </c>
      <c r="M329" s="36" t="s">
        <v>132</v>
      </c>
      <c r="N329" s="36"/>
      <c r="O329" s="35">
        <v>55</v>
      </c>
      <c r="P329" s="878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29" s="704"/>
      <c r="R329" s="704"/>
      <c r="S329" s="704"/>
      <c r="T329" s="705"/>
      <c r="U329" s="37" t="s">
        <v>46</v>
      </c>
      <c r="V329" s="37" t="s">
        <v>46</v>
      </c>
      <c r="W329" s="38" t="s">
        <v>0</v>
      </c>
      <c r="X329" s="56">
        <v>0</v>
      </c>
      <c r="Y329" s="53">
        <f>IFERROR(IF(X329="",0,CEILING((X329/$H329),1)*$H329),"")</f>
        <v>0</v>
      </c>
      <c r="Z329" s="39" t="str">
        <f>IFERROR(IF(Y329=0,"",ROUNDUP(Y329/H329,0)*0.00902),"")</f>
        <v/>
      </c>
      <c r="AA329" s="65" t="s">
        <v>46</v>
      </c>
      <c r="AB329" s="66" t="s">
        <v>46</v>
      </c>
      <c r="AC329" s="417" t="s">
        <v>560</v>
      </c>
      <c r="AG329" s="75"/>
      <c r="AJ329" s="79" t="s">
        <v>46</v>
      </c>
      <c r="AK329" s="79">
        <v>0</v>
      </c>
      <c r="BB329" s="418" t="s">
        <v>67</v>
      </c>
      <c r="BM329" s="75">
        <f>IFERROR(X329*I329/H329,"0")</f>
        <v>0</v>
      </c>
      <c r="BN329" s="75">
        <f>IFERROR(Y329*I329/H329,"0")</f>
        <v>0</v>
      </c>
      <c r="BO329" s="75">
        <f>IFERROR(1/J329*(X329/H329),"0")</f>
        <v>0</v>
      </c>
      <c r="BP329" s="75">
        <f>IFERROR(1/J329*(Y329/H329),"0")</f>
        <v>0</v>
      </c>
    </row>
    <row r="330" spans="1:68" ht="37.5" customHeight="1" x14ac:dyDescent="0.25">
      <c r="A330" s="60" t="s">
        <v>561</v>
      </c>
      <c r="B330" s="60" t="s">
        <v>562</v>
      </c>
      <c r="C330" s="34">
        <v>4301011851</v>
      </c>
      <c r="D330" s="702">
        <v>4680115885820</v>
      </c>
      <c r="E330" s="702"/>
      <c r="F330" s="59">
        <v>0.4</v>
      </c>
      <c r="G330" s="35">
        <v>10</v>
      </c>
      <c r="H330" s="59">
        <v>4</v>
      </c>
      <c r="I330" s="59">
        <v>4.1900000000000004</v>
      </c>
      <c r="J330" s="35">
        <v>132</v>
      </c>
      <c r="K330" s="35" t="s">
        <v>140</v>
      </c>
      <c r="L330" s="35" t="s">
        <v>46</v>
      </c>
      <c r="M330" s="36" t="s">
        <v>132</v>
      </c>
      <c r="N330" s="36"/>
      <c r="O330" s="35">
        <v>55</v>
      </c>
      <c r="P330" s="879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30" s="704"/>
      <c r="R330" s="704"/>
      <c r="S330" s="704"/>
      <c r="T330" s="705"/>
      <c r="U330" s="37" t="s">
        <v>46</v>
      </c>
      <c r="V330" s="37" t="s">
        <v>46</v>
      </c>
      <c r="W330" s="38" t="s">
        <v>0</v>
      </c>
      <c r="X330" s="56">
        <v>0</v>
      </c>
      <c r="Y330" s="53">
        <f>IFERROR(IF(X330="",0,CEILING((X330/$H330),1)*$H330),"")</f>
        <v>0</v>
      </c>
      <c r="Z330" s="39" t="str">
        <f>IFERROR(IF(Y330=0,"",ROUNDUP(Y330/H330,0)*0.00902),"")</f>
        <v/>
      </c>
      <c r="AA330" s="65" t="s">
        <v>46</v>
      </c>
      <c r="AB330" s="66" t="s">
        <v>46</v>
      </c>
      <c r="AC330" s="419" t="s">
        <v>563</v>
      </c>
      <c r="AG330" s="75"/>
      <c r="AJ330" s="79" t="s">
        <v>46</v>
      </c>
      <c r="AK330" s="79">
        <v>0</v>
      </c>
      <c r="BB330" s="420" t="s">
        <v>67</v>
      </c>
      <c r="BM330" s="75">
        <f>IFERROR(X330*I330/H330,"0")</f>
        <v>0</v>
      </c>
      <c r="BN330" s="75">
        <f>IFERROR(Y330*I330/H330,"0")</f>
        <v>0</v>
      </c>
      <c r="BO330" s="75">
        <f>IFERROR(1/J330*(X330/H330),"0")</f>
        <v>0</v>
      </c>
      <c r="BP330" s="75">
        <f>IFERROR(1/J330*(Y330/H330),"0")</f>
        <v>0</v>
      </c>
    </row>
    <row r="331" spans="1:68" x14ac:dyDescent="0.2">
      <c r="A331" s="710"/>
      <c r="B331" s="710"/>
      <c r="C331" s="710"/>
      <c r="D331" s="710"/>
      <c r="E331" s="710"/>
      <c r="F331" s="710"/>
      <c r="G331" s="710"/>
      <c r="H331" s="710"/>
      <c r="I331" s="710"/>
      <c r="J331" s="710"/>
      <c r="K331" s="710"/>
      <c r="L331" s="710"/>
      <c r="M331" s="710"/>
      <c r="N331" s="710"/>
      <c r="O331" s="711"/>
      <c r="P331" s="707" t="s">
        <v>40</v>
      </c>
      <c r="Q331" s="708"/>
      <c r="R331" s="708"/>
      <c r="S331" s="708"/>
      <c r="T331" s="708"/>
      <c r="U331" s="708"/>
      <c r="V331" s="709"/>
      <c r="W331" s="40" t="s">
        <v>39</v>
      </c>
      <c r="X331" s="41">
        <f>IFERROR(X326/H326,"0")+IFERROR(X327/H327,"0")+IFERROR(X328/H328,"0")+IFERROR(X329/H329,"0")+IFERROR(X330/H330,"0")</f>
        <v>0</v>
      </c>
      <c r="Y331" s="41">
        <f>IFERROR(Y326/H326,"0")+IFERROR(Y327/H327,"0")+IFERROR(Y328/H328,"0")+IFERROR(Y329/H329,"0")+IFERROR(Y330/H330,"0")</f>
        <v>0</v>
      </c>
      <c r="Z331" s="41">
        <f>IFERROR(IF(Z326="",0,Z326),"0")+IFERROR(IF(Z327="",0,Z327),"0")+IFERROR(IF(Z328="",0,Z328),"0")+IFERROR(IF(Z329="",0,Z329),"0")+IFERROR(IF(Z330="",0,Z330),"0")</f>
        <v>0</v>
      </c>
      <c r="AA331" s="64"/>
      <c r="AB331" s="64"/>
      <c r="AC331" s="64"/>
    </row>
    <row r="332" spans="1:68" x14ac:dyDescent="0.2">
      <c r="A332" s="710"/>
      <c r="B332" s="710"/>
      <c r="C332" s="710"/>
      <c r="D332" s="710"/>
      <c r="E332" s="710"/>
      <c r="F332" s="710"/>
      <c r="G332" s="710"/>
      <c r="H332" s="710"/>
      <c r="I332" s="710"/>
      <c r="J332" s="710"/>
      <c r="K332" s="710"/>
      <c r="L332" s="710"/>
      <c r="M332" s="710"/>
      <c r="N332" s="710"/>
      <c r="O332" s="711"/>
      <c r="P332" s="707" t="s">
        <v>40</v>
      </c>
      <c r="Q332" s="708"/>
      <c r="R332" s="708"/>
      <c r="S332" s="708"/>
      <c r="T332" s="708"/>
      <c r="U332" s="708"/>
      <c r="V332" s="709"/>
      <c r="W332" s="40" t="s">
        <v>0</v>
      </c>
      <c r="X332" s="41">
        <f>IFERROR(SUM(X326:X330),"0")</f>
        <v>0</v>
      </c>
      <c r="Y332" s="41">
        <f>IFERROR(SUM(Y326:Y330),"0")</f>
        <v>0</v>
      </c>
      <c r="Z332" s="40"/>
      <c r="AA332" s="64"/>
      <c r="AB332" s="64"/>
      <c r="AC332" s="64"/>
    </row>
    <row r="333" spans="1:68" ht="16.5" customHeight="1" x14ac:dyDescent="0.25">
      <c r="A333" s="700" t="s">
        <v>564</v>
      </c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  <c r="AA333" s="62"/>
      <c r="AB333" s="62"/>
      <c r="AC333" s="62"/>
    </row>
    <row r="334" spans="1:68" ht="14.25" customHeight="1" x14ac:dyDescent="0.25">
      <c r="A334" s="701" t="s">
        <v>86</v>
      </c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  <c r="AA334" s="63"/>
      <c r="AB334" s="63"/>
      <c r="AC334" s="63"/>
    </row>
    <row r="335" spans="1:68" ht="27" customHeight="1" x14ac:dyDescent="0.25">
      <c r="A335" s="60" t="s">
        <v>565</v>
      </c>
      <c r="B335" s="60" t="s">
        <v>566</v>
      </c>
      <c r="C335" s="34">
        <v>4301051893</v>
      </c>
      <c r="D335" s="702">
        <v>4680115886186</v>
      </c>
      <c r="E335" s="702"/>
      <c r="F335" s="59">
        <v>0.3</v>
      </c>
      <c r="G335" s="35">
        <v>6</v>
      </c>
      <c r="H335" s="59">
        <v>1.8</v>
      </c>
      <c r="I335" s="59">
        <v>1.98</v>
      </c>
      <c r="J335" s="35">
        <v>182</v>
      </c>
      <c r="K335" s="35" t="s">
        <v>91</v>
      </c>
      <c r="L335" s="35" t="s">
        <v>46</v>
      </c>
      <c r="M335" s="36" t="s">
        <v>90</v>
      </c>
      <c r="N335" s="36"/>
      <c r="O335" s="35">
        <v>45</v>
      </c>
      <c r="P335" s="880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35" s="704"/>
      <c r="R335" s="704"/>
      <c r="S335" s="704"/>
      <c r="T335" s="705"/>
      <c r="U335" s="37" t="s">
        <v>46</v>
      </c>
      <c r="V335" s="37" t="s">
        <v>46</v>
      </c>
      <c r="W335" s="38" t="s">
        <v>0</v>
      </c>
      <c r="X335" s="56">
        <v>0</v>
      </c>
      <c r="Y335" s="53">
        <f>IFERROR(IF(X335="",0,CEILING((X335/$H335),1)*$H335),"")</f>
        <v>0</v>
      </c>
      <c r="Z335" s="39" t="str">
        <f>IFERROR(IF(Y335=0,"",ROUNDUP(Y335/H335,0)*0.00651),"")</f>
        <v/>
      </c>
      <c r="AA335" s="65" t="s">
        <v>46</v>
      </c>
      <c r="AB335" s="66" t="s">
        <v>46</v>
      </c>
      <c r="AC335" s="421" t="s">
        <v>567</v>
      </c>
      <c r="AG335" s="75"/>
      <c r="AJ335" s="79" t="s">
        <v>46</v>
      </c>
      <c r="AK335" s="79">
        <v>0</v>
      </c>
      <c r="BB335" s="422" t="s">
        <v>67</v>
      </c>
      <c r="BM335" s="75">
        <f>IFERROR(X335*I335/H335,"0")</f>
        <v>0</v>
      </c>
      <c r="BN335" s="75">
        <f>IFERROR(Y335*I335/H335,"0")</f>
        <v>0</v>
      </c>
      <c r="BO335" s="75">
        <f>IFERROR(1/J335*(X335/H335),"0")</f>
        <v>0</v>
      </c>
      <c r="BP335" s="75">
        <f>IFERROR(1/J335*(Y335/H335),"0")</f>
        <v>0</v>
      </c>
    </row>
    <row r="336" spans="1:68" ht="27" customHeight="1" x14ac:dyDescent="0.25">
      <c r="A336" s="60" t="s">
        <v>568</v>
      </c>
      <c r="B336" s="60" t="s">
        <v>569</v>
      </c>
      <c r="C336" s="34">
        <v>4301051795</v>
      </c>
      <c r="D336" s="702">
        <v>4680115881228</v>
      </c>
      <c r="E336" s="702"/>
      <c r="F336" s="59">
        <v>0.4</v>
      </c>
      <c r="G336" s="35">
        <v>6</v>
      </c>
      <c r="H336" s="59">
        <v>2.4</v>
      </c>
      <c r="I336" s="59">
        <v>2.6520000000000001</v>
      </c>
      <c r="J336" s="35">
        <v>182</v>
      </c>
      <c r="K336" s="35" t="s">
        <v>91</v>
      </c>
      <c r="L336" s="35" t="s">
        <v>46</v>
      </c>
      <c r="M336" s="36" t="s">
        <v>97</v>
      </c>
      <c r="N336" s="36"/>
      <c r="O336" s="35">
        <v>40</v>
      </c>
      <c r="P336" s="881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36" s="704"/>
      <c r="R336" s="704"/>
      <c r="S336" s="704"/>
      <c r="T336" s="705"/>
      <c r="U336" s="37" t="s">
        <v>46</v>
      </c>
      <c r="V336" s="37" t="s">
        <v>46</v>
      </c>
      <c r="W336" s="38" t="s">
        <v>0</v>
      </c>
      <c r="X336" s="56">
        <v>0</v>
      </c>
      <c r="Y336" s="53">
        <f>IFERROR(IF(X336="",0,CEILING((X336/$H336),1)*$H336),"")</f>
        <v>0</v>
      </c>
      <c r="Z336" s="39" t="str">
        <f>IFERROR(IF(Y336=0,"",ROUNDUP(Y336/H336,0)*0.00651),"")</f>
        <v/>
      </c>
      <c r="AA336" s="65" t="s">
        <v>46</v>
      </c>
      <c r="AB336" s="66" t="s">
        <v>46</v>
      </c>
      <c r="AC336" s="423" t="s">
        <v>570</v>
      </c>
      <c r="AG336" s="75"/>
      <c r="AJ336" s="79" t="s">
        <v>46</v>
      </c>
      <c r="AK336" s="79">
        <v>0</v>
      </c>
      <c r="BB336" s="424" t="s">
        <v>67</v>
      </c>
      <c r="BM336" s="75">
        <f>IFERROR(X336*I336/H336,"0")</f>
        <v>0</v>
      </c>
      <c r="BN336" s="75">
        <f>IFERROR(Y336*I336/H336,"0")</f>
        <v>0</v>
      </c>
      <c r="BO336" s="75">
        <f>IFERROR(1/J336*(X336/H336),"0")</f>
        <v>0</v>
      </c>
      <c r="BP336" s="75">
        <f>IFERROR(1/J336*(Y336/H336),"0")</f>
        <v>0</v>
      </c>
    </row>
    <row r="337" spans="1:68" ht="27" customHeight="1" x14ac:dyDescent="0.25">
      <c r="A337" s="60" t="s">
        <v>571</v>
      </c>
      <c r="B337" s="60" t="s">
        <v>572</v>
      </c>
      <c r="C337" s="34">
        <v>4301051388</v>
      </c>
      <c r="D337" s="702">
        <v>4680115881211</v>
      </c>
      <c r="E337" s="702"/>
      <c r="F337" s="59">
        <v>0.4</v>
      </c>
      <c r="G337" s="35">
        <v>6</v>
      </c>
      <c r="H337" s="59">
        <v>2.4</v>
      </c>
      <c r="I337" s="59">
        <v>2.58</v>
      </c>
      <c r="J337" s="35">
        <v>182</v>
      </c>
      <c r="K337" s="35" t="s">
        <v>91</v>
      </c>
      <c r="L337" s="35" t="s">
        <v>46</v>
      </c>
      <c r="M337" s="36" t="s">
        <v>90</v>
      </c>
      <c r="N337" s="36"/>
      <c r="O337" s="35">
        <v>45</v>
      </c>
      <c r="P337" s="882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37" s="704"/>
      <c r="R337" s="704"/>
      <c r="S337" s="704"/>
      <c r="T337" s="705"/>
      <c r="U337" s="37" t="s">
        <v>46</v>
      </c>
      <c r="V337" s="37" t="s">
        <v>46</v>
      </c>
      <c r="W337" s="38" t="s">
        <v>0</v>
      </c>
      <c r="X337" s="56">
        <v>0</v>
      </c>
      <c r="Y337" s="53">
        <f>IFERROR(IF(X337="",0,CEILING((X337/$H337),1)*$H337),"")</f>
        <v>0</v>
      </c>
      <c r="Z337" s="39" t="str">
        <f>IFERROR(IF(Y337=0,"",ROUNDUP(Y337/H337,0)*0.00651),"")</f>
        <v/>
      </c>
      <c r="AA337" s="65" t="s">
        <v>46</v>
      </c>
      <c r="AB337" s="66" t="s">
        <v>46</v>
      </c>
      <c r="AC337" s="425" t="s">
        <v>567</v>
      </c>
      <c r="AG337" s="75"/>
      <c r="AJ337" s="79" t="s">
        <v>46</v>
      </c>
      <c r="AK337" s="79">
        <v>0</v>
      </c>
      <c r="BB337" s="426" t="s">
        <v>67</v>
      </c>
      <c r="BM337" s="75">
        <f>IFERROR(X337*I337/H337,"0")</f>
        <v>0</v>
      </c>
      <c r="BN337" s="75">
        <f>IFERROR(Y337*I337/H337,"0")</f>
        <v>0</v>
      </c>
      <c r="BO337" s="75">
        <f>IFERROR(1/J337*(X337/H337),"0")</f>
        <v>0</v>
      </c>
      <c r="BP337" s="75">
        <f>IFERROR(1/J337*(Y337/H337),"0")</f>
        <v>0</v>
      </c>
    </row>
    <row r="338" spans="1:68" x14ac:dyDescent="0.2">
      <c r="A338" s="710"/>
      <c r="B338" s="710"/>
      <c r="C338" s="710"/>
      <c r="D338" s="710"/>
      <c r="E338" s="710"/>
      <c r="F338" s="710"/>
      <c r="G338" s="710"/>
      <c r="H338" s="710"/>
      <c r="I338" s="710"/>
      <c r="J338" s="710"/>
      <c r="K338" s="710"/>
      <c r="L338" s="710"/>
      <c r="M338" s="710"/>
      <c r="N338" s="710"/>
      <c r="O338" s="711"/>
      <c r="P338" s="707" t="s">
        <v>40</v>
      </c>
      <c r="Q338" s="708"/>
      <c r="R338" s="708"/>
      <c r="S338" s="708"/>
      <c r="T338" s="708"/>
      <c r="U338" s="708"/>
      <c r="V338" s="709"/>
      <c r="W338" s="40" t="s">
        <v>39</v>
      </c>
      <c r="X338" s="41">
        <f>IFERROR(X335/H335,"0")+IFERROR(X336/H336,"0")+IFERROR(X337/H337,"0")</f>
        <v>0</v>
      </c>
      <c r="Y338" s="41">
        <f>IFERROR(Y335/H335,"0")+IFERROR(Y336/H336,"0")+IFERROR(Y337/H337,"0")</f>
        <v>0</v>
      </c>
      <c r="Z338" s="41">
        <f>IFERROR(IF(Z335="",0,Z335),"0")+IFERROR(IF(Z336="",0,Z336),"0")+IFERROR(IF(Z337="",0,Z337),"0")</f>
        <v>0</v>
      </c>
      <c r="AA338" s="64"/>
      <c r="AB338" s="64"/>
      <c r="AC338" s="64"/>
    </row>
    <row r="339" spans="1:68" x14ac:dyDescent="0.2">
      <c r="A339" s="710"/>
      <c r="B339" s="710"/>
      <c r="C339" s="710"/>
      <c r="D339" s="710"/>
      <c r="E339" s="710"/>
      <c r="F339" s="710"/>
      <c r="G339" s="710"/>
      <c r="H339" s="710"/>
      <c r="I339" s="710"/>
      <c r="J339" s="710"/>
      <c r="K339" s="710"/>
      <c r="L339" s="710"/>
      <c r="M339" s="710"/>
      <c r="N339" s="710"/>
      <c r="O339" s="711"/>
      <c r="P339" s="707" t="s">
        <v>40</v>
      </c>
      <c r="Q339" s="708"/>
      <c r="R339" s="708"/>
      <c r="S339" s="708"/>
      <c r="T339" s="708"/>
      <c r="U339" s="708"/>
      <c r="V339" s="709"/>
      <c r="W339" s="40" t="s">
        <v>0</v>
      </c>
      <c r="X339" s="41">
        <f>IFERROR(SUM(X335:X337),"0")</f>
        <v>0</v>
      </c>
      <c r="Y339" s="41">
        <f>IFERROR(SUM(Y335:Y337),"0")</f>
        <v>0</v>
      </c>
      <c r="Z339" s="40"/>
      <c r="AA339" s="64"/>
      <c r="AB339" s="64"/>
      <c r="AC339" s="64"/>
    </row>
    <row r="340" spans="1:68" ht="16.5" customHeight="1" x14ac:dyDescent="0.25">
      <c r="A340" s="700" t="s">
        <v>573</v>
      </c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  <c r="AA340" s="62"/>
      <c r="AB340" s="62"/>
      <c r="AC340" s="62"/>
    </row>
    <row r="341" spans="1:68" ht="14.25" customHeight="1" x14ac:dyDescent="0.25">
      <c r="A341" s="701" t="s">
        <v>77</v>
      </c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  <c r="AA341" s="63"/>
      <c r="AB341" s="63"/>
      <c r="AC341" s="63"/>
    </row>
    <row r="342" spans="1:68" ht="27" customHeight="1" x14ac:dyDescent="0.25">
      <c r="A342" s="60" t="s">
        <v>574</v>
      </c>
      <c r="B342" s="60" t="s">
        <v>575</v>
      </c>
      <c r="C342" s="34">
        <v>4301031445</v>
      </c>
      <c r="D342" s="702">
        <v>4680115888319</v>
      </c>
      <c r="E342" s="702"/>
      <c r="F342" s="59">
        <v>0.35</v>
      </c>
      <c r="G342" s="35">
        <v>6</v>
      </c>
      <c r="H342" s="59">
        <v>2.1</v>
      </c>
      <c r="I342" s="59">
        <v>2.23</v>
      </c>
      <c r="J342" s="35">
        <v>234</v>
      </c>
      <c r="K342" s="35" t="s">
        <v>82</v>
      </c>
      <c r="L342" s="35" t="s">
        <v>46</v>
      </c>
      <c r="M342" s="36" t="s">
        <v>81</v>
      </c>
      <c r="N342" s="36"/>
      <c r="O342" s="35">
        <v>45</v>
      </c>
      <c r="P342" s="883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42" s="704"/>
      <c r="R342" s="704"/>
      <c r="S342" s="704"/>
      <c r="T342" s="705"/>
      <c r="U342" s="37" t="s">
        <v>46</v>
      </c>
      <c r="V342" s="37" t="s">
        <v>46</v>
      </c>
      <c r="W342" s="38" t="s">
        <v>0</v>
      </c>
      <c r="X342" s="56">
        <v>0</v>
      </c>
      <c r="Y342" s="53">
        <f>IFERROR(IF(X342="",0,CEILING((X342/$H342),1)*$H342),"")</f>
        <v>0</v>
      </c>
      <c r="Z342" s="39" t="str">
        <f>IFERROR(IF(Y342=0,"",ROUNDUP(Y342/H342,0)*0.00502),"")</f>
        <v/>
      </c>
      <c r="AA342" s="65" t="s">
        <v>46</v>
      </c>
      <c r="AB342" s="66" t="s">
        <v>46</v>
      </c>
      <c r="AC342" s="427" t="s">
        <v>408</v>
      </c>
      <c r="AG342" s="75"/>
      <c r="AJ342" s="79" t="s">
        <v>46</v>
      </c>
      <c r="AK342" s="79">
        <v>0</v>
      </c>
      <c r="BB342" s="428" t="s">
        <v>67</v>
      </c>
      <c r="BM342" s="75">
        <f>IFERROR(X342*I342/H342,"0")</f>
        <v>0</v>
      </c>
      <c r="BN342" s="75">
        <f>IFERROR(Y342*I342/H342,"0")</f>
        <v>0</v>
      </c>
      <c r="BO342" s="75">
        <f>IFERROR(1/J342*(X342/H342),"0")</f>
        <v>0</v>
      </c>
      <c r="BP342" s="75">
        <f>IFERROR(1/J342*(Y342/H342),"0")</f>
        <v>0</v>
      </c>
    </row>
    <row r="343" spans="1:68" ht="27" customHeight="1" x14ac:dyDescent="0.25">
      <c r="A343" s="60" t="s">
        <v>576</v>
      </c>
      <c r="B343" s="60" t="s">
        <v>577</v>
      </c>
      <c r="C343" s="34">
        <v>4301031502</v>
      </c>
      <c r="D343" s="702">
        <v>4680115884700</v>
      </c>
      <c r="E343" s="702"/>
      <c r="F343" s="59">
        <v>0.57999999999999996</v>
      </c>
      <c r="G343" s="35">
        <v>4</v>
      </c>
      <c r="H343" s="59">
        <v>2.3199999999999998</v>
      </c>
      <c r="I343" s="59">
        <v>2.42</v>
      </c>
      <c r="J343" s="35">
        <v>234</v>
      </c>
      <c r="K343" s="35" t="s">
        <v>82</v>
      </c>
      <c r="L343" s="35" t="s">
        <v>46</v>
      </c>
      <c r="M343" s="36" t="s">
        <v>81</v>
      </c>
      <c r="N343" s="36"/>
      <c r="O343" s="35">
        <v>40</v>
      </c>
      <c r="P343" s="884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43" s="704"/>
      <c r="R343" s="704"/>
      <c r="S343" s="704"/>
      <c r="T343" s="705"/>
      <c r="U343" s="37" t="s">
        <v>46</v>
      </c>
      <c r="V343" s="37" t="s">
        <v>46</v>
      </c>
      <c r="W343" s="38" t="s">
        <v>0</v>
      </c>
      <c r="X343" s="56">
        <v>0</v>
      </c>
      <c r="Y343" s="53">
        <f>IFERROR(IF(X343="",0,CEILING((X343/$H343),1)*$H343),"")</f>
        <v>0</v>
      </c>
      <c r="Z343" s="39" t="str">
        <f>IFERROR(IF(Y343=0,"",ROUNDUP(Y343/H343,0)*0.00502),"")</f>
        <v/>
      </c>
      <c r="AA343" s="65" t="s">
        <v>46</v>
      </c>
      <c r="AB343" s="66" t="s">
        <v>46</v>
      </c>
      <c r="AC343" s="429" t="s">
        <v>578</v>
      </c>
      <c r="AG343" s="75"/>
      <c r="AJ343" s="79" t="s">
        <v>46</v>
      </c>
      <c r="AK343" s="79">
        <v>0</v>
      </c>
      <c r="BB343" s="430" t="s">
        <v>67</v>
      </c>
      <c r="BM343" s="75">
        <f>IFERROR(X343*I343/H343,"0")</f>
        <v>0</v>
      </c>
      <c r="BN343" s="75">
        <f>IFERROR(Y343*I343/H343,"0")</f>
        <v>0</v>
      </c>
      <c r="BO343" s="75">
        <f>IFERROR(1/J343*(X343/H343),"0")</f>
        <v>0</v>
      </c>
      <c r="BP343" s="75">
        <f>IFERROR(1/J343*(Y343/H343),"0")</f>
        <v>0</v>
      </c>
    </row>
    <row r="344" spans="1:68" ht="27" customHeight="1" x14ac:dyDescent="0.25">
      <c r="A344" s="60" t="s">
        <v>579</v>
      </c>
      <c r="B344" s="60" t="s">
        <v>580</v>
      </c>
      <c r="C344" s="34">
        <v>4301031307</v>
      </c>
      <c r="D344" s="702">
        <v>4680115880344</v>
      </c>
      <c r="E344" s="702"/>
      <c r="F344" s="59">
        <v>0.28000000000000003</v>
      </c>
      <c r="G344" s="35">
        <v>6</v>
      </c>
      <c r="H344" s="59">
        <v>1.68</v>
      </c>
      <c r="I344" s="59">
        <v>1.78</v>
      </c>
      <c r="J344" s="35">
        <v>234</v>
      </c>
      <c r="K344" s="35" t="s">
        <v>82</v>
      </c>
      <c r="L344" s="35" t="s">
        <v>46</v>
      </c>
      <c r="M344" s="36" t="s">
        <v>81</v>
      </c>
      <c r="N344" s="36"/>
      <c r="O344" s="35">
        <v>40</v>
      </c>
      <c r="P344" s="885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44" s="704"/>
      <c r="R344" s="704"/>
      <c r="S344" s="704"/>
      <c r="T344" s="705"/>
      <c r="U344" s="37" t="s">
        <v>46</v>
      </c>
      <c r="V344" s="37" t="s">
        <v>46</v>
      </c>
      <c r="W344" s="38" t="s">
        <v>0</v>
      </c>
      <c r="X344" s="56">
        <v>0</v>
      </c>
      <c r="Y344" s="53">
        <f>IFERROR(IF(X344="",0,CEILING((X344/$H344),1)*$H344),"")</f>
        <v>0</v>
      </c>
      <c r="Z344" s="39" t="str">
        <f>IFERROR(IF(Y344=0,"",ROUNDUP(Y344/H344,0)*0.00502),"")</f>
        <v/>
      </c>
      <c r="AA344" s="65" t="s">
        <v>46</v>
      </c>
      <c r="AB344" s="66" t="s">
        <v>46</v>
      </c>
      <c r="AC344" s="431" t="s">
        <v>581</v>
      </c>
      <c r="AG344" s="75"/>
      <c r="AJ344" s="79" t="s">
        <v>46</v>
      </c>
      <c r="AK344" s="79">
        <v>0</v>
      </c>
      <c r="BB344" s="432" t="s">
        <v>67</v>
      </c>
      <c r="BM344" s="75">
        <f>IFERROR(X344*I344/H344,"0")</f>
        <v>0</v>
      </c>
      <c r="BN344" s="75">
        <f>IFERROR(Y344*I344/H344,"0")</f>
        <v>0</v>
      </c>
      <c r="BO344" s="75">
        <f>IFERROR(1/J344*(X344/H344),"0")</f>
        <v>0</v>
      </c>
      <c r="BP344" s="75">
        <f>IFERROR(1/J344*(Y344/H344),"0")</f>
        <v>0</v>
      </c>
    </row>
    <row r="345" spans="1:68" ht="27" customHeight="1" x14ac:dyDescent="0.25">
      <c r="A345" s="60" t="s">
        <v>582</v>
      </c>
      <c r="B345" s="60" t="s">
        <v>583</v>
      </c>
      <c r="C345" s="34">
        <v>4301031501</v>
      </c>
      <c r="D345" s="702">
        <v>4680115886919</v>
      </c>
      <c r="E345" s="702"/>
      <c r="F345" s="59">
        <v>0.4</v>
      </c>
      <c r="G345" s="35">
        <v>6</v>
      </c>
      <c r="H345" s="59">
        <v>2.4</v>
      </c>
      <c r="I345" s="59">
        <v>2.58</v>
      </c>
      <c r="J345" s="35">
        <v>182</v>
      </c>
      <c r="K345" s="35" t="s">
        <v>91</v>
      </c>
      <c r="L345" s="35" t="s">
        <v>46</v>
      </c>
      <c r="M345" s="36" t="s">
        <v>81</v>
      </c>
      <c r="N345" s="36"/>
      <c r="O345" s="35">
        <v>40</v>
      </c>
      <c r="P345" s="886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45" s="704"/>
      <c r="R345" s="704"/>
      <c r="S345" s="704"/>
      <c r="T345" s="705"/>
      <c r="U345" s="37" t="s">
        <v>46</v>
      </c>
      <c r="V345" s="37" t="s">
        <v>46</v>
      </c>
      <c r="W345" s="38" t="s">
        <v>0</v>
      </c>
      <c r="X345" s="56">
        <v>0</v>
      </c>
      <c r="Y345" s="53">
        <f>IFERROR(IF(X345="",0,CEILING((X345/$H345),1)*$H345),"")</f>
        <v>0</v>
      </c>
      <c r="Z345" s="39" t="str">
        <f>IFERROR(IF(Y345=0,"",ROUNDUP(Y345/H345,0)*0.00651),"")</f>
        <v/>
      </c>
      <c r="AA345" s="65" t="s">
        <v>46</v>
      </c>
      <c r="AB345" s="66" t="s">
        <v>46</v>
      </c>
      <c r="AC345" s="433" t="s">
        <v>584</v>
      </c>
      <c r="AG345" s="75"/>
      <c r="AJ345" s="79" t="s">
        <v>46</v>
      </c>
      <c r="AK345" s="79">
        <v>0</v>
      </c>
      <c r="BB345" s="434" t="s">
        <v>67</v>
      </c>
      <c r="BM345" s="75">
        <f>IFERROR(X345*I345/H345,"0")</f>
        <v>0</v>
      </c>
      <c r="BN345" s="75">
        <f>IFERROR(Y345*I345/H345,"0")</f>
        <v>0</v>
      </c>
      <c r="BO345" s="75">
        <f>IFERROR(1/J345*(X345/H345),"0")</f>
        <v>0</v>
      </c>
      <c r="BP345" s="75">
        <f>IFERROR(1/J345*(Y345/H345),"0")</f>
        <v>0</v>
      </c>
    </row>
    <row r="346" spans="1:68" ht="27" customHeight="1" x14ac:dyDescent="0.25">
      <c r="A346" s="60" t="s">
        <v>585</v>
      </c>
      <c r="B346" s="60" t="s">
        <v>586</v>
      </c>
      <c r="C346" s="34">
        <v>4301031246</v>
      </c>
      <c r="D346" s="702">
        <v>4680115883970</v>
      </c>
      <c r="E346" s="702"/>
      <c r="F346" s="59">
        <v>0.28000000000000003</v>
      </c>
      <c r="G346" s="35">
        <v>6</v>
      </c>
      <c r="H346" s="59">
        <v>1.68</v>
      </c>
      <c r="I346" s="59">
        <v>2.5</v>
      </c>
      <c r="J346" s="35">
        <v>234</v>
      </c>
      <c r="K346" s="35" t="s">
        <v>82</v>
      </c>
      <c r="L346" s="35" t="s">
        <v>46</v>
      </c>
      <c r="M346" s="36" t="s">
        <v>81</v>
      </c>
      <c r="N346" s="36"/>
      <c r="O346" s="35">
        <v>40</v>
      </c>
      <c r="P346" s="887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46" s="704"/>
      <c r="R346" s="704"/>
      <c r="S346" s="704"/>
      <c r="T346" s="705"/>
      <c r="U346" s="37" t="s">
        <v>46</v>
      </c>
      <c r="V346" s="37" t="s">
        <v>46</v>
      </c>
      <c r="W346" s="38" t="s">
        <v>0</v>
      </c>
      <c r="X346" s="56">
        <v>0</v>
      </c>
      <c r="Y346" s="53">
        <f>IFERROR(IF(X346="",0,CEILING((X346/$H346),1)*$H346),"")</f>
        <v>0</v>
      </c>
      <c r="Z346" s="39" t="str">
        <f>IFERROR(IF(Y346=0,"",ROUNDUP(Y346/H346,0)*0.00502),"")</f>
        <v/>
      </c>
      <c r="AA346" s="65" t="s">
        <v>46</v>
      </c>
      <c r="AB346" s="66" t="s">
        <v>46</v>
      </c>
      <c r="AC346" s="435" t="s">
        <v>587</v>
      </c>
      <c r="AG346" s="75"/>
      <c r="AJ346" s="79" t="s">
        <v>46</v>
      </c>
      <c r="AK346" s="79">
        <v>0</v>
      </c>
      <c r="BB346" s="436" t="s">
        <v>67</v>
      </c>
      <c r="BM346" s="75">
        <f>IFERROR(X346*I346/H346,"0")</f>
        <v>0</v>
      </c>
      <c r="BN346" s="75">
        <f>IFERROR(Y346*I346/H346,"0")</f>
        <v>0</v>
      </c>
      <c r="BO346" s="75">
        <f>IFERROR(1/J346*(X346/H346),"0")</f>
        <v>0</v>
      </c>
      <c r="BP346" s="75">
        <f>IFERROR(1/J346*(Y346/H346),"0")</f>
        <v>0</v>
      </c>
    </row>
    <row r="347" spans="1:68" x14ac:dyDescent="0.2">
      <c r="A347" s="710"/>
      <c r="B347" s="710"/>
      <c r="C347" s="710"/>
      <c r="D347" s="710"/>
      <c r="E347" s="710"/>
      <c r="F347" s="710"/>
      <c r="G347" s="710"/>
      <c r="H347" s="710"/>
      <c r="I347" s="710"/>
      <c r="J347" s="710"/>
      <c r="K347" s="710"/>
      <c r="L347" s="710"/>
      <c r="M347" s="710"/>
      <c r="N347" s="710"/>
      <c r="O347" s="711"/>
      <c r="P347" s="707" t="s">
        <v>40</v>
      </c>
      <c r="Q347" s="708"/>
      <c r="R347" s="708"/>
      <c r="S347" s="708"/>
      <c r="T347" s="708"/>
      <c r="U347" s="708"/>
      <c r="V347" s="709"/>
      <c r="W347" s="40" t="s">
        <v>39</v>
      </c>
      <c r="X347" s="41">
        <f>IFERROR(X342/H342,"0")+IFERROR(X343/H343,"0")+IFERROR(X344/H344,"0")+IFERROR(X345/H345,"0")+IFERROR(X346/H346,"0")</f>
        <v>0</v>
      </c>
      <c r="Y347" s="41">
        <f>IFERROR(Y342/H342,"0")+IFERROR(Y343/H343,"0")+IFERROR(Y344/H344,"0")+IFERROR(Y345/H345,"0")+IFERROR(Y346/H346,"0")</f>
        <v>0</v>
      </c>
      <c r="Z347" s="41">
        <f>IFERROR(IF(Z342="",0,Z342),"0")+IFERROR(IF(Z343="",0,Z343),"0")+IFERROR(IF(Z344="",0,Z344),"0")+IFERROR(IF(Z345="",0,Z345),"0")+IFERROR(IF(Z346="",0,Z346),"0")</f>
        <v>0</v>
      </c>
      <c r="AA347" s="64"/>
      <c r="AB347" s="64"/>
      <c r="AC347" s="64"/>
    </row>
    <row r="348" spans="1:68" x14ac:dyDescent="0.2">
      <c r="A348" s="710"/>
      <c r="B348" s="710"/>
      <c r="C348" s="710"/>
      <c r="D348" s="710"/>
      <c r="E348" s="710"/>
      <c r="F348" s="710"/>
      <c r="G348" s="710"/>
      <c r="H348" s="710"/>
      <c r="I348" s="710"/>
      <c r="J348" s="710"/>
      <c r="K348" s="710"/>
      <c r="L348" s="710"/>
      <c r="M348" s="710"/>
      <c r="N348" s="710"/>
      <c r="O348" s="711"/>
      <c r="P348" s="707" t="s">
        <v>40</v>
      </c>
      <c r="Q348" s="708"/>
      <c r="R348" s="708"/>
      <c r="S348" s="708"/>
      <c r="T348" s="708"/>
      <c r="U348" s="708"/>
      <c r="V348" s="709"/>
      <c r="W348" s="40" t="s">
        <v>0</v>
      </c>
      <c r="X348" s="41">
        <f>IFERROR(SUM(X342:X346),"0")</f>
        <v>0</v>
      </c>
      <c r="Y348" s="41">
        <f>IFERROR(SUM(Y342:Y346),"0")</f>
        <v>0</v>
      </c>
      <c r="Z348" s="40"/>
      <c r="AA348" s="64"/>
      <c r="AB348" s="64"/>
      <c r="AC348" s="64"/>
    </row>
    <row r="349" spans="1:68" ht="14.25" customHeight="1" x14ac:dyDescent="0.25">
      <c r="A349" s="701" t="s">
        <v>86</v>
      </c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  <c r="AA349" s="63"/>
      <c r="AB349" s="63"/>
      <c r="AC349" s="63"/>
    </row>
    <row r="350" spans="1:68" ht="27" customHeight="1" x14ac:dyDescent="0.25">
      <c r="A350" s="60" t="s">
        <v>588</v>
      </c>
      <c r="B350" s="60" t="s">
        <v>589</v>
      </c>
      <c r="C350" s="34">
        <v>4301051782</v>
      </c>
      <c r="D350" s="702">
        <v>4680115884618</v>
      </c>
      <c r="E350" s="702"/>
      <c r="F350" s="59">
        <v>0.6</v>
      </c>
      <c r="G350" s="35">
        <v>6</v>
      </c>
      <c r="H350" s="59">
        <v>3.6</v>
      </c>
      <c r="I350" s="59">
        <v>3.79</v>
      </c>
      <c r="J350" s="35">
        <v>132</v>
      </c>
      <c r="K350" s="35" t="s">
        <v>140</v>
      </c>
      <c r="L350" s="35" t="s">
        <v>46</v>
      </c>
      <c r="M350" s="36" t="s">
        <v>90</v>
      </c>
      <c r="N350" s="36"/>
      <c r="O350" s="35">
        <v>45</v>
      </c>
      <c r="P350" s="888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50" s="704"/>
      <c r="R350" s="704"/>
      <c r="S350" s="704"/>
      <c r="T350" s="705"/>
      <c r="U350" s="37" t="s">
        <v>46</v>
      </c>
      <c r="V350" s="37" t="s">
        <v>46</v>
      </c>
      <c r="W350" s="38" t="s">
        <v>0</v>
      </c>
      <c r="X350" s="56">
        <v>0</v>
      </c>
      <c r="Y350" s="53">
        <f>IFERROR(IF(X350="",0,CEILING((X350/$H350),1)*$H350),"")</f>
        <v>0</v>
      </c>
      <c r="Z350" s="39" t="str">
        <f>IFERROR(IF(Y350=0,"",ROUNDUP(Y350/H350,0)*0.00902),"")</f>
        <v/>
      </c>
      <c r="AA350" s="65" t="s">
        <v>46</v>
      </c>
      <c r="AB350" s="66" t="s">
        <v>46</v>
      </c>
      <c r="AC350" s="437" t="s">
        <v>590</v>
      </c>
      <c r="AG350" s="75"/>
      <c r="AJ350" s="79" t="s">
        <v>46</v>
      </c>
      <c r="AK350" s="79">
        <v>0</v>
      </c>
      <c r="BB350" s="438" t="s">
        <v>67</v>
      </c>
      <c r="BM350" s="75">
        <f>IFERROR(X350*I350/H350,"0")</f>
        <v>0</v>
      </c>
      <c r="BN350" s="75">
        <f>IFERROR(Y350*I350/H350,"0")</f>
        <v>0</v>
      </c>
      <c r="BO350" s="75">
        <f>IFERROR(1/J350*(X350/H350),"0")</f>
        <v>0</v>
      </c>
      <c r="BP350" s="75">
        <f>IFERROR(1/J350*(Y350/H350),"0")</f>
        <v>0</v>
      </c>
    </row>
    <row r="351" spans="1:68" ht="27" customHeight="1" x14ac:dyDescent="0.25">
      <c r="A351" s="60" t="s">
        <v>591</v>
      </c>
      <c r="B351" s="60" t="s">
        <v>592</v>
      </c>
      <c r="C351" s="34">
        <v>4301052057</v>
      </c>
      <c r="D351" s="702">
        <v>4680115887114</v>
      </c>
      <c r="E351" s="702"/>
      <c r="F351" s="59">
        <v>0.55000000000000004</v>
      </c>
      <c r="G351" s="35">
        <v>6</v>
      </c>
      <c r="H351" s="59">
        <v>3.3</v>
      </c>
      <c r="I351" s="59">
        <v>3.49</v>
      </c>
      <c r="J351" s="35">
        <v>132</v>
      </c>
      <c r="K351" s="35" t="s">
        <v>140</v>
      </c>
      <c r="L351" s="35" t="s">
        <v>46</v>
      </c>
      <c r="M351" s="36" t="s">
        <v>90</v>
      </c>
      <c r="N351" s="36"/>
      <c r="O351" s="35">
        <v>45</v>
      </c>
      <c r="P351" s="889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51" s="704"/>
      <c r="R351" s="704"/>
      <c r="S351" s="704"/>
      <c r="T351" s="705"/>
      <c r="U351" s="37" t="s">
        <v>46</v>
      </c>
      <c r="V351" s="37" t="s">
        <v>46</v>
      </c>
      <c r="W351" s="38" t="s">
        <v>0</v>
      </c>
      <c r="X351" s="56">
        <v>0</v>
      </c>
      <c r="Y351" s="53">
        <f>IFERROR(IF(X351="",0,CEILING((X351/$H351),1)*$H351),"")</f>
        <v>0</v>
      </c>
      <c r="Z351" s="39" t="str">
        <f>IFERROR(IF(Y351=0,"",ROUNDUP(Y351/H351,0)*0.00902),"")</f>
        <v/>
      </c>
      <c r="AA351" s="65" t="s">
        <v>46</v>
      </c>
      <c r="AB351" s="66" t="s">
        <v>46</v>
      </c>
      <c r="AC351" s="439" t="s">
        <v>593</v>
      </c>
      <c r="AG351" s="75"/>
      <c r="AJ351" s="79" t="s">
        <v>46</v>
      </c>
      <c r="AK351" s="79">
        <v>0</v>
      </c>
      <c r="BB351" s="440" t="s">
        <v>67</v>
      </c>
      <c r="BM351" s="75">
        <f>IFERROR(X351*I351/H351,"0")</f>
        <v>0</v>
      </c>
      <c r="BN351" s="75">
        <f>IFERROR(Y351*I351/H351,"0")</f>
        <v>0</v>
      </c>
      <c r="BO351" s="75">
        <f>IFERROR(1/J351*(X351/H351),"0")</f>
        <v>0</v>
      </c>
      <c r="BP351" s="75">
        <f>IFERROR(1/J351*(Y351/H351),"0")</f>
        <v>0</v>
      </c>
    </row>
    <row r="352" spans="1:68" x14ac:dyDescent="0.2">
      <c r="A352" s="710"/>
      <c r="B352" s="710"/>
      <c r="C352" s="710"/>
      <c r="D352" s="710"/>
      <c r="E352" s="710"/>
      <c r="F352" s="710"/>
      <c r="G352" s="710"/>
      <c r="H352" s="710"/>
      <c r="I352" s="710"/>
      <c r="J352" s="710"/>
      <c r="K352" s="710"/>
      <c r="L352" s="710"/>
      <c r="M352" s="710"/>
      <c r="N352" s="710"/>
      <c r="O352" s="711"/>
      <c r="P352" s="707" t="s">
        <v>40</v>
      </c>
      <c r="Q352" s="708"/>
      <c r="R352" s="708"/>
      <c r="S352" s="708"/>
      <c r="T352" s="708"/>
      <c r="U352" s="708"/>
      <c r="V352" s="709"/>
      <c r="W352" s="40" t="s">
        <v>39</v>
      </c>
      <c r="X352" s="41">
        <f>IFERROR(X350/H350,"0")+IFERROR(X351/H351,"0")</f>
        <v>0</v>
      </c>
      <c r="Y352" s="41">
        <f>IFERROR(Y350/H350,"0")+IFERROR(Y351/H351,"0")</f>
        <v>0</v>
      </c>
      <c r="Z352" s="41">
        <f>IFERROR(IF(Z350="",0,Z350),"0")+IFERROR(IF(Z351="",0,Z351),"0")</f>
        <v>0</v>
      </c>
      <c r="AA352" s="64"/>
      <c r="AB352" s="64"/>
      <c r="AC352" s="64"/>
    </row>
    <row r="353" spans="1:68" x14ac:dyDescent="0.2">
      <c r="A353" s="710"/>
      <c r="B353" s="710"/>
      <c r="C353" s="710"/>
      <c r="D353" s="710"/>
      <c r="E353" s="710"/>
      <c r="F353" s="710"/>
      <c r="G353" s="710"/>
      <c r="H353" s="710"/>
      <c r="I353" s="710"/>
      <c r="J353" s="710"/>
      <c r="K353" s="710"/>
      <c r="L353" s="710"/>
      <c r="M353" s="710"/>
      <c r="N353" s="710"/>
      <c r="O353" s="711"/>
      <c r="P353" s="707" t="s">
        <v>40</v>
      </c>
      <c r="Q353" s="708"/>
      <c r="R353" s="708"/>
      <c r="S353" s="708"/>
      <c r="T353" s="708"/>
      <c r="U353" s="708"/>
      <c r="V353" s="709"/>
      <c r="W353" s="40" t="s">
        <v>0</v>
      </c>
      <c r="X353" s="41">
        <f>IFERROR(SUM(X350:X351),"0")</f>
        <v>0</v>
      </c>
      <c r="Y353" s="41">
        <f>IFERROR(SUM(Y350:Y351),"0")</f>
        <v>0</v>
      </c>
      <c r="Z353" s="40"/>
      <c r="AA353" s="64"/>
      <c r="AB353" s="64"/>
      <c r="AC353" s="64"/>
    </row>
    <row r="354" spans="1:68" ht="16.5" customHeight="1" x14ac:dyDescent="0.25">
      <c r="A354" s="700" t="s">
        <v>594</v>
      </c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  <c r="AA354" s="62"/>
      <c r="AB354" s="62"/>
      <c r="AC354" s="62"/>
    </row>
    <row r="355" spans="1:68" ht="14.25" customHeight="1" x14ac:dyDescent="0.25">
      <c r="A355" s="701" t="s">
        <v>128</v>
      </c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  <c r="AA355" s="63"/>
      <c r="AB355" s="63"/>
      <c r="AC355" s="63"/>
    </row>
    <row r="356" spans="1:68" ht="27" customHeight="1" x14ac:dyDescent="0.25">
      <c r="A356" s="60" t="s">
        <v>595</v>
      </c>
      <c r="B356" s="60" t="s">
        <v>596</v>
      </c>
      <c r="C356" s="34">
        <v>4301012324</v>
      </c>
      <c r="D356" s="702">
        <v>4680115887947</v>
      </c>
      <c r="E356" s="702"/>
      <c r="F356" s="59">
        <v>1.3</v>
      </c>
      <c r="G356" s="35">
        <v>6</v>
      </c>
      <c r="H356" s="59">
        <v>7.8</v>
      </c>
      <c r="I356" s="59">
        <v>8.2100000000000009</v>
      </c>
      <c r="J356" s="35">
        <v>64</v>
      </c>
      <c r="K356" s="35" t="s">
        <v>133</v>
      </c>
      <c r="L356" s="35" t="s">
        <v>46</v>
      </c>
      <c r="M356" s="36" t="s">
        <v>90</v>
      </c>
      <c r="N356" s="36"/>
      <c r="O356" s="35">
        <v>60</v>
      </c>
      <c r="P356" s="890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56" s="704"/>
      <c r="R356" s="704"/>
      <c r="S356" s="704"/>
      <c r="T356" s="705"/>
      <c r="U356" s="37" t="s">
        <v>46</v>
      </c>
      <c r="V356" s="37" t="s">
        <v>46</v>
      </c>
      <c r="W356" s="38" t="s">
        <v>0</v>
      </c>
      <c r="X356" s="56">
        <v>0</v>
      </c>
      <c r="Y356" s="53">
        <f>IFERROR(IF(X356="",0,CEILING((X356/$H356),1)*$H356),"")</f>
        <v>0</v>
      </c>
      <c r="Z356" s="39" t="str">
        <f>IFERROR(IF(Y356=0,"",ROUNDUP(Y356/H356,0)*0.01898),"")</f>
        <v/>
      </c>
      <c r="AA356" s="65" t="s">
        <v>46</v>
      </c>
      <c r="AB356" s="66" t="s">
        <v>46</v>
      </c>
      <c r="AC356" s="441" t="s">
        <v>367</v>
      </c>
      <c r="AG356" s="75"/>
      <c r="AJ356" s="79" t="s">
        <v>46</v>
      </c>
      <c r="AK356" s="79">
        <v>0</v>
      </c>
      <c r="BB356" s="442" t="s">
        <v>67</v>
      </c>
      <c r="BM356" s="75">
        <f>IFERROR(X356*I356/H356,"0")</f>
        <v>0</v>
      </c>
      <c r="BN356" s="75">
        <f>IFERROR(Y356*I356/H356,"0")</f>
        <v>0</v>
      </c>
      <c r="BO356" s="75">
        <f>IFERROR(1/J356*(X356/H356),"0")</f>
        <v>0</v>
      </c>
      <c r="BP356" s="75">
        <f>IFERROR(1/J356*(Y356/H356),"0")</f>
        <v>0</v>
      </c>
    </row>
    <row r="357" spans="1:68" ht="27" customHeight="1" x14ac:dyDescent="0.25">
      <c r="A357" s="60" t="s">
        <v>597</v>
      </c>
      <c r="B357" s="60" t="s">
        <v>598</v>
      </c>
      <c r="C357" s="34">
        <v>4301012325</v>
      </c>
      <c r="D357" s="702">
        <v>4680115887978</v>
      </c>
      <c r="E357" s="702"/>
      <c r="F357" s="59">
        <v>1.3</v>
      </c>
      <c r="G357" s="35">
        <v>6</v>
      </c>
      <c r="H357" s="59">
        <v>7.8</v>
      </c>
      <c r="I357" s="59">
        <v>8.2100000000000009</v>
      </c>
      <c r="J357" s="35">
        <v>64</v>
      </c>
      <c r="K357" s="35" t="s">
        <v>133</v>
      </c>
      <c r="L357" s="35" t="s">
        <v>46</v>
      </c>
      <c r="M357" s="36" t="s">
        <v>90</v>
      </c>
      <c r="N357" s="36"/>
      <c r="O357" s="35">
        <v>60</v>
      </c>
      <c r="P357" s="891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57" s="704"/>
      <c r="R357" s="704"/>
      <c r="S357" s="704"/>
      <c r="T357" s="705"/>
      <c r="U357" s="37" t="s">
        <v>46</v>
      </c>
      <c r="V357" s="37" t="s">
        <v>46</v>
      </c>
      <c r="W357" s="38" t="s">
        <v>0</v>
      </c>
      <c r="X357" s="56">
        <v>0</v>
      </c>
      <c r="Y357" s="53">
        <f>IFERROR(IF(X357="",0,CEILING((X357/$H357),1)*$H357),"")</f>
        <v>0</v>
      </c>
      <c r="Z357" s="39" t="str">
        <f>IFERROR(IF(Y357=0,"",ROUNDUP(Y357/H357,0)*0.01898),"")</f>
        <v/>
      </c>
      <c r="AA357" s="65" t="s">
        <v>46</v>
      </c>
      <c r="AB357" s="66" t="s">
        <v>46</v>
      </c>
      <c r="AC357" s="443" t="s">
        <v>599</v>
      </c>
      <c r="AG357" s="75"/>
      <c r="AJ357" s="79" t="s">
        <v>46</v>
      </c>
      <c r="AK357" s="79">
        <v>0</v>
      </c>
      <c r="BB357" s="444" t="s">
        <v>67</v>
      </c>
      <c r="BM357" s="75">
        <f>IFERROR(X357*I357/H357,"0")</f>
        <v>0</v>
      </c>
      <c r="BN357" s="75">
        <f>IFERROR(Y357*I357/H357,"0")</f>
        <v>0</v>
      </c>
      <c r="BO357" s="75">
        <f>IFERROR(1/J357*(X357/H357),"0")</f>
        <v>0</v>
      </c>
      <c r="BP357" s="75">
        <f>IFERROR(1/J357*(Y357/H357),"0")</f>
        <v>0</v>
      </c>
    </row>
    <row r="358" spans="1:68" ht="27" customHeight="1" x14ac:dyDescent="0.25">
      <c r="A358" s="60" t="s">
        <v>600</v>
      </c>
      <c r="B358" s="60" t="s">
        <v>601</v>
      </c>
      <c r="C358" s="34">
        <v>4301012327</v>
      </c>
      <c r="D358" s="702">
        <v>4680115887992</v>
      </c>
      <c r="E358" s="702"/>
      <c r="F358" s="59">
        <v>1.3</v>
      </c>
      <c r="G358" s="35">
        <v>6</v>
      </c>
      <c r="H358" s="59">
        <v>7.8</v>
      </c>
      <c r="I358" s="59">
        <v>8.2100000000000009</v>
      </c>
      <c r="J358" s="35">
        <v>64</v>
      </c>
      <c r="K358" s="35" t="s">
        <v>133</v>
      </c>
      <c r="L358" s="35" t="s">
        <v>46</v>
      </c>
      <c r="M358" s="36" t="s">
        <v>90</v>
      </c>
      <c r="N358" s="36"/>
      <c r="O358" s="35">
        <v>60</v>
      </c>
      <c r="P358" s="892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58" s="704"/>
      <c r="R358" s="704"/>
      <c r="S358" s="704"/>
      <c r="T358" s="705"/>
      <c r="U358" s="37" t="s">
        <v>46</v>
      </c>
      <c r="V358" s="37" t="s">
        <v>46</v>
      </c>
      <c r="W358" s="38" t="s">
        <v>0</v>
      </c>
      <c r="X358" s="56">
        <v>0</v>
      </c>
      <c r="Y358" s="53">
        <f>IFERROR(IF(X358="",0,CEILING((X358/$H358),1)*$H358),"")</f>
        <v>0</v>
      </c>
      <c r="Z358" s="39" t="str">
        <f>IFERROR(IF(Y358=0,"",ROUNDUP(Y358/H358,0)*0.01898),"")</f>
        <v/>
      </c>
      <c r="AA358" s="65" t="s">
        <v>46</v>
      </c>
      <c r="AB358" s="66" t="s">
        <v>46</v>
      </c>
      <c r="AC358" s="445" t="s">
        <v>602</v>
      </c>
      <c r="AG358" s="75"/>
      <c r="AJ358" s="79" t="s">
        <v>46</v>
      </c>
      <c r="AK358" s="79">
        <v>0</v>
      </c>
      <c r="BB358" s="446" t="s">
        <v>67</v>
      </c>
      <c r="BM358" s="75">
        <f>IFERROR(X358*I358/H358,"0")</f>
        <v>0</v>
      </c>
      <c r="BN358" s="75">
        <f>IFERROR(Y358*I358/H358,"0")</f>
        <v>0</v>
      </c>
      <c r="BO358" s="75">
        <f>IFERROR(1/J358*(X358/H358),"0")</f>
        <v>0</v>
      </c>
      <c r="BP358" s="75">
        <f>IFERROR(1/J358*(Y358/H358),"0")</f>
        <v>0</v>
      </c>
    </row>
    <row r="359" spans="1:68" x14ac:dyDescent="0.2">
      <c r="A359" s="710"/>
      <c r="B359" s="710"/>
      <c r="C359" s="710"/>
      <c r="D359" s="710"/>
      <c r="E359" s="710"/>
      <c r="F359" s="710"/>
      <c r="G359" s="710"/>
      <c r="H359" s="710"/>
      <c r="I359" s="710"/>
      <c r="J359" s="710"/>
      <c r="K359" s="710"/>
      <c r="L359" s="710"/>
      <c r="M359" s="710"/>
      <c r="N359" s="710"/>
      <c r="O359" s="711"/>
      <c r="P359" s="707" t="s">
        <v>40</v>
      </c>
      <c r="Q359" s="708"/>
      <c r="R359" s="708"/>
      <c r="S359" s="708"/>
      <c r="T359" s="708"/>
      <c r="U359" s="708"/>
      <c r="V359" s="709"/>
      <c r="W359" s="40" t="s">
        <v>39</v>
      </c>
      <c r="X359" s="41">
        <f>IFERROR(X356/H356,"0")+IFERROR(X357/H357,"0")+IFERROR(X358/H358,"0")</f>
        <v>0</v>
      </c>
      <c r="Y359" s="41">
        <f>IFERROR(Y356/H356,"0")+IFERROR(Y357/H357,"0")+IFERROR(Y358/H358,"0")</f>
        <v>0</v>
      </c>
      <c r="Z359" s="41">
        <f>IFERROR(IF(Z356="",0,Z356),"0")+IFERROR(IF(Z357="",0,Z357),"0")+IFERROR(IF(Z358="",0,Z358),"0")</f>
        <v>0</v>
      </c>
      <c r="AA359" s="64"/>
      <c r="AB359" s="64"/>
      <c r="AC359" s="64"/>
    </row>
    <row r="360" spans="1:68" x14ac:dyDescent="0.2">
      <c r="A360" s="710"/>
      <c r="B360" s="710"/>
      <c r="C360" s="710"/>
      <c r="D360" s="710"/>
      <c r="E360" s="710"/>
      <c r="F360" s="710"/>
      <c r="G360" s="710"/>
      <c r="H360" s="710"/>
      <c r="I360" s="710"/>
      <c r="J360" s="710"/>
      <c r="K360" s="710"/>
      <c r="L360" s="710"/>
      <c r="M360" s="710"/>
      <c r="N360" s="710"/>
      <c r="O360" s="711"/>
      <c r="P360" s="707" t="s">
        <v>40</v>
      </c>
      <c r="Q360" s="708"/>
      <c r="R360" s="708"/>
      <c r="S360" s="708"/>
      <c r="T360" s="708"/>
      <c r="U360" s="708"/>
      <c r="V360" s="709"/>
      <c r="W360" s="40" t="s">
        <v>0</v>
      </c>
      <c r="X360" s="41">
        <f>IFERROR(SUM(X356:X358),"0")</f>
        <v>0</v>
      </c>
      <c r="Y360" s="41">
        <f>IFERROR(SUM(Y356:Y358),"0")</f>
        <v>0</v>
      </c>
      <c r="Z360" s="40"/>
      <c r="AA360" s="64"/>
      <c r="AB360" s="64"/>
      <c r="AC360" s="64"/>
    </row>
    <row r="361" spans="1:68" ht="16.5" customHeight="1" x14ac:dyDescent="0.25">
      <c r="A361" s="700" t="s">
        <v>603</v>
      </c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  <c r="AA361" s="62"/>
      <c r="AB361" s="62"/>
      <c r="AC361" s="62"/>
    </row>
    <row r="362" spans="1:68" ht="14.25" customHeight="1" x14ac:dyDescent="0.25">
      <c r="A362" s="701" t="s">
        <v>128</v>
      </c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  <c r="AA362" s="63"/>
      <c r="AB362" s="63"/>
      <c r="AC362" s="63"/>
    </row>
    <row r="363" spans="1:68" ht="27" customHeight="1" x14ac:dyDescent="0.25">
      <c r="A363" s="60" t="s">
        <v>604</v>
      </c>
      <c r="B363" s="60" t="s">
        <v>605</v>
      </c>
      <c r="C363" s="34">
        <v>4301012235</v>
      </c>
      <c r="D363" s="702">
        <v>4680115887190</v>
      </c>
      <c r="E363" s="702"/>
      <c r="F363" s="59">
        <v>1.35</v>
      </c>
      <c r="G363" s="35">
        <v>8</v>
      </c>
      <c r="H363" s="59">
        <v>10.8</v>
      </c>
      <c r="I363" s="59">
        <v>11.21</v>
      </c>
      <c r="J363" s="35">
        <v>64</v>
      </c>
      <c r="K363" s="35" t="s">
        <v>133</v>
      </c>
      <c r="L363" s="35" t="s">
        <v>46</v>
      </c>
      <c r="M363" s="36" t="s">
        <v>132</v>
      </c>
      <c r="N363" s="36"/>
      <c r="O363" s="35">
        <v>55</v>
      </c>
      <c r="P363" s="893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63" s="704"/>
      <c r="R363" s="704"/>
      <c r="S363" s="704"/>
      <c r="T363" s="705"/>
      <c r="U363" s="37" t="s">
        <v>46</v>
      </c>
      <c r="V363" s="37" t="s">
        <v>46</v>
      </c>
      <c r="W363" s="38" t="s">
        <v>0</v>
      </c>
      <c r="X363" s="56">
        <v>0</v>
      </c>
      <c r="Y363" s="53">
        <f>IFERROR(IF(X363="",0,CEILING((X363/$H363),1)*$H363),"")</f>
        <v>0</v>
      </c>
      <c r="Z363" s="39" t="str">
        <f>IFERROR(IF(Y363=0,"",ROUNDUP(Y363/H363,0)*0.01898),"")</f>
        <v/>
      </c>
      <c r="AA363" s="65" t="s">
        <v>46</v>
      </c>
      <c r="AB363" s="66" t="s">
        <v>46</v>
      </c>
      <c r="AC363" s="447" t="s">
        <v>606</v>
      </c>
      <c r="AG363" s="75"/>
      <c r="AJ363" s="79" t="s">
        <v>46</v>
      </c>
      <c r="AK363" s="79">
        <v>0</v>
      </c>
      <c r="BB363" s="448" t="s">
        <v>67</v>
      </c>
      <c r="BM363" s="75">
        <f>IFERROR(X363*I363/H363,"0")</f>
        <v>0</v>
      </c>
      <c r="BN363" s="75">
        <f>IFERROR(Y363*I363/H363,"0")</f>
        <v>0</v>
      </c>
      <c r="BO363" s="75">
        <f>IFERROR(1/J363*(X363/H363),"0")</f>
        <v>0</v>
      </c>
      <c r="BP363" s="75">
        <f>IFERROR(1/J363*(Y363/H363),"0")</f>
        <v>0</v>
      </c>
    </row>
    <row r="364" spans="1:68" ht="37.5" customHeight="1" x14ac:dyDescent="0.25">
      <c r="A364" s="60" t="s">
        <v>607</v>
      </c>
      <c r="B364" s="60" t="s">
        <v>608</v>
      </c>
      <c r="C364" s="34">
        <v>4301012233</v>
      </c>
      <c r="D364" s="702">
        <v>4680115887138</v>
      </c>
      <c r="E364" s="702"/>
      <c r="F364" s="59">
        <v>1.35</v>
      </c>
      <c r="G364" s="35">
        <v>8</v>
      </c>
      <c r="H364" s="59">
        <v>10.8</v>
      </c>
      <c r="I364" s="59">
        <v>11.21</v>
      </c>
      <c r="J364" s="35">
        <v>64</v>
      </c>
      <c r="K364" s="35" t="s">
        <v>133</v>
      </c>
      <c r="L364" s="35" t="s">
        <v>46</v>
      </c>
      <c r="M364" s="36" t="s">
        <v>132</v>
      </c>
      <c r="N364" s="36"/>
      <c r="O364" s="35">
        <v>55</v>
      </c>
      <c r="P364" s="894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64" s="704"/>
      <c r="R364" s="704"/>
      <c r="S364" s="704"/>
      <c r="T364" s="705"/>
      <c r="U364" s="37" t="s">
        <v>46</v>
      </c>
      <c r="V364" s="37" t="s">
        <v>46</v>
      </c>
      <c r="W364" s="38" t="s">
        <v>0</v>
      </c>
      <c r="X364" s="56">
        <v>0</v>
      </c>
      <c r="Y364" s="53">
        <f>IFERROR(IF(X364="",0,CEILING((X364/$H364),1)*$H364),"")</f>
        <v>0</v>
      </c>
      <c r="Z364" s="39" t="str">
        <f>IFERROR(IF(Y364=0,"",ROUNDUP(Y364/H364,0)*0.01898),"")</f>
        <v/>
      </c>
      <c r="AA364" s="65" t="s">
        <v>46</v>
      </c>
      <c r="AB364" s="66" t="s">
        <v>46</v>
      </c>
      <c r="AC364" s="449" t="s">
        <v>609</v>
      </c>
      <c r="AG364" s="75"/>
      <c r="AJ364" s="79" t="s">
        <v>46</v>
      </c>
      <c r="AK364" s="79">
        <v>0</v>
      </c>
      <c r="BB364" s="450" t="s">
        <v>67</v>
      </c>
      <c r="BM364" s="75">
        <f>IFERROR(X364*I364/H364,"0")</f>
        <v>0</v>
      </c>
      <c r="BN364" s="75">
        <f>IFERROR(Y364*I364/H364,"0")</f>
        <v>0</v>
      </c>
      <c r="BO364" s="75">
        <f>IFERROR(1/J364*(X364/H364),"0")</f>
        <v>0</v>
      </c>
      <c r="BP364" s="75">
        <f>IFERROR(1/J364*(Y364/H364),"0")</f>
        <v>0</v>
      </c>
    </row>
    <row r="365" spans="1:68" ht="27" customHeight="1" x14ac:dyDescent="0.25">
      <c r="A365" s="60" t="s">
        <v>610</v>
      </c>
      <c r="B365" s="60" t="s">
        <v>611</v>
      </c>
      <c r="C365" s="34">
        <v>4301012016</v>
      </c>
      <c r="D365" s="702">
        <v>4680115885554</v>
      </c>
      <c r="E365" s="702"/>
      <c r="F365" s="59">
        <v>1.35</v>
      </c>
      <c r="G365" s="35">
        <v>8</v>
      </c>
      <c r="H365" s="59">
        <v>10.8</v>
      </c>
      <c r="I365" s="59">
        <v>11.21</v>
      </c>
      <c r="J365" s="35">
        <v>64</v>
      </c>
      <c r="K365" s="35" t="s">
        <v>133</v>
      </c>
      <c r="L365" s="35" t="s">
        <v>46</v>
      </c>
      <c r="M365" s="36" t="s">
        <v>90</v>
      </c>
      <c r="N365" s="36"/>
      <c r="O365" s="35">
        <v>55</v>
      </c>
      <c r="P365" s="895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65" s="704"/>
      <c r="R365" s="704"/>
      <c r="S365" s="704"/>
      <c r="T365" s="705"/>
      <c r="U365" s="37" t="s">
        <v>46</v>
      </c>
      <c r="V365" s="37" t="s">
        <v>46</v>
      </c>
      <c r="W365" s="38" t="s">
        <v>0</v>
      </c>
      <c r="X365" s="56">
        <v>0</v>
      </c>
      <c r="Y365" s="53">
        <f>IFERROR(IF(X365="",0,CEILING((X365/$H365),1)*$H365),"")</f>
        <v>0</v>
      </c>
      <c r="Z365" s="39" t="str">
        <f>IFERROR(IF(Y365=0,"",ROUNDUP(Y365/H365,0)*0.01898),"")</f>
        <v/>
      </c>
      <c r="AA365" s="65" t="s">
        <v>46</v>
      </c>
      <c r="AB365" s="66" t="s">
        <v>46</v>
      </c>
      <c r="AC365" s="451" t="s">
        <v>612</v>
      </c>
      <c r="AG365" s="75"/>
      <c r="AJ365" s="79" t="s">
        <v>46</v>
      </c>
      <c r="AK365" s="79">
        <v>0</v>
      </c>
      <c r="BB365" s="452" t="s">
        <v>67</v>
      </c>
      <c r="BM365" s="75">
        <f>IFERROR(X365*I365/H365,"0")</f>
        <v>0</v>
      </c>
      <c r="BN365" s="75">
        <f>IFERROR(Y365*I365/H365,"0")</f>
        <v>0</v>
      </c>
      <c r="BO365" s="75">
        <f>IFERROR(1/J365*(X365/H365),"0")</f>
        <v>0</v>
      </c>
      <c r="BP365" s="75">
        <f>IFERROR(1/J365*(Y365/H365),"0")</f>
        <v>0</v>
      </c>
    </row>
    <row r="366" spans="1:68" ht="27" customHeight="1" x14ac:dyDescent="0.25">
      <c r="A366" s="60" t="s">
        <v>613</v>
      </c>
      <c r="B366" s="60" t="s">
        <v>614</v>
      </c>
      <c r="C366" s="34">
        <v>4301012236</v>
      </c>
      <c r="D366" s="702">
        <v>4680115887220</v>
      </c>
      <c r="E366" s="702"/>
      <c r="F366" s="59">
        <v>0.4</v>
      </c>
      <c r="G366" s="35">
        <v>10</v>
      </c>
      <c r="H366" s="59">
        <v>4</v>
      </c>
      <c r="I366" s="59">
        <v>4.1900000000000004</v>
      </c>
      <c r="J366" s="35">
        <v>132</v>
      </c>
      <c r="K366" s="35" t="s">
        <v>140</v>
      </c>
      <c r="L366" s="35" t="s">
        <v>46</v>
      </c>
      <c r="M366" s="36" t="s">
        <v>132</v>
      </c>
      <c r="N366" s="36"/>
      <c r="O366" s="35">
        <v>55</v>
      </c>
      <c r="P366" s="896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66" s="704"/>
      <c r="R366" s="704"/>
      <c r="S366" s="704"/>
      <c r="T366" s="705"/>
      <c r="U366" s="37" t="s">
        <v>46</v>
      </c>
      <c r="V366" s="37" t="s">
        <v>46</v>
      </c>
      <c r="W366" s="38" t="s">
        <v>0</v>
      </c>
      <c r="X366" s="56">
        <v>0</v>
      </c>
      <c r="Y366" s="53">
        <f>IFERROR(IF(X366="",0,CEILING((X366/$H366),1)*$H366),"")</f>
        <v>0</v>
      </c>
      <c r="Z366" s="39" t="str">
        <f>IFERROR(IF(Y366=0,"",ROUNDUP(Y366/H366,0)*0.00902),"")</f>
        <v/>
      </c>
      <c r="AA366" s="65" t="s">
        <v>46</v>
      </c>
      <c r="AB366" s="66" t="s">
        <v>46</v>
      </c>
      <c r="AC366" s="453" t="s">
        <v>606</v>
      </c>
      <c r="AG366" s="75"/>
      <c r="AJ366" s="79" t="s">
        <v>46</v>
      </c>
      <c r="AK366" s="79">
        <v>0</v>
      </c>
      <c r="BB366" s="454" t="s">
        <v>67</v>
      </c>
      <c r="BM366" s="75">
        <f>IFERROR(X366*I366/H366,"0")</f>
        <v>0</v>
      </c>
      <c r="BN366" s="75">
        <f>IFERROR(Y366*I366/H366,"0")</f>
        <v>0</v>
      </c>
      <c r="BO366" s="75">
        <f>IFERROR(1/J366*(X366/H366),"0")</f>
        <v>0</v>
      </c>
      <c r="BP366" s="75">
        <f>IFERROR(1/J366*(Y366/H366),"0")</f>
        <v>0</v>
      </c>
    </row>
    <row r="367" spans="1:68" ht="27" customHeight="1" x14ac:dyDescent="0.25">
      <c r="A367" s="60" t="s">
        <v>615</v>
      </c>
      <c r="B367" s="60" t="s">
        <v>616</v>
      </c>
      <c r="C367" s="34">
        <v>4301011859</v>
      </c>
      <c r="D367" s="702">
        <v>4680115885608</v>
      </c>
      <c r="E367" s="702"/>
      <c r="F367" s="59">
        <v>0.4</v>
      </c>
      <c r="G367" s="35">
        <v>10</v>
      </c>
      <c r="H367" s="59">
        <v>4</v>
      </c>
      <c r="I367" s="59">
        <v>4.1900000000000004</v>
      </c>
      <c r="J367" s="35">
        <v>132</v>
      </c>
      <c r="K367" s="35" t="s">
        <v>140</v>
      </c>
      <c r="L367" s="35" t="s">
        <v>46</v>
      </c>
      <c r="M367" s="36" t="s">
        <v>132</v>
      </c>
      <c r="N367" s="36"/>
      <c r="O367" s="35">
        <v>55</v>
      </c>
      <c r="P367" s="897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67" s="704"/>
      <c r="R367" s="704"/>
      <c r="S367" s="704"/>
      <c r="T367" s="705"/>
      <c r="U367" s="37" t="s">
        <v>46</v>
      </c>
      <c r="V367" s="37" t="s">
        <v>46</v>
      </c>
      <c r="W367" s="38" t="s">
        <v>0</v>
      </c>
      <c r="X367" s="56">
        <v>0</v>
      </c>
      <c r="Y367" s="53">
        <f>IFERROR(IF(X367="",0,CEILING((X367/$H367),1)*$H367),"")</f>
        <v>0</v>
      </c>
      <c r="Z367" s="39" t="str">
        <f>IFERROR(IF(Y367=0,"",ROUNDUP(Y367/H367,0)*0.00902),"")</f>
        <v/>
      </c>
      <c r="AA367" s="65" t="s">
        <v>46</v>
      </c>
      <c r="AB367" s="66" t="s">
        <v>46</v>
      </c>
      <c r="AC367" s="455" t="s">
        <v>617</v>
      </c>
      <c r="AG367" s="75"/>
      <c r="AJ367" s="79" t="s">
        <v>46</v>
      </c>
      <c r="AK367" s="79">
        <v>0</v>
      </c>
      <c r="BB367" s="456" t="s">
        <v>67</v>
      </c>
      <c r="BM367" s="75">
        <f>IFERROR(X367*I367/H367,"0")</f>
        <v>0</v>
      </c>
      <c r="BN367" s="75">
        <f>IFERROR(Y367*I367/H367,"0")</f>
        <v>0</v>
      </c>
      <c r="BO367" s="75">
        <f>IFERROR(1/J367*(X367/H367),"0")</f>
        <v>0</v>
      </c>
      <c r="BP367" s="75">
        <f>IFERROR(1/J367*(Y367/H367),"0")</f>
        <v>0</v>
      </c>
    </row>
    <row r="368" spans="1:68" x14ac:dyDescent="0.2">
      <c r="A368" s="710"/>
      <c r="B368" s="710"/>
      <c r="C368" s="710"/>
      <c r="D368" s="710"/>
      <c r="E368" s="710"/>
      <c r="F368" s="710"/>
      <c r="G368" s="710"/>
      <c r="H368" s="710"/>
      <c r="I368" s="710"/>
      <c r="J368" s="710"/>
      <c r="K368" s="710"/>
      <c r="L368" s="710"/>
      <c r="M368" s="710"/>
      <c r="N368" s="710"/>
      <c r="O368" s="711"/>
      <c r="P368" s="707" t="s">
        <v>40</v>
      </c>
      <c r="Q368" s="708"/>
      <c r="R368" s="708"/>
      <c r="S368" s="708"/>
      <c r="T368" s="708"/>
      <c r="U368" s="708"/>
      <c r="V368" s="709"/>
      <c r="W368" s="40" t="s">
        <v>39</v>
      </c>
      <c r="X368" s="41">
        <f>IFERROR(X363/H363,"0")+IFERROR(X364/H364,"0")+IFERROR(X365/H365,"0")+IFERROR(X366/H366,"0")+IFERROR(X367/H367,"0")</f>
        <v>0</v>
      </c>
      <c r="Y368" s="41">
        <f>IFERROR(Y363/H363,"0")+IFERROR(Y364/H364,"0")+IFERROR(Y365/H365,"0")+IFERROR(Y366/H366,"0")+IFERROR(Y367/H367,"0")</f>
        <v>0</v>
      </c>
      <c r="Z368" s="41">
        <f>IFERROR(IF(Z363="",0,Z363),"0")+IFERROR(IF(Z364="",0,Z364),"0")+IFERROR(IF(Z365="",0,Z365),"0")+IFERROR(IF(Z366="",0,Z366),"0")+IFERROR(IF(Z367="",0,Z367),"0")</f>
        <v>0</v>
      </c>
      <c r="AA368" s="64"/>
      <c r="AB368" s="64"/>
      <c r="AC368" s="64"/>
    </row>
    <row r="369" spans="1:68" x14ac:dyDescent="0.2">
      <c r="A369" s="710"/>
      <c r="B369" s="710"/>
      <c r="C369" s="710"/>
      <c r="D369" s="710"/>
      <c r="E369" s="710"/>
      <c r="F369" s="710"/>
      <c r="G369" s="710"/>
      <c r="H369" s="710"/>
      <c r="I369" s="710"/>
      <c r="J369" s="710"/>
      <c r="K369" s="710"/>
      <c r="L369" s="710"/>
      <c r="M369" s="710"/>
      <c r="N369" s="710"/>
      <c r="O369" s="711"/>
      <c r="P369" s="707" t="s">
        <v>40</v>
      </c>
      <c r="Q369" s="708"/>
      <c r="R369" s="708"/>
      <c r="S369" s="708"/>
      <c r="T369" s="708"/>
      <c r="U369" s="708"/>
      <c r="V369" s="709"/>
      <c r="W369" s="40" t="s">
        <v>0</v>
      </c>
      <c r="X369" s="41">
        <f>IFERROR(SUM(X363:X367),"0")</f>
        <v>0</v>
      </c>
      <c r="Y369" s="41">
        <f>IFERROR(SUM(Y363:Y367),"0")</f>
        <v>0</v>
      </c>
      <c r="Z369" s="40"/>
      <c r="AA369" s="64"/>
      <c r="AB369" s="64"/>
      <c r="AC369" s="64"/>
    </row>
    <row r="370" spans="1:68" ht="14.25" customHeight="1" x14ac:dyDescent="0.25">
      <c r="A370" s="701" t="s">
        <v>77</v>
      </c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  <c r="AA370" s="63"/>
      <c r="AB370" s="63"/>
      <c r="AC370" s="63"/>
    </row>
    <row r="371" spans="1:68" ht="27" customHeight="1" x14ac:dyDescent="0.25">
      <c r="A371" s="60" t="s">
        <v>618</v>
      </c>
      <c r="B371" s="60" t="s">
        <v>619</v>
      </c>
      <c r="C371" s="34">
        <v>4301030878</v>
      </c>
      <c r="D371" s="702">
        <v>4607091387193</v>
      </c>
      <c r="E371" s="702"/>
      <c r="F371" s="59">
        <v>0.7</v>
      </c>
      <c r="G371" s="35">
        <v>6</v>
      </c>
      <c r="H371" s="59">
        <v>4.2</v>
      </c>
      <c r="I371" s="59">
        <v>4.45</v>
      </c>
      <c r="J371" s="35">
        <v>132</v>
      </c>
      <c r="K371" s="35" t="s">
        <v>140</v>
      </c>
      <c r="L371" s="35" t="s">
        <v>46</v>
      </c>
      <c r="M371" s="36" t="s">
        <v>81</v>
      </c>
      <c r="N371" s="36"/>
      <c r="O371" s="35">
        <v>35</v>
      </c>
      <c r="P371" s="898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71" s="704"/>
      <c r="R371" s="704"/>
      <c r="S371" s="704"/>
      <c r="T371" s="705"/>
      <c r="U371" s="37" t="s">
        <v>46</v>
      </c>
      <c r="V371" s="37" t="s">
        <v>46</v>
      </c>
      <c r="W371" s="38" t="s">
        <v>0</v>
      </c>
      <c r="X371" s="56">
        <v>0</v>
      </c>
      <c r="Y371" s="53">
        <f t="shared" ref="Y371:Y377" si="42">IFERROR(IF(X371="",0,CEILING((X371/$H371),1)*$H371),"")</f>
        <v>0</v>
      </c>
      <c r="Z371" s="39" t="str">
        <f>IFERROR(IF(Y371=0,"",ROUNDUP(Y371/H371,0)*0.00902),"")</f>
        <v/>
      </c>
      <c r="AA371" s="65" t="s">
        <v>46</v>
      </c>
      <c r="AB371" s="66" t="s">
        <v>46</v>
      </c>
      <c r="AC371" s="457" t="s">
        <v>620</v>
      </c>
      <c r="AG371" s="75"/>
      <c r="AJ371" s="79" t="s">
        <v>46</v>
      </c>
      <c r="AK371" s="79">
        <v>0</v>
      </c>
      <c r="BB371" s="458" t="s">
        <v>67</v>
      </c>
      <c r="BM371" s="75">
        <f t="shared" ref="BM371:BM377" si="43">IFERROR(X371*I371/H371,"0")</f>
        <v>0</v>
      </c>
      <c r="BN371" s="75">
        <f t="shared" ref="BN371:BN377" si="44">IFERROR(Y371*I371/H371,"0")</f>
        <v>0</v>
      </c>
      <c r="BO371" s="75">
        <f t="shared" ref="BO371:BO377" si="45">IFERROR(1/J371*(X371/H371),"0")</f>
        <v>0</v>
      </c>
      <c r="BP371" s="75">
        <f t="shared" ref="BP371:BP377" si="46">IFERROR(1/J371*(Y371/H371),"0")</f>
        <v>0</v>
      </c>
    </row>
    <row r="372" spans="1:68" ht="27" customHeight="1" x14ac:dyDescent="0.25">
      <c r="A372" s="60" t="s">
        <v>621</v>
      </c>
      <c r="B372" s="60" t="s">
        <v>622</v>
      </c>
      <c r="C372" s="34">
        <v>4301031153</v>
      </c>
      <c r="D372" s="702">
        <v>4607091387230</v>
      </c>
      <c r="E372" s="702"/>
      <c r="F372" s="59">
        <v>0.7</v>
      </c>
      <c r="G372" s="35">
        <v>6</v>
      </c>
      <c r="H372" s="59">
        <v>4.2</v>
      </c>
      <c r="I372" s="59">
        <v>4.45</v>
      </c>
      <c r="J372" s="35">
        <v>132</v>
      </c>
      <c r="K372" s="35" t="s">
        <v>140</v>
      </c>
      <c r="L372" s="35" t="s">
        <v>46</v>
      </c>
      <c r="M372" s="36" t="s">
        <v>81</v>
      </c>
      <c r="N372" s="36"/>
      <c r="O372" s="35">
        <v>40</v>
      </c>
      <c r="P372" s="899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72" s="704"/>
      <c r="R372" s="704"/>
      <c r="S372" s="704"/>
      <c r="T372" s="705"/>
      <c r="U372" s="37" t="s">
        <v>46</v>
      </c>
      <c r="V372" s="37" t="s">
        <v>46</v>
      </c>
      <c r="W372" s="38" t="s">
        <v>0</v>
      </c>
      <c r="X372" s="56">
        <v>0</v>
      </c>
      <c r="Y372" s="53">
        <f t="shared" si="42"/>
        <v>0</v>
      </c>
      <c r="Z372" s="39" t="str">
        <f>IFERROR(IF(Y372=0,"",ROUNDUP(Y372/H372,0)*0.00902),"")</f>
        <v/>
      </c>
      <c r="AA372" s="65" t="s">
        <v>46</v>
      </c>
      <c r="AB372" s="66" t="s">
        <v>46</v>
      </c>
      <c r="AC372" s="459" t="s">
        <v>623</v>
      </c>
      <c r="AG372" s="75"/>
      <c r="AJ372" s="79" t="s">
        <v>46</v>
      </c>
      <c r="AK372" s="79">
        <v>0</v>
      </c>
      <c r="BB372" s="460" t="s">
        <v>67</v>
      </c>
      <c r="BM372" s="75">
        <f t="shared" si="43"/>
        <v>0</v>
      </c>
      <c r="BN372" s="75">
        <f t="shared" si="44"/>
        <v>0</v>
      </c>
      <c r="BO372" s="75">
        <f t="shared" si="45"/>
        <v>0</v>
      </c>
      <c r="BP372" s="75">
        <f t="shared" si="46"/>
        <v>0</v>
      </c>
    </row>
    <row r="373" spans="1:68" ht="27" customHeight="1" x14ac:dyDescent="0.25">
      <c r="A373" s="60" t="s">
        <v>624</v>
      </c>
      <c r="B373" s="60" t="s">
        <v>625</v>
      </c>
      <c r="C373" s="34">
        <v>4301031154</v>
      </c>
      <c r="D373" s="702">
        <v>4607091387292</v>
      </c>
      <c r="E373" s="702"/>
      <c r="F373" s="59">
        <v>0.73</v>
      </c>
      <c r="G373" s="35">
        <v>6</v>
      </c>
      <c r="H373" s="59">
        <v>4.38</v>
      </c>
      <c r="I373" s="59">
        <v>4.63</v>
      </c>
      <c r="J373" s="35">
        <v>132</v>
      </c>
      <c r="K373" s="35" t="s">
        <v>140</v>
      </c>
      <c r="L373" s="35" t="s">
        <v>46</v>
      </c>
      <c r="M373" s="36" t="s">
        <v>81</v>
      </c>
      <c r="N373" s="36"/>
      <c r="O373" s="35">
        <v>45</v>
      </c>
      <c r="P373" s="900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73" s="704"/>
      <c r="R373" s="704"/>
      <c r="S373" s="704"/>
      <c r="T373" s="705"/>
      <c r="U373" s="37" t="s">
        <v>46</v>
      </c>
      <c r="V373" s="37" t="s">
        <v>46</v>
      </c>
      <c r="W373" s="38" t="s">
        <v>0</v>
      </c>
      <c r="X373" s="56">
        <v>0</v>
      </c>
      <c r="Y373" s="53">
        <f t="shared" si="42"/>
        <v>0</v>
      </c>
      <c r="Z373" s="39" t="str">
        <f>IFERROR(IF(Y373=0,"",ROUNDUP(Y373/H373,0)*0.00902),"")</f>
        <v/>
      </c>
      <c r="AA373" s="65" t="s">
        <v>46</v>
      </c>
      <c r="AB373" s="66" t="s">
        <v>46</v>
      </c>
      <c r="AC373" s="461" t="s">
        <v>626</v>
      </c>
      <c r="AG373" s="75"/>
      <c r="AJ373" s="79" t="s">
        <v>46</v>
      </c>
      <c r="AK373" s="79">
        <v>0</v>
      </c>
      <c r="BB373" s="462" t="s">
        <v>67</v>
      </c>
      <c r="BM373" s="75">
        <f t="shared" si="43"/>
        <v>0</v>
      </c>
      <c r="BN373" s="75">
        <f t="shared" si="44"/>
        <v>0</v>
      </c>
      <c r="BO373" s="75">
        <f t="shared" si="45"/>
        <v>0</v>
      </c>
      <c r="BP373" s="75">
        <f t="shared" si="46"/>
        <v>0</v>
      </c>
    </row>
    <row r="374" spans="1:68" ht="27" customHeight="1" x14ac:dyDescent="0.25">
      <c r="A374" s="60" t="s">
        <v>627</v>
      </c>
      <c r="B374" s="60" t="s">
        <v>628</v>
      </c>
      <c r="C374" s="34">
        <v>4301031152</v>
      </c>
      <c r="D374" s="702">
        <v>4607091387285</v>
      </c>
      <c r="E374" s="702"/>
      <c r="F374" s="59">
        <v>0.35</v>
      </c>
      <c r="G374" s="35">
        <v>6</v>
      </c>
      <c r="H374" s="59">
        <v>2.1</v>
      </c>
      <c r="I374" s="59">
        <v>2.23</v>
      </c>
      <c r="J374" s="35">
        <v>234</v>
      </c>
      <c r="K374" s="35" t="s">
        <v>82</v>
      </c>
      <c r="L374" s="35" t="s">
        <v>46</v>
      </c>
      <c r="M374" s="36" t="s">
        <v>81</v>
      </c>
      <c r="N374" s="36"/>
      <c r="O374" s="35">
        <v>40</v>
      </c>
      <c r="P374" s="901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74" s="704"/>
      <c r="R374" s="704"/>
      <c r="S374" s="704"/>
      <c r="T374" s="705"/>
      <c r="U374" s="37" t="s">
        <v>46</v>
      </c>
      <c r="V374" s="37" t="s">
        <v>46</v>
      </c>
      <c r="W374" s="38" t="s">
        <v>0</v>
      </c>
      <c r="X374" s="56">
        <v>0</v>
      </c>
      <c r="Y374" s="53">
        <f t="shared" si="42"/>
        <v>0</v>
      </c>
      <c r="Z374" s="39" t="str">
        <f>IFERROR(IF(Y374=0,"",ROUNDUP(Y374/H374,0)*0.00502),"")</f>
        <v/>
      </c>
      <c r="AA374" s="65" t="s">
        <v>46</v>
      </c>
      <c r="AB374" s="66" t="s">
        <v>46</v>
      </c>
      <c r="AC374" s="463" t="s">
        <v>623</v>
      </c>
      <c r="AG374" s="75"/>
      <c r="AJ374" s="79" t="s">
        <v>46</v>
      </c>
      <c r="AK374" s="79">
        <v>0</v>
      </c>
      <c r="BB374" s="464" t="s">
        <v>67</v>
      </c>
      <c r="BM374" s="75">
        <f t="shared" si="43"/>
        <v>0</v>
      </c>
      <c r="BN374" s="75">
        <f t="shared" si="44"/>
        <v>0</v>
      </c>
      <c r="BO374" s="75">
        <f t="shared" si="45"/>
        <v>0</v>
      </c>
      <c r="BP374" s="75">
        <f t="shared" si="46"/>
        <v>0</v>
      </c>
    </row>
    <row r="375" spans="1:68" ht="27" customHeight="1" x14ac:dyDescent="0.25">
      <c r="A375" s="60" t="s">
        <v>629</v>
      </c>
      <c r="B375" s="60" t="s">
        <v>630</v>
      </c>
      <c r="C375" s="34">
        <v>4301031305</v>
      </c>
      <c r="D375" s="702">
        <v>4607091389845</v>
      </c>
      <c r="E375" s="702"/>
      <c r="F375" s="59">
        <v>0.35</v>
      </c>
      <c r="G375" s="35">
        <v>6</v>
      </c>
      <c r="H375" s="59">
        <v>2.1</v>
      </c>
      <c r="I375" s="59">
        <v>2.2000000000000002</v>
      </c>
      <c r="J375" s="35">
        <v>234</v>
      </c>
      <c r="K375" s="35" t="s">
        <v>82</v>
      </c>
      <c r="L375" s="35" t="s">
        <v>46</v>
      </c>
      <c r="M375" s="36" t="s">
        <v>81</v>
      </c>
      <c r="N375" s="36"/>
      <c r="O375" s="35">
        <v>40</v>
      </c>
      <c r="P375" s="902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75" s="704"/>
      <c r="R375" s="704"/>
      <c r="S375" s="704"/>
      <c r="T375" s="705"/>
      <c r="U375" s="37" t="s">
        <v>46</v>
      </c>
      <c r="V375" s="37" t="s">
        <v>46</v>
      </c>
      <c r="W375" s="38" t="s">
        <v>0</v>
      </c>
      <c r="X375" s="56">
        <v>0</v>
      </c>
      <c r="Y375" s="53">
        <f t="shared" si="42"/>
        <v>0</v>
      </c>
      <c r="Z375" s="39" t="str">
        <f>IFERROR(IF(Y375=0,"",ROUNDUP(Y375/H375,0)*0.00502),"")</f>
        <v/>
      </c>
      <c r="AA375" s="65" t="s">
        <v>46</v>
      </c>
      <c r="AB375" s="66" t="s">
        <v>46</v>
      </c>
      <c r="AC375" s="465" t="s">
        <v>631</v>
      </c>
      <c r="AG375" s="75"/>
      <c r="AJ375" s="79" t="s">
        <v>46</v>
      </c>
      <c r="AK375" s="79">
        <v>0</v>
      </c>
      <c r="BB375" s="466" t="s">
        <v>67</v>
      </c>
      <c r="BM375" s="75">
        <f t="shared" si="43"/>
        <v>0</v>
      </c>
      <c r="BN375" s="75">
        <f t="shared" si="44"/>
        <v>0</v>
      </c>
      <c r="BO375" s="75">
        <f t="shared" si="45"/>
        <v>0</v>
      </c>
      <c r="BP375" s="75">
        <f t="shared" si="46"/>
        <v>0</v>
      </c>
    </row>
    <row r="376" spans="1:68" ht="27" customHeight="1" x14ac:dyDescent="0.25">
      <c r="A376" s="60" t="s">
        <v>632</v>
      </c>
      <c r="B376" s="60" t="s">
        <v>633</v>
      </c>
      <c r="C376" s="34">
        <v>4301031460</v>
      </c>
      <c r="D376" s="702">
        <v>4680115887442</v>
      </c>
      <c r="E376" s="702"/>
      <c r="F376" s="59">
        <v>0.73</v>
      </c>
      <c r="G376" s="35">
        <v>6</v>
      </c>
      <c r="H376" s="59">
        <v>4.38</v>
      </c>
      <c r="I376" s="59">
        <v>4.63</v>
      </c>
      <c r="J376" s="35">
        <v>132</v>
      </c>
      <c r="K376" s="35" t="s">
        <v>140</v>
      </c>
      <c r="L376" s="35" t="s">
        <v>46</v>
      </c>
      <c r="M376" s="36" t="s">
        <v>81</v>
      </c>
      <c r="N376" s="36"/>
      <c r="O376" s="35">
        <v>45</v>
      </c>
      <c r="P376" s="903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76" s="704"/>
      <c r="R376" s="704"/>
      <c r="S376" s="704"/>
      <c r="T376" s="705"/>
      <c r="U376" s="37" t="s">
        <v>46</v>
      </c>
      <c r="V376" s="37" t="s">
        <v>46</v>
      </c>
      <c r="W376" s="38" t="s">
        <v>0</v>
      </c>
      <c r="X376" s="56">
        <v>0</v>
      </c>
      <c r="Y376" s="53">
        <f t="shared" si="42"/>
        <v>0</v>
      </c>
      <c r="Z376" s="39" t="str">
        <f>IFERROR(IF(Y376=0,"",ROUNDUP(Y376/H376,0)*0.00902),"")</f>
        <v/>
      </c>
      <c r="AA376" s="65" t="s">
        <v>46</v>
      </c>
      <c r="AB376" s="66" t="s">
        <v>46</v>
      </c>
      <c r="AC376" s="467" t="s">
        <v>626</v>
      </c>
      <c r="AG376" s="75"/>
      <c r="AJ376" s="79" t="s">
        <v>46</v>
      </c>
      <c r="AK376" s="79">
        <v>0</v>
      </c>
      <c r="BB376" s="468" t="s">
        <v>67</v>
      </c>
      <c r="BM376" s="75">
        <f t="shared" si="43"/>
        <v>0</v>
      </c>
      <c r="BN376" s="75">
        <f t="shared" si="44"/>
        <v>0</v>
      </c>
      <c r="BO376" s="75">
        <f t="shared" si="45"/>
        <v>0</v>
      </c>
      <c r="BP376" s="75">
        <f t="shared" si="46"/>
        <v>0</v>
      </c>
    </row>
    <row r="377" spans="1:68" ht="27" customHeight="1" x14ac:dyDescent="0.25">
      <c r="A377" s="60" t="s">
        <v>634</v>
      </c>
      <c r="B377" s="60" t="s">
        <v>635</v>
      </c>
      <c r="C377" s="34">
        <v>4301031066</v>
      </c>
      <c r="D377" s="702">
        <v>4607091383836</v>
      </c>
      <c r="E377" s="702"/>
      <c r="F377" s="59">
        <v>0.3</v>
      </c>
      <c r="G377" s="35">
        <v>6</v>
      </c>
      <c r="H377" s="59">
        <v>1.8</v>
      </c>
      <c r="I377" s="59">
        <v>2.028</v>
      </c>
      <c r="J377" s="35">
        <v>182</v>
      </c>
      <c r="K377" s="35" t="s">
        <v>91</v>
      </c>
      <c r="L377" s="35" t="s">
        <v>46</v>
      </c>
      <c r="M377" s="36" t="s">
        <v>81</v>
      </c>
      <c r="N377" s="36"/>
      <c r="O377" s="35">
        <v>40</v>
      </c>
      <c r="P377" s="904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77" s="704"/>
      <c r="R377" s="704"/>
      <c r="S377" s="704"/>
      <c r="T377" s="705"/>
      <c r="U377" s="37" t="s">
        <v>46</v>
      </c>
      <c r="V377" s="37" t="s">
        <v>46</v>
      </c>
      <c r="W377" s="38" t="s">
        <v>0</v>
      </c>
      <c r="X377" s="56">
        <v>0</v>
      </c>
      <c r="Y377" s="53">
        <f t="shared" si="42"/>
        <v>0</v>
      </c>
      <c r="Z377" s="39" t="str">
        <f>IFERROR(IF(Y377=0,"",ROUNDUP(Y377/H377,0)*0.00651),"")</f>
        <v/>
      </c>
      <c r="AA377" s="65" t="s">
        <v>46</v>
      </c>
      <c r="AB377" s="66" t="s">
        <v>46</v>
      </c>
      <c r="AC377" s="469" t="s">
        <v>636</v>
      </c>
      <c r="AG377" s="75"/>
      <c r="AJ377" s="79" t="s">
        <v>46</v>
      </c>
      <c r="AK377" s="79">
        <v>0</v>
      </c>
      <c r="BB377" s="470" t="s">
        <v>67</v>
      </c>
      <c r="BM377" s="75">
        <f t="shared" si="43"/>
        <v>0</v>
      </c>
      <c r="BN377" s="75">
        <f t="shared" si="44"/>
        <v>0</v>
      </c>
      <c r="BO377" s="75">
        <f t="shared" si="45"/>
        <v>0</v>
      </c>
      <c r="BP377" s="75">
        <f t="shared" si="46"/>
        <v>0</v>
      </c>
    </row>
    <row r="378" spans="1:68" x14ac:dyDescent="0.2">
      <c r="A378" s="710"/>
      <c r="B378" s="710"/>
      <c r="C378" s="710"/>
      <c r="D378" s="710"/>
      <c r="E378" s="710"/>
      <c r="F378" s="710"/>
      <c r="G378" s="710"/>
      <c r="H378" s="710"/>
      <c r="I378" s="710"/>
      <c r="J378" s="710"/>
      <c r="K378" s="710"/>
      <c r="L378" s="710"/>
      <c r="M378" s="710"/>
      <c r="N378" s="710"/>
      <c r="O378" s="711"/>
      <c r="P378" s="707" t="s">
        <v>40</v>
      </c>
      <c r="Q378" s="708"/>
      <c r="R378" s="708"/>
      <c r="S378" s="708"/>
      <c r="T378" s="708"/>
      <c r="U378" s="708"/>
      <c r="V378" s="709"/>
      <c r="W378" s="40" t="s">
        <v>39</v>
      </c>
      <c r="X378" s="41">
        <f>IFERROR(X371/H371,"0")+IFERROR(X372/H372,"0")+IFERROR(X373/H373,"0")+IFERROR(X374/H374,"0")+IFERROR(X375/H375,"0")+IFERROR(X376/H376,"0")+IFERROR(X377/H377,"0")</f>
        <v>0</v>
      </c>
      <c r="Y378" s="41">
        <f>IFERROR(Y371/H371,"0")+IFERROR(Y372/H372,"0")+IFERROR(Y373/H373,"0")+IFERROR(Y374/H374,"0")+IFERROR(Y375/H375,"0")+IFERROR(Y376/H376,"0")+IFERROR(Y377/H377,"0")</f>
        <v>0</v>
      </c>
      <c r="Z378" s="41">
        <f>IFERROR(IF(Z371="",0,Z371),"0")+IFERROR(IF(Z372="",0,Z372),"0")+IFERROR(IF(Z373="",0,Z373),"0")+IFERROR(IF(Z374="",0,Z374),"0")+IFERROR(IF(Z375="",0,Z375),"0")+IFERROR(IF(Z376="",0,Z376),"0")+IFERROR(IF(Z377="",0,Z377),"0")</f>
        <v>0</v>
      </c>
      <c r="AA378" s="64"/>
      <c r="AB378" s="64"/>
      <c r="AC378" s="64"/>
    </row>
    <row r="379" spans="1:68" x14ac:dyDescent="0.2">
      <c r="A379" s="710"/>
      <c r="B379" s="710"/>
      <c r="C379" s="710"/>
      <c r="D379" s="710"/>
      <c r="E379" s="710"/>
      <c r="F379" s="710"/>
      <c r="G379" s="710"/>
      <c r="H379" s="710"/>
      <c r="I379" s="710"/>
      <c r="J379" s="710"/>
      <c r="K379" s="710"/>
      <c r="L379" s="710"/>
      <c r="M379" s="710"/>
      <c r="N379" s="710"/>
      <c r="O379" s="711"/>
      <c r="P379" s="707" t="s">
        <v>40</v>
      </c>
      <c r="Q379" s="708"/>
      <c r="R379" s="708"/>
      <c r="S379" s="708"/>
      <c r="T379" s="708"/>
      <c r="U379" s="708"/>
      <c r="V379" s="709"/>
      <c r="W379" s="40" t="s">
        <v>0</v>
      </c>
      <c r="X379" s="41">
        <f>IFERROR(SUM(X371:X377),"0")</f>
        <v>0</v>
      </c>
      <c r="Y379" s="41">
        <f>IFERROR(SUM(Y371:Y377),"0")</f>
        <v>0</v>
      </c>
      <c r="Z379" s="40"/>
      <c r="AA379" s="64"/>
      <c r="AB379" s="64"/>
      <c r="AC379" s="64"/>
    </row>
    <row r="380" spans="1:68" ht="14.25" customHeight="1" x14ac:dyDescent="0.25">
      <c r="A380" s="701" t="s">
        <v>86</v>
      </c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  <c r="AA380" s="63"/>
      <c r="AB380" s="63"/>
      <c r="AC380" s="63"/>
    </row>
    <row r="381" spans="1:68" ht="27" customHeight="1" x14ac:dyDescent="0.25">
      <c r="A381" s="60" t="s">
        <v>637</v>
      </c>
      <c r="B381" s="60" t="s">
        <v>638</v>
      </c>
      <c r="C381" s="34">
        <v>4301051100</v>
      </c>
      <c r="D381" s="702">
        <v>4607091387766</v>
      </c>
      <c r="E381" s="702"/>
      <c r="F381" s="59">
        <v>1.3</v>
      </c>
      <c r="G381" s="35">
        <v>6</v>
      </c>
      <c r="H381" s="59">
        <v>7.8</v>
      </c>
      <c r="I381" s="59">
        <v>8.2880000000000003</v>
      </c>
      <c r="J381" s="35">
        <v>64</v>
      </c>
      <c r="K381" s="35" t="s">
        <v>133</v>
      </c>
      <c r="L381" s="35" t="s">
        <v>46</v>
      </c>
      <c r="M381" s="36" t="s">
        <v>90</v>
      </c>
      <c r="N381" s="36"/>
      <c r="O381" s="35">
        <v>40</v>
      </c>
      <c r="P381" s="905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81" s="704"/>
      <c r="R381" s="704"/>
      <c r="S381" s="704"/>
      <c r="T381" s="705"/>
      <c r="U381" s="37" t="s">
        <v>46</v>
      </c>
      <c r="V381" s="37" t="s">
        <v>46</v>
      </c>
      <c r="W381" s="38" t="s">
        <v>0</v>
      </c>
      <c r="X381" s="56">
        <v>0</v>
      </c>
      <c r="Y381" s="53">
        <f>IFERROR(IF(X381="",0,CEILING((X381/$H381),1)*$H381),"")</f>
        <v>0</v>
      </c>
      <c r="Z381" s="39" t="str">
        <f>IFERROR(IF(Y381=0,"",ROUNDUP(Y381/H381,0)*0.01898),"")</f>
        <v/>
      </c>
      <c r="AA381" s="65" t="s">
        <v>46</v>
      </c>
      <c r="AB381" s="66" t="s">
        <v>46</v>
      </c>
      <c r="AC381" s="471" t="s">
        <v>639</v>
      </c>
      <c r="AG381" s="75"/>
      <c r="AJ381" s="79" t="s">
        <v>46</v>
      </c>
      <c r="AK381" s="79">
        <v>0</v>
      </c>
      <c r="BB381" s="472" t="s">
        <v>67</v>
      </c>
      <c r="BM381" s="75">
        <f>IFERROR(X381*I381/H381,"0")</f>
        <v>0</v>
      </c>
      <c r="BN381" s="75">
        <f>IFERROR(Y381*I381/H381,"0")</f>
        <v>0</v>
      </c>
      <c r="BO381" s="75">
        <f>IFERROR(1/J381*(X381/H381),"0")</f>
        <v>0</v>
      </c>
      <c r="BP381" s="75">
        <f>IFERROR(1/J381*(Y381/H381),"0")</f>
        <v>0</v>
      </c>
    </row>
    <row r="382" spans="1:68" ht="27" customHeight="1" x14ac:dyDescent="0.25">
      <c r="A382" s="60" t="s">
        <v>640</v>
      </c>
      <c r="B382" s="60" t="s">
        <v>641</v>
      </c>
      <c r="C382" s="34">
        <v>4301051818</v>
      </c>
      <c r="D382" s="702">
        <v>4607091387957</v>
      </c>
      <c r="E382" s="702"/>
      <c r="F382" s="59">
        <v>1.3</v>
      </c>
      <c r="G382" s="35">
        <v>6</v>
      </c>
      <c r="H382" s="59">
        <v>7.8</v>
      </c>
      <c r="I382" s="59">
        <v>8.2940000000000005</v>
      </c>
      <c r="J382" s="35">
        <v>64</v>
      </c>
      <c r="K382" s="35" t="s">
        <v>133</v>
      </c>
      <c r="L382" s="35" t="s">
        <v>46</v>
      </c>
      <c r="M382" s="36" t="s">
        <v>90</v>
      </c>
      <c r="N382" s="36"/>
      <c r="O382" s="35">
        <v>40</v>
      </c>
      <c r="P382" s="906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82" s="704"/>
      <c r="R382" s="704"/>
      <c r="S382" s="704"/>
      <c r="T382" s="705"/>
      <c r="U382" s="37" t="s">
        <v>46</v>
      </c>
      <c r="V382" s="37" t="s">
        <v>46</v>
      </c>
      <c r="W382" s="38" t="s">
        <v>0</v>
      </c>
      <c r="X382" s="56">
        <v>0</v>
      </c>
      <c r="Y382" s="53">
        <f>IFERROR(IF(X382="",0,CEILING((X382/$H382),1)*$H382),"")</f>
        <v>0</v>
      </c>
      <c r="Z382" s="39" t="str">
        <f>IFERROR(IF(Y382=0,"",ROUNDUP(Y382/H382,0)*0.01898),"")</f>
        <v/>
      </c>
      <c r="AA382" s="65" t="s">
        <v>46</v>
      </c>
      <c r="AB382" s="66" t="s">
        <v>46</v>
      </c>
      <c r="AC382" s="473" t="s">
        <v>642</v>
      </c>
      <c r="AG382" s="75"/>
      <c r="AJ382" s="79" t="s">
        <v>46</v>
      </c>
      <c r="AK382" s="79">
        <v>0</v>
      </c>
      <c r="BB382" s="474" t="s">
        <v>67</v>
      </c>
      <c r="BM382" s="75">
        <f>IFERROR(X382*I382/H382,"0")</f>
        <v>0</v>
      </c>
      <c r="BN382" s="75">
        <f>IFERROR(Y382*I382/H382,"0")</f>
        <v>0</v>
      </c>
      <c r="BO382" s="75">
        <f>IFERROR(1/J382*(X382/H382),"0")</f>
        <v>0</v>
      </c>
      <c r="BP382" s="75">
        <f>IFERROR(1/J382*(Y382/H382),"0")</f>
        <v>0</v>
      </c>
    </row>
    <row r="383" spans="1:68" ht="27" customHeight="1" x14ac:dyDescent="0.25">
      <c r="A383" s="60" t="s">
        <v>643</v>
      </c>
      <c r="B383" s="60" t="s">
        <v>644</v>
      </c>
      <c r="C383" s="34">
        <v>4301051819</v>
      </c>
      <c r="D383" s="702">
        <v>4607091387964</v>
      </c>
      <c r="E383" s="702"/>
      <c r="F383" s="59">
        <v>1.35</v>
      </c>
      <c r="G383" s="35">
        <v>6</v>
      </c>
      <c r="H383" s="59">
        <v>8.1</v>
      </c>
      <c r="I383" s="59">
        <v>8.5760000000000005</v>
      </c>
      <c r="J383" s="35">
        <v>64</v>
      </c>
      <c r="K383" s="35" t="s">
        <v>133</v>
      </c>
      <c r="L383" s="35" t="s">
        <v>46</v>
      </c>
      <c r="M383" s="36" t="s">
        <v>90</v>
      </c>
      <c r="N383" s="36"/>
      <c r="O383" s="35">
        <v>40</v>
      </c>
      <c r="P383" s="907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83" s="704"/>
      <c r="R383" s="704"/>
      <c r="S383" s="704"/>
      <c r="T383" s="705"/>
      <c r="U383" s="37" t="s">
        <v>46</v>
      </c>
      <c r="V383" s="37" t="s">
        <v>46</v>
      </c>
      <c r="W383" s="38" t="s">
        <v>0</v>
      </c>
      <c r="X383" s="56">
        <v>0</v>
      </c>
      <c r="Y383" s="53">
        <f>IFERROR(IF(X383="",0,CEILING((X383/$H383),1)*$H383),"")</f>
        <v>0</v>
      </c>
      <c r="Z383" s="39" t="str">
        <f>IFERROR(IF(Y383=0,"",ROUNDUP(Y383/H383,0)*0.01898),"")</f>
        <v/>
      </c>
      <c r="AA383" s="65" t="s">
        <v>46</v>
      </c>
      <c r="AB383" s="66" t="s">
        <v>46</v>
      </c>
      <c r="AC383" s="475" t="s">
        <v>645</v>
      </c>
      <c r="AG383" s="75"/>
      <c r="AJ383" s="79" t="s">
        <v>46</v>
      </c>
      <c r="AK383" s="79">
        <v>0</v>
      </c>
      <c r="BB383" s="476" t="s">
        <v>67</v>
      </c>
      <c r="BM383" s="75">
        <f>IFERROR(X383*I383/H383,"0")</f>
        <v>0</v>
      </c>
      <c r="BN383" s="75">
        <f>IFERROR(Y383*I383/H383,"0")</f>
        <v>0</v>
      </c>
      <c r="BO383" s="75">
        <f>IFERROR(1/J383*(X383/H383),"0")</f>
        <v>0</v>
      </c>
      <c r="BP383" s="75">
        <f>IFERROR(1/J383*(Y383/H383),"0")</f>
        <v>0</v>
      </c>
    </row>
    <row r="384" spans="1:68" ht="27" customHeight="1" x14ac:dyDescent="0.25">
      <c r="A384" s="60" t="s">
        <v>646</v>
      </c>
      <c r="B384" s="60" t="s">
        <v>647</v>
      </c>
      <c r="C384" s="34">
        <v>4301051734</v>
      </c>
      <c r="D384" s="702">
        <v>4680115884588</v>
      </c>
      <c r="E384" s="702"/>
      <c r="F384" s="59">
        <v>0.5</v>
      </c>
      <c r="G384" s="35">
        <v>6</v>
      </c>
      <c r="H384" s="59">
        <v>3</v>
      </c>
      <c r="I384" s="59">
        <v>3.246</v>
      </c>
      <c r="J384" s="35">
        <v>182</v>
      </c>
      <c r="K384" s="35" t="s">
        <v>91</v>
      </c>
      <c r="L384" s="35" t="s">
        <v>46</v>
      </c>
      <c r="M384" s="36" t="s">
        <v>90</v>
      </c>
      <c r="N384" s="36"/>
      <c r="O384" s="35">
        <v>40</v>
      </c>
      <c r="P384" s="908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84" s="704"/>
      <c r="R384" s="704"/>
      <c r="S384" s="704"/>
      <c r="T384" s="705"/>
      <c r="U384" s="37" t="s">
        <v>46</v>
      </c>
      <c r="V384" s="37" t="s">
        <v>46</v>
      </c>
      <c r="W384" s="38" t="s">
        <v>0</v>
      </c>
      <c r="X384" s="56">
        <v>0</v>
      </c>
      <c r="Y384" s="53">
        <f>IFERROR(IF(X384="",0,CEILING((X384/$H384),1)*$H384),"")</f>
        <v>0</v>
      </c>
      <c r="Z384" s="39" t="str">
        <f>IFERROR(IF(Y384=0,"",ROUNDUP(Y384/H384,0)*0.00651),"")</f>
        <v/>
      </c>
      <c r="AA384" s="65" t="s">
        <v>46</v>
      </c>
      <c r="AB384" s="66" t="s">
        <v>46</v>
      </c>
      <c r="AC384" s="477" t="s">
        <v>639</v>
      </c>
      <c r="AG384" s="75"/>
      <c r="AJ384" s="79" t="s">
        <v>46</v>
      </c>
      <c r="AK384" s="79">
        <v>0</v>
      </c>
      <c r="BB384" s="478" t="s">
        <v>67</v>
      </c>
      <c r="BM384" s="75">
        <f>IFERROR(X384*I384/H384,"0")</f>
        <v>0</v>
      </c>
      <c r="BN384" s="75">
        <f>IFERROR(Y384*I384/H384,"0")</f>
        <v>0</v>
      </c>
      <c r="BO384" s="75">
        <f>IFERROR(1/J384*(X384/H384),"0")</f>
        <v>0</v>
      </c>
      <c r="BP384" s="75">
        <f>IFERROR(1/J384*(Y384/H384),"0")</f>
        <v>0</v>
      </c>
    </row>
    <row r="385" spans="1:68" x14ac:dyDescent="0.2">
      <c r="A385" s="710"/>
      <c r="B385" s="710"/>
      <c r="C385" s="710"/>
      <c r="D385" s="710"/>
      <c r="E385" s="710"/>
      <c r="F385" s="710"/>
      <c r="G385" s="710"/>
      <c r="H385" s="710"/>
      <c r="I385" s="710"/>
      <c r="J385" s="710"/>
      <c r="K385" s="710"/>
      <c r="L385" s="710"/>
      <c r="M385" s="710"/>
      <c r="N385" s="710"/>
      <c r="O385" s="711"/>
      <c r="P385" s="707" t="s">
        <v>40</v>
      </c>
      <c r="Q385" s="708"/>
      <c r="R385" s="708"/>
      <c r="S385" s="708"/>
      <c r="T385" s="708"/>
      <c r="U385" s="708"/>
      <c r="V385" s="709"/>
      <c r="W385" s="40" t="s">
        <v>39</v>
      </c>
      <c r="X385" s="41">
        <f>IFERROR(X381/H381,"0")+IFERROR(X382/H382,"0")+IFERROR(X383/H383,"0")+IFERROR(X384/H384,"0")</f>
        <v>0</v>
      </c>
      <c r="Y385" s="41">
        <f>IFERROR(Y381/H381,"0")+IFERROR(Y382/H382,"0")+IFERROR(Y383/H383,"0")+IFERROR(Y384/H384,"0")</f>
        <v>0</v>
      </c>
      <c r="Z385" s="41">
        <f>IFERROR(IF(Z381="",0,Z381),"0")+IFERROR(IF(Z382="",0,Z382),"0")+IFERROR(IF(Z383="",0,Z383),"0")+IFERROR(IF(Z384="",0,Z384),"0")</f>
        <v>0</v>
      </c>
      <c r="AA385" s="64"/>
      <c r="AB385" s="64"/>
      <c r="AC385" s="64"/>
    </row>
    <row r="386" spans="1:68" x14ac:dyDescent="0.2">
      <c r="A386" s="710"/>
      <c r="B386" s="710"/>
      <c r="C386" s="710"/>
      <c r="D386" s="710"/>
      <c r="E386" s="710"/>
      <c r="F386" s="710"/>
      <c r="G386" s="710"/>
      <c r="H386" s="710"/>
      <c r="I386" s="710"/>
      <c r="J386" s="710"/>
      <c r="K386" s="710"/>
      <c r="L386" s="710"/>
      <c r="M386" s="710"/>
      <c r="N386" s="710"/>
      <c r="O386" s="711"/>
      <c r="P386" s="707" t="s">
        <v>40</v>
      </c>
      <c r="Q386" s="708"/>
      <c r="R386" s="708"/>
      <c r="S386" s="708"/>
      <c r="T386" s="708"/>
      <c r="U386" s="708"/>
      <c r="V386" s="709"/>
      <c r="W386" s="40" t="s">
        <v>0</v>
      </c>
      <c r="X386" s="41">
        <f>IFERROR(SUM(X381:X384),"0")</f>
        <v>0</v>
      </c>
      <c r="Y386" s="41">
        <f>IFERROR(SUM(Y381:Y384),"0")</f>
        <v>0</v>
      </c>
      <c r="Z386" s="40"/>
      <c r="AA386" s="64"/>
      <c r="AB386" s="64"/>
      <c r="AC386" s="64"/>
    </row>
    <row r="387" spans="1:68" ht="14.25" customHeight="1" x14ac:dyDescent="0.25">
      <c r="A387" s="701" t="s">
        <v>181</v>
      </c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  <c r="AA387" s="63"/>
      <c r="AB387" s="63"/>
      <c r="AC387" s="63"/>
    </row>
    <row r="388" spans="1:68" ht="27" customHeight="1" x14ac:dyDescent="0.25">
      <c r="A388" s="60" t="s">
        <v>648</v>
      </c>
      <c r="B388" s="60" t="s">
        <v>649</v>
      </c>
      <c r="C388" s="34">
        <v>4301060387</v>
      </c>
      <c r="D388" s="702">
        <v>4607091380880</v>
      </c>
      <c r="E388" s="702"/>
      <c r="F388" s="59">
        <v>1.4</v>
      </c>
      <c r="G388" s="35">
        <v>6</v>
      </c>
      <c r="H388" s="59">
        <v>8.4</v>
      </c>
      <c r="I388" s="59">
        <v>8.8940000000000001</v>
      </c>
      <c r="J388" s="35">
        <v>64</v>
      </c>
      <c r="K388" s="35" t="s">
        <v>133</v>
      </c>
      <c r="L388" s="35" t="s">
        <v>46</v>
      </c>
      <c r="M388" s="36" t="s">
        <v>90</v>
      </c>
      <c r="N388" s="36"/>
      <c r="O388" s="35">
        <v>30</v>
      </c>
      <c r="P388" s="909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88" s="704"/>
      <c r="R388" s="704"/>
      <c r="S388" s="704"/>
      <c r="T388" s="705"/>
      <c r="U388" s="37" t="s">
        <v>46</v>
      </c>
      <c r="V388" s="37" t="s">
        <v>46</v>
      </c>
      <c r="W388" s="38" t="s">
        <v>0</v>
      </c>
      <c r="X388" s="56">
        <v>0</v>
      </c>
      <c r="Y388" s="53">
        <f>IFERROR(IF(X388="",0,CEILING((X388/$H388),1)*$H388),"")</f>
        <v>0</v>
      </c>
      <c r="Z388" s="39" t="str">
        <f>IFERROR(IF(Y388=0,"",ROUNDUP(Y388/H388,0)*0.01898),"")</f>
        <v/>
      </c>
      <c r="AA388" s="65" t="s">
        <v>46</v>
      </c>
      <c r="AB388" s="66" t="s">
        <v>46</v>
      </c>
      <c r="AC388" s="479" t="s">
        <v>650</v>
      </c>
      <c r="AG388" s="75"/>
      <c r="AJ388" s="79" t="s">
        <v>46</v>
      </c>
      <c r="AK388" s="79">
        <v>0</v>
      </c>
      <c r="BB388" s="480" t="s">
        <v>67</v>
      </c>
      <c r="BM388" s="75">
        <f>IFERROR(X388*I388/H388,"0")</f>
        <v>0</v>
      </c>
      <c r="BN388" s="75">
        <f>IFERROR(Y388*I388/H388,"0")</f>
        <v>0</v>
      </c>
      <c r="BO388" s="75">
        <f>IFERROR(1/J388*(X388/H388),"0")</f>
        <v>0</v>
      </c>
      <c r="BP388" s="75">
        <f>IFERROR(1/J388*(Y388/H388),"0")</f>
        <v>0</v>
      </c>
    </row>
    <row r="389" spans="1:68" ht="27" customHeight="1" x14ac:dyDescent="0.25">
      <c r="A389" s="60" t="s">
        <v>651</v>
      </c>
      <c r="B389" s="60" t="s">
        <v>652</v>
      </c>
      <c r="C389" s="34">
        <v>4301060406</v>
      </c>
      <c r="D389" s="702">
        <v>4607091384482</v>
      </c>
      <c r="E389" s="702"/>
      <c r="F389" s="59">
        <v>1.3</v>
      </c>
      <c r="G389" s="35">
        <v>6</v>
      </c>
      <c r="H389" s="59">
        <v>7.8</v>
      </c>
      <c r="I389" s="59">
        <v>8.2940000000000005</v>
      </c>
      <c r="J389" s="35">
        <v>64</v>
      </c>
      <c r="K389" s="35" t="s">
        <v>133</v>
      </c>
      <c r="L389" s="35" t="s">
        <v>46</v>
      </c>
      <c r="M389" s="36" t="s">
        <v>90</v>
      </c>
      <c r="N389" s="36"/>
      <c r="O389" s="35">
        <v>30</v>
      </c>
      <c r="P389" s="910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89" s="704"/>
      <c r="R389" s="704"/>
      <c r="S389" s="704"/>
      <c r="T389" s="705"/>
      <c r="U389" s="37" t="s">
        <v>46</v>
      </c>
      <c r="V389" s="37" t="s">
        <v>46</v>
      </c>
      <c r="W389" s="38" t="s">
        <v>0</v>
      </c>
      <c r="X389" s="56">
        <v>0</v>
      </c>
      <c r="Y389" s="53">
        <f>IFERROR(IF(X389="",0,CEILING((X389/$H389),1)*$H389),"")</f>
        <v>0</v>
      </c>
      <c r="Z389" s="39" t="str">
        <f>IFERROR(IF(Y389=0,"",ROUNDUP(Y389/H389,0)*0.01898),"")</f>
        <v/>
      </c>
      <c r="AA389" s="65" t="s">
        <v>46</v>
      </c>
      <c r="AB389" s="66" t="s">
        <v>46</v>
      </c>
      <c r="AC389" s="481" t="s">
        <v>653</v>
      </c>
      <c r="AG389" s="75"/>
      <c r="AJ389" s="79" t="s">
        <v>46</v>
      </c>
      <c r="AK389" s="79">
        <v>0</v>
      </c>
      <c r="BB389" s="482" t="s">
        <v>67</v>
      </c>
      <c r="BM389" s="75">
        <f>IFERROR(X389*I389/H389,"0")</f>
        <v>0</v>
      </c>
      <c r="BN389" s="75">
        <f>IFERROR(Y389*I389/H389,"0")</f>
        <v>0</v>
      </c>
      <c r="BO389" s="75">
        <f>IFERROR(1/J389*(X389/H389),"0")</f>
        <v>0</v>
      </c>
      <c r="BP389" s="75">
        <f>IFERROR(1/J389*(Y389/H389),"0")</f>
        <v>0</v>
      </c>
    </row>
    <row r="390" spans="1:68" ht="16.5" customHeight="1" x14ac:dyDescent="0.25">
      <c r="A390" s="60" t="s">
        <v>654</v>
      </c>
      <c r="B390" s="60" t="s">
        <v>655</v>
      </c>
      <c r="C390" s="34">
        <v>4301060484</v>
      </c>
      <c r="D390" s="702">
        <v>4607091380897</v>
      </c>
      <c r="E390" s="702"/>
      <c r="F390" s="59">
        <v>1.4</v>
      </c>
      <c r="G390" s="35">
        <v>6</v>
      </c>
      <c r="H390" s="59">
        <v>8.4</v>
      </c>
      <c r="I390" s="59">
        <v>8.8940000000000001</v>
      </c>
      <c r="J390" s="35">
        <v>64</v>
      </c>
      <c r="K390" s="35" t="s">
        <v>133</v>
      </c>
      <c r="L390" s="35" t="s">
        <v>46</v>
      </c>
      <c r="M390" s="36" t="s">
        <v>97</v>
      </c>
      <c r="N390" s="36"/>
      <c r="O390" s="35">
        <v>30</v>
      </c>
      <c r="P390" s="911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90" s="704"/>
      <c r="R390" s="704"/>
      <c r="S390" s="704"/>
      <c r="T390" s="705"/>
      <c r="U390" s="37" t="s">
        <v>46</v>
      </c>
      <c r="V390" s="37" t="s">
        <v>46</v>
      </c>
      <c r="W390" s="38" t="s">
        <v>0</v>
      </c>
      <c r="X390" s="56">
        <v>0</v>
      </c>
      <c r="Y390" s="53">
        <f>IFERROR(IF(X390="",0,CEILING((X390/$H390),1)*$H390),"")</f>
        <v>0</v>
      </c>
      <c r="Z390" s="39" t="str">
        <f>IFERROR(IF(Y390=0,"",ROUNDUP(Y390/H390,0)*0.01898),"")</f>
        <v/>
      </c>
      <c r="AA390" s="65" t="s">
        <v>46</v>
      </c>
      <c r="AB390" s="66" t="s">
        <v>46</v>
      </c>
      <c r="AC390" s="483" t="s">
        <v>656</v>
      </c>
      <c r="AG390" s="75"/>
      <c r="AJ390" s="79" t="s">
        <v>46</v>
      </c>
      <c r="AK390" s="79">
        <v>0</v>
      </c>
      <c r="BB390" s="484" t="s">
        <v>67</v>
      </c>
      <c r="BM390" s="75">
        <f>IFERROR(X390*I390/H390,"0")</f>
        <v>0</v>
      </c>
      <c r="BN390" s="75">
        <f>IFERROR(Y390*I390/H390,"0")</f>
        <v>0</v>
      </c>
      <c r="BO390" s="75">
        <f>IFERROR(1/J390*(X390/H390),"0")</f>
        <v>0</v>
      </c>
      <c r="BP390" s="75">
        <f>IFERROR(1/J390*(Y390/H390),"0")</f>
        <v>0</v>
      </c>
    </row>
    <row r="391" spans="1:68" x14ac:dyDescent="0.2">
      <c r="A391" s="710"/>
      <c r="B391" s="710"/>
      <c r="C391" s="710"/>
      <c r="D391" s="710"/>
      <c r="E391" s="710"/>
      <c r="F391" s="710"/>
      <c r="G391" s="710"/>
      <c r="H391" s="710"/>
      <c r="I391" s="710"/>
      <c r="J391" s="710"/>
      <c r="K391" s="710"/>
      <c r="L391" s="710"/>
      <c r="M391" s="710"/>
      <c r="N391" s="710"/>
      <c r="O391" s="711"/>
      <c r="P391" s="707" t="s">
        <v>40</v>
      </c>
      <c r="Q391" s="708"/>
      <c r="R391" s="708"/>
      <c r="S391" s="708"/>
      <c r="T391" s="708"/>
      <c r="U391" s="708"/>
      <c r="V391" s="709"/>
      <c r="W391" s="40" t="s">
        <v>39</v>
      </c>
      <c r="X391" s="41">
        <f>IFERROR(X388/H388,"0")+IFERROR(X389/H389,"0")+IFERROR(X390/H390,"0")</f>
        <v>0</v>
      </c>
      <c r="Y391" s="41">
        <f>IFERROR(Y388/H388,"0")+IFERROR(Y389/H389,"0")+IFERROR(Y390/H390,"0")</f>
        <v>0</v>
      </c>
      <c r="Z391" s="41">
        <f>IFERROR(IF(Z388="",0,Z388),"0")+IFERROR(IF(Z389="",0,Z389),"0")+IFERROR(IF(Z390="",0,Z390),"0")</f>
        <v>0</v>
      </c>
      <c r="AA391" s="64"/>
      <c r="AB391" s="64"/>
      <c r="AC391" s="64"/>
    </row>
    <row r="392" spans="1:68" x14ac:dyDescent="0.2">
      <c r="A392" s="710"/>
      <c r="B392" s="710"/>
      <c r="C392" s="710"/>
      <c r="D392" s="710"/>
      <c r="E392" s="710"/>
      <c r="F392" s="710"/>
      <c r="G392" s="710"/>
      <c r="H392" s="710"/>
      <c r="I392" s="710"/>
      <c r="J392" s="710"/>
      <c r="K392" s="710"/>
      <c r="L392" s="710"/>
      <c r="M392" s="710"/>
      <c r="N392" s="710"/>
      <c r="O392" s="711"/>
      <c r="P392" s="707" t="s">
        <v>40</v>
      </c>
      <c r="Q392" s="708"/>
      <c r="R392" s="708"/>
      <c r="S392" s="708"/>
      <c r="T392" s="708"/>
      <c r="U392" s="708"/>
      <c r="V392" s="709"/>
      <c r="W392" s="40" t="s">
        <v>0</v>
      </c>
      <c r="X392" s="41">
        <f>IFERROR(SUM(X388:X390),"0")</f>
        <v>0</v>
      </c>
      <c r="Y392" s="41">
        <f>IFERROR(SUM(Y388:Y390),"0")</f>
        <v>0</v>
      </c>
      <c r="Z392" s="40"/>
      <c r="AA392" s="64"/>
      <c r="AB392" s="64"/>
      <c r="AC392" s="64"/>
    </row>
    <row r="393" spans="1:68" ht="14.25" customHeight="1" x14ac:dyDescent="0.25">
      <c r="A393" s="701" t="s">
        <v>104</v>
      </c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  <c r="AA393" s="63"/>
      <c r="AB393" s="63"/>
      <c r="AC393" s="63"/>
    </row>
    <row r="394" spans="1:68" ht="27" customHeight="1" x14ac:dyDescent="0.25">
      <c r="A394" s="60" t="s">
        <v>657</v>
      </c>
      <c r="B394" s="60" t="s">
        <v>658</v>
      </c>
      <c r="C394" s="34">
        <v>4301030235</v>
      </c>
      <c r="D394" s="702">
        <v>4607091388381</v>
      </c>
      <c r="E394" s="702"/>
      <c r="F394" s="59">
        <v>0.38</v>
      </c>
      <c r="G394" s="35">
        <v>8</v>
      </c>
      <c r="H394" s="59">
        <v>3.04</v>
      </c>
      <c r="I394" s="59">
        <v>3.31</v>
      </c>
      <c r="J394" s="35">
        <v>132</v>
      </c>
      <c r="K394" s="35" t="s">
        <v>140</v>
      </c>
      <c r="L394" s="35" t="s">
        <v>46</v>
      </c>
      <c r="M394" s="36" t="s">
        <v>109</v>
      </c>
      <c r="N394" s="36"/>
      <c r="O394" s="35">
        <v>180</v>
      </c>
      <c r="P394" s="912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94" s="704"/>
      <c r="R394" s="704"/>
      <c r="S394" s="704"/>
      <c r="T394" s="705"/>
      <c r="U394" s="37" t="s">
        <v>46</v>
      </c>
      <c r="V394" s="37" t="s">
        <v>46</v>
      </c>
      <c r="W394" s="38" t="s">
        <v>0</v>
      </c>
      <c r="X394" s="56">
        <v>0</v>
      </c>
      <c r="Y394" s="53">
        <f>IFERROR(IF(X394="",0,CEILING((X394/$H394),1)*$H394),"")</f>
        <v>0</v>
      </c>
      <c r="Z394" s="39" t="str">
        <f>IFERROR(IF(Y394=0,"",ROUNDUP(Y394/H394,0)*0.00902),"")</f>
        <v/>
      </c>
      <c r="AA394" s="65" t="s">
        <v>46</v>
      </c>
      <c r="AB394" s="66" t="s">
        <v>46</v>
      </c>
      <c r="AC394" s="485" t="s">
        <v>659</v>
      </c>
      <c r="AG394" s="75"/>
      <c r="AJ394" s="79" t="s">
        <v>46</v>
      </c>
      <c r="AK394" s="79">
        <v>0</v>
      </c>
      <c r="BB394" s="486" t="s">
        <v>67</v>
      </c>
      <c r="BM394" s="75">
        <f>IFERROR(X394*I394/H394,"0")</f>
        <v>0</v>
      </c>
      <c r="BN394" s="75">
        <f>IFERROR(Y394*I394/H394,"0")</f>
        <v>0</v>
      </c>
      <c r="BO394" s="75">
        <f>IFERROR(1/J394*(X394/H394),"0")</f>
        <v>0</v>
      </c>
      <c r="BP394" s="75">
        <f>IFERROR(1/J394*(Y394/H394),"0")</f>
        <v>0</v>
      </c>
    </row>
    <row r="395" spans="1:68" ht="27" customHeight="1" x14ac:dyDescent="0.25">
      <c r="A395" s="60" t="s">
        <v>660</v>
      </c>
      <c r="B395" s="60" t="s">
        <v>661</v>
      </c>
      <c r="C395" s="34">
        <v>4301030232</v>
      </c>
      <c r="D395" s="702">
        <v>4607091388374</v>
      </c>
      <c r="E395" s="702"/>
      <c r="F395" s="59">
        <v>0.38</v>
      </c>
      <c r="G395" s="35">
        <v>8</v>
      </c>
      <c r="H395" s="59">
        <v>3.04</v>
      </c>
      <c r="I395" s="59">
        <v>3.27</v>
      </c>
      <c r="J395" s="35">
        <v>132</v>
      </c>
      <c r="K395" s="35" t="s">
        <v>140</v>
      </c>
      <c r="L395" s="35" t="s">
        <v>46</v>
      </c>
      <c r="M395" s="36" t="s">
        <v>109</v>
      </c>
      <c r="N395" s="36"/>
      <c r="O395" s="35">
        <v>180</v>
      </c>
      <c r="P395" s="913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95" s="704"/>
      <c r="R395" s="704"/>
      <c r="S395" s="704"/>
      <c r="T395" s="705"/>
      <c r="U395" s="37" t="s">
        <v>46</v>
      </c>
      <c r="V395" s="37" t="s">
        <v>46</v>
      </c>
      <c r="W395" s="38" t="s">
        <v>0</v>
      </c>
      <c r="X395" s="56">
        <v>0</v>
      </c>
      <c r="Y395" s="53">
        <f>IFERROR(IF(X395="",0,CEILING((X395/$H395),1)*$H395),"")</f>
        <v>0</v>
      </c>
      <c r="Z395" s="39" t="str">
        <f>IFERROR(IF(Y395=0,"",ROUNDUP(Y395/H395,0)*0.00902),"")</f>
        <v/>
      </c>
      <c r="AA395" s="65" t="s">
        <v>46</v>
      </c>
      <c r="AB395" s="66" t="s">
        <v>46</v>
      </c>
      <c r="AC395" s="487" t="s">
        <v>659</v>
      </c>
      <c r="AG395" s="75"/>
      <c r="AJ395" s="79" t="s">
        <v>46</v>
      </c>
      <c r="AK395" s="79">
        <v>0</v>
      </c>
      <c r="BB395" s="488" t="s">
        <v>67</v>
      </c>
      <c r="BM395" s="75">
        <f>IFERROR(X395*I395/H395,"0")</f>
        <v>0</v>
      </c>
      <c r="BN395" s="75">
        <f>IFERROR(Y395*I395/H395,"0")</f>
        <v>0</v>
      </c>
      <c r="BO395" s="75">
        <f>IFERROR(1/J395*(X395/H395),"0")</f>
        <v>0</v>
      </c>
      <c r="BP395" s="75">
        <f>IFERROR(1/J395*(Y395/H395),"0")</f>
        <v>0</v>
      </c>
    </row>
    <row r="396" spans="1:68" ht="27" customHeight="1" x14ac:dyDescent="0.25">
      <c r="A396" s="60" t="s">
        <v>662</v>
      </c>
      <c r="B396" s="60" t="s">
        <v>663</v>
      </c>
      <c r="C396" s="34">
        <v>4301032015</v>
      </c>
      <c r="D396" s="702">
        <v>4607091383102</v>
      </c>
      <c r="E396" s="702"/>
      <c r="F396" s="59">
        <v>0.17</v>
      </c>
      <c r="G396" s="35">
        <v>15</v>
      </c>
      <c r="H396" s="59">
        <v>2.5499999999999998</v>
      </c>
      <c r="I396" s="59">
        <v>2.9550000000000001</v>
      </c>
      <c r="J396" s="35">
        <v>182</v>
      </c>
      <c r="K396" s="35" t="s">
        <v>91</v>
      </c>
      <c r="L396" s="35" t="s">
        <v>46</v>
      </c>
      <c r="M396" s="36" t="s">
        <v>109</v>
      </c>
      <c r="N396" s="36"/>
      <c r="O396" s="35">
        <v>180</v>
      </c>
      <c r="P396" s="914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96" s="704"/>
      <c r="R396" s="704"/>
      <c r="S396" s="704"/>
      <c r="T396" s="705"/>
      <c r="U396" s="37" t="s">
        <v>46</v>
      </c>
      <c r="V396" s="37" t="s">
        <v>46</v>
      </c>
      <c r="W396" s="38" t="s">
        <v>0</v>
      </c>
      <c r="X396" s="56">
        <v>0</v>
      </c>
      <c r="Y396" s="53">
        <f>IFERROR(IF(X396="",0,CEILING((X396/$H396),1)*$H396),"")</f>
        <v>0</v>
      </c>
      <c r="Z396" s="39" t="str">
        <f>IFERROR(IF(Y396=0,"",ROUNDUP(Y396/H396,0)*0.00651),"")</f>
        <v/>
      </c>
      <c r="AA396" s="65" t="s">
        <v>46</v>
      </c>
      <c r="AB396" s="66" t="s">
        <v>46</v>
      </c>
      <c r="AC396" s="489" t="s">
        <v>659</v>
      </c>
      <c r="AG396" s="75"/>
      <c r="AJ396" s="79" t="s">
        <v>46</v>
      </c>
      <c r="AK396" s="79">
        <v>0</v>
      </c>
      <c r="BB396" s="490" t="s">
        <v>67</v>
      </c>
      <c r="BM396" s="75">
        <f>IFERROR(X396*I396/H396,"0")</f>
        <v>0</v>
      </c>
      <c r="BN396" s="75">
        <f>IFERROR(Y396*I396/H396,"0")</f>
        <v>0</v>
      </c>
      <c r="BO396" s="75">
        <f>IFERROR(1/J396*(X396/H396),"0")</f>
        <v>0</v>
      </c>
      <c r="BP396" s="75">
        <f>IFERROR(1/J396*(Y396/H396),"0")</f>
        <v>0</v>
      </c>
    </row>
    <row r="397" spans="1:68" ht="27" customHeight="1" x14ac:dyDescent="0.25">
      <c r="A397" s="60" t="s">
        <v>664</v>
      </c>
      <c r="B397" s="60" t="s">
        <v>665</v>
      </c>
      <c r="C397" s="34">
        <v>4301030233</v>
      </c>
      <c r="D397" s="702">
        <v>4607091388404</v>
      </c>
      <c r="E397" s="702"/>
      <c r="F397" s="59">
        <v>0.17</v>
      </c>
      <c r="G397" s="35">
        <v>15</v>
      </c>
      <c r="H397" s="59">
        <v>2.5499999999999998</v>
      </c>
      <c r="I397" s="59">
        <v>2.88</v>
      </c>
      <c r="J397" s="35">
        <v>182</v>
      </c>
      <c r="K397" s="35" t="s">
        <v>91</v>
      </c>
      <c r="L397" s="35" t="s">
        <v>46</v>
      </c>
      <c r="M397" s="36" t="s">
        <v>109</v>
      </c>
      <c r="N397" s="36"/>
      <c r="O397" s="35">
        <v>180</v>
      </c>
      <c r="P397" s="915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97" s="704"/>
      <c r="R397" s="704"/>
      <c r="S397" s="704"/>
      <c r="T397" s="705"/>
      <c r="U397" s="37" t="s">
        <v>46</v>
      </c>
      <c r="V397" s="37" t="s">
        <v>46</v>
      </c>
      <c r="W397" s="38" t="s">
        <v>0</v>
      </c>
      <c r="X397" s="56">
        <v>0</v>
      </c>
      <c r="Y397" s="53">
        <f>IFERROR(IF(X397="",0,CEILING((X397/$H397),1)*$H397),"")</f>
        <v>0</v>
      </c>
      <c r="Z397" s="39" t="str">
        <f>IFERROR(IF(Y397=0,"",ROUNDUP(Y397/H397,0)*0.00651),"")</f>
        <v/>
      </c>
      <c r="AA397" s="65" t="s">
        <v>46</v>
      </c>
      <c r="AB397" s="66" t="s">
        <v>46</v>
      </c>
      <c r="AC397" s="491" t="s">
        <v>659</v>
      </c>
      <c r="AG397" s="75"/>
      <c r="AJ397" s="79" t="s">
        <v>46</v>
      </c>
      <c r="AK397" s="79">
        <v>0</v>
      </c>
      <c r="BB397" s="492" t="s">
        <v>67</v>
      </c>
      <c r="BM397" s="75">
        <f>IFERROR(X397*I397/H397,"0")</f>
        <v>0</v>
      </c>
      <c r="BN397" s="75">
        <f>IFERROR(Y397*I397/H397,"0")</f>
        <v>0</v>
      </c>
      <c r="BO397" s="75">
        <f>IFERROR(1/J397*(X397/H397),"0")</f>
        <v>0</v>
      </c>
      <c r="BP397" s="75">
        <f>IFERROR(1/J397*(Y397/H397),"0")</f>
        <v>0</v>
      </c>
    </row>
    <row r="398" spans="1:68" x14ac:dyDescent="0.2">
      <c r="A398" s="710"/>
      <c r="B398" s="710"/>
      <c r="C398" s="710"/>
      <c r="D398" s="710"/>
      <c r="E398" s="710"/>
      <c r="F398" s="710"/>
      <c r="G398" s="710"/>
      <c r="H398" s="710"/>
      <c r="I398" s="710"/>
      <c r="J398" s="710"/>
      <c r="K398" s="710"/>
      <c r="L398" s="710"/>
      <c r="M398" s="710"/>
      <c r="N398" s="710"/>
      <c r="O398" s="711"/>
      <c r="P398" s="707" t="s">
        <v>40</v>
      </c>
      <c r="Q398" s="708"/>
      <c r="R398" s="708"/>
      <c r="S398" s="708"/>
      <c r="T398" s="708"/>
      <c r="U398" s="708"/>
      <c r="V398" s="709"/>
      <c r="W398" s="40" t="s">
        <v>39</v>
      </c>
      <c r="X398" s="41">
        <f>IFERROR(X394/H394,"0")+IFERROR(X395/H395,"0")+IFERROR(X396/H396,"0")+IFERROR(X397/H397,"0")</f>
        <v>0</v>
      </c>
      <c r="Y398" s="41">
        <f>IFERROR(Y394/H394,"0")+IFERROR(Y395/H395,"0")+IFERROR(Y396/H396,"0")+IFERROR(Y397/H397,"0")</f>
        <v>0</v>
      </c>
      <c r="Z398" s="41">
        <f>IFERROR(IF(Z394="",0,Z394),"0")+IFERROR(IF(Z395="",0,Z395),"0")+IFERROR(IF(Z396="",0,Z396),"0")+IFERROR(IF(Z397="",0,Z397),"0")</f>
        <v>0</v>
      </c>
      <c r="AA398" s="64"/>
      <c r="AB398" s="64"/>
      <c r="AC398" s="64"/>
    </row>
    <row r="399" spans="1:68" x14ac:dyDescent="0.2">
      <c r="A399" s="710"/>
      <c r="B399" s="710"/>
      <c r="C399" s="710"/>
      <c r="D399" s="710"/>
      <c r="E399" s="710"/>
      <c r="F399" s="710"/>
      <c r="G399" s="710"/>
      <c r="H399" s="710"/>
      <c r="I399" s="710"/>
      <c r="J399" s="710"/>
      <c r="K399" s="710"/>
      <c r="L399" s="710"/>
      <c r="M399" s="710"/>
      <c r="N399" s="710"/>
      <c r="O399" s="711"/>
      <c r="P399" s="707" t="s">
        <v>40</v>
      </c>
      <c r="Q399" s="708"/>
      <c r="R399" s="708"/>
      <c r="S399" s="708"/>
      <c r="T399" s="708"/>
      <c r="U399" s="708"/>
      <c r="V399" s="709"/>
      <c r="W399" s="40" t="s">
        <v>0</v>
      </c>
      <c r="X399" s="41">
        <f>IFERROR(SUM(X394:X397),"0")</f>
        <v>0</v>
      </c>
      <c r="Y399" s="41">
        <f>IFERROR(SUM(Y394:Y397),"0")</f>
        <v>0</v>
      </c>
      <c r="Z399" s="40"/>
      <c r="AA399" s="64"/>
      <c r="AB399" s="64"/>
      <c r="AC399" s="64"/>
    </row>
    <row r="400" spans="1:68" ht="14.25" customHeight="1" x14ac:dyDescent="0.25">
      <c r="A400" s="701" t="s">
        <v>666</v>
      </c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  <c r="AA400" s="63"/>
      <c r="AB400" s="63"/>
      <c r="AC400" s="63"/>
    </row>
    <row r="401" spans="1:68" ht="16.5" customHeight="1" x14ac:dyDescent="0.25">
      <c r="A401" s="60" t="s">
        <v>667</v>
      </c>
      <c r="B401" s="60" t="s">
        <v>668</v>
      </c>
      <c r="C401" s="34">
        <v>4301180007</v>
      </c>
      <c r="D401" s="702">
        <v>4680115881808</v>
      </c>
      <c r="E401" s="702"/>
      <c r="F401" s="59">
        <v>0.1</v>
      </c>
      <c r="G401" s="35">
        <v>20</v>
      </c>
      <c r="H401" s="59">
        <v>2</v>
      </c>
      <c r="I401" s="59">
        <v>2.2400000000000002</v>
      </c>
      <c r="J401" s="35">
        <v>238</v>
      </c>
      <c r="K401" s="35" t="s">
        <v>91</v>
      </c>
      <c r="L401" s="35" t="s">
        <v>46</v>
      </c>
      <c r="M401" s="36" t="s">
        <v>670</v>
      </c>
      <c r="N401" s="36"/>
      <c r="O401" s="35">
        <v>731</v>
      </c>
      <c r="P401" s="916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401" s="704"/>
      <c r="R401" s="704"/>
      <c r="S401" s="704"/>
      <c r="T401" s="705"/>
      <c r="U401" s="37" t="s">
        <v>46</v>
      </c>
      <c r="V401" s="37" t="s">
        <v>46</v>
      </c>
      <c r="W401" s="38" t="s">
        <v>0</v>
      </c>
      <c r="X401" s="56">
        <v>0</v>
      </c>
      <c r="Y401" s="53">
        <f>IFERROR(IF(X401="",0,CEILING((X401/$H401),1)*$H401),"")</f>
        <v>0</v>
      </c>
      <c r="Z401" s="39" t="str">
        <f>IFERROR(IF(Y401=0,"",ROUNDUP(Y401/H401,0)*0.00474),"")</f>
        <v/>
      </c>
      <c r="AA401" s="65" t="s">
        <v>46</v>
      </c>
      <c r="AB401" s="66" t="s">
        <v>46</v>
      </c>
      <c r="AC401" s="493" t="s">
        <v>669</v>
      </c>
      <c r="AG401" s="75"/>
      <c r="AJ401" s="79" t="s">
        <v>46</v>
      </c>
      <c r="AK401" s="79">
        <v>0</v>
      </c>
      <c r="BB401" s="494" t="s">
        <v>67</v>
      </c>
      <c r="BM401" s="75">
        <f>IFERROR(X401*I401/H401,"0")</f>
        <v>0</v>
      </c>
      <c r="BN401" s="75">
        <f>IFERROR(Y401*I401/H401,"0")</f>
        <v>0</v>
      </c>
      <c r="BO401" s="75">
        <f>IFERROR(1/J401*(X401/H401),"0")</f>
        <v>0</v>
      </c>
      <c r="BP401" s="75">
        <f>IFERROR(1/J401*(Y401/H401),"0")</f>
        <v>0</v>
      </c>
    </row>
    <row r="402" spans="1:68" ht="27" customHeight="1" x14ac:dyDescent="0.25">
      <c r="A402" s="60" t="s">
        <v>671</v>
      </c>
      <c r="B402" s="60" t="s">
        <v>672</v>
      </c>
      <c r="C402" s="34">
        <v>4301180006</v>
      </c>
      <c r="D402" s="702">
        <v>4680115881822</v>
      </c>
      <c r="E402" s="702"/>
      <c r="F402" s="59">
        <v>0.1</v>
      </c>
      <c r="G402" s="35">
        <v>20</v>
      </c>
      <c r="H402" s="59">
        <v>2</v>
      </c>
      <c r="I402" s="59">
        <v>2.2400000000000002</v>
      </c>
      <c r="J402" s="35">
        <v>238</v>
      </c>
      <c r="K402" s="35" t="s">
        <v>91</v>
      </c>
      <c r="L402" s="35" t="s">
        <v>46</v>
      </c>
      <c r="M402" s="36" t="s">
        <v>670</v>
      </c>
      <c r="N402" s="36"/>
      <c r="O402" s="35">
        <v>731</v>
      </c>
      <c r="P402" s="917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402" s="704"/>
      <c r="R402" s="704"/>
      <c r="S402" s="704"/>
      <c r="T402" s="705"/>
      <c r="U402" s="37" t="s">
        <v>46</v>
      </c>
      <c r="V402" s="37" t="s">
        <v>46</v>
      </c>
      <c r="W402" s="38" t="s">
        <v>0</v>
      </c>
      <c r="X402" s="56">
        <v>0</v>
      </c>
      <c r="Y402" s="53">
        <f>IFERROR(IF(X402="",0,CEILING((X402/$H402),1)*$H402),"")</f>
        <v>0</v>
      </c>
      <c r="Z402" s="39" t="str">
        <f>IFERROR(IF(Y402=0,"",ROUNDUP(Y402/H402,0)*0.00474),"")</f>
        <v/>
      </c>
      <c r="AA402" s="65" t="s">
        <v>46</v>
      </c>
      <c r="AB402" s="66" t="s">
        <v>46</v>
      </c>
      <c r="AC402" s="495" t="s">
        <v>669</v>
      </c>
      <c r="AG402" s="75"/>
      <c r="AJ402" s="79" t="s">
        <v>46</v>
      </c>
      <c r="AK402" s="79">
        <v>0</v>
      </c>
      <c r="BB402" s="496" t="s">
        <v>67</v>
      </c>
      <c r="BM402" s="75">
        <f>IFERROR(X402*I402/H402,"0")</f>
        <v>0</v>
      </c>
      <c r="BN402" s="75">
        <f>IFERROR(Y402*I402/H402,"0")</f>
        <v>0</v>
      </c>
      <c r="BO402" s="75">
        <f>IFERROR(1/J402*(X402/H402),"0")</f>
        <v>0</v>
      </c>
      <c r="BP402" s="75">
        <f>IFERROR(1/J402*(Y402/H402),"0")</f>
        <v>0</v>
      </c>
    </row>
    <row r="403" spans="1:68" ht="27" customHeight="1" x14ac:dyDescent="0.25">
      <c r="A403" s="60" t="s">
        <v>673</v>
      </c>
      <c r="B403" s="60" t="s">
        <v>674</v>
      </c>
      <c r="C403" s="34">
        <v>4301180001</v>
      </c>
      <c r="D403" s="702">
        <v>4680115880016</v>
      </c>
      <c r="E403" s="702"/>
      <c r="F403" s="59">
        <v>0.1</v>
      </c>
      <c r="G403" s="35">
        <v>20</v>
      </c>
      <c r="H403" s="59">
        <v>2</v>
      </c>
      <c r="I403" s="59">
        <v>2.2400000000000002</v>
      </c>
      <c r="J403" s="35">
        <v>238</v>
      </c>
      <c r="K403" s="35" t="s">
        <v>91</v>
      </c>
      <c r="L403" s="35" t="s">
        <v>46</v>
      </c>
      <c r="M403" s="36" t="s">
        <v>670</v>
      </c>
      <c r="N403" s="36"/>
      <c r="O403" s="35">
        <v>731</v>
      </c>
      <c r="P403" s="918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03" s="704"/>
      <c r="R403" s="704"/>
      <c r="S403" s="704"/>
      <c r="T403" s="705"/>
      <c r="U403" s="37" t="s">
        <v>46</v>
      </c>
      <c r="V403" s="37" t="s">
        <v>46</v>
      </c>
      <c r="W403" s="38" t="s">
        <v>0</v>
      </c>
      <c r="X403" s="56">
        <v>0</v>
      </c>
      <c r="Y403" s="53">
        <f>IFERROR(IF(X403="",0,CEILING((X403/$H403),1)*$H403),"")</f>
        <v>0</v>
      </c>
      <c r="Z403" s="39" t="str">
        <f>IFERROR(IF(Y403=0,"",ROUNDUP(Y403/H403,0)*0.00474),"")</f>
        <v/>
      </c>
      <c r="AA403" s="65" t="s">
        <v>46</v>
      </c>
      <c r="AB403" s="66" t="s">
        <v>46</v>
      </c>
      <c r="AC403" s="497" t="s">
        <v>669</v>
      </c>
      <c r="AG403" s="75"/>
      <c r="AJ403" s="79" t="s">
        <v>46</v>
      </c>
      <c r="AK403" s="79">
        <v>0</v>
      </c>
      <c r="BB403" s="498" t="s">
        <v>67</v>
      </c>
      <c r="BM403" s="75">
        <f>IFERROR(X403*I403/H403,"0")</f>
        <v>0</v>
      </c>
      <c r="BN403" s="75">
        <f>IFERROR(Y403*I403/H403,"0")</f>
        <v>0</v>
      </c>
      <c r="BO403" s="75">
        <f>IFERROR(1/J403*(X403/H403),"0")</f>
        <v>0</v>
      </c>
      <c r="BP403" s="75">
        <f>IFERROR(1/J403*(Y403/H403),"0")</f>
        <v>0</v>
      </c>
    </row>
    <row r="404" spans="1:68" x14ac:dyDescent="0.2">
      <c r="A404" s="710"/>
      <c r="B404" s="710"/>
      <c r="C404" s="710"/>
      <c r="D404" s="710"/>
      <c r="E404" s="710"/>
      <c r="F404" s="710"/>
      <c r="G404" s="710"/>
      <c r="H404" s="710"/>
      <c r="I404" s="710"/>
      <c r="J404" s="710"/>
      <c r="K404" s="710"/>
      <c r="L404" s="710"/>
      <c r="M404" s="710"/>
      <c r="N404" s="710"/>
      <c r="O404" s="711"/>
      <c r="P404" s="707" t="s">
        <v>40</v>
      </c>
      <c r="Q404" s="708"/>
      <c r="R404" s="708"/>
      <c r="S404" s="708"/>
      <c r="T404" s="708"/>
      <c r="U404" s="708"/>
      <c r="V404" s="709"/>
      <c r="W404" s="40" t="s">
        <v>39</v>
      </c>
      <c r="X404" s="41">
        <f>IFERROR(X401/H401,"0")+IFERROR(X402/H402,"0")+IFERROR(X403/H403,"0")</f>
        <v>0</v>
      </c>
      <c r="Y404" s="41">
        <f>IFERROR(Y401/H401,"0")+IFERROR(Y402/H402,"0")+IFERROR(Y403/H403,"0")</f>
        <v>0</v>
      </c>
      <c r="Z404" s="41">
        <f>IFERROR(IF(Z401="",0,Z401),"0")+IFERROR(IF(Z402="",0,Z402),"0")+IFERROR(IF(Z403="",0,Z403),"0")</f>
        <v>0</v>
      </c>
      <c r="AA404" s="64"/>
      <c r="AB404" s="64"/>
      <c r="AC404" s="64"/>
    </row>
    <row r="405" spans="1:68" x14ac:dyDescent="0.2">
      <c r="A405" s="710"/>
      <c r="B405" s="710"/>
      <c r="C405" s="710"/>
      <c r="D405" s="710"/>
      <c r="E405" s="710"/>
      <c r="F405" s="710"/>
      <c r="G405" s="710"/>
      <c r="H405" s="710"/>
      <c r="I405" s="710"/>
      <c r="J405" s="710"/>
      <c r="K405" s="710"/>
      <c r="L405" s="710"/>
      <c r="M405" s="710"/>
      <c r="N405" s="710"/>
      <c r="O405" s="711"/>
      <c r="P405" s="707" t="s">
        <v>40</v>
      </c>
      <c r="Q405" s="708"/>
      <c r="R405" s="708"/>
      <c r="S405" s="708"/>
      <c r="T405" s="708"/>
      <c r="U405" s="708"/>
      <c r="V405" s="709"/>
      <c r="W405" s="40" t="s">
        <v>0</v>
      </c>
      <c r="X405" s="41">
        <f>IFERROR(SUM(X401:X403),"0")</f>
        <v>0</v>
      </c>
      <c r="Y405" s="41">
        <f>IFERROR(SUM(Y401:Y403),"0")</f>
        <v>0</v>
      </c>
      <c r="Z405" s="40"/>
      <c r="AA405" s="64"/>
      <c r="AB405" s="64"/>
      <c r="AC405" s="64"/>
    </row>
    <row r="406" spans="1:68" ht="14.25" customHeight="1" x14ac:dyDescent="0.25">
      <c r="A406" s="701" t="s">
        <v>675</v>
      </c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  <c r="AA406" s="63"/>
      <c r="AB406" s="63"/>
      <c r="AC406" s="63"/>
    </row>
    <row r="407" spans="1:68" ht="27" customHeight="1" x14ac:dyDescent="0.25">
      <c r="A407" s="60" t="s">
        <v>676</v>
      </c>
      <c r="B407" s="60" t="s">
        <v>677</v>
      </c>
      <c r="C407" s="34">
        <v>4301220003</v>
      </c>
      <c r="D407" s="702">
        <v>4680115888678</v>
      </c>
      <c r="E407" s="702"/>
      <c r="F407" s="59">
        <v>0.25</v>
      </c>
      <c r="G407" s="35">
        <v>12</v>
      </c>
      <c r="H407" s="59">
        <v>3</v>
      </c>
      <c r="I407" s="59">
        <v>3.22</v>
      </c>
      <c r="J407" s="35">
        <v>224</v>
      </c>
      <c r="K407" s="35" t="s">
        <v>91</v>
      </c>
      <c r="L407" s="35" t="s">
        <v>46</v>
      </c>
      <c r="M407" s="36" t="s">
        <v>670</v>
      </c>
      <c r="N407" s="36"/>
      <c r="O407" s="35">
        <v>1096</v>
      </c>
      <c r="P407" s="919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07" s="704"/>
      <c r="R407" s="704"/>
      <c r="S407" s="704"/>
      <c r="T407" s="705"/>
      <c r="U407" s="37" t="s">
        <v>46</v>
      </c>
      <c r="V407" s="37" t="s">
        <v>46</v>
      </c>
      <c r="W407" s="38" t="s">
        <v>0</v>
      </c>
      <c r="X407" s="56">
        <v>0</v>
      </c>
      <c r="Y407" s="53">
        <f>IFERROR(IF(X407="",0,CEILING((X407/$H407),1)*$H407),"")</f>
        <v>0</v>
      </c>
      <c r="Z407" s="39" t="str">
        <f>IFERROR(IF(Y407=0,"",ROUNDUP(Y407/H407,0)*0.0045),"")</f>
        <v/>
      </c>
      <c r="AA407" s="65" t="s">
        <v>46</v>
      </c>
      <c r="AB407" s="66" t="s">
        <v>252</v>
      </c>
      <c r="AC407" s="499" t="s">
        <v>678</v>
      </c>
      <c r="AG407" s="75"/>
      <c r="AJ407" s="79" t="s">
        <v>46</v>
      </c>
      <c r="AK407" s="79">
        <v>0</v>
      </c>
      <c r="BB407" s="500" t="s">
        <v>67</v>
      </c>
      <c r="BM407" s="75">
        <f>IFERROR(X407*I407/H407,"0")</f>
        <v>0</v>
      </c>
      <c r="BN407" s="75">
        <f>IFERROR(Y407*I407/H407,"0")</f>
        <v>0</v>
      </c>
      <c r="BO407" s="75">
        <f>IFERROR(1/J407*(X407/H407),"0")</f>
        <v>0</v>
      </c>
      <c r="BP407" s="75">
        <f>IFERROR(1/J407*(Y407/H407),"0")</f>
        <v>0</v>
      </c>
    </row>
    <row r="408" spans="1:68" ht="27" customHeight="1" x14ac:dyDescent="0.25">
      <c r="A408" s="60" t="s">
        <v>679</v>
      </c>
      <c r="B408" s="60" t="s">
        <v>680</v>
      </c>
      <c r="C408" s="34">
        <v>4301220001</v>
      </c>
      <c r="D408" s="702">
        <v>4680115888654</v>
      </c>
      <c r="E408" s="702"/>
      <c r="F408" s="59">
        <v>0.32500000000000001</v>
      </c>
      <c r="G408" s="35">
        <v>12</v>
      </c>
      <c r="H408" s="59">
        <v>3.9</v>
      </c>
      <c r="I408" s="59">
        <v>4.17</v>
      </c>
      <c r="J408" s="35">
        <v>144</v>
      </c>
      <c r="K408" s="35" t="s">
        <v>140</v>
      </c>
      <c r="L408" s="35" t="s">
        <v>46</v>
      </c>
      <c r="M408" s="36" t="s">
        <v>670</v>
      </c>
      <c r="N408" s="36"/>
      <c r="O408" s="35">
        <v>1096</v>
      </c>
      <c r="P408" s="920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08" s="704"/>
      <c r="R408" s="704"/>
      <c r="S408" s="704"/>
      <c r="T408" s="705"/>
      <c r="U408" s="37" t="s">
        <v>46</v>
      </c>
      <c r="V408" s="37" t="s">
        <v>46</v>
      </c>
      <c r="W408" s="38" t="s">
        <v>0</v>
      </c>
      <c r="X408" s="56">
        <v>0</v>
      </c>
      <c r="Y408" s="53">
        <f>IFERROR(IF(X408="",0,CEILING((X408/$H408),1)*$H408),"")</f>
        <v>0</v>
      </c>
      <c r="Z408" s="39" t="str">
        <f>IFERROR(IF(Y408=0,"",ROUNDUP(Y408/H408,0)*0.006),"")</f>
        <v/>
      </c>
      <c r="AA408" s="65" t="s">
        <v>46</v>
      </c>
      <c r="AB408" s="66" t="s">
        <v>252</v>
      </c>
      <c r="AC408" s="501" t="s">
        <v>681</v>
      </c>
      <c r="AG408" s="75"/>
      <c r="AJ408" s="79" t="s">
        <v>46</v>
      </c>
      <c r="AK408" s="79">
        <v>0</v>
      </c>
      <c r="BB408" s="502" t="s">
        <v>67</v>
      </c>
      <c r="BM408" s="75">
        <f>IFERROR(X408*I408/H408,"0")</f>
        <v>0</v>
      </c>
      <c r="BN408" s="75">
        <f>IFERROR(Y408*I408/H408,"0")</f>
        <v>0</v>
      </c>
      <c r="BO408" s="75">
        <f>IFERROR(1/J408*(X408/H408),"0")</f>
        <v>0</v>
      </c>
      <c r="BP408" s="75">
        <f>IFERROR(1/J408*(Y408/H408),"0")</f>
        <v>0</v>
      </c>
    </row>
    <row r="409" spans="1:68" ht="27" customHeight="1" x14ac:dyDescent="0.25">
      <c r="A409" s="60" t="s">
        <v>682</v>
      </c>
      <c r="B409" s="60" t="s">
        <v>683</v>
      </c>
      <c r="C409" s="34">
        <v>4301220002</v>
      </c>
      <c r="D409" s="702">
        <v>4680115888753</v>
      </c>
      <c r="E409" s="702"/>
      <c r="F409" s="59">
        <v>0.25</v>
      </c>
      <c r="G409" s="35">
        <v>12</v>
      </c>
      <c r="H409" s="59">
        <v>3</v>
      </c>
      <c r="I409" s="59">
        <v>3.22</v>
      </c>
      <c r="J409" s="35">
        <v>224</v>
      </c>
      <c r="K409" s="35" t="s">
        <v>91</v>
      </c>
      <c r="L409" s="35" t="s">
        <v>46</v>
      </c>
      <c r="M409" s="36" t="s">
        <v>670</v>
      </c>
      <c r="N409" s="36"/>
      <c r="O409" s="35">
        <v>1096</v>
      </c>
      <c r="P409" s="921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09" s="704"/>
      <c r="R409" s="704"/>
      <c r="S409" s="704"/>
      <c r="T409" s="705"/>
      <c r="U409" s="37" t="s">
        <v>46</v>
      </c>
      <c r="V409" s="37" t="s">
        <v>46</v>
      </c>
      <c r="W409" s="38" t="s">
        <v>0</v>
      </c>
      <c r="X409" s="56">
        <v>0</v>
      </c>
      <c r="Y409" s="53">
        <f>IFERROR(IF(X409="",0,CEILING((X409/$H409),1)*$H409),"")</f>
        <v>0</v>
      </c>
      <c r="Z409" s="39" t="str">
        <f>IFERROR(IF(Y409=0,"",ROUNDUP(Y409/H409,0)*0.0045),"")</f>
        <v/>
      </c>
      <c r="AA409" s="65" t="s">
        <v>46</v>
      </c>
      <c r="AB409" s="66" t="s">
        <v>252</v>
      </c>
      <c r="AC409" s="503" t="s">
        <v>678</v>
      </c>
      <c r="AG409" s="75"/>
      <c r="AJ409" s="79" t="s">
        <v>46</v>
      </c>
      <c r="AK409" s="79">
        <v>0</v>
      </c>
      <c r="BB409" s="504" t="s">
        <v>67</v>
      </c>
      <c r="BM409" s="75">
        <f>IFERROR(X409*I409/H409,"0")</f>
        <v>0</v>
      </c>
      <c r="BN409" s="75">
        <f>IFERROR(Y409*I409/H409,"0")</f>
        <v>0</v>
      </c>
      <c r="BO409" s="75">
        <f>IFERROR(1/J409*(X409/H409),"0")</f>
        <v>0</v>
      </c>
      <c r="BP409" s="75">
        <f>IFERROR(1/J409*(Y409/H409),"0")</f>
        <v>0</v>
      </c>
    </row>
    <row r="410" spans="1:68" x14ac:dyDescent="0.2">
      <c r="A410" s="710"/>
      <c r="B410" s="710"/>
      <c r="C410" s="710"/>
      <c r="D410" s="710"/>
      <c r="E410" s="710"/>
      <c r="F410" s="710"/>
      <c r="G410" s="710"/>
      <c r="H410" s="710"/>
      <c r="I410" s="710"/>
      <c r="J410" s="710"/>
      <c r="K410" s="710"/>
      <c r="L410" s="710"/>
      <c r="M410" s="710"/>
      <c r="N410" s="710"/>
      <c r="O410" s="711"/>
      <c r="P410" s="707" t="s">
        <v>40</v>
      </c>
      <c r="Q410" s="708"/>
      <c r="R410" s="708"/>
      <c r="S410" s="708"/>
      <c r="T410" s="708"/>
      <c r="U410" s="708"/>
      <c r="V410" s="709"/>
      <c r="W410" s="40" t="s">
        <v>39</v>
      </c>
      <c r="X410" s="41">
        <f>IFERROR(X407/H407,"0")+IFERROR(X408/H408,"0")+IFERROR(X409/H409,"0")</f>
        <v>0</v>
      </c>
      <c r="Y410" s="41">
        <f>IFERROR(Y407/H407,"0")+IFERROR(Y408/H408,"0")+IFERROR(Y409/H409,"0")</f>
        <v>0</v>
      </c>
      <c r="Z410" s="41">
        <f>IFERROR(IF(Z407="",0,Z407),"0")+IFERROR(IF(Z408="",0,Z408),"0")+IFERROR(IF(Z409="",0,Z409),"0")</f>
        <v>0</v>
      </c>
      <c r="AA410" s="64"/>
      <c r="AB410" s="64"/>
      <c r="AC410" s="64"/>
    </row>
    <row r="411" spans="1:68" x14ac:dyDescent="0.2">
      <c r="A411" s="710"/>
      <c r="B411" s="710"/>
      <c r="C411" s="710"/>
      <c r="D411" s="710"/>
      <c r="E411" s="710"/>
      <c r="F411" s="710"/>
      <c r="G411" s="710"/>
      <c r="H411" s="710"/>
      <c r="I411" s="710"/>
      <c r="J411" s="710"/>
      <c r="K411" s="710"/>
      <c r="L411" s="710"/>
      <c r="M411" s="710"/>
      <c r="N411" s="710"/>
      <c r="O411" s="711"/>
      <c r="P411" s="707" t="s">
        <v>40</v>
      </c>
      <c r="Q411" s="708"/>
      <c r="R411" s="708"/>
      <c r="S411" s="708"/>
      <c r="T411" s="708"/>
      <c r="U411" s="708"/>
      <c r="V411" s="709"/>
      <c r="W411" s="40" t="s">
        <v>0</v>
      </c>
      <c r="X411" s="41">
        <f>IFERROR(SUM(X407:X409),"0")</f>
        <v>0</v>
      </c>
      <c r="Y411" s="41">
        <f>IFERROR(SUM(Y407:Y409),"0")</f>
        <v>0</v>
      </c>
      <c r="Z411" s="40"/>
      <c r="AA411" s="64"/>
      <c r="AB411" s="64"/>
      <c r="AC411" s="64"/>
    </row>
    <row r="412" spans="1:68" ht="16.5" customHeight="1" x14ac:dyDescent="0.25">
      <c r="A412" s="700" t="s">
        <v>684</v>
      </c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  <c r="AA412" s="62"/>
      <c r="AB412" s="62"/>
      <c r="AC412" s="62"/>
    </row>
    <row r="413" spans="1:68" ht="14.25" customHeight="1" x14ac:dyDescent="0.25">
      <c r="A413" s="701" t="s">
        <v>86</v>
      </c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  <c r="AA413" s="63"/>
      <c r="AB413" s="63"/>
      <c r="AC413" s="63"/>
    </row>
    <row r="414" spans="1:68" ht="27" customHeight="1" x14ac:dyDescent="0.25">
      <c r="A414" s="60" t="s">
        <v>685</v>
      </c>
      <c r="B414" s="60" t="s">
        <v>686</v>
      </c>
      <c r="C414" s="34">
        <v>4301051489</v>
      </c>
      <c r="D414" s="702">
        <v>4607091387919</v>
      </c>
      <c r="E414" s="702"/>
      <c r="F414" s="59">
        <v>1.35</v>
      </c>
      <c r="G414" s="35">
        <v>6</v>
      </c>
      <c r="H414" s="59">
        <v>8.1</v>
      </c>
      <c r="I414" s="59">
        <v>8.5939999999999994</v>
      </c>
      <c r="J414" s="35">
        <v>64</v>
      </c>
      <c r="K414" s="35" t="s">
        <v>133</v>
      </c>
      <c r="L414" s="35" t="s">
        <v>46</v>
      </c>
      <c r="M414" s="36" t="s">
        <v>97</v>
      </c>
      <c r="N414" s="36"/>
      <c r="O414" s="35">
        <v>45</v>
      </c>
      <c r="P414" s="922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14" s="704"/>
      <c r="R414" s="704"/>
      <c r="S414" s="704"/>
      <c r="T414" s="705"/>
      <c r="U414" s="37" t="s">
        <v>46</v>
      </c>
      <c r="V414" s="37" t="s">
        <v>46</v>
      </c>
      <c r="W414" s="38" t="s">
        <v>0</v>
      </c>
      <c r="X414" s="56">
        <v>0</v>
      </c>
      <c r="Y414" s="53">
        <f>IFERROR(IF(X414="",0,CEILING((X414/$H414),1)*$H414),"")</f>
        <v>0</v>
      </c>
      <c r="Z414" s="39" t="str">
        <f>IFERROR(IF(Y414=0,"",ROUNDUP(Y414/H414,0)*0.01898),"")</f>
        <v/>
      </c>
      <c r="AA414" s="65" t="s">
        <v>46</v>
      </c>
      <c r="AB414" s="66" t="s">
        <v>46</v>
      </c>
      <c r="AC414" s="505" t="s">
        <v>687</v>
      </c>
      <c r="AG414" s="75"/>
      <c r="AJ414" s="79" t="s">
        <v>46</v>
      </c>
      <c r="AK414" s="79">
        <v>0</v>
      </c>
      <c r="BB414" s="506" t="s">
        <v>67</v>
      </c>
      <c r="BM414" s="75">
        <f>IFERROR(X414*I414/H414,"0")</f>
        <v>0</v>
      </c>
      <c r="BN414" s="75">
        <f>IFERROR(Y414*I414/H414,"0")</f>
        <v>0</v>
      </c>
      <c r="BO414" s="75">
        <f>IFERROR(1/J414*(X414/H414),"0")</f>
        <v>0</v>
      </c>
      <c r="BP414" s="75">
        <f>IFERROR(1/J414*(Y414/H414),"0")</f>
        <v>0</v>
      </c>
    </row>
    <row r="415" spans="1:68" ht="27" customHeight="1" x14ac:dyDescent="0.25">
      <c r="A415" s="60" t="s">
        <v>688</v>
      </c>
      <c r="B415" s="60" t="s">
        <v>689</v>
      </c>
      <c r="C415" s="34">
        <v>4301051461</v>
      </c>
      <c r="D415" s="702">
        <v>4680115883604</v>
      </c>
      <c r="E415" s="702"/>
      <c r="F415" s="59">
        <v>0.35</v>
      </c>
      <c r="G415" s="35">
        <v>6</v>
      </c>
      <c r="H415" s="59">
        <v>2.1</v>
      </c>
      <c r="I415" s="59">
        <v>2.3519999999999999</v>
      </c>
      <c r="J415" s="35">
        <v>182</v>
      </c>
      <c r="K415" s="35" t="s">
        <v>91</v>
      </c>
      <c r="L415" s="35" t="s">
        <v>46</v>
      </c>
      <c r="M415" s="36" t="s">
        <v>90</v>
      </c>
      <c r="N415" s="36"/>
      <c r="O415" s="35">
        <v>45</v>
      </c>
      <c r="P415" s="923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15" s="704"/>
      <c r="R415" s="704"/>
      <c r="S415" s="704"/>
      <c r="T415" s="705"/>
      <c r="U415" s="37" t="s">
        <v>46</v>
      </c>
      <c r="V415" s="37" t="s">
        <v>46</v>
      </c>
      <c r="W415" s="38" t="s">
        <v>0</v>
      </c>
      <c r="X415" s="56">
        <v>0</v>
      </c>
      <c r="Y415" s="53">
        <f>IFERROR(IF(X415="",0,CEILING((X415/$H415),1)*$H415),"")</f>
        <v>0</v>
      </c>
      <c r="Z415" s="39" t="str">
        <f>IFERROR(IF(Y415=0,"",ROUNDUP(Y415/H415,0)*0.00651),"")</f>
        <v/>
      </c>
      <c r="AA415" s="65" t="s">
        <v>46</v>
      </c>
      <c r="AB415" s="66" t="s">
        <v>46</v>
      </c>
      <c r="AC415" s="507" t="s">
        <v>690</v>
      </c>
      <c r="AG415" s="75"/>
      <c r="AJ415" s="79" t="s">
        <v>46</v>
      </c>
      <c r="AK415" s="79">
        <v>0</v>
      </c>
      <c r="BB415" s="508" t="s">
        <v>67</v>
      </c>
      <c r="BM415" s="75">
        <f>IFERROR(X415*I415/H415,"0")</f>
        <v>0</v>
      </c>
      <c r="BN415" s="75">
        <f>IFERROR(Y415*I415/H415,"0")</f>
        <v>0</v>
      </c>
      <c r="BO415" s="75">
        <f>IFERROR(1/J415*(X415/H415),"0")</f>
        <v>0</v>
      </c>
      <c r="BP415" s="75">
        <f>IFERROR(1/J415*(Y415/H415),"0")</f>
        <v>0</v>
      </c>
    </row>
    <row r="416" spans="1:68" ht="27" customHeight="1" x14ac:dyDescent="0.25">
      <c r="A416" s="60" t="s">
        <v>691</v>
      </c>
      <c r="B416" s="60" t="s">
        <v>692</v>
      </c>
      <c r="C416" s="34">
        <v>4301051864</v>
      </c>
      <c r="D416" s="702">
        <v>4680115883567</v>
      </c>
      <c r="E416" s="702"/>
      <c r="F416" s="59">
        <v>0.35</v>
      </c>
      <c r="G416" s="35">
        <v>6</v>
      </c>
      <c r="H416" s="59">
        <v>2.1</v>
      </c>
      <c r="I416" s="59">
        <v>2.34</v>
      </c>
      <c r="J416" s="35">
        <v>182</v>
      </c>
      <c r="K416" s="35" t="s">
        <v>91</v>
      </c>
      <c r="L416" s="35" t="s">
        <v>46</v>
      </c>
      <c r="M416" s="36" t="s">
        <v>97</v>
      </c>
      <c r="N416" s="36"/>
      <c r="O416" s="35">
        <v>40</v>
      </c>
      <c r="P416" s="924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16" s="704"/>
      <c r="R416" s="704"/>
      <c r="S416" s="704"/>
      <c r="T416" s="705"/>
      <c r="U416" s="37" t="s">
        <v>46</v>
      </c>
      <c r="V416" s="37" t="s">
        <v>46</v>
      </c>
      <c r="W416" s="38" t="s">
        <v>0</v>
      </c>
      <c r="X416" s="56">
        <v>0</v>
      </c>
      <c r="Y416" s="53">
        <f>IFERROR(IF(X416="",0,CEILING((X416/$H416),1)*$H416),"")</f>
        <v>0</v>
      </c>
      <c r="Z416" s="39" t="str">
        <f>IFERROR(IF(Y416=0,"",ROUNDUP(Y416/H416,0)*0.00651),"")</f>
        <v/>
      </c>
      <c r="AA416" s="65" t="s">
        <v>46</v>
      </c>
      <c r="AB416" s="66" t="s">
        <v>46</v>
      </c>
      <c r="AC416" s="509" t="s">
        <v>693</v>
      </c>
      <c r="AG416" s="75"/>
      <c r="AJ416" s="79" t="s">
        <v>46</v>
      </c>
      <c r="AK416" s="79">
        <v>0</v>
      </c>
      <c r="BB416" s="510" t="s">
        <v>67</v>
      </c>
      <c r="BM416" s="75">
        <f>IFERROR(X416*I416/H416,"0")</f>
        <v>0</v>
      </c>
      <c r="BN416" s="75">
        <f>IFERROR(Y416*I416/H416,"0")</f>
        <v>0</v>
      </c>
      <c r="BO416" s="75">
        <f>IFERROR(1/J416*(X416/H416),"0")</f>
        <v>0</v>
      </c>
      <c r="BP416" s="75">
        <f>IFERROR(1/J416*(Y416/H416),"0")</f>
        <v>0</v>
      </c>
    </row>
    <row r="417" spans="1:68" x14ac:dyDescent="0.2">
      <c r="A417" s="710"/>
      <c r="B417" s="710"/>
      <c r="C417" s="710"/>
      <c r="D417" s="710"/>
      <c r="E417" s="710"/>
      <c r="F417" s="710"/>
      <c r="G417" s="710"/>
      <c r="H417" s="710"/>
      <c r="I417" s="710"/>
      <c r="J417" s="710"/>
      <c r="K417" s="710"/>
      <c r="L417" s="710"/>
      <c r="M417" s="710"/>
      <c r="N417" s="710"/>
      <c r="O417" s="711"/>
      <c r="P417" s="707" t="s">
        <v>40</v>
      </c>
      <c r="Q417" s="708"/>
      <c r="R417" s="708"/>
      <c r="S417" s="708"/>
      <c r="T417" s="708"/>
      <c r="U417" s="708"/>
      <c r="V417" s="709"/>
      <c r="W417" s="40" t="s">
        <v>39</v>
      </c>
      <c r="X417" s="41">
        <f>IFERROR(X414/H414,"0")+IFERROR(X415/H415,"0")+IFERROR(X416/H416,"0")</f>
        <v>0</v>
      </c>
      <c r="Y417" s="41">
        <f>IFERROR(Y414/H414,"0")+IFERROR(Y415/H415,"0")+IFERROR(Y416/H416,"0")</f>
        <v>0</v>
      </c>
      <c r="Z417" s="41">
        <f>IFERROR(IF(Z414="",0,Z414),"0")+IFERROR(IF(Z415="",0,Z415),"0")+IFERROR(IF(Z416="",0,Z416),"0")</f>
        <v>0</v>
      </c>
      <c r="AA417" s="64"/>
      <c r="AB417" s="64"/>
      <c r="AC417" s="64"/>
    </row>
    <row r="418" spans="1:68" x14ac:dyDescent="0.2">
      <c r="A418" s="710"/>
      <c r="B418" s="710"/>
      <c r="C418" s="710"/>
      <c r="D418" s="710"/>
      <c r="E418" s="710"/>
      <c r="F418" s="710"/>
      <c r="G418" s="710"/>
      <c r="H418" s="710"/>
      <c r="I418" s="710"/>
      <c r="J418" s="710"/>
      <c r="K418" s="710"/>
      <c r="L418" s="710"/>
      <c r="M418" s="710"/>
      <c r="N418" s="710"/>
      <c r="O418" s="711"/>
      <c r="P418" s="707" t="s">
        <v>40</v>
      </c>
      <c r="Q418" s="708"/>
      <c r="R418" s="708"/>
      <c r="S418" s="708"/>
      <c r="T418" s="708"/>
      <c r="U418" s="708"/>
      <c r="V418" s="709"/>
      <c r="W418" s="40" t="s">
        <v>0</v>
      </c>
      <c r="X418" s="41">
        <f>IFERROR(SUM(X414:X416),"0")</f>
        <v>0</v>
      </c>
      <c r="Y418" s="41">
        <f>IFERROR(SUM(Y414:Y416),"0")</f>
        <v>0</v>
      </c>
      <c r="Z418" s="40"/>
      <c r="AA418" s="64"/>
      <c r="AB418" s="64"/>
      <c r="AC418" s="64"/>
    </row>
    <row r="419" spans="1:68" ht="27.75" customHeight="1" x14ac:dyDescent="0.2">
      <c r="A419" s="699" t="s">
        <v>694</v>
      </c>
      <c r="B419" s="699"/>
      <c r="C419" s="699"/>
      <c r="D419" s="699"/>
      <c r="E419" s="699"/>
      <c r="F419" s="699"/>
      <c r="G419" s="699"/>
      <c r="H419" s="699"/>
      <c r="I419" s="699"/>
      <c r="J419" s="699"/>
      <c r="K419" s="699"/>
      <c r="L419" s="699"/>
      <c r="M419" s="699"/>
      <c r="N419" s="699"/>
      <c r="O419" s="699"/>
      <c r="P419" s="699"/>
      <c r="Q419" s="699"/>
      <c r="R419" s="699"/>
      <c r="S419" s="699"/>
      <c r="T419" s="699"/>
      <c r="U419" s="699"/>
      <c r="V419" s="699"/>
      <c r="W419" s="699"/>
      <c r="X419" s="699"/>
      <c r="Y419" s="699"/>
      <c r="Z419" s="699"/>
      <c r="AA419" s="52"/>
      <c r="AB419" s="52"/>
      <c r="AC419" s="52"/>
    </row>
    <row r="420" spans="1:68" ht="16.5" customHeight="1" x14ac:dyDescent="0.25">
      <c r="A420" s="700" t="s">
        <v>695</v>
      </c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  <c r="AA420" s="62"/>
      <c r="AB420" s="62"/>
      <c r="AC420" s="62"/>
    </row>
    <row r="421" spans="1:68" ht="14.25" customHeight="1" x14ac:dyDescent="0.25">
      <c r="A421" s="701" t="s">
        <v>128</v>
      </c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  <c r="AA421" s="63"/>
      <c r="AB421" s="63"/>
      <c r="AC421" s="63"/>
    </row>
    <row r="422" spans="1:68" ht="27" customHeight="1" x14ac:dyDescent="0.25">
      <c r="A422" s="60" t="s">
        <v>696</v>
      </c>
      <c r="B422" s="60" t="s">
        <v>697</v>
      </c>
      <c r="C422" s="34">
        <v>4301012332</v>
      </c>
      <c r="D422" s="702">
        <v>4680115888401</v>
      </c>
      <c r="E422" s="702"/>
      <c r="F422" s="59">
        <v>2.5</v>
      </c>
      <c r="G422" s="35">
        <v>6</v>
      </c>
      <c r="H422" s="59">
        <v>15</v>
      </c>
      <c r="I422" s="59">
        <v>15.47</v>
      </c>
      <c r="J422" s="35">
        <v>48</v>
      </c>
      <c r="K422" s="35" t="s">
        <v>133</v>
      </c>
      <c r="L422" s="35" t="s">
        <v>46</v>
      </c>
      <c r="M422" s="36" t="s">
        <v>97</v>
      </c>
      <c r="N422" s="36"/>
      <c r="O422" s="35">
        <v>60</v>
      </c>
      <c r="P422" s="925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22" s="704"/>
      <c r="R422" s="704"/>
      <c r="S422" s="704"/>
      <c r="T422" s="705"/>
      <c r="U422" s="37" t="s">
        <v>46</v>
      </c>
      <c r="V422" s="37" t="s">
        <v>46</v>
      </c>
      <c r="W422" s="38" t="s">
        <v>0</v>
      </c>
      <c r="X422" s="56">
        <v>0</v>
      </c>
      <c r="Y422" s="53">
        <f t="shared" ref="Y422:Y429" si="47">IFERROR(IF(X422="",0,CEILING((X422/$H422),1)*$H422),"")</f>
        <v>0</v>
      </c>
      <c r="Z422" s="39" t="str">
        <f>IFERROR(IF(Y422=0,"",ROUNDUP(Y422/H422,0)*0.02175),"")</f>
        <v/>
      </c>
      <c r="AA422" s="65" t="s">
        <v>46</v>
      </c>
      <c r="AB422" s="66" t="s">
        <v>46</v>
      </c>
      <c r="AC422" s="511" t="s">
        <v>698</v>
      </c>
      <c r="AG422" s="75"/>
      <c r="AJ422" s="79" t="s">
        <v>46</v>
      </c>
      <c r="AK422" s="79">
        <v>0</v>
      </c>
      <c r="BB422" s="512" t="s">
        <v>67</v>
      </c>
      <c r="BM422" s="75">
        <f t="shared" ref="BM422:BM429" si="48">IFERROR(X422*I422/H422,"0")</f>
        <v>0</v>
      </c>
      <c r="BN422" s="75">
        <f t="shared" ref="BN422:BN429" si="49">IFERROR(Y422*I422/H422,"0")</f>
        <v>0</v>
      </c>
      <c r="BO422" s="75">
        <f t="shared" ref="BO422:BO429" si="50">IFERROR(1/J422*(X422/H422),"0")</f>
        <v>0</v>
      </c>
      <c r="BP422" s="75">
        <f t="shared" ref="BP422:BP429" si="51">IFERROR(1/J422*(Y422/H422),"0")</f>
        <v>0</v>
      </c>
    </row>
    <row r="423" spans="1:68" ht="37.5" customHeight="1" x14ac:dyDescent="0.25">
      <c r="A423" s="60" t="s">
        <v>699</v>
      </c>
      <c r="B423" s="60" t="s">
        <v>700</v>
      </c>
      <c r="C423" s="34">
        <v>4301011869</v>
      </c>
      <c r="D423" s="702">
        <v>4680115884847</v>
      </c>
      <c r="E423" s="702"/>
      <c r="F423" s="59">
        <v>2.5</v>
      </c>
      <c r="G423" s="35">
        <v>6</v>
      </c>
      <c r="H423" s="59">
        <v>15</v>
      </c>
      <c r="I423" s="59">
        <v>15.47</v>
      </c>
      <c r="J423" s="35">
        <v>48</v>
      </c>
      <c r="K423" s="35" t="s">
        <v>133</v>
      </c>
      <c r="L423" s="35" t="s">
        <v>46</v>
      </c>
      <c r="M423" s="36" t="s">
        <v>81</v>
      </c>
      <c r="N423" s="36"/>
      <c r="O423" s="35">
        <v>60</v>
      </c>
      <c r="P423" s="926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23" s="704"/>
      <c r="R423" s="704"/>
      <c r="S423" s="704"/>
      <c r="T423" s="705"/>
      <c r="U423" s="37" t="s">
        <v>46</v>
      </c>
      <c r="V423" s="37" t="s">
        <v>46</v>
      </c>
      <c r="W423" s="38" t="s">
        <v>0</v>
      </c>
      <c r="X423" s="56">
        <v>4700</v>
      </c>
      <c r="Y423" s="53">
        <f t="shared" si="47"/>
        <v>4710</v>
      </c>
      <c r="Z423" s="39">
        <f>IFERROR(IF(Y423=0,"",ROUNDUP(Y423/H423,0)*0.02175),"")</f>
        <v>6.8294999999999995</v>
      </c>
      <c r="AA423" s="65" t="s">
        <v>46</v>
      </c>
      <c r="AB423" s="66" t="s">
        <v>46</v>
      </c>
      <c r="AC423" s="513" t="s">
        <v>701</v>
      </c>
      <c r="AG423" s="75"/>
      <c r="AJ423" s="79" t="s">
        <v>46</v>
      </c>
      <c r="AK423" s="79">
        <v>0</v>
      </c>
      <c r="BB423" s="514" t="s">
        <v>67</v>
      </c>
      <c r="BM423" s="75">
        <f t="shared" si="48"/>
        <v>4847.2666666666664</v>
      </c>
      <c r="BN423" s="75">
        <f t="shared" si="49"/>
        <v>4857.58</v>
      </c>
      <c r="BO423" s="75">
        <f t="shared" si="50"/>
        <v>6.5277777777777768</v>
      </c>
      <c r="BP423" s="75">
        <f t="shared" si="51"/>
        <v>6.5416666666666661</v>
      </c>
    </row>
    <row r="424" spans="1:68" ht="27" customHeight="1" x14ac:dyDescent="0.25">
      <c r="A424" s="60" t="s">
        <v>702</v>
      </c>
      <c r="B424" s="60" t="s">
        <v>703</v>
      </c>
      <c r="C424" s="34">
        <v>4301012083</v>
      </c>
      <c r="D424" s="702">
        <v>4680115884854</v>
      </c>
      <c r="E424" s="702"/>
      <c r="F424" s="59">
        <v>2.5</v>
      </c>
      <c r="G424" s="35">
        <v>6</v>
      </c>
      <c r="H424" s="59">
        <v>15</v>
      </c>
      <c r="I424" s="59">
        <v>15.47</v>
      </c>
      <c r="J424" s="35">
        <v>48</v>
      </c>
      <c r="K424" s="35" t="s">
        <v>133</v>
      </c>
      <c r="L424" s="35" t="s">
        <v>46</v>
      </c>
      <c r="M424" s="36" t="s">
        <v>132</v>
      </c>
      <c r="N424" s="36"/>
      <c r="O424" s="35">
        <v>60</v>
      </c>
      <c r="P424" s="927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24" s="704"/>
      <c r="R424" s="704"/>
      <c r="S424" s="704"/>
      <c r="T424" s="705"/>
      <c r="U424" s="37" t="s">
        <v>46</v>
      </c>
      <c r="V424" s="37" t="s">
        <v>46</v>
      </c>
      <c r="W424" s="38" t="s">
        <v>0</v>
      </c>
      <c r="X424" s="56">
        <v>0</v>
      </c>
      <c r="Y424" s="53">
        <f t="shared" si="47"/>
        <v>0</v>
      </c>
      <c r="Z424" s="39" t="str">
        <f>IFERROR(IF(Y424=0,"",ROUNDUP(Y424/H424,0)*0.02175),"")</f>
        <v/>
      </c>
      <c r="AA424" s="65" t="s">
        <v>46</v>
      </c>
      <c r="AB424" s="66" t="s">
        <v>46</v>
      </c>
      <c r="AC424" s="515" t="s">
        <v>704</v>
      </c>
      <c r="AG424" s="75"/>
      <c r="AJ424" s="79" t="s">
        <v>46</v>
      </c>
      <c r="AK424" s="79">
        <v>0</v>
      </c>
      <c r="BB424" s="516" t="s">
        <v>67</v>
      </c>
      <c r="BM424" s="75">
        <f t="shared" si="48"/>
        <v>0</v>
      </c>
      <c r="BN424" s="75">
        <f t="shared" si="49"/>
        <v>0</v>
      </c>
      <c r="BO424" s="75">
        <f t="shared" si="50"/>
        <v>0</v>
      </c>
      <c r="BP424" s="75">
        <f t="shared" si="51"/>
        <v>0</v>
      </c>
    </row>
    <row r="425" spans="1:68" ht="27" customHeight="1" x14ac:dyDescent="0.25">
      <c r="A425" s="60" t="s">
        <v>705</v>
      </c>
      <c r="B425" s="60" t="s">
        <v>706</v>
      </c>
      <c r="C425" s="34">
        <v>4301011867</v>
      </c>
      <c r="D425" s="702">
        <v>4680115884830</v>
      </c>
      <c r="E425" s="702"/>
      <c r="F425" s="59">
        <v>2.5</v>
      </c>
      <c r="G425" s="35">
        <v>6</v>
      </c>
      <c r="H425" s="59">
        <v>15</v>
      </c>
      <c r="I425" s="59">
        <v>15.47</v>
      </c>
      <c r="J425" s="35">
        <v>48</v>
      </c>
      <c r="K425" s="35" t="s">
        <v>133</v>
      </c>
      <c r="L425" s="35" t="s">
        <v>46</v>
      </c>
      <c r="M425" s="36" t="s">
        <v>81</v>
      </c>
      <c r="N425" s="36"/>
      <c r="O425" s="35">
        <v>60</v>
      </c>
      <c r="P425" s="928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25" s="704"/>
      <c r="R425" s="704"/>
      <c r="S425" s="704"/>
      <c r="T425" s="705"/>
      <c r="U425" s="37" t="s">
        <v>46</v>
      </c>
      <c r="V425" s="37" t="s">
        <v>46</v>
      </c>
      <c r="W425" s="38" t="s">
        <v>0</v>
      </c>
      <c r="X425" s="56">
        <v>0</v>
      </c>
      <c r="Y425" s="53">
        <f t="shared" si="47"/>
        <v>0</v>
      </c>
      <c r="Z425" s="39" t="str">
        <f>IFERROR(IF(Y425=0,"",ROUNDUP(Y425/H425,0)*0.02175),"")</f>
        <v/>
      </c>
      <c r="AA425" s="65" t="s">
        <v>46</v>
      </c>
      <c r="AB425" s="66" t="s">
        <v>46</v>
      </c>
      <c r="AC425" s="517" t="s">
        <v>707</v>
      </c>
      <c r="AG425" s="75"/>
      <c r="AJ425" s="79" t="s">
        <v>46</v>
      </c>
      <c r="AK425" s="79">
        <v>0</v>
      </c>
      <c r="BB425" s="518" t="s">
        <v>67</v>
      </c>
      <c r="BM425" s="75">
        <f t="shared" si="48"/>
        <v>0</v>
      </c>
      <c r="BN425" s="75">
        <f t="shared" si="49"/>
        <v>0</v>
      </c>
      <c r="BO425" s="75">
        <f t="shared" si="50"/>
        <v>0</v>
      </c>
      <c r="BP425" s="75">
        <f t="shared" si="51"/>
        <v>0</v>
      </c>
    </row>
    <row r="426" spans="1:68" ht="27" customHeight="1" x14ac:dyDescent="0.25">
      <c r="A426" s="60" t="s">
        <v>708</v>
      </c>
      <c r="B426" s="60" t="s">
        <v>709</v>
      </c>
      <c r="C426" s="34">
        <v>4301012356</v>
      </c>
      <c r="D426" s="702">
        <v>4680115889231</v>
      </c>
      <c r="E426" s="702"/>
      <c r="F426" s="59">
        <v>2.5</v>
      </c>
      <c r="G426" s="35">
        <v>6</v>
      </c>
      <c r="H426" s="59">
        <v>15</v>
      </c>
      <c r="I426" s="59">
        <v>15.47</v>
      </c>
      <c r="J426" s="35">
        <v>48</v>
      </c>
      <c r="K426" s="35" t="s">
        <v>133</v>
      </c>
      <c r="L426" s="35" t="s">
        <v>46</v>
      </c>
      <c r="M426" s="36" t="s">
        <v>97</v>
      </c>
      <c r="N426" s="36"/>
      <c r="O426" s="35">
        <v>60</v>
      </c>
      <c r="P426" s="929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26" s="704"/>
      <c r="R426" s="704"/>
      <c r="S426" s="704"/>
      <c r="T426" s="705"/>
      <c r="U426" s="37" t="s">
        <v>46</v>
      </c>
      <c r="V426" s="37" t="s">
        <v>46</v>
      </c>
      <c r="W426" s="38" t="s">
        <v>0</v>
      </c>
      <c r="X426" s="56">
        <v>0</v>
      </c>
      <c r="Y426" s="53">
        <f t="shared" si="47"/>
        <v>0</v>
      </c>
      <c r="Z426" s="39" t="str">
        <f>IFERROR(IF(Y426=0,"",ROUNDUP(Y426/H426,0)*0.02175),"")</f>
        <v/>
      </c>
      <c r="AA426" s="65" t="s">
        <v>46</v>
      </c>
      <c r="AB426" s="66" t="s">
        <v>46</v>
      </c>
      <c r="AC426" s="519" t="s">
        <v>710</v>
      </c>
      <c r="AG426" s="75"/>
      <c r="AJ426" s="79" t="s">
        <v>46</v>
      </c>
      <c r="AK426" s="79">
        <v>0</v>
      </c>
      <c r="BB426" s="520" t="s">
        <v>67</v>
      </c>
      <c r="BM426" s="75">
        <f t="shared" si="48"/>
        <v>0</v>
      </c>
      <c r="BN426" s="75">
        <f t="shared" si="49"/>
        <v>0</v>
      </c>
      <c r="BO426" s="75">
        <f t="shared" si="50"/>
        <v>0</v>
      </c>
      <c r="BP426" s="75">
        <f t="shared" si="51"/>
        <v>0</v>
      </c>
    </row>
    <row r="427" spans="1:68" ht="27" customHeight="1" x14ac:dyDescent="0.25">
      <c r="A427" s="60" t="s">
        <v>711</v>
      </c>
      <c r="B427" s="60" t="s">
        <v>712</v>
      </c>
      <c r="C427" s="34">
        <v>4301011433</v>
      </c>
      <c r="D427" s="702">
        <v>4680115882638</v>
      </c>
      <c r="E427" s="702"/>
      <c r="F427" s="59">
        <v>0.4</v>
      </c>
      <c r="G427" s="35">
        <v>10</v>
      </c>
      <c r="H427" s="59">
        <v>4</v>
      </c>
      <c r="I427" s="59">
        <v>4.1900000000000004</v>
      </c>
      <c r="J427" s="35">
        <v>132</v>
      </c>
      <c r="K427" s="35" t="s">
        <v>140</v>
      </c>
      <c r="L427" s="35" t="s">
        <v>46</v>
      </c>
      <c r="M427" s="36" t="s">
        <v>132</v>
      </c>
      <c r="N427" s="36"/>
      <c r="O427" s="35">
        <v>90</v>
      </c>
      <c r="P427" s="930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27" s="704"/>
      <c r="R427" s="704"/>
      <c r="S427" s="704"/>
      <c r="T427" s="705"/>
      <c r="U427" s="37" t="s">
        <v>46</v>
      </c>
      <c r="V427" s="37" t="s">
        <v>46</v>
      </c>
      <c r="W427" s="38" t="s">
        <v>0</v>
      </c>
      <c r="X427" s="56">
        <v>0</v>
      </c>
      <c r="Y427" s="53">
        <f t="shared" si="47"/>
        <v>0</v>
      </c>
      <c r="Z427" s="39" t="str">
        <f>IFERROR(IF(Y427=0,"",ROUNDUP(Y427/H427,0)*0.00902),"")</f>
        <v/>
      </c>
      <c r="AA427" s="65" t="s">
        <v>46</v>
      </c>
      <c r="AB427" s="66" t="s">
        <v>46</v>
      </c>
      <c r="AC427" s="521" t="s">
        <v>713</v>
      </c>
      <c r="AG427" s="75"/>
      <c r="AJ427" s="79" t="s">
        <v>46</v>
      </c>
      <c r="AK427" s="79">
        <v>0</v>
      </c>
      <c r="BB427" s="522" t="s">
        <v>67</v>
      </c>
      <c r="BM427" s="75">
        <f t="shared" si="48"/>
        <v>0</v>
      </c>
      <c r="BN427" s="75">
        <f t="shared" si="49"/>
        <v>0</v>
      </c>
      <c r="BO427" s="75">
        <f t="shared" si="50"/>
        <v>0</v>
      </c>
      <c r="BP427" s="75">
        <f t="shared" si="51"/>
        <v>0</v>
      </c>
    </row>
    <row r="428" spans="1:68" ht="27" customHeight="1" x14ac:dyDescent="0.25">
      <c r="A428" s="60" t="s">
        <v>714</v>
      </c>
      <c r="B428" s="60" t="s">
        <v>715</v>
      </c>
      <c r="C428" s="34">
        <v>4301011952</v>
      </c>
      <c r="D428" s="702">
        <v>4680115884922</v>
      </c>
      <c r="E428" s="702"/>
      <c r="F428" s="59">
        <v>0.5</v>
      </c>
      <c r="G428" s="35">
        <v>10</v>
      </c>
      <c r="H428" s="59">
        <v>5</v>
      </c>
      <c r="I428" s="59">
        <v>5.19</v>
      </c>
      <c r="J428" s="35">
        <v>132</v>
      </c>
      <c r="K428" s="35" t="s">
        <v>140</v>
      </c>
      <c r="L428" s="35" t="s">
        <v>46</v>
      </c>
      <c r="M428" s="36" t="s">
        <v>81</v>
      </c>
      <c r="N428" s="36"/>
      <c r="O428" s="35">
        <v>60</v>
      </c>
      <c r="P428" s="931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28" s="704"/>
      <c r="R428" s="704"/>
      <c r="S428" s="704"/>
      <c r="T428" s="705"/>
      <c r="U428" s="37" t="s">
        <v>46</v>
      </c>
      <c r="V428" s="37" t="s">
        <v>46</v>
      </c>
      <c r="W428" s="38" t="s">
        <v>0</v>
      </c>
      <c r="X428" s="56">
        <v>0</v>
      </c>
      <c r="Y428" s="53">
        <f t="shared" si="47"/>
        <v>0</v>
      </c>
      <c r="Z428" s="39" t="str">
        <f>IFERROR(IF(Y428=0,"",ROUNDUP(Y428/H428,0)*0.00902),"")</f>
        <v/>
      </c>
      <c r="AA428" s="65" t="s">
        <v>46</v>
      </c>
      <c r="AB428" s="66" t="s">
        <v>46</v>
      </c>
      <c r="AC428" s="523" t="s">
        <v>716</v>
      </c>
      <c r="AG428" s="75"/>
      <c r="AJ428" s="79" t="s">
        <v>46</v>
      </c>
      <c r="AK428" s="79">
        <v>0</v>
      </c>
      <c r="BB428" s="524" t="s">
        <v>67</v>
      </c>
      <c r="BM428" s="75">
        <f t="shared" si="48"/>
        <v>0</v>
      </c>
      <c r="BN428" s="75">
        <f t="shared" si="49"/>
        <v>0</v>
      </c>
      <c r="BO428" s="75">
        <f t="shared" si="50"/>
        <v>0</v>
      </c>
      <c r="BP428" s="75">
        <f t="shared" si="51"/>
        <v>0</v>
      </c>
    </row>
    <row r="429" spans="1:68" ht="37.5" customHeight="1" x14ac:dyDescent="0.25">
      <c r="A429" s="60" t="s">
        <v>717</v>
      </c>
      <c r="B429" s="60" t="s">
        <v>718</v>
      </c>
      <c r="C429" s="34">
        <v>4301011868</v>
      </c>
      <c r="D429" s="702">
        <v>4680115884861</v>
      </c>
      <c r="E429" s="702"/>
      <c r="F429" s="59">
        <v>0.5</v>
      </c>
      <c r="G429" s="35">
        <v>10</v>
      </c>
      <c r="H429" s="59">
        <v>5</v>
      </c>
      <c r="I429" s="59">
        <v>5.19</v>
      </c>
      <c r="J429" s="35">
        <v>132</v>
      </c>
      <c r="K429" s="35" t="s">
        <v>140</v>
      </c>
      <c r="L429" s="35" t="s">
        <v>46</v>
      </c>
      <c r="M429" s="36" t="s">
        <v>81</v>
      </c>
      <c r="N429" s="36"/>
      <c r="O429" s="35">
        <v>60</v>
      </c>
      <c r="P429" s="932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29" s="704"/>
      <c r="R429" s="704"/>
      <c r="S429" s="704"/>
      <c r="T429" s="705"/>
      <c r="U429" s="37" t="s">
        <v>46</v>
      </c>
      <c r="V429" s="37" t="s">
        <v>46</v>
      </c>
      <c r="W429" s="38" t="s">
        <v>0</v>
      </c>
      <c r="X429" s="56">
        <v>0</v>
      </c>
      <c r="Y429" s="53">
        <f t="shared" si="47"/>
        <v>0</v>
      </c>
      <c r="Z429" s="39" t="str">
        <f>IFERROR(IF(Y429=0,"",ROUNDUP(Y429/H429,0)*0.00902),"")</f>
        <v/>
      </c>
      <c r="AA429" s="65" t="s">
        <v>46</v>
      </c>
      <c r="AB429" s="66" t="s">
        <v>46</v>
      </c>
      <c r="AC429" s="525" t="s">
        <v>719</v>
      </c>
      <c r="AG429" s="75"/>
      <c r="AJ429" s="79" t="s">
        <v>46</v>
      </c>
      <c r="AK429" s="79">
        <v>0</v>
      </c>
      <c r="BB429" s="526" t="s">
        <v>67</v>
      </c>
      <c r="BM429" s="75">
        <f t="shared" si="48"/>
        <v>0</v>
      </c>
      <c r="BN429" s="75">
        <f t="shared" si="49"/>
        <v>0</v>
      </c>
      <c r="BO429" s="75">
        <f t="shared" si="50"/>
        <v>0</v>
      </c>
      <c r="BP429" s="75">
        <f t="shared" si="51"/>
        <v>0</v>
      </c>
    </row>
    <row r="430" spans="1:68" x14ac:dyDescent="0.2">
      <c r="A430" s="710"/>
      <c r="B430" s="710"/>
      <c r="C430" s="710"/>
      <c r="D430" s="710"/>
      <c r="E430" s="710"/>
      <c r="F430" s="710"/>
      <c r="G430" s="710"/>
      <c r="H430" s="710"/>
      <c r="I430" s="710"/>
      <c r="J430" s="710"/>
      <c r="K430" s="710"/>
      <c r="L430" s="710"/>
      <c r="M430" s="710"/>
      <c r="N430" s="710"/>
      <c r="O430" s="711"/>
      <c r="P430" s="707" t="s">
        <v>40</v>
      </c>
      <c r="Q430" s="708"/>
      <c r="R430" s="708"/>
      <c r="S430" s="708"/>
      <c r="T430" s="708"/>
      <c r="U430" s="708"/>
      <c r="V430" s="709"/>
      <c r="W430" s="40" t="s">
        <v>39</v>
      </c>
      <c r="X430" s="41">
        <f>IFERROR(X422/H422,"0")+IFERROR(X423/H423,"0")+IFERROR(X424/H424,"0")+IFERROR(X425/H425,"0")+IFERROR(X426/H426,"0")+IFERROR(X427/H427,"0")+IFERROR(X428/H428,"0")+IFERROR(X429/H429,"0")</f>
        <v>313.33333333333331</v>
      </c>
      <c r="Y430" s="41">
        <f>IFERROR(Y422/H422,"0")+IFERROR(Y423/H423,"0")+IFERROR(Y424/H424,"0")+IFERROR(Y425/H425,"0")+IFERROR(Y426/H426,"0")+IFERROR(Y427/H427,"0")+IFERROR(Y428/H428,"0")+IFERROR(Y429/H429,"0")</f>
        <v>314</v>
      </c>
      <c r="Z430" s="41">
        <f>IFERROR(IF(Z422="",0,Z422),"0")+IFERROR(IF(Z423="",0,Z423),"0")+IFERROR(IF(Z424="",0,Z424),"0")+IFERROR(IF(Z425="",0,Z425),"0")+IFERROR(IF(Z426="",0,Z426),"0")+IFERROR(IF(Z427="",0,Z427),"0")+IFERROR(IF(Z428="",0,Z428),"0")+IFERROR(IF(Z429="",0,Z429),"0")</f>
        <v>6.8294999999999995</v>
      </c>
      <c r="AA430" s="64"/>
      <c r="AB430" s="64"/>
      <c r="AC430" s="64"/>
    </row>
    <row r="431" spans="1:68" x14ac:dyDescent="0.2">
      <c r="A431" s="710"/>
      <c r="B431" s="710"/>
      <c r="C431" s="710"/>
      <c r="D431" s="710"/>
      <c r="E431" s="710"/>
      <c r="F431" s="710"/>
      <c r="G431" s="710"/>
      <c r="H431" s="710"/>
      <c r="I431" s="710"/>
      <c r="J431" s="710"/>
      <c r="K431" s="710"/>
      <c r="L431" s="710"/>
      <c r="M431" s="710"/>
      <c r="N431" s="710"/>
      <c r="O431" s="711"/>
      <c r="P431" s="707" t="s">
        <v>40</v>
      </c>
      <c r="Q431" s="708"/>
      <c r="R431" s="708"/>
      <c r="S431" s="708"/>
      <c r="T431" s="708"/>
      <c r="U431" s="708"/>
      <c r="V431" s="709"/>
      <c r="W431" s="40" t="s">
        <v>0</v>
      </c>
      <c r="X431" s="41">
        <f>IFERROR(SUM(X422:X429),"0")</f>
        <v>4700</v>
      </c>
      <c r="Y431" s="41">
        <f>IFERROR(SUM(Y422:Y429),"0")</f>
        <v>4710</v>
      </c>
      <c r="Z431" s="40"/>
      <c r="AA431" s="64"/>
      <c r="AB431" s="64"/>
      <c r="AC431" s="64"/>
    </row>
    <row r="432" spans="1:68" ht="14.25" customHeight="1" x14ac:dyDescent="0.25">
      <c r="A432" s="701" t="s">
        <v>164</v>
      </c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  <c r="AA432" s="63"/>
      <c r="AB432" s="63"/>
      <c r="AC432" s="63"/>
    </row>
    <row r="433" spans="1:68" ht="27" customHeight="1" x14ac:dyDescent="0.25">
      <c r="A433" s="60" t="s">
        <v>720</v>
      </c>
      <c r="B433" s="60" t="s">
        <v>721</v>
      </c>
      <c r="C433" s="34">
        <v>4301020178</v>
      </c>
      <c r="D433" s="702">
        <v>4607091383980</v>
      </c>
      <c r="E433" s="702"/>
      <c r="F433" s="59">
        <v>2.5</v>
      </c>
      <c r="G433" s="35">
        <v>6</v>
      </c>
      <c r="H433" s="59">
        <v>15</v>
      </c>
      <c r="I433" s="59">
        <v>15.47</v>
      </c>
      <c r="J433" s="35">
        <v>48</v>
      </c>
      <c r="K433" s="35" t="s">
        <v>133</v>
      </c>
      <c r="L433" s="35" t="s">
        <v>46</v>
      </c>
      <c r="M433" s="36" t="s">
        <v>132</v>
      </c>
      <c r="N433" s="36"/>
      <c r="O433" s="35">
        <v>50</v>
      </c>
      <c r="P433" s="933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33" s="704"/>
      <c r="R433" s="704"/>
      <c r="S433" s="704"/>
      <c r="T433" s="705"/>
      <c r="U433" s="37" t="s">
        <v>46</v>
      </c>
      <c r="V433" s="37" t="s">
        <v>46</v>
      </c>
      <c r="W433" s="38" t="s">
        <v>0</v>
      </c>
      <c r="X433" s="56">
        <v>0</v>
      </c>
      <c r="Y433" s="53">
        <f>IFERROR(IF(X433="",0,CEILING((X433/$H433),1)*$H433),"")</f>
        <v>0</v>
      </c>
      <c r="Z433" s="39" t="str">
        <f>IFERROR(IF(Y433=0,"",ROUNDUP(Y433/H433,0)*0.02175),"")</f>
        <v/>
      </c>
      <c r="AA433" s="65" t="s">
        <v>46</v>
      </c>
      <c r="AB433" s="66" t="s">
        <v>46</v>
      </c>
      <c r="AC433" s="527" t="s">
        <v>722</v>
      </c>
      <c r="AG433" s="75"/>
      <c r="AJ433" s="79" t="s">
        <v>46</v>
      </c>
      <c r="AK433" s="79">
        <v>0</v>
      </c>
      <c r="BB433" s="528" t="s">
        <v>67</v>
      </c>
      <c r="BM433" s="75">
        <f>IFERROR(X433*I433/H433,"0")</f>
        <v>0</v>
      </c>
      <c r="BN433" s="75">
        <f>IFERROR(Y433*I433/H433,"0")</f>
        <v>0</v>
      </c>
      <c r="BO433" s="75">
        <f>IFERROR(1/J433*(X433/H433),"0")</f>
        <v>0</v>
      </c>
      <c r="BP433" s="75">
        <f>IFERROR(1/J433*(Y433/H433),"0")</f>
        <v>0</v>
      </c>
    </row>
    <row r="434" spans="1:68" ht="27" customHeight="1" x14ac:dyDescent="0.25">
      <c r="A434" s="60" t="s">
        <v>723</v>
      </c>
      <c r="B434" s="60" t="s">
        <v>724</v>
      </c>
      <c r="C434" s="34">
        <v>4301020355</v>
      </c>
      <c r="D434" s="702">
        <v>4680115888425</v>
      </c>
      <c r="E434" s="702"/>
      <c r="F434" s="59">
        <v>2.5</v>
      </c>
      <c r="G434" s="35">
        <v>6</v>
      </c>
      <c r="H434" s="59">
        <v>15</v>
      </c>
      <c r="I434" s="59">
        <v>15.47</v>
      </c>
      <c r="J434" s="35">
        <v>48</v>
      </c>
      <c r="K434" s="35" t="s">
        <v>133</v>
      </c>
      <c r="L434" s="35" t="s">
        <v>46</v>
      </c>
      <c r="M434" s="36" t="s">
        <v>132</v>
      </c>
      <c r="N434" s="36"/>
      <c r="O434" s="35">
        <v>50</v>
      </c>
      <c r="P434" s="934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34" s="704"/>
      <c r="R434" s="704"/>
      <c r="S434" s="704"/>
      <c r="T434" s="705"/>
      <c r="U434" s="37" t="s">
        <v>46</v>
      </c>
      <c r="V434" s="37" t="s">
        <v>46</v>
      </c>
      <c r="W434" s="38" t="s">
        <v>0</v>
      </c>
      <c r="X434" s="56">
        <v>0</v>
      </c>
      <c r="Y434" s="53">
        <f>IFERROR(IF(X434="",0,CEILING((X434/$H434),1)*$H434),"")</f>
        <v>0</v>
      </c>
      <c r="Z434" s="39" t="str">
        <f>IFERROR(IF(Y434=0,"",ROUNDUP(Y434/H434,0)*0.02175),"")</f>
        <v/>
      </c>
      <c r="AA434" s="65" t="s">
        <v>46</v>
      </c>
      <c r="AB434" s="66" t="s">
        <v>46</v>
      </c>
      <c r="AC434" s="529" t="s">
        <v>725</v>
      </c>
      <c r="AG434" s="75"/>
      <c r="AJ434" s="79" t="s">
        <v>46</v>
      </c>
      <c r="AK434" s="79">
        <v>0</v>
      </c>
      <c r="BB434" s="530" t="s">
        <v>67</v>
      </c>
      <c r="BM434" s="75">
        <f>IFERROR(X434*I434/H434,"0")</f>
        <v>0</v>
      </c>
      <c r="BN434" s="75">
        <f>IFERROR(Y434*I434/H434,"0")</f>
        <v>0</v>
      </c>
      <c r="BO434" s="75">
        <f>IFERROR(1/J434*(X434/H434),"0")</f>
        <v>0</v>
      </c>
      <c r="BP434" s="75">
        <f>IFERROR(1/J434*(Y434/H434),"0")</f>
        <v>0</v>
      </c>
    </row>
    <row r="435" spans="1:68" ht="27" customHeight="1" x14ac:dyDescent="0.25">
      <c r="A435" s="60" t="s">
        <v>726</v>
      </c>
      <c r="B435" s="60" t="s">
        <v>727</v>
      </c>
      <c r="C435" s="34">
        <v>4301020179</v>
      </c>
      <c r="D435" s="702">
        <v>4607091384178</v>
      </c>
      <c r="E435" s="702"/>
      <c r="F435" s="59">
        <v>0.4</v>
      </c>
      <c r="G435" s="35">
        <v>10</v>
      </c>
      <c r="H435" s="59">
        <v>4</v>
      </c>
      <c r="I435" s="59">
        <v>4.1900000000000004</v>
      </c>
      <c r="J435" s="35">
        <v>132</v>
      </c>
      <c r="K435" s="35" t="s">
        <v>140</v>
      </c>
      <c r="L435" s="35" t="s">
        <v>46</v>
      </c>
      <c r="M435" s="36" t="s">
        <v>132</v>
      </c>
      <c r="N435" s="36"/>
      <c r="O435" s="35">
        <v>50</v>
      </c>
      <c r="P435" s="935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35" s="704"/>
      <c r="R435" s="704"/>
      <c r="S435" s="704"/>
      <c r="T435" s="705"/>
      <c r="U435" s="37" t="s">
        <v>46</v>
      </c>
      <c r="V435" s="37" t="s">
        <v>46</v>
      </c>
      <c r="W435" s="38" t="s">
        <v>0</v>
      </c>
      <c r="X435" s="56">
        <v>0</v>
      </c>
      <c r="Y435" s="53">
        <f>IFERROR(IF(X435="",0,CEILING((X435/$H435),1)*$H435),"")</f>
        <v>0</v>
      </c>
      <c r="Z435" s="39" t="str">
        <f>IFERROR(IF(Y435=0,"",ROUNDUP(Y435/H435,0)*0.00902),"")</f>
        <v/>
      </c>
      <c r="AA435" s="65" t="s">
        <v>46</v>
      </c>
      <c r="AB435" s="66" t="s">
        <v>46</v>
      </c>
      <c r="AC435" s="531" t="s">
        <v>728</v>
      </c>
      <c r="AG435" s="75"/>
      <c r="AJ435" s="79" t="s">
        <v>46</v>
      </c>
      <c r="AK435" s="79">
        <v>0</v>
      </c>
      <c r="BB435" s="532" t="s">
        <v>67</v>
      </c>
      <c r="BM435" s="75">
        <f>IFERROR(X435*I435/H435,"0")</f>
        <v>0</v>
      </c>
      <c r="BN435" s="75">
        <f>IFERROR(Y435*I435/H435,"0")</f>
        <v>0</v>
      </c>
      <c r="BO435" s="75">
        <f>IFERROR(1/J435*(X435/H435),"0")</f>
        <v>0</v>
      </c>
      <c r="BP435" s="75">
        <f>IFERROR(1/J435*(Y435/H435),"0")</f>
        <v>0</v>
      </c>
    </row>
    <row r="436" spans="1:68" x14ac:dyDescent="0.2">
      <c r="A436" s="710"/>
      <c r="B436" s="710"/>
      <c r="C436" s="710"/>
      <c r="D436" s="710"/>
      <c r="E436" s="710"/>
      <c r="F436" s="710"/>
      <c r="G436" s="710"/>
      <c r="H436" s="710"/>
      <c r="I436" s="710"/>
      <c r="J436" s="710"/>
      <c r="K436" s="710"/>
      <c r="L436" s="710"/>
      <c r="M436" s="710"/>
      <c r="N436" s="710"/>
      <c r="O436" s="711"/>
      <c r="P436" s="707" t="s">
        <v>40</v>
      </c>
      <c r="Q436" s="708"/>
      <c r="R436" s="708"/>
      <c r="S436" s="708"/>
      <c r="T436" s="708"/>
      <c r="U436" s="708"/>
      <c r="V436" s="709"/>
      <c r="W436" s="40" t="s">
        <v>39</v>
      </c>
      <c r="X436" s="41">
        <f>IFERROR(X433/H433,"0")+IFERROR(X434/H434,"0")+IFERROR(X435/H435,"0")</f>
        <v>0</v>
      </c>
      <c r="Y436" s="41">
        <f>IFERROR(Y433/H433,"0")+IFERROR(Y434/H434,"0")+IFERROR(Y435/H435,"0")</f>
        <v>0</v>
      </c>
      <c r="Z436" s="41">
        <f>IFERROR(IF(Z433="",0,Z433),"0")+IFERROR(IF(Z434="",0,Z434),"0")+IFERROR(IF(Z435="",0,Z435),"0")</f>
        <v>0</v>
      </c>
      <c r="AA436" s="64"/>
      <c r="AB436" s="64"/>
      <c r="AC436" s="64"/>
    </row>
    <row r="437" spans="1:68" x14ac:dyDescent="0.2">
      <c r="A437" s="710"/>
      <c r="B437" s="710"/>
      <c r="C437" s="710"/>
      <c r="D437" s="710"/>
      <c r="E437" s="710"/>
      <c r="F437" s="710"/>
      <c r="G437" s="710"/>
      <c r="H437" s="710"/>
      <c r="I437" s="710"/>
      <c r="J437" s="710"/>
      <c r="K437" s="710"/>
      <c r="L437" s="710"/>
      <c r="M437" s="710"/>
      <c r="N437" s="710"/>
      <c r="O437" s="711"/>
      <c r="P437" s="707" t="s">
        <v>40</v>
      </c>
      <c r="Q437" s="708"/>
      <c r="R437" s="708"/>
      <c r="S437" s="708"/>
      <c r="T437" s="708"/>
      <c r="U437" s="708"/>
      <c r="V437" s="709"/>
      <c r="W437" s="40" t="s">
        <v>0</v>
      </c>
      <c r="X437" s="41">
        <f>IFERROR(SUM(X433:X435),"0")</f>
        <v>0</v>
      </c>
      <c r="Y437" s="41">
        <f>IFERROR(SUM(Y433:Y435),"0")</f>
        <v>0</v>
      </c>
      <c r="Z437" s="40"/>
      <c r="AA437" s="64"/>
      <c r="AB437" s="64"/>
      <c r="AC437" s="64"/>
    </row>
    <row r="438" spans="1:68" ht="14.25" customHeight="1" x14ac:dyDescent="0.25">
      <c r="A438" s="701" t="s">
        <v>86</v>
      </c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  <c r="AA438" s="63"/>
      <c r="AB438" s="63"/>
      <c r="AC438" s="63"/>
    </row>
    <row r="439" spans="1:68" ht="27" customHeight="1" x14ac:dyDescent="0.25">
      <c r="A439" s="60" t="s">
        <v>729</v>
      </c>
      <c r="B439" s="60" t="s">
        <v>730</v>
      </c>
      <c r="C439" s="34">
        <v>4301051903</v>
      </c>
      <c r="D439" s="702">
        <v>4607091383928</v>
      </c>
      <c r="E439" s="702"/>
      <c r="F439" s="59">
        <v>1.5</v>
      </c>
      <c r="G439" s="35">
        <v>6</v>
      </c>
      <c r="H439" s="59">
        <v>9</v>
      </c>
      <c r="I439" s="59">
        <v>9.5</v>
      </c>
      <c r="J439" s="35">
        <v>64</v>
      </c>
      <c r="K439" s="35" t="s">
        <v>133</v>
      </c>
      <c r="L439" s="35" t="s">
        <v>46</v>
      </c>
      <c r="M439" s="36" t="s">
        <v>90</v>
      </c>
      <c r="N439" s="36"/>
      <c r="O439" s="35">
        <v>40</v>
      </c>
      <c r="P439" s="936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39" s="704"/>
      <c r="R439" s="704"/>
      <c r="S439" s="704"/>
      <c r="T439" s="705"/>
      <c r="U439" s="37" t="s">
        <v>46</v>
      </c>
      <c r="V439" s="37" t="s">
        <v>46</v>
      </c>
      <c r="W439" s="38" t="s">
        <v>0</v>
      </c>
      <c r="X439" s="56">
        <v>0</v>
      </c>
      <c r="Y439" s="53">
        <f>IFERROR(IF(X439="",0,CEILING((X439/$H439),1)*$H439),"")</f>
        <v>0</v>
      </c>
      <c r="Z439" s="39" t="str">
        <f>IFERROR(IF(Y439=0,"",ROUNDUP(Y439/H439,0)*0.01898),"")</f>
        <v/>
      </c>
      <c r="AA439" s="65" t="s">
        <v>46</v>
      </c>
      <c r="AB439" s="66" t="s">
        <v>46</v>
      </c>
      <c r="AC439" s="533" t="s">
        <v>731</v>
      </c>
      <c r="AG439" s="75"/>
      <c r="AJ439" s="79" t="s">
        <v>46</v>
      </c>
      <c r="AK439" s="79">
        <v>0</v>
      </c>
      <c r="BB439" s="534" t="s">
        <v>67</v>
      </c>
      <c r="BM439" s="75">
        <f>IFERROR(X439*I439/H439,"0")</f>
        <v>0</v>
      </c>
      <c r="BN439" s="75">
        <f>IFERROR(Y439*I439/H439,"0")</f>
        <v>0</v>
      </c>
      <c r="BO439" s="75">
        <f>IFERROR(1/J439*(X439/H439),"0")</f>
        <v>0</v>
      </c>
      <c r="BP439" s="75">
        <f>IFERROR(1/J439*(Y439/H439),"0")</f>
        <v>0</v>
      </c>
    </row>
    <row r="440" spans="1:68" ht="27" customHeight="1" x14ac:dyDescent="0.25">
      <c r="A440" s="60" t="s">
        <v>732</v>
      </c>
      <c r="B440" s="60" t="s">
        <v>733</v>
      </c>
      <c r="C440" s="34">
        <v>4301051897</v>
      </c>
      <c r="D440" s="702">
        <v>4607091384260</v>
      </c>
      <c r="E440" s="702"/>
      <c r="F440" s="59">
        <v>1.5</v>
      </c>
      <c r="G440" s="35">
        <v>6</v>
      </c>
      <c r="H440" s="59">
        <v>9</v>
      </c>
      <c r="I440" s="59">
        <v>9.4939999999999998</v>
      </c>
      <c r="J440" s="35">
        <v>64</v>
      </c>
      <c r="K440" s="35" t="s">
        <v>133</v>
      </c>
      <c r="L440" s="35" t="s">
        <v>46</v>
      </c>
      <c r="M440" s="36" t="s">
        <v>90</v>
      </c>
      <c r="N440" s="36"/>
      <c r="O440" s="35">
        <v>40</v>
      </c>
      <c r="P440" s="937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40" s="704"/>
      <c r="R440" s="704"/>
      <c r="S440" s="704"/>
      <c r="T440" s="705"/>
      <c r="U440" s="37" t="s">
        <v>46</v>
      </c>
      <c r="V440" s="37" t="s">
        <v>46</v>
      </c>
      <c r="W440" s="38" t="s">
        <v>0</v>
      </c>
      <c r="X440" s="56">
        <v>0</v>
      </c>
      <c r="Y440" s="53">
        <f>IFERROR(IF(X440="",0,CEILING((X440/$H440),1)*$H440),"")</f>
        <v>0</v>
      </c>
      <c r="Z440" s="39" t="str">
        <f>IFERROR(IF(Y440=0,"",ROUNDUP(Y440/H440,0)*0.01898),"")</f>
        <v/>
      </c>
      <c r="AA440" s="65" t="s">
        <v>46</v>
      </c>
      <c r="AB440" s="66" t="s">
        <v>46</v>
      </c>
      <c r="AC440" s="535" t="s">
        <v>734</v>
      </c>
      <c r="AG440" s="75"/>
      <c r="AJ440" s="79" t="s">
        <v>46</v>
      </c>
      <c r="AK440" s="79">
        <v>0</v>
      </c>
      <c r="BB440" s="536" t="s">
        <v>67</v>
      </c>
      <c r="BM440" s="75">
        <f>IFERROR(X440*I440/H440,"0")</f>
        <v>0</v>
      </c>
      <c r="BN440" s="75">
        <f>IFERROR(Y440*I440/H440,"0")</f>
        <v>0</v>
      </c>
      <c r="BO440" s="75">
        <f>IFERROR(1/J440*(X440/H440),"0")</f>
        <v>0</v>
      </c>
      <c r="BP440" s="75">
        <f>IFERROR(1/J440*(Y440/H440),"0")</f>
        <v>0</v>
      </c>
    </row>
    <row r="441" spans="1:68" ht="16.5" customHeight="1" x14ac:dyDescent="0.25">
      <c r="A441" s="60" t="s">
        <v>735</v>
      </c>
      <c r="B441" s="60" t="s">
        <v>736</v>
      </c>
      <c r="C441" s="34">
        <v>4301052220</v>
      </c>
      <c r="D441" s="702">
        <v>4680115889538</v>
      </c>
      <c r="E441" s="702"/>
      <c r="F441" s="59">
        <v>0.8</v>
      </c>
      <c r="G441" s="35">
        <v>6</v>
      </c>
      <c r="H441" s="59">
        <v>4.8</v>
      </c>
      <c r="I441" s="59">
        <v>5.2160000000000002</v>
      </c>
      <c r="J441" s="35">
        <v>104</v>
      </c>
      <c r="K441" s="35" t="s">
        <v>133</v>
      </c>
      <c r="L441" s="35" t="s">
        <v>46</v>
      </c>
      <c r="M441" s="36" t="s">
        <v>90</v>
      </c>
      <c r="N441" s="36"/>
      <c r="O441" s="35">
        <v>45</v>
      </c>
      <c r="P441" s="938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41" s="704"/>
      <c r="R441" s="704"/>
      <c r="S441" s="704"/>
      <c r="T441" s="705"/>
      <c r="U441" s="37" t="s">
        <v>46</v>
      </c>
      <c r="V441" s="37" t="s">
        <v>46</v>
      </c>
      <c r="W441" s="38" t="s">
        <v>0</v>
      </c>
      <c r="X441" s="56">
        <v>0</v>
      </c>
      <c r="Y441" s="53">
        <f>IFERROR(IF(X441="",0,CEILING((X441/$H441),1)*$H441),"")</f>
        <v>0</v>
      </c>
      <c r="Z441" s="39" t="str">
        <f>IFERROR(IF(Y441=0,"",ROUNDUP(Y441/H441,0)*0.01196),"")</f>
        <v/>
      </c>
      <c r="AA441" s="65" t="s">
        <v>46</v>
      </c>
      <c r="AB441" s="66" t="s">
        <v>46</v>
      </c>
      <c r="AC441" s="537" t="s">
        <v>737</v>
      </c>
      <c r="AG441" s="75"/>
      <c r="AJ441" s="79" t="s">
        <v>46</v>
      </c>
      <c r="AK441" s="79">
        <v>0</v>
      </c>
      <c r="BB441" s="538" t="s">
        <v>67</v>
      </c>
      <c r="BM441" s="75">
        <f>IFERROR(X441*I441/H441,"0")</f>
        <v>0</v>
      </c>
      <c r="BN441" s="75">
        <f>IFERROR(Y441*I441/H441,"0")</f>
        <v>0</v>
      </c>
      <c r="BO441" s="75">
        <f>IFERROR(1/J441*(X441/H441),"0")</f>
        <v>0</v>
      </c>
      <c r="BP441" s="75">
        <f>IFERROR(1/J441*(Y441/H441),"0")</f>
        <v>0</v>
      </c>
    </row>
    <row r="442" spans="1:68" x14ac:dyDescent="0.2">
      <c r="A442" s="710"/>
      <c r="B442" s="710"/>
      <c r="C442" s="710"/>
      <c r="D442" s="710"/>
      <c r="E442" s="710"/>
      <c r="F442" s="710"/>
      <c r="G442" s="710"/>
      <c r="H442" s="710"/>
      <c r="I442" s="710"/>
      <c r="J442" s="710"/>
      <c r="K442" s="710"/>
      <c r="L442" s="710"/>
      <c r="M442" s="710"/>
      <c r="N442" s="710"/>
      <c r="O442" s="711"/>
      <c r="P442" s="707" t="s">
        <v>40</v>
      </c>
      <c r="Q442" s="708"/>
      <c r="R442" s="708"/>
      <c r="S442" s="708"/>
      <c r="T442" s="708"/>
      <c r="U442" s="708"/>
      <c r="V442" s="709"/>
      <c r="W442" s="40" t="s">
        <v>39</v>
      </c>
      <c r="X442" s="41">
        <f>IFERROR(X439/H439,"0")+IFERROR(X440/H440,"0")+IFERROR(X441/H441,"0")</f>
        <v>0</v>
      </c>
      <c r="Y442" s="41">
        <f>IFERROR(Y439/H439,"0")+IFERROR(Y440/H440,"0")+IFERROR(Y441/H441,"0")</f>
        <v>0</v>
      </c>
      <c r="Z442" s="41">
        <f>IFERROR(IF(Z439="",0,Z439),"0")+IFERROR(IF(Z440="",0,Z440),"0")+IFERROR(IF(Z441="",0,Z441),"0")</f>
        <v>0</v>
      </c>
      <c r="AA442" s="64"/>
      <c r="AB442" s="64"/>
      <c r="AC442" s="64"/>
    </row>
    <row r="443" spans="1:68" x14ac:dyDescent="0.2">
      <c r="A443" s="710"/>
      <c r="B443" s="710"/>
      <c r="C443" s="710"/>
      <c r="D443" s="710"/>
      <c r="E443" s="710"/>
      <c r="F443" s="710"/>
      <c r="G443" s="710"/>
      <c r="H443" s="710"/>
      <c r="I443" s="710"/>
      <c r="J443" s="710"/>
      <c r="K443" s="710"/>
      <c r="L443" s="710"/>
      <c r="M443" s="710"/>
      <c r="N443" s="710"/>
      <c r="O443" s="711"/>
      <c r="P443" s="707" t="s">
        <v>40</v>
      </c>
      <c r="Q443" s="708"/>
      <c r="R443" s="708"/>
      <c r="S443" s="708"/>
      <c r="T443" s="708"/>
      <c r="U443" s="708"/>
      <c r="V443" s="709"/>
      <c r="W443" s="40" t="s">
        <v>0</v>
      </c>
      <c r="X443" s="41">
        <f>IFERROR(SUM(X439:X441),"0")</f>
        <v>0</v>
      </c>
      <c r="Y443" s="41">
        <f>IFERROR(SUM(Y439:Y441),"0")</f>
        <v>0</v>
      </c>
      <c r="Z443" s="40"/>
      <c r="AA443" s="64"/>
      <c r="AB443" s="64"/>
      <c r="AC443" s="64"/>
    </row>
    <row r="444" spans="1:68" ht="14.25" customHeight="1" x14ac:dyDescent="0.25">
      <c r="A444" s="701" t="s">
        <v>181</v>
      </c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  <c r="AA444" s="63"/>
      <c r="AB444" s="63"/>
      <c r="AC444" s="63"/>
    </row>
    <row r="445" spans="1:68" ht="27" customHeight="1" x14ac:dyDescent="0.25">
      <c r="A445" s="60" t="s">
        <v>738</v>
      </c>
      <c r="B445" s="60" t="s">
        <v>739</v>
      </c>
      <c r="C445" s="34">
        <v>4301060537</v>
      </c>
      <c r="D445" s="702">
        <v>4680115889545</v>
      </c>
      <c r="E445" s="702"/>
      <c r="F445" s="59">
        <v>0.7</v>
      </c>
      <c r="G445" s="35">
        <v>6</v>
      </c>
      <c r="H445" s="59">
        <v>4.2</v>
      </c>
      <c r="I445" s="59">
        <v>4.6159999999999997</v>
      </c>
      <c r="J445" s="35">
        <v>104</v>
      </c>
      <c r="K445" s="35" t="s">
        <v>133</v>
      </c>
      <c r="L445" s="35" t="s">
        <v>46</v>
      </c>
      <c r="M445" s="36" t="s">
        <v>90</v>
      </c>
      <c r="N445" s="36"/>
      <c r="O445" s="35">
        <v>30</v>
      </c>
      <c r="P445" s="939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45" s="704"/>
      <c r="R445" s="704"/>
      <c r="S445" s="704"/>
      <c r="T445" s="705"/>
      <c r="U445" s="37" t="s">
        <v>46</v>
      </c>
      <c r="V445" s="37" t="s">
        <v>46</v>
      </c>
      <c r="W445" s="38" t="s">
        <v>0</v>
      </c>
      <c r="X445" s="56">
        <v>0</v>
      </c>
      <c r="Y445" s="53">
        <f>IFERROR(IF(X445="",0,CEILING((X445/$H445),1)*$H445),"")</f>
        <v>0</v>
      </c>
      <c r="Z445" s="39" t="str">
        <f>IFERROR(IF(Y445=0,"",ROUNDUP(Y445/H445,0)*0.01196),"")</f>
        <v/>
      </c>
      <c r="AA445" s="65" t="s">
        <v>46</v>
      </c>
      <c r="AB445" s="66" t="s">
        <v>46</v>
      </c>
      <c r="AC445" s="539" t="s">
        <v>740</v>
      </c>
      <c r="AG445" s="75"/>
      <c r="AJ445" s="79" t="s">
        <v>46</v>
      </c>
      <c r="AK445" s="79">
        <v>0</v>
      </c>
      <c r="BB445" s="540" t="s">
        <v>67</v>
      </c>
      <c r="BM445" s="75">
        <f>IFERROR(X445*I445/H445,"0")</f>
        <v>0</v>
      </c>
      <c r="BN445" s="75">
        <f>IFERROR(Y445*I445/H445,"0")</f>
        <v>0</v>
      </c>
      <c r="BO445" s="75">
        <f>IFERROR(1/J445*(X445/H445),"0")</f>
        <v>0</v>
      </c>
      <c r="BP445" s="75">
        <f>IFERROR(1/J445*(Y445/H445),"0")</f>
        <v>0</v>
      </c>
    </row>
    <row r="446" spans="1:68" ht="16.5" customHeight="1" x14ac:dyDescent="0.25">
      <c r="A446" s="60" t="s">
        <v>741</v>
      </c>
      <c r="B446" s="60" t="s">
        <v>742</v>
      </c>
      <c r="C446" s="34">
        <v>4301060524</v>
      </c>
      <c r="D446" s="702">
        <v>4607091384673</v>
      </c>
      <c r="E446" s="702"/>
      <c r="F446" s="59">
        <v>1.5</v>
      </c>
      <c r="G446" s="35">
        <v>6</v>
      </c>
      <c r="H446" s="59">
        <v>9</v>
      </c>
      <c r="I446" s="59">
        <v>9.4939999999999998</v>
      </c>
      <c r="J446" s="35">
        <v>64</v>
      </c>
      <c r="K446" s="35" t="s">
        <v>133</v>
      </c>
      <c r="L446" s="35" t="s">
        <v>46</v>
      </c>
      <c r="M446" s="36" t="s">
        <v>90</v>
      </c>
      <c r="N446" s="36"/>
      <c r="O446" s="35">
        <v>40</v>
      </c>
      <c r="P446" s="940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46" s="704"/>
      <c r="R446" s="704"/>
      <c r="S446" s="704"/>
      <c r="T446" s="705"/>
      <c r="U446" s="37" t="s">
        <v>46</v>
      </c>
      <c r="V446" s="37" t="s">
        <v>46</v>
      </c>
      <c r="W446" s="38" t="s">
        <v>0</v>
      </c>
      <c r="X446" s="56">
        <v>0</v>
      </c>
      <c r="Y446" s="53">
        <f>IFERROR(IF(X446="",0,CEILING((X446/$H446),1)*$H446),"")</f>
        <v>0</v>
      </c>
      <c r="Z446" s="39" t="str">
        <f>IFERROR(IF(Y446=0,"",ROUNDUP(Y446/H446,0)*0.01898),"")</f>
        <v/>
      </c>
      <c r="AA446" s="65" t="s">
        <v>46</v>
      </c>
      <c r="AB446" s="66" t="s">
        <v>46</v>
      </c>
      <c r="AC446" s="541" t="s">
        <v>743</v>
      </c>
      <c r="AG446" s="75"/>
      <c r="AJ446" s="79" t="s">
        <v>46</v>
      </c>
      <c r="AK446" s="79">
        <v>0</v>
      </c>
      <c r="BB446" s="542" t="s">
        <v>67</v>
      </c>
      <c r="BM446" s="75">
        <f>IFERROR(X446*I446/H446,"0")</f>
        <v>0</v>
      </c>
      <c r="BN446" s="75">
        <f>IFERROR(Y446*I446/H446,"0")</f>
        <v>0</v>
      </c>
      <c r="BO446" s="75">
        <f>IFERROR(1/J446*(X446/H446),"0")</f>
        <v>0</v>
      </c>
      <c r="BP446" s="75">
        <f>IFERROR(1/J446*(Y446/H446),"0")</f>
        <v>0</v>
      </c>
    </row>
    <row r="447" spans="1:68" x14ac:dyDescent="0.2">
      <c r="A447" s="710"/>
      <c r="B447" s="710"/>
      <c r="C447" s="710"/>
      <c r="D447" s="710"/>
      <c r="E447" s="710"/>
      <c r="F447" s="710"/>
      <c r="G447" s="710"/>
      <c r="H447" s="710"/>
      <c r="I447" s="710"/>
      <c r="J447" s="710"/>
      <c r="K447" s="710"/>
      <c r="L447" s="710"/>
      <c r="M447" s="710"/>
      <c r="N447" s="710"/>
      <c r="O447" s="711"/>
      <c r="P447" s="707" t="s">
        <v>40</v>
      </c>
      <c r="Q447" s="708"/>
      <c r="R447" s="708"/>
      <c r="S447" s="708"/>
      <c r="T447" s="708"/>
      <c r="U447" s="708"/>
      <c r="V447" s="709"/>
      <c r="W447" s="40" t="s">
        <v>39</v>
      </c>
      <c r="X447" s="41">
        <f>IFERROR(X445/H445,"0")+IFERROR(X446/H446,"0")</f>
        <v>0</v>
      </c>
      <c r="Y447" s="41">
        <f>IFERROR(Y445/H445,"0")+IFERROR(Y446/H446,"0")</f>
        <v>0</v>
      </c>
      <c r="Z447" s="41">
        <f>IFERROR(IF(Z445="",0,Z445),"0")+IFERROR(IF(Z446="",0,Z446),"0")</f>
        <v>0</v>
      </c>
      <c r="AA447" s="64"/>
      <c r="AB447" s="64"/>
      <c r="AC447" s="64"/>
    </row>
    <row r="448" spans="1:68" x14ac:dyDescent="0.2">
      <c r="A448" s="710"/>
      <c r="B448" s="710"/>
      <c r="C448" s="710"/>
      <c r="D448" s="710"/>
      <c r="E448" s="710"/>
      <c r="F448" s="710"/>
      <c r="G448" s="710"/>
      <c r="H448" s="710"/>
      <c r="I448" s="710"/>
      <c r="J448" s="710"/>
      <c r="K448" s="710"/>
      <c r="L448" s="710"/>
      <c r="M448" s="710"/>
      <c r="N448" s="710"/>
      <c r="O448" s="711"/>
      <c r="P448" s="707" t="s">
        <v>40</v>
      </c>
      <c r="Q448" s="708"/>
      <c r="R448" s="708"/>
      <c r="S448" s="708"/>
      <c r="T448" s="708"/>
      <c r="U448" s="708"/>
      <c r="V448" s="709"/>
      <c r="W448" s="40" t="s">
        <v>0</v>
      </c>
      <c r="X448" s="41">
        <f>IFERROR(SUM(X445:X446),"0")</f>
        <v>0</v>
      </c>
      <c r="Y448" s="41">
        <f>IFERROR(SUM(Y445:Y446),"0")</f>
        <v>0</v>
      </c>
      <c r="Z448" s="40"/>
      <c r="AA448" s="64"/>
      <c r="AB448" s="64"/>
      <c r="AC448" s="64"/>
    </row>
    <row r="449" spans="1:68" ht="16.5" customHeight="1" x14ac:dyDescent="0.25">
      <c r="A449" s="700" t="s">
        <v>744</v>
      </c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  <c r="AA449" s="62"/>
      <c r="AB449" s="62"/>
      <c r="AC449" s="62"/>
    </row>
    <row r="450" spans="1:68" ht="14.25" customHeight="1" x14ac:dyDescent="0.25">
      <c r="A450" s="701" t="s">
        <v>128</v>
      </c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  <c r="AA450" s="63"/>
      <c r="AB450" s="63"/>
      <c r="AC450" s="63"/>
    </row>
    <row r="451" spans="1:68" ht="27" customHeight="1" x14ac:dyDescent="0.25">
      <c r="A451" s="60" t="s">
        <v>745</v>
      </c>
      <c r="B451" s="60" t="s">
        <v>746</v>
      </c>
      <c r="C451" s="34">
        <v>4301011875</v>
      </c>
      <c r="D451" s="702">
        <v>4680115884885</v>
      </c>
      <c r="E451" s="702"/>
      <c r="F451" s="59">
        <v>0.8</v>
      </c>
      <c r="G451" s="35">
        <v>15</v>
      </c>
      <c r="H451" s="59">
        <v>12</v>
      </c>
      <c r="I451" s="59">
        <v>12.41</v>
      </c>
      <c r="J451" s="35">
        <v>64</v>
      </c>
      <c r="K451" s="35" t="s">
        <v>133</v>
      </c>
      <c r="L451" s="35" t="s">
        <v>46</v>
      </c>
      <c r="M451" s="36" t="s">
        <v>81</v>
      </c>
      <c r="N451" s="36"/>
      <c r="O451" s="35">
        <v>60</v>
      </c>
      <c r="P451" s="941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51" s="704"/>
      <c r="R451" s="704"/>
      <c r="S451" s="704"/>
      <c r="T451" s="705"/>
      <c r="U451" s="37" t="s">
        <v>46</v>
      </c>
      <c r="V451" s="37" t="s">
        <v>46</v>
      </c>
      <c r="W451" s="38" t="s">
        <v>0</v>
      </c>
      <c r="X451" s="56">
        <v>0</v>
      </c>
      <c r="Y451" s="53">
        <f>IFERROR(IF(X451="",0,CEILING((X451/$H451),1)*$H451),"")</f>
        <v>0</v>
      </c>
      <c r="Z451" s="39" t="str">
        <f>IFERROR(IF(Y451=0,"",ROUNDUP(Y451/H451,0)*0.01898),"")</f>
        <v/>
      </c>
      <c r="AA451" s="65" t="s">
        <v>46</v>
      </c>
      <c r="AB451" s="66" t="s">
        <v>46</v>
      </c>
      <c r="AC451" s="543" t="s">
        <v>747</v>
      </c>
      <c r="AG451" s="75"/>
      <c r="AJ451" s="79" t="s">
        <v>46</v>
      </c>
      <c r="AK451" s="79">
        <v>0</v>
      </c>
      <c r="BB451" s="544" t="s">
        <v>67</v>
      </c>
      <c r="BM451" s="75">
        <f>IFERROR(X451*I451/H451,"0")</f>
        <v>0</v>
      </c>
      <c r="BN451" s="75">
        <f>IFERROR(Y451*I451/H451,"0")</f>
        <v>0</v>
      </c>
      <c r="BO451" s="75">
        <f>IFERROR(1/J451*(X451/H451),"0")</f>
        <v>0</v>
      </c>
      <c r="BP451" s="75">
        <f>IFERROR(1/J451*(Y451/H451),"0")</f>
        <v>0</v>
      </c>
    </row>
    <row r="452" spans="1:68" ht="37.5" customHeight="1" x14ac:dyDescent="0.25">
      <c r="A452" s="60" t="s">
        <v>748</v>
      </c>
      <c r="B452" s="60" t="s">
        <v>749</v>
      </c>
      <c r="C452" s="34">
        <v>4301011871</v>
      </c>
      <c r="D452" s="702">
        <v>4680115884908</v>
      </c>
      <c r="E452" s="702"/>
      <c r="F452" s="59">
        <v>0.4</v>
      </c>
      <c r="G452" s="35">
        <v>10</v>
      </c>
      <c r="H452" s="59">
        <v>4</v>
      </c>
      <c r="I452" s="59">
        <v>4.1900000000000004</v>
      </c>
      <c r="J452" s="35">
        <v>132</v>
      </c>
      <c r="K452" s="35" t="s">
        <v>140</v>
      </c>
      <c r="L452" s="35" t="s">
        <v>46</v>
      </c>
      <c r="M452" s="36" t="s">
        <v>81</v>
      </c>
      <c r="N452" s="36"/>
      <c r="O452" s="35">
        <v>60</v>
      </c>
      <c r="P452" s="942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52" s="704"/>
      <c r="R452" s="704"/>
      <c r="S452" s="704"/>
      <c r="T452" s="705"/>
      <c r="U452" s="37" t="s">
        <v>46</v>
      </c>
      <c r="V452" s="37" t="s">
        <v>46</v>
      </c>
      <c r="W452" s="38" t="s">
        <v>0</v>
      </c>
      <c r="X452" s="56">
        <v>0</v>
      </c>
      <c r="Y452" s="53">
        <f>IFERROR(IF(X452="",0,CEILING((X452/$H452),1)*$H452),"")</f>
        <v>0</v>
      </c>
      <c r="Z452" s="39" t="str">
        <f>IFERROR(IF(Y452=0,"",ROUNDUP(Y452/H452,0)*0.00902),"")</f>
        <v/>
      </c>
      <c r="AA452" s="65" t="s">
        <v>46</v>
      </c>
      <c r="AB452" s="66" t="s">
        <v>46</v>
      </c>
      <c r="AC452" s="545" t="s">
        <v>747</v>
      </c>
      <c r="AG452" s="75"/>
      <c r="AJ452" s="79" t="s">
        <v>46</v>
      </c>
      <c r="AK452" s="79">
        <v>0</v>
      </c>
      <c r="BB452" s="546" t="s">
        <v>67</v>
      </c>
      <c r="BM452" s="75">
        <f>IFERROR(X452*I452/H452,"0")</f>
        <v>0</v>
      </c>
      <c r="BN452" s="75">
        <f>IFERROR(Y452*I452/H452,"0")</f>
        <v>0</v>
      </c>
      <c r="BO452" s="75">
        <f>IFERROR(1/J452*(X452/H452),"0")</f>
        <v>0</v>
      </c>
      <c r="BP452" s="75">
        <f>IFERROR(1/J452*(Y452/H452),"0")</f>
        <v>0</v>
      </c>
    </row>
    <row r="453" spans="1:68" x14ac:dyDescent="0.2">
      <c r="A453" s="710"/>
      <c r="B453" s="710"/>
      <c r="C453" s="710"/>
      <c r="D453" s="710"/>
      <c r="E453" s="710"/>
      <c r="F453" s="710"/>
      <c r="G453" s="710"/>
      <c r="H453" s="710"/>
      <c r="I453" s="710"/>
      <c r="J453" s="710"/>
      <c r="K453" s="710"/>
      <c r="L453" s="710"/>
      <c r="M453" s="710"/>
      <c r="N453" s="710"/>
      <c r="O453" s="711"/>
      <c r="P453" s="707" t="s">
        <v>40</v>
      </c>
      <c r="Q453" s="708"/>
      <c r="R453" s="708"/>
      <c r="S453" s="708"/>
      <c r="T453" s="708"/>
      <c r="U453" s="708"/>
      <c r="V453" s="709"/>
      <c r="W453" s="40" t="s">
        <v>39</v>
      </c>
      <c r="X453" s="41">
        <f>IFERROR(X451/H451,"0")+IFERROR(X452/H452,"0")</f>
        <v>0</v>
      </c>
      <c r="Y453" s="41">
        <f>IFERROR(Y451/H451,"0")+IFERROR(Y452/H452,"0")</f>
        <v>0</v>
      </c>
      <c r="Z453" s="41">
        <f>IFERROR(IF(Z451="",0,Z451),"0")+IFERROR(IF(Z452="",0,Z452),"0")</f>
        <v>0</v>
      </c>
      <c r="AA453" s="64"/>
      <c r="AB453" s="64"/>
      <c r="AC453" s="64"/>
    </row>
    <row r="454" spans="1:68" x14ac:dyDescent="0.2">
      <c r="A454" s="710"/>
      <c r="B454" s="710"/>
      <c r="C454" s="710"/>
      <c r="D454" s="710"/>
      <c r="E454" s="710"/>
      <c r="F454" s="710"/>
      <c r="G454" s="710"/>
      <c r="H454" s="710"/>
      <c r="I454" s="710"/>
      <c r="J454" s="710"/>
      <c r="K454" s="710"/>
      <c r="L454" s="710"/>
      <c r="M454" s="710"/>
      <c r="N454" s="710"/>
      <c r="O454" s="711"/>
      <c r="P454" s="707" t="s">
        <v>40</v>
      </c>
      <c r="Q454" s="708"/>
      <c r="R454" s="708"/>
      <c r="S454" s="708"/>
      <c r="T454" s="708"/>
      <c r="U454" s="708"/>
      <c r="V454" s="709"/>
      <c r="W454" s="40" t="s">
        <v>0</v>
      </c>
      <c r="X454" s="41">
        <f>IFERROR(SUM(X451:X452),"0")</f>
        <v>0</v>
      </c>
      <c r="Y454" s="41">
        <f>IFERROR(SUM(Y451:Y452),"0")</f>
        <v>0</v>
      </c>
      <c r="Z454" s="40"/>
      <c r="AA454" s="64"/>
      <c r="AB454" s="64"/>
      <c r="AC454" s="64"/>
    </row>
    <row r="455" spans="1:68" ht="14.25" customHeight="1" x14ac:dyDescent="0.25">
      <c r="A455" s="701" t="s">
        <v>77</v>
      </c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  <c r="AA455" s="63"/>
      <c r="AB455" s="63"/>
      <c r="AC455" s="63"/>
    </row>
    <row r="456" spans="1:68" ht="27" customHeight="1" x14ac:dyDescent="0.25">
      <c r="A456" s="60" t="s">
        <v>750</v>
      </c>
      <c r="B456" s="60" t="s">
        <v>751</v>
      </c>
      <c r="C456" s="34">
        <v>4301031457</v>
      </c>
      <c r="D456" s="702">
        <v>4607091384802</v>
      </c>
      <c r="E456" s="702"/>
      <c r="F456" s="59">
        <v>0.7</v>
      </c>
      <c r="G456" s="35">
        <v>6</v>
      </c>
      <c r="H456" s="59">
        <v>4.2</v>
      </c>
      <c r="I456" s="59">
        <v>4.45</v>
      </c>
      <c r="J456" s="35">
        <v>132</v>
      </c>
      <c r="K456" s="35" t="s">
        <v>140</v>
      </c>
      <c r="L456" s="35" t="s">
        <v>46</v>
      </c>
      <c r="M456" s="36" t="s">
        <v>81</v>
      </c>
      <c r="N456" s="36"/>
      <c r="O456" s="35">
        <v>50</v>
      </c>
      <c r="P456" s="943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56" s="704"/>
      <c r="R456" s="704"/>
      <c r="S456" s="704"/>
      <c r="T456" s="705"/>
      <c r="U456" s="37" t="s">
        <v>46</v>
      </c>
      <c r="V456" s="37" t="s">
        <v>46</v>
      </c>
      <c r="W456" s="38" t="s">
        <v>0</v>
      </c>
      <c r="X456" s="56">
        <v>0</v>
      </c>
      <c r="Y456" s="53">
        <f>IFERROR(IF(X456="",0,CEILING((X456/$H456),1)*$H456),"")</f>
        <v>0</v>
      </c>
      <c r="Z456" s="39" t="str">
        <f>IFERROR(IF(Y456=0,"",ROUNDUP(Y456/H456,0)*0.00902),"")</f>
        <v/>
      </c>
      <c r="AA456" s="65" t="s">
        <v>46</v>
      </c>
      <c r="AB456" s="66" t="s">
        <v>46</v>
      </c>
      <c r="AC456" s="547" t="s">
        <v>752</v>
      </c>
      <c r="AG456" s="75"/>
      <c r="AJ456" s="79" t="s">
        <v>46</v>
      </c>
      <c r="AK456" s="79">
        <v>0</v>
      </c>
      <c r="BB456" s="548" t="s">
        <v>67</v>
      </c>
      <c r="BM456" s="75">
        <f>IFERROR(X456*I456/H456,"0")</f>
        <v>0</v>
      </c>
      <c r="BN456" s="75">
        <f>IFERROR(Y456*I456/H456,"0")</f>
        <v>0</v>
      </c>
      <c r="BO456" s="75">
        <f>IFERROR(1/J456*(X456/H456),"0")</f>
        <v>0</v>
      </c>
      <c r="BP456" s="75">
        <f>IFERROR(1/J456*(Y456/H456),"0")</f>
        <v>0</v>
      </c>
    </row>
    <row r="457" spans="1:68" x14ac:dyDescent="0.2">
      <c r="A457" s="710"/>
      <c r="B457" s="710"/>
      <c r="C457" s="710"/>
      <c r="D457" s="710"/>
      <c r="E457" s="710"/>
      <c r="F457" s="710"/>
      <c r="G457" s="710"/>
      <c r="H457" s="710"/>
      <c r="I457" s="710"/>
      <c r="J457" s="710"/>
      <c r="K457" s="710"/>
      <c r="L457" s="710"/>
      <c r="M457" s="710"/>
      <c r="N457" s="710"/>
      <c r="O457" s="711"/>
      <c r="P457" s="707" t="s">
        <v>40</v>
      </c>
      <c r="Q457" s="708"/>
      <c r="R457" s="708"/>
      <c r="S457" s="708"/>
      <c r="T457" s="708"/>
      <c r="U457" s="708"/>
      <c r="V457" s="709"/>
      <c r="W457" s="40" t="s">
        <v>39</v>
      </c>
      <c r="X457" s="41">
        <f>IFERROR(X456/H456,"0")</f>
        <v>0</v>
      </c>
      <c r="Y457" s="41">
        <f>IFERROR(Y456/H456,"0")</f>
        <v>0</v>
      </c>
      <c r="Z457" s="41">
        <f>IFERROR(IF(Z456="",0,Z456),"0")</f>
        <v>0</v>
      </c>
      <c r="AA457" s="64"/>
      <c r="AB457" s="64"/>
      <c r="AC457" s="64"/>
    </row>
    <row r="458" spans="1:68" x14ac:dyDescent="0.2">
      <c r="A458" s="710"/>
      <c r="B458" s="710"/>
      <c r="C458" s="710"/>
      <c r="D458" s="710"/>
      <c r="E458" s="710"/>
      <c r="F458" s="710"/>
      <c r="G458" s="710"/>
      <c r="H458" s="710"/>
      <c r="I458" s="710"/>
      <c r="J458" s="710"/>
      <c r="K458" s="710"/>
      <c r="L458" s="710"/>
      <c r="M458" s="710"/>
      <c r="N458" s="710"/>
      <c r="O458" s="711"/>
      <c r="P458" s="707" t="s">
        <v>40</v>
      </c>
      <c r="Q458" s="708"/>
      <c r="R458" s="708"/>
      <c r="S458" s="708"/>
      <c r="T458" s="708"/>
      <c r="U458" s="708"/>
      <c r="V458" s="709"/>
      <c r="W458" s="40" t="s">
        <v>0</v>
      </c>
      <c r="X458" s="41">
        <f>IFERROR(SUM(X456:X456),"0")</f>
        <v>0</v>
      </c>
      <c r="Y458" s="41">
        <f>IFERROR(SUM(Y456:Y456),"0")</f>
        <v>0</v>
      </c>
      <c r="Z458" s="40"/>
      <c r="AA458" s="64"/>
      <c r="AB458" s="64"/>
      <c r="AC458" s="64"/>
    </row>
    <row r="459" spans="1:68" ht="14.25" customHeight="1" x14ac:dyDescent="0.25">
      <c r="A459" s="701" t="s">
        <v>86</v>
      </c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  <c r="AA459" s="63"/>
      <c r="AB459" s="63"/>
      <c r="AC459" s="63"/>
    </row>
    <row r="460" spans="1:68" ht="27" customHeight="1" x14ac:dyDescent="0.25">
      <c r="A460" s="60" t="s">
        <v>753</v>
      </c>
      <c r="B460" s="60" t="s">
        <v>754</v>
      </c>
      <c r="C460" s="34">
        <v>4301051899</v>
      </c>
      <c r="D460" s="702">
        <v>4607091384246</v>
      </c>
      <c r="E460" s="702"/>
      <c r="F460" s="59">
        <v>1.5</v>
      </c>
      <c r="G460" s="35">
        <v>6</v>
      </c>
      <c r="H460" s="59">
        <v>9</v>
      </c>
      <c r="I460" s="59">
        <v>9.4939999999999998</v>
      </c>
      <c r="J460" s="35">
        <v>64</v>
      </c>
      <c r="K460" s="35" t="s">
        <v>133</v>
      </c>
      <c r="L460" s="35" t="s">
        <v>46</v>
      </c>
      <c r="M460" s="36" t="s">
        <v>90</v>
      </c>
      <c r="N460" s="36"/>
      <c r="O460" s="35">
        <v>40</v>
      </c>
      <c r="P460" s="944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60" s="704"/>
      <c r="R460" s="704"/>
      <c r="S460" s="704"/>
      <c r="T460" s="705"/>
      <c r="U460" s="37" t="s">
        <v>46</v>
      </c>
      <c r="V460" s="37" t="s">
        <v>46</v>
      </c>
      <c r="W460" s="38" t="s">
        <v>0</v>
      </c>
      <c r="X460" s="56">
        <v>0</v>
      </c>
      <c r="Y460" s="53">
        <f>IFERROR(IF(X460="",0,CEILING((X460/$H460),1)*$H460),"")</f>
        <v>0</v>
      </c>
      <c r="Z460" s="39" t="str">
        <f>IFERROR(IF(Y460=0,"",ROUNDUP(Y460/H460,0)*0.01898),"")</f>
        <v/>
      </c>
      <c r="AA460" s="65" t="s">
        <v>46</v>
      </c>
      <c r="AB460" s="66" t="s">
        <v>46</v>
      </c>
      <c r="AC460" s="549" t="s">
        <v>755</v>
      </c>
      <c r="AG460" s="75"/>
      <c r="AJ460" s="79" t="s">
        <v>46</v>
      </c>
      <c r="AK460" s="79">
        <v>0</v>
      </c>
      <c r="BB460" s="550" t="s">
        <v>67</v>
      </c>
      <c r="BM460" s="75">
        <f>IFERROR(X460*I460/H460,"0")</f>
        <v>0</v>
      </c>
      <c r="BN460" s="75">
        <f>IFERROR(Y460*I460/H460,"0")</f>
        <v>0</v>
      </c>
      <c r="BO460" s="75">
        <f>IFERROR(1/J460*(X460/H460),"0")</f>
        <v>0</v>
      </c>
      <c r="BP460" s="75">
        <f>IFERROR(1/J460*(Y460/H460),"0")</f>
        <v>0</v>
      </c>
    </row>
    <row r="461" spans="1:68" ht="27" customHeight="1" x14ac:dyDescent="0.25">
      <c r="A461" s="60" t="s">
        <v>756</v>
      </c>
      <c r="B461" s="60" t="s">
        <v>757</v>
      </c>
      <c r="C461" s="34">
        <v>4301051660</v>
      </c>
      <c r="D461" s="702">
        <v>4607091384253</v>
      </c>
      <c r="E461" s="702"/>
      <c r="F461" s="59">
        <v>0.4</v>
      </c>
      <c r="G461" s="35">
        <v>6</v>
      </c>
      <c r="H461" s="59">
        <v>2.4</v>
      </c>
      <c r="I461" s="59">
        <v>2.6640000000000001</v>
      </c>
      <c r="J461" s="35">
        <v>182</v>
      </c>
      <c r="K461" s="35" t="s">
        <v>91</v>
      </c>
      <c r="L461" s="35" t="s">
        <v>46</v>
      </c>
      <c r="M461" s="36" t="s">
        <v>90</v>
      </c>
      <c r="N461" s="36"/>
      <c r="O461" s="35">
        <v>40</v>
      </c>
      <c r="P461" s="945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61" s="704"/>
      <c r="R461" s="704"/>
      <c r="S461" s="704"/>
      <c r="T461" s="705"/>
      <c r="U461" s="37" t="s">
        <v>46</v>
      </c>
      <c r="V461" s="37" t="s">
        <v>46</v>
      </c>
      <c r="W461" s="38" t="s">
        <v>0</v>
      </c>
      <c r="X461" s="56">
        <v>0</v>
      </c>
      <c r="Y461" s="53">
        <f>IFERROR(IF(X461="",0,CEILING((X461/$H461),1)*$H461),"")</f>
        <v>0</v>
      </c>
      <c r="Z461" s="39" t="str">
        <f>IFERROR(IF(Y461=0,"",ROUNDUP(Y461/H461,0)*0.00651),"")</f>
        <v/>
      </c>
      <c r="AA461" s="65" t="s">
        <v>46</v>
      </c>
      <c r="AB461" s="66" t="s">
        <v>46</v>
      </c>
      <c r="AC461" s="551" t="s">
        <v>755</v>
      </c>
      <c r="AG461" s="75"/>
      <c r="AJ461" s="79" t="s">
        <v>46</v>
      </c>
      <c r="AK461" s="79">
        <v>0</v>
      </c>
      <c r="BB461" s="552" t="s">
        <v>67</v>
      </c>
      <c r="BM461" s="75">
        <f>IFERROR(X461*I461/H461,"0")</f>
        <v>0</v>
      </c>
      <c r="BN461" s="75">
        <f>IFERROR(Y461*I461/H461,"0")</f>
        <v>0</v>
      </c>
      <c r="BO461" s="75">
        <f>IFERROR(1/J461*(X461/H461),"0")</f>
        <v>0</v>
      </c>
      <c r="BP461" s="75">
        <f>IFERROR(1/J461*(Y461/H461),"0")</f>
        <v>0</v>
      </c>
    </row>
    <row r="462" spans="1:68" ht="27" customHeight="1" x14ac:dyDescent="0.25">
      <c r="A462" s="60" t="s">
        <v>756</v>
      </c>
      <c r="B462" s="60" t="s">
        <v>758</v>
      </c>
      <c r="C462" s="34">
        <v>4301052069</v>
      </c>
      <c r="D462" s="702">
        <v>4607091384253</v>
      </c>
      <c r="E462" s="702"/>
      <c r="F462" s="59">
        <v>0.4</v>
      </c>
      <c r="G462" s="35">
        <v>6</v>
      </c>
      <c r="H462" s="59">
        <v>2.4</v>
      </c>
      <c r="I462" s="59">
        <v>2.6640000000000001</v>
      </c>
      <c r="J462" s="35">
        <v>182</v>
      </c>
      <c r="K462" s="35" t="s">
        <v>91</v>
      </c>
      <c r="L462" s="35" t="s">
        <v>46</v>
      </c>
      <c r="M462" s="36" t="s">
        <v>90</v>
      </c>
      <c r="N462" s="36"/>
      <c r="O462" s="35">
        <v>40</v>
      </c>
      <c r="P462" s="946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62" s="704"/>
      <c r="R462" s="704"/>
      <c r="S462" s="704"/>
      <c r="T462" s="705"/>
      <c r="U462" s="37" t="s">
        <v>46</v>
      </c>
      <c r="V462" s="37" t="s">
        <v>46</v>
      </c>
      <c r="W462" s="38" t="s">
        <v>0</v>
      </c>
      <c r="X462" s="56">
        <v>0</v>
      </c>
      <c r="Y462" s="53">
        <f>IFERROR(IF(X462="",0,CEILING((X462/$H462),1)*$H462),"")</f>
        <v>0</v>
      </c>
      <c r="Z462" s="39" t="str">
        <f>IFERROR(IF(Y462=0,"",ROUNDUP(Y462/H462,0)*0.00651),"")</f>
        <v/>
      </c>
      <c r="AA462" s="65" t="s">
        <v>46</v>
      </c>
      <c r="AB462" s="66" t="s">
        <v>46</v>
      </c>
      <c r="AC462" s="553" t="s">
        <v>759</v>
      </c>
      <c r="AG462" s="75"/>
      <c r="AJ462" s="79" t="s">
        <v>46</v>
      </c>
      <c r="AK462" s="79">
        <v>0</v>
      </c>
      <c r="BB462" s="554" t="s">
        <v>67</v>
      </c>
      <c r="BM462" s="75">
        <f>IFERROR(X462*I462/H462,"0")</f>
        <v>0</v>
      </c>
      <c r="BN462" s="75">
        <f>IFERROR(Y462*I462/H462,"0")</f>
        <v>0</v>
      </c>
      <c r="BO462" s="75">
        <f>IFERROR(1/J462*(X462/H462),"0")</f>
        <v>0</v>
      </c>
      <c r="BP462" s="75">
        <f>IFERROR(1/J462*(Y462/H462),"0")</f>
        <v>0</v>
      </c>
    </row>
    <row r="463" spans="1:68" x14ac:dyDescent="0.2">
      <c r="A463" s="710"/>
      <c r="B463" s="710"/>
      <c r="C463" s="710"/>
      <c r="D463" s="710"/>
      <c r="E463" s="710"/>
      <c r="F463" s="710"/>
      <c r="G463" s="710"/>
      <c r="H463" s="710"/>
      <c r="I463" s="710"/>
      <c r="J463" s="710"/>
      <c r="K463" s="710"/>
      <c r="L463" s="710"/>
      <c r="M463" s="710"/>
      <c r="N463" s="710"/>
      <c r="O463" s="711"/>
      <c r="P463" s="707" t="s">
        <v>40</v>
      </c>
      <c r="Q463" s="708"/>
      <c r="R463" s="708"/>
      <c r="S463" s="708"/>
      <c r="T463" s="708"/>
      <c r="U463" s="708"/>
      <c r="V463" s="709"/>
      <c r="W463" s="40" t="s">
        <v>39</v>
      </c>
      <c r="X463" s="41">
        <f>IFERROR(X460/H460,"0")+IFERROR(X461/H461,"0")+IFERROR(X462/H462,"0")</f>
        <v>0</v>
      </c>
      <c r="Y463" s="41">
        <f>IFERROR(Y460/H460,"0")+IFERROR(Y461/H461,"0")+IFERROR(Y462/H462,"0")</f>
        <v>0</v>
      </c>
      <c r="Z463" s="41">
        <f>IFERROR(IF(Z460="",0,Z460),"0")+IFERROR(IF(Z461="",0,Z461),"0")+IFERROR(IF(Z462="",0,Z462),"0")</f>
        <v>0</v>
      </c>
      <c r="AA463" s="64"/>
      <c r="AB463" s="64"/>
      <c r="AC463" s="64"/>
    </row>
    <row r="464" spans="1:68" x14ac:dyDescent="0.2">
      <c r="A464" s="710"/>
      <c r="B464" s="710"/>
      <c r="C464" s="710"/>
      <c r="D464" s="710"/>
      <c r="E464" s="710"/>
      <c r="F464" s="710"/>
      <c r="G464" s="710"/>
      <c r="H464" s="710"/>
      <c r="I464" s="710"/>
      <c r="J464" s="710"/>
      <c r="K464" s="710"/>
      <c r="L464" s="710"/>
      <c r="M464" s="710"/>
      <c r="N464" s="710"/>
      <c r="O464" s="711"/>
      <c r="P464" s="707" t="s">
        <v>40</v>
      </c>
      <c r="Q464" s="708"/>
      <c r="R464" s="708"/>
      <c r="S464" s="708"/>
      <c r="T464" s="708"/>
      <c r="U464" s="708"/>
      <c r="V464" s="709"/>
      <c r="W464" s="40" t="s">
        <v>0</v>
      </c>
      <c r="X464" s="41">
        <f>IFERROR(SUM(X460:X462),"0")</f>
        <v>0</v>
      </c>
      <c r="Y464" s="41">
        <f>IFERROR(SUM(Y460:Y462),"0")</f>
        <v>0</v>
      </c>
      <c r="Z464" s="40"/>
      <c r="AA464" s="64"/>
      <c r="AB464" s="64"/>
      <c r="AC464" s="64"/>
    </row>
    <row r="465" spans="1:68" ht="27.75" customHeight="1" x14ac:dyDescent="0.2">
      <c r="A465" s="699" t="s">
        <v>760</v>
      </c>
      <c r="B465" s="699"/>
      <c r="C465" s="699"/>
      <c r="D465" s="699"/>
      <c r="E465" s="699"/>
      <c r="F465" s="699"/>
      <c r="G465" s="699"/>
      <c r="H465" s="699"/>
      <c r="I465" s="699"/>
      <c r="J465" s="699"/>
      <c r="K465" s="699"/>
      <c r="L465" s="699"/>
      <c r="M465" s="699"/>
      <c r="N465" s="699"/>
      <c r="O465" s="699"/>
      <c r="P465" s="699"/>
      <c r="Q465" s="699"/>
      <c r="R465" s="699"/>
      <c r="S465" s="699"/>
      <c r="T465" s="699"/>
      <c r="U465" s="699"/>
      <c r="V465" s="699"/>
      <c r="W465" s="699"/>
      <c r="X465" s="699"/>
      <c r="Y465" s="699"/>
      <c r="Z465" s="699"/>
      <c r="AA465" s="52"/>
      <c r="AB465" s="52"/>
      <c r="AC465" s="52"/>
    </row>
    <row r="466" spans="1:68" ht="16.5" customHeight="1" x14ac:dyDescent="0.25">
      <c r="A466" s="700" t="s">
        <v>761</v>
      </c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  <c r="AA466" s="62"/>
      <c r="AB466" s="62"/>
      <c r="AC466" s="62"/>
    </row>
    <row r="467" spans="1:68" ht="14.25" customHeight="1" x14ac:dyDescent="0.25">
      <c r="A467" s="701" t="s">
        <v>77</v>
      </c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  <c r="AA467" s="63"/>
      <c r="AB467" s="63"/>
      <c r="AC467" s="63"/>
    </row>
    <row r="468" spans="1:68" ht="27" customHeight="1" x14ac:dyDescent="0.25">
      <c r="A468" s="60" t="s">
        <v>762</v>
      </c>
      <c r="B468" s="60" t="s">
        <v>763</v>
      </c>
      <c r="C468" s="34">
        <v>4301031405</v>
      </c>
      <c r="D468" s="702">
        <v>4680115886100</v>
      </c>
      <c r="E468" s="702"/>
      <c r="F468" s="59">
        <v>0.9</v>
      </c>
      <c r="G468" s="35">
        <v>6</v>
      </c>
      <c r="H468" s="59">
        <v>5.4</v>
      </c>
      <c r="I468" s="59">
        <v>5.59</v>
      </c>
      <c r="J468" s="35">
        <v>132</v>
      </c>
      <c r="K468" s="35" t="s">
        <v>140</v>
      </c>
      <c r="L468" s="35" t="s">
        <v>46</v>
      </c>
      <c r="M468" s="36" t="s">
        <v>81</v>
      </c>
      <c r="N468" s="36"/>
      <c r="O468" s="35">
        <v>50</v>
      </c>
      <c r="P468" s="947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68" s="704"/>
      <c r="R468" s="704"/>
      <c r="S468" s="704"/>
      <c r="T468" s="705"/>
      <c r="U468" s="37" t="s">
        <v>46</v>
      </c>
      <c r="V468" s="37" t="s">
        <v>46</v>
      </c>
      <c r="W468" s="38" t="s">
        <v>0</v>
      </c>
      <c r="X468" s="56">
        <v>0</v>
      </c>
      <c r="Y468" s="53">
        <f t="shared" ref="Y468:Y473" si="52">IFERROR(IF(X468="",0,CEILING((X468/$H468),1)*$H468),"")</f>
        <v>0</v>
      </c>
      <c r="Z468" s="39" t="str">
        <f>IFERROR(IF(Y468=0,"",ROUNDUP(Y468/H468,0)*0.00902),"")</f>
        <v/>
      </c>
      <c r="AA468" s="65" t="s">
        <v>46</v>
      </c>
      <c r="AB468" s="66" t="s">
        <v>46</v>
      </c>
      <c r="AC468" s="555" t="s">
        <v>764</v>
      </c>
      <c r="AG468" s="75"/>
      <c r="AJ468" s="79" t="s">
        <v>46</v>
      </c>
      <c r="AK468" s="79">
        <v>0</v>
      </c>
      <c r="BB468" s="556" t="s">
        <v>67</v>
      </c>
      <c r="BM468" s="75">
        <f t="shared" ref="BM468:BM473" si="53">IFERROR(X468*I468/H468,"0")</f>
        <v>0</v>
      </c>
      <c r="BN468" s="75">
        <f t="shared" ref="BN468:BN473" si="54">IFERROR(Y468*I468/H468,"0")</f>
        <v>0</v>
      </c>
      <c r="BO468" s="75">
        <f t="shared" ref="BO468:BO473" si="55">IFERROR(1/J468*(X468/H468),"0")</f>
        <v>0</v>
      </c>
      <c r="BP468" s="75">
        <f t="shared" ref="BP468:BP473" si="56">IFERROR(1/J468*(Y468/H468),"0")</f>
        <v>0</v>
      </c>
    </row>
    <row r="469" spans="1:68" ht="27" customHeight="1" x14ac:dyDescent="0.25">
      <c r="A469" s="60" t="s">
        <v>765</v>
      </c>
      <c r="B469" s="60" t="s">
        <v>766</v>
      </c>
      <c r="C469" s="34">
        <v>4301031402</v>
      </c>
      <c r="D469" s="702">
        <v>4680115886124</v>
      </c>
      <c r="E469" s="702"/>
      <c r="F469" s="59">
        <v>0.9</v>
      </c>
      <c r="G469" s="35">
        <v>6</v>
      </c>
      <c r="H469" s="59">
        <v>5.4</v>
      </c>
      <c r="I469" s="59">
        <v>5.59</v>
      </c>
      <c r="J469" s="35">
        <v>132</v>
      </c>
      <c r="K469" s="35" t="s">
        <v>140</v>
      </c>
      <c r="L469" s="35" t="s">
        <v>46</v>
      </c>
      <c r="M469" s="36" t="s">
        <v>81</v>
      </c>
      <c r="N469" s="36"/>
      <c r="O469" s="35">
        <v>50</v>
      </c>
      <c r="P469" s="948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69" s="704"/>
      <c r="R469" s="704"/>
      <c r="S469" s="704"/>
      <c r="T469" s="705"/>
      <c r="U469" s="37" t="s">
        <v>46</v>
      </c>
      <c r="V469" s="37" t="s">
        <v>46</v>
      </c>
      <c r="W469" s="38" t="s">
        <v>0</v>
      </c>
      <c r="X469" s="56">
        <v>0</v>
      </c>
      <c r="Y469" s="53">
        <f t="shared" si="52"/>
        <v>0</v>
      </c>
      <c r="Z469" s="39" t="str">
        <f>IFERROR(IF(Y469=0,"",ROUNDUP(Y469/H469,0)*0.00902),"")</f>
        <v/>
      </c>
      <c r="AA469" s="65" t="s">
        <v>46</v>
      </c>
      <c r="AB469" s="66" t="s">
        <v>46</v>
      </c>
      <c r="AC469" s="557" t="s">
        <v>767</v>
      </c>
      <c r="AG469" s="75"/>
      <c r="AJ469" s="79" t="s">
        <v>46</v>
      </c>
      <c r="AK469" s="79">
        <v>0</v>
      </c>
      <c r="BB469" s="558" t="s">
        <v>67</v>
      </c>
      <c r="BM469" s="75">
        <f t="shared" si="53"/>
        <v>0</v>
      </c>
      <c r="BN469" s="75">
        <f t="shared" si="54"/>
        <v>0</v>
      </c>
      <c r="BO469" s="75">
        <f t="shared" si="55"/>
        <v>0</v>
      </c>
      <c r="BP469" s="75">
        <f t="shared" si="56"/>
        <v>0</v>
      </c>
    </row>
    <row r="470" spans="1:68" ht="27" customHeight="1" x14ac:dyDescent="0.25">
      <c r="A470" s="60" t="s">
        <v>768</v>
      </c>
      <c r="B470" s="60" t="s">
        <v>769</v>
      </c>
      <c r="C470" s="34">
        <v>4301031362</v>
      </c>
      <c r="D470" s="702">
        <v>4607091384338</v>
      </c>
      <c r="E470" s="702"/>
      <c r="F470" s="59">
        <v>0.35</v>
      </c>
      <c r="G470" s="35">
        <v>6</v>
      </c>
      <c r="H470" s="59">
        <v>2.1</v>
      </c>
      <c r="I470" s="59">
        <v>2.23</v>
      </c>
      <c r="J470" s="35">
        <v>234</v>
      </c>
      <c r="K470" s="35" t="s">
        <v>82</v>
      </c>
      <c r="L470" s="35" t="s">
        <v>46</v>
      </c>
      <c r="M470" s="36" t="s">
        <v>81</v>
      </c>
      <c r="N470" s="36"/>
      <c r="O470" s="35">
        <v>50</v>
      </c>
      <c r="P470" s="949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70" s="704"/>
      <c r="R470" s="704"/>
      <c r="S470" s="704"/>
      <c r="T470" s="705"/>
      <c r="U470" s="37" t="s">
        <v>46</v>
      </c>
      <c r="V470" s="37" t="s">
        <v>46</v>
      </c>
      <c r="W470" s="38" t="s">
        <v>0</v>
      </c>
      <c r="X470" s="56">
        <v>0</v>
      </c>
      <c r="Y470" s="53">
        <f t="shared" si="52"/>
        <v>0</v>
      </c>
      <c r="Z470" s="39" t="str">
        <f>IFERROR(IF(Y470=0,"",ROUNDUP(Y470/H470,0)*0.00502),"")</f>
        <v/>
      </c>
      <c r="AA470" s="65" t="s">
        <v>46</v>
      </c>
      <c r="AB470" s="66" t="s">
        <v>46</v>
      </c>
      <c r="AC470" s="559" t="s">
        <v>764</v>
      </c>
      <c r="AG470" s="75"/>
      <c r="AJ470" s="79" t="s">
        <v>46</v>
      </c>
      <c r="AK470" s="79">
        <v>0</v>
      </c>
      <c r="BB470" s="560" t="s">
        <v>67</v>
      </c>
      <c r="BM470" s="75">
        <f t="shared" si="53"/>
        <v>0</v>
      </c>
      <c r="BN470" s="75">
        <f t="shared" si="54"/>
        <v>0</v>
      </c>
      <c r="BO470" s="75">
        <f t="shared" si="55"/>
        <v>0</v>
      </c>
      <c r="BP470" s="75">
        <f t="shared" si="56"/>
        <v>0</v>
      </c>
    </row>
    <row r="471" spans="1:68" ht="27" customHeight="1" x14ac:dyDescent="0.25">
      <c r="A471" s="60" t="s">
        <v>770</v>
      </c>
      <c r="B471" s="60" t="s">
        <v>771</v>
      </c>
      <c r="C471" s="34">
        <v>4301031364</v>
      </c>
      <c r="D471" s="702">
        <v>4680115883161</v>
      </c>
      <c r="E471" s="702"/>
      <c r="F471" s="59">
        <v>0.28000000000000003</v>
      </c>
      <c r="G471" s="35">
        <v>6</v>
      </c>
      <c r="H471" s="59">
        <v>1.68</v>
      </c>
      <c r="I471" s="59">
        <v>1.81</v>
      </c>
      <c r="J471" s="35">
        <v>234</v>
      </c>
      <c r="K471" s="35" t="s">
        <v>82</v>
      </c>
      <c r="L471" s="35" t="s">
        <v>46</v>
      </c>
      <c r="M471" s="36" t="s">
        <v>81</v>
      </c>
      <c r="N471" s="36"/>
      <c r="O471" s="35">
        <v>50</v>
      </c>
      <c r="P471" s="950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71" s="704"/>
      <c r="R471" s="704"/>
      <c r="S471" s="704"/>
      <c r="T471" s="705"/>
      <c r="U471" s="37" t="s">
        <v>46</v>
      </c>
      <c r="V471" s="37" t="s">
        <v>46</v>
      </c>
      <c r="W471" s="38" t="s">
        <v>0</v>
      </c>
      <c r="X471" s="56">
        <v>0</v>
      </c>
      <c r="Y471" s="53">
        <f t="shared" si="52"/>
        <v>0</v>
      </c>
      <c r="Z471" s="39" t="str">
        <f>IFERROR(IF(Y471=0,"",ROUNDUP(Y471/H471,0)*0.00502),"")</f>
        <v/>
      </c>
      <c r="AA471" s="65" t="s">
        <v>46</v>
      </c>
      <c r="AB471" s="66" t="s">
        <v>46</v>
      </c>
      <c r="AC471" s="561" t="s">
        <v>772</v>
      </c>
      <c r="AG471" s="75"/>
      <c r="AJ471" s="79" t="s">
        <v>46</v>
      </c>
      <c r="AK471" s="79">
        <v>0</v>
      </c>
      <c r="BB471" s="562" t="s">
        <v>67</v>
      </c>
      <c r="BM471" s="75">
        <f t="shared" si="53"/>
        <v>0</v>
      </c>
      <c r="BN471" s="75">
        <f t="shared" si="54"/>
        <v>0</v>
      </c>
      <c r="BO471" s="75">
        <f t="shared" si="55"/>
        <v>0</v>
      </c>
      <c r="BP471" s="75">
        <f t="shared" si="56"/>
        <v>0</v>
      </c>
    </row>
    <row r="472" spans="1:68" ht="27" customHeight="1" x14ac:dyDescent="0.25">
      <c r="A472" s="60" t="s">
        <v>773</v>
      </c>
      <c r="B472" s="60" t="s">
        <v>774</v>
      </c>
      <c r="C472" s="34">
        <v>4301031358</v>
      </c>
      <c r="D472" s="702">
        <v>4607091389531</v>
      </c>
      <c r="E472" s="702"/>
      <c r="F472" s="59">
        <v>0.35</v>
      </c>
      <c r="G472" s="35">
        <v>6</v>
      </c>
      <c r="H472" s="59">
        <v>2.1</v>
      </c>
      <c r="I472" s="59">
        <v>2.23</v>
      </c>
      <c r="J472" s="35">
        <v>234</v>
      </c>
      <c r="K472" s="35" t="s">
        <v>82</v>
      </c>
      <c r="L472" s="35" t="s">
        <v>46</v>
      </c>
      <c r="M472" s="36" t="s">
        <v>81</v>
      </c>
      <c r="N472" s="36"/>
      <c r="O472" s="35">
        <v>50</v>
      </c>
      <c r="P472" s="951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72" s="704"/>
      <c r="R472" s="704"/>
      <c r="S472" s="704"/>
      <c r="T472" s="705"/>
      <c r="U472" s="37" t="s">
        <v>46</v>
      </c>
      <c r="V472" s="37" t="s">
        <v>46</v>
      </c>
      <c r="W472" s="38" t="s">
        <v>0</v>
      </c>
      <c r="X472" s="56">
        <v>0</v>
      </c>
      <c r="Y472" s="53">
        <f t="shared" si="52"/>
        <v>0</v>
      </c>
      <c r="Z472" s="39" t="str">
        <f>IFERROR(IF(Y472=0,"",ROUNDUP(Y472/H472,0)*0.00502),"")</f>
        <v/>
      </c>
      <c r="AA472" s="65" t="s">
        <v>46</v>
      </c>
      <c r="AB472" s="66" t="s">
        <v>46</v>
      </c>
      <c r="AC472" s="563" t="s">
        <v>775</v>
      </c>
      <c r="AG472" s="75"/>
      <c r="AJ472" s="79" t="s">
        <v>46</v>
      </c>
      <c r="AK472" s="79">
        <v>0</v>
      </c>
      <c r="BB472" s="564" t="s">
        <v>67</v>
      </c>
      <c r="BM472" s="75">
        <f t="shared" si="53"/>
        <v>0</v>
      </c>
      <c r="BN472" s="75">
        <f t="shared" si="54"/>
        <v>0</v>
      </c>
      <c r="BO472" s="75">
        <f t="shared" si="55"/>
        <v>0</v>
      </c>
      <c r="BP472" s="75">
        <f t="shared" si="56"/>
        <v>0</v>
      </c>
    </row>
    <row r="473" spans="1:68" ht="37.5" customHeight="1" x14ac:dyDescent="0.25">
      <c r="A473" s="60" t="s">
        <v>776</v>
      </c>
      <c r="B473" s="60" t="s">
        <v>777</v>
      </c>
      <c r="C473" s="34">
        <v>4301031360</v>
      </c>
      <c r="D473" s="702">
        <v>4607091384345</v>
      </c>
      <c r="E473" s="702"/>
      <c r="F473" s="59">
        <v>0.35</v>
      </c>
      <c r="G473" s="35">
        <v>6</v>
      </c>
      <c r="H473" s="59">
        <v>2.1</v>
      </c>
      <c r="I473" s="59">
        <v>2.23</v>
      </c>
      <c r="J473" s="35">
        <v>234</v>
      </c>
      <c r="K473" s="35" t="s">
        <v>82</v>
      </c>
      <c r="L473" s="35" t="s">
        <v>46</v>
      </c>
      <c r="M473" s="36" t="s">
        <v>81</v>
      </c>
      <c r="N473" s="36"/>
      <c r="O473" s="35">
        <v>50</v>
      </c>
      <c r="P473" s="952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73" s="704"/>
      <c r="R473" s="704"/>
      <c r="S473" s="704"/>
      <c r="T473" s="705"/>
      <c r="U473" s="37" t="s">
        <v>46</v>
      </c>
      <c r="V473" s="37" t="s">
        <v>46</v>
      </c>
      <c r="W473" s="38" t="s">
        <v>0</v>
      </c>
      <c r="X473" s="56">
        <v>0</v>
      </c>
      <c r="Y473" s="53">
        <f t="shared" si="52"/>
        <v>0</v>
      </c>
      <c r="Z473" s="39" t="str">
        <f>IFERROR(IF(Y473=0,"",ROUNDUP(Y473/H473,0)*0.00502),"")</f>
        <v/>
      </c>
      <c r="AA473" s="65" t="s">
        <v>46</v>
      </c>
      <c r="AB473" s="66" t="s">
        <v>46</v>
      </c>
      <c r="AC473" s="565" t="s">
        <v>772</v>
      </c>
      <c r="AG473" s="75"/>
      <c r="AJ473" s="79" t="s">
        <v>46</v>
      </c>
      <c r="AK473" s="79">
        <v>0</v>
      </c>
      <c r="BB473" s="566" t="s">
        <v>67</v>
      </c>
      <c r="BM473" s="75">
        <f t="shared" si="53"/>
        <v>0</v>
      </c>
      <c r="BN473" s="75">
        <f t="shared" si="54"/>
        <v>0</v>
      </c>
      <c r="BO473" s="75">
        <f t="shared" si="55"/>
        <v>0</v>
      </c>
      <c r="BP473" s="75">
        <f t="shared" si="56"/>
        <v>0</v>
      </c>
    </row>
    <row r="474" spans="1:68" x14ac:dyDescent="0.2">
      <c r="A474" s="710"/>
      <c r="B474" s="710"/>
      <c r="C474" s="710"/>
      <c r="D474" s="710"/>
      <c r="E474" s="710"/>
      <c r="F474" s="710"/>
      <c r="G474" s="710"/>
      <c r="H474" s="710"/>
      <c r="I474" s="710"/>
      <c r="J474" s="710"/>
      <c r="K474" s="710"/>
      <c r="L474" s="710"/>
      <c r="M474" s="710"/>
      <c r="N474" s="710"/>
      <c r="O474" s="711"/>
      <c r="P474" s="707" t="s">
        <v>40</v>
      </c>
      <c r="Q474" s="708"/>
      <c r="R474" s="708"/>
      <c r="S474" s="708"/>
      <c r="T474" s="708"/>
      <c r="U474" s="708"/>
      <c r="V474" s="709"/>
      <c r="W474" s="40" t="s">
        <v>39</v>
      </c>
      <c r="X474" s="41">
        <f>IFERROR(X468/H468,"0")+IFERROR(X469/H469,"0")+IFERROR(X470/H470,"0")+IFERROR(X471/H471,"0")+IFERROR(X472/H472,"0")+IFERROR(X473/H473,"0")</f>
        <v>0</v>
      </c>
      <c r="Y474" s="41">
        <f>IFERROR(Y468/H468,"0")+IFERROR(Y469/H469,"0")+IFERROR(Y470/H470,"0")+IFERROR(Y471/H471,"0")+IFERROR(Y472/H472,"0")+IFERROR(Y473/H473,"0")</f>
        <v>0</v>
      </c>
      <c r="Z474" s="41">
        <f>IFERROR(IF(Z468="",0,Z468),"0")+IFERROR(IF(Z469="",0,Z469),"0")+IFERROR(IF(Z470="",0,Z470),"0")+IFERROR(IF(Z471="",0,Z471),"0")+IFERROR(IF(Z472="",0,Z472),"0")+IFERROR(IF(Z473="",0,Z473),"0")</f>
        <v>0</v>
      </c>
      <c r="AA474" s="64"/>
      <c r="AB474" s="64"/>
      <c r="AC474" s="64"/>
    </row>
    <row r="475" spans="1:68" x14ac:dyDescent="0.2">
      <c r="A475" s="710"/>
      <c r="B475" s="710"/>
      <c r="C475" s="710"/>
      <c r="D475" s="710"/>
      <c r="E475" s="710"/>
      <c r="F475" s="710"/>
      <c r="G475" s="710"/>
      <c r="H475" s="710"/>
      <c r="I475" s="710"/>
      <c r="J475" s="710"/>
      <c r="K475" s="710"/>
      <c r="L475" s="710"/>
      <c r="M475" s="710"/>
      <c r="N475" s="710"/>
      <c r="O475" s="711"/>
      <c r="P475" s="707" t="s">
        <v>40</v>
      </c>
      <c r="Q475" s="708"/>
      <c r="R475" s="708"/>
      <c r="S475" s="708"/>
      <c r="T475" s="708"/>
      <c r="U475" s="708"/>
      <c r="V475" s="709"/>
      <c r="W475" s="40" t="s">
        <v>0</v>
      </c>
      <c r="X475" s="41">
        <f>IFERROR(SUM(X468:X473),"0")</f>
        <v>0</v>
      </c>
      <c r="Y475" s="41">
        <f>IFERROR(SUM(Y468:Y473),"0")</f>
        <v>0</v>
      </c>
      <c r="Z475" s="40"/>
      <c r="AA475" s="64"/>
      <c r="AB475" s="64"/>
      <c r="AC475" s="64"/>
    </row>
    <row r="476" spans="1:68" ht="14.25" customHeight="1" x14ac:dyDescent="0.25">
      <c r="A476" s="701" t="s">
        <v>86</v>
      </c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  <c r="AA476" s="63"/>
      <c r="AB476" s="63"/>
      <c r="AC476" s="63"/>
    </row>
    <row r="477" spans="1:68" ht="27" customHeight="1" x14ac:dyDescent="0.25">
      <c r="A477" s="60" t="s">
        <v>778</v>
      </c>
      <c r="B477" s="60" t="s">
        <v>779</v>
      </c>
      <c r="C477" s="34">
        <v>4301051284</v>
      </c>
      <c r="D477" s="702">
        <v>4607091384352</v>
      </c>
      <c r="E477" s="702"/>
      <c r="F477" s="59">
        <v>0.6</v>
      </c>
      <c r="G477" s="35">
        <v>4</v>
      </c>
      <c r="H477" s="59">
        <v>2.4</v>
      </c>
      <c r="I477" s="59">
        <v>2.6259999999999999</v>
      </c>
      <c r="J477" s="35">
        <v>132</v>
      </c>
      <c r="K477" s="35" t="s">
        <v>140</v>
      </c>
      <c r="L477" s="35" t="s">
        <v>46</v>
      </c>
      <c r="M477" s="36" t="s">
        <v>90</v>
      </c>
      <c r="N477" s="36"/>
      <c r="O477" s="35">
        <v>45</v>
      </c>
      <c r="P477" s="953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77" s="704"/>
      <c r="R477" s="704"/>
      <c r="S477" s="704"/>
      <c r="T477" s="705"/>
      <c r="U477" s="37" t="s">
        <v>46</v>
      </c>
      <c r="V477" s="37" t="s">
        <v>46</v>
      </c>
      <c r="W477" s="38" t="s">
        <v>0</v>
      </c>
      <c r="X477" s="56">
        <v>0</v>
      </c>
      <c r="Y477" s="53">
        <f>IFERROR(IF(X477="",0,CEILING((X477/$H477),1)*$H477),"")</f>
        <v>0</v>
      </c>
      <c r="Z477" s="39" t="str">
        <f>IFERROR(IF(Y477=0,"",ROUNDUP(Y477/H477,0)*0.00902),"")</f>
        <v/>
      </c>
      <c r="AA477" s="65" t="s">
        <v>46</v>
      </c>
      <c r="AB477" s="66" t="s">
        <v>46</v>
      </c>
      <c r="AC477" s="567" t="s">
        <v>780</v>
      </c>
      <c r="AG477" s="75"/>
      <c r="AJ477" s="79" t="s">
        <v>46</v>
      </c>
      <c r="AK477" s="79">
        <v>0</v>
      </c>
      <c r="BB477" s="568" t="s">
        <v>67</v>
      </c>
      <c r="BM477" s="75">
        <f>IFERROR(X477*I477/H477,"0")</f>
        <v>0</v>
      </c>
      <c r="BN477" s="75">
        <f>IFERROR(Y477*I477/H477,"0")</f>
        <v>0</v>
      </c>
      <c r="BO477" s="75">
        <f>IFERROR(1/J477*(X477/H477),"0")</f>
        <v>0</v>
      </c>
      <c r="BP477" s="75">
        <f>IFERROR(1/J477*(Y477/H477),"0")</f>
        <v>0</v>
      </c>
    </row>
    <row r="478" spans="1:68" ht="27" customHeight="1" x14ac:dyDescent="0.25">
      <c r="A478" s="60" t="s">
        <v>781</v>
      </c>
      <c r="B478" s="60" t="s">
        <v>782</v>
      </c>
      <c r="C478" s="34">
        <v>4301051431</v>
      </c>
      <c r="D478" s="702">
        <v>4607091389654</v>
      </c>
      <c r="E478" s="702"/>
      <c r="F478" s="59">
        <v>0.33</v>
      </c>
      <c r="G478" s="35">
        <v>6</v>
      </c>
      <c r="H478" s="59">
        <v>1.98</v>
      </c>
      <c r="I478" s="59">
        <v>2.238</v>
      </c>
      <c r="J478" s="35">
        <v>182</v>
      </c>
      <c r="K478" s="35" t="s">
        <v>91</v>
      </c>
      <c r="L478" s="35" t="s">
        <v>46</v>
      </c>
      <c r="M478" s="36" t="s">
        <v>90</v>
      </c>
      <c r="N478" s="36"/>
      <c r="O478" s="35">
        <v>45</v>
      </c>
      <c r="P478" s="954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78" s="704"/>
      <c r="R478" s="704"/>
      <c r="S478" s="704"/>
      <c r="T478" s="705"/>
      <c r="U478" s="37" t="s">
        <v>46</v>
      </c>
      <c r="V478" s="37" t="s">
        <v>46</v>
      </c>
      <c r="W478" s="38" t="s">
        <v>0</v>
      </c>
      <c r="X478" s="56">
        <v>0</v>
      </c>
      <c r="Y478" s="53">
        <f>IFERROR(IF(X478="",0,CEILING((X478/$H478),1)*$H478),"")</f>
        <v>0</v>
      </c>
      <c r="Z478" s="39" t="str">
        <f>IFERROR(IF(Y478=0,"",ROUNDUP(Y478/H478,0)*0.00651),"")</f>
        <v/>
      </c>
      <c r="AA478" s="65" t="s">
        <v>46</v>
      </c>
      <c r="AB478" s="66" t="s">
        <v>46</v>
      </c>
      <c r="AC478" s="569" t="s">
        <v>783</v>
      </c>
      <c r="AG478" s="75"/>
      <c r="AJ478" s="79" t="s">
        <v>46</v>
      </c>
      <c r="AK478" s="79">
        <v>0</v>
      </c>
      <c r="BB478" s="570" t="s">
        <v>67</v>
      </c>
      <c r="BM478" s="75">
        <f>IFERROR(X478*I478/H478,"0")</f>
        <v>0</v>
      </c>
      <c r="BN478" s="75">
        <f>IFERROR(Y478*I478/H478,"0")</f>
        <v>0</v>
      </c>
      <c r="BO478" s="75">
        <f>IFERROR(1/J478*(X478/H478),"0")</f>
        <v>0</v>
      </c>
      <c r="BP478" s="75">
        <f>IFERROR(1/J478*(Y478/H478),"0")</f>
        <v>0</v>
      </c>
    </row>
    <row r="479" spans="1:68" x14ac:dyDescent="0.2">
      <c r="A479" s="710"/>
      <c r="B479" s="710"/>
      <c r="C479" s="710"/>
      <c r="D479" s="710"/>
      <c r="E479" s="710"/>
      <c r="F479" s="710"/>
      <c r="G479" s="710"/>
      <c r="H479" s="710"/>
      <c r="I479" s="710"/>
      <c r="J479" s="710"/>
      <c r="K479" s="710"/>
      <c r="L479" s="710"/>
      <c r="M479" s="710"/>
      <c r="N479" s="710"/>
      <c r="O479" s="711"/>
      <c r="P479" s="707" t="s">
        <v>40</v>
      </c>
      <c r="Q479" s="708"/>
      <c r="R479" s="708"/>
      <c r="S479" s="708"/>
      <c r="T479" s="708"/>
      <c r="U479" s="708"/>
      <c r="V479" s="709"/>
      <c r="W479" s="40" t="s">
        <v>39</v>
      </c>
      <c r="X479" s="41">
        <f>IFERROR(X477/H477,"0")+IFERROR(X478/H478,"0")</f>
        <v>0</v>
      </c>
      <c r="Y479" s="41">
        <f>IFERROR(Y477/H477,"0")+IFERROR(Y478/H478,"0")</f>
        <v>0</v>
      </c>
      <c r="Z479" s="41">
        <f>IFERROR(IF(Z477="",0,Z477),"0")+IFERROR(IF(Z478="",0,Z478),"0")</f>
        <v>0</v>
      </c>
      <c r="AA479" s="64"/>
      <c r="AB479" s="64"/>
      <c r="AC479" s="64"/>
    </row>
    <row r="480" spans="1:68" x14ac:dyDescent="0.2">
      <c r="A480" s="710"/>
      <c r="B480" s="710"/>
      <c r="C480" s="710"/>
      <c r="D480" s="710"/>
      <c r="E480" s="710"/>
      <c r="F480" s="710"/>
      <c r="G480" s="710"/>
      <c r="H480" s="710"/>
      <c r="I480" s="710"/>
      <c r="J480" s="710"/>
      <c r="K480" s="710"/>
      <c r="L480" s="710"/>
      <c r="M480" s="710"/>
      <c r="N480" s="710"/>
      <c r="O480" s="711"/>
      <c r="P480" s="707" t="s">
        <v>40</v>
      </c>
      <c r="Q480" s="708"/>
      <c r="R480" s="708"/>
      <c r="S480" s="708"/>
      <c r="T480" s="708"/>
      <c r="U480" s="708"/>
      <c r="V480" s="709"/>
      <c r="W480" s="40" t="s">
        <v>0</v>
      </c>
      <c r="X480" s="41">
        <f>IFERROR(SUM(X477:X478),"0")</f>
        <v>0</v>
      </c>
      <c r="Y480" s="41">
        <f>IFERROR(SUM(Y477:Y478),"0")</f>
        <v>0</v>
      </c>
      <c r="Z480" s="40"/>
      <c r="AA480" s="64"/>
      <c r="AB480" s="64"/>
      <c r="AC480" s="64"/>
    </row>
    <row r="481" spans="1:68" ht="16.5" customHeight="1" x14ac:dyDescent="0.25">
      <c r="A481" s="700" t="s">
        <v>784</v>
      </c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  <c r="AA481" s="62"/>
      <c r="AB481" s="62"/>
      <c r="AC481" s="62"/>
    </row>
    <row r="482" spans="1:68" ht="14.25" customHeight="1" x14ac:dyDescent="0.25">
      <c r="A482" s="701" t="s">
        <v>164</v>
      </c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  <c r="AA482" s="63"/>
      <c r="AB482" s="63"/>
      <c r="AC482" s="63"/>
    </row>
    <row r="483" spans="1:68" ht="27" customHeight="1" x14ac:dyDescent="0.25">
      <c r="A483" s="60" t="s">
        <v>785</v>
      </c>
      <c r="B483" s="60" t="s">
        <v>786</v>
      </c>
      <c r="C483" s="34">
        <v>4301020416</v>
      </c>
      <c r="D483" s="702">
        <v>4680115885240</v>
      </c>
      <c r="E483" s="702"/>
      <c r="F483" s="59">
        <v>0.35</v>
      </c>
      <c r="G483" s="35">
        <v>6</v>
      </c>
      <c r="H483" s="59">
        <v>2.1</v>
      </c>
      <c r="I483" s="59">
        <v>2.31</v>
      </c>
      <c r="J483" s="35">
        <v>182</v>
      </c>
      <c r="K483" s="35" t="s">
        <v>91</v>
      </c>
      <c r="L483" s="35" t="s">
        <v>46</v>
      </c>
      <c r="M483" s="36" t="s">
        <v>81</v>
      </c>
      <c r="N483" s="36"/>
      <c r="O483" s="35">
        <v>40</v>
      </c>
      <c r="P483" s="955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83" s="704"/>
      <c r="R483" s="704"/>
      <c r="S483" s="704"/>
      <c r="T483" s="705"/>
      <c r="U483" s="37" t="s">
        <v>46</v>
      </c>
      <c r="V483" s="37" t="s">
        <v>46</v>
      </c>
      <c r="W483" s="38" t="s">
        <v>0</v>
      </c>
      <c r="X483" s="56">
        <v>0</v>
      </c>
      <c r="Y483" s="53">
        <f>IFERROR(IF(X483="",0,CEILING((X483/$H483),1)*$H483),"")</f>
        <v>0</v>
      </c>
      <c r="Z483" s="39" t="str">
        <f>IFERROR(IF(Y483=0,"",ROUNDUP(Y483/H483,0)*0.00651),"")</f>
        <v/>
      </c>
      <c r="AA483" s="65" t="s">
        <v>46</v>
      </c>
      <c r="AB483" s="66" t="s">
        <v>46</v>
      </c>
      <c r="AC483" s="571" t="s">
        <v>787</v>
      </c>
      <c r="AG483" s="75"/>
      <c r="AJ483" s="79" t="s">
        <v>46</v>
      </c>
      <c r="AK483" s="79">
        <v>0</v>
      </c>
      <c r="BB483" s="572" t="s">
        <v>67</v>
      </c>
      <c r="BM483" s="75">
        <f>IFERROR(X483*I483/H483,"0")</f>
        <v>0</v>
      </c>
      <c r="BN483" s="75">
        <f>IFERROR(Y483*I483/H483,"0")</f>
        <v>0</v>
      </c>
      <c r="BO483" s="75">
        <f>IFERROR(1/J483*(X483/H483),"0")</f>
        <v>0</v>
      </c>
      <c r="BP483" s="75">
        <f>IFERROR(1/J483*(Y483/H483),"0")</f>
        <v>0</v>
      </c>
    </row>
    <row r="484" spans="1:68" x14ac:dyDescent="0.2">
      <c r="A484" s="710"/>
      <c r="B484" s="710"/>
      <c r="C484" s="710"/>
      <c r="D484" s="710"/>
      <c r="E484" s="710"/>
      <c r="F484" s="710"/>
      <c r="G484" s="710"/>
      <c r="H484" s="710"/>
      <c r="I484" s="710"/>
      <c r="J484" s="710"/>
      <c r="K484" s="710"/>
      <c r="L484" s="710"/>
      <c r="M484" s="710"/>
      <c r="N484" s="710"/>
      <c r="O484" s="711"/>
      <c r="P484" s="707" t="s">
        <v>40</v>
      </c>
      <c r="Q484" s="708"/>
      <c r="R484" s="708"/>
      <c r="S484" s="708"/>
      <c r="T484" s="708"/>
      <c r="U484" s="708"/>
      <c r="V484" s="709"/>
      <c r="W484" s="40" t="s">
        <v>39</v>
      </c>
      <c r="X484" s="41">
        <f>IFERROR(X483/H483,"0")</f>
        <v>0</v>
      </c>
      <c r="Y484" s="41">
        <f>IFERROR(Y483/H483,"0")</f>
        <v>0</v>
      </c>
      <c r="Z484" s="41">
        <f>IFERROR(IF(Z483="",0,Z483),"0")</f>
        <v>0</v>
      </c>
      <c r="AA484" s="64"/>
      <c r="AB484" s="64"/>
      <c r="AC484" s="64"/>
    </row>
    <row r="485" spans="1:68" x14ac:dyDescent="0.2">
      <c r="A485" s="710"/>
      <c r="B485" s="710"/>
      <c r="C485" s="710"/>
      <c r="D485" s="710"/>
      <c r="E485" s="710"/>
      <c r="F485" s="710"/>
      <c r="G485" s="710"/>
      <c r="H485" s="710"/>
      <c r="I485" s="710"/>
      <c r="J485" s="710"/>
      <c r="K485" s="710"/>
      <c r="L485" s="710"/>
      <c r="M485" s="710"/>
      <c r="N485" s="710"/>
      <c r="O485" s="711"/>
      <c r="P485" s="707" t="s">
        <v>40</v>
      </c>
      <c r="Q485" s="708"/>
      <c r="R485" s="708"/>
      <c r="S485" s="708"/>
      <c r="T485" s="708"/>
      <c r="U485" s="708"/>
      <c r="V485" s="709"/>
      <c r="W485" s="40" t="s">
        <v>0</v>
      </c>
      <c r="X485" s="41">
        <f>IFERROR(SUM(X483:X483),"0")</f>
        <v>0</v>
      </c>
      <c r="Y485" s="41">
        <f>IFERROR(SUM(Y483:Y483),"0")</f>
        <v>0</v>
      </c>
      <c r="Z485" s="40"/>
      <c r="AA485" s="64"/>
      <c r="AB485" s="64"/>
      <c r="AC485" s="64"/>
    </row>
    <row r="486" spans="1:68" ht="14.25" customHeight="1" x14ac:dyDescent="0.25">
      <c r="A486" s="701" t="s">
        <v>77</v>
      </c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  <c r="AA486" s="63"/>
      <c r="AB486" s="63"/>
      <c r="AC486" s="63"/>
    </row>
    <row r="487" spans="1:68" ht="27" customHeight="1" x14ac:dyDescent="0.25">
      <c r="A487" s="60" t="s">
        <v>788</v>
      </c>
      <c r="B487" s="60" t="s">
        <v>789</v>
      </c>
      <c r="C487" s="34">
        <v>4301031407</v>
      </c>
      <c r="D487" s="702">
        <v>4680115886094</v>
      </c>
      <c r="E487" s="702"/>
      <c r="F487" s="59">
        <v>0.9</v>
      </c>
      <c r="G487" s="35">
        <v>6</v>
      </c>
      <c r="H487" s="59">
        <v>5.4</v>
      </c>
      <c r="I487" s="59">
        <v>5.59</v>
      </c>
      <c r="J487" s="35">
        <v>132</v>
      </c>
      <c r="K487" s="35" t="s">
        <v>140</v>
      </c>
      <c r="L487" s="35" t="s">
        <v>46</v>
      </c>
      <c r="M487" s="36" t="s">
        <v>81</v>
      </c>
      <c r="N487" s="36"/>
      <c r="O487" s="35">
        <v>50</v>
      </c>
      <c r="P487" s="956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87" s="704"/>
      <c r="R487" s="704"/>
      <c r="S487" s="704"/>
      <c r="T487" s="705"/>
      <c r="U487" s="37" t="s">
        <v>46</v>
      </c>
      <c r="V487" s="37" t="s">
        <v>46</v>
      </c>
      <c r="W487" s="38" t="s">
        <v>0</v>
      </c>
      <c r="X487" s="56">
        <v>0</v>
      </c>
      <c r="Y487" s="53">
        <f>IFERROR(IF(X487="",0,CEILING((X487/$H487),1)*$H487),"")</f>
        <v>0</v>
      </c>
      <c r="Z487" s="39" t="str">
        <f>IFERROR(IF(Y487=0,"",ROUNDUP(Y487/H487,0)*0.00902),"")</f>
        <v/>
      </c>
      <c r="AA487" s="65" t="s">
        <v>46</v>
      </c>
      <c r="AB487" s="66" t="s">
        <v>46</v>
      </c>
      <c r="AC487" s="573" t="s">
        <v>790</v>
      </c>
      <c r="AG487" s="75"/>
      <c r="AJ487" s="79" t="s">
        <v>46</v>
      </c>
      <c r="AK487" s="79">
        <v>0</v>
      </c>
      <c r="BB487" s="574" t="s">
        <v>67</v>
      </c>
      <c r="BM487" s="75">
        <f>IFERROR(X487*I487/H487,"0")</f>
        <v>0</v>
      </c>
      <c r="BN487" s="75">
        <f>IFERROR(Y487*I487/H487,"0")</f>
        <v>0</v>
      </c>
      <c r="BO487" s="75">
        <f>IFERROR(1/J487*(X487/H487),"0")</f>
        <v>0</v>
      </c>
      <c r="BP487" s="75">
        <f>IFERROR(1/J487*(Y487/H487),"0")</f>
        <v>0</v>
      </c>
    </row>
    <row r="488" spans="1:68" ht="27" customHeight="1" x14ac:dyDescent="0.25">
      <c r="A488" s="60" t="s">
        <v>791</v>
      </c>
      <c r="B488" s="60" t="s">
        <v>792</v>
      </c>
      <c r="C488" s="34">
        <v>4301031373</v>
      </c>
      <c r="D488" s="702">
        <v>4680115880771</v>
      </c>
      <c r="E488" s="702"/>
      <c r="F488" s="59">
        <v>0.28000000000000003</v>
      </c>
      <c r="G488" s="35">
        <v>6</v>
      </c>
      <c r="H488" s="59">
        <v>1.68</v>
      </c>
      <c r="I488" s="59">
        <v>1.81</v>
      </c>
      <c r="J488" s="35">
        <v>234</v>
      </c>
      <c r="K488" s="35" t="s">
        <v>82</v>
      </c>
      <c r="L488" s="35" t="s">
        <v>46</v>
      </c>
      <c r="M488" s="36" t="s">
        <v>81</v>
      </c>
      <c r="N488" s="36"/>
      <c r="O488" s="35">
        <v>50</v>
      </c>
      <c r="P488" s="957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88" s="704"/>
      <c r="R488" s="704"/>
      <c r="S488" s="704"/>
      <c r="T488" s="705"/>
      <c r="U488" s="37" t="s">
        <v>46</v>
      </c>
      <c r="V488" s="37" t="s">
        <v>46</v>
      </c>
      <c r="W488" s="38" t="s">
        <v>0</v>
      </c>
      <c r="X488" s="56">
        <v>0</v>
      </c>
      <c r="Y488" s="53">
        <f>IFERROR(IF(X488="",0,CEILING((X488/$H488),1)*$H488),"")</f>
        <v>0</v>
      </c>
      <c r="Z488" s="39" t="str">
        <f>IFERROR(IF(Y488=0,"",ROUNDUP(Y488/H488,0)*0.00502),"")</f>
        <v/>
      </c>
      <c r="AA488" s="65" t="s">
        <v>46</v>
      </c>
      <c r="AB488" s="66" t="s">
        <v>46</v>
      </c>
      <c r="AC488" s="575" t="s">
        <v>793</v>
      </c>
      <c r="AG488" s="75"/>
      <c r="AJ488" s="79" t="s">
        <v>46</v>
      </c>
      <c r="AK488" s="79">
        <v>0</v>
      </c>
      <c r="BB488" s="576" t="s">
        <v>67</v>
      </c>
      <c r="BM488" s="75">
        <f>IFERROR(X488*I488/H488,"0")</f>
        <v>0</v>
      </c>
      <c r="BN488" s="75">
        <f>IFERROR(Y488*I488/H488,"0")</f>
        <v>0</v>
      </c>
      <c r="BO488" s="75">
        <f>IFERROR(1/J488*(X488/H488),"0")</f>
        <v>0</v>
      </c>
      <c r="BP488" s="75">
        <f>IFERROR(1/J488*(Y488/H488),"0")</f>
        <v>0</v>
      </c>
    </row>
    <row r="489" spans="1:68" ht="27" customHeight="1" x14ac:dyDescent="0.25">
      <c r="A489" s="60" t="s">
        <v>794</v>
      </c>
      <c r="B489" s="60" t="s">
        <v>795</v>
      </c>
      <c r="C489" s="34">
        <v>4301031359</v>
      </c>
      <c r="D489" s="702">
        <v>4607091389500</v>
      </c>
      <c r="E489" s="702"/>
      <c r="F489" s="59">
        <v>0.35</v>
      </c>
      <c r="G489" s="35">
        <v>6</v>
      </c>
      <c r="H489" s="59">
        <v>2.1</v>
      </c>
      <c r="I489" s="59">
        <v>2.23</v>
      </c>
      <c r="J489" s="35">
        <v>234</v>
      </c>
      <c r="K489" s="35" t="s">
        <v>82</v>
      </c>
      <c r="L489" s="35" t="s">
        <v>46</v>
      </c>
      <c r="M489" s="36" t="s">
        <v>81</v>
      </c>
      <c r="N489" s="36"/>
      <c r="O489" s="35">
        <v>50</v>
      </c>
      <c r="P489" s="958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89" s="704"/>
      <c r="R489" s="704"/>
      <c r="S489" s="704"/>
      <c r="T489" s="705"/>
      <c r="U489" s="37" t="s">
        <v>46</v>
      </c>
      <c r="V489" s="37" t="s">
        <v>46</v>
      </c>
      <c r="W489" s="38" t="s">
        <v>0</v>
      </c>
      <c r="X489" s="56">
        <v>0</v>
      </c>
      <c r="Y489" s="53">
        <f>IFERROR(IF(X489="",0,CEILING((X489/$H489),1)*$H489),"")</f>
        <v>0</v>
      </c>
      <c r="Z489" s="39" t="str">
        <f>IFERROR(IF(Y489=0,"",ROUNDUP(Y489/H489,0)*0.00502),"")</f>
        <v/>
      </c>
      <c r="AA489" s="65" t="s">
        <v>46</v>
      </c>
      <c r="AB489" s="66" t="s">
        <v>46</v>
      </c>
      <c r="AC489" s="577" t="s">
        <v>793</v>
      </c>
      <c r="AG489" s="75"/>
      <c r="AJ489" s="79" t="s">
        <v>46</v>
      </c>
      <c r="AK489" s="79">
        <v>0</v>
      </c>
      <c r="BB489" s="578" t="s">
        <v>67</v>
      </c>
      <c r="BM489" s="75">
        <f>IFERROR(X489*I489/H489,"0")</f>
        <v>0</v>
      </c>
      <c r="BN489" s="75">
        <f>IFERROR(Y489*I489/H489,"0")</f>
        <v>0</v>
      </c>
      <c r="BO489" s="75">
        <f>IFERROR(1/J489*(X489/H489),"0")</f>
        <v>0</v>
      </c>
      <c r="BP489" s="75">
        <f>IFERROR(1/J489*(Y489/H489),"0")</f>
        <v>0</v>
      </c>
    </row>
    <row r="490" spans="1:68" x14ac:dyDescent="0.2">
      <c r="A490" s="710"/>
      <c r="B490" s="710"/>
      <c r="C490" s="710"/>
      <c r="D490" s="710"/>
      <c r="E490" s="710"/>
      <c r="F490" s="710"/>
      <c r="G490" s="710"/>
      <c r="H490" s="710"/>
      <c r="I490" s="710"/>
      <c r="J490" s="710"/>
      <c r="K490" s="710"/>
      <c r="L490" s="710"/>
      <c r="M490" s="710"/>
      <c r="N490" s="710"/>
      <c r="O490" s="711"/>
      <c r="P490" s="707" t="s">
        <v>40</v>
      </c>
      <c r="Q490" s="708"/>
      <c r="R490" s="708"/>
      <c r="S490" s="708"/>
      <c r="T490" s="708"/>
      <c r="U490" s="708"/>
      <c r="V490" s="709"/>
      <c r="W490" s="40" t="s">
        <v>39</v>
      </c>
      <c r="X490" s="41">
        <f>IFERROR(X487/H487,"0")+IFERROR(X488/H488,"0")+IFERROR(X489/H489,"0")</f>
        <v>0</v>
      </c>
      <c r="Y490" s="41">
        <f>IFERROR(Y487/H487,"0")+IFERROR(Y488/H488,"0")+IFERROR(Y489/H489,"0")</f>
        <v>0</v>
      </c>
      <c r="Z490" s="41">
        <f>IFERROR(IF(Z487="",0,Z487),"0")+IFERROR(IF(Z488="",0,Z488),"0")+IFERROR(IF(Z489="",0,Z489),"0")</f>
        <v>0</v>
      </c>
      <c r="AA490" s="64"/>
      <c r="AB490" s="64"/>
      <c r="AC490" s="64"/>
    </row>
    <row r="491" spans="1:68" x14ac:dyDescent="0.2">
      <c r="A491" s="710"/>
      <c r="B491" s="710"/>
      <c r="C491" s="710"/>
      <c r="D491" s="710"/>
      <c r="E491" s="710"/>
      <c r="F491" s="710"/>
      <c r="G491" s="710"/>
      <c r="H491" s="710"/>
      <c r="I491" s="710"/>
      <c r="J491" s="710"/>
      <c r="K491" s="710"/>
      <c r="L491" s="710"/>
      <c r="M491" s="710"/>
      <c r="N491" s="710"/>
      <c r="O491" s="711"/>
      <c r="P491" s="707" t="s">
        <v>40</v>
      </c>
      <c r="Q491" s="708"/>
      <c r="R491" s="708"/>
      <c r="S491" s="708"/>
      <c r="T491" s="708"/>
      <c r="U491" s="708"/>
      <c r="V491" s="709"/>
      <c r="W491" s="40" t="s">
        <v>0</v>
      </c>
      <c r="X491" s="41">
        <f>IFERROR(SUM(X487:X489),"0")</f>
        <v>0</v>
      </c>
      <c r="Y491" s="41">
        <f>IFERROR(SUM(Y487:Y489),"0")</f>
        <v>0</v>
      </c>
      <c r="Z491" s="40"/>
      <c r="AA491" s="64"/>
      <c r="AB491" s="64"/>
      <c r="AC491" s="64"/>
    </row>
    <row r="492" spans="1:68" ht="27.75" customHeight="1" x14ac:dyDescent="0.2">
      <c r="A492" s="699" t="s">
        <v>796</v>
      </c>
      <c r="B492" s="699"/>
      <c r="C492" s="699"/>
      <c r="D492" s="699"/>
      <c r="E492" s="699"/>
      <c r="F492" s="699"/>
      <c r="G492" s="699"/>
      <c r="H492" s="699"/>
      <c r="I492" s="699"/>
      <c r="J492" s="699"/>
      <c r="K492" s="699"/>
      <c r="L492" s="699"/>
      <c r="M492" s="699"/>
      <c r="N492" s="699"/>
      <c r="O492" s="699"/>
      <c r="P492" s="699"/>
      <c r="Q492" s="699"/>
      <c r="R492" s="699"/>
      <c r="S492" s="699"/>
      <c r="T492" s="699"/>
      <c r="U492" s="699"/>
      <c r="V492" s="699"/>
      <c r="W492" s="699"/>
      <c r="X492" s="699"/>
      <c r="Y492" s="699"/>
      <c r="Z492" s="699"/>
      <c r="AA492" s="52"/>
      <c r="AB492" s="52"/>
      <c r="AC492" s="52"/>
    </row>
    <row r="493" spans="1:68" ht="16.5" customHeight="1" x14ac:dyDescent="0.25">
      <c r="A493" s="700" t="s">
        <v>796</v>
      </c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  <c r="AA493" s="62"/>
      <c r="AB493" s="62"/>
      <c r="AC493" s="62"/>
    </row>
    <row r="494" spans="1:68" ht="14.25" customHeight="1" x14ac:dyDescent="0.25">
      <c r="A494" s="701" t="s">
        <v>128</v>
      </c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  <c r="AA494" s="63"/>
      <c r="AB494" s="63"/>
      <c r="AC494" s="63"/>
    </row>
    <row r="495" spans="1:68" ht="27" customHeight="1" x14ac:dyDescent="0.25">
      <c r="A495" s="60" t="s">
        <v>797</v>
      </c>
      <c r="B495" s="60" t="s">
        <v>798</v>
      </c>
      <c r="C495" s="34">
        <v>4301011769</v>
      </c>
      <c r="D495" s="702">
        <v>4607091389067</v>
      </c>
      <c r="E495" s="702"/>
      <c r="F495" s="59">
        <v>0.88</v>
      </c>
      <c r="G495" s="35">
        <v>6</v>
      </c>
      <c r="H495" s="59">
        <v>5.28</v>
      </c>
      <c r="I495" s="59">
        <v>5.63</v>
      </c>
      <c r="J495" s="35">
        <v>104</v>
      </c>
      <c r="K495" s="35" t="s">
        <v>133</v>
      </c>
      <c r="L495" s="35" t="s">
        <v>46</v>
      </c>
      <c r="M495" s="36" t="s">
        <v>90</v>
      </c>
      <c r="N495" s="36"/>
      <c r="O495" s="35">
        <v>60</v>
      </c>
      <c r="P495" s="959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95" s="704"/>
      <c r="R495" s="704"/>
      <c r="S495" s="704"/>
      <c r="T495" s="705"/>
      <c r="U495" s="37" t="s">
        <v>46</v>
      </c>
      <c r="V495" s="37" t="s">
        <v>46</v>
      </c>
      <c r="W495" s="38" t="s">
        <v>0</v>
      </c>
      <c r="X495" s="56">
        <v>0</v>
      </c>
      <c r="Y495" s="53">
        <f t="shared" ref="Y495:Y503" si="57">IFERROR(IF(X495="",0,CEILING((X495/$H495),1)*$H495),"")</f>
        <v>0</v>
      </c>
      <c r="Z495" s="39" t="str">
        <f t="shared" ref="Z495:Z500" si="58">IFERROR(IF(Y495=0,"",ROUNDUP(Y495/H495,0)*0.01196),"")</f>
        <v/>
      </c>
      <c r="AA495" s="65" t="s">
        <v>46</v>
      </c>
      <c r="AB495" s="66" t="s">
        <v>46</v>
      </c>
      <c r="AC495" s="579" t="s">
        <v>131</v>
      </c>
      <c r="AG495" s="75"/>
      <c r="AJ495" s="79" t="s">
        <v>46</v>
      </c>
      <c r="AK495" s="79">
        <v>0</v>
      </c>
      <c r="BB495" s="580" t="s">
        <v>67</v>
      </c>
      <c r="BM495" s="75">
        <f t="shared" ref="BM495:BM503" si="59">IFERROR(X495*I495/H495,"0")</f>
        <v>0</v>
      </c>
      <c r="BN495" s="75">
        <f t="shared" ref="BN495:BN503" si="60">IFERROR(Y495*I495/H495,"0")</f>
        <v>0</v>
      </c>
      <c r="BO495" s="75">
        <f t="shared" ref="BO495:BO503" si="61">IFERROR(1/J495*(X495/H495),"0")</f>
        <v>0</v>
      </c>
      <c r="BP495" s="75">
        <f t="shared" ref="BP495:BP503" si="62">IFERROR(1/J495*(Y495/H495),"0")</f>
        <v>0</v>
      </c>
    </row>
    <row r="496" spans="1:68" ht="16.5" customHeight="1" x14ac:dyDescent="0.25">
      <c r="A496" s="60" t="s">
        <v>799</v>
      </c>
      <c r="B496" s="60" t="s">
        <v>800</v>
      </c>
      <c r="C496" s="34">
        <v>4301012380</v>
      </c>
      <c r="D496" s="702">
        <v>4680115889576</v>
      </c>
      <c r="E496" s="702"/>
      <c r="F496" s="59">
        <v>0.88</v>
      </c>
      <c r="G496" s="35">
        <v>6</v>
      </c>
      <c r="H496" s="59">
        <v>5.28</v>
      </c>
      <c r="I496" s="59">
        <v>5.63</v>
      </c>
      <c r="J496" s="35">
        <v>104</v>
      </c>
      <c r="K496" s="35" t="s">
        <v>133</v>
      </c>
      <c r="L496" s="35" t="s">
        <v>46</v>
      </c>
      <c r="M496" s="36" t="s">
        <v>132</v>
      </c>
      <c r="N496" s="36"/>
      <c r="O496" s="35">
        <v>60</v>
      </c>
      <c r="P496" s="960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496" s="704"/>
      <c r="R496" s="704"/>
      <c r="S496" s="704"/>
      <c r="T496" s="705"/>
      <c r="U496" s="37" t="s">
        <v>46</v>
      </c>
      <c r="V496" s="37" t="s">
        <v>46</v>
      </c>
      <c r="W496" s="38" t="s">
        <v>0</v>
      </c>
      <c r="X496" s="56">
        <v>0</v>
      </c>
      <c r="Y496" s="53">
        <f t="shared" si="57"/>
        <v>0</v>
      </c>
      <c r="Z496" s="39" t="str">
        <f t="shared" si="58"/>
        <v/>
      </c>
      <c r="AA496" s="65" t="s">
        <v>46</v>
      </c>
      <c r="AB496" s="66" t="s">
        <v>46</v>
      </c>
      <c r="AC496" s="581" t="s">
        <v>801</v>
      </c>
      <c r="AG496" s="75"/>
      <c r="AJ496" s="79" t="s">
        <v>46</v>
      </c>
      <c r="AK496" s="79">
        <v>0</v>
      </c>
      <c r="BB496" s="582" t="s">
        <v>67</v>
      </c>
      <c r="BM496" s="75">
        <f t="shared" si="59"/>
        <v>0</v>
      </c>
      <c r="BN496" s="75">
        <f t="shared" si="60"/>
        <v>0</v>
      </c>
      <c r="BO496" s="75">
        <f t="shared" si="61"/>
        <v>0</v>
      </c>
      <c r="BP496" s="75">
        <f t="shared" si="62"/>
        <v>0</v>
      </c>
    </row>
    <row r="497" spans="1:68" ht="27" customHeight="1" x14ac:dyDescent="0.25">
      <c r="A497" s="60" t="s">
        <v>802</v>
      </c>
      <c r="B497" s="60" t="s">
        <v>803</v>
      </c>
      <c r="C497" s="34">
        <v>4301011961</v>
      </c>
      <c r="D497" s="702">
        <v>4680115885271</v>
      </c>
      <c r="E497" s="702"/>
      <c r="F497" s="59">
        <v>0.88</v>
      </c>
      <c r="G497" s="35">
        <v>6</v>
      </c>
      <c r="H497" s="59">
        <v>5.28</v>
      </c>
      <c r="I497" s="59">
        <v>5.63</v>
      </c>
      <c r="J497" s="35">
        <v>104</v>
      </c>
      <c r="K497" s="35" t="s">
        <v>133</v>
      </c>
      <c r="L497" s="35" t="s">
        <v>46</v>
      </c>
      <c r="M497" s="36" t="s">
        <v>132</v>
      </c>
      <c r="N497" s="36"/>
      <c r="O497" s="35">
        <v>60</v>
      </c>
      <c r="P497" s="961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497" s="704"/>
      <c r="R497" s="704"/>
      <c r="S497" s="704"/>
      <c r="T497" s="705"/>
      <c r="U497" s="37" t="s">
        <v>46</v>
      </c>
      <c r="V497" s="37" t="s">
        <v>46</v>
      </c>
      <c r="W497" s="38" t="s">
        <v>0</v>
      </c>
      <c r="X497" s="56">
        <v>0</v>
      </c>
      <c r="Y497" s="53">
        <f t="shared" si="57"/>
        <v>0</v>
      </c>
      <c r="Z497" s="39" t="str">
        <f t="shared" si="58"/>
        <v/>
      </c>
      <c r="AA497" s="65" t="s">
        <v>46</v>
      </c>
      <c r="AB497" s="66" t="s">
        <v>46</v>
      </c>
      <c r="AC497" s="583" t="s">
        <v>804</v>
      </c>
      <c r="AG497" s="75"/>
      <c r="AJ497" s="79" t="s">
        <v>46</v>
      </c>
      <c r="AK497" s="79">
        <v>0</v>
      </c>
      <c r="BB497" s="584" t="s">
        <v>67</v>
      </c>
      <c r="BM497" s="75">
        <f t="shared" si="59"/>
        <v>0</v>
      </c>
      <c r="BN497" s="75">
        <f t="shared" si="60"/>
        <v>0</v>
      </c>
      <c r="BO497" s="75">
        <f t="shared" si="61"/>
        <v>0</v>
      </c>
      <c r="BP497" s="75">
        <f t="shared" si="62"/>
        <v>0</v>
      </c>
    </row>
    <row r="498" spans="1:68" ht="27" customHeight="1" x14ac:dyDescent="0.25">
      <c r="A498" s="60" t="s">
        <v>805</v>
      </c>
      <c r="B498" s="60" t="s">
        <v>806</v>
      </c>
      <c r="C498" s="34">
        <v>4301011369</v>
      </c>
      <c r="D498" s="702">
        <v>4680115885226</v>
      </c>
      <c r="E498" s="702"/>
      <c r="F498" s="59">
        <v>0.88</v>
      </c>
      <c r="G498" s="35">
        <v>6</v>
      </c>
      <c r="H498" s="59">
        <v>5.28</v>
      </c>
      <c r="I498" s="59">
        <v>5.63</v>
      </c>
      <c r="J498" s="35">
        <v>104</v>
      </c>
      <c r="K498" s="35" t="s">
        <v>133</v>
      </c>
      <c r="L498" s="35" t="s">
        <v>46</v>
      </c>
      <c r="M498" s="36" t="s">
        <v>132</v>
      </c>
      <c r="N498" s="36"/>
      <c r="O498" s="35">
        <v>60</v>
      </c>
      <c r="P498" s="962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498" s="704"/>
      <c r="R498" s="704"/>
      <c r="S498" s="704"/>
      <c r="T498" s="705"/>
      <c r="U498" s="37" t="s">
        <v>46</v>
      </c>
      <c r="V498" s="37" t="s">
        <v>46</v>
      </c>
      <c r="W498" s="38" t="s">
        <v>0</v>
      </c>
      <c r="X498" s="56">
        <v>0</v>
      </c>
      <c r="Y498" s="53">
        <f t="shared" si="57"/>
        <v>0</v>
      </c>
      <c r="Z498" s="39" t="str">
        <f t="shared" si="58"/>
        <v/>
      </c>
      <c r="AA498" s="65" t="s">
        <v>46</v>
      </c>
      <c r="AB498" s="66" t="s">
        <v>46</v>
      </c>
      <c r="AC498" s="585" t="s">
        <v>807</v>
      </c>
      <c r="AG498" s="75"/>
      <c r="AJ498" s="79" t="s">
        <v>46</v>
      </c>
      <c r="AK498" s="79">
        <v>0</v>
      </c>
      <c r="BB498" s="586" t="s">
        <v>67</v>
      </c>
      <c r="BM498" s="75">
        <f t="shared" si="59"/>
        <v>0</v>
      </c>
      <c r="BN498" s="75">
        <f t="shared" si="60"/>
        <v>0</v>
      </c>
      <c r="BO498" s="75">
        <f t="shared" si="61"/>
        <v>0</v>
      </c>
      <c r="BP498" s="75">
        <f t="shared" si="62"/>
        <v>0</v>
      </c>
    </row>
    <row r="499" spans="1:68" ht="16.5" customHeight="1" x14ac:dyDescent="0.25">
      <c r="A499" s="60" t="s">
        <v>808</v>
      </c>
      <c r="B499" s="60" t="s">
        <v>809</v>
      </c>
      <c r="C499" s="34">
        <v>4301011797</v>
      </c>
      <c r="D499" s="702">
        <v>4680115884502</v>
      </c>
      <c r="E499" s="702"/>
      <c r="F499" s="59">
        <v>0.88</v>
      </c>
      <c r="G499" s="35">
        <v>6</v>
      </c>
      <c r="H499" s="59">
        <v>5.28</v>
      </c>
      <c r="I499" s="59">
        <v>5.63</v>
      </c>
      <c r="J499" s="35">
        <v>104</v>
      </c>
      <c r="K499" s="35" t="s">
        <v>133</v>
      </c>
      <c r="L499" s="35" t="s">
        <v>46</v>
      </c>
      <c r="M499" s="36" t="s">
        <v>90</v>
      </c>
      <c r="N499" s="36"/>
      <c r="O499" s="35">
        <v>60</v>
      </c>
      <c r="P499" s="963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499" s="704"/>
      <c r="R499" s="704"/>
      <c r="S499" s="704"/>
      <c r="T499" s="705"/>
      <c r="U499" s="37" t="s">
        <v>46</v>
      </c>
      <c r="V499" s="37" t="s">
        <v>46</v>
      </c>
      <c r="W499" s="38" t="s">
        <v>0</v>
      </c>
      <c r="X499" s="56">
        <v>0</v>
      </c>
      <c r="Y499" s="53">
        <f t="shared" si="57"/>
        <v>0</v>
      </c>
      <c r="Z499" s="39" t="str">
        <f t="shared" si="58"/>
        <v/>
      </c>
      <c r="AA499" s="65" t="s">
        <v>46</v>
      </c>
      <c r="AB499" s="66" t="s">
        <v>46</v>
      </c>
      <c r="AC499" s="587" t="s">
        <v>810</v>
      </c>
      <c r="AG499" s="75"/>
      <c r="AJ499" s="79" t="s">
        <v>46</v>
      </c>
      <c r="AK499" s="79">
        <v>0</v>
      </c>
      <c r="BB499" s="588" t="s">
        <v>67</v>
      </c>
      <c r="BM499" s="75">
        <f t="shared" si="59"/>
        <v>0</v>
      </c>
      <c r="BN499" s="75">
        <f t="shared" si="60"/>
        <v>0</v>
      </c>
      <c r="BO499" s="75">
        <f t="shared" si="61"/>
        <v>0</v>
      </c>
      <c r="BP499" s="75">
        <f t="shared" si="62"/>
        <v>0</v>
      </c>
    </row>
    <row r="500" spans="1:68" ht="27" customHeight="1" x14ac:dyDescent="0.25">
      <c r="A500" s="60" t="s">
        <v>811</v>
      </c>
      <c r="B500" s="60" t="s">
        <v>812</v>
      </c>
      <c r="C500" s="34">
        <v>4301011771</v>
      </c>
      <c r="D500" s="702">
        <v>4607091389104</v>
      </c>
      <c r="E500" s="702"/>
      <c r="F500" s="59">
        <v>0.88</v>
      </c>
      <c r="G500" s="35">
        <v>6</v>
      </c>
      <c r="H500" s="59">
        <v>5.28</v>
      </c>
      <c r="I500" s="59">
        <v>5.63</v>
      </c>
      <c r="J500" s="35">
        <v>104</v>
      </c>
      <c r="K500" s="35" t="s">
        <v>133</v>
      </c>
      <c r="L500" s="35" t="s">
        <v>46</v>
      </c>
      <c r="M500" s="36" t="s">
        <v>132</v>
      </c>
      <c r="N500" s="36"/>
      <c r="O500" s="35">
        <v>60</v>
      </c>
      <c r="P500" s="964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00" s="704"/>
      <c r="R500" s="704"/>
      <c r="S500" s="704"/>
      <c r="T500" s="705"/>
      <c r="U500" s="37" t="s">
        <v>46</v>
      </c>
      <c r="V500" s="37" t="s">
        <v>46</v>
      </c>
      <c r="W500" s="38" t="s">
        <v>0</v>
      </c>
      <c r="X500" s="56">
        <v>0</v>
      </c>
      <c r="Y500" s="53">
        <f t="shared" si="57"/>
        <v>0</v>
      </c>
      <c r="Z500" s="39" t="str">
        <f t="shared" si="58"/>
        <v/>
      </c>
      <c r="AA500" s="65" t="s">
        <v>46</v>
      </c>
      <c r="AB500" s="66" t="s">
        <v>46</v>
      </c>
      <c r="AC500" s="589" t="s">
        <v>813</v>
      </c>
      <c r="AG500" s="75"/>
      <c r="AJ500" s="79" t="s">
        <v>46</v>
      </c>
      <c r="AK500" s="79">
        <v>0</v>
      </c>
      <c r="BB500" s="590" t="s">
        <v>67</v>
      </c>
      <c r="BM500" s="75">
        <f t="shared" si="59"/>
        <v>0</v>
      </c>
      <c r="BN500" s="75">
        <f t="shared" si="60"/>
        <v>0</v>
      </c>
      <c r="BO500" s="75">
        <f t="shared" si="61"/>
        <v>0</v>
      </c>
      <c r="BP500" s="75">
        <f t="shared" si="62"/>
        <v>0</v>
      </c>
    </row>
    <row r="501" spans="1:68" ht="27" customHeight="1" x14ac:dyDescent="0.25">
      <c r="A501" s="60" t="s">
        <v>814</v>
      </c>
      <c r="B501" s="60" t="s">
        <v>815</v>
      </c>
      <c r="C501" s="34">
        <v>4301012125</v>
      </c>
      <c r="D501" s="702">
        <v>4680115886391</v>
      </c>
      <c r="E501" s="702"/>
      <c r="F501" s="59">
        <v>0.4</v>
      </c>
      <c r="G501" s="35">
        <v>6</v>
      </c>
      <c r="H501" s="59">
        <v>2.4</v>
      </c>
      <c r="I501" s="59">
        <v>2.58</v>
      </c>
      <c r="J501" s="35">
        <v>182</v>
      </c>
      <c r="K501" s="35" t="s">
        <v>91</v>
      </c>
      <c r="L501" s="35" t="s">
        <v>46</v>
      </c>
      <c r="M501" s="36" t="s">
        <v>90</v>
      </c>
      <c r="N501" s="36"/>
      <c r="O501" s="35">
        <v>60</v>
      </c>
      <c r="P501" s="965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01" s="704"/>
      <c r="R501" s="704"/>
      <c r="S501" s="704"/>
      <c r="T501" s="705"/>
      <c r="U501" s="37" t="s">
        <v>46</v>
      </c>
      <c r="V501" s="37" t="s">
        <v>46</v>
      </c>
      <c r="W501" s="38" t="s">
        <v>0</v>
      </c>
      <c r="X501" s="56">
        <v>0</v>
      </c>
      <c r="Y501" s="53">
        <f t="shared" si="57"/>
        <v>0</v>
      </c>
      <c r="Z501" s="39" t="str">
        <f>IFERROR(IF(Y501=0,"",ROUNDUP(Y501/H501,0)*0.00651),"")</f>
        <v/>
      </c>
      <c r="AA501" s="65" t="s">
        <v>46</v>
      </c>
      <c r="AB501" s="66" t="s">
        <v>46</v>
      </c>
      <c r="AC501" s="591" t="s">
        <v>131</v>
      </c>
      <c r="AG501" s="75"/>
      <c r="AJ501" s="79" t="s">
        <v>46</v>
      </c>
      <c r="AK501" s="79">
        <v>0</v>
      </c>
      <c r="BB501" s="592" t="s">
        <v>67</v>
      </c>
      <c r="BM501" s="75">
        <f t="shared" si="59"/>
        <v>0</v>
      </c>
      <c r="BN501" s="75">
        <f t="shared" si="60"/>
        <v>0</v>
      </c>
      <c r="BO501" s="75">
        <f t="shared" si="61"/>
        <v>0</v>
      </c>
      <c r="BP501" s="75">
        <f t="shared" si="62"/>
        <v>0</v>
      </c>
    </row>
    <row r="502" spans="1:68" ht="27" customHeight="1" x14ac:dyDescent="0.25">
      <c r="A502" s="60" t="s">
        <v>816</v>
      </c>
      <c r="B502" s="60" t="s">
        <v>817</v>
      </c>
      <c r="C502" s="34">
        <v>4301012048</v>
      </c>
      <c r="D502" s="702">
        <v>4680115880603</v>
      </c>
      <c r="E502" s="702"/>
      <c r="F502" s="59">
        <v>0.6</v>
      </c>
      <c r="G502" s="35">
        <v>8</v>
      </c>
      <c r="H502" s="59">
        <v>4.8</v>
      </c>
      <c r="I502" s="59">
        <v>6.91</v>
      </c>
      <c r="J502" s="35">
        <v>132</v>
      </c>
      <c r="K502" s="35" t="s">
        <v>140</v>
      </c>
      <c r="L502" s="35" t="s">
        <v>46</v>
      </c>
      <c r="M502" s="36" t="s">
        <v>90</v>
      </c>
      <c r="N502" s="36"/>
      <c r="O502" s="35">
        <v>60</v>
      </c>
      <c r="P502" s="966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02" s="704"/>
      <c r="R502" s="704"/>
      <c r="S502" s="704"/>
      <c r="T502" s="705"/>
      <c r="U502" s="37" t="s">
        <v>46</v>
      </c>
      <c r="V502" s="37" t="s">
        <v>46</v>
      </c>
      <c r="W502" s="38" t="s">
        <v>0</v>
      </c>
      <c r="X502" s="56">
        <v>0</v>
      </c>
      <c r="Y502" s="53">
        <f t="shared" si="57"/>
        <v>0</v>
      </c>
      <c r="Z502" s="39" t="str">
        <f>IFERROR(IF(Y502=0,"",ROUNDUP(Y502/H502,0)*0.00902),"")</f>
        <v/>
      </c>
      <c r="AA502" s="65" t="s">
        <v>46</v>
      </c>
      <c r="AB502" s="66" t="s">
        <v>46</v>
      </c>
      <c r="AC502" s="593" t="s">
        <v>131</v>
      </c>
      <c r="AG502" s="75"/>
      <c r="AJ502" s="79" t="s">
        <v>46</v>
      </c>
      <c r="AK502" s="79">
        <v>0</v>
      </c>
      <c r="BB502" s="594" t="s">
        <v>67</v>
      </c>
      <c r="BM502" s="75">
        <f t="shared" si="59"/>
        <v>0</v>
      </c>
      <c r="BN502" s="75">
        <f t="shared" si="60"/>
        <v>0</v>
      </c>
      <c r="BO502" s="75">
        <f t="shared" si="61"/>
        <v>0</v>
      </c>
      <c r="BP502" s="75">
        <f t="shared" si="62"/>
        <v>0</v>
      </c>
    </row>
    <row r="503" spans="1:68" ht="27" customHeight="1" x14ac:dyDescent="0.25">
      <c r="A503" s="60" t="s">
        <v>818</v>
      </c>
      <c r="B503" s="60" t="s">
        <v>819</v>
      </c>
      <c r="C503" s="34">
        <v>4301012034</v>
      </c>
      <c r="D503" s="702">
        <v>4607091389982</v>
      </c>
      <c r="E503" s="702"/>
      <c r="F503" s="59">
        <v>0.6</v>
      </c>
      <c r="G503" s="35">
        <v>8</v>
      </c>
      <c r="H503" s="59">
        <v>4.8</v>
      </c>
      <c r="I503" s="59">
        <v>6.91</v>
      </c>
      <c r="J503" s="35">
        <v>132</v>
      </c>
      <c r="K503" s="35" t="s">
        <v>140</v>
      </c>
      <c r="L503" s="35" t="s">
        <v>46</v>
      </c>
      <c r="M503" s="36" t="s">
        <v>132</v>
      </c>
      <c r="N503" s="36"/>
      <c r="O503" s="35">
        <v>60</v>
      </c>
      <c r="P503" s="967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03" s="704"/>
      <c r="R503" s="704"/>
      <c r="S503" s="704"/>
      <c r="T503" s="705"/>
      <c r="U503" s="37" t="s">
        <v>46</v>
      </c>
      <c r="V503" s="37" t="s">
        <v>46</v>
      </c>
      <c r="W503" s="38" t="s">
        <v>0</v>
      </c>
      <c r="X503" s="56">
        <v>0</v>
      </c>
      <c r="Y503" s="53">
        <f t="shared" si="57"/>
        <v>0</v>
      </c>
      <c r="Z503" s="39" t="str">
        <f>IFERROR(IF(Y503=0,"",ROUNDUP(Y503/H503,0)*0.00902),"")</f>
        <v/>
      </c>
      <c r="AA503" s="65" t="s">
        <v>46</v>
      </c>
      <c r="AB503" s="66" t="s">
        <v>46</v>
      </c>
      <c r="AC503" s="595" t="s">
        <v>813</v>
      </c>
      <c r="AG503" s="75"/>
      <c r="AJ503" s="79" t="s">
        <v>46</v>
      </c>
      <c r="AK503" s="79">
        <v>0</v>
      </c>
      <c r="BB503" s="596" t="s">
        <v>67</v>
      </c>
      <c r="BM503" s="75">
        <f t="shared" si="59"/>
        <v>0</v>
      </c>
      <c r="BN503" s="75">
        <f t="shared" si="60"/>
        <v>0</v>
      </c>
      <c r="BO503" s="75">
        <f t="shared" si="61"/>
        <v>0</v>
      </c>
      <c r="BP503" s="75">
        <f t="shared" si="62"/>
        <v>0</v>
      </c>
    </row>
    <row r="504" spans="1:68" x14ac:dyDescent="0.2">
      <c r="A504" s="710"/>
      <c r="B504" s="710"/>
      <c r="C504" s="710"/>
      <c r="D504" s="710"/>
      <c r="E504" s="710"/>
      <c r="F504" s="710"/>
      <c r="G504" s="710"/>
      <c r="H504" s="710"/>
      <c r="I504" s="710"/>
      <c r="J504" s="710"/>
      <c r="K504" s="710"/>
      <c r="L504" s="710"/>
      <c r="M504" s="710"/>
      <c r="N504" s="710"/>
      <c r="O504" s="711"/>
      <c r="P504" s="707" t="s">
        <v>40</v>
      </c>
      <c r="Q504" s="708"/>
      <c r="R504" s="708"/>
      <c r="S504" s="708"/>
      <c r="T504" s="708"/>
      <c r="U504" s="708"/>
      <c r="V504" s="709"/>
      <c r="W504" s="40" t="s">
        <v>39</v>
      </c>
      <c r="X504" s="41">
        <f>IFERROR(X495/H495,"0")+IFERROR(X496/H496,"0")+IFERROR(X497/H497,"0")+IFERROR(X498/H498,"0")+IFERROR(X499/H499,"0")+IFERROR(X500/H500,"0")+IFERROR(X501/H501,"0")+IFERROR(X502/H502,"0")+IFERROR(X503/H503,"0")</f>
        <v>0</v>
      </c>
      <c r="Y504" s="41">
        <f>IFERROR(Y495/H495,"0")+IFERROR(Y496/H496,"0")+IFERROR(Y497/H497,"0")+IFERROR(Y498/H498,"0")+IFERROR(Y499/H499,"0")+IFERROR(Y500/H500,"0")+IFERROR(Y501/H501,"0")+IFERROR(Y502/H502,"0")+IFERROR(Y503/H503,"0")</f>
        <v>0</v>
      </c>
      <c r="Z504" s="41">
        <f>IFERROR(IF(Z495="",0,Z495),"0")+IFERROR(IF(Z496="",0,Z496),"0")+IFERROR(IF(Z497="",0,Z497),"0")+IFERROR(IF(Z498="",0,Z498),"0")+IFERROR(IF(Z499="",0,Z499),"0")+IFERROR(IF(Z500="",0,Z500),"0")+IFERROR(IF(Z501="",0,Z501),"0")+IFERROR(IF(Z502="",0,Z502),"0")+IFERROR(IF(Z503="",0,Z503),"0")</f>
        <v>0</v>
      </c>
      <c r="AA504" s="64"/>
      <c r="AB504" s="64"/>
      <c r="AC504" s="64"/>
    </row>
    <row r="505" spans="1:68" x14ac:dyDescent="0.2">
      <c r="A505" s="710"/>
      <c r="B505" s="710"/>
      <c r="C505" s="710"/>
      <c r="D505" s="710"/>
      <c r="E505" s="710"/>
      <c r="F505" s="710"/>
      <c r="G505" s="710"/>
      <c r="H505" s="710"/>
      <c r="I505" s="710"/>
      <c r="J505" s="710"/>
      <c r="K505" s="710"/>
      <c r="L505" s="710"/>
      <c r="M505" s="710"/>
      <c r="N505" s="710"/>
      <c r="O505" s="711"/>
      <c r="P505" s="707" t="s">
        <v>40</v>
      </c>
      <c r="Q505" s="708"/>
      <c r="R505" s="708"/>
      <c r="S505" s="708"/>
      <c r="T505" s="708"/>
      <c r="U505" s="708"/>
      <c r="V505" s="709"/>
      <c r="W505" s="40" t="s">
        <v>0</v>
      </c>
      <c r="X505" s="41">
        <f>IFERROR(SUM(X495:X503),"0")</f>
        <v>0</v>
      </c>
      <c r="Y505" s="41">
        <f>IFERROR(SUM(Y495:Y503),"0")</f>
        <v>0</v>
      </c>
      <c r="Z505" s="40"/>
      <c r="AA505" s="64"/>
      <c r="AB505" s="64"/>
      <c r="AC505" s="64"/>
    </row>
    <row r="506" spans="1:68" ht="14.25" customHeight="1" x14ac:dyDescent="0.25">
      <c r="A506" s="701" t="s">
        <v>164</v>
      </c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  <c r="AA506" s="63"/>
      <c r="AB506" s="63"/>
      <c r="AC506" s="63"/>
    </row>
    <row r="507" spans="1:68" ht="16.5" customHeight="1" x14ac:dyDescent="0.25">
      <c r="A507" s="60" t="s">
        <v>820</v>
      </c>
      <c r="B507" s="60" t="s">
        <v>821</v>
      </c>
      <c r="C507" s="34">
        <v>4301020334</v>
      </c>
      <c r="D507" s="702">
        <v>4607091388930</v>
      </c>
      <c r="E507" s="702"/>
      <c r="F507" s="59">
        <v>0.88</v>
      </c>
      <c r="G507" s="35">
        <v>6</v>
      </c>
      <c r="H507" s="59">
        <v>5.28</v>
      </c>
      <c r="I507" s="59">
        <v>5.63</v>
      </c>
      <c r="J507" s="35">
        <v>104</v>
      </c>
      <c r="K507" s="35" t="s">
        <v>133</v>
      </c>
      <c r="L507" s="35" t="s">
        <v>46</v>
      </c>
      <c r="M507" s="36" t="s">
        <v>90</v>
      </c>
      <c r="N507" s="36"/>
      <c r="O507" s="35">
        <v>70</v>
      </c>
      <c r="P507" s="968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07" s="704"/>
      <c r="R507" s="704"/>
      <c r="S507" s="704"/>
      <c r="T507" s="705"/>
      <c r="U507" s="37" t="s">
        <v>46</v>
      </c>
      <c r="V507" s="37" t="s">
        <v>46</v>
      </c>
      <c r="W507" s="38" t="s">
        <v>0</v>
      </c>
      <c r="X507" s="56">
        <v>0</v>
      </c>
      <c r="Y507" s="53">
        <f>IFERROR(IF(X507="",0,CEILING((X507/$H507),1)*$H507),"")</f>
        <v>0</v>
      </c>
      <c r="Z507" s="39" t="str">
        <f>IFERROR(IF(Y507=0,"",ROUNDUP(Y507/H507,0)*0.01196),"")</f>
        <v/>
      </c>
      <c r="AA507" s="65" t="s">
        <v>46</v>
      </c>
      <c r="AB507" s="66" t="s">
        <v>46</v>
      </c>
      <c r="AC507" s="597" t="s">
        <v>822</v>
      </c>
      <c r="AG507" s="75"/>
      <c r="AJ507" s="79" t="s">
        <v>46</v>
      </c>
      <c r="AK507" s="79">
        <v>0</v>
      </c>
      <c r="BB507" s="598" t="s">
        <v>67</v>
      </c>
      <c r="BM507" s="75">
        <f>IFERROR(X507*I507/H507,"0")</f>
        <v>0</v>
      </c>
      <c r="BN507" s="75">
        <f>IFERROR(Y507*I507/H507,"0")</f>
        <v>0</v>
      </c>
      <c r="BO507" s="75">
        <f>IFERROR(1/J507*(X507/H507),"0")</f>
        <v>0</v>
      </c>
      <c r="BP507" s="75">
        <f>IFERROR(1/J507*(Y507/H507),"0")</f>
        <v>0</v>
      </c>
    </row>
    <row r="508" spans="1:68" ht="16.5" customHeight="1" x14ac:dyDescent="0.25">
      <c r="A508" s="60" t="s">
        <v>823</v>
      </c>
      <c r="B508" s="60" t="s">
        <v>824</v>
      </c>
      <c r="C508" s="34">
        <v>4301020374</v>
      </c>
      <c r="D508" s="702">
        <v>4680115886407</v>
      </c>
      <c r="E508" s="702"/>
      <c r="F508" s="59">
        <v>0.4</v>
      </c>
      <c r="G508" s="35">
        <v>6</v>
      </c>
      <c r="H508" s="59">
        <v>2.4</v>
      </c>
      <c r="I508" s="59">
        <v>2.58</v>
      </c>
      <c r="J508" s="35">
        <v>182</v>
      </c>
      <c r="K508" s="35" t="s">
        <v>91</v>
      </c>
      <c r="L508" s="35" t="s">
        <v>46</v>
      </c>
      <c r="M508" s="36" t="s">
        <v>132</v>
      </c>
      <c r="N508" s="36"/>
      <c r="O508" s="35">
        <v>70</v>
      </c>
      <c r="P508" s="969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08" s="704"/>
      <c r="R508" s="704"/>
      <c r="S508" s="704"/>
      <c r="T508" s="705"/>
      <c r="U508" s="37" t="s">
        <v>46</v>
      </c>
      <c r="V508" s="37" t="s">
        <v>46</v>
      </c>
      <c r="W508" s="38" t="s">
        <v>0</v>
      </c>
      <c r="X508" s="56">
        <v>0</v>
      </c>
      <c r="Y508" s="53">
        <f>IFERROR(IF(X508="",0,CEILING((X508/$H508),1)*$H508),"")</f>
        <v>0</v>
      </c>
      <c r="Z508" s="39" t="str">
        <f>IFERROR(IF(Y508=0,"",ROUNDUP(Y508/H508,0)*0.00651),"")</f>
        <v/>
      </c>
      <c r="AA508" s="65" t="s">
        <v>46</v>
      </c>
      <c r="AB508" s="66" t="s">
        <v>46</v>
      </c>
      <c r="AC508" s="599" t="s">
        <v>822</v>
      </c>
      <c r="AG508" s="75"/>
      <c r="AJ508" s="79" t="s">
        <v>46</v>
      </c>
      <c r="AK508" s="79">
        <v>0</v>
      </c>
      <c r="BB508" s="600" t="s">
        <v>67</v>
      </c>
      <c r="BM508" s="75">
        <f>IFERROR(X508*I508/H508,"0")</f>
        <v>0</v>
      </c>
      <c r="BN508" s="75">
        <f>IFERROR(Y508*I508/H508,"0")</f>
        <v>0</v>
      </c>
      <c r="BO508" s="75">
        <f>IFERROR(1/J508*(X508/H508),"0")</f>
        <v>0</v>
      </c>
      <c r="BP508" s="75">
        <f>IFERROR(1/J508*(Y508/H508),"0")</f>
        <v>0</v>
      </c>
    </row>
    <row r="509" spans="1:68" ht="16.5" customHeight="1" x14ac:dyDescent="0.25">
      <c r="A509" s="60" t="s">
        <v>825</v>
      </c>
      <c r="B509" s="60" t="s">
        <v>826</v>
      </c>
      <c r="C509" s="34">
        <v>4301020385</v>
      </c>
      <c r="D509" s="702">
        <v>4680115880054</v>
      </c>
      <c r="E509" s="702"/>
      <c r="F509" s="59">
        <v>0.6</v>
      </c>
      <c r="G509" s="35">
        <v>8</v>
      </c>
      <c r="H509" s="59">
        <v>4.8</v>
      </c>
      <c r="I509" s="59">
        <v>6.91</v>
      </c>
      <c r="J509" s="35">
        <v>132</v>
      </c>
      <c r="K509" s="35" t="s">
        <v>140</v>
      </c>
      <c r="L509" s="35" t="s">
        <v>46</v>
      </c>
      <c r="M509" s="36" t="s">
        <v>132</v>
      </c>
      <c r="N509" s="36"/>
      <c r="O509" s="35">
        <v>70</v>
      </c>
      <c r="P509" s="970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09" s="704"/>
      <c r="R509" s="704"/>
      <c r="S509" s="704"/>
      <c r="T509" s="705"/>
      <c r="U509" s="37" t="s">
        <v>46</v>
      </c>
      <c r="V509" s="37" t="s">
        <v>46</v>
      </c>
      <c r="W509" s="38" t="s">
        <v>0</v>
      </c>
      <c r="X509" s="56">
        <v>0</v>
      </c>
      <c r="Y509" s="53">
        <f>IFERROR(IF(X509="",0,CEILING((X509/$H509),1)*$H509),"")</f>
        <v>0</v>
      </c>
      <c r="Z509" s="39" t="str">
        <f>IFERROR(IF(Y509=0,"",ROUNDUP(Y509/H509,0)*0.00902),"")</f>
        <v/>
      </c>
      <c r="AA509" s="65" t="s">
        <v>46</v>
      </c>
      <c r="AB509" s="66" t="s">
        <v>46</v>
      </c>
      <c r="AC509" s="601" t="s">
        <v>822</v>
      </c>
      <c r="AG509" s="75"/>
      <c r="AJ509" s="79" t="s">
        <v>46</v>
      </c>
      <c r="AK509" s="79">
        <v>0</v>
      </c>
      <c r="BB509" s="602" t="s">
        <v>67</v>
      </c>
      <c r="BM509" s="75">
        <f>IFERROR(X509*I509/H509,"0")</f>
        <v>0</v>
      </c>
      <c r="BN509" s="75">
        <f>IFERROR(Y509*I509/H509,"0")</f>
        <v>0</v>
      </c>
      <c r="BO509" s="75">
        <f>IFERROR(1/J509*(X509/H509),"0")</f>
        <v>0</v>
      </c>
      <c r="BP509" s="75">
        <f>IFERROR(1/J509*(Y509/H509),"0")</f>
        <v>0</v>
      </c>
    </row>
    <row r="510" spans="1:68" x14ac:dyDescent="0.2">
      <c r="A510" s="710"/>
      <c r="B510" s="710"/>
      <c r="C510" s="710"/>
      <c r="D510" s="710"/>
      <c r="E510" s="710"/>
      <c r="F510" s="710"/>
      <c r="G510" s="710"/>
      <c r="H510" s="710"/>
      <c r="I510" s="710"/>
      <c r="J510" s="710"/>
      <c r="K510" s="710"/>
      <c r="L510" s="710"/>
      <c r="M510" s="710"/>
      <c r="N510" s="710"/>
      <c r="O510" s="711"/>
      <c r="P510" s="707" t="s">
        <v>40</v>
      </c>
      <c r="Q510" s="708"/>
      <c r="R510" s="708"/>
      <c r="S510" s="708"/>
      <c r="T510" s="708"/>
      <c r="U510" s="708"/>
      <c r="V510" s="709"/>
      <c r="W510" s="40" t="s">
        <v>39</v>
      </c>
      <c r="X510" s="41">
        <f>IFERROR(X507/H507,"0")+IFERROR(X508/H508,"0")+IFERROR(X509/H509,"0")</f>
        <v>0</v>
      </c>
      <c r="Y510" s="41">
        <f>IFERROR(Y507/H507,"0")+IFERROR(Y508/H508,"0")+IFERROR(Y509/H509,"0")</f>
        <v>0</v>
      </c>
      <c r="Z510" s="41">
        <f>IFERROR(IF(Z507="",0,Z507),"0")+IFERROR(IF(Z508="",0,Z508),"0")+IFERROR(IF(Z509="",0,Z509),"0")</f>
        <v>0</v>
      </c>
      <c r="AA510" s="64"/>
      <c r="AB510" s="64"/>
      <c r="AC510" s="64"/>
    </row>
    <row r="511" spans="1:68" x14ac:dyDescent="0.2">
      <c r="A511" s="710"/>
      <c r="B511" s="710"/>
      <c r="C511" s="710"/>
      <c r="D511" s="710"/>
      <c r="E511" s="710"/>
      <c r="F511" s="710"/>
      <c r="G511" s="710"/>
      <c r="H511" s="710"/>
      <c r="I511" s="710"/>
      <c r="J511" s="710"/>
      <c r="K511" s="710"/>
      <c r="L511" s="710"/>
      <c r="M511" s="710"/>
      <c r="N511" s="710"/>
      <c r="O511" s="711"/>
      <c r="P511" s="707" t="s">
        <v>40</v>
      </c>
      <c r="Q511" s="708"/>
      <c r="R511" s="708"/>
      <c r="S511" s="708"/>
      <c r="T511" s="708"/>
      <c r="U511" s="708"/>
      <c r="V511" s="709"/>
      <c r="W511" s="40" t="s">
        <v>0</v>
      </c>
      <c r="X511" s="41">
        <f>IFERROR(SUM(X507:X509),"0")</f>
        <v>0</v>
      </c>
      <c r="Y511" s="41">
        <f>IFERROR(SUM(Y507:Y509),"0")</f>
        <v>0</v>
      </c>
      <c r="Z511" s="40"/>
      <c r="AA511" s="64"/>
      <c r="AB511" s="64"/>
      <c r="AC511" s="64"/>
    </row>
    <row r="512" spans="1:68" ht="14.25" customHeight="1" x14ac:dyDescent="0.25">
      <c r="A512" s="701" t="s">
        <v>77</v>
      </c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  <c r="AA512" s="63"/>
      <c r="AB512" s="63"/>
      <c r="AC512" s="63"/>
    </row>
    <row r="513" spans="1:68" ht="27" customHeight="1" x14ac:dyDescent="0.25">
      <c r="A513" s="60" t="s">
        <v>827</v>
      </c>
      <c r="B513" s="60" t="s">
        <v>828</v>
      </c>
      <c r="C513" s="34">
        <v>4301031349</v>
      </c>
      <c r="D513" s="702">
        <v>4680115883116</v>
      </c>
      <c r="E513" s="702"/>
      <c r="F513" s="59">
        <v>0.88</v>
      </c>
      <c r="G513" s="35">
        <v>6</v>
      </c>
      <c r="H513" s="59">
        <v>5.28</v>
      </c>
      <c r="I513" s="59">
        <v>5.63</v>
      </c>
      <c r="J513" s="35">
        <v>104</v>
      </c>
      <c r="K513" s="35" t="s">
        <v>133</v>
      </c>
      <c r="L513" s="35" t="s">
        <v>46</v>
      </c>
      <c r="M513" s="36" t="s">
        <v>132</v>
      </c>
      <c r="N513" s="36"/>
      <c r="O513" s="35">
        <v>70</v>
      </c>
      <c r="P513" s="971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13" s="704"/>
      <c r="R513" s="704"/>
      <c r="S513" s="704"/>
      <c r="T513" s="705"/>
      <c r="U513" s="37" t="s">
        <v>46</v>
      </c>
      <c r="V513" s="37" t="s">
        <v>46</v>
      </c>
      <c r="W513" s="38" t="s">
        <v>0</v>
      </c>
      <c r="X513" s="56">
        <v>0</v>
      </c>
      <c r="Y513" s="53">
        <f t="shared" ref="Y513:Y519" si="63">IFERROR(IF(X513="",0,CEILING((X513/$H513),1)*$H513),"")</f>
        <v>0</v>
      </c>
      <c r="Z513" s="39" t="str">
        <f>IFERROR(IF(Y513=0,"",ROUNDUP(Y513/H513,0)*0.01196),"")</f>
        <v/>
      </c>
      <c r="AA513" s="65" t="s">
        <v>46</v>
      </c>
      <c r="AB513" s="66" t="s">
        <v>46</v>
      </c>
      <c r="AC513" s="603" t="s">
        <v>829</v>
      </c>
      <c r="AG513" s="75"/>
      <c r="AJ513" s="79" t="s">
        <v>46</v>
      </c>
      <c r="AK513" s="79">
        <v>0</v>
      </c>
      <c r="BB513" s="604" t="s">
        <v>67</v>
      </c>
      <c r="BM513" s="75">
        <f t="shared" ref="BM513:BM519" si="64">IFERROR(X513*I513/H513,"0")</f>
        <v>0</v>
      </c>
      <c r="BN513" s="75">
        <f t="shared" ref="BN513:BN519" si="65">IFERROR(Y513*I513/H513,"0")</f>
        <v>0</v>
      </c>
      <c r="BO513" s="75">
        <f t="shared" ref="BO513:BO519" si="66">IFERROR(1/J513*(X513/H513),"0")</f>
        <v>0</v>
      </c>
      <c r="BP513" s="75">
        <f t="shared" ref="BP513:BP519" si="67">IFERROR(1/J513*(Y513/H513),"0")</f>
        <v>0</v>
      </c>
    </row>
    <row r="514" spans="1:68" ht="27" customHeight="1" x14ac:dyDescent="0.25">
      <c r="A514" s="60" t="s">
        <v>830</v>
      </c>
      <c r="B514" s="60" t="s">
        <v>831</v>
      </c>
      <c r="C514" s="34">
        <v>4301031350</v>
      </c>
      <c r="D514" s="702">
        <v>4680115883093</v>
      </c>
      <c r="E514" s="702"/>
      <c r="F514" s="59">
        <v>0.88</v>
      </c>
      <c r="G514" s="35">
        <v>6</v>
      </c>
      <c r="H514" s="59">
        <v>5.28</v>
      </c>
      <c r="I514" s="59">
        <v>5.63</v>
      </c>
      <c r="J514" s="35">
        <v>104</v>
      </c>
      <c r="K514" s="35" t="s">
        <v>133</v>
      </c>
      <c r="L514" s="35" t="s">
        <v>46</v>
      </c>
      <c r="M514" s="36" t="s">
        <v>81</v>
      </c>
      <c r="N514" s="36"/>
      <c r="O514" s="35">
        <v>70</v>
      </c>
      <c r="P514" s="972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14" s="704"/>
      <c r="R514" s="704"/>
      <c r="S514" s="704"/>
      <c r="T514" s="705"/>
      <c r="U514" s="37" t="s">
        <v>46</v>
      </c>
      <c r="V514" s="37" t="s">
        <v>46</v>
      </c>
      <c r="W514" s="38" t="s">
        <v>0</v>
      </c>
      <c r="X514" s="56">
        <v>0</v>
      </c>
      <c r="Y514" s="53">
        <f t="shared" si="63"/>
        <v>0</v>
      </c>
      <c r="Z514" s="39" t="str">
        <f>IFERROR(IF(Y514=0,"",ROUNDUP(Y514/H514,0)*0.01196),"")</f>
        <v/>
      </c>
      <c r="AA514" s="65" t="s">
        <v>46</v>
      </c>
      <c r="AB514" s="66" t="s">
        <v>46</v>
      </c>
      <c r="AC514" s="605" t="s">
        <v>832</v>
      </c>
      <c r="AG514" s="75"/>
      <c r="AJ514" s="79" t="s">
        <v>46</v>
      </c>
      <c r="AK514" s="79">
        <v>0</v>
      </c>
      <c r="BB514" s="606" t="s">
        <v>67</v>
      </c>
      <c r="BM514" s="75">
        <f t="shared" si="64"/>
        <v>0</v>
      </c>
      <c r="BN514" s="75">
        <f t="shared" si="65"/>
        <v>0</v>
      </c>
      <c r="BO514" s="75">
        <f t="shared" si="66"/>
        <v>0</v>
      </c>
      <c r="BP514" s="75">
        <f t="shared" si="67"/>
        <v>0</v>
      </c>
    </row>
    <row r="515" spans="1:68" ht="27" customHeight="1" x14ac:dyDescent="0.25">
      <c r="A515" s="60" t="s">
        <v>833</v>
      </c>
      <c r="B515" s="60" t="s">
        <v>834</v>
      </c>
      <c r="C515" s="34">
        <v>4301031353</v>
      </c>
      <c r="D515" s="702">
        <v>4680115883109</v>
      </c>
      <c r="E515" s="702"/>
      <c r="F515" s="59">
        <v>0.88</v>
      </c>
      <c r="G515" s="35">
        <v>6</v>
      </c>
      <c r="H515" s="59">
        <v>5.28</v>
      </c>
      <c r="I515" s="59">
        <v>5.63</v>
      </c>
      <c r="J515" s="35">
        <v>104</v>
      </c>
      <c r="K515" s="35" t="s">
        <v>133</v>
      </c>
      <c r="L515" s="35" t="s">
        <v>46</v>
      </c>
      <c r="M515" s="36" t="s">
        <v>81</v>
      </c>
      <c r="N515" s="36"/>
      <c r="O515" s="35">
        <v>70</v>
      </c>
      <c r="P515" s="973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15" s="704"/>
      <c r="R515" s="704"/>
      <c r="S515" s="704"/>
      <c r="T515" s="705"/>
      <c r="U515" s="37" t="s">
        <v>46</v>
      </c>
      <c r="V515" s="37" t="s">
        <v>46</v>
      </c>
      <c r="W515" s="38" t="s">
        <v>0</v>
      </c>
      <c r="X515" s="56">
        <v>0</v>
      </c>
      <c r="Y515" s="53">
        <f t="shared" si="63"/>
        <v>0</v>
      </c>
      <c r="Z515" s="39" t="str">
        <f>IFERROR(IF(Y515=0,"",ROUNDUP(Y515/H515,0)*0.01196),"")</f>
        <v/>
      </c>
      <c r="AA515" s="65" t="s">
        <v>46</v>
      </c>
      <c r="AB515" s="66" t="s">
        <v>46</v>
      </c>
      <c r="AC515" s="607" t="s">
        <v>835</v>
      </c>
      <c r="AG515" s="75"/>
      <c r="AJ515" s="79" t="s">
        <v>46</v>
      </c>
      <c r="AK515" s="79">
        <v>0</v>
      </c>
      <c r="BB515" s="608" t="s">
        <v>67</v>
      </c>
      <c r="BM515" s="75">
        <f t="shared" si="64"/>
        <v>0</v>
      </c>
      <c r="BN515" s="75">
        <f t="shared" si="65"/>
        <v>0</v>
      </c>
      <c r="BO515" s="75">
        <f t="shared" si="66"/>
        <v>0</v>
      </c>
      <c r="BP515" s="75">
        <f t="shared" si="67"/>
        <v>0</v>
      </c>
    </row>
    <row r="516" spans="1:68" ht="27" customHeight="1" x14ac:dyDescent="0.25">
      <c r="A516" s="60" t="s">
        <v>836</v>
      </c>
      <c r="B516" s="60" t="s">
        <v>837</v>
      </c>
      <c r="C516" s="34">
        <v>4301031419</v>
      </c>
      <c r="D516" s="702">
        <v>4680115882072</v>
      </c>
      <c r="E516" s="702"/>
      <c r="F516" s="59">
        <v>0.6</v>
      </c>
      <c r="G516" s="35">
        <v>8</v>
      </c>
      <c r="H516" s="59">
        <v>4.8</v>
      </c>
      <c r="I516" s="59">
        <v>6.91</v>
      </c>
      <c r="J516" s="35">
        <v>132</v>
      </c>
      <c r="K516" s="35" t="s">
        <v>140</v>
      </c>
      <c r="L516" s="35" t="s">
        <v>46</v>
      </c>
      <c r="M516" s="36" t="s">
        <v>132</v>
      </c>
      <c r="N516" s="36"/>
      <c r="O516" s="35">
        <v>70</v>
      </c>
      <c r="P516" s="974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16" s="704"/>
      <c r="R516" s="704"/>
      <c r="S516" s="704"/>
      <c r="T516" s="705"/>
      <c r="U516" s="37" t="s">
        <v>46</v>
      </c>
      <c r="V516" s="37" t="s">
        <v>46</v>
      </c>
      <c r="W516" s="38" t="s">
        <v>0</v>
      </c>
      <c r="X516" s="56">
        <v>0</v>
      </c>
      <c r="Y516" s="53">
        <f t="shared" si="63"/>
        <v>0</v>
      </c>
      <c r="Z516" s="39" t="str">
        <f>IFERROR(IF(Y516=0,"",ROUNDUP(Y516/H516,0)*0.00902),"")</f>
        <v/>
      </c>
      <c r="AA516" s="65" t="s">
        <v>46</v>
      </c>
      <c r="AB516" s="66" t="s">
        <v>46</v>
      </c>
      <c r="AC516" s="609" t="s">
        <v>829</v>
      </c>
      <c r="AG516" s="75"/>
      <c r="AJ516" s="79" t="s">
        <v>46</v>
      </c>
      <c r="AK516" s="79">
        <v>0</v>
      </c>
      <c r="BB516" s="610" t="s">
        <v>67</v>
      </c>
      <c r="BM516" s="75">
        <f t="shared" si="64"/>
        <v>0</v>
      </c>
      <c r="BN516" s="75">
        <f t="shared" si="65"/>
        <v>0</v>
      </c>
      <c r="BO516" s="75">
        <f t="shared" si="66"/>
        <v>0</v>
      </c>
      <c r="BP516" s="75">
        <f t="shared" si="67"/>
        <v>0</v>
      </c>
    </row>
    <row r="517" spans="1:68" ht="27" customHeight="1" x14ac:dyDescent="0.25">
      <c r="A517" s="60" t="s">
        <v>838</v>
      </c>
      <c r="B517" s="60" t="s">
        <v>839</v>
      </c>
      <c r="C517" s="34">
        <v>4301031352</v>
      </c>
      <c r="D517" s="702">
        <v>4680115882102</v>
      </c>
      <c r="E517" s="702"/>
      <c r="F517" s="59">
        <v>0.6</v>
      </c>
      <c r="G517" s="35">
        <v>6</v>
      </c>
      <c r="H517" s="59">
        <v>3.6</v>
      </c>
      <c r="I517" s="59">
        <v>3.79</v>
      </c>
      <c r="J517" s="35">
        <v>132</v>
      </c>
      <c r="K517" s="35" t="s">
        <v>140</v>
      </c>
      <c r="L517" s="35" t="s">
        <v>46</v>
      </c>
      <c r="M517" s="36" t="s">
        <v>81</v>
      </c>
      <c r="N517" s="36"/>
      <c r="O517" s="35">
        <v>70</v>
      </c>
      <c r="P517" s="975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17" s="704"/>
      <c r="R517" s="704"/>
      <c r="S517" s="704"/>
      <c r="T517" s="705"/>
      <c r="U517" s="37" t="s">
        <v>46</v>
      </c>
      <c r="V517" s="37" t="s">
        <v>46</v>
      </c>
      <c r="W517" s="38" t="s">
        <v>0</v>
      </c>
      <c r="X517" s="56">
        <v>0</v>
      </c>
      <c r="Y517" s="53">
        <f t="shared" si="63"/>
        <v>0</v>
      </c>
      <c r="Z517" s="39" t="str">
        <f>IFERROR(IF(Y517=0,"",ROUNDUP(Y517/H517,0)*0.00902),"")</f>
        <v/>
      </c>
      <c r="AA517" s="65" t="s">
        <v>46</v>
      </c>
      <c r="AB517" s="66" t="s">
        <v>46</v>
      </c>
      <c r="AC517" s="611" t="s">
        <v>832</v>
      </c>
      <c r="AG517" s="75"/>
      <c r="AJ517" s="79" t="s">
        <v>46</v>
      </c>
      <c r="AK517" s="79">
        <v>0</v>
      </c>
      <c r="BB517" s="612" t="s">
        <v>67</v>
      </c>
      <c r="BM517" s="75">
        <f t="shared" si="64"/>
        <v>0</v>
      </c>
      <c r="BN517" s="75">
        <f t="shared" si="65"/>
        <v>0</v>
      </c>
      <c r="BO517" s="75">
        <f t="shared" si="66"/>
        <v>0</v>
      </c>
      <c r="BP517" s="75">
        <f t="shared" si="67"/>
        <v>0</v>
      </c>
    </row>
    <row r="518" spans="1:68" ht="27" customHeight="1" x14ac:dyDescent="0.25">
      <c r="A518" s="60" t="s">
        <v>838</v>
      </c>
      <c r="B518" s="60" t="s">
        <v>840</v>
      </c>
      <c r="C518" s="34">
        <v>4301031418</v>
      </c>
      <c r="D518" s="702">
        <v>4680115882102</v>
      </c>
      <c r="E518" s="702"/>
      <c r="F518" s="59">
        <v>0.6</v>
      </c>
      <c r="G518" s="35">
        <v>8</v>
      </c>
      <c r="H518" s="59">
        <v>4.8</v>
      </c>
      <c r="I518" s="59">
        <v>6.67</v>
      </c>
      <c r="J518" s="35">
        <v>132</v>
      </c>
      <c r="K518" s="35" t="s">
        <v>140</v>
      </c>
      <c r="L518" s="35" t="s">
        <v>46</v>
      </c>
      <c r="M518" s="36" t="s">
        <v>81</v>
      </c>
      <c r="N518" s="36"/>
      <c r="O518" s="35">
        <v>70</v>
      </c>
      <c r="P518" s="976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18" s="704"/>
      <c r="R518" s="704"/>
      <c r="S518" s="704"/>
      <c r="T518" s="705"/>
      <c r="U518" s="37" t="s">
        <v>46</v>
      </c>
      <c r="V518" s="37" t="s">
        <v>46</v>
      </c>
      <c r="W518" s="38" t="s">
        <v>0</v>
      </c>
      <c r="X518" s="56">
        <v>0</v>
      </c>
      <c r="Y518" s="53">
        <f t="shared" si="63"/>
        <v>0</v>
      </c>
      <c r="Z518" s="39" t="str">
        <f>IFERROR(IF(Y518=0,"",ROUNDUP(Y518/H518,0)*0.00902),"")</f>
        <v/>
      </c>
      <c r="AA518" s="65" t="s">
        <v>46</v>
      </c>
      <c r="AB518" s="66" t="s">
        <v>46</v>
      </c>
      <c r="AC518" s="613" t="s">
        <v>832</v>
      </c>
      <c r="AG518" s="75"/>
      <c r="AJ518" s="79" t="s">
        <v>46</v>
      </c>
      <c r="AK518" s="79">
        <v>0</v>
      </c>
      <c r="BB518" s="614" t="s">
        <v>67</v>
      </c>
      <c r="BM518" s="75">
        <f t="shared" si="64"/>
        <v>0</v>
      </c>
      <c r="BN518" s="75">
        <f t="shared" si="65"/>
        <v>0</v>
      </c>
      <c r="BO518" s="75">
        <f t="shared" si="66"/>
        <v>0</v>
      </c>
      <c r="BP518" s="75">
        <f t="shared" si="67"/>
        <v>0</v>
      </c>
    </row>
    <row r="519" spans="1:68" ht="27" customHeight="1" x14ac:dyDescent="0.25">
      <c r="A519" s="60" t="s">
        <v>841</v>
      </c>
      <c r="B519" s="60" t="s">
        <v>842</v>
      </c>
      <c r="C519" s="34">
        <v>4301031417</v>
      </c>
      <c r="D519" s="702">
        <v>4680115882096</v>
      </c>
      <c r="E519" s="702"/>
      <c r="F519" s="59">
        <v>0.6</v>
      </c>
      <c r="G519" s="35">
        <v>8</v>
      </c>
      <c r="H519" s="59">
        <v>4.8</v>
      </c>
      <c r="I519" s="59">
        <v>6.67</v>
      </c>
      <c r="J519" s="35">
        <v>132</v>
      </c>
      <c r="K519" s="35" t="s">
        <v>140</v>
      </c>
      <c r="L519" s="35" t="s">
        <v>46</v>
      </c>
      <c r="M519" s="36" t="s">
        <v>81</v>
      </c>
      <c r="N519" s="36"/>
      <c r="O519" s="35">
        <v>70</v>
      </c>
      <c r="P519" s="977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19" s="704"/>
      <c r="R519" s="704"/>
      <c r="S519" s="704"/>
      <c r="T519" s="705"/>
      <c r="U519" s="37" t="s">
        <v>46</v>
      </c>
      <c r="V519" s="37" t="s">
        <v>46</v>
      </c>
      <c r="W519" s="38" t="s">
        <v>0</v>
      </c>
      <c r="X519" s="56">
        <v>0</v>
      </c>
      <c r="Y519" s="53">
        <f t="shared" si="63"/>
        <v>0</v>
      </c>
      <c r="Z519" s="39" t="str">
        <f>IFERROR(IF(Y519=0,"",ROUNDUP(Y519/H519,0)*0.00902),"")</f>
        <v/>
      </c>
      <c r="AA519" s="65" t="s">
        <v>46</v>
      </c>
      <c r="AB519" s="66" t="s">
        <v>46</v>
      </c>
      <c r="AC519" s="615" t="s">
        <v>835</v>
      </c>
      <c r="AG519" s="75"/>
      <c r="AJ519" s="79" t="s">
        <v>46</v>
      </c>
      <c r="AK519" s="79">
        <v>0</v>
      </c>
      <c r="BB519" s="616" t="s">
        <v>67</v>
      </c>
      <c r="BM519" s="75">
        <f t="shared" si="64"/>
        <v>0</v>
      </c>
      <c r="BN519" s="75">
        <f t="shared" si="65"/>
        <v>0</v>
      </c>
      <c r="BO519" s="75">
        <f t="shared" si="66"/>
        <v>0</v>
      </c>
      <c r="BP519" s="75">
        <f t="shared" si="67"/>
        <v>0</v>
      </c>
    </row>
    <row r="520" spans="1:68" x14ac:dyDescent="0.2">
      <c r="A520" s="710"/>
      <c r="B520" s="710"/>
      <c r="C520" s="710"/>
      <c r="D520" s="710"/>
      <c r="E520" s="710"/>
      <c r="F520" s="710"/>
      <c r="G520" s="710"/>
      <c r="H520" s="710"/>
      <c r="I520" s="710"/>
      <c r="J520" s="710"/>
      <c r="K520" s="710"/>
      <c r="L520" s="710"/>
      <c r="M520" s="710"/>
      <c r="N520" s="710"/>
      <c r="O520" s="711"/>
      <c r="P520" s="707" t="s">
        <v>40</v>
      </c>
      <c r="Q520" s="708"/>
      <c r="R520" s="708"/>
      <c r="S520" s="708"/>
      <c r="T520" s="708"/>
      <c r="U520" s="708"/>
      <c r="V520" s="709"/>
      <c r="W520" s="40" t="s">
        <v>39</v>
      </c>
      <c r="X520" s="41">
        <f>IFERROR(X513/H513,"0")+IFERROR(X514/H514,"0")+IFERROR(X515/H515,"0")+IFERROR(X516/H516,"0")+IFERROR(X517/H517,"0")+IFERROR(X518/H518,"0")+IFERROR(X519/H519,"0")</f>
        <v>0</v>
      </c>
      <c r="Y520" s="41">
        <f>IFERROR(Y513/H513,"0")+IFERROR(Y514/H514,"0")+IFERROR(Y515/H515,"0")+IFERROR(Y516/H516,"0")+IFERROR(Y517/H517,"0")+IFERROR(Y518/H518,"0")+IFERROR(Y519/H519,"0")</f>
        <v>0</v>
      </c>
      <c r="Z520" s="41">
        <f>IFERROR(IF(Z513="",0,Z513),"0")+IFERROR(IF(Z514="",0,Z514),"0")+IFERROR(IF(Z515="",0,Z515),"0")+IFERROR(IF(Z516="",0,Z516),"0")+IFERROR(IF(Z517="",0,Z517),"0")+IFERROR(IF(Z518="",0,Z518),"0")+IFERROR(IF(Z519="",0,Z519),"0")</f>
        <v>0</v>
      </c>
      <c r="AA520" s="64"/>
      <c r="AB520" s="64"/>
      <c r="AC520" s="64"/>
    </row>
    <row r="521" spans="1:68" x14ac:dyDescent="0.2">
      <c r="A521" s="710"/>
      <c r="B521" s="710"/>
      <c r="C521" s="710"/>
      <c r="D521" s="710"/>
      <c r="E521" s="710"/>
      <c r="F521" s="710"/>
      <c r="G521" s="710"/>
      <c r="H521" s="710"/>
      <c r="I521" s="710"/>
      <c r="J521" s="710"/>
      <c r="K521" s="710"/>
      <c r="L521" s="710"/>
      <c r="M521" s="710"/>
      <c r="N521" s="710"/>
      <c r="O521" s="711"/>
      <c r="P521" s="707" t="s">
        <v>40</v>
      </c>
      <c r="Q521" s="708"/>
      <c r="R521" s="708"/>
      <c r="S521" s="708"/>
      <c r="T521" s="708"/>
      <c r="U521" s="708"/>
      <c r="V521" s="709"/>
      <c r="W521" s="40" t="s">
        <v>0</v>
      </c>
      <c r="X521" s="41">
        <f>IFERROR(SUM(X513:X519),"0")</f>
        <v>0</v>
      </c>
      <c r="Y521" s="41">
        <f>IFERROR(SUM(Y513:Y519),"0")</f>
        <v>0</v>
      </c>
      <c r="Z521" s="40"/>
      <c r="AA521" s="64"/>
      <c r="AB521" s="64"/>
      <c r="AC521" s="64"/>
    </row>
    <row r="522" spans="1:68" ht="27.75" customHeight="1" x14ac:dyDescent="0.2">
      <c r="A522" s="699" t="s">
        <v>843</v>
      </c>
      <c r="B522" s="699"/>
      <c r="C522" s="699"/>
      <c r="D522" s="699"/>
      <c r="E522" s="699"/>
      <c r="F522" s="699"/>
      <c r="G522" s="699"/>
      <c r="H522" s="699"/>
      <c r="I522" s="699"/>
      <c r="J522" s="699"/>
      <c r="K522" s="699"/>
      <c r="L522" s="699"/>
      <c r="M522" s="699"/>
      <c r="N522" s="699"/>
      <c r="O522" s="699"/>
      <c r="P522" s="699"/>
      <c r="Q522" s="699"/>
      <c r="R522" s="699"/>
      <c r="S522" s="699"/>
      <c r="T522" s="699"/>
      <c r="U522" s="699"/>
      <c r="V522" s="699"/>
      <c r="W522" s="699"/>
      <c r="X522" s="699"/>
      <c r="Y522" s="699"/>
      <c r="Z522" s="699"/>
      <c r="AA522" s="52"/>
      <c r="AB522" s="52"/>
      <c r="AC522" s="52"/>
    </row>
    <row r="523" spans="1:68" ht="16.5" customHeight="1" x14ac:dyDescent="0.25">
      <c r="A523" s="700" t="s">
        <v>843</v>
      </c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  <c r="AA523" s="62"/>
      <c r="AB523" s="62"/>
      <c r="AC523" s="62"/>
    </row>
    <row r="524" spans="1:68" ht="14.25" customHeight="1" x14ac:dyDescent="0.25">
      <c r="A524" s="701" t="s">
        <v>128</v>
      </c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  <c r="AA524" s="63"/>
      <c r="AB524" s="63"/>
      <c r="AC524" s="63"/>
    </row>
    <row r="525" spans="1:68" ht="27" customHeight="1" x14ac:dyDescent="0.25">
      <c r="A525" s="60" t="s">
        <v>844</v>
      </c>
      <c r="B525" s="60" t="s">
        <v>845</v>
      </c>
      <c r="C525" s="34">
        <v>4301011584</v>
      </c>
      <c r="D525" s="702">
        <v>4640242180564</v>
      </c>
      <c r="E525" s="702"/>
      <c r="F525" s="59">
        <v>1.5</v>
      </c>
      <c r="G525" s="35">
        <v>8</v>
      </c>
      <c r="H525" s="59">
        <v>12</v>
      </c>
      <c r="I525" s="59">
        <v>12.41</v>
      </c>
      <c r="J525" s="35">
        <v>64</v>
      </c>
      <c r="K525" s="35" t="s">
        <v>133</v>
      </c>
      <c r="L525" s="35" t="s">
        <v>46</v>
      </c>
      <c r="M525" s="36" t="s">
        <v>132</v>
      </c>
      <c r="N525" s="36"/>
      <c r="O525" s="35">
        <v>50</v>
      </c>
      <c r="P525" s="978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25" s="704"/>
      <c r="R525" s="704"/>
      <c r="S525" s="704"/>
      <c r="T525" s="705"/>
      <c r="U525" s="37" t="s">
        <v>46</v>
      </c>
      <c r="V525" s="37" t="s">
        <v>46</v>
      </c>
      <c r="W525" s="38" t="s">
        <v>0</v>
      </c>
      <c r="X525" s="56">
        <v>0</v>
      </c>
      <c r="Y525" s="53">
        <f>IFERROR(IF(X525="",0,CEILING((X525/$H525),1)*$H525),"")</f>
        <v>0</v>
      </c>
      <c r="Z525" s="39" t="str">
        <f>IFERROR(IF(Y525=0,"",ROUNDUP(Y525/H525,0)*0.01898),"")</f>
        <v/>
      </c>
      <c r="AA525" s="65" t="s">
        <v>46</v>
      </c>
      <c r="AB525" s="66" t="s">
        <v>46</v>
      </c>
      <c r="AC525" s="617" t="s">
        <v>846</v>
      </c>
      <c r="AG525" s="75"/>
      <c r="AJ525" s="79" t="s">
        <v>46</v>
      </c>
      <c r="AK525" s="79">
        <v>0</v>
      </c>
      <c r="BB525" s="618" t="s">
        <v>67</v>
      </c>
      <c r="BM525" s="75">
        <f>IFERROR(X525*I525/H525,"0")</f>
        <v>0</v>
      </c>
      <c r="BN525" s="75">
        <f>IFERROR(Y525*I525/H525,"0")</f>
        <v>0</v>
      </c>
      <c r="BO525" s="75">
        <f>IFERROR(1/J525*(X525/H525),"0")</f>
        <v>0</v>
      </c>
      <c r="BP525" s="75">
        <f>IFERROR(1/J525*(Y525/H525),"0")</f>
        <v>0</v>
      </c>
    </row>
    <row r="526" spans="1:68" x14ac:dyDescent="0.2">
      <c r="A526" s="710"/>
      <c r="B526" s="710"/>
      <c r="C526" s="710"/>
      <c r="D526" s="710"/>
      <c r="E526" s="710"/>
      <c r="F526" s="710"/>
      <c r="G526" s="710"/>
      <c r="H526" s="710"/>
      <c r="I526" s="710"/>
      <c r="J526" s="710"/>
      <c r="K526" s="710"/>
      <c r="L526" s="710"/>
      <c r="M526" s="710"/>
      <c r="N526" s="710"/>
      <c r="O526" s="711"/>
      <c r="P526" s="707" t="s">
        <v>40</v>
      </c>
      <c r="Q526" s="708"/>
      <c r="R526" s="708"/>
      <c r="S526" s="708"/>
      <c r="T526" s="708"/>
      <c r="U526" s="708"/>
      <c r="V526" s="709"/>
      <c r="W526" s="40" t="s">
        <v>39</v>
      </c>
      <c r="X526" s="41">
        <f>IFERROR(X525/H525,"0")</f>
        <v>0</v>
      </c>
      <c r="Y526" s="41">
        <f>IFERROR(Y525/H525,"0")</f>
        <v>0</v>
      </c>
      <c r="Z526" s="41">
        <f>IFERROR(IF(Z525="",0,Z525),"0")</f>
        <v>0</v>
      </c>
      <c r="AA526" s="64"/>
      <c r="AB526" s="64"/>
      <c r="AC526" s="64"/>
    </row>
    <row r="527" spans="1:68" x14ac:dyDescent="0.2">
      <c r="A527" s="710"/>
      <c r="B527" s="710"/>
      <c r="C527" s="710"/>
      <c r="D527" s="710"/>
      <c r="E527" s="710"/>
      <c r="F527" s="710"/>
      <c r="G527" s="710"/>
      <c r="H527" s="710"/>
      <c r="I527" s="710"/>
      <c r="J527" s="710"/>
      <c r="K527" s="710"/>
      <c r="L527" s="710"/>
      <c r="M527" s="710"/>
      <c r="N527" s="710"/>
      <c r="O527" s="711"/>
      <c r="P527" s="707" t="s">
        <v>40</v>
      </c>
      <c r="Q527" s="708"/>
      <c r="R527" s="708"/>
      <c r="S527" s="708"/>
      <c r="T527" s="708"/>
      <c r="U527" s="708"/>
      <c r="V527" s="709"/>
      <c r="W527" s="40" t="s">
        <v>0</v>
      </c>
      <c r="X527" s="41">
        <f>IFERROR(SUM(X525:X525),"0")</f>
        <v>0</v>
      </c>
      <c r="Y527" s="41">
        <f>IFERROR(SUM(Y525:Y525),"0")</f>
        <v>0</v>
      </c>
      <c r="Z527" s="40"/>
      <c r="AA527" s="64"/>
      <c r="AB527" s="64"/>
      <c r="AC527" s="64"/>
    </row>
    <row r="528" spans="1:68" ht="14.25" customHeight="1" x14ac:dyDescent="0.25">
      <c r="A528" s="701" t="s">
        <v>164</v>
      </c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  <c r="AA528" s="63"/>
      <c r="AB528" s="63"/>
      <c r="AC528" s="63"/>
    </row>
    <row r="529" spans="1:68" ht="27" customHeight="1" x14ac:dyDescent="0.25">
      <c r="A529" s="60" t="s">
        <v>847</v>
      </c>
      <c r="B529" s="60" t="s">
        <v>848</v>
      </c>
      <c r="C529" s="34">
        <v>4301020400</v>
      </c>
      <c r="D529" s="702">
        <v>4640242180519</v>
      </c>
      <c r="E529" s="702"/>
      <c r="F529" s="59">
        <v>1.5</v>
      </c>
      <c r="G529" s="35">
        <v>8</v>
      </c>
      <c r="H529" s="59">
        <v>12</v>
      </c>
      <c r="I529" s="59">
        <v>12.41</v>
      </c>
      <c r="J529" s="35">
        <v>64</v>
      </c>
      <c r="K529" s="35" t="s">
        <v>133</v>
      </c>
      <c r="L529" s="35" t="s">
        <v>46</v>
      </c>
      <c r="M529" s="36" t="s">
        <v>132</v>
      </c>
      <c r="N529" s="36"/>
      <c r="O529" s="35">
        <v>50</v>
      </c>
      <c r="P529" s="979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529" s="704"/>
      <c r="R529" s="704"/>
      <c r="S529" s="704"/>
      <c r="T529" s="705"/>
      <c r="U529" s="37" t="s">
        <v>46</v>
      </c>
      <c r="V529" s="37" t="s">
        <v>46</v>
      </c>
      <c r="W529" s="38" t="s">
        <v>0</v>
      </c>
      <c r="X529" s="56">
        <v>0</v>
      </c>
      <c r="Y529" s="53">
        <f>IFERROR(IF(X529="",0,CEILING((X529/$H529),1)*$H529),"")</f>
        <v>0</v>
      </c>
      <c r="Z529" s="39" t="str">
        <f>IFERROR(IF(Y529=0,"",ROUNDUP(Y529/H529,0)*0.01898),"")</f>
        <v/>
      </c>
      <c r="AA529" s="65" t="s">
        <v>46</v>
      </c>
      <c r="AB529" s="66" t="s">
        <v>46</v>
      </c>
      <c r="AC529" s="619" t="s">
        <v>849</v>
      </c>
      <c r="AG529" s="75"/>
      <c r="AJ529" s="79" t="s">
        <v>46</v>
      </c>
      <c r="AK529" s="79">
        <v>0</v>
      </c>
      <c r="BB529" s="620" t="s">
        <v>67</v>
      </c>
      <c r="BM529" s="75">
        <f>IFERROR(X529*I529/H529,"0")</f>
        <v>0</v>
      </c>
      <c r="BN529" s="75">
        <f>IFERROR(Y529*I529/H529,"0")</f>
        <v>0</v>
      </c>
      <c r="BO529" s="75">
        <f>IFERROR(1/J529*(X529/H529),"0")</f>
        <v>0</v>
      </c>
      <c r="BP529" s="75">
        <f>IFERROR(1/J529*(Y529/H529),"0")</f>
        <v>0</v>
      </c>
    </row>
    <row r="530" spans="1:68" x14ac:dyDescent="0.2">
      <c r="A530" s="710"/>
      <c r="B530" s="710"/>
      <c r="C530" s="710"/>
      <c r="D530" s="710"/>
      <c r="E530" s="710"/>
      <c r="F530" s="710"/>
      <c r="G530" s="710"/>
      <c r="H530" s="710"/>
      <c r="I530" s="710"/>
      <c r="J530" s="710"/>
      <c r="K530" s="710"/>
      <c r="L530" s="710"/>
      <c r="M530" s="710"/>
      <c r="N530" s="710"/>
      <c r="O530" s="711"/>
      <c r="P530" s="707" t="s">
        <v>40</v>
      </c>
      <c r="Q530" s="708"/>
      <c r="R530" s="708"/>
      <c r="S530" s="708"/>
      <c r="T530" s="708"/>
      <c r="U530" s="708"/>
      <c r="V530" s="709"/>
      <c r="W530" s="40" t="s">
        <v>39</v>
      </c>
      <c r="X530" s="41">
        <f>IFERROR(X529/H529,"0")</f>
        <v>0</v>
      </c>
      <c r="Y530" s="41">
        <f>IFERROR(Y529/H529,"0")</f>
        <v>0</v>
      </c>
      <c r="Z530" s="41">
        <f>IFERROR(IF(Z529="",0,Z529),"0")</f>
        <v>0</v>
      </c>
      <c r="AA530" s="64"/>
      <c r="AB530" s="64"/>
      <c r="AC530" s="64"/>
    </row>
    <row r="531" spans="1:68" x14ac:dyDescent="0.2">
      <c r="A531" s="710"/>
      <c r="B531" s="710"/>
      <c r="C531" s="710"/>
      <c r="D531" s="710"/>
      <c r="E531" s="710"/>
      <c r="F531" s="710"/>
      <c r="G531" s="710"/>
      <c r="H531" s="710"/>
      <c r="I531" s="710"/>
      <c r="J531" s="710"/>
      <c r="K531" s="710"/>
      <c r="L531" s="710"/>
      <c r="M531" s="710"/>
      <c r="N531" s="710"/>
      <c r="O531" s="711"/>
      <c r="P531" s="707" t="s">
        <v>40</v>
      </c>
      <c r="Q531" s="708"/>
      <c r="R531" s="708"/>
      <c r="S531" s="708"/>
      <c r="T531" s="708"/>
      <c r="U531" s="708"/>
      <c r="V531" s="709"/>
      <c r="W531" s="40" t="s">
        <v>0</v>
      </c>
      <c r="X531" s="41">
        <f>IFERROR(SUM(X529:X529),"0")</f>
        <v>0</v>
      </c>
      <c r="Y531" s="41">
        <f>IFERROR(SUM(Y529:Y529),"0")</f>
        <v>0</v>
      </c>
      <c r="Z531" s="40"/>
      <c r="AA531" s="64"/>
      <c r="AB531" s="64"/>
      <c r="AC531" s="64"/>
    </row>
    <row r="532" spans="1:68" ht="14.25" customHeight="1" x14ac:dyDescent="0.25">
      <c r="A532" s="701" t="s">
        <v>77</v>
      </c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  <c r="AA532" s="63"/>
      <c r="AB532" s="63"/>
      <c r="AC532" s="63"/>
    </row>
    <row r="533" spans="1:68" ht="27" customHeight="1" x14ac:dyDescent="0.25">
      <c r="A533" s="60" t="s">
        <v>850</v>
      </c>
      <c r="B533" s="60" t="s">
        <v>851</v>
      </c>
      <c r="C533" s="34">
        <v>4301031500</v>
      </c>
      <c r="D533" s="702">
        <v>4640242180595</v>
      </c>
      <c r="E533" s="702"/>
      <c r="F533" s="59">
        <v>0.7</v>
      </c>
      <c r="G533" s="35">
        <v>6</v>
      </c>
      <c r="H533" s="59">
        <v>4.2</v>
      </c>
      <c r="I533" s="59">
        <v>4.45</v>
      </c>
      <c r="J533" s="35">
        <v>132</v>
      </c>
      <c r="K533" s="35" t="s">
        <v>140</v>
      </c>
      <c r="L533" s="35" t="s">
        <v>46</v>
      </c>
      <c r="M533" s="36" t="s">
        <v>81</v>
      </c>
      <c r="N533" s="36"/>
      <c r="O533" s="35">
        <v>40</v>
      </c>
      <c r="P533" s="980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33" s="704"/>
      <c r="R533" s="704"/>
      <c r="S533" s="704"/>
      <c r="T533" s="705"/>
      <c r="U533" s="37" t="s">
        <v>46</v>
      </c>
      <c r="V533" s="37" t="s">
        <v>46</v>
      </c>
      <c r="W533" s="38" t="s">
        <v>0</v>
      </c>
      <c r="X533" s="56">
        <v>0</v>
      </c>
      <c r="Y533" s="53">
        <f>IFERROR(IF(X533="",0,CEILING((X533/$H533),1)*$H533),"")</f>
        <v>0</v>
      </c>
      <c r="Z533" s="39" t="str">
        <f>IFERROR(IF(Y533=0,"",ROUNDUP(Y533/H533,0)*0.00902),"")</f>
        <v/>
      </c>
      <c r="AA533" s="65" t="s">
        <v>46</v>
      </c>
      <c r="AB533" s="66" t="s">
        <v>46</v>
      </c>
      <c r="AC533" s="621" t="s">
        <v>852</v>
      </c>
      <c r="AG533" s="75"/>
      <c r="AJ533" s="79" t="s">
        <v>46</v>
      </c>
      <c r="AK533" s="79">
        <v>0</v>
      </c>
      <c r="BB533" s="622" t="s">
        <v>67</v>
      </c>
      <c r="BM533" s="75">
        <f>IFERROR(X533*I533/H533,"0")</f>
        <v>0</v>
      </c>
      <c r="BN533" s="75">
        <f>IFERROR(Y533*I533/H533,"0")</f>
        <v>0</v>
      </c>
      <c r="BO533" s="75">
        <f>IFERROR(1/J533*(X533/H533),"0")</f>
        <v>0</v>
      </c>
      <c r="BP533" s="75">
        <f>IFERROR(1/J533*(Y533/H533),"0")</f>
        <v>0</v>
      </c>
    </row>
    <row r="534" spans="1:68" x14ac:dyDescent="0.2">
      <c r="A534" s="710"/>
      <c r="B534" s="710"/>
      <c r="C534" s="710"/>
      <c r="D534" s="710"/>
      <c r="E534" s="710"/>
      <c r="F534" s="710"/>
      <c r="G534" s="710"/>
      <c r="H534" s="710"/>
      <c r="I534" s="710"/>
      <c r="J534" s="710"/>
      <c r="K534" s="710"/>
      <c r="L534" s="710"/>
      <c r="M534" s="710"/>
      <c r="N534" s="710"/>
      <c r="O534" s="711"/>
      <c r="P534" s="707" t="s">
        <v>40</v>
      </c>
      <c r="Q534" s="708"/>
      <c r="R534" s="708"/>
      <c r="S534" s="708"/>
      <c r="T534" s="708"/>
      <c r="U534" s="708"/>
      <c r="V534" s="709"/>
      <c r="W534" s="40" t="s">
        <v>39</v>
      </c>
      <c r="X534" s="41">
        <f>IFERROR(X533/H533,"0")</f>
        <v>0</v>
      </c>
      <c r="Y534" s="41">
        <f>IFERROR(Y533/H533,"0")</f>
        <v>0</v>
      </c>
      <c r="Z534" s="41">
        <f>IFERROR(IF(Z533="",0,Z533),"0")</f>
        <v>0</v>
      </c>
      <c r="AA534" s="64"/>
      <c r="AB534" s="64"/>
      <c r="AC534" s="64"/>
    </row>
    <row r="535" spans="1:68" x14ac:dyDescent="0.2">
      <c r="A535" s="710"/>
      <c r="B535" s="710"/>
      <c r="C535" s="710"/>
      <c r="D535" s="710"/>
      <c r="E535" s="710"/>
      <c r="F535" s="710"/>
      <c r="G535" s="710"/>
      <c r="H535" s="710"/>
      <c r="I535" s="710"/>
      <c r="J535" s="710"/>
      <c r="K535" s="710"/>
      <c r="L535" s="710"/>
      <c r="M535" s="710"/>
      <c r="N535" s="710"/>
      <c r="O535" s="711"/>
      <c r="P535" s="707" t="s">
        <v>40</v>
      </c>
      <c r="Q535" s="708"/>
      <c r="R535" s="708"/>
      <c r="S535" s="708"/>
      <c r="T535" s="708"/>
      <c r="U535" s="708"/>
      <c r="V535" s="709"/>
      <c r="W535" s="40" t="s">
        <v>0</v>
      </c>
      <c r="X535" s="41">
        <f>IFERROR(SUM(X533:X533),"0")</f>
        <v>0</v>
      </c>
      <c r="Y535" s="41">
        <f>IFERROR(SUM(Y533:Y533),"0")</f>
        <v>0</v>
      </c>
      <c r="Z535" s="40"/>
      <c r="AA535" s="64"/>
      <c r="AB535" s="64"/>
      <c r="AC535" s="64"/>
    </row>
    <row r="536" spans="1:68" ht="14.25" customHeight="1" x14ac:dyDescent="0.25">
      <c r="A536" s="701" t="s">
        <v>86</v>
      </c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  <c r="AA536" s="63"/>
      <c r="AB536" s="63"/>
      <c r="AC536" s="63"/>
    </row>
    <row r="537" spans="1:68" ht="27" customHeight="1" x14ac:dyDescent="0.25">
      <c r="A537" s="60" t="s">
        <v>853</v>
      </c>
      <c r="B537" s="60" t="s">
        <v>854</v>
      </c>
      <c r="C537" s="34">
        <v>4301052043</v>
      </c>
      <c r="D537" s="702">
        <v>4640242180533</v>
      </c>
      <c r="E537" s="702"/>
      <c r="F537" s="59">
        <v>1.5</v>
      </c>
      <c r="G537" s="35">
        <v>6</v>
      </c>
      <c r="H537" s="59">
        <v>9</v>
      </c>
      <c r="I537" s="59">
        <v>9.4939999999999998</v>
      </c>
      <c r="J537" s="35">
        <v>64</v>
      </c>
      <c r="K537" s="35" t="s">
        <v>133</v>
      </c>
      <c r="L537" s="35" t="s">
        <v>46</v>
      </c>
      <c r="M537" s="36" t="s">
        <v>90</v>
      </c>
      <c r="N537" s="36"/>
      <c r="O537" s="35">
        <v>45</v>
      </c>
      <c r="P537" s="981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37" s="704"/>
      <c r="R537" s="704"/>
      <c r="S537" s="704"/>
      <c r="T537" s="705"/>
      <c r="U537" s="37" t="s">
        <v>46</v>
      </c>
      <c r="V537" s="37" t="s">
        <v>46</v>
      </c>
      <c r="W537" s="38" t="s">
        <v>0</v>
      </c>
      <c r="X537" s="56">
        <v>0</v>
      </c>
      <c r="Y537" s="53">
        <f>IFERROR(IF(X537="",0,CEILING((X537/$H537),1)*$H537),"")</f>
        <v>0</v>
      </c>
      <c r="Z537" s="39" t="str">
        <f>IFERROR(IF(Y537=0,"",ROUNDUP(Y537/H537,0)*0.01898),"")</f>
        <v/>
      </c>
      <c r="AA537" s="65" t="s">
        <v>46</v>
      </c>
      <c r="AB537" s="66" t="s">
        <v>46</v>
      </c>
      <c r="AC537" s="623" t="s">
        <v>855</v>
      </c>
      <c r="AG537" s="75"/>
      <c r="AJ537" s="79" t="s">
        <v>46</v>
      </c>
      <c r="AK537" s="79">
        <v>0</v>
      </c>
      <c r="BB537" s="624" t="s">
        <v>67</v>
      </c>
      <c r="BM537" s="75">
        <f>IFERROR(X537*I537/H537,"0")</f>
        <v>0</v>
      </c>
      <c r="BN537" s="75">
        <f>IFERROR(Y537*I537/H537,"0")</f>
        <v>0</v>
      </c>
      <c r="BO537" s="75">
        <f>IFERROR(1/J537*(X537/H537),"0")</f>
        <v>0</v>
      </c>
      <c r="BP537" s="75">
        <f>IFERROR(1/J537*(Y537/H537),"0")</f>
        <v>0</v>
      </c>
    </row>
    <row r="538" spans="1:68" x14ac:dyDescent="0.2">
      <c r="A538" s="710"/>
      <c r="B538" s="710"/>
      <c r="C538" s="710"/>
      <c r="D538" s="710"/>
      <c r="E538" s="710"/>
      <c r="F538" s="710"/>
      <c r="G538" s="710"/>
      <c r="H538" s="710"/>
      <c r="I538" s="710"/>
      <c r="J538" s="710"/>
      <c r="K538" s="710"/>
      <c r="L538" s="710"/>
      <c r="M538" s="710"/>
      <c r="N538" s="710"/>
      <c r="O538" s="711"/>
      <c r="P538" s="707" t="s">
        <v>40</v>
      </c>
      <c r="Q538" s="708"/>
      <c r="R538" s="708"/>
      <c r="S538" s="708"/>
      <c r="T538" s="708"/>
      <c r="U538" s="708"/>
      <c r="V538" s="709"/>
      <c r="W538" s="40" t="s">
        <v>39</v>
      </c>
      <c r="X538" s="41">
        <f>IFERROR(X537/H537,"0")</f>
        <v>0</v>
      </c>
      <c r="Y538" s="41">
        <f>IFERROR(Y537/H537,"0")</f>
        <v>0</v>
      </c>
      <c r="Z538" s="41">
        <f>IFERROR(IF(Z537="",0,Z537),"0")</f>
        <v>0</v>
      </c>
      <c r="AA538" s="64"/>
      <c r="AB538" s="64"/>
      <c r="AC538" s="64"/>
    </row>
    <row r="539" spans="1:68" x14ac:dyDescent="0.2">
      <c r="A539" s="710"/>
      <c r="B539" s="710"/>
      <c r="C539" s="710"/>
      <c r="D539" s="710"/>
      <c r="E539" s="710"/>
      <c r="F539" s="710"/>
      <c r="G539" s="710"/>
      <c r="H539" s="710"/>
      <c r="I539" s="710"/>
      <c r="J539" s="710"/>
      <c r="K539" s="710"/>
      <c r="L539" s="710"/>
      <c r="M539" s="710"/>
      <c r="N539" s="710"/>
      <c r="O539" s="711"/>
      <c r="P539" s="707" t="s">
        <v>40</v>
      </c>
      <c r="Q539" s="708"/>
      <c r="R539" s="708"/>
      <c r="S539" s="708"/>
      <c r="T539" s="708"/>
      <c r="U539" s="708"/>
      <c r="V539" s="709"/>
      <c r="W539" s="40" t="s">
        <v>0</v>
      </c>
      <c r="X539" s="41">
        <f>IFERROR(SUM(X537:X537),"0")</f>
        <v>0</v>
      </c>
      <c r="Y539" s="41">
        <f>IFERROR(SUM(Y537:Y537),"0")</f>
        <v>0</v>
      </c>
      <c r="Z539" s="40"/>
      <c r="AA539" s="64"/>
      <c r="AB539" s="64"/>
      <c r="AC539" s="64"/>
    </row>
    <row r="540" spans="1:68" ht="14.25" customHeight="1" x14ac:dyDescent="0.25">
      <c r="A540" s="701" t="s">
        <v>181</v>
      </c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  <c r="AA540" s="63"/>
      <c r="AB540" s="63"/>
      <c r="AC540" s="63"/>
    </row>
    <row r="541" spans="1:68" ht="27" customHeight="1" x14ac:dyDescent="0.25">
      <c r="A541" s="60" t="s">
        <v>856</v>
      </c>
      <c r="B541" s="60" t="s">
        <v>857</v>
      </c>
      <c r="C541" s="34">
        <v>4301060535</v>
      </c>
      <c r="D541" s="702">
        <v>4640242180120</v>
      </c>
      <c r="E541" s="702"/>
      <c r="F541" s="59">
        <v>1.5</v>
      </c>
      <c r="G541" s="35">
        <v>6</v>
      </c>
      <c r="H541" s="59">
        <v>9</v>
      </c>
      <c r="I541" s="59">
        <v>9.41</v>
      </c>
      <c r="J541" s="35">
        <v>64</v>
      </c>
      <c r="K541" s="35" t="s">
        <v>133</v>
      </c>
      <c r="L541" s="35" t="s">
        <v>46</v>
      </c>
      <c r="M541" s="36" t="s">
        <v>90</v>
      </c>
      <c r="N541" s="36"/>
      <c r="O541" s="35">
        <v>40</v>
      </c>
      <c r="P541" s="982" t="str">
        <f>HYPERLINK("https://abi.ru/products/Охлажденные/Зареченские продукты/Зареченские продукты/Сардельки/P005413/","Сардельки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41" s="704"/>
      <c r="R541" s="704"/>
      <c r="S541" s="704"/>
      <c r="T541" s="705"/>
      <c r="U541" s="37" t="s">
        <v>46</v>
      </c>
      <c r="V541" s="37" t="s">
        <v>46</v>
      </c>
      <c r="W541" s="38" t="s">
        <v>0</v>
      </c>
      <c r="X541" s="56">
        <v>0</v>
      </c>
      <c r="Y541" s="53">
        <f>IFERROR(IF(X541="",0,CEILING((X541/$H541),1)*$H541),"")</f>
        <v>0</v>
      </c>
      <c r="Z541" s="39" t="str">
        <f>IFERROR(IF(Y541=0,"",ROUNDUP(Y541/H541,0)*0.01898),"")</f>
        <v/>
      </c>
      <c r="AA541" s="65" t="s">
        <v>46</v>
      </c>
      <c r="AB541" s="66" t="s">
        <v>46</v>
      </c>
      <c r="AC541" s="625" t="s">
        <v>858</v>
      </c>
      <c r="AG541" s="75"/>
      <c r="AJ541" s="79" t="s">
        <v>46</v>
      </c>
      <c r="AK541" s="79">
        <v>0</v>
      </c>
      <c r="BB541" s="626" t="s">
        <v>67</v>
      </c>
      <c r="BM541" s="75">
        <f>IFERROR(X541*I541/H541,"0")</f>
        <v>0</v>
      </c>
      <c r="BN541" s="75">
        <f>IFERROR(Y541*I541/H541,"0")</f>
        <v>0</v>
      </c>
      <c r="BO541" s="75">
        <f>IFERROR(1/J541*(X541/H541),"0")</f>
        <v>0</v>
      </c>
      <c r="BP541" s="75">
        <f>IFERROR(1/J541*(Y541/H541),"0")</f>
        <v>0</v>
      </c>
    </row>
    <row r="542" spans="1:68" ht="27" customHeight="1" x14ac:dyDescent="0.25">
      <c r="A542" s="60" t="s">
        <v>859</v>
      </c>
      <c r="B542" s="60" t="s">
        <v>860</v>
      </c>
      <c r="C542" s="34">
        <v>4301060536</v>
      </c>
      <c r="D542" s="702">
        <v>4640242180137</v>
      </c>
      <c r="E542" s="702"/>
      <c r="F542" s="59">
        <v>1.5</v>
      </c>
      <c r="G542" s="35">
        <v>6</v>
      </c>
      <c r="H542" s="59">
        <v>9</v>
      </c>
      <c r="I542" s="59">
        <v>9.41</v>
      </c>
      <c r="J542" s="35">
        <v>64</v>
      </c>
      <c r="K542" s="35" t="s">
        <v>133</v>
      </c>
      <c r="L542" s="35" t="s">
        <v>46</v>
      </c>
      <c r="M542" s="36" t="s">
        <v>90</v>
      </c>
      <c r="N542" s="36"/>
      <c r="O542" s="35">
        <v>40</v>
      </c>
      <c r="P542" s="983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42" s="704"/>
      <c r="R542" s="704"/>
      <c r="S542" s="704"/>
      <c r="T542" s="705"/>
      <c r="U542" s="37" t="s">
        <v>46</v>
      </c>
      <c r="V542" s="37" t="s">
        <v>46</v>
      </c>
      <c r="W542" s="38" t="s">
        <v>0</v>
      </c>
      <c r="X542" s="56">
        <v>0</v>
      </c>
      <c r="Y542" s="53">
        <f>IFERROR(IF(X542="",0,CEILING((X542/$H542),1)*$H542),"")</f>
        <v>0</v>
      </c>
      <c r="Z542" s="39" t="str">
        <f>IFERROR(IF(Y542=0,"",ROUNDUP(Y542/H542,0)*0.01898),"")</f>
        <v/>
      </c>
      <c r="AA542" s="65" t="s">
        <v>46</v>
      </c>
      <c r="AB542" s="66" t="s">
        <v>46</v>
      </c>
      <c r="AC542" s="627" t="s">
        <v>861</v>
      </c>
      <c r="AG542" s="75"/>
      <c r="AJ542" s="79" t="s">
        <v>46</v>
      </c>
      <c r="AK542" s="79">
        <v>0</v>
      </c>
      <c r="BB542" s="628" t="s">
        <v>67</v>
      </c>
      <c r="BM542" s="75">
        <f>IFERROR(X542*I542/H542,"0")</f>
        <v>0</v>
      </c>
      <c r="BN542" s="75">
        <f>IFERROR(Y542*I542/H542,"0")</f>
        <v>0</v>
      </c>
      <c r="BO542" s="75">
        <f>IFERROR(1/J542*(X542/H542),"0")</f>
        <v>0</v>
      </c>
      <c r="BP542" s="75">
        <f>IFERROR(1/J542*(Y542/H542),"0")</f>
        <v>0</v>
      </c>
    </row>
    <row r="543" spans="1:68" x14ac:dyDescent="0.2">
      <c r="A543" s="710"/>
      <c r="B543" s="710"/>
      <c r="C543" s="710"/>
      <c r="D543" s="710"/>
      <c r="E543" s="710"/>
      <c r="F543" s="710"/>
      <c r="G543" s="710"/>
      <c r="H543" s="710"/>
      <c r="I543" s="710"/>
      <c r="J543" s="710"/>
      <c r="K543" s="710"/>
      <c r="L543" s="710"/>
      <c r="M543" s="710"/>
      <c r="N543" s="710"/>
      <c r="O543" s="711"/>
      <c r="P543" s="707" t="s">
        <v>40</v>
      </c>
      <c r="Q543" s="708"/>
      <c r="R543" s="708"/>
      <c r="S543" s="708"/>
      <c r="T543" s="708"/>
      <c r="U543" s="708"/>
      <c r="V543" s="709"/>
      <c r="W543" s="40" t="s">
        <v>39</v>
      </c>
      <c r="X543" s="41">
        <f>IFERROR(X541/H541,"0")+IFERROR(X542/H542,"0")</f>
        <v>0</v>
      </c>
      <c r="Y543" s="41">
        <f>IFERROR(Y541/H541,"0")+IFERROR(Y542/H542,"0")</f>
        <v>0</v>
      </c>
      <c r="Z543" s="41">
        <f>IFERROR(IF(Z541="",0,Z541),"0")+IFERROR(IF(Z542="",0,Z542),"0")</f>
        <v>0</v>
      </c>
      <c r="AA543" s="64"/>
      <c r="AB543" s="64"/>
      <c r="AC543" s="64"/>
    </row>
    <row r="544" spans="1:68" x14ac:dyDescent="0.2">
      <c r="A544" s="710"/>
      <c r="B544" s="710"/>
      <c r="C544" s="710"/>
      <c r="D544" s="710"/>
      <c r="E544" s="710"/>
      <c r="F544" s="710"/>
      <c r="G544" s="710"/>
      <c r="H544" s="710"/>
      <c r="I544" s="710"/>
      <c r="J544" s="710"/>
      <c r="K544" s="710"/>
      <c r="L544" s="710"/>
      <c r="M544" s="710"/>
      <c r="N544" s="710"/>
      <c r="O544" s="711"/>
      <c r="P544" s="707" t="s">
        <v>40</v>
      </c>
      <c r="Q544" s="708"/>
      <c r="R544" s="708"/>
      <c r="S544" s="708"/>
      <c r="T544" s="708"/>
      <c r="U544" s="708"/>
      <c r="V544" s="709"/>
      <c r="W544" s="40" t="s">
        <v>0</v>
      </c>
      <c r="X544" s="41">
        <f>IFERROR(SUM(X541:X542),"0")</f>
        <v>0</v>
      </c>
      <c r="Y544" s="41">
        <f>IFERROR(SUM(Y541:Y542),"0")</f>
        <v>0</v>
      </c>
      <c r="Z544" s="40"/>
      <c r="AA544" s="64"/>
      <c r="AB544" s="64"/>
      <c r="AC544" s="64"/>
    </row>
    <row r="545" spans="1:68" ht="16.5" customHeight="1" x14ac:dyDescent="0.25">
      <c r="A545" s="700" t="s">
        <v>862</v>
      </c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  <c r="AA545" s="62"/>
      <c r="AB545" s="62"/>
      <c r="AC545" s="62"/>
    </row>
    <row r="546" spans="1:68" ht="14.25" customHeight="1" x14ac:dyDescent="0.25">
      <c r="A546" s="701" t="s">
        <v>164</v>
      </c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  <c r="AA546" s="63"/>
      <c r="AB546" s="63"/>
      <c r="AC546" s="63"/>
    </row>
    <row r="547" spans="1:68" ht="27" customHeight="1" x14ac:dyDescent="0.25">
      <c r="A547" s="60" t="s">
        <v>863</v>
      </c>
      <c r="B547" s="60" t="s">
        <v>864</v>
      </c>
      <c r="C547" s="34">
        <v>4301020428</v>
      </c>
      <c r="D547" s="702">
        <v>4640242180090</v>
      </c>
      <c r="E547" s="702"/>
      <c r="F547" s="59">
        <v>1.5</v>
      </c>
      <c r="G547" s="35">
        <v>8</v>
      </c>
      <c r="H547" s="59">
        <v>12</v>
      </c>
      <c r="I547" s="59">
        <v>12.41</v>
      </c>
      <c r="J547" s="35">
        <v>64</v>
      </c>
      <c r="K547" s="35" t="s">
        <v>133</v>
      </c>
      <c r="L547" s="35" t="s">
        <v>46</v>
      </c>
      <c r="M547" s="36" t="s">
        <v>132</v>
      </c>
      <c r="N547" s="36"/>
      <c r="O547" s="35">
        <v>50</v>
      </c>
      <c r="P547" s="984" t="str">
        <f>HYPERLINK("https://abi.ru/products/Охлажденные/Зареченские продукты/Зареченские продукты Светофор/Ветчины/P005390/","Ветчины «Рубленая» Весовой п/а ТМ «Зареченские продукты» HR")</f>
        <v>Ветчины «Рубленая» Весовой п/а ТМ «Зареченские продукты» HR</v>
      </c>
      <c r="Q547" s="704"/>
      <c r="R547" s="704"/>
      <c r="S547" s="704"/>
      <c r="T547" s="705"/>
      <c r="U547" s="37" t="s">
        <v>46</v>
      </c>
      <c r="V547" s="37" t="s">
        <v>46</v>
      </c>
      <c r="W547" s="38" t="s">
        <v>0</v>
      </c>
      <c r="X547" s="56">
        <v>0</v>
      </c>
      <c r="Y547" s="53">
        <f>IFERROR(IF(X547="",0,CEILING((X547/$H547),1)*$H547),"")</f>
        <v>0</v>
      </c>
      <c r="Z547" s="39" t="str">
        <f>IFERROR(IF(Y547=0,"",ROUNDUP(Y547/H547,0)*0.01898),"")</f>
        <v/>
      </c>
      <c r="AA547" s="65" t="s">
        <v>46</v>
      </c>
      <c r="AB547" s="66" t="s">
        <v>46</v>
      </c>
      <c r="AC547" s="629" t="s">
        <v>865</v>
      </c>
      <c r="AG547" s="75"/>
      <c r="AJ547" s="79" t="s">
        <v>46</v>
      </c>
      <c r="AK547" s="79">
        <v>0</v>
      </c>
      <c r="BB547" s="630" t="s">
        <v>67</v>
      </c>
      <c r="BM547" s="75">
        <f>IFERROR(X547*I547/H547,"0")</f>
        <v>0</v>
      </c>
      <c r="BN547" s="75">
        <f>IFERROR(Y547*I547/H547,"0")</f>
        <v>0</v>
      </c>
      <c r="BO547" s="75">
        <f>IFERROR(1/J547*(X547/H547),"0")</f>
        <v>0</v>
      </c>
      <c r="BP547" s="75">
        <f>IFERROR(1/J547*(Y547/H547),"0")</f>
        <v>0</v>
      </c>
    </row>
    <row r="548" spans="1:68" x14ac:dyDescent="0.2">
      <c r="A548" s="710"/>
      <c r="B548" s="710"/>
      <c r="C548" s="710"/>
      <c r="D548" s="710"/>
      <c r="E548" s="710"/>
      <c r="F548" s="710"/>
      <c r="G548" s="710"/>
      <c r="H548" s="710"/>
      <c r="I548" s="710"/>
      <c r="J548" s="710"/>
      <c r="K548" s="710"/>
      <c r="L548" s="710"/>
      <c r="M548" s="710"/>
      <c r="N548" s="710"/>
      <c r="O548" s="711"/>
      <c r="P548" s="707" t="s">
        <v>40</v>
      </c>
      <c r="Q548" s="708"/>
      <c r="R548" s="708"/>
      <c r="S548" s="708"/>
      <c r="T548" s="708"/>
      <c r="U548" s="708"/>
      <c r="V548" s="709"/>
      <c r="W548" s="40" t="s">
        <v>39</v>
      </c>
      <c r="X548" s="41">
        <f>IFERROR(X547/H547,"0")</f>
        <v>0</v>
      </c>
      <c r="Y548" s="41">
        <f>IFERROR(Y547/H547,"0")</f>
        <v>0</v>
      </c>
      <c r="Z548" s="41">
        <f>IFERROR(IF(Z547="",0,Z547),"0")</f>
        <v>0</v>
      </c>
      <c r="AA548" s="64"/>
      <c r="AB548" s="64"/>
      <c r="AC548" s="64"/>
    </row>
    <row r="549" spans="1:68" x14ac:dyDescent="0.2">
      <c r="A549" s="710"/>
      <c r="B549" s="710"/>
      <c r="C549" s="710"/>
      <c r="D549" s="710"/>
      <c r="E549" s="710"/>
      <c r="F549" s="710"/>
      <c r="G549" s="710"/>
      <c r="H549" s="710"/>
      <c r="I549" s="710"/>
      <c r="J549" s="710"/>
      <c r="K549" s="710"/>
      <c r="L549" s="710"/>
      <c r="M549" s="710"/>
      <c r="N549" s="710"/>
      <c r="O549" s="711"/>
      <c r="P549" s="707" t="s">
        <v>40</v>
      </c>
      <c r="Q549" s="708"/>
      <c r="R549" s="708"/>
      <c r="S549" s="708"/>
      <c r="T549" s="708"/>
      <c r="U549" s="708"/>
      <c r="V549" s="709"/>
      <c r="W549" s="40" t="s">
        <v>0</v>
      </c>
      <c r="X549" s="41">
        <f>IFERROR(SUM(X547:X547),"0")</f>
        <v>0</v>
      </c>
      <c r="Y549" s="41">
        <f>IFERROR(SUM(Y547:Y547),"0")</f>
        <v>0</v>
      </c>
      <c r="Z549" s="40"/>
      <c r="AA549" s="64"/>
      <c r="AB549" s="64"/>
      <c r="AC549" s="64"/>
    </row>
    <row r="550" spans="1:68" ht="15" customHeight="1" x14ac:dyDescent="0.2">
      <c r="A550" s="710"/>
      <c r="B550" s="710"/>
      <c r="C550" s="710"/>
      <c r="D550" s="710"/>
      <c r="E550" s="710"/>
      <c r="F550" s="710"/>
      <c r="G550" s="710"/>
      <c r="H550" s="710"/>
      <c r="I550" s="710"/>
      <c r="J550" s="710"/>
      <c r="K550" s="710"/>
      <c r="L550" s="710"/>
      <c r="M550" s="710"/>
      <c r="N550" s="710"/>
      <c r="O550" s="988"/>
      <c r="P550" s="985" t="s">
        <v>33</v>
      </c>
      <c r="Q550" s="986"/>
      <c r="R550" s="986"/>
      <c r="S550" s="986"/>
      <c r="T550" s="986"/>
      <c r="U550" s="986"/>
      <c r="V550" s="987"/>
      <c r="W550" s="40" t="s">
        <v>0</v>
      </c>
      <c r="X550" s="41">
        <f>IFERROR(X25+X33+X37+X47+X56+X68+X75+X80+X85+X93+X100+X110+X118+X125+X129+X137+X144+X151+X159+X163+X170+X175+X189+X195+X200+X204+X216+X221+X238+X246+X252+X256+X262+X267+X278+X293+X298+X309+X313+X317+X323+X332+X339+X348+X353+X360+X369+X379+X386+X392+X399+X405+X411+X418+X431+X437+X443+X448+X454+X458+X464+X475+X480+X485+X491+X505+X511+X521+X527+X531+X535+X539+X544+X549,"0")</f>
        <v>4700</v>
      </c>
      <c r="Y550" s="41">
        <f>IFERROR(Y25+Y33+Y37+Y47+Y56+Y68+Y75+Y80+Y85+Y93+Y100+Y110+Y118+Y125+Y129+Y137+Y144+Y151+Y159+Y163+Y170+Y175+Y189+Y195+Y200+Y204+Y216+Y221+Y238+Y246+Y252+Y256+Y262+Y267+Y278+Y293+Y298+Y309+Y313+Y317+Y323+Y332+Y339+Y348+Y353+Y360+Y369+Y379+Y386+Y392+Y399+Y405+Y411+Y418+Y431+Y437+Y443+Y448+Y454+Y458+Y464+Y475+Y480+Y485+Y491+Y505+Y511+Y521+Y527+Y531+Y535+Y539+Y544+Y549,"0")</f>
        <v>4710</v>
      </c>
      <c r="Z550" s="40"/>
      <c r="AA550" s="64"/>
      <c r="AB550" s="64"/>
      <c r="AC550" s="64"/>
    </row>
    <row r="551" spans="1:68" x14ac:dyDescent="0.2">
      <c r="A551" s="710"/>
      <c r="B551" s="710"/>
      <c r="C551" s="710"/>
      <c r="D551" s="710"/>
      <c r="E551" s="710"/>
      <c r="F551" s="710"/>
      <c r="G551" s="710"/>
      <c r="H551" s="710"/>
      <c r="I551" s="710"/>
      <c r="J551" s="710"/>
      <c r="K551" s="710"/>
      <c r="L551" s="710"/>
      <c r="M551" s="710"/>
      <c r="N551" s="710"/>
      <c r="O551" s="988"/>
      <c r="P551" s="985" t="s">
        <v>34</v>
      </c>
      <c r="Q551" s="986"/>
      <c r="R551" s="986"/>
      <c r="S551" s="986"/>
      <c r="T551" s="986"/>
      <c r="U551" s="986"/>
      <c r="V551" s="987"/>
      <c r="W551" s="40" t="s">
        <v>0</v>
      </c>
      <c r="X551" s="41">
        <f>IFERROR(SUM(BM22:BM547),"0")</f>
        <v>4847.2666666666664</v>
      </c>
      <c r="Y551" s="41">
        <f>IFERROR(SUM(BN22:BN547),"0")</f>
        <v>4857.58</v>
      </c>
      <c r="Z551" s="40"/>
      <c r="AA551" s="64"/>
      <c r="AB551" s="64"/>
      <c r="AC551" s="64"/>
    </row>
    <row r="552" spans="1:68" x14ac:dyDescent="0.2">
      <c r="A552" s="710"/>
      <c r="B552" s="710"/>
      <c r="C552" s="710"/>
      <c r="D552" s="710"/>
      <c r="E552" s="710"/>
      <c r="F552" s="710"/>
      <c r="G552" s="710"/>
      <c r="H552" s="710"/>
      <c r="I552" s="710"/>
      <c r="J552" s="710"/>
      <c r="K552" s="710"/>
      <c r="L552" s="710"/>
      <c r="M552" s="710"/>
      <c r="N552" s="710"/>
      <c r="O552" s="988"/>
      <c r="P552" s="985" t="s">
        <v>35</v>
      </c>
      <c r="Q552" s="986"/>
      <c r="R552" s="986"/>
      <c r="S552" s="986"/>
      <c r="T552" s="986"/>
      <c r="U552" s="986"/>
      <c r="V552" s="987"/>
      <c r="W552" s="40" t="s">
        <v>20</v>
      </c>
      <c r="X552" s="42">
        <f>ROUNDUP(SUM(BO22:BO547),0)</f>
        <v>7</v>
      </c>
      <c r="Y552" s="42">
        <f>ROUNDUP(SUM(BP22:BP547),0)</f>
        <v>7</v>
      </c>
      <c r="Z552" s="40"/>
      <c r="AA552" s="64"/>
      <c r="AB552" s="64"/>
      <c r="AC552" s="64"/>
    </row>
    <row r="553" spans="1:68" x14ac:dyDescent="0.2">
      <c r="A553" s="710"/>
      <c r="B553" s="710"/>
      <c r="C553" s="710"/>
      <c r="D553" s="710"/>
      <c r="E553" s="710"/>
      <c r="F553" s="710"/>
      <c r="G553" s="710"/>
      <c r="H553" s="710"/>
      <c r="I553" s="710"/>
      <c r="J553" s="710"/>
      <c r="K553" s="710"/>
      <c r="L553" s="710"/>
      <c r="M553" s="710"/>
      <c r="N553" s="710"/>
      <c r="O553" s="988"/>
      <c r="P553" s="985" t="s">
        <v>36</v>
      </c>
      <c r="Q553" s="986"/>
      <c r="R553" s="986"/>
      <c r="S553" s="986"/>
      <c r="T553" s="986"/>
      <c r="U553" s="986"/>
      <c r="V553" s="987"/>
      <c r="W553" s="40" t="s">
        <v>0</v>
      </c>
      <c r="X553" s="41">
        <f>GrossWeightTotal+PalletQtyTotal*25</f>
        <v>5022.2666666666664</v>
      </c>
      <c r="Y553" s="41">
        <f>GrossWeightTotalR+PalletQtyTotalR*25</f>
        <v>5032.58</v>
      </c>
      <c r="Z553" s="40"/>
      <c r="AA553" s="64"/>
      <c r="AB553" s="64"/>
      <c r="AC553" s="64"/>
    </row>
    <row r="554" spans="1:68" x14ac:dyDescent="0.2">
      <c r="A554" s="710"/>
      <c r="B554" s="710"/>
      <c r="C554" s="710"/>
      <c r="D554" s="710"/>
      <c r="E554" s="710"/>
      <c r="F554" s="710"/>
      <c r="G554" s="710"/>
      <c r="H554" s="710"/>
      <c r="I554" s="710"/>
      <c r="J554" s="710"/>
      <c r="K554" s="710"/>
      <c r="L554" s="710"/>
      <c r="M554" s="710"/>
      <c r="N554" s="710"/>
      <c r="O554" s="988"/>
      <c r="P554" s="985" t="s">
        <v>37</v>
      </c>
      <c r="Q554" s="986"/>
      <c r="R554" s="986"/>
      <c r="S554" s="986"/>
      <c r="T554" s="986"/>
      <c r="U554" s="986"/>
      <c r="V554" s="987"/>
      <c r="W554" s="40" t="s">
        <v>20</v>
      </c>
      <c r="X554" s="41">
        <f>IFERROR(X24+X32+X36+X46+X55+X67+X74+X79+X84+X92+X99+X109+X117+X124+X128+X136+X143+X150+X158+X162+X169+X174+X188+X194+X199+X203+X215+X220+X237+X245+X251+X255+X261+X266+X277+X292+X297+X308+X312+X316+X322+X331+X338+X347+X352+X359+X368+X378+X385+X391+X398+X404+X410+X417+X430+X436+X442+X447+X453+X457+X463+X474+X479+X484+X490+X504+X510+X520+X526+X530+X534+X538+X543+X548,"0")</f>
        <v>313.33333333333331</v>
      </c>
      <c r="Y554" s="41">
        <f>IFERROR(Y24+Y32+Y36+Y46+Y55+Y67+Y74+Y79+Y84+Y92+Y99+Y109+Y117+Y124+Y128+Y136+Y143+Y150+Y158+Y162+Y169+Y174+Y188+Y194+Y199+Y203+Y215+Y220+Y237+Y245+Y251+Y255+Y261+Y266+Y277+Y292+Y297+Y308+Y312+Y316+Y322+Y331+Y338+Y347+Y352+Y359+Y368+Y378+Y385+Y391+Y398+Y404+Y410+Y417+Y430+Y436+Y442+Y447+Y453+Y457+Y463+Y474+Y479+Y484+Y490+Y504+Y510+Y520+Y526+Y530+Y534+Y538+Y543+Y548,"0")</f>
        <v>314</v>
      </c>
      <c r="Z554" s="40"/>
      <c r="AA554" s="64"/>
      <c r="AB554" s="64"/>
      <c r="AC554" s="64"/>
    </row>
    <row r="555" spans="1:68" ht="14.25" x14ac:dyDescent="0.2">
      <c r="A555" s="710"/>
      <c r="B555" s="710"/>
      <c r="C555" s="710"/>
      <c r="D555" s="710"/>
      <c r="E555" s="710"/>
      <c r="F555" s="710"/>
      <c r="G555" s="710"/>
      <c r="H555" s="710"/>
      <c r="I555" s="710"/>
      <c r="J555" s="710"/>
      <c r="K555" s="710"/>
      <c r="L555" s="710"/>
      <c r="M555" s="710"/>
      <c r="N555" s="710"/>
      <c r="O555" s="988"/>
      <c r="P555" s="985" t="s">
        <v>38</v>
      </c>
      <c r="Q555" s="986"/>
      <c r="R555" s="986"/>
      <c r="S555" s="986"/>
      <c r="T555" s="986"/>
      <c r="U555" s="986"/>
      <c r="V555" s="987"/>
      <c r="W555" s="43" t="s">
        <v>52</v>
      </c>
      <c r="X555" s="40"/>
      <c r="Y555" s="40"/>
      <c r="Z555" s="40">
        <f>IFERROR(Z24+Z32+Z36+Z46+Z55+Z67+Z74+Z79+Z84+Z92+Z99+Z109+Z117+Z124+Z128+Z136+Z143+Z150+Z158+Z162+Z169+Z174+Z188+Z194+Z199+Z203+Z215+Z220+Z237+Z245+Z251+Z255+Z261+Z266+Z277+Z292+Z297+Z308+Z312+Z316+Z322+Z331+Z338+Z347+Z352+Z359+Z368+Z378+Z385+Z391+Z398+Z404+Z410+Z417+Z430+Z436+Z442+Z447+Z453+Z457+Z463+Z474+Z479+Z484+Z490+Z504+Z510+Z520+Z526+Z530+Z534+Z538+Z543+Z548,"0")</f>
        <v>6.8294999999999995</v>
      </c>
      <c r="AA555" s="64"/>
      <c r="AB555" s="64"/>
      <c r="AC555" s="64"/>
    </row>
    <row r="556" spans="1:68" ht="13.5" thickBot="1" x14ac:dyDescent="0.25"/>
    <row r="557" spans="1:68" ht="27" thickTop="1" thickBot="1" x14ac:dyDescent="0.25">
      <c r="A557" s="44" t="s">
        <v>9</v>
      </c>
      <c r="B557" s="80" t="s">
        <v>76</v>
      </c>
      <c r="C557" s="80" t="s">
        <v>45</v>
      </c>
      <c r="D557" s="991" t="s">
        <v>126</v>
      </c>
      <c r="E557" s="991" t="s">
        <v>126</v>
      </c>
      <c r="F557" s="991" t="s">
        <v>126</v>
      </c>
      <c r="G557" s="991" t="s">
        <v>126</v>
      </c>
      <c r="H557" s="991" t="s">
        <v>126</v>
      </c>
      <c r="I557" s="991" t="s">
        <v>126</v>
      </c>
      <c r="J557" s="991" t="s">
        <v>126</v>
      </c>
      <c r="K557" s="991" t="s">
        <v>358</v>
      </c>
      <c r="L557" s="991" t="s">
        <v>358</v>
      </c>
      <c r="M557" s="991" t="s">
        <v>358</v>
      </c>
      <c r="N557" s="992"/>
      <c r="O557" s="991" t="s">
        <v>358</v>
      </c>
      <c r="P557" s="991" t="s">
        <v>358</v>
      </c>
      <c r="Q557" s="991" t="s">
        <v>358</v>
      </c>
      <c r="R557" s="991" t="s">
        <v>358</v>
      </c>
      <c r="S557" s="991" t="s">
        <v>358</v>
      </c>
      <c r="T557" s="991" t="s">
        <v>358</v>
      </c>
      <c r="U557" s="991" t="s">
        <v>358</v>
      </c>
      <c r="V557" s="991" t="s">
        <v>694</v>
      </c>
      <c r="W557" s="991" t="s">
        <v>694</v>
      </c>
      <c r="X557" s="991" t="s">
        <v>760</v>
      </c>
      <c r="Y557" s="991" t="s">
        <v>760</v>
      </c>
      <c r="Z557" s="80" t="s">
        <v>796</v>
      </c>
      <c r="AA557" s="991" t="s">
        <v>843</v>
      </c>
      <c r="AB557" s="991" t="s">
        <v>843</v>
      </c>
      <c r="AC557" s="9"/>
      <c r="AF557" s="1"/>
    </row>
    <row r="558" spans="1:68" ht="14.25" customHeight="1" thickTop="1" x14ac:dyDescent="0.2">
      <c r="A558" s="989" t="s">
        <v>10</v>
      </c>
      <c r="B558" s="991" t="s">
        <v>76</v>
      </c>
      <c r="C558" s="991" t="s">
        <v>110</v>
      </c>
      <c r="D558" s="991" t="s">
        <v>127</v>
      </c>
      <c r="E558" s="991" t="s">
        <v>143</v>
      </c>
      <c r="F558" s="991" t="s">
        <v>188</v>
      </c>
      <c r="G558" s="991" t="s">
        <v>209</v>
      </c>
      <c r="H558" s="991" t="s">
        <v>248</v>
      </c>
      <c r="I558" s="991" t="s">
        <v>276</v>
      </c>
      <c r="J558" s="991" t="s">
        <v>126</v>
      </c>
      <c r="K558" s="991" t="s">
        <v>359</v>
      </c>
      <c r="L558" s="991" t="s">
        <v>380</v>
      </c>
      <c r="M558" s="991" t="s">
        <v>447</v>
      </c>
      <c r="N558" s="1"/>
      <c r="O558" s="991" t="s">
        <v>515</v>
      </c>
      <c r="P558" s="991" t="s">
        <v>548</v>
      </c>
      <c r="Q558" s="991" t="s">
        <v>564</v>
      </c>
      <c r="R558" s="991" t="s">
        <v>573</v>
      </c>
      <c r="S558" s="991" t="s">
        <v>594</v>
      </c>
      <c r="T558" s="991" t="s">
        <v>603</v>
      </c>
      <c r="U558" s="991" t="s">
        <v>684</v>
      </c>
      <c r="V558" s="991" t="s">
        <v>695</v>
      </c>
      <c r="W558" s="991" t="s">
        <v>744</v>
      </c>
      <c r="X558" s="991" t="s">
        <v>761</v>
      </c>
      <c r="Y558" s="991" t="s">
        <v>784</v>
      </c>
      <c r="Z558" s="991" t="s">
        <v>796</v>
      </c>
      <c r="AA558" s="991" t="s">
        <v>843</v>
      </c>
      <c r="AB558" s="991" t="s">
        <v>862</v>
      </c>
      <c r="AC558" s="9"/>
      <c r="AF558" s="1"/>
    </row>
    <row r="559" spans="1:68" ht="13.5" thickBot="1" x14ac:dyDescent="0.25">
      <c r="A559" s="990"/>
      <c r="B559" s="991"/>
      <c r="C559" s="991"/>
      <c r="D559" s="991"/>
      <c r="E559" s="991"/>
      <c r="F559" s="991"/>
      <c r="G559" s="991"/>
      <c r="H559" s="991"/>
      <c r="I559" s="991"/>
      <c r="J559" s="991"/>
      <c r="K559" s="991"/>
      <c r="L559" s="991"/>
      <c r="M559" s="991"/>
      <c r="N559" s="1"/>
      <c r="O559" s="991"/>
      <c r="P559" s="991"/>
      <c r="Q559" s="991"/>
      <c r="R559" s="991"/>
      <c r="S559" s="991"/>
      <c r="T559" s="991"/>
      <c r="U559" s="991"/>
      <c r="V559" s="991"/>
      <c r="W559" s="991"/>
      <c r="X559" s="991"/>
      <c r="Y559" s="991"/>
      <c r="Z559" s="991"/>
      <c r="AA559" s="991"/>
      <c r="AB559" s="991"/>
      <c r="AC559" s="9"/>
      <c r="AF559" s="1"/>
    </row>
    <row r="560" spans="1:68" ht="18" thickTop="1" thickBot="1" x14ac:dyDescent="0.25">
      <c r="A560" s="44" t="s">
        <v>13</v>
      </c>
      <c r="B560" s="50">
        <f>IFERROR(Y22*1,"0")+IFERROR(Y23*1,"0")+IFERROR(Y27*1,"0")+IFERROR(Y28*1,"0")+IFERROR(Y29*1,"0")+IFERROR(Y30*1,"0")+IFERROR(Y31*1,"0")+IFERROR(Y35*1,"0")</f>
        <v>0</v>
      </c>
      <c r="C560" s="50">
        <f>IFERROR(Y41*1,"0")+IFERROR(Y42*1,"0")+IFERROR(Y43*1,"0")+IFERROR(Y44*1,"0")+IFERROR(Y45*1,"0")</f>
        <v>0</v>
      </c>
      <c r="D560" s="50">
        <f>IFERROR(Y51*1,"0")+IFERROR(Y52*1,"0")+IFERROR(Y53*1,"0")+IFERROR(Y54*1,"0")</f>
        <v>0</v>
      </c>
      <c r="E560" s="50">
        <f>IFERROR(Y59*1,"0")+IFERROR(Y60*1,"0")+IFERROR(Y61*1,"0")+IFERROR(Y62*1,"0")+IFERROR(Y63*1,"0")+IFERROR(Y64*1,"0")+IFERROR(Y65*1,"0")+IFERROR(Y66*1,"0")+IFERROR(Y70*1,"0")+IFERROR(Y71*1,"0")+IFERROR(Y72*1,"0")+IFERROR(Y73*1,"0")+IFERROR(Y77*1,"0")+IFERROR(Y78*1,"0")+IFERROR(Y82*1,"0")+IFERROR(Y83*1,"0")</f>
        <v>0</v>
      </c>
      <c r="F560" s="50">
        <f>IFERROR(Y88*1,"0")+IFERROR(Y89*1,"0")+IFERROR(Y90*1,"0")+IFERROR(Y91*1,"0")+IFERROR(Y95*1,"0")+IFERROR(Y96*1,"0")+IFERROR(Y97*1,"0")+IFERROR(Y98*1,"0")</f>
        <v>0</v>
      </c>
      <c r="G560" s="50">
        <f>IFERROR(Y103*1,"0")+IFERROR(Y104*1,"0")+IFERROR(Y105*1,"0")+IFERROR(Y106*1,"0")+IFERROR(Y107*1,"0")+IFERROR(Y108*1,"0")+IFERROR(Y112*1,"0")+IFERROR(Y113*1,"0")+IFERROR(Y114*1,"0")+IFERROR(Y115*1,"0")+IFERROR(Y116*1,"0")+IFERROR(Y120*1,"0")+IFERROR(Y121*1,"0")+IFERROR(Y122*1,"0")+IFERROR(Y123*1,"0")+IFERROR(Y127*1,"0")</f>
        <v>0</v>
      </c>
      <c r="H560" s="50">
        <f>IFERROR(Y132*1,"0")+IFERROR(Y133*1,"0")+IFERROR(Y134*1,"0")+IFERROR(Y135*1,"0")+IFERROR(Y139*1,"0")+IFERROR(Y140*1,"0")+IFERROR(Y141*1,"0")+IFERROR(Y142*1,"0")+IFERROR(Y146*1,"0")+IFERROR(Y147*1,"0")+IFERROR(Y148*1,"0")+IFERROR(Y149*1,"0")</f>
        <v>0</v>
      </c>
      <c r="I560" s="50">
        <f>IFERROR(Y154*1,"0")+IFERROR(Y155*1,"0")+IFERROR(Y156*1,"0")+IFERROR(Y157*1,"0")+IFERROR(Y161*1,"0")</f>
        <v>0</v>
      </c>
      <c r="J560" s="50">
        <f>IFERROR(Y166*1,"0")+IFERROR(Y167*1,"0")+IFERROR(Y168*1,"0")+IFERROR(Y172*1,"0")+IFERROR(Y173*1,"0")+IFERROR(Y177*1,"0")+IFERROR(Y178*1,"0")+IFERROR(Y179*1,"0")+IFERROR(Y180*1,"0")+IFERROR(Y181*1,"0")+IFERROR(Y182*1,"0")+IFERROR(Y183*1,"0")+IFERROR(Y184*1,"0")+IFERROR(Y185*1,"0")+IFERROR(Y186*1,"0")+IFERROR(Y187*1,"0")+IFERROR(Y191*1,"0")+IFERROR(Y192*1,"0")+IFERROR(Y193*1,"0")+IFERROR(Y197*1,"0")+IFERROR(Y198*1,"0")+IFERROR(Y202*1,"0")</f>
        <v>0</v>
      </c>
      <c r="K560" s="50">
        <f>IFERROR(Y208*1,"0")+IFERROR(Y209*1,"0")+IFERROR(Y210*1,"0")+IFERROR(Y211*1,"0")+IFERROR(Y212*1,"0")+IFERROR(Y213*1,"0")+IFERROR(Y214*1,"0")</f>
        <v>0</v>
      </c>
      <c r="L560" s="50">
        <f>IFERROR(Y219*1,"0")+IFERROR(Y223*1,"0")+IFERROR(Y224*1,"0")+IFERROR(Y225*1,"0")+IFERROR(Y226*1,"0")+IFERROR(Y227*1,"0")+IFERROR(Y228*1,"0")+IFERROR(Y229*1,"0")+IFERROR(Y230*1,"0")+IFERROR(Y231*1,"0")+IFERROR(Y232*1,"0")+IFERROR(Y233*1,"0")+IFERROR(Y234*1,"0")+IFERROR(Y235*1,"0")+IFERROR(Y236*1,"0")+IFERROR(Y240*1,"0")+IFERROR(Y241*1,"0")+IFERROR(Y242*1,"0")+IFERROR(Y243*1,"0")+IFERROR(Y244*1,"0")+IFERROR(Y248*1,"0")+IFERROR(Y249*1,"0")+IFERROR(Y250*1,"0")+IFERROR(Y254*1,"0")</f>
        <v>0</v>
      </c>
      <c r="M560" s="50">
        <f>IFERROR(Y259*1,"0")+IFERROR(Y260*1,"0")+IFERROR(Y264*1,"0")+IFERROR(Y265*1,"0")+IFERROR(Y269*1,"0")+IFERROR(Y270*1,"0")+IFERROR(Y271*1,"0")+IFERROR(Y272*1,"0")+IFERROR(Y273*1,"0")+IFERROR(Y274*1,"0")+IFERROR(Y275*1,"0")+IFERROR(Y276*1,"0")+IFERROR(Y280*1,"0")+IFERROR(Y281*1,"0")+IFERROR(Y282*1,"0")+IFERROR(Y283*1,"0")+IFERROR(Y284*1,"0")+IFERROR(Y285*1,"0")+IFERROR(Y286*1,"0")+IFERROR(Y287*1,"0")+IFERROR(Y288*1,"0")+IFERROR(Y289*1,"0")+IFERROR(Y290*1,"0")+IFERROR(Y291*1,"0")+IFERROR(Y295*1,"0")+IFERROR(Y296*1,"0")</f>
        <v>0</v>
      </c>
      <c r="N560" s="1"/>
      <c r="O560" s="50">
        <f>IFERROR(Y301*1,"0")+IFERROR(Y302*1,"0")+IFERROR(Y303*1,"0")+IFERROR(Y304*1,"0")+IFERROR(Y305*1,"0")+IFERROR(Y306*1,"0")+IFERROR(Y307*1,"0")+IFERROR(Y311*1,"0")+IFERROR(Y315*1,"0")+IFERROR(Y319*1,"0")+IFERROR(Y320*1,"0")+IFERROR(Y321*1,"0")</f>
        <v>0</v>
      </c>
      <c r="P560" s="50">
        <f>IFERROR(Y326*1,"0")+IFERROR(Y327*1,"0")+IFERROR(Y328*1,"0")+IFERROR(Y329*1,"0")+IFERROR(Y330*1,"0")</f>
        <v>0</v>
      </c>
      <c r="Q560" s="50">
        <f>IFERROR(Y335*1,"0")+IFERROR(Y336*1,"0")+IFERROR(Y337*1,"0")</f>
        <v>0</v>
      </c>
      <c r="R560" s="50">
        <f>IFERROR(Y342*1,"0")+IFERROR(Y343*1,"0")+IFERROR(Y344*1,"0")+IFERROR(Y345*1,"0")+IFERROR(Y346*1,"0")+IFERROR(Y350*1,"0")+IFERROR(Y351*1,"0")</f>
        <v>0</v>
      </c>
      <c r="S560" s="50">
        <f>IFERROR(Y356*1,"0")+IFERROR(Y357*1,"0")+IFERROR(Y358*1,"0")</f>
        <v>0</v>
      </c>
      <c r="T560" s="50">
        <f>IFERROR(Y363*1,"0")+IFERROR(Y364*1,"0")+IFERROR(Y365*1,"0")+IFERROR(Y366*1,"0")+IFERROR(Y367*1,"0")+IFERROR(Y371*1,"0")+IFERROR(Y372*1,"0")+IFERROR(Y373*1,"0")+IFERROR(Y374*1,"0")+IFERROR(Y375*1,"0")+IFERROR(Y376*1,"0")+IFERROR(Y377*1,"0")+IFERROR(Y381*1,"0")+IFERROR(Y382*1,"0")+IFERROR(Y383*1,"0")+IFERROR(Y384*1,"0")+IFERROR(Y388*1,"0")+IFERROR(Y389*1,"0")+IFERROR(Y390*1,"0")+IFERROR(Y394*1,"0")+IFERROR(Y395*1,"0")+IFERROR(Y396*1,"0")+IFERROR(Y397*1,"0")+IFERROR(Y401*1,"0")+IFERROR(Y402*1,"0")+IFERROR(Y403*1,"0")+IFERROR(Y407*1,"0")+IFERROR(Y408*1,"0")+IFERROR(Y409*1,"0")</f>
        <v>0</v>
      </c>
      <c r="U560" s="50">
        <f>IFERROR(Y414*1,"0")+IFERROR(Y415*1,"0")+IFERROR(Y416*1,"0")</f>
        <v>0</v>
      </c>
      <c r="V560" s="50">
        <f>IFERROR(Y422*1,"0")+IFERROR(Y423*1,"0")+IFERROR(Y424*1,"0")+IFERROR(Y425*1,"0")+IFERROR(Y426*1,"0")+IFERROR(Y427*1,"0")+IFERROR(Y428*1,"0")+IFERROR(Y429*1,"0")+IFERROR(Y433*1,"0")+IFERROR(Y434*1,"0")+IFERROR(Y435*1,"0")+IFERROR(Y439*1,"0")+IFERROR(Y440*1,"0")+IFERROR(Y441*1,"0")+IFERROR(Y445*1,"0")+IFERROR(Y446*1,"0")</f>
        <v>4710</v>
      </c>
      <c r="W560" s="50">
        <f>IFERROR(Y451*1,"0")+IFERROR(Y452*1,"0")+IFERROR(Y456*1,"0")+IFERROR(Y460*1,"0")+IFERROR(Y461*1,"0")+IFERROR(Y462*1,"0")</f>
        <v>0</v>
      </c>
      <c r="X560" s="50">
        <f>IFERROR(Y468*1,"0")+IFERROR(Y469*1,"0")+IFERROR(Y470*1,"0")+IFERROR(Y471*1,"0")+IFERROR(Y472*1,"0")+IFERROR(Y473*1,"0")+IFERROR(Y477*1,"0")+IFERROR(Y478*1,"0")</f>
        <v>0</v>
      </c>
      <c r="Y560" s="50">
        <f>IFERROR(Y483*1,"0")+IFERROR(Y487*1,"0")+IFERROR(Y488*1,"0")+IFERROR(Y489*1,"0")</f>
        <v>0</v>
      </c>
      <c r="Z560" s="50">
        <f>IFERROR(Y495*1,"0")+IFERROR(Y496*1,"0")+IFERROR(Y497*1,"0")+IFERROR(Y498*1,"0")+IFERROR(Y499*1,"0")+IFERROR(Y500*1,"0")+IFERROR(Y501*1,"0")+IFERROR(Y502*1,"0")+IFERROR(Y503*1,"0")+IFERROR(Y507*1,"0")+IFERROR(Y508*1,"0")+IFERROR(Y509*1,"0")+IFERROR(Y513*1,"0")+IFERROR(Y514*1,"0")+IFERROR(Y515*1,"0")+IFERROR(Y516*1,"0")+IFERROR(Y517*1,"0")+IFERROR(Y518*1,"0")+IFERROR(Y519*1,"0")</f>
        <v>0</v>
      </c>
      <c r="AA560" s="50">
        <f>IFERROR(Y525*1,"0")+IFERROR(Y529*1,"0")+IFERROR(Y533*1,"0")+IFERROR(Y537*1,"0")+IFERROR(Y541*1,"0")+IFERROR(Y542*1,"0")</f>
        <v>0</v>
      </c>
      <c r="AB560" s="50">
        <f>IFERROR(Y547*1,"0")</f>
        <v>0</v>
      </c>
      <c r="AC560" s="9"/>
      <c r="AF560" s="1"/>
    </row>
  </sheetData>
  <sheetProtection algorithmName="SHA-512" hashValue="flwQqdsdB/18avJJa+AQaQ4s1oHrF+jsKT91Kc9H5Fat91hlbw3qSJbmcIyNM2BFIczI0tv6fM/aHrRE+/vb4w==" saltValue="WsEz+QR6e+QDX6JWtzuxBA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985">
    <mergeCell ref="U558:U559"/>
    <mergeCell ref="V558:V559"/>
    <mergeCell ref="W558:W559"/>
    <mergeCell ref="X558:X559"/>
    <mergeCell ref="Y558:Y559"/>
    <mergeCell ref="Z558:Z559"/>
    <mergeCell ref="AA558:AA559"/>
    <mergeCell ref="AB558:AB559"/>
    <mergeCell ref="D557:J557"/>
    <mergeCell ref="K557:U557"/>
    <mergeCell ref="V557:W557"/>
    <mergeCell ref="X557:Y557"/>
    <mergeCell ref="AA557:AB557"/>
    <mergeCell ref="J558:J559"/>
    <mergeCell ref="K558:K559"/>
    <mergeCell ref="L558:L559"/>
    <mergeCell ref="M558:M559"/>
    <mergeCell ref="O558:O559"/>
    <mergeCell ref="P558:P559"/>
    <mergeCell ref="Q558:Q559"/>
    <mergeCell ref="R558:R559"/>
    <mergeCell ref="S558:S559"/>
    <mergeCell ref="T558:T559"/>
    <mergeCell ref="A558:A559"/>
    <mergeCell ref="B558:B559"/>
    <mergeCell ref="C558:C559"/>
    <mergeCell ref="D558:D559"/>
    <mergeCell ref="E558:E559"/>
    <mergeCell ref="F558:F559"/>
    <mergeCell ref="G558:G559"/>
    <mergeCell ref="H558:H559"/>
    <mergeCell ref="I558:I559"/>
    <mergeCell ref="P548:V548"/>
    <mergeCell ref="A548:O549"/>
    <mergeCell ref="P549:V549"/>
    <mergeCell ref="P550:V550"/>
    <mergeCell ref="A550:O555"/>
    <mergeCell ref="P551:V551"/>
    <mergeCell ref="P552:V552"/>
    <mergeCell ref="P553:V553"/>
    <mergeCell ref="P554:V554"/>
    <mergeCell ref="P555:V555"/>
    <mergeCell ref="D542:E542"/>
    <mergeCell ref="P542:T542"/>
    <mergeCell ref="P543:V543"/>
    <mergeCell ref="A543:O544"/>
    <mergeCell ref="P544:V544"/>
    <mergeCell ref="A545:Z545"/>
    <mergeCell ref="A546:Z546"/>
    <mergeCell ref="D547:E547"/>
    <mergeCell ref="P547:T547"/>
    <mergeCell ref="A536:Z536"/>
    <mergeCell ref="D537:E537"/>
    <mergeCell ref="P537:T537"/>
    <mergeCell ref="P538:V538"/>
    <mergeCell ref="A538:O539"/>
    <mergeCell ref="P539:V539"/>
    <mergeCell ref="A540:Z540"/>
    <mergeCell ref="D541:E541"/>
    <mergeCell ref="P541:T541"/>
    <mergeCell ref="D529:E529"/>
    <mergeCell ref="P529:T529"/>
    <mergeCell ref="P530:V530"/>
    <mergeCell ref="A530:O531"/>
    <mergeCell ref="P531:V531"/>
    <mergeCell ref="A532:Z532"/>
    <mergeCell ref="D533:E533"/>
    <mergeCell ref="P533:T533"/>
    <mergeCell ref="P534:V534"/>
    <mergeCell ref="A534:O535"/>
    <mergeCell ref="P535:V535"/>
    <mergeCell ref="A522:Z522"/>
    <mergeCell ref="A523:Z523"/>
    <mergeCell ref="A524:Z524"/>
    <mergeCell ref="D525:E525"/>
    <mergeCell ref="P525:T525"/>
    <mergeCell ref="P526:V526"/>
    <mergeCell ref="A526:O527"/>
    <mergeCell ref="P527:V527"/>
    <mergeCell ref="A528:Z528"/>
    <mergeCell ref="D516:E516"/>
    <mergeCell ref="P516:T516"/>
    <mergeCell ref="D517:E517"/>
    <mergeCell ref="P517:T517"/>
    <mergeCell ref="D518:E518"/>
    <mergeCell ref="P518:T518"/>
    <mergeCell ref="D519:E519"/>
    <mergeCell ref="P519:T519"/>
    <mergeCell ref="P520:V520"/>
    <mergeCell ref="A520:O521"/>
    <mergeCell ref="P521:V521"/>
    <mergeCell ref="P510:V510"/>
    <mergeCell ref="A510:O511"/>
    <mergeCell ref="P511:V511"/>
    <mergeCell ref="A512:Z512"/>
    <mergeCell ref="D513:E513"/>
    <mergeCell ref="P513:T513"/>
    <mergeCell ref="D514:E514"/>
    <mergeCell ref="P514:T514"/>
    <mergeCell ref="D515:E515"/>
    <mergeCell ref="P515:T515"/>
    <mergeCell ref="P504:V504"/>
    <mergeCell ref="A504:O505"/>
    <mergeCell ref="P505:V505"/>
    <mergeCell ref="A506:Z506"/>
    <mergeCell ref="D507:E507"/>
    <mergeCell ref="P507:T507"/>
    <mergeCell ref="D508:E508"/>
    <mergeCell ref="P508:T508"/>
    <mergeCell ref="D509:E509"/>
    <mergeCell ref="P509:T509"/>
    <mergeCell ref="D499:E499"/>
    <mergeCell ref="P499:T499"/>
    <mergeCell ref="D500:E500"/>
    <mergeCell ref="P500:T500"/>
    <mergeCell ref="D501:E501"/>
    <mergeCell ref="P501:T501"/>
    <mergeCell ref="D502:E502"/>
    <mergeCell ref="P502:T502"/>
    <mergeCell ref="D503:E503"/>
    <mergeCell ref="P503:T503"/>
    <mergeCell ref="A494:Z494"/>
    <mergeCell ref="D495:E495"/>
    <mergeCell ref="P495:T495"/>
    <mergeCell ref="D496:E496"/>
    <mergeCell ref="P496:T496"/>
    <mergeCell ref="D497:E497"/>
    <mergeCell ref="P497:T497"/>
    <mergeCell ref="D498:E498"/>
    <mergeCell ref="P498:T498"/>
    <mergeCell ref="D488:E488"/>
    <mergeCell ref="P488:T488"/>
    <mergeCell ref="D489:E489"/>
    <mergeCell ref="P489:T489"/>
    <mergeCell ref="P490:V490"/>
    <mergeCell ref="A490:O491"/>
    <mergeCell ref="P491:V491"/>
    <mergeCell ref="A492:Z492"/>
    <mergeCell ref="A493:Z493"/>
    <mergeCell ref="A481:Z481"/>
    <mergeCell ref="A482:Z482"/>
    <mergeCell ref="D483:E483"/>
    <mergeCell ref="P483:T483"/>
    <mergeCell ref="P484:V484"/>
    <mergeCell ref="A484:O485"/>
    <mergeCell ref="P485:V485"/>
    <mergeCell ref="A486:Z486"/>
    <mergeCell ref="D487:E487"/>
    <mergeCell ref="P487:T487"/>
    <mergeCell ref="P474:V474"/>
    <mergeCell ref="A474:O475"/>
    <mergeCell ref="P475:V475"/>
    <mergeCell ref="A476:Z476"/>
    <mergeCell ref="D477:E477"/>
    <mergeCell ref="P477:T477"/>
    <mergeCell ref="D478:E478"/>
    <mergeCell ref="P478:T478"/>
    <mergeCell ref="P479:V479"/>
    <mergeCell ref="A479:O480"/>
    <mergeCell ref="P480:V480"/>
    <mergeCell ref="D469:E469"/>
    <mergeCell ref="P469:T469"/>
    <mergeCell ref="D470:E470"/>
    <mergeCell ref="P470:T470"/>
    <mergeCell ref="D471:E471"/>
    <mergeCell ref="P471:T471"/>
    <mergeCell ref="D472:E472"/>
    <mergeCell ref="P472:T472"/>
    <mergeCell ref="D473:E473"/>
    <mergeCell ref="P473:T473"/>
    <mergeCell ref="D462:E462"/>
    <mergeCell ref="P462:T462"/>
    <mergeCell ref="P463:V463"/>
    <mergeCell ref="A463:O464"/>
    <mergeCell ref="P464:V464"/>
    <mergeCell ref="A465:Z465"/>
    <mergeCell ref="A466:Z466"/>
    <mergeCell ref="A467:Z467"/>
    <mergeCell ref="D468:E468"/>
    <mergeCell ref="P468:T468"/>
    <mergeCell ref="D456:E456"/>
    <mergeCell ref="P456:T456"/>
    <mergeCell ref="P457:V457"/>
    <mergeCell ref="A457:O458"/>
    <mergeCell ref="P458:V458"/>
    <mergeCell ref="A459:Z459"/>
    <mergeCell ref="D460:E460"/>
    <mergeCell ref="P460:T460"/>
    <mergeCell ref="D461:E461"/>
    <mergeCell ref="P461:T461"/>
    <mergeCell ref="A450:Z450"/>
    <mergeCell ref="D451:E451"/>
    <mergeCell ref="P451:T451"/>
    <mergeCell ref="D452:E452"/>
    <mergeCell ref="P452:T452"/>
    <mergeCell ref="P453:V453"/>
    <mergeCell ref="A453:O454"/>
    <mergeCell ref="P454:V454"/>
    <mergeCell ref="A455:Z455"/>
    <mergeCell ref="A444:Z444"/>
    <mergeCell ref="D445:E445"/>
    <mergeCell ref="P445:T445"/>
    <mergeCell ref="D446:E446"/>
    <mergeCell ref="P446:T446"/>
    <mergeCell ref="P447:V447"/>
    <mergeCell ref="A447:O448"/>
    <mergeCell ref="P448:V448"/>
    <mergeCell ref="A449:Z449"/>
    <mergeCell ref="A438:Z438"/>
    <mergeCell ref="D439:E439"/>
    <mergeCell ref="P439:T439"/>
    <mergeCell ref="D440:E440"/>
    <mergeCell ref="P440:T440"/>
    <mergeCell ref="D441:E441"/>
    <mergeCell ref="P441:T441"/>
    <mergeCell ref="P442:V442"/>
    <mergeCell ref="A442:O443"/>
    <mergeCell ref="P443:V443"/>
    <mergeCell ref="A432:Z432"/>
    <mergeCell ref="D433:E433"/>
    <mergeCell ref="P433:T433"/>
    <mergeCell ref="D434:E434"/>
    <mergeCell ref="P434:T434"/>
    <mergeCell ref="D435:E435"/>
    <mergeCell ref="P435:T435"/>
    <mergeCell ref="P436:V436"/>
    <mergeCell ref="A436:O437"/>
    <mergeCell ref="P437:V437"/>
    <mergeCell ref="D426:E426"/>
    <mergeCell ref="P426:T426"/>
    <mergeCell ref="D427:E427"/>
    <mergeCell ref="P427:T427"/>
    <mergeCell ref="D428:E428"/>
    <mergeCell ref="P428:T428"/>
    <mergeCell ref="D429:E429"/>
    <mergeCell ref="P429:T429"/>
    <mergeCell ref="P430:V430"/>
    <mergeCell ref="A430:O431"/>
    <mergeCell ref="P431:V431"/>
    <mergeCell ref="A421:Z421"/>
    <mergeCell ref="D422:E422"/>
    <mergeCell ref="P422:T422"/>
    <mergeCell ref="D423:E423"/>
    <mergeCell ref="P423:T423"/>
    <mergeCell ref="D424:E424"/>
    <mergeCell ref="P424:T424"/>
    <mergeCell ref="D425:E425"/>
    <mergeCell ref="P425:T425"/>
    <mergeCell ref="D415:E415"/>
    <mergeCell ref="P415:T415"/>
    <mergeCell ref="D416:E416"/>
    <mergeCell ref="P416:T416"/>
    <mergeCell ref="P417:V417"/>
    <mergeCell ref="A417:O418"/>
    <mergeCell ref="P418:V418"/>
    <mergeCell ref="A419:Z419"/>
    <mergeCell ref="A420:Z420"/>
    <mergeCell ref="D409:E409"/>
    <mergeCell ref="P409:T409"/>
    <mergeCell ref="P410:V410"/>
    <mergeCell ref="A410:O411"/>
    <mergeCell ref="P411:V411"/>
    <mergeCell ref="A412:Z412"/>
    <mergeCell ref="A413:Z413"/>
    <mergeCell ref="D414:E414"/>
    <mergeCell ref="P414:T414"/>
    <mergeCell ref="D403:E403"/>
    <mergeCell ref="P403:T403"/>
    <mergeCell ref="P404:V404"/>
    <mergeCell ref="A404:O405"/>
    <mergeCell ref="P405:V405"/>
    <mergeCell ref="A406:Z406"/>
    <mergeCell ref="D407:E407"/>
    <mergeCell ref="P407:T407"/>
    <mergeCell ref="D408:E408"/>
    <mergeCell ref="P408:T408"/>
    <mergeCell ref="D397:E397"/>
    <mergeCell ref="P397:T397"/>
    <mergeCell ref="P398:V398"/>
    <mergeCell ref="A398:O399"/>
    <mergeCell ref="P399:V399"/>
    <mergeCell ref="A400:Z400"/>
    <mergeCell ref="D401:E401"/>
    <mergeCell ref="P401:T401"/>
    <mergeCell ref="D402:E402"/>
    <mergeCell ref="P402:T402"/>
    <mergeCell ref="P391:V391"/>
    <mergeCell ref="A391:O392"/>
    <mergeCell ref="P392:V392"/>
    <mergeCell ref="A393:Z393"/>
    <mergeCell ref="D394:E394"/>
    <mergeCell ref="P394:T394"/>
    <mergeCell ref="D395:E395"/>
    <mergeCell ref="P395:T395"/>
    <mergeCell ref="D396:E396"/>
    <mergeCell ref="P396:T396"/>
    <mergeCell ref="P385:V385"/>
    <mergeCell ref="A385:O386"/>
    <mergeCell ref="P386:V386"/>
    <mergeCell ref="A387:Z387"/>
    <mergeCell ref="D388:E388"/>
    <mergeCell ref="P388:T388"/>
    <mergeCell ref="D389:E389"/>
    <mergeCell ref="P389:T389"/>
    <mergeCell ref="D390:E390"/>
    <mergeCell ref="P390:T390"/>
    <mergeCell ref="A380:Z380"/>
    <mergeCell ref="D381:E381"/>
    <mergeCell ref="P381:T381"/>
    <mergeCell ref="D382:E382"/>
    <mergeCell ref="P382:T382"/>
    <mergeCell ref="D383:E383"/>
    <mergeCell ref="P383:T383"/>
    <mergeCell ref="D384:E384"/>
    <mergeCell ref="P384:T384"/>
    <mergeCell ref="D375:E375"/>
    <mergeCell ref="P375:T375"/>
    <mergeCell ref="D376:E376"/>
    <mergeCell ref="P376:T376"/>
    <mergeCell ref="D377:E377"/>
    <mergeCell ref="P377:T377"/>
    <mergeCell ref="P378:V378"/>
    <mergeCell ref="A378:O379"/>
    <mergeCell ref="P379:V379"/>
    <mergeCell ref="A370:Z370"/>
    <mergeCell ref="D371:E371"/>
    <mergeCell ref="P371:T371"/>
    <mergeCell ref="D372:E372"/>
    <mergeCell ref="P372:T372"/>
    <mergeCell ref="D373:E373"/>
    <mergeCell ref="P373:T373"/>
    <mergeCell ref="D374:E374"/>
    <mergeCell ref="P374:T374"/>
    <mergeCell ref="D364:E364"/>
    <mergeCell ref="P364:T364"/>
    <mergeCell ref="D365:E365"/>
    <mergeCell ref="P365:T365"/>
    <mergeCell ref="D366:E366"/>
    <mergeCell ref="P366:T366"/>
    <mergeCell ref="D367:E367"/>
    <mergeCell ref="P367:T367"/>
    <mergeCell ref="P368:V368"/>
    <mergeCell ref="A368:O369"/>
    <mergeCell ref="P369:V369"/>
    <mergeCell ref="D358:E358"/>
    <mergeCell ref="P358:T358"/>
    <mergeCell ref="P359:V359"/>
    <mergeCell ref="A359:O360"/>
    <mergeCell ref="P360:V360"/>
    <mergeCell ref="A361:Z361"/>
    <mergeCell ref="A362:Z362"/>
    <mergeCell ref="D363:E363"/>
    <mergeCell ref="P363:T363"/>
    <mergeCell ref="P352:V352"/>
    <mergeCell ref="A352:O353"/>
    <mergeCell ref="P353:V353"/>
    <mergeCell ref="A354:Z354"/>
    <mergeCell ref="A355:Z355"/>
    <mergeCell ref="D356:E356"/>
    <mergeCell ref="P356:T356"/>
    <mergeCell ref="D357:E357"/>
    <mergeCell ref="P357:T357"/>
    <mergeCell ref="D346:E346"/>
    <mergeCell ref="P346:T346"/>
    <mergeCell ref="P347:V347"/>
    <mergeCell ref="A347:O348"/>
    <mergeCell ref="P348:V348"/>
    <mergeCell ref="A349:Z349"/>
    <mergeCell ref="D350:E350"/>
    <mergeCell ref="P350:T350"/>
    <mergeCell ref="D351:E351"/>
    <mergeCell ref="P351:T351"/>
    <mergeCell ref="A340:Z340"/>
    <mergeCell ref="A341:Z341"/>
    <mergeCell ref="D342:E342"/>
    <mergeCell ref="P342:T342"/>
    <mergeCell ref="D343:E343"/>
    <mergeCell ref="P343:T343"/>
    <mergeCell ref="D344:E344"/>
    <mergeCell ref="P344:T344"/>
    <mergeCell ref="D345:E345"/>
    <mergeCell ref="P345:T345"/>
    <mergeCell ref="A333:Z333"/>
    <mergeCell ref="A334:Z334"/>
    <mergeCell ref="D335:E335"/>
    <mergeCell ref="P335:T335"/>
    <mergeCell ref="D336:E336"/>
    <mergeCell ref="P336:T336"/>
    <mergeCell ref="D337:E337"/>
    <mergeCell ref="P337:T337"/>
    <mergeCell ref="P338:V338"/>
    <mergeCell ref="A338:O339"/>
    <mergeCell ref="P339:V339"/>
    <mergeCell ref="D328:E328"/>
    <mergeCell ref="P328:T328"/>
    <mergeCell ref="D329:E329"/>
    <mergeCell ref="P329:T329"/>
    <mergeCell ref="D330:E330"/>
    <mergeCell ref="P330:T330"/>
    <mergeCell ref="P331:V331"/>
    <mergeCell ref="A331:O332"/>
    <mergeCell ref="P332:V332"/>
    <mergeCell ref="P322:V322"/>
    <mergeCell ref="A322:O323"/>
    <mergeCell ref="P323:V323"/>
    <mergeCell ref="A324:Z324"/>
    <mergeCell ref="A325:Z325"/>
    <mergeCell ref="D326:E326"/>
    <mergeCell ref="P326:T326"/>
    <mergeCell ref="D327:E327"/>
    <mergeCell ref="P327:T327"/>
    <mergeCell ref="P316:V316"/>
    <mergeCell ref="A316:O317"/>
    <mergeCell ref="P317:V317"/>
    <mergeCell ref="A318:Z318"/>
    <mergeCell ref="D319:E319"/>
    <mergeCell ref="P319:T319"/>
    <mergeCell ref="D320:E320"/>
    <mergeCell ref="P320:T320"/>
    <mergeCell ref="D321:E321"/>
    <mergeCell ref="P321:T321"/>
    <mergeCell ref="A310:Z310"/>
    <mergeCell ref="D311:E311"/>
    <mergeCell ref="P311:T311"/>
    <mergeCell ref="P312:V312"/>
    <mergeCell ref="A312:O313"/>
    <mergeCell ref="P313:V313"/>
    <mergeCell ref="A314:Z314"/>
    <mergeCell ref="D315:E315"/>
    <mergeCell ref="P315:T315"/>
    <mergeCell ref="D305:E305"/>
    <mergeCell ref="P305:T305"/>
    <mergeCell ref="D306:E306"/>
    <mergeCell ref="P306:T306"/>
    <mergeCell ref="D307:E307"/>
    <mergeCell ref="P307:T307"/>
    <mergeCell ref="P308:V308"/>
    <mergeCell ref="A308:O309"/>
    <mergeCell ref="P309:V309"/>
    <mergeCell ref="A300:Z300"/>
    <mergeCell ref="D301:E301"/>
    <mergeCell ref="P301:T301"/>
    <mergeCell ref="D302:E302"/>
    <mergeCell ref="P302:T302"/>
    <mergeCell ref="D303:E303"/>
    <mergeCell ref="P303:T303"/>
    <mergeCell ref="D304:E304"/>
    <mergeCell ref="P304:T304"/>
    <mergeCell ref="A294:Z294"/>
    <mergeCell ref="D295:E295"/>
    <mergeCell ref="P295:T295"/>
    <mergeCell ref="D296:E296"/>
    <mergeCell ref="P296:T296"/>
    <mergeCell ref="P297:V297"/>
    <mergeCell ref="A297:O298"/>
    <mergeCell ref="P298:V298"/>
    <mergeCell ref="A299:Z299"/>
    <mergeCell ref="D288:E288"/>
    <mergeCell ref="P288:T288"/>
    <mergeCell ref="D289:E289"/>
    <mergeCell ref="P289:T289"/>
    <mergeCell ref="D290:E290"/>
    <mergeCell ref="P290:T290"/>
    <mergeCell ref="D291:E291"/>
    <mergeCell ref="P291:T291"/>
    <mergeCell ref="P292:V292"/>
    <mergeCell ref="A292:O293"/>
    <mergeCell ref="P293:V293"/>
    <mergeCell ref="D283:E283"/>
    <mergeCell ref="P283:T283"/>
    <mergeCell ref="D284:E284"/>
    <mergeCell ref="P284:T284"/>
    <mergeCell ref="D285:E285"/>
    <mergeCell ref="P285:T285"/>
    <mergeCell ref="D286:E286"/>
    <mergeCell ref="P286:T286"/>
    <mergeCell ref="D287:E287"/>
    <mergeCell ref="P287:T287"/>
    <mergeCell ref="P277:V277"/>
    <mergeCell ref="A277:O278"/>
    <mergeCell ref="P278:V278"/>
    <mergeCell ref="A279:Z279"/>
    <mergeCell ref="D280:E280"/>
    <mergeCell ref="P280:T280"/>
    <mergeCell ref="D281:E281"/>
    <mergeCell ref="P281:T281"/>
    <mergeCell ref="D282:E282"/>
    <mergeCell ref="P282:T282"/>
    <mergeCell ref="D272:E272"/>
    <mergeCell ref="P272:T272"/>
    <mergeCell ref="D273:E273"/>
    <mergeCell ref="P273:T273"/>
    <mergeCell ref="D274:E274"/>
    <mergeCell ref="P274:T274"/>
    <mergeCell ref="D275:E275"/>
    <mergeCell ref="P275:T275"/>
    <mergeCell ref="D276:E276"/>
    <mergeCell ref="P276:T276"/>
    <mergeCell ref="P266:V266"/>
    <mergeCell ref="A266:O267"/>
    <mergeCell ref="P267:V267"/>
    <mergeCell ref="A268:Z268"/>
    <mergeCell ref="D269:E269"/>
    <mergeCell ref="P269:T269"/>
    <mergeCell ref="D270:E270"/>
    <mergeCell ref="P270:T270"/>
    <mergeCell ref="D271:E271"/>
    <mergeCell ref="P271:T271"/>
    <mergeCell ref="D260:E260"/>
    <mergeCell ref="P260:T260"/>
    <mergeCell ref="P261:V261"/>
    <mergeCell ref="A261:O262"/>
    <mergeCell ref="P262:V262"/>
    <mergeCell ref="A263:Z263"/>
    <mergeCell ref="D264:E264"/>
    <mergeCell ref="P264:T264"/>
    <mergeCell ref="D265:E265"/>
    <mergeCell ref="P265:T265"/>
    <mergeCell ref="A253:Z253"/>
    <mergeCell ref="D254:E254"/>
    <mergeCell ref="P254:T254"/>
    <mergeCell ref="P255:V255"/>
    <mergeCell ref="A255:O256"/>
    <mergeCell ref="P256:V256"/>
    <mergeCell ref="A257:Z257"/>
    <mergeCell ref="A258:Z258"/>
    <mergeCell ref="D259:E259"/>
    <mergeCell ref="P259:T259"/>
    <mergeCell ref="A247:Z247"/>
    <mergeCell ref="D248:E248"/>
    <mergeCell ref="P248:T248"/>
    <mergeCell ref="D249:E249"/>
    <mergeCell ref="P249:T249"/>
    <mergeCell ref="D250:E250"/>
    <mergeCell ref="P250:T250"/>
    <mergeCell ref="P251:V251"/>
    <mergeCell ref="A251:O252"/>
    <mergeCell ref="P252:V252"/>
    <mergeCell ref="D242:E242"/>
    <mergeCell ref="P242:T242"/>
    <mergeCell ref="D243:E243"/>
    <mergeCell ref="P243:T243"/>
    <mergeCell ref="D244:E244"/>
    <mergeCell ref="P244:T244"/>
    <mergeCell ref="P245:V245"/>
    <mergeCell ref="A245:O246"/>
    <mergeCell ref="P246:V246"/>
    <mergeCell ref="D236:E236"/>
    <mergeCell ref="P236:T236"/>
    <mergeCell ref="P237:V237"/>
    <mergeCell ref="A237:O238"/>
    <mergeCell ref="P238:V238"/>
    <mergeCell ref="A239:Z239"/>
    <mergeCell ref="D240:E240"/>
    <mergeCell ref="P240:T240"/>
    <mergeCell ref="D241:E241"/>
    <mergeCell ref="P241:T241"/>
    <mergeCell ref="D231:E231"/>
    <mergeCell ref="P231:T231"/>
    <mergeCell ref="D232:E232"/>
    <mergeCell ref="P232:T232"/>
    <mergeCell ref="D233:E233"/>
    <mergeCell ref="P233:T233"/>
    <mergeCell ref="D234:E234"/>
    <mergeCell ref="P234:T234"/>
    <mergeCell ref="D235:E235"/>
    <mergeCell ref="P235:T235"/>
    <mergeCell ref="D226:E226"/>
    <mergeCell ref="P226:T226"/>
    <mergeCell ref="D227:E227"/>
    <mergeCell ref="P227:T227"/>
    <mergeCell ref="D228:E228"/>
    <mergeCell ref="P228:T228"/>
    <mergeCell ref="D229:E229"/>
    <mergeCell ref="P229:T229"/>
    <mergeCell ref="D230:E230"/>
    <mergeCell ref="P230:T230"/>
    <mergeCell ref="P220:V220"/>
    <mergeCell ref="A220:O221"/>
    <mergeCell ref="P221:V221"/>
    <mergeCell ref="A222:Z222"/>
    <mergeCell ref="D223:E223"/>
    <mergeCell ref="P223:T223"/>
    <mergeCell ref="D224:E224"/>
    <mergeCell ref="P224:T224"/>
    <mergeCell ref="D225:E225"/>
    <mergeCell ref="P225:T225"/>
    <mergeCell ref="D214:E214"/>
    <mergeCell ref="P214:T214"/>
    <mergeCell ref="P215:V215"/>
    <mergeCell ref="A215:O216"/>
    <mergeCell ref="P216:V216"/>
    <mergeCell ref="A217:Z217"/>
    <mergeCell ref="A218:Z218"/>
    <mergeCell ref="D219:E219"/>
    <mergeCell ref="P219:T219"/>
    <mergeCell ref="D209:E209"/>
    <mergeCell ref="P209:T209"/>
    <mergeCell ref="D210:E210"/>
    <mergeCell ref="P210:T210"/>
    <mergeCell ref="D211:E211"/>
    <mergeCell ref="P211:T211"/>
    <mergeCell ref="D212:E212"/>
    <mergeCell ref="P212:T212"/>
    <mergeCell ref="D213:E213"/>
    <mergeCell ref="P213:T213"/>
    <mergeCell ref="D202:E202"/>
    <mergeCell ref="P202:T202"/>
    <mergeCell ref="P203:V203"/>
    <mergeCell ref="A203:O204"/>
    <mergeCell ref="P204:V204"/>
    <mergeCell ref="A205:Z205"/>
    <mergeCell ref="A206:Z206"/>
    <mergeCell ref="A207:Z207"/>
    <mergeCell ref="D208:E208"/>
    <mergeCell ref="P208:T208"/>
    <mergeCell ref="A196:Z196"/>
    <mergeCell ref="D197:E197"/>
    <mergeCell ref="P197:T197"/>
    <mergeCell ref="D198:E198"/>
    <mergeCell ref="P198:T198"/>
    <mergeCell ref="P199:V199"/>
    <mergeCell ref="A199:O200"/>
    <mergeCell ref="P200:V200"/>
    <mergeCell ref="A201:Z201"/>
    <mergeCell ref="A190:Z190"/>
    <mergeCell ref="D191:E191"/>
    <mergeCell ref="P191:T191"/>
    <mergeCell ref="D192:E192"/>
    <mergeCell ref="P192:T192"/>
    <mergeCell ref="D193:E193"/>
    <mergeCell ref="P193:T193"/>
    <mergeCell ref="P194:V194"/>
    <mergeCell ref="A194:O195"/>
    <mergeCell ref="P195:V195"/>
    <mergeCell ref="D184:E184"/>
    <mergeCell ref="P184:T184"/>
    <mergeCell ref="D185:E185"/>
    <mergeCell ref="P185:T185"/>
    <mergeCell ref="D186:E186"/>
    <mergeCell ref="P186:T186"/>
    <mergeCell ref="D187:E187"/>
    <mergeCell ref="P187:T187"/>
    <mergeCell ref="P188:V188"/>
    <mergeCell ref="A188:O189"/>
    <mergeCell ref="P189:V189"/>
    <mergeCell ref="D179:E179"/>
    <mergeCell ref="P179:T179"/>
    <mergeCell ref="D180:E180"/>
    <mergeCell ref="P180:T180"/>
    <mergeCell ref="D181:E181"/>
    <mergeCell ref="P181:T181"/>
    <mergeCell ref="D182:E182"/>
    <mergeCell ref="P182:T182"/>
    <mergeCell ref="D183:E183"/>
    <mergeCell ref="P183:T183"/>
    <mergeCell ref="D173:E173"/>
    <mergeCell ref="P173:T173"/>
    <mergeCell ref="P174:V174"/>
    <mergeCell ref="A174:O175"/>
    <mergeCell ref="P175:V175"/>
    <mergeCell ref="A176:Z176"/>
    <mergeCell ref="D177:E177"/>
    <mergeCell ref="P177:T177"/>
    <mergeCell ref="D178:E178"/>
    <mergeCell ref="P178:T178"/>
    <mergeCell ref="D167:E167"/>
    <mergeCell ref="P167:T167"/>
    <mergeCell ref="D168:E168"/>
    <mergeCell ref="P168:T168"/>
    <mergeCell ref="P169:V169"/>
    <mergeCell ref="A169:O170"/>
    <mergeCell ref="P170:V170"/>
    <mergeCell ref="A171:Z171"/>
    <mergeCell ref="D172:E172"/>
    <mergeCell ref="P172:T172"/>
    <mergeCell ref="A160:Z160"/>
    <mergeCell ref="D161:E161"/>
    <mergeCell ref="P161:T161"/>
    <mergeCell ref="P162:V162"/>
    <mergeCell ref="A162:O163"/>
    <mergeCell ref="P163:V163"/>
    <mergeCell ref="A164:Z164"/>
    <mergeCell ref="A165:Z165"/>
    <mergeCell ref="D166:E166"/>
    <mergeCell ref="P166:T166"/>
    <mergeCell ref="D154:E154"/>
    <mergeCell ref="P154:T154"/>
    <mergeCell ref="D155:E155"/>
    <mergeCell ref="P155:T155"/>
    <mergeCell ref="D156:E156"/>
    <mergeCell ref="P156:T156"/>
    <mergeCell ref="D157:E157"/>
    <mergeCell ref="P157:T157"/>
    <mergeCell ref="P158:V158"/>
    <mergeCell ref="A158:O159"/>
    <mergeCell ref="P159:V159"/>
    <mergeCell ref="D148:E148"/>
    <mergeCell ref="P148:T148"/>
    <mergeCell ref="D149:E149"/>
    <mergeCell ref="P149:T149"/>
    <mergeCell ref="P150:V150"/>
    <mergeCell ref="A150:O151"/>
    <mergeCell ref="P151:V151"/>
    <mergeCell ref="A152:Z152"/>
    <mergeCell ref="A153:Z153"/>
    <mergeCell ref="D142:E142"/>
    <mergeCell ref="P142:T142"/>
    <mergeCell ref="P143:V143"/>
    <mergeCell ref="A143:O144"/>
    <mergeCell ref="P144:V144"/>
    <mergeCell ref="A145:Z145"/>
    <mergeCell ref="D146:E146"/>
    <mergeCell ref="P146:T146"/>
    <mergeCell ref="D147:E147"/>
    <mergeCell ref="P147:T147"/>
    <mergeCell ref="P136:V136"/>
    <mergeCell ref="A136:O137"/>
    <mergeCell ref="P137:V137"/>
    <mergeCell ref="A138:Z138"/>
    <mergeCell ref="D139:E139"/>
    <mergeCell ref="P139:T139"/>
    <mergeCell ref="D140:E140"/>
    <mergeCell ref="P140:T140"/>
    <mergeCell ref="D141:E141"/>
    <mergeCell ref="P141:T141"/>
    <mergeCell ref="A130:Z130"/>
    <mergeCell ref="A131:Z131"/>
    <mergeCell ref="D132:E132"/>
    <mergeCell ref="P132:T132"/>
    <mergeCell ref="D133:E133"/>
    <mergeCell ref="P133:T133"/>
    <mergeCell ref="D134:E134"/>
    <mergeCell ref="P134:T134"/>
    <mergeCell ref="D135:E135"/>
    <mergeCell ref="P135:T135"/>
    <mergeCell ref="P124:V124"/>
    <mergeCell ref="A124:O125"/>
    <mergeCell ref="P125:V125"/>
    <mergeCell ref="A126:Z126"/>
    <mergeCell ref="D127:E127"/>
    <mergeCell ref="P127:T127"/>
    <mergeCell ref="P128:V128"/>
    <mergeCell ref="A128:O129"/>
    <mergeCell ref="P129:V129"/>
    <mergeCell ref="A119:Z119"/>
    <mergeCell ref="D120:E120"/>
    <mergeCell ref="P120:T120"/>
    <mergeCell ref="D121:E121"/>
    <mergeCell ref="P121:T121"/>
    <mergeCell ref="D122:E122"/>
    <mergeCell ref="P122:T122"/>
    <mergeCell ref="D123:E123"/>
    <mergeCell ref="P123:T123"/>
    <mergeCell ref="D113:E113"/>
    <mergeCell ref="P113:T113"/>
    <mergeCell ref="D114:E114"/>
    <mergeCell ref="P114:T114"/>
    <mergeCell ref="D115:E115"/>
    <mergeCell ref="P115:T115"/>
    <mergeCell ref="D116:E116"/>
    <mergeCell ref="P116:T116"/>
    <mergeCell ref="P117:V117"/>
    <mergeCell ref="A117:O118"/>
    <mergeCell ref="P118:V118"/>
    <mergeCell ref="D107:E107"/>
    <mergeCell ref="P107:T107"/>
    <mergeCell ref="D108:E108"/>
    <mergeCell ref="P108:T108"/>
    <mergeCell ref="P109:V109"/>
    <mergeCell ref="A109:O110"/>
    <mergeCell ref="P110:V110"/>
    <mergeCell ref="A111:Z111"/>
    <mergeCell ref="D112:E112"/>
    <mergeCell ref="P112:T112"/>
    <mergeCell ref="A101:Z101"/>
    <mergeCell ref="A102:Z102"/>
    <mergeCell ref="D103:E103"/>
    <mergeCell ref="P103:T103"/>
    <mergeCell ref="D104:E104"/>
    <mergeCell ref="P104:T104"/>
    <mergeCell ref="D105:E105"/>
    <mergeCell ref="P105:T105"/>
    <mergeCell ref="D106:E106"/>
    <mergeCell ref="P106:T106"/>
    <mergeCell ref="D96:E96"/>
    <mergeCell ref="P96:T96"/>
    <mergeCell ref="D97:E97"/>
    <mergeCell ref="P97:T97"/>
    <mergeCell ref="D98:E98"/>
    <mergeCell ref="P98:T98"/>
    <mergeCell ref="P99:V99"/>
    <mergeCell ref="A99:O100"/>
    <mergeCell ref="P100:V100"/>
    <mergeCell ref="D90:E90"/>
    <mergeCell ref="P90:T90"/>
    <mergeCell ref="D91:E91"/>
    <mergeCell ref="P91:T91"/>
    <mergeCell ref="P92:V92"/>
    <mergeCell ref="A92:O93"/>
    <mergeCell ref="P93:V93"/>
    <mergeCell ref="A94:Z94"/>
    <mergeCell ref="D95:E95"/>
    <mergeCell ref="P95:T95"/>
    <mergeCell ref="P84:V84"/>
    <mergeCell ref="A84:O85"/>
    <mergeCell ref="P85:V85"/>
    <mergeCell ref="A86:Z86"/>
    <mergeCell ref="A87:Z87"/>
    <mergeCell ref="D88:E88"/>
    <mergeCell ref="P88:T88"/>
    <mergeCell ref="D89:E89"/>
    <mergeCell ref="P89:T89"/>
    <mergeCell ref="D78:E78"/>
    <mergeCell ref="P78:T78"/>
    <mergeCell ref="P79:V79"/>
    <mergeCell ref="A79:O80"/>
    <mergeCell ref="P80:V80"/>
    <mergeCell ref="A81:Z81"/>
    <mergeCell ref="D82:E82"/>
    <mergeCell ref="P82:T82"/>
    <mergeCell ref="D83:E83"/>
    <mergeCell ref="P83:T83"/>
    <mergeCell ref="D72:E72"/>
    <mergeCell ref="P72:T72"/>
    <mergeCell ref="D73:E73"/>
    <mergeCell ref="P73:T73"/>
    <mergeCell ref="P74:V74"/>
    <mergeCell ref="A74:O75"/>
    <mergeCell ref="P75:V75"/>
    <mergeCell ref="A76:Z76"/>
    <mergeCell ref="D77:E77"/>
    <mergeCell ref="P77:T77"/>
    <mergeCell ref="D66:E66"/>
    <mergeCell ref="P66:T66"/>
    <mergeCell ref="P67:V67"/>
    <mergeCell ref="A67:O68"/>
    <mergeCell ref="P68:V68"/>
    <mergeCell ref="A69:Z69"/>
    <mergeCell ref="D70:E70"/>
    <mergeCell ref="P70:T70"/>
    <mergeCell ref="D71:E71"/>
    <mergeCell ref="P71:T71"/>
    <mergeCell ref="D61:E61"/>
    <mergeCell ref="P61:T61"/>
    <mergeCell ref="D62:E62"/>
    <mergeCell ref="P62:T62"/>
    <mergeCell ref="D63:E63"/>
    <mergeCell ref="P63:T63"/>
    <mergeCell ref="D64:E64"/>
    <mergeCell ref="P64:T64"/>
    <mergeCell ref="D65:E65"/>
    <mergeCell ref="P65:T65"/>
    <mergeCell ref="P55:V55"/>
    <mergeCell ref="A55:O56"/>
    <mergeCell ref="P56:V56"/>
    <mergeCell ref="A57:Z57"/>
    <mergeCell ref="A58:Z58"/>
    <mergeCell ref="D59:E59"/>
    <mergeCell ref="P59:T59"/>
    <mergeCell ref="D60:E60"/>
    <mergeCell ref="P60:T60"/>
    <mergeCell ref="A50:Z50"/>
    <mergeCell ref="D51:E51"/>
    <mergeCell ref="P51:T51"/>
    <mergeCell ref="D52:E52"/>
    <mergeCell ref="P52:T52"/>
    <mergeCell ref="D53:E53"/>
    <mergeCell ref="P53:T53"/>
    <mergeCell ref="D54:E54"/>
    <mergeCell ref="P54:T54"/>
    <mergeCell ref="D44:E44"/>
    <mergeCell ref="P44:T44"/>
    <mergeCell ref="D45:E45"/>
    <mergeCell ref="P45:T45"/>
    <mergeCell ref="P46:V46"/>
    <mergeCell ref="A46:O47"/>
    <mergeCell ref="P47:V47"/>
    <mergeCell ref="A48:Z48"/>
    <mergeCell ref="A49:Z49"/>
    <mergeCell ref="A38:Z38"/>
    <mergeCell ref="A39:Z39"/>
    <mergeCell ref="A40:Z40"/>
    <mergeCell ref="D41:E41"/>
    <mergeCell ref="P41:T41"/>
    <mergeCell ref="D42:E42"/>
    <mergeCell ref="P42:T42"/>
    <mergeCell ref="D43:E43"/>
    <mergeCell ref="P43:T43"/>
    <mergeCell ref="D31:E31"/>
    <mergeCell ref="P31:T31"/>
    <mergeCell ref="P32:V32"/>
    <mergeCell ref="A32:O33"/>
    <mergeCell ref="P33:V33"/>
    <mergeCell ref="A34:Z34"/>
    <mergeCell ref="D35:E35"/>
    <mergeCell ref="P35:T35"/>
    <mergeCell ref="P36:V36"/>
    <mergeCell ref="A36:O37"/>
    <mergeCell ref="P37:V37"/>
    <mergeCell ref="A26:Z26"/>
    <mergeCell ref="D27:E27"/>
    <mergeCell ref="P27:T27"/>
    <mergeCell ref="D28:E28"/>
    <mergeCell ref="P28:T28"/>
    <mergeCell ref="D29:E29"/>
    <mergeCell ref="P29:T29"/>
    <mergeCell ref="D30:E30"/>
    <mergeCell ref="P30:T30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A8:N10">
    <cfRule type="expression" dxfId="2" priority="2" stopIfTrue="1">
      <formula>IF($V$5="самовывоз",1,0)</formula>
    </cfRule>
  </conditionalFormatting>
  <conditionalFormatting sqref="P5:R6 P8:R8">
    <cfRule type="expression" dxfId="1" priority="1" stopIfTrue="1">
      <formula>IF($V$5="доставка",1,0)</formula>
    </cfRule>
  </conditionalFormatting>
  <conditionalFormatting sqref="P9:R13">
    <cfRule type="expression" dxfId="0" priority="13" stopIfTrue="1">
      <formula>IF($V$5="самовывоз",1,0)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CHOOSE($D$7,UnloadAdressList0001,UnloadAdressList0002,UnloadAdressList0003,UnloadAdressList0004,UnloadAdressList0005,UnloadAdressList0006,UnloadAdressList0007)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38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866</v>
      </c>
      <c r="H1" s="9"/>
    </row>
    <row r="3" spans="2:8" x14ac:dyDescent="0.2">
      <c r="B3" s="51" t="s">
        <v>867</v>
      </c>
      <c r="C3" s="51" t="s">
        <v>46</v>
      </c>
      <c r="D3" s="51" t="s">
        <v>46</v>
      </c>
      <c r="E3" s="51" t="s">
        <v>46</v>
      </c>
    </row>
    <row r="4" spans="2:8" x14ac:dyDescent="0.2">
      <c r="B4" s="51" t="s">
        <v>868</v>
      </c>
      <c r="C4" s="51" t="s">
        <v>46</v>
      </c>
      <c r="D4" s="51" t="s">
        <v>46</v>
      </c>
      <c r="E4" s="51" t="s">
        <v>46</v>
      </c>
    </row>
    <row r="6" spans="2:8" x14ac:dyDescent="0.2">
      <c r="B6" s="51" t="s">
        <v>869</v>
      </c>
      <c r="C6" s="51" t="s">
        <v>870</v>
      </c>
      <c r="D6" s="51" t="s">
        <v>871</v>
      </c>
      <c r="E6" s="51" t="s">
        <v>46</v>
      </c>
    </row>
    <row r="7" spans="2:8" x14ac:dyDescent="0.2">
      <c r="B7" s="51" t="s">
        <v>872</v>
      </c>
      <c r="C7" s="51" t="s">
        <v>873</v>
      </c>
      <c r="D7" s="51" t="s">
        <v>874</v>
      </c>
      <c r="E7" s="51" t="s">
        <v>46</v>
      </c>
    </row>
    <row r="8" spans="2:8" x14ac:dyDescent="0.2">
      <c r="B8" s="51" t="s">
        <v>875</v>
      </c>
      <c r="C8" s="51" t="s">
        <v>876</v>
      </c>
      <c r="D8" s="51" t="s">
        <v>877</v>
      </c>
      <c r="E8" s="51" t="s">
        <v>46</v>
      </c>
    </row>
    <row r="9" spans="2:8" x14ac:dyDescent="0.2">
      <c r="B9" s="51" t="s">
        <v>878</v>
      </c>
      <c r="C9" s="51" t="s">
        <v>879</v>
      </c>
      <c r="D9" s="51" t="s">
        <v>880</v>
      </c>
      <c r="E9" s="51" t="s">
        <v>46</v>
      </c>
    </row>
    <row r="10" spans="2:8" x14ac:dyDescent="0.2">
      <c r="B10" s="51" t="s">
        <v>881</v>
      </c>
      <c r="C10" s="51" t="s">
        <v>882</v>
      </c>
      <c r="D10" s="51" t="s">
        <v>883</v>
      </c>
      <c r="E10" s="51" t="s">
        <v>46</v>
      </c>
    </row>
    <row r="11" spans="2:8" x14ac:dyDescent="0.2">
      <c r="B11" s="51" t="s">
        <v>884</v>
      </c>
      <c r="C11" s="51" t="s">
        <v>885</v>
      </c>
      <c r="D11" s="51" t="s">
        <v>886</v>
      </c>
      <c r="E11" s="51" t="s">
        <v>46</v>
      </c>
    </row>
    <row r="12" spans="2:8" x14ac:dyDescent="0.2">
      <c r="B12" s="51" t="s">
        <v>887</v>
      </c>
      <c r="C12" s="51" t="s">
        <v>888</v>
      </c>
      <c r="D12" s="51" t="s">
        <v>889</v>
      </c>
      <c r="E12" s="51" t="s">
        <v>46</v>
      </c>
    </row>
    <row r="14" spans="2:8" x14ac:dyDescent="0.2">
      <c r="B14" s="51" t="s">
        <v>890</v>
      </c>
      <c r="C14" s="51" t="s">
        <v>870</v>
      </c>
      <c r="D14" s="51" t="s">
        <v>46</v>
      </c>
      <c r="E14" s="51" t="s">
        <v>46</v>
      </c>
    </row>
    <row r="16" spans="2:8" x14ac:dyDescent="0.2">
      <c r="B16" s="51" t="s">
        <v>891</v>
      </c>
      <c r="C16" s="51" t="s">
        <v>873</v>
      </c>
      <c r="D16" s="51" t="s">
        <v>46</v>
      </c>
      <c r="E16" s="51" t="s">
        <v>46</v>
      </c>
    </row>
    <row r="18" spans="2:5" x14ac:dyDescent="0.2">
      <c r="B18" s="51" t="s">
        <v>892</v>
      </c>
      <c r="C18" s="51" t="s">
        <v>876</v>
      </c>
      <c r="D18" s="51" t="s">
        <v>46</v>
      </c>
      <c r="E18" s="51" t="s">
        <v>46</v>
      </c>
    </row>
    <row r="20" spans="2:5" x14ac:dyDescent="0.2">
      <c r="B20" s="51" t="s">
        <v>893</v>
      </c>
      <c r="C20" s="51" t="s">
        <v>879</v>
      </c>
      <c r="D20" s="51" t="s">
        <v>46</v>
      </c>
      <c r="E20" s="51" t="s">
        <v>46</v>
      </c>
    </row>
    <row r="22" spans="2:5" x14ac:dyDescent="0.2">
      <c r="B22" s="51" t="s">
        <v>894</v>
      </c>
      <c r="C22" s="51" t="s">
        <v>882</v>
      </c>
      <c r="D22" s="51" t="s">
        <v>46</v>
      </c>
      <c r="E22" s="51" t="s">
        <v>46</v>
      </c>
    </row>
    <row r="24" spans="2:5" x14ac:dyDescent="0.2">
      <c r="B24" s="51" t="s">
        <v>895</v>
      </c>
      <c r="C24" s="51" t="s">
        <v>885</v>
      </c>
      <c r="D24" s="51" t="s">
        <v>46</v>
      </c>
      <c r="E24" s="51" t="s">
        <v>46</v>
      </c>
    </row>
    <row r="26" spans="2:5" x14ac:dyDescent="0.2">
      <c r="B26" s="51" t="s">
        <v>896</v>
      </c>
      <c r="C26" s="51" t="s">
        <v>888</v>
      </c>
      <c r="D26" s="51" t="s">
        <v>46</v>
      </c>
      <c r="E26" s="51" t="s">
        <v>46</v>
      </c>
    </row>
    <row r="28" spans="2:5" x14ac:dyDescent="0.2">
      <c r="B28" s="51" t="s">
        <v>897</v>
      </c>
      <c r="C28" s="51" t="s">
        <v>46</v>
      </c>
      <c r="D28" s="51" t="s">
        <v>46</v>
      </c>
      <c r="E28" s="51" t="s">
        <v>46</v>
      </c>
    </row>
    <row r="29" spans="2:5" x14ac:dyDescent="0.2">
      <c r="B29" s="51" t="s">
        <v>898</v>
      </c>
      <c r="C29" s="51" t="s">
        <v>46</v>
      </c>
      <c r="D29" s="51" t="s">
        <v>46</v>
      </c>
      <c r="E29" s="51" t="s">
        <v>46</v>
      </c>
    </row>
    <row r="30" spans="2:5" x14ac:dyDescent="0.2">
      <c r="B30" s="51" t="s">
        <v>899</v>
      </c>
      <c r="C30" s="51" t="s">
        <v>46</v>
      </c>
      <c r="D30" s="51" t="s">
        <v>46</v>
      </c>
      <c r="E30" s="51" t="s">
        <v>46</v>
      </c>
    </row>
    <row r="31" spans="2:5" x14ac:dyDescent="0.2">
      <c r="B31" s="51" t="s">
        <v>900</v>
      </c>
      <c r="C31" s="51" t="s">
        <v>46</v>
      </c>
      <c r="D31" s="51" t="s">
        <v>46</v>
      </c>
      <c r="E31" s="51" t="s">
        <v>46</v>
      </c>
    </row>
    <row r="32" spans="2:5" x14ac:dyDescent="0.2">
      <c r="B32" s="51" t="s">
        <v>901</v>
      </c>
      <c r="C32" s="51" t="s">
        <v>46</v>
      </c>
      <c r="D32" s="51" t="s">
        <v>46</v>
      </c>
      <c r="E32" s="51" t="s">
        <v>46</v>
      </c>
    </row>
    <row r="33" spans="2:5" x14ac:dyDescent="0.2">
      <c r="B33" s="51" t="s">
        <v>902</v>
      </c>
      <c r="C33" s="51" t="s">
        <v>46</v>
      </c>
      <c r="D33" s="51" t="s">
        <v>46</v>
      </c>
      <c r="E33" s="51" t="s">
        <v>46</v>
      </c>
    </row>
    <row r="34" spans="2:5" x14ac:dyDescent="0.2">
      <c r="B34" s="51" t="s">
        <v>903</v>
      </c>
      <c r="C34" s="51" t="s">
        <v>46</v>
      </c>
      <c r="D34" s="51" t="s">
        <v>46</v>
      </c>
      <c r="E34" s="51" t="s">
        <v>46</v>
      </c>
    </row>
    <row r="35" spans="2:5" x14ac:dyDescent="0.2">
      <c r="B35" s="51" t="s">
        <v>904</v>
      </c>
      <c r="C35" s="51" t="s">
        <v>46</v>
      </c>
      <c r="D35" s="51" t="s">
        <v>46</v>
      </c>
      <c r="E35" s="51" t="s">
        <v>46</v>
      </c>
    </row>
    <row r="36" spans="2:5" x14ac:dyDescent="0.2">
      <c r="B36" s="51" t="s">
        <v>905</v>
      </c>
      <c r="C36" s="51" t="s">
        <v>46</v>
      </c>
      <c r="D36" s="51" t="s">
        <v>46</v>
      </c>
      <c r="E36" s="51" t="s">
        <v>46</v>
      </c>
    </row>
    <row r="37" spans="2:5" x14ac:dyDescent="0.2">
      <c r="B37" s="51" t="s">
        <v>906</v>
      </c>
      <c r="C37" s="51" t="s">
        <v>46</v>
      </c>
      <c r="D37" s="51" t="s">
        <v>46</v>
      </c>
      <c r="E37" s="51" t="s">
        <v>46</v>
      </c>
    </row>
    <row r="38" spans="2:5" x14ac:dyDescent="0.2">
      <c r="B38" s="51" t="s">
        <v>907</v>
      </c>
      <c r="C38" s="51" t="s">
        <v>46</v>
      </c>
      <c r="D38" s="51" t="s">
        <v>46</v>
      </c>
      <c r="E38" s="51" t="s">
        <v>46</v>
      </c>
    </row>
  </sheetData>
  <sheetProtection algorithmName="SHA-512" hashValue="vCh9Th9lmUw1W4f++F8oVdD55rZD+O7C0xQN7YmtYvoJpB7r6CPW0mxfj5Vw8NWnQgrSoLcDSjzPHv0gbE2bRw==" saltValue="4dpj3T9WfueI8xiJMbyXxQ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1154</vt:i4>
      </vt:variant>
    </vt:vector>
  </HeadingPairs>
  <TitlesOfParts>
    <vt:vector size="1156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Ref_UnloadCodeAdressList0006</vt:lpstr>
      <vt:lpstr>Ref_UnloadCodeAdressList0007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  <vt:lpstr>UnloadAdressList0006</vt:lpstr>
      <vt:lpstr>UnloadAdressList0007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User</cp:lastModifiedBy>
  <dcterms:created xsi:type="dcterms:W3CDTF">2021-11-12T12:13:19Z</dcterms:created>
  <dcterms:modified xsi:type="dcterms:W3CDTF">2026-07-25T07:32:39Z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