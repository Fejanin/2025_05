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3,07,26 ПОКОМ КИ\"/>
    </mc:Choice>
  </mc:AlternateContent>
  <xr:revisionPtr revIDLastSave="0" documentId="13_ncr:1_{287FD1E0-E471-4CAA-A332-EE9F6F2D405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7" i="1" l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6" i="1"/>
  <c r="U5" i="1"/>
  <c r="S80" i="1" l="1"/>
  <c r="S64" i="1"/>
  <c r="S81" i="1"/>
  <c r="S44" i="1"/>
  <c r="S5" i="1" s="1"/>
  <c r="T5" i="1"/>
  <c r="X9" i="1"/>
  <c r="X12" i="1"/>
  <c r="AL12" i="1" s="1"/>
  <c r="X13" i="1"/>
  <c r="X14" i="1"/>
  <c r="AL14" i="1" s="1"/>
  <c r="X18" i="1"/>
  <c r="AL18" i="1" s="1"/>
  <c r="X19" i="1"/>
  <c r="X23" i="1"/>
  <c r="X25" i="1"/>
  <c r="X26" i="1"/>
  <c r="AL26" i="1" s="1"/>
  <c r="X27" i="1"/>
  <c r="X29" i="1"/>
  <c r="X31" i="1"/>
  <c r="X32" i="1"/>
  <c r="AL32" i="1" s="1"/>
  <c r="X33" i="1"/>
  <c r="X34" i="1"/>
  <c r="AL34" i="1" s="1"/>
  <c r="X36" i="1"/>
  <c r="AL36" i="1" s="1"/>
  <c r="X39" i="1"/>
  <c r="X40" i="1"/>
  <c r="AL40" i="1" s="1"/>
  <c r="X41" i="1"/>
  <c r="X44" i="1"/>
  <c r="AL44" i="1" s="1"/>
  <c r="X45" i="1"/>
  <c r="X47" i="1"/>
  <c r="X49" i="1"/>
  <c r="X50" i="1"/>
  <c r="AL50" i="1" s="1"/>
  <c r="X53" i="1"/>
  <c r="X54" i="1"/>
  <c r="AL54" i="1" s="1"/>
  <c r="X56" i="1"/>
  <c r="AL56" i="1" s="1"/>
  <c r="X58" i="1"/>
  <c r="AL58" i="1" s="1"/>
  <c r="X59" i="1"/>
  <c r="X61" i="1"/>
  <c r="X65" i="1"/>
  <c r="X68" i="1"/>
  <c r="AL68" i="1" s="1"/>
  <c r="X69" i="1"/>
  <c r="X70" i="1"/>
  <c r="AL70" i="1" s="1"/>
  <c r="X71" i="1"/>
  <c r="X73" i="1"/>
  <c r="X74" i="1"/>
  <c r="AL74" i="1" s="1"/>
  <c r="X75" i="1"/>
  <c r="X76" i="1"/>
  <c r="AL76" i="1" s="1"/>
  <c r="X77" i="1"/>
  <c r="X78" i="1"/>
  <c r="AL78" i="1" s="1"/>
  <c r="X79" i="1"/>
  <c r="X82" i="1"/>
  <c r="AL82" i="1" s="1"/>
  <c r="X83" i="1"/>
  <c r="X84" i="1"/>
  <c r="AL84" i="1" s="1"/>
  <c r="X88" i="1"/>
  <c r="AL88" i="1" s="1"/>
  <c r="X89" i="1"/>
  <c r="X90" i="1"/>
  <c r="AL90" i="1" s="1"/>
  <c r="X91" i="1"/>
  <c r="X92" i="1"/>
  <c r="AL92" i="1" s="1"/>
  <c r="X93" i="1"/>
  <c r="X95" i="1"/>
  <c r="X96" i="1"/>
  <c r="AL96" i="1" s="1"/>
  <c r="X98" i="1"/>
  <c r="AL98" i="1" s="1"/>
  <c r="X99" i="1"/>
  <c r="X100" i="1"/>
  <c r="AL100" i="1" s="1"/>
  <c r="X101" i="1"/>
  <c r="X102" i="1"/>
  <c r="AL102" i="1" s="1"/>
  <c r="X103" i="1"/>
  <c r="X104" i="1"/>
  <c r="AL104" i="1" s="1"/>
  <c r="X105" i="1"/>
  <c r="X106" i="1"/>
  <c r="AL106" i="1" s="1"/>
  <c r="X107" i="1"/>
  <c r="X108" i="1"/>
  <c r="AL108" i="1" s="1"/>
  <c r="X109" i="1"/>
  <c r="X110" i="1"/>
  <c r="AL110" i="1" s="1"/>
  <c r="X114" i="1"/>
  <c r="AL114" i="1" s="1"/>
  <c r="X115" i="1"/>
  <c r="X116" i="1"/>
  <c r="AL116" i="1" s="1"/>
  <c r="X122" i="1"/>
  <c r="AL122" i="1" s="1"/>
  <c r="X123" i="1"/>
  <c r="X129" i="1"/>
  <c r="AL129" i="1" s="1"/>
  <c r="X130" i="1"/>
  <c r="AL130" i="1" s="1"/>
  <c r="X131" i="1"/>
  <c r="AL131" i="1" s="1"/>
  <c r="X6" i="1"/>
  <c r="AL6" i="1" s="1"/>
  <c r="AL109" i="1" l="1"/>
  <c r="AL107" i="1"/>
  <c r="AL105" i="1"/>
  <c r="AL103" i="1"/>
  <c r="AL101" i="1"/>
  <c r="AL99" i="1"/>
  <c r="AL95" i="1"/>
  <c r="AL83" i="1"/>
  <c r="AL71" i="1"/>
  <c r="AL69" i="1"/>
  <c r="AL59" i="1"/>
  <c r="AL53" i="1"/>
  <c r="AL47" i="1"/>
  <c r="AL41" i="1"/>
  <c r="AL39" i="1"/>
  <c r="AL29" i="1"/>
  <c r="AL23" i="1"/>
  <c r="AL19" i="1"/>
  <c r="AL123" i="1"/>
  <c r="AL115" i="1"/>
  <c r="AL93" i="1"/>
  <c r="AL91" i="1"/>
  <c r="AL89" i="1"/>
  <c r="AL79" i="1"/>
  <c r="AL77" i="1"/>
  <c r="AL75" i="1"/>
  <c r="AL73" i="1"/>
  <c r="AL65" i="1"/>
  <c r="AL61" i="1"/>
  <c r="AL49" i="1"/>
  <c r="AL45" i="1"/>
  <c r="AL33" i="1"/>
  <c r="AL31" i="1"/>
  <c r="AL27" i="1"/>
  <c r="AL25" i="1"/>
  <c r="AL13" i="1"/>
  <c r="AL9" i="1"/>
  <c r="Q7" i="1" l="1"/>
  <c r="Q8" i="1"/>
  <c r="Q11" i="1"/>
  <c r="Q14" i="1"/>
  <c r="Q17" i="1"/>
  <c r="Q20" i="1"/>
  <c r="Q24" i="1"/>
  <c r="Q25" i="1"/>
  <c r="Q29" i="1"/>
  <c r="Q35" i="1"/>
  <c r="Q36" i="1"/>
  <c r="Q37" i="1"/>
  <c r="Q48" i="1"/>
  <c r="Q51" i="1"/>
  <c r="Q56" i="1"/>
  <c r="Q59" i="1"/>
  <c r="Q70" i="1"/>
  <c r="Q71" i="1"/>
  <c r="Q72" i="1"/>
  <c r="Q82" i="1"/>
  <c r="Q85" i="1"/>
  <c r="Q86" i="1"/>
  <c r="Q89" i="1"/>
  <c r="Q95" i="1"/>
  <c r="Q97" i="1"/>
  <c r="Q98" i="1"/>
  <c r="Q99" i="1"/>
  <c r="Q107" i="1"/>
  <c r="Q113" i="1"/>
  <c r="Q117" i="1"/>
  <c r="Q120" i="1"/>
  <c r="M7" i="1"/>
  <c r="M8" i="1"/>
  <c r="M9" i="1"/>
  <c r="V9" i="1" s="1"/>
  <c r="M10" i="1"/>
  <c r="V10" i="1" s="1"/>
  <c r="M11" i="1"/>
  <c r="M12" i="1"/>
  <c r="V12" i="1" s="1"/>
  <c r="M13" i="1"/>
  <c r="V13" i="1" s="1"/>
  <c r="M14" i="1"/>
  <c r="M15" i="1"/>
  <c r="V15" i="1" s="1"/>
  <c r="M16" i="1"/>
  <c r="V16" i="1" s="1"/>
  <c r="M17" i="1"/>
  <c r="M18" i="1"/>
  <c r="V18" i="1" s="1"/>
  <c r="M19" i="1"/>
  <c r="V19" i="1" s="1"/>
  <c r="M20" i="1"/>
  <c r="M21" i="1"/>
  <c r="V21" i="1" s="1"/>
  <c r="M22" i="1"/>
  <c r="V22" i="1" s="1"/>
  <c r="M23" i="1"/>
  <c r="V23" i="1" s="1"/>
  <c r="M24" i="1"/>
  <c r="M25" i="1"/>
  <c r="M26" i="1"/>
  <c r="V26" i="1" s="1"/>
  <c r="M27" i="1"/>
  <c r="V27" i="1" s="1"/>
  <c r="M28" i="1"/>
  <c r="V28" i="1" s="1"/>
  <c r="M29" i="1"/>
  <c r="M30" i="1"/>
  <c r="V30" i="1" s="1"/>
  <c r="M31" i="1"/>
  <c r="V31" i="1" s="1"/>
  <c r="M32" i="1"/>
  <c r="V32" i="1" s="1"/>
  <c r="M33" i="1"/>
  <c r="V33" i="1" s="1"/>
  <c r="M34" i="1"/>
  <c r="V34" i="1" s="1"/>
  <c r="M35" i="1"/>
  <c r="M36" i="1"/>
  <c r="M37" i="1"/>
  <c r="M38" i="1"/>
  <c r="V38" i="1" s="1"/>
  <c r="M39" i="1"/>
  <c r="V39" i="1" s="1"/>
  <c r="M40" i="1"/>
  <c r="V40" i="1" s="1"/>
  <c r="M41" i="1"/>
  <c r="V41" i="1" s="1"/>
  <c r="M42" i="1"/>
  <c r="V42" i="1" s="1"/>
  <c r="M43" i="1"/>
  <c r="V43" i="1" s="1"/>
  <c r="M44" i="1"/>
  <c r="V44" i="1" s="1"/>
  <c r="M45" i="1"/>
  <c r="V45" i="1" s="1"/>
  <c r="M46" i="1"/>
  <c r="V46" i="1" s="1"/>
  <c r="M47" i="1"/>
  <c r="V47" i="1" s="1"/>
  <c r="M48" i="1"/>
  <c r="V48" i="1" s="1"/>
  <c r="M49" i="1"/>
  <c r="V49" i="1" s="1"/>
  <c r="M50" i="1"/>
  <c r="V50" i="1" s="1"/>
  <c r="M51" i="1"/>
  <c r="M52" i="1"/>
  <c r="V52" i="1" s="1"/>
  <c r="M53" i="1"/>
  <c r="V53" i="1" s="1"/>
  <c r="M54" i="1"/>
  <c r="V54" i="1" s="1"/>
  <c r="M55" i="1"/>
  <c r="V55" i="1" s="1"/>
  <c r="M56" i="1"/>
  <c r="M57" i="1"/>
  <c r="V57" i="1" s="1"/>
  <c r="M58" i="1"/>
  <c r="V58" i="1" s="1"/>
  <c r="M59" i="1"/>
  <c r="M60" i="1"/>
  <c r="V60" i="1" s="1"/>
  <c r="M61" i="1"/>
  <c r="V61" i="1" s="1"/>
  <c r="M62" i="1"/>
  <c r="V62" i="1" s="1"/>
  <c r="Z62" i="1" s="1"/>
  <c r="M63" i="1"/>
  <c r="V63" i="1" s="1"/>
  <c r="M64" i="1"/>
  <c r="V64" i="1" s="1"/>
  <c r="M65" i="1"/>
  <c r="V65" i="1" s="1"/>
  <c r="M66" i="1"/>
  <c r="V66" i="1" s="1"/>
  <c r="M67" i="1"/>
  <c r="V67" i="1" s="1"/>
  <c r="M68" i="1"/>
  <c r="V68" i="1" s="1"/>
  <c r="M69" i="1"/>
  <c r="V69" i="1" s="1"/>
  <c r="M70" i="1"/>
  <c r="M71" i="1"/>
  <c r="M72" i="1"/>
  <c r="M73" i="1"/>
  <c r="V73" i="1" s="1"/>
  <c r="M74" i="1"/>
  <c r="V74" i="1" s="1"/>
  <c r="M75" i="1"/>
  <c r="V75" i="1" s="1"/>
  <c r="M76" i="1"/>
  <c r="V76" i="1" s="1"/>
  <c r="M77" i="1"/>
  <c r="V77" i="1" s="1"/>
  <c r="M78" i="1"/>
  <c r="V78" i="1" s="1"/>
  <c r="M79" i="1"/>
  <c r="V79" i="1" s="1"/>
  <c r="M80" i="1"/>
  <c r="V80" i="1" s="1"/>
  <c r="M81" i="1"/>
  <c r="V81" i="1" s="1"/>
  <c r="M82" i="1"/>
  <c r="M83" i="1"/>
  <c r="V83" i="1" s="1"/>
  <c r="M84" i="1"/>
  <c r="V84" i="1" s="1"/>
  <c r="M85" i="1"/>
  <c r="M86" i="1"/>
  <c r="M87" i="1"/>
  <c r="V87" i="1" s="1"/>
  <c r="M88" i="1"/>
  <c r="V88" i="1" s="1"/>
  <c r="M89" i="1"/>
  <c r="M90" i="1"/>
  <c r="V90" i="1" s="1"/>
  <c r="M91" i="1"/>
  <c r="V91" i="1" s="1"/>
  <c r="M92" i="1"/>
  <c r="V92" i="1" s="1"/>
  <c r="M93" i="1"/>
  <c r="V93" i="1" s="1"/>
  <c r="M94" i="1"/>
  <c r="V94" i="1" s="1"/>
  <c r="Z94" i="1" s="1"/>
  <c r="M95" i="1"/>
  <c r="M96" i="1"/>
  <c r="V96" i="1" s="1"/>
  <c r="M97" i="1"/>
  <c r="M98" i="1"/>
  <c r="M99" i="1"/>
  <c r="M100" i="1"/>
  <c r="V100" i="1" s="1"/>
  <c r="M101" i="1"/>
  <c r="V101" i="1" s="1"/>
  <c r="M102" i="1"/>
  <c r="V102" i="1" s="1"/>
  <c r="M103" i="1"/>
  <c r="V103" i="1" s="1"/>
  <c r="M104" i="1"/>
  <c r="V104" i="1" s="1"/>
  <c r="M105" i="1"/>
  <c r="V105" i="1" s="1"/>
  <c r="M106" i="1"/>
  <c r="V106" i="1" s="1"/>
  <c r="M107" i="1"/>
  <c r="M108" i="1"/>
  <c r="V108" i="1" s="1"/>
  <c r="M109" i="1"/>
  <c r="V109" i="1" s="1"/>
  <c r="M110" i="1"/>
  <c r="V110" i="1" s="1"/>
  <c r="M111" i="1"/>
  <c r="V111" i="1" s="1"/>
  <c r="M112" i="1"/>
  <c r="V112" i="1" s="1"/>
  <c r="Z112" i="1" s="1"/>
  <c r="M113" i="1"/>
  <c r="M114" i="1"/>
  <c r="V114" i="1" s="1"/>
  <c r="M115" i="1"/>
  <c r="V115" i="1" s="1"/>
  <c r="M116" i="1"/>
  <c r="V116" i="1" s="1"/>
  <c r="M117" i="1"/>
  <c r="M118" i="1"/>
  <c r="V118" i="1" s="1"/>
  <c r="Z118" i="1" s="1"/>
  <c r="M119" i="1"/>
  <c r="V119" i="1" s="1"/>
  <c r="M120" i="1"/>
  <c r="M121" i="1"/>
  <c r="V121" i="1" s="1"/>
  <c r="M122" i="1"/>
  <c r="V122" i="1" s="1"/>
  <c r="M123" i="1"/>
  <c r="V123" i="1" s="1"/>
  <c r="M124" i="1"/>
  <c r="V124" i="1" s="1"/>
  <c r="M125" i="1"/>
  <c r="V125" i="1" s="1"/>
  <c r="M126" i="1"/>
  <c r="V126" i="1" s="1"/>
  <c r="Z126" i="1" s="1"/>
  <c r="M127" i="1"/>
  <c r="V127" i="1" s="1"/>
  <c r="M128" i="1"/>
  <c r="V128" i="1" s="1"/>
  <c r="M129" i="1"/>
  <c r="V129" i="1" s="1"/>
  <c r="M130" i="1"/>
  <c r="V130" i="1" s="1"/>
  <c r="M131" i="1"/>
  <c r="V131" i="1" s="1"/>
  <c r="M6" i="1"/>
  <c r="V6" i="1" s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AB5" i="1"/>
  <c r="AA5" i="1"/>
  <c r="R5" i="1"/>
  <c r="P5" i="1"/>
  <c r="O5" i="1"/>
  <c r="N5" i="1"/>
  <c r="K5" i="1"/>
  <c r="F5" i="1"/>
  <c r="E5" i="1"/>
  <c r="V35" i="1" l="1"/>
  <c r="Z114" i="1"/>
  <c r="Z53" i="1"/>
  <c r="Z13" i="1"/>
  <c r="Z6" i="1"/>
  <c r="Z92" i="1"/>
  <c r="W52" i="1"/>
  <c r="X52" i="1" s="1"/>
  <c r="Z52" i="1"/>
  <c r="Z32" i="1"/>
  <c r="Z12" i="1"/>
  <c r="W15" i="1"/>
  <c r="X15" i="1" s="1"/>
  <c r="Z15" i="1"/>
  <c r="Z93" i="1"/>
  <c r="Z73" i="1"/>
  <c r="Z33" i="1"/>
  <c r="Z131" i="1"/>
  <c r="W111" i="1"/>
  <c r="X111" i="1" s="1"/>
  <c r="Z111" i="1"/>
  <c r="Z91" i="1"/>
  <c r="Z31" i="1"/>
  <c r="Z130" i="1"/>
  <c r="Z110" i="1"/>
  <c r="Z90" i="1"/>
  <c r="Z50" i="1"/>
  <c r="W30" i="1"/>
  <c r="X30" i="1" s="1"/>
  <c r="Z30" i="1"/>
  <c r="X10" i="1"/>
  <c r="Z10" i="1"/>
  <c r="Z75" i="1"/>
  <c r="Z129" i="1"/>
  <c r="Z109" i="1"/>
  <c r="Z69" i="1"/>
  <c r="Z49" i="1"/>
  <c r="Z9" i="1"/>
  <c r="W128" i="1"/>
  <c r="X128" i="1" s="1"/>
  <c r="Z128" i="1"/>
  <c r="Z108" i="1"/>
  <c r="Z88" i="1"/>
  <c r="Z68" i="1"/>
  <c r="W48" i="1"/>
  <c r="X48" i="1" s="1"/>
  <c r="Z48" i="1"/>
  <c r="W28" i="1"/>
  <c r="X28" i="1" s="1"/>
  <c r="Z28" i="1"/>
  <c r="W55" i="1"/>
  <c r="X55" i="1" s="1"/>
  <c r="Z55" i="1"/>
  <c r="W127" i="1"/>
  <c r="X127" i="1" s="1"/>
  <c r="Z127" i="1"/>
  <c r="W67" i="1"/>
  <c r="X67" i="1" s="1"/>
  <c r="Z67" i="1"/>
  <c r="Z47" i="1"/>
  <c r="Z27" i="1"/>
  <c r="W66" i="1"/>
  <c r="X66" i="1" s="1"/>
  <c r="Z66" i="1"/>
  <c r="W46" i="1"/>
  <c r="X46" i="1" s="1"/>
  <c r="Z46" i="1"/>
  <c r="Z26" i="1"/>
  <c r="Z54" i="1"/>
  <c r="W87" i="1"/>
  <c r="X87" i="1" s="1"/>
  <c r="Z87" i="1"/>
  <c r="W124" i="1"/>
  <c r="X124" i="1" s="1"/>
  <c r="Z124" i="1"/>
  <c r="Z104" i="1"/>
  <c r="Z84" i="1"/>
  <c r="W64" i="1"/>
  <c r="X64" i="1" s="1"/>
  <c r="Z64" i="1"/>
  <c r="Z44" i="1"/>
  <c r="Z34" i="1"/>
  <c r="Z106" i="1"/>
  <c r="Z123" i="1"/>
  <c r="Z103" i="1"/>
  <c r="Z83" i="1"/>
  <c r="W63" i="1"/>
  <c r="X63" i="1" s="1"/>
  <c r="Z63" i="1"/>
  <c r="X43" i="1"/>
  <c r="Z43" i="1"/>
  <c r="Z23" i="1"/>
  <c r="W35" i="1"/>
  <c r="X35" i="1" s="1"/>
  <c r="Z35" i="1"/>
  <c r="Z122" i="1"/>
  <c r="Z102" i="1"/>
  <c r="W42" i="1"/>
  <c r="X42" i="1" s="1"/>
  <c r="Z42" i="1"/>
  <c r="W22" i="1"/>
  <c r="X22" i="1" s="1"/>
  <c r="Z22" i="1"/>
  <c r="W121" i="1"/>
  <c r="X121" i="1" s="1"/>
  <c r="Z121" i="1"/>
  <c r="Z101" i="1"/>
  <c r="W81" i="1"/>
  <c r="X81" i="1" s="1"/>
  <c r="Z81" i="1"/>
  <c r="Z61" i="1"/>
  <c r="Z41" i="1"/>
  <c r="W21" i="1"/>
  <c r="X21" i="1" s="1"/>
  <c r="Z21" i="1"/>
  <c r="Z100" i="1"/>
  <c r="W80" i="1"/>
  <c r="X80" i="1" s="1"/>
  <c r="Z80" i="1"/>
  <c r="W60" i="1"/>
  <c r="X60" i="1" s="1"/>
  <c r="Z60" i="1"/>
  <c r="Z40" i="1"/>
  <c r="Z74" i="1"/>
  <c r="Z79" i="1"/>
  <c r="Z39" i="1"/>
  <c r="Z19" i="1"/>
  <c r="W125" i="1"/>
  <c r="X125" i="1" s="1"/>
  <c r="Z125" i="1"/>
  <c r="Z105" i="1"/>
  <c r="Z65" i="1"/>
  <c r="Z45" i="1"/>
  <c r="W119" i="1"/>
  <c r="X119" i="1" s="1"/>
  <c r="Z119" i="1"/>
  <c r="Z78" i="1"/>
  <c r="Z58" i="1"/>
  <c r="W38" i="1"/>
  <c r="X38" i="1" s="1"/>
  <c r="Z38" i="1"/>
  <c r="Z18" i="1"/>
  <c r="Z115" i="1"/>
  <c r="Z77" i="1"/>
  <c r="W57" i="1"/>
  <c r="X57" i="1" s="1"/>
  <c r="Z57" i="1"/>
  <c r="Z116" i="1"/>
  <c r="Z96" i="1"/>
  <c r="Z76" i="1"/>
  <c r="W16" i="1"/>
  <c r="X16" i="1" s="1"/>
  <c r="Z16" i="1"/>
  <c r="V59" i="1"/>
  <c r="V36" i="1"/>
  <c r="V120" i="1"/>
  <c r="Z120" i="1" s="1"/>
  <c r="V117" i="1"/>
  <c r="Z117" i="1" s="1"/>
  <c r="AL10" i="1"/>
  <c r="AL127" i="1"/>
  <c r="AL125" i="1"/>
  <c r="AL119" i="1"/>
  <c r="AL111" i="1"/>
  <c r="AL87" i="1"/>
  <c r="AL67" i="1"/>
  <c r="AL63" i="1"/>
  <c r="AL57" i="1"/>
  <c r="AL52" i="1"/>
  <c r="AL46" i="1"/>
  <c r="AL42" i="1"/>
  <c r="AL30" i="1"/>
  <c r="AL28" i="1"/>
  <c r="AL22" i="1"/>
  <c r="V72" i="1"/>
  <c r="W62" i="1"/>
  <c r="X62" i="1" s="1"/>
  <c r="W117" i="1"/>
  <c r="X117" i="1" s="1"/>
  <c r="V24" i="1"/>
  <c r="V56" i="1"/>
  <c r="V107" i="1"/>
  <c r="V25" i="1"/>
  <c r="V95" i="1"/>
  <c r="V37" i="1"/>
  <c r="V71" i="1"/>
  <c r="V51" i="1"/>
  <c r="V70" i="1"/>
  <c r="W112" i="1"/>
  <c r="X112" i="1" s="1"/>
  <c r="W94" i="1"/>
  <c r="X94" i="1" s="1"/>
  <c r="W118" i="1"/>
  <c r="X118" i="1" s="1"/>
  <c r="W126" i="1"/>
  <c r="X126" i="1" s="1"/>
  <c r="V8" i="1"/>
  <c r="Z8" i="1" s="1"/>
  <c r="V113" i="1"/>
  <c r="Z113" i="1" s="1"/>
  <c r="V99" i="1"/>
  <c r="V97" i="1"/>
  <c r="Z97" i="1" s="1"/>
  <c r="V89" i="1"/>
  <c r="V85" i="1"/>
  <c r="Z85" i="1" s="1"/>
  <c r="V29" i="1"/>
  <c r="V17" i="1"/>
  <c r="Z17" i="1" s="1"/>
  <c r="V11" i="1"/>
  <c r="Z11" i="1" s="1"/>
  <c r="V7" i="1"/>
  <c r="Z7" i="1" s="1"/>
  <c r="V98" i="1"/>
  <c r="V86" i="1"/>
  <c r="V82" i="1"/>
  <c r="V20" i="1"/>
  <c r="Z20" i="1" s="1"/>
  <c r="V14" i="1"/>
  <c r="Q5" i="1"/>
  <c r="L5" i="1"/>
  <c r="M5" i="1"/>
  <c r="AL16" i="1" l="1"/>
  <c r="AL81" i="1"/>
  <c r="AL121" i="1"/>
  <c r="AL48" i="1"/>
  <c r="AL60" i="1"/>
  <c r="W120" i="1"/>
  <c r="X120" i="1" s="1"/>
  <c r="AL124" i="1"/>
  <c r="AL55" i="1"/>
  <c r="AL38" i="1"/>
  <c r="AL64" i="1"/>
  <c r="Z89" i="1"/>
  <c r="Z70" i="1"/>
  <c r="Z99" i="1"/>
  <c r="Z14" i="1"/>
  <c r="Z82" i="1"/>
  <c r="W37" i="1"/>
  <c r="X37" i="1" s="1"/>
  <c r="Z37" i="1"/>
  <c r="W51" i="1"/>
  <c r="X51" i="1" s="1"/>
  <c r="Z51" i="1"/>
  <c r="AL43" i="1"/>
  <c r="W86" i="1"/>
  <c r="X86" i="1" s="1"/>
  <c r="Z86" i="1"/>
  <c r="Z95" i="1"/>
  <c r="AL66" i="1"/>
  <c r="Z98" i="1"/>
  <c r="AL80" i="1"/>
  <c r="Z107" i="1"/>
  <c r="Z36" i="1"/>
  <c r="Z71" i="1"/>
  <c r="Z25" i="1"/>
  <c r="Z56" i="1"/>
  <c r="AL128" i="1"/>
  <c r="Z59" i="1"/>
  <c r="W24" i="1"/>
  <c r="X24" i="1" s="1"/>
  <c r="Z24" i="1"/>
  <c r="AL15" i="1"/>
  <c r="W72" i="1"/>
  <c r="X72" i="1" s="1"/>
  <c r="Z72" i="1"/>
  <c r="Z29" i="1"/>
  <c r="AL21" i="1"/>
  <c r="AL35" i="1"/>
  <c r="AL126" i="1"/>
  <c r="AL94" i="1"/>
  <c r="AL117" i="1"/>
  <c r="AL120" i="1"/>
  <c r="AL118" i="1"/>
  <c r="AL112" i="1"/>
  <c r="AL62" i="1"/>
  <c r="W20" i="1"/>
  <c r="X20" i="1" s="1"/>
  <c r="W7" i="1"/>
  <c r="X7" i="1" s="1"/>
  <c r="W17" i="1"/>
  <c r="X17" i="1" s="1"/>
  <c r="W85" i="1"/>
  <c r="X85" i="1" s="1"/>
  <c r="W97" i="1"/>
  <c r="X97" i="1" s="1"/>
  <c r="W113" i="1"/>
  <c r="X113" i="1" s="1"/>
  <c r="W11" i="1"/>
  <c r="X11" i="1" s="1"/>
  <c r="W8" i="1"/>
  <c r="X8" i="1" s="1"/>
  <c r="V5" i="1"/>
  <c r="AL72" i="1" l="1"/>
  <c r="AL86" i="1"/>
  <c r="AL37" i="1"/>
  <c r="AL51" i="1"/>
  <c r="AL24" i="1"/>
  <c r="AL8" i="1"/>
  <c r="AL11" i="1"/>
  <c r="AL113" i="1"/>
  <c r="AL97" i="1"/>
  <c r="AL85" i="1"/>
  <c r="AL17" i="1"/>
  <c r="AL7" i="1"/>
  <c r="X5" i="1"/>
  <c r="AL20" i="1"/>
  <c r="W5" i="1"/>
  <c r="AL5" i="1" l="1"/>
</calcChain>
</file>

<file path=xl/sharedStrings.xml><?xml version="1.0" encoding="utf-8"?>
<sst xmlns="http://schemas.openxmlformats.org/spreadsheetml/2006/main" count="478" uniqueCount="191">
  <si>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</si>
  <si>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</si>
  <si>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</si>
  <si>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</si>
  <si>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</si>
  <si>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</si>
  <si>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</si>
  <si>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</si>
  <si>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</si>
  <si>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</si>
  <si>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</si>
  <si>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</si>
  <si>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</si>
  <si>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</si>
  <si>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</si>
  <si>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</si>
  <si>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</si>
  <si>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</si>
  <si>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</si>
  <si>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</si>
  <si>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</si>
  <si>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</si>
  <si>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</si>
  <si>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20,07,</t>
  </si>
  <si>
    <t>21,07,</t>
  </si>
  <si>
    <t>21,07,(2)</t>
  </si>
  <si>
    <t>перемещение Крым</t>
  </si>
  <si>
    <t>26,07,</t>
  </si>
  <si>
    <t>23,07,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</si>
  <si>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</si>
  <si>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</si>
  <si>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</si>
  <si>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</si>
  <si>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</si>
  <si>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</si>
  <si>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</si>
  <si>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</si>
  <si>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</si>
  <si>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</si>
  <si>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</si>
  <si>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</si>
  <si>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</si>
  <si>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</si>
  <si>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</si>
  <si>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</si>
  <si>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</si>
  <si>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</si>
  <si>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</si>
  <si>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</si>
  <si>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</si>
  <si>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нужно увеличить продажи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</si>
  <si>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</si>
  <si>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</si>
  <si>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</si>
  <si>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</si>
  <si>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</si>
  <si>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</si>
  <si>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</si>
  <si>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</si>
  <si>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</si>
  <si>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</si>
  <si>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</si>
  <si>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</si>
  <si>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</si>
  <si>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</si>
  <si>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</si>
  <si>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</si>
  <si>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</si>
  <si>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</si>
  <si>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</si>
  <si>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</si>
  <si>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</si>
  <si>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>не в матрице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</si>
  <si>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</si>
  <si>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</si>
  <si>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</si>
  <si>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</si>
  <si>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</si>
  <si>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</si>
  <si>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</si>
  <si>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</si>
  <si>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</si>
  <si>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</si>
  <si>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</si>
  <si>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</si>
  <si>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</si>
  <si>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</si>
  <si>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</si>
  <si>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</si>
  <si>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</si>
  <si>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</si>
  <si>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</si>
  <si>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</si>
  <si>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</si>
  <si>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</si>
  <si>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</si>
  <si>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</si>
  <si>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</si>
  <si>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</si>
  <si>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</si>
  <si>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</si>
  <si>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</si>
  <si>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</si>
  <si>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</si>
  <si>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</si>
  <si>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</si>
  <si>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</si>
  <si>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</si>
  <si>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</si>
  <si>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</si>
  <si>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</si>
  <si>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</si>
  <si>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</si>
  <si>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</si>
  <si>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</si>
  <si>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нужно увеличить продажи / убрать из заказа (Рекуто 15,07,26)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</si>
  <si>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</si>
  <si>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</si>
  <si>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</si>
  <si>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</si>
  <si>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</si>
  <si>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</si>
  <si>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</si>
  <si>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</si>
  <si>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</si>
  <si>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</si>
  <si>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</si>
  <si>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</si>
  <si>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</si>
  <si>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</si>
  <si>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</si>
  <si>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</si>
  <si>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</si>
  <si>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</si>
  <si>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</si>
  <si>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</si>
  <si>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</si>
  <si>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</si>
  <si>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</si>
  <si>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</si>
  <si>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</si>
  <si>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</si>
  <si>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</si>
  <si>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</si>
  <si>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</si>
  <si>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</si>
  <si>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</si>
  <si>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</si>
  <si>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</si>
  <si>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</si>
  <si>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</si>
  <si>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</si>
  <si>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</si>
  <si>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</si>
  <si>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</si>
  <si>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</si>
  <si>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</si>
  <si>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</si>
  <si>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</si>
  <si>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</si>
  <si>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</si>
  <si>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</si>
  <si>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</si>
  <si>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</si>
  <si>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</si>
  <si>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</si>
  <si>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</si>
  <si>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</si>
  <si>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</si>
  <si>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</si>
  <si>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нужно увеличить продажи / 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</si>
  <si>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</si>
  <si>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</si>
  <si>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</si>
  <si>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</si>
  <si>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</si>
  <si>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</si>
  <si>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</si>
  <si>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</si>
  <si>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</si>
  <si>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вычесть из продаж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</si>
  <si>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710шт под клиента отгрузили 02,07,26</t>
    </r>
  </si>
  <si>
    <t>нужно увеличить продажи / 500шт под ЮТЛ (Хмель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</si>
  <si>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</si>
  <si>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08,07,26 +350кг (задача от завода для ТК / просили 450кг) не продали - переместили в Крым</t>
  </si>
  <si>
    <t>заказ</t>
  </si>
  <si>
    <t>27,07,</t>
  </si>
  <si>
    <t>дн</t>
  </si>
  <si>
    <t>26,07,доз</t>
  </si>
  <si>
    <t>26,07,недогруз</t>
  </si>
  <si>
    <t>27,07,доз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</si>
</sst>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4" borderId="1" xfId="1" applyNumberFormat="1" applyFont="1" applyFill="1"/>
    <xf numFmtId="164" fontId="1" fillId="6" borderId="1" xfId="1" applyNumberFormat="1" applyFill="1"/>
    <xf numFmtId="164" fontId="4" fillId="4" borderId="1" xfId="1" applyNumberFormat="1" applyFont="1" applyFill="1"/>
    <xf numFmtId="165" fontId="1" fillId="0" borderId="1" xfId="1" applyNumberFormat="1"/>
    <xf numFmtId="0" fontId="0" fillId="0" borderId="1" xfId="0"/>
    <xf numFmtId="164" fontId="1" fillId="7" borderId="1" xfId="1" applyNumberFormat="1" applyFill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87;&#1077;&#1088;&#1077;&#1084;&#1077;&#1097;&#1077;&#1085;&#1080;&#1077;%20&#1074;%20&#1050;&#1088;&#1099;&#108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016  Сосиски Вязанка Молочные, Вязанка вискофан  ВЕС.ПОКОМ</v>
          </cell>
          <cell r="B2">
            <v>501.52300000000002</v>
          </cell>
        </row>
        <row r="3">
          <cell r="A3" t="str">
            <v xml:space="preserve"> 017  Сосиски Вязанка Сливочные, Вязанка амицел ВЕС.ПОКОМ</v>
          </cell>
          <cell r="B3">
            <v>523.87199999999996</v>
          </cell>
        </row>
        <row r="4">
          <cell r="A4" t="str">
            <v xml:space="preserve"> 215  Колбаса Докторская ГОСТ Дугушка, ВЕС, ТМ Стародворье ПОКОМ</v>
          </cell>
          <cell r="B4">
            <v>127.747</v>
          </cell>
        </row>
        <row r="5">
          <cell r="A5" t="str">
            <v xml:space="preserve"> 229  Колбаса Молочная Дугушка, в/у, ВЕС, ТМ Стародворье   ПОКОМ</v>
          </cell>
          <cell r="B5">
            <v>2199.17</v>
          </cell>
        </row>
        <row r="6">
          <cell r="A6" t="str">
            <v xml:space="preserve"> 242  Колбаса Сервелат ЗАПЕЧ.Дугушка ТМ Стародворье, вектор, в/к     ПОКОМ</v>
          </cell>
          <cell r="B6">
            <v>300.209</v>
          </cell>
        </row>
        <row r="7">
          <cell r="A7" t="str">
            <v xml:space="preserve"> 244  Колбаса Сервелат Кремлевский, ВЕС. ПОКОМ</v>
          </cell>
          <cell r="B7">
            <v>39.499000000000002</v>
          </cell>
        </row>
        <row r="8">
          <cell r="A8" t="str">
            <v xml:space="preserve"> 253  Сосиски Ганноверские   ПОКОМ</v>
          </cell>
          <cell r="B8">
            <v>40.264000000000003</v>
          </cell>
        </row>
        <row r="9">
          <cell r="A9" t="str">
            <v xml:space="preserve"> 312  Ветчина Филейская ВЕС ТМ  Вязанка ТС Столичная  ПОКОМ</v>
          </cell>
          <cell r="B9">
            <v>53.676000000000002</v>
          </cell>
        </row>
        <row r="10">
          <cell r="A10" t="str">
            <v xml:space="preserve"> 364  Сардельки Филейские Вязанка ВЕС NDX ТМ Вязанка  ПОКОМ</v>
          </cell>
          <cell r="B10">
            <v>76.02</v>
          </cell>
        </row>
        <row r="11">
          <cell r="A11" t="str">
            <v xml:space="preserve"> 449  Колбаса Дугушка Стародворская ВЕС ТС Дугушка ПОКОМ</v>
          </cell>
          <cell r="B11">
            <v>1583.99</v>
          </cell>
        </row>
        <row r="12">
          <cell r="A12" t="str">
            <v xml:space="preserve"> 457  Колбаса Молочная ТМ Особый рецепт ВЕС большой батон  ПОКОМ</v>
          </cell>
          <cell r="B12">
            <v>2866.5340000000001</v>
          </cell>
        </row>
        <row r="13">
          <cell r="A13" t="str">
            <v xml:space="preserve"> 557  Колбаса Сервелат Финский ТМ Вязанка в оболочке фиброуз в вакуумной упаковке, ВЕС  ПОКОМ</v>
          </cell>
          <cell r="B13">
            <v>43.28</v>
          </cell>
        </row>
        <row r="14">
          <cell r="A14" t="str">
            <v xml:space="preserve"> 580  Ветчина Нежная с индейкой ТМ Особый рецепт в оболочке полиамид.ВЕС  ПОКОМ</v>
          </cell>
          <cell r="B14">
            <v>135.95500000000001</v>
          </cell>
        </row>
        <row r="15">
          <cell r="A15" t="str">
            <v xml:space="preserve"> 585  Колбаса Молочная ТМ Стародворье в оболочке вектор НД ВЕС.  ПОКОМ</v>
          </cell>
          <cell r="B15">
            <v>413.07600000000002</v>
          </cell>
        </row>
        <row r="16">
          <cell r="A16" t="str">
            <v xml:space="preserve"> 032  Сосиски Вязанка Сливочные, Вязанка амицел МГС, 0.45кг, ПОКОМ</v>
          </cell>
          <cell r="B16">
            <v>1125</v>
          </cell>
        </row>
        <row r="17">
          <cell r="A17" t="str">
            <v xml:space="preserve"> 083  Колбаса Швейцарская 0,17 кг., ШТ., сырокопченая   ПОКОМ</v>
          </cell>
          <cell r="B17">
            <v>82</v>
          </cell>
        </row>
        <row r="18">
          <cell r="A18" t="str">
            <v xml:space="preserve"> 273  Сосиски Сочинки с сочной грудинкой, МГС 0.4кг,   ПОКОМ</v>
          </cell>
          <cell r="B18">
            <v>924</v>
          </cell>
        </row>
        <row r="19">
          <cell r="A19" t="str">
            <v xml:space="preserve"> 276  Колбаса Сливушка ТМ Вязанка в оболочке полиамид 0,45 кг  ПОКОМ</v>
          </cell>
          <cell r="B19">
            <v>720</v>
          </cell>
        </row>
        <row r="20">
          <cell r="A20" t="str">
            <v xml:space="preserve"> 278  Сосиски Сочинки с сочным окороком, МГС 0.4кг,   ПОКОМ</v>
          </cell>
          <cell r="B20">
            <v>282</v>
          </cell>
        </row>
        <row r="21">
          <cell r="A21" t="str">
            <v xml:space="preserve"> 319  Колбаса вареная Филейская ТМ Вязанка ТС Классическая, 0,45 кг. ПОКОМ</v>
          </cell>
          <cell r="B21">
            <v>180</v>
          </cell>
        </row>
        <row r="22">
          <cell r="A22" t="str">
            <v xml:space="preserve"> 334  Паштет Любительский ТМ Стародворье ламистер 0,1 кг  ПОКОМ</v>
          </cell>
          <cell r="B22">
            <v>6</v>
          </cell>
        </row>
        <row r="23">
          <cell r="A23" t="str">
            <v xml:space="preserve"> 338  Паштет печеночный с морковью ТМ Стародворье ламистер 0,1 кг.  ПОКОМ</v>
          </cell>
          <cell r="B23">
            <v>6</v>
          </cell>
        </row>
        <row r="24">
          <cell r="A24" t="str">
            <v xml:space="preserve"> 376  Колбаса Докторская Дугушка 0,6кг ГОСТ ТМ Стародворье  ПОКОМ </v>
          </cell>
          <cell r="B24">
            <v>272</v>
          </cell>
        </row>
        <row r="25">
          <cell r="A25" t="str">
            <v xml:space="preserve"> 377  Колбаса Молочная Дугушка 0,6кг ТМ Стародворье  ПОКОМ</v>
          </cell>
          <cell r="B25">
            <v>272</v>
          </cell>
        </row>
        <row r="26">
          <cell r="A26" t="str">
            <v xml:space="preserve"> 430  Колбаса Стародворская с окороком 0,4 кг. ТМ Стародворье в оболочке полиамид  ПОКОМ</v>
          </cell>
          <cell r="B26">
            <v>4</v>
          </cell>
        </row>
        <row r="27">
          <cell r="A27" t="str">
            <v xml:space="preserve"> 451 Сосиски Филейские ТМ Вязанка в оболочке целлофан 0,3 кг. ПОКОМ</v>
          </cell>
          <cell r="B27">
            <v>62</v>
          </cell>
        </row>
        <row r="28">
          <cell r="A28" t="str">
            <v xml:space="preserve"> 523  Колбаса Сальчичон нарезка 0,07кг ТМ Стародворье  ПОКОМ </v>
          </cell>
          <cell r="B28">
            <v>6</v>
          </cell>
        </row>
        <row r="29">
          <cell r="A29" t="str">
            <v xml:space="preserve"> 525  Колбаса Фуэт нарезка 0,07кг ТМ Стародворье  ПОКОМ</v>
          </cell>
          <cell r="B29">
            <v>4</v>
          </cell>
        </row>
        <row r="30">
          <cell r="A30" t="str">
            <v xml:space="preserve"> 526  Корейка вяленая выдержанная нарезка 0,05кг ТМ Стародворье  ПОКОМ</v>
          </cell>
          <cell r="B30">
            <v>5</v>
          </cell>
        </row>
        <row r="31">
          <cell r="A31" t="str">
            <v xml:space="preserve"> 544  Сосиски Мясные для гриля ТС Ядрена копоть 0,3 кг  ПОКОМ</v>
          </cell>
          <cell r="B31">
            <v>8</v>
          </cell>
        </row>
        <row r="32">
          <cell r="A32" t="str">
            <v xml:space="preserve"> 571  Колбаса Сервелат Ореховый ТМ Вязанка в оболочке фиброуз в вак. упаковке 0,28 кг срез  ПОКОМ</v>
          </cell>
          <cell r="B32">
            <v>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00"/>
  <sheetViews>
    <sheetView tabSelected="1" zoomScale="85" workbookViewId="0">
      <pane xSplit="2" ySplit="5" topLeftCell="C75" activePane="bottomRight" state="frozen"/>
      <selection pane="topRight"/>
      <selection pane="bottomLeft"/>
      <selection pane="bottomRight" activeCell="U90" sqref="U9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8" width="7" customWidth="1"/>
    <col min="19" max="19" width="7" style="18" customWidth="1"/>
    <col min="20" max="21" width="7" style="23" customWidth="1"/>
    <col min="22" max="24" width="7" customWidth="1"/>
    <col min="25" max="26" width="5" customWidth="1"/>
    <col min="27" max="36" width="6.7109375" customWidth="1"/>
    <col min="37" max="37" width="35.28515625" customWidth="1"/>
    <col min="38" max="38" width="7" customWidth="1"/>
    <col min="39" max="45" width="3" customWidth="1"/>
  </cols>
  <sheetData>
    <row r="1" spans="1:4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/>
      <c r="U1" s="20"/>
      <c r="V1" s="1"/>
      <c r="W1" s="1"/>
      <c r="X1" s="17">
        <v>-1.49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0" t="s">
        <v>180</v>
      </c>
      <c r="R2" s="1"/>
      <c r="S2" s="1"/>
      <c r="T2" s="20"/>
      <c r="U2" s="20">
        <v>2400</v>
      </c>
      <c r="V2" s="1"/>
      <c r="W2" s="1"/>
      <c r="X2" s="1" t="s">
        <v>187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7930</v>
      </c>
      <c r="AM2" s="1"/>
      <c r="AN2" s="1"/>
      <c r="AO2" s="1"/>
      <c r="AP2" s="1"/>
      <c r="AQ2" s="1"/>
      <c r="AR2" s="1"/>
      <c r="AS2" s="1"/>
    </row>
    <row r="3" spans="1:4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15</v>
      </c>
      <c r="W3" s="3" t="s">
        <v>16</v>
      </c>
      <c r="X3" s="3" t="s">
        <v>185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</row>
    <row r="4" spans="1:4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25</v>
      </c>
      <c r="Q4" s="1" t="s">
        <v>26</v>
      </c>
      <c r="R4" s="1" t="s">
        <v>27</v>
      </c>
      <c r="S4" s="1" t="s">
        <v>189</v>
      </c>
      <c r="T4" s="20" t="s">
        <v>188</v>
      </c>
      <c r="U4" s="20" t="s">
        <v>190</v>
      </c>
      <c r="V4" s="1" t="s">
        <v>28</v>
      </c>
      <c r="W4" s="1"/>
      <c r="X4" s="1" t="s">
        <v>186</v>
      </c>
      <c r="Y4" s="1"/>
      <c r="Z4" s="1"/>
      <c r="AA4" s="1" t="s">
        <v>24</v>
      </c>
      <c r="AB4" s="1" t="s">
        <v>23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/>
      <c r="AL4" s="1"/>
      <c r="AM4" s="1"/>
      <c r="AN4" s="1"/>
      <c r="AO4" s="1"/>
      <c r="AP4" s="1"/>
      <c r="AQ4" s="1"/>
      <c r="AR4" s="1"/>
      <c r="AS4" s="1"/>
    </row>
    <row r="5" spans="1:45" x14ac:dyDescent="0.25">
      <c r="A5" s="1"/>
      <c r="B5" s="1"/>
      <c r="C5" s="1"/>
      <c r="D5" s="1"/>
      <c r="E5" s="4">
        <f>SUM(E6:E500)</f>
        <v>70876.484000000011</v>
      </c>
      <c r="F5" s="4">
        <f>SUM(F6:F500)</f>
        <v>99286.377000000008</v>
      </c>
      <c r="G5" s="7"/>
      <c r="H5" s="1"/>
      <c r="I5" s="1"/>
      <c r="J5" s="1"/>
      <c r="K5" s="4">
        <f t="shared" ref="K5:X5" si="0">SUM(K6:K500)</f>
        <v>106672.87999999999</v>
      </c>
      <c r="L5" s="4">
        <f t="shared" si="0"/>
        <v>-35796.395999999993</v>
      </c>
      <c r="M5" s="4">
        <f t="shared" si="0"/>
        <v>64887.054000000011</v>
      </c>
      <c r="N5" s="4">
        <f t="shared" si="0"/>
        <v>5989.4299999999994</v>
      </c>
      <c r="O5" s="4">
        <f t="shared" si="0"/>
        <v>-3500</v>
      </c>
      <c r="P5" s="4">
        <f t="shared" si="0"/>
        <v>4230</v>
      </c>
      <c r="Q5" s="4">
        <f t="shared" si="0"/>
        <v>-12922.815000000002</v>
      </c>
      <c r="R5" s="4">
        <f t="shared" si="0"/>
        <v>16513.959370864799</v>
      </c>
      <c r="S5" s="4">
        <f t="shared" ref="S5" si="1">SUM(S6:S500)</f>
        <v>-5876.3571428571431</v>
      </c>
      <c r="T5" s="21">
        <f t="shared" ref="T5:U5" si="2">SUM(T6:T500)</f>
        <v>4700</v>
      </c>
      <c r="U5" s="21">
        <f t="shared" si="2"/>
        <v>2400</v>
      </c>
      <c r="V5" s="4">
        <f t="shared" si="0"/>
        <v>10392.847799999994</v>
      </c>
      <c r="W5" s="4">
        <f t="shared" si="0"/>
        <v>20354.321646735196</v>
      </c>
      <c r="X5" s="4">
        <f t="shared" si="0"/>
        <v>11203.7589031152</v>
      </c>
      <c r="Y5" s="1"/>
      <c r="Z5" s="1"/>
      <c r="AA5" s="4">
        <f t="shared" ref="AA5:AJ5" si="3">SUM(AA6:AA500)</f>
        <v>11560.837400000002</v>
      </c>
      <c r="AB5" s="4">
        <f t="shared" si="3"/>
        <v>11734.1994</v>
      </c>
      <c r="AC5" s="4">
        <f t="shared" si="3"/>
        <v>14138.868400000007</v>
      </c>
      <c r="AD5" s="4">
        <f t="shared" si="3"/>
        <v>14537.335200000001</v>
      </c>
      <c r="AE5" s="4">
        <f t="shared" si="3"/>
        <v>14045.6934</v>
      </c>
      <c r="AF5" s="4">
        <f t="shared" si="3"/>
        <v>13116.186799999999</v>
      </c>
      <c r="AG5" s="4">
        <f t="shared" si="3"/>
        <v>13766.086000000007</v>
      </c>
      <c r="AH5" s="4">
        <f t="shared" si="3"/>
        <v>14781.186599999995</v>
      </c>
      <c r="AI5" s="4">
        <f t="shared" si="3"/>
        <v>14428.942000000005</v>
      </c>
      <c r="AJ5" s="4">
        <f t="shared" si="3"/>
        <v>14320.503199999997</v>
      </c>
      <c r="AK5" s="1"/>
      <c r="AL5" s="4">
        <f>SUM(AL6:AL500)</f>
        <v>7922</v>
      </c>
      <c r="AM5" s="1"/>
      <c r="AN5" s="1"/>
      <c r="AO5" s="1"/>
      <c r="AP5" s="1"/>
      <c r="AQ5" s="1"/>
      <c r="AR5" s="1"/>
      <c r="AS5" s="1"/>
    </row>
    <row r="6" spans="1:45" x14ac:dyDescent="0.25">
      <c r="A6" s="1" t="s">
        <v>37</v>
      </c>
      <c r="B6" s="1" t="s">
        <v>38</v>
      </c>
      <c r="C6" s="1">
        <v>1035.8140000000001</v>
      </c>
      <c r="D6" s="1">
        <v>5336.0320000000002</v>
      </c>
      <c r="E6" s="1">
        <v>2163.7539999999999</v>
      </c>
      <c r="F6" s="1">
        <v>3521.53</v>
      </c>
      <c r="G6" s="7">
        <v>1</v>
      </c>
      <c r="H6" s="1">
        <v>50</v>
      </c>
      <c r="I6" s="1" t="s">
        <v>39</v>
      </c>
      <c r="J6" s="1"/>
      <c r="K6" s="1">
        <v>3063.473</v>
      </c>
      <c r="L6" s="1">
        <f t="shared" ref="L6:L37" si="4">E6-K6</f>
        <v>-899.71900000000005</v>
      </c>
      <c r="M6" s="1">
        <f>E6-N6</f>
        <v>1545.617</v>
      </c>
      <c r="N6" s="1">
        <v>618.13699999999994</v>
      </c>
      <c r="O6" s="1"/>
      <c r="P6" s="1"/>
      <c r="Q6" s="1"/>
      <c r="R6" s="1">
        <v>774.65511760000095</v>
      </c>
      <c r="S6" s="1"/>
      <c r="T6" s="20"/>
      <c r="U6" s="20"/>
      <c r="V6" s="1">
        <f>(M6+Q6)/5</f>
        <v>309.1234</v>
      </c>
      <c r="W6" s="5"/>
      <c r="X6" s="5">
        <f>W6</f>
        <v>0</v>
      </c>
      <c r="Y6" s="1">
        <f>(F6+O6+P6+R6+X6+S6+T6+U6)/V6</f>
        <v>13.897961518280404</v>
      </c>
      <c r="Z6" s="1">
        <f>(F6+O6+P6+R6+S6+T6)/V6</f>
        <v>13.897961518280404</v>
      </c>
      <c r="AA6" s="1">
        <v>397.22059999999999</v>
      </c>
      <c r="AB6" s="1">
        <v>387.44979999999998</v>
      </c>
      <c r="AC6" s="1">
        <v>475.30520000000001</v>
      </c>
      <c r="AD6" s="1">
        <v>548.64239999999995</v>
      </c>
      <c r="AE6" s="1">
        <v>471.7946</v>
      </c>
      <c r="AF6" s="1">
        <v>438.9076</v>
      </c>
      <c r="AG6" s="1">
        <v>507.63760000000002</v>
      </c>
      <c r="AH6" s="1">
        <v>550.45600000000002</v>
      </c>
      <c r="AI6" s="1">
        <v>574.12580000000003</v>
      </c>
      <c r="AJ6" s="1">
        <v>568.09579999999994</v>
      </c>
      <c r="AK6" s="1"/>
      <c r="AL6" s="1">
        <f>ROUND(G6*X6,0)</f>
        <v>0</v>
      </c>
      <c r="AM6" s="1"/>
      <c r="AN6" s="1"/>
      <c r="AO6" s="1"/>
      <c r="AP6" s="1"/>
      <c r="AQ6" s="1"/>
      <c r="AR6" s="1"/>
      <c r="AS6" s="1"/>
    </row>
    <row r="7" spans="1:45" x14ac:dyDescent="0.25">
      <c r="A7" s="1" t="s">
        <v>40</v>
      </c>
      <c r="B7" s="1" t="s">
        <v>38</v>
      </c>
      <c r="C7" s="1">
        <v>705.73800000000006</v>
      </c>
      <c r="D7" s="1">
        <v>1760.0160000000001</v>
      </c>
      <c r="E7" s="1">
        <v>1199.442</v>
      </c>
      <c r="F7" s="1">
        <v>1197.316</v>
      </c>
      <c r="G7" s="7">
        <v>1</v>
      </c>
      <c r="H7" s="1">
        <v>45</v>
      </c>
      <c r="I7" s="1" t="s">
        <v>39</v>
      </c>
      <c r="J7" s="1"/>
      <c r="K7" s="1">
        <v>1539.741</v>
      </c>
      <c r="L7" s="1">
        <f t="shared" si="4"/>
        <v>-340.29899999999998</v>
      </c>
      <c r="M7" s="1">
        <f t="shared" ref="M7:M70" si="5">E7-N7</f>
        <v>1199.442</v>
      </c>
      <c r="N7" s="1"/>
      <c r="O7" s="1"/>
      <c r="P7" s="1"/>
      <c r="Q7" s="1">
        <f>-1*VLOOKUP(A7,[1]TDSheet!$A:$B,2,0)</f>
        <v>-501.52300000000002</v>
      </c>
      <c r="R7" s="1">
        <v>0</v>
      </c>
      <c r="S7" s="1"/>
      <c r="T7" s="20"/>
      <c r="U7" s="20"/>
      <c r="V7" s="1">
        <f t="shared" ref="V7:V70" si="6">(M7+Q7)/5</f>
        <v>139.5838</v>
      </c>
      <c r="W7" s="5">
        <f t="shared" ref="W7:W17" si="7">12*V7-R7-P7-O7-F7</f>
        <v>477.68959999999993</v>
      </c>
      <c r="X7" s="5">
        <f>IF(W7+$X$1*V7&lt;0,0,W7+$X$1*V7)</f>
        <v>269.7097379999999</v>
      </c>
      <c r="Y7" s="1">
        <f t="shared" ref="Y7:Y70" si="8">(F7+O7+P7+R7+X7+S7+T7+U7)/V7</f>
        <v>10.51</v>
      </c>
      <c r="Z7" s="1">
        <f t="shared" ref="Z7:Z70" si="9">(F7+O7+P7+R7+S7+T7)/V7</f>
        <v>8.5777575907805925</v>
      </c>
      <c r="AA7" s="1">
        <v>139.13839999999999</v>
      </c>
      <c r="AB7" s="1">
        <v>153.54400000000001</v>
      </c>
      <c r="AC7" s="1">
        <v>198.9838</v>
      </c>
      <c r="AD7" s="1">
        <v>211.20099999999999</v>
      </c>
      <c r="AE7" s="1">
        <v>193.32560000000001</v>
      </c>
      <c r="AF7" s="1">
        <v>182.81979999999999</v>
      </c>
      <c r="AG7" s="1">
        <v>175.50360000000001</v>
      </c>
      <c r="AH7" s="1">
        <v>191.05959999999999</v>
      </c>
      <c r="AI7" s="1">
        <v>216.93260000000001</v>
      </c>
      <c r="AJ7" s="1">
        <v>206.46279999999999</v>
      </c>
      <c r="AK7" s="1"/>
      <c r="AL7" s="1">
        <f t="shared" ref="AL7:AL70" si="10">ROUND(G7*X7,0)</f>
        <v>270</v>
      </c>
      <c r="AM7" s="1"/>
      <c r="AN7" s="1"/>
      <c r="AO7" s="1"/>
      <c r="AP7" s="1"/>
      <c r="AQ7" s="1"/>
      <c r="AR7" s="1"/>
      <c r="AS7" s="1"/>
    </row>
    <row r="8" spans="1:45" x14ac:dyDescent="0.25">
      <c r="A8" s="1" t="s">
        <v>41</v>
      </c>
      <c r="B8" s="1" t="s">
        <v>38</v>
      </c>
      <c r="C8" s="1">
        <v>2035.567</v>
      </c>
      <c r="D8" s="1">
        <v>5522.0950000000003</v>
      </c>
      <c r="E8" s="1">
        <v>2871.5</v>
      </c>
      <c r="F8" s="1">
        <v>4236.0370000000003</v>
      </c>
      <c r="G8" s="7">
        <v>1</v>
      </c>
      <c r="H8" s="1">
        <v>45</v>
      </c>
      <c r="I8" s="1" t="s">
        <v>39</v>
      </c>
      <c r="J8" s="1"/>
      <c r="K8" s="1">
        <v>4343.6440000000002</v>
      </c>
      <c r="L8" s="1">
        <f t="shared" si="4"/>
        <v>-1472.1440000000002</v>
      </c>
      <c r="M8" s="1">
        <f t="shared" si="5"/>
        <v>2771.1370000000002</v>
      </c>
      <c r="N8" s="1">
        <v>100.363</v>
      </c>
      <c r="O8" s="1"/>
      <c r="P8" s="1">
        <v>500</v>
      </c>
      <c r="Q8" s="1">
        <f>-1*VLOOKUP(A8,[1]TDSheet!$A:$B,2,0)</f>
        <v>-523.87199999999996</v>
      </c>
      <c r="R8" s="1">
        <v>34.402500779998107</v>
      </c>
      <c r="S8" s="1"/>
      <c r="T8" s="20"/>
      <c r="U8" s="20"/>
      <c r="V8" s="1">
        <f t="shared" si="6"/>
        <v>449.45300000000009</v>
      </c>
      <c r="W8" s="5">
        <f t="shared" si="7"/>
        <v>622.99649922000299</v>
      </c>
      <c r="X8" s="5">
        <f>IF(W8+$X$1*V8&lt;0,0,W8+$X$1*V8)</f>
        <v>0</v>
      </c>
      <c r="Y8" s="1">
        <f t="shared" si="8"/>
        <v>10.613878427288276</v>
      </c>
      <c r="Z8" s="1">
        <f t="shared" si="9"/>
        <v>10.613878427288276</v>
      </c>
      <c r="AA8" s="1">
        <v>483.47179999999997</v>
      </c>
      <c r="AB8" s="1">
        <v>504.71640000000002</v>
      </c>
      <c r="AC8" s="1">
        <v>603.90640000000008</v>
      </c>
      <c r="AD8" s="1">
        <v>611.28559999999993</v>
      </c>
      <c r="AE8" s="1">
        <v>564.65660000000003</v>
      </c>
      <c r="AF8" s="1">
        <v>559.11500000000001</v>
      </c>
      <c r="AG8" s="1">
        <v>520.86239999999998</v>
      </c>
      <c r="AH8" s="1">
        <v>595.93939999999998</v>
      </c>
      <c r="AI8" s="1">
        <v>645.5598</v>
      </c>
      <c r="AJ8" s="1">
        <v>584.85239999999999</v>
      </c>
      <c r="AK8" s="1"/>
      <c r="AL8" s="1">
        <f t="shared" si="10"/>
        <v>0</v>
      </c>
      <c r="AM8" s="1"/>
      <c r="AN8" s="1"/>
      <c r="AO8" s="1"/>
      <c r="AP8" s="1"/>
      <c r="AQ8" s="1"/>
      <c r="AR8" s="1"/>
      <c r="AS8" s="1"/>
    </row>
    <row r="9" spans="1:45" x14ac:dyDescent="0.25">
      <c r="A9" s="1" t="s">
        <v>42</v>
      </c>
      <c r="B9" s="1" t="s">
        <v>43</v>
      </c>
      <c r="C9" s="1"/>
      <c r="D9" s="1">
        <v>20</v>
      </c>
      <c r="E9" s="1"/>
      <c r="F9" s="1">
        <v>20</v>
      </c>
      <c r="G9" s="7">
        <v>0.4</v>
      </c>
      <c r="H9" s="1">
        <v>50</v>
      </c>
      <c r="I9" s="1" t="s">
        <v>44</v>
      </c>
      <c r="J9" s="1"/>
      <c r="K9" s="1"/>
      <c r="L9" s="1">
        <f t="shared" si="4"/>
        <v>0</v>
      </c>
      <c r="M9" s="1">
        <f t="shared" si="5"/>
        <v>0</v>
      </c>
      <c r="N9" s="1"/>
      <c r="O9" s="1"/>
      <c r="P9" s="1"/>
      <c r="Q9" s="1"/>
      <c r="R9" s="1">
        <v>0</v>
      </c>
      <c r="S9" s="1"/>
      <c r="T9" s="20"/>
      <c r="U9" s="20"/>
      <c r="V9" s="1">
        <f t="shared" si="6"/>
        <v>0</v>
      </c>
      <c r="W9" s="5"/>
      <c r="X9" s="5">
        <f t="shared" ref="X9:X70" si="11">W9</f>
        <v>0</v>
      </c>
      <c r="Y9" s="1" t="e">
        <f t="shared" si="8"/>
        <v>#DIV/0!</v>
      </c>
      <c r="Z9" s="1" t="e">
        <f t="shared" si="9"/>
        <v>#DIV/0!</v>
      </c>
      <c r="AA9" s="1">
        <v>0</v>
      </c>
      <c r="AB9" s="1">
        <v>0</v>
      </c>
      <c r="AC9" s="1">
        <v>0</v>
      </c>
      <c r="AD9" s="1">
        <v>0.6</v>
      </c>
      <c r="AE9" s="1">
        <v>0.6</v>
      </c>
      <c r="AF9" s="1">
        <v>0</v>
      </c>
      <c r="AG9" s="1">
        <v>0</v>
      </c>
      <c r="AH9" s="1">
        <v>0.2</v>
      </c>
      <c r="AI9" s="1">
        <v>4.2</v>
      </c>
      <c r="AJ9" s="1">
        <v>5.8</v>
      </c>
      <c r="AK9" s="1" t="s">
        <v>45</v>
      </c>
      <c r="AL9" s="1">
        <f t="shared" si="10"/>
        <v>0</v>
      </c>
      <c r="AM9" s="1"/>
      <c r="AN9" s="1"/>
      <c r="AO9" s="1"/>
      <c r="AP9" s="1"/>
      <c r="AQ9" s="1"/>
      <c r="AR9" s="1"/>
      <c r="AS9" s="1"/>
    </row>
    <row r="10" spans="1:45" x14ac:dyDescent="0.25">
      <c r="A10" s="1" t="s">
        <v>46</v>
      </c>
      <c r="B10" s="1" t="s">
        <v>43</v>
      </c>
      <c r="C10" s="1">
        <v>1120</v>
      </c>
      <c r="D10" s="1">
        <v>3500</v>
      </c>
      <c r="E10" s="1">
        <v>1327</v>
      </c>
      <c r="F10" s="1">
        <v>2687</v>
      </c>
      <c r="G10" s="7">
        <v>0.45</v>
      </c>
      <c r="H10" s="1">
        <v>45</v>
      </c>
      <c r="I10" s="15" t="s">
        <v>47</v>
      </c>
      <c r="J10" s="1"/>
      <c r="K10" s="1">
        <v>3467</v>
      </c>
      <c r="L10" s="1">
        <f t="shared" si="4"/>
        <v>-2140</v>
      </c>
      <c r="M10" s="1">
        <f t="shared" si="5"/>
        <v>1327</v>
      </c>
      <c r="N10" s="1"/>
      <c r="O10" s="1"/>
      <c r="P10" s="1">
        <v>1000</v>
      </c>
      <c r="Q10" s="1"/>
      <c r="R10" s="1">
        <v>0</v>
      </c>
      <c r="S10" s="1"/>
      <c r="T10" s="20"/>
      <c r="U10" s="20"/>
      <c r="V10" s="1">
        <f t="shared" si="6"/>
        <v>265.39999999999998</v>
      </c>
      <c r="W10" s="5">
        <v>500</v>
      </c>
      <c r="X10" s="5">
        <f t="shared" ref="X10:X11" si="12">IF(W10+$X$1*V10&lt;0,0,W10+$X$1*V10)</f>
        <v>104.55400000000003</v>
      </c>
      <c r="Y10" s="1">
        <f t="shared" si="8"/>
        <v>14.286186887716656</v>
      </c>
      <c r="Z10" s="1">
        <f t="shared" si="9"/>
        <v>13.892238131122834</v>
      </c>
      <c r="AA10" s="1">
        <v>547.20000000000005</v>
      </c>
      <c r="AB10" s="1">
        <v>563.6</v>
      </c>
      <c r="AC10" s="1">
        <v>673.6</v>
      </c>
      <c r="AD10" s="1">
        <v>380.8</v>
      </c>
      <c r="AE10" s="1">
        <v>376.4</v>
      </c>
      <c r="AF10" s="1">
        <v>381.8</v>
      </c>
      <c r="AG10" s="1">
        <v>353.6</v>
      </c>
      <c r="AH10" s="1">
        <v>327.60000000000002</v>
      </c>
      <c r="AI10" s="1">
        <v>392</v>
      </c>
      <c r="AJ10" s="1">
        <v>376.6</v>
      </c>
      <c r="AK10" s="1" t="s">
        <v>48</v>
      </c>
      <c r="AL10" s="1">
        <f t="shared" si="10"/>
        <v>47</v>
      </c>
      <c r="AM10" s="1"/>
      <c r="AN10" s="1"/>
      <c r="AO10" s="1"/>
      <c r="AP10" s="1"/>
      <c r="AQ10" s="1"/>
      <c r="AR10" s="1"/>
      <c r="AS10" s="1"/>
    </row>
    <row r="11" spans="1:45" x14ac:dyDescent="0.25">
      <c r="A11" s="1" t="s">
        <v>49</v>
      </c>
      <c r="B11" s="1" t="s">
        <v>43</v>
      </c>
      <c r="C11" s="1">
        <v>1712</v>
      </c>
      <c r="D11" s="1">
        <v>7373</v>
      </c>
      <c r="E11" s="1">
        <v>3281</v>
      </c>
      <c r="F11" s="1">
        <v>5018</v>
      </c>
      <c r="G11" s="7">
        <v>0.45</v>
      </c>
      <c r="H11" s="1">
        <v>45</v>
      </c>
      <c r="I11" s="1" t="s">
        <v>39</v>
      </c>
      <c r="J11" s="1"/>
      <c r="K11" s="1">
        <v>5049</v>
      </c>
      <c r="L11" s="1">
        <f t="shared" si="4"/>
        <v>-1768</v>
      </c>
      <c r="M11" s="1">
        <f t="shared" si="5"/>
        <v>3281</v>
      </c>
      <c r="N11" s="1"/>
      <c r="O11" s="1"/>
      <c r="P11" s="1"/>
      <c r="Q11" s="1">
        <f>-1*VLOOKUP(A11,[1]TDSheet!$A:$B,2,0)</f>
        <v>-1125</v>
      </c>
      <c r="R11" s="1">
        <v>0</v>
      </c>
      <c r="S11" s="1"/>
      <c r="T11" s="20"/>
      <c r="U11" s="20"/>
      <c r="V11" s="1">
        <f t="shared" si="6"/>
        <v>431.2</v>
      </c>
      <c r="W11" s="5">
        <f t="shared" si="7"/>
        <v>156.39999999999964</v>
      </c>
      <c r="X11" s="5">
        <f t="shared" si="12"/>
        <v>0</v>
      </c>
      <c r="Y11" s="1">
        <f t="shared" si="8"/>
        <v>11.637291280148423</v>
      </c>
      <c r="Z11" s="1">
        <f t="shared" si="9"/>
        <v>11.637291280148423</v>
      </c>
      <c r="AA11" s="1">
        <v>445.4</v>
      </c>
      <c r="AB11" s="1">
        <v>495.2</v>
      </c>
      <c r="AC11" s="1">
        <v>660.46</v>
      </c>
      <c r="AD11" s="1">
        <v>717.66000000000008</v>
      </c>
      <c r="AE11" s="1">
        <v>698.8</v>
      </c>
      <c r="AF11" s="1">
        <v>602.20000000000005</v>
      </c>
      <c r="AG11" s="1">
        <v>550.4</v>
      </c>
      <c r="AH11" s="1">
        <v>621.79999999999995</v>
      </c>
      <c r="AI11" s="1">
        <v>638.6</v>
      </c>
      <c r="AJ11" s="1">
        <v>583.79999999999995</v>
      </c>
      <c r="AK11" s="1"/>
      <c r="AL11" s="1">
        <f t="shared" si="10"/>
        <v>0</v>
      </c>
      <c r="AM11" s="1"/>
      <c r="AN11" s="1"/>
      <c r="AO11" s="1"/>
      <c r="AP11" s="1"/>
      <c r="AQ11" s="1"/>
      <c r="AR11" s="1"/>
      <c r="AS11" s="1"/>
    </row>
    <row r="12" spans="1:45" x14ac:dyDescent="0.25">
      <c r="A12" s="1" t="s">
        <v>51</v>
      </c>
      <c r="B12" s="1" t="s">
        <v>43</v>
      </c>
      <c r="C12" s="1">
        <v>36</v>
      </c>
      <c r="D12" s="1">
        <v>213</v>
      </c>
      <c r="E12" s="1">
        <v>45</v>
      </c>
      <c r="F12" s="1">
        <v>201</v>
      </c>
      <c r="G12" s="7">
        <v>0.17</v>
      </c>
      <c r="H12" s="1">
        <v>180</v>
      </c>
      <c r="I12" s="1" t="s">
        <v>44</v>
      </c>
      <c r="J12" s="1"/>
      <c r="K12" s="1">
        <v>151</v>
      </c>
      <c r="L12" s="1">
        <f t="shared" si="4"/>
        <v>-106</v>
      </c>
      <c r="M12" s="1">
        <f t="shared" si="5"/>
        <v>45</v>
      </c>
      <c r="N12" s="1"/>
      <c r="O12" s="1"/>
      <c r="P12" s="1"/>
      <c r="Q12" s="1"/>
      <c r="R12" s="1">
        <v>0</v>
      </c>
      <c r="S12" s="1"/>
      <c r="T12" s="20"/>
      <c r="U12" s="20"/>
      <c r="V12" s="1">
        <f t="shared" si="6"/>
        <v>9</v>
      </c>
      <c r="W12" s="5"/>
      <c r="X12" s="5">
        <f t="shared" si="11"/>
        <v>0</v>
      </c>
      <c r="Y12" s="1">
        <f t="shared" si="8"/>
        <v>22.333333333333332</v>
      </c>
      <c r="Z12" s="1">
        <f t="shared" si="9"/>
        <v>22.333333333333332</v>
      </c>
      <c r="AA12" s="1">
        <v>5.4</v>
      </c>
      <c r="AB12" s="1">
        <v>12.6</v>
      </c>
      <c r="AC12" s="1">
        <v>17.2</v>
      </c>
      <c r="AD12" s="1">
        <v>21</v>
      </c>
      <c r="AE12" s="1">
        <v>14.4</v>
      </c>
      <c r="AF12" s="1">
        <v>13.6</v>
      </c>
      <c r="AG12" s="1">
        <v>11.2</v>
      </c>
      <c r="AH12" s="1">
        <v>12.6</v>
      </c>
      <c r="AI12" s="1">
        <v>17</v>
      </c>
      <c r="AJ12" s="1">
        <v>16.2</v>
      </c>
      <c r="AK12" s="14" t="s">
        <v>52</v>
      </c>
      <c r="AL12" s="1">
        <f t="shared" si="10"/>
        <v>0</v>
      </c>
      <c r="AM12" s="1"/>
      <c r="AN12" s="1"/>
      <c r="AO12" s="1"/>
      <c r="AP12" s="1"/>
      <c r="AQ12" s="1"/>
      <c r="AR12" s="1"/>
      <c r="AS12" s="1"/>
    </row>
    <row r="13" spans="1:45" x14ac:dyDescent="0.25">
      <c r="A13" s="1" t="s">
        <v>53</v>
      </c>
      <c r="B13" s="1" t="s">
        <v>43</v>
      </c>
      <c r="C13" s="1">
        <v>8</v>
      </c>
      <c r="D13" s="1">
        <v>116</v>
      </c>
      <c r="E13" s="1">
        <v>5</v>
      </c>
      <c r="F13" s="1">
        <v>116</v>
      </c>
      <c r="G13" s="7">
        <v>0.3</v>
      </c>
      <c r="H13" s="1">
        <v>40</v>
      </c>
      <c r="I13" s="1" t="s">
        <v>44</v>
      </c>
      <c r="J13" s="1"/>
      <c r="K13" s="1">
        <v>47</v>
      </c>
      <c r="L13" s="1">
        <f t="shared" si="4"/>
        <v>-42</v>
      </c>
      <c r="M13" s="1">
        <f t="shared" si="5"/>
        <v>5</v>
      </c>
      <c r="N13" s="1"/>
      <c r="O13" s="1"/>
      <c r="P13" s="1"/>
      <c r="Q13" s="1"/>
      <c r="R13" s="1">
        <v>0</v>
      </c>
      <c r="S13" s="1"/>
      <c r="T13" s="20"/>
      <c r="U13" s="20"/>
      <c r="V13" s="1">
        <f t="shared" si="6"/>
        <v>1</v>
      </c>
      <c r="W13" s="5"/>
      <c r="X13" s="5">
        <f t="shared" si="11"/>
        <v>0</v>
      </c>
      <c r="Y13" s="1">
        <f t="shared" si="8"/>
        <v>116</v>
      </c>
      <c r="Z13" s="1">
        <f t="shared" si="9"/>
        <v>116</v>
      </c>
      <c r="AA13" s="1">
        <v>0.8</v>
      </c>
      <c r="AB13" s="1">
        <v>2.6</v>
      </c>
      <c r="AC13" s="1">
        <v>9.4</v>
      </c>
      <c r="AD13" s="1">
        <v>13.4</v>
      </c>
      <c r="AE13" s="1">
        <v>4.4000000000000004</v>
      </c>
      <c r="AF13" s="1">
        <v>0.4</v>
      </c>
      <c r="AG13" s="1">
        <v>5.8</v>
      </c>
      <c r="AH13" s="1">
        <v>7</v>
      </c>
      <c r="AI13" s="1">
        <v>1.6</v>
      </c>
      <c r="AJ13" s="1">
        <v>-0.4</v>
      </c>
      <c r="AK13" s="1"/>
      <c r="AL13" s="1">
        <f t="shared" si="10"/>
        <v>0</v>
      </c>
      <c r="AM13" s="1"/>
      <c r="AN13" s="1"/>
      <c r="AO13" s="1"/>
      <c r="AP13" s="1"/>
      <c r="AQ13" s="1"/>
      <c r="AR13" s="1"/>
      <c r="AS13" s="1"/>
    </row>
    <row r="14" spans="1:45" x14ac:dyDescent="0.25">
      <c r="A14" s="1" t="s">
        <v>54</v>
      </c>
      <c r="B14" s="1" t="s">
        <v>43</v>
      </c>
      <c r="C14" s="1">
        <v>18</v>
      </c>
      <c r="D14" s="1">
        <v>824</v>
      </c>
      <c r="E14" s="1">
        <v>265</v>
      </c>
      <c r="F14" s="1">
        <v>542</v>
      </c>
      <c r="G14" s="7">
        <v>0.17</v>
      </c>
      <c r="H14" s="1">
        <v>180</v>
      </c>
      <c r="I14" s="1" t="s">
        <v>44</v>
      </c>
      <c r="J14" s="1"/>
      <c r="K14" s="1">
        <v>404</v>
      </c>
      <c r="L14" s="1">
        <f t="shared" si="4"/>
        <v>-139</v>
      </c>
      <c r="M14" s="1">
        <f t="shared" si="5"/>
        <v>265</v>
      </c>
      <c r="N14" s="1"/>
      <c r="O14" s="1"/>
      <c r="P14" s="1"/>
      <c r="Q14" s="1">
        <f>-1*VLOOKUP(A14,[1]TDSheet!$A:$B,2,0)</f>
        <v>-82</v>
      </c>
      <c r="R14" s="1">
        <v>0</v>
      </c>
      <c r="S14" s="1"/>
      <c r="T14" s="20"/>
      <c r="U14" s="20"/>
      <c r="V14" s="1">
        <f t="shared" si="6"/>
        <v>36.6</v>
      </c>
      <c r="W14" s="5"/>
      <c r="X14" s="5">
        <f t="shared" si="11"/>
        <v>0</v>
      </c>
      <c r="Y14" s="1">
        <f t="shared" si="8"/>
        <v>14.808743169398907</v>
      </c>
      <c r="Z14" s="1">
        <f t="shared" si="9"/>
        <v>14.808743169398907</v>
      </c>
      <c r="AA14" s="1">
        <v>21.4</v>
      </c>
      <c r="AB14" s="1">
        <v>16.2</v>
      </c>
      <c r="AC14" s="1">
        <v>29.4</v>
      </c>
      <c r="AD14" s="1">
        <v>74.2</v>
      </c>
      <c r="AE14" s="1">
        <v>73.8</v>
      </c>
      <c r="AF14" s="1">
        <v>37.6</v>
      </c>
      <c r="AG14" s="1">
        <v>35.200000000000003</v>
      </c>
      <c r="AH14" s="1">
        <v>46.2</v>
      </c>
      <c r="AI14" s="1">
        <v>49.6</v>
      </c>
      <c r="AJ14" s="1">
        <v>43.2</v>
      </c>
      <c r="AK14" s="1"/>
      <c r="AL14" s="1">
        <f t="shared" si="10"/>
        <v>0</v>
      </c>
      <c r="AM14" s="1"/>
      <c r="AN14" s="1"/>
      <c r="AO14" s="1"/>
      <c r="AP14" s="1"/>
      <c r="AQ14" s="1"/>
      <c r="AR14" s="1"/>
      <c r="AS14" s="1"/>
    </row>
    <row r="15" spans="1:45" x14ac:dyDescent="0.25">
      <c r="A15" s="1" t="s">
        <v>55</v>
      </c>
      <c r="B15" s="1" t="s">
        <v>38</v>
      </c>
      <c r="C15" s="1">
        <v>2671.5149999999999</v>
      </c>
      <c r="D15" s="1">
        <v>6269.0879999999997</v>
      </c>
      <c r="E15" s="1">
        <v>2874.3809999999999</v>
      </c>
      <c r="F15" s="1">
        <v>5491.3090000000002</v>
      </c>
      <c r="G15" s="7">
        <v>1</v>
      </c>
      <c r="H15" s="1">
        <v>70</v>
      </c>
      <c r="I15" s="1" t="s">
        <v>39</v>
      </c>
      <c r="J15" s="1"/>
      <c r="K15" s="1">
        <v>4392.9229999999998</v>
      </c>
      <c r="L15" s="1">
        <f t="shared" si="4"/>
        <v>-1518.5419999999999</v>
      </c>
      <c r="M15" s="1">
        <f t="shared" si="5"/>
        <v>2773.9879999999998</v>
      </c>
      <c r="N15" s="1">
        <v>100.393</v>
      </c>
      <c r="O15" s="1"/>
      <c r="P15" s="1">
        <v>500</v>
      </c>
      <c r="Q15" s="1"/>
      <c r="R15" s="1">
        <v>0</v>
      </c>
      <c r="S15" s="1"/>
      <c r="T15" s="20"/>
      <c r="U15" s="20"/>
      <c r="V15" s="1">
        <f t="shared" si="6"/>
        <v>554.79759999999999</v>
      </c>
      <c r="W15" s="5">
        <f t="shared" si="7"/>
        <v>666.26220000000012</v>
      </c>
      <c r="X15" s="5">
        <f t="shared" ref="X15:X17" si="13">IF(W15+$X$1*V15&lt;0,0,W15+$X$1*V15)</f>
        <v>0</v>
      </c>
      <c r="Y15" s="1">
        <f t="shared" si="8"/>
        <v>10.799089613942094</v>
      </c>
      <c r="Z15" s="1">
        <f t="shared" si="9"/>
        <v>10.799089613942094</v>
      </c>
      <c r="AA15" s="1">
        <v>546.93779999999992</v>
      </c>
      <c r="AB15" s="1">
        <v>609.09219999999993</v>
      </c>
      <c r="AC15" s="1">
        <v>717.98599999999999</v>
      </c>
      <c r="AD15" s="1">
        <v>729.06079999999997</v>
      </c>
      <c r="AE15" s="1">
        <v>733.47640000000001</v>
      </c>
      <c r="AF15" s="1">
        <v>698.62239999999997</v>
      </c>
      <c r="AG15" s="1">
        <v>743.16840000000002</v>
      </c>
      <c r="AH15" s="1">
        <v>777.8900000000001</v>
      </c>
      <c r="AI15" s="1">
        <v>793.41980000000001</v>
      </c>
      <c r="AJ15" s="1">
        <v>813.2912</v>
      </c>
      <c r="AK15" s="1"/>
      <c r="AL15" s="1">
        <f t="shared" si="10"/>
        <v>0</v>
      </c>
      <c r="AM15" s="1"/>
      <c r="AN15" s="1"/>
      <c r="AO15" s="1"/>
      <c r="AP15" s="1"/>
      <c r="AQ15" s="1"/>
      <c r="AR15" s="1"/>
      <c r="AS15" s="1"/>
    </row>
    <row r="16" spans="1:45" x14ac:dyDescent="0.25">
      <c r="A16" s="1" t="s">
        <v>56</v>
      </c>
      <c r="B16" s="1" t="s">
        <v>38</v>
      </c>
      <c r="C16" s="1">
        <v>2466.2719999999999</v>
      </c>
      <c r="D16" s="1">
        <v>5885.0069999999996</v>
      </c>
      <c r="E16" s="1">
        <v>3117.7649999999999</v>
      </c>
      <c r="F16" s="1">
        <v>4134.7340000000004</v>
      </c>
      <c r="G16" s="7">
        <v>1</v>
      </c>
      <c r="H16" s="1">
        <v>50</v>
      </c>
      <c r="I16" s="1" t="s">
        <v>39</v>
      </c>
      <c r="J16" s="1"/>
      <c r="K16" s="1">
        <v>4866.7879999999996</v>
      </c>
      <c r="L16" s="1">
        <f t="shared" si="4"/>
        <v>-1749.0229999999997</v>
      </c>
      <c r="M16" s="1">
        <f t="shared" si="5"/>
        <v>3117.7649999999999</v>
      </c>
      <c r="N16" s="1"/>
      <c r="O16" s="1"/>
      <c r="P16" s="1"/>
      <c r="Q16" s="1"/>
      <c r="R16" s="1">
        <v>3164.613817599999</v>
      </c>
      <c r="S16" s="1"/>
      <c r="T16" s="20"/>
      <c r="U16" s="20"/>
      <c r="V16" s="1">
        <f t="shared" si="6"/>
        <v>623.553</v>
      </c>
      <c r="W16" s="5">
        <f t="shared" si="7"/>
        <v>183.28818240000146</v>
      </c>
      <c r="X16" s="5">
        <f t="shared" si="13"/>
        <v>0</v>
      </c>
      <c r="Y16" s="1">
        <f t="shared" si="8"/>
        <v>11.706058374508661</v>
      </c>
      <c r="Z16" s="1">
        <f t="shared" si="9"/>
        <v>11.706058374508661</v>
      </c>
      <c r="AA16" s="1">
        <v>655.59559999999999</v>
      </c>
      <c r="AB16" s="1">
        <v>514.53160000000003</v>
      </c>
      <c r="AC16" s="1">
        <v>650.99779999999998</v>
      </c>
      <c r="AD16" s="1">
        <v>665.4226000000001</v>
      </c>
      <c r="AE16" s="1">
        <v>618.9745999999999</v>
      </c>
      <c r="AF16" s="1">
        <v>533.11019999999996</v>
      </c>
      <c r="AG16" s="1">
        <v>718.05599999999993</v>
      </c>
      <c r="AH16" s="1">
        <v>883.88040000000001</v>
      </c>
      <c r="AI16" s="1">
        <v>762.78340000000003</v>
      </c>
      <c r="AJ16" s="1">
        <v>722.84620000000007</v>
      </c>
      <c r="AK16" s="1"/>
      <c r="AL16" s="1">
        <f t="shared" si="10"/>
        <v>0</v>
      </c>
      <c r="AM16" s="1"/>
      <c r="AN16" s="1"/>
      <c r="AO16" s="1"/>
      <c r="AP16" s="1"/>
      <c r="AQ16" s="1"/>
      <c r="AR16" s="1"/>
      <c r="AS16" s="1"/>
    </row>
    <row r="17" spans="1:45" x14ac:dyDescent="0.25">
      <c r="A17" s="1" t="s">
        <v>57</v>
      </c>
      <c r="B17" s="1" t="s">
        <v>38</v>
      </c>
      <c r="C17" s="1">
        <v>661.73699999999997</v>
      </c>
      <c r="D17" s="1">
        <v>103.512</v>
      </c>
      <c r="E17" s="1">
        <v>353.90699999999998</v>
      </c>
      <c r="F17" s="1">
        <v>348.58</v>
      </c>
      <c r="G17" s="7">
        <v>1</v>
      </c>
      <c r="H17" s="1">
        <v>60</v>
      </c>
      <c r="I17" s="1" t="s">
        <v>44</v>
      </c>
      <c r="J17" s="1"/>
      <c r="K17" s="1">
        <v>458.947</v>
      </c>
      <c r="L17" s="1">
        <f t="shared" si="4"/>
        <v>-105.04000000000002</v>
      </c>
      <c r="M17" s="1">
        <f t="shared" si="5"/>
        <v>353.90699999999998</v>
      </c>
      <c r="N17" s="1"/>
      <c r="O17" s="1"/>
      <c r="P17" s="1"/>
      <c r="Q17" s="1">
        <f>-1*VLOOKUP(A17,[1]TDSheet!$A:$B,2,0)</f>
        <v>-127.747</v>
      </c>
      <c r="R17" s="1">
        <v>0</v>
      </c>
      <c r="S17" s="1"/>
      <c r="T17" s="20"/>
      <c r="U17" s="20"/>
      <c r="V17" s="1">
        <f t="shared" si="6"/>
        <v>45.231999999999992</v>
      </c>
      <c r="W17" s="5">
        <f t="shared" si="7"/>
        <v>194.20399999999989</v>
      </c>
      <c r="X17" s="5">
        <f t="shared" si="13"/>
        <v>126.80831999999991</v>
      </c>
      <c r="Y17" s="1">
        <f t="shared" si="8"/>
        <v>10.51</v>
      </c>
      <c r="Z17" s="1">
        <f t="shared" si="9"/>
        <v>7.7064909798372847</v>
      </c>
      <c r="AA17" s="1">
        <v>39.912599999999998</v>
      </c>
      <c r="AB17" s="1">
        <v>46.755800000000001</v>
      </c>
      <c r="AC17" s="1">
        <v>52.686199999999999</v>
      </c>
      <c r="AD17" s="1">
        <v>53.1126</v>
      </c>
      <c r="AE17" s="1">
        <v>49.364400000000003</v>
      </c>
      <c r="AF17" s="1">
        <v>53.144799999999996</v>
      </c>
      <c r="AG17" s="1">
        <v>67.895600000000002</v>
      </c>
      <c r="AH17" s="1">
        <v>65.342600000000004</v>
      </c>
      <c r="AI17" s="1">
        <v>56.481399999999987</v>
      </c>
      <c r="AJ17" s="1">
        <v>55.717200000000012</v>
      </c>
      <c r="AK17" s="1"/>
      <c r="AL17" s="1">
        <f t="shared" si="10"/>
        <v>127</v>
      </c>
      <c r="AM17" s="1"/>
      <c r="AN17" s="1"/>
      <c r="AO17" s="1"/>
      <c r="AP17" s="1"/>
      <c r="AQ17" s="1"/>
      <c r="AR17" s="1"/>
      <c r="AS17" s="1"/>
    </row>
    <row r="18" spans="1:45" x14ac:dyDescent="0.25">
      <c r="A18" s="11" t="s">
        <v>58</v>
      </c>
      <c r="B18" s="11" t="s">
        <v>38</v>
      </c>
      <c r="C18" s="11"/>
      <c r="D18" s="11"/>
      <c r="E18" s="11"/>
      <c r="F18" s="11"/>
      <c r="G18" s="12">
        <v>0</v>
      </c>
      <c r="H18" s="11"/>
      <c r="I18" s="11" t="s">
        <v>44</v>
      </c>
      <c r="J18" s="11"/>
      <c r="K18" s="11"/>
      <c r="L18" s="11">
        <f t="shared" si="4"/>
        <v>0</v>
      </c>
      <c r="M18" s="11">
        <f t="shared" si="5"/>
        <v>0</v>
      </c>
      <c r="N18" s="11"/>
      <c r="O18" s="11"/>
      <c r="P18" s="11"/>
      <c r="Q18" s="11"/>
      <c r="R18" s="11">
        <v>0</v>
      </c>
      <c r="S18" s="11"/>
      <c r="T18" s="22"/>
      <c r="U18" s="22"/>
      <c r="V18" s="11">
        <f t="shared" si="6"/>
        <v>0</v>
      </c>
      <c r="W18" s="13"/>
      <c r="X18" s="5">
        <f t="shared" si="11"/>
        <v>0</v>
      </c>
      <c r="Y18" s="1" t="e">
        <f t="shared" si="8"/>
        <v>#DIV/0!</v>
      </c>
      <c r="Z18" s="1" t="e">
        <f t="shared" si="9"/>
        <v>#DIV/0!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 t="s">
        <v>59</v>
      </c>
      <c r="AL18" s="1">
        <f t="shared" si="10"/>
        <v>0</v>
      </c>
      <c r="AM18" s="1"/>
      <c r="AN18" s="1"/>
      <c r="AO18" s="1"/>
      <c r="AP18" s="1"/>
      <c r="AQ18" s="1"/>
      <c r="AR18" s="1"/>
      <c r="AS18" s="1"/>
    </row>
    <row r="19" spans="1:45" x14ac:dyDescent="0.25">
      <c r="A19" s="1" t="s">
        <v>60</v>
      </c>
      <c r="B19" s="1" t="s">
        <v>38</v>
      </c>
      <c r="C19" s="1">
        <v>8.6140000000000008</v>
      </c>
      <c r="D19" s="1">
        <v>16.745000000000001</v>
      </c>
      <c r="E19" s="1">
        <v>2.149</v>
      </c>
      <c r="F19" s="1">
        <v>23.21</v>
      </c>
      <c r="G19" s="7">
        <v>1</v>
      </c>
      <c r="H19" s="1">
        <v>180</v>
      </c>
      <c r="I19" s="1" t="s">
        <v>44</v>
      </c>
      <c r="J19" s="1"/>
      <c r="K19" s="1">
        <v>5.6</v>
      </c>
      <c r="L19" s="1">
        <f t="shared" si="4"/>
        <v>-3.4509999999999996</v>
      </c>
      <c r="M19" s="1">
        <f t="shared" si="5"/>
        <v>2.149</v>
      </c>
      <c r="N19" s="1"/>
      <c r="O19" s="1"/>
      <c r="P19" s="1"/>
      <c r="Q19" s="1"/>
      <c r="R19" s="1">
        <v>0</v>
      </c>
      <c r="S19" s="1"/>
      <c r="T19" s="20"/>
      <c r="U19" s="20"/>
      <c r="V19" s="1">
        <f t="shared" si="6"/>
        <v>0.42980000000000002</v>
      </c>
      <c r="W19" s="5"/>
      <c r="X19" s="5">
        <f t="shared" si="11"/>
        <v>0</v>
      </c>
      <c r="Y19" s="1">
        <f t="shared" si="8"/>
        <v>54.001861330851561</v>
      </c>
      <c r="Z19" s="1">
        <f t="shared" si="9"/>
        <v>54.001861330851561</v>
      </c>
      <c r="AA19" s="1">
        <v>0.57140000000000002</v>
      </c>
      <c r="AB19" s="1">
        <v>0.63460000000000005</v>
      </c>
      <c r="AC19" s="1">
        <v>1.0533999999999999</v>
      </c>
      <c r="AD19" s="1">
        <v>1.054</v>
      </c>
      <c r="AE19" s="1">
        <v>0.2838</v>
      </c>
      <c r="AF19" s="1">
        <v>6.9999999999999993E-2</v>
      </c>
      <c r="AG19" s="1">
        <v>0.49559999999999998</v>
      </c>
      <c r="AH19" s="1">
        <v>0.99740000000000006</v>
      </c>
      <c r="AI19" s="1">
        <v>1.117</v>
      </c>
      <c r="AJ19" s="1">
        <v>0.61639999999999995</v>
      </c>
      <c r="AK19" s="14" t="s">
        <v>52</v>
      </c>
      <c r="AL19" s="1">
        <f t="shared" si="10"/>
        <v>0</v>
      </c>
      <c r="AM19" s="1"/>
      <c r="AN19" s="1"/>
      <c r="AO19" s="1"/>
      <c r="AP19" s="1"/>
      <c r="AQ19" s="1"/>
      <c r="AR19" s="1"/>
      <c r="AS19" s="1"/>
    </row>
    <row r="20" spans="1:45" x14ac:dyDescent="0.25">
      <c r="A20" s="1" t="s">
        <v>61</v>
      </c>
      <c r="B20" s="1" t="s">
        <v>38</v>
      </c>
      <c r="C20" s="1">
        <v>3879.9070000000002</v>
      </c>
      <c r="D20" s="1">
        <v>7349.65</v>
      </c>
      <c r="E20" s="1">
        <v>5627.5330000000004</v>
      </c>
      <c r="F20" s="1">
        <v>4888.0600000000004</v>
      </c>
      <c r="G20" s="7">
        <v>1</v>
      </c>
      <c r="H20" s="1">
        <v>60</v>
      </c>
      <c r="I20" s="1" t="s">
        <v>39</v>
      </c>
      <c r="J20" s="1"/>
      <c r="K20" s="1">
        <v>7494.8450000000003</v>
      </c>
      <c r="L20" s="1">
        <f t="shared" si="4"/>
        <v>-1867.3119999999999</v>
      </c>
      <c r="M20" s="1">
        <f t="shared" si="5"/>
        <v>5326.2930000000006</v>
      </c>
      <c r="N20" s="1">
        <v>301.24</v>
      </c>
      <c r="O20" s="1"/>
      <c r="P20" s="1">
        <v>500</v>
      </c>
      <c r="Q20" s="1">
        <f>-1*VLOOKUP(A20,[1]TDSheet!$A:$B,2,0)</f>
        <v>-2199.17</v>
      </c>
      <c r="R20" s="1">
        <v>1400</v>
      </c>
      <c r="S20" s="1"/>
      <c r="T20" s="20"/>
      <c r="U20" s="20"/>
      <c r="V20" s="1">
        <f t="shared" si="6"/>
        <v>625.42460000000005</v>
      </c>
      <c r="W20" s="5">
        <f t="shared" ref="W20:W22" si="14">12*V20-R20-P20-O20-F20</f>
        <v>717.03520000000026</v>
      </c>
      <c r="X20" s="5">
        <f t="shared" ref="X20:X22" si="15">IF(W20+$X$1*V20&lt;0,0,W20+$X$1*V20)</f>
        <v>0</v>
      </c>
      <c r="Y20" s="1">
        <f t="shared" si="8"/>
        <v>10.853522550919807</v>
      </c>
      <c r="Z20" s="1">
        <f t="shared" si="9"/>
        <v>10.853522550919807</v>
      </c>
      <c r="AA20" s="1">
        <v>675.56319999999994</v>
      </c>
      <c r="AB20" s="1">
        <v>724.81880000000001</v>
      </c>
      <c r="AC20" s="1">
        <v>877.02520000000004</v>
      </c>
      <c r="AD20" s="1">
        <v>881.83860000000004</v>
      </c>
      <c r="AE20" s="1">
        <v>955.75059999999996</v>
      </c>
      <c r="AF20" s="1">
        <v>939.14380000000006</v>
      </c>
      <c r="AG20" s="1">
        <v>972.13600000000008</v>
      </c>
      <c r="AH20" s="1">
        <v>972.09439999999995</v>
      </c>
      <c r="AI20" s="1">
        <v>939.87340000000006</v>
      </c>
      <c r="AJ20" s="1">
        <v>926.64840000000004</v>
      </c>
      <c r="AK20" s="1"/>
      <c r="AL20" s="1">
        <f t="shared" si="10"/>
        <v>0</v>
      </c>
      <c r="AM20" s="1"/>
      <c r="AN20" s="1"/>
      <c r="AO20" s="1"/>
      <c r="AP20" s="1"/>
      <c r="AQ20" s="1"/>
      <c r="AR20" s="1"/>
      <c r="AS20" s="1"/>
    </row>
    <row r="21" spans="1:45" x14ac:dyDescent="0.25">
      <c r="A21" s="1" t="s">
        <v>62</v>
      </c>
      <c r="B21" s="1" t="s">
        <v>38</v>
      </c>
      <c r="C21" s="1">
        <v>641.17499999999995</v>
      </c>
      <c r="D21" s="1">
        <v>553.89</v>
      </c>
      <c r="E21" s="1">
        <v>404.16399999999999</v>
      </c>
      <c r="F21" s="1">
        <v>725.11699999999996</v>
      </c>
      <c r="G21" s="7">
        <v>1</v>
      </c>
      <c r="H21" s="1">
        <v>70</v>
      </c>
      <c r="I21" s="1" t="s">
        <v>44</v>
      </c>
      <c r="J21" s="1"/>
      <c r="K21" s="1">
        <v>574.65</v>
      </c>
      <c r="L21" s="1">
        <f t="shared" si="4"/>
        <v>-170.48599999999999</v>
      </c>
      <c r="M21" s="1">
        <f t="shared" si="5"/>
        <v>404.16399999999999</v>
      </c>
      <c r="N21" s="1"/>
      <c r="O21" s="1"/>
      <c r="P21" s="1"/>
      <c r="Q21" s="1"/>
      <c r="R21" s="1">
        <v>126.15274000000019</v>
      </c>
      <c r="S21" s="1"/>
      <c r="T21" s="20"/>
      <c r="U21" s="20"/>
      <c r="V21" s="1">
        <f t="shared" si="6"/>
        <v>80.832799999999992</v>
      </c>
      <c r="W21" s="5">
        <f t="shared" si="14"/>
        <v>118.72385999999972</v>
      </c>
      <c r="X21" s="5">
        <f t="shared" si="15"/>
        <v>0</v>
      </c>
      <c r="Y21" s="1">
        <f t="shared" si="8"/>
        <v>10.531241525717286</v>
      </c>
      <c r="Z21" s="1">
        <f t="shared" si="9"/>
        <v>10.531241525717286</v>
      </c>
      <c r="AA21" s="1">
        <v>82.780600000000007</v>
      </c>
      <c r="AB21" s="1">
        <v>84.445999999999998</v>
      </c>
      <c r="AC21" s="1">
        <v>87.766999999999996</v>
      </c>
      <c r="AD21" s="1">
        <v>81.984399999999994</v>
      </c>
      <c r="AE21" s="1">
        <v>105.79219999999999</v>
      </c>
      <c r="AF21" s="1">
        <v>91.558999999999997</v>
      </c>
      <c r="AG21" s="1">
        <v>105.01179999999999</v>
      </c>
      <c r="AH21" s="1">
        <v>101.4824</v>
      </c>
      <c r="AI21" s="1">
        <v>87.5822</v>
      </c>
      <c r="AJ21" s="1">
        <v>89.291799999999995</v>
      </c>
      <c r="AK21" s="1"/>
      <c r="AL21" s="1">
        <f t="shared" si="10"/>
        <v>0</v>
      </c>
      <c r="AM21" s="1"/>
      <c r="AN21" s="1"/>
      <c r="AO21" s="1"/>
      <c r="AP21" s="1"/>
      <c r="AQ21" s="1"/>
      <c r="AR21" s="1"/>
      <c r="AS21" s="1"/>
    </row>
    <row r="22" spans="1:45" x14ac:dyDescent="0.25">
      <c r="A22" s="1" t="s">
        <v>63</v>
      </c>
      <c r="B22" s="1" t="s">
        <v>38</v>
      </c>
      <c r="C22" s="1">
        <v>1320.3440000000001</v>
      </c>
      <c r="D22" s="1">
        <v>1764.77</v>
      </c>
      <c r="E22" s="1">
        <v>915.00099999999998</v>
      </c>
      <c r="F22" s="1">
        <v>2050.8719999999998</v>
      </c>
      <c r="G22" s="7">
        <v>1</v>
      </c>
      <c r="H22" s="1">
        <v>70</v>
      </c>
      <c r="I22" s="1" t="s">
        <v>39</v>
      </c>
      <c r="J22" s="1"/>
      <c r="K22" s="1">
        <v>1294.5999999999999</v>
      </c>
      <c r="L22" s="1">
        <f t="shared" si="4"/>
        <v>-379.59899999999993</v>
      </c>
      <c r="M22" s="1">
        <f t="shared" si="5"/>
        <v>915.00099999999998</v>
      </c>
      <c r="N22" s="1"/>
      <c r="O22" s="1"/>
      <c r="P22" s="1"/>
      <c r="Q22" s="1"/>
      <c r="R22" s="1">
        <v>0</v>
      </c>
      <c r="S22" s="1"/>
      <c r="T22" s="20"/>
      <c r="U22" s="20"/>
      <c r="V22" s="1">
        <f t="shared" si="6"/>
        <v>183.00020000000001</v>
      </c>
      <c r="W22" s="5">
        <f t="shared" si="14"/>
        <v>145.13040000000046</v>
      </c>
      <c r="X22" s="5">
        <f t="shared" si="15"/>
        <v>0</v>
      </c>
      <c r="Y22" s="1">
        <f t="shared" si="8"/>
        <v>11.206938571651833</v>
      </c>
      <c r="Z22" s="1">
        <f t="shared" si="9"/>
        <v>11.206938571651833</v>
      </c>
      <c r="AA22" s="1">
        <v>190.50559999999999</v>
      </c>
      <c r="AB22" s="1">
        <v>210.42779999999999</v>
      </c>
      <c r="AC22" s="1">
        <v>235.95099999999999</v>
      </c>
      <c r="AD22" s="1">
        <v>225.54</v>
      </c>
      <c r="AE22" s="1">
        <v>220.38339999999999</v>
      </c>
      <c r="AF22" s="1">
        <v>213.50020000000001</v>
      </c>
      <c r="AG22" s="1">
        <v>289.41840000000002</v>
      </c>
      <c r="AH22" s="1">
        <v>307.0924</v>
      </c>
      <c r="AI22" s="1">
        <v>271.95859999999999</v>
      </c>
      <c r="AJ22" s="1">
        <v>269.67360000000002</v>
      </c>
      <c r="AK22" s="1"/>
      <c r="AL22" s="1">
        <f t="shared" si="10"/>
        <v>0</v>
      </c>
      <c r="AM22" s="1"/>
      <c r="AN22" s="1"/>
      <c r="AO22" s="1"/>
      <c r="AP22" s="1"/>
      <c r="AQ22" s="1"/>
      <c r="AR22" s="1"/>
      <c r="AS22" s="1"/>
    </row>
    <row r="23" spans="1:45" x14ac:dyDescent="0.25">
      <c r="A23" s="11" t="s">
        <v>64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44</v>
      </c>
      <c r="J23" s="11"/>
      <c r="K23" s="11"/>
      <c r="L23" s="11">
        <f t="shared" si="4"/>
        <v>0</v>
      </c>
      <c r="M23" s="11">
        <f t="shared" si="5"/>
        <v>0</v>
      </c>
      <c r="N23" s="11"/>
      <c r="O23" s="11"/>
      <c r="P23" s="11"/>
      <c r="Q23" s="11"/>
      <c r="R23" s="11">
        <v>0</v>
      </c>
      <c r="S23" s="11"/>
      <c r="T23" s="22"/>
      <c r="U23" s="22"/>
      <c r="V23" s="11">
        <f t="shared" si="6"/>
        <v>0</v>
      </c>
      <c r="W23" s="13"/>
      <c r="X23" s="5">
        <f t="shared" si="11"/>
        <v>0</v>
      </c>
      <c r="Y23" s="1" t="e">
        <f t="shared" si="8"/>
        <v>#DIV/0!</v>
      </c>
      <c r="Z23" s="1" t="e">
        <f t="shared" si="9"/>
        <v>#DIV/0!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 t="s">
        <v>59</v>
      </c>
      <c r="AL23" s="1">
        <f t="shared" si="10"/>
        <v>0</v>
      </c>
      <c r="AM23" s="1"/>
      <c r="AN23" s="1"/>
      <c r="AO23" s="1"/>
      <c r="AP23" s="1"/>
      <c r="AQ23" s="1"/>
      <c r="AR23" s="1"/>
      <c r="AS23" s="1"/>
    </row>
    <row r="24" spans="1:45" x14ac:dyDescent="0.25">
      <c r="A24" s="1" t="s">
        <v>65</v>
      </c>
      <c r="B24" s="1" t="s">
        <v>38</v>
      </c>
      <c r="C24" s="1">
        <v>1448.1410000000001</v>
      </c>
      <c r="D24" s="1">
        <v>3981.5439999999999</v>
      </c>
      <c r="E24" s="1">
        <v>1929.0050000000001</v>
      </c>
      <c r="F24" s="1">
        <v>3246.212</v>
      </c>
      <c r="G24" s="7">
        <v>1</v>
      </c>
      <c r="H24" s="1">
        <v>70</v>
      </c>
      <c r="I24" s="1" t="s">
        <v>39</v>
      </c>
      <c r="J24" s="1"/>
      <c r="K24" s="1">
        <v>2744.9029999999998</v>
      </c>
      <c r="L24" s="1">
        <f t="shared" si="4"/>
        <v>-815.89799999999968</v>
      </c>
      <c r="M24" s="1">
        <f t="shared" si="5"/>
        <v>1823.7830000000001</v>
      </c>
      <c r="N24" s="1">
        <v>105.22199999999999</v>
      </c>
      <c r="O24" s="1"/>
      <c r="P24" s="1">
        <v>230</v>
      </c>
      <c r="Q24" s="1">
        <f>-1*VLOOKUP(A24,[1]TDSheet!$A:$B,2,0)</f>
        <v>-300.209</v>
      </c>
      <c r="R24" s="1">
        <v>80</v>
      </c>
      <c r="S24" s="1"/>
      <c r="T24" s="20"/>
      <c r="U24" s="20"/>
      <c r="V24" s="1">
        <f t="shared" si="6"/>
        <v>304.71480000000003</v>
      </c>
      <c r="W24" s="5">
        <f t="shared" ref="W24" si="16">12*V24-R24-P24-O24-F24</f>
        <v>100.36560000000054</v>
      </c>
      <c r="X24" s="5">
        <f>IF(W24+$X$1*V24&lt;0,0,W24+$X$1*V24)</f>
        <v>0</v>
      </c>
      <c r="Y24" s="1">
        <f t="shared" si="8"/>
        <v>11.670624465894008</v>
      </c>
      <c r="Z24" s="1">
        <f t="shared" si="9"/>
        <v>11.670624465894008</v>
      </c>
      <c r="AA24" s="1">
        <v>332.03960000000001</v>
      </c>
      <c r="AB24" s="1">
        <v>377.9864</v>
      </c>
      <c r="AC24" s="1">
        <v>429.1764</v>
      </c>
      <c r="AD24" s="1">
        <v>423.87560000000002</v>
      </c>
      <c r="AE24" s="1">
        <v>418.34640000000002</v>
      </c>
      <c r="AF24" s="1">
        <v>400.0342</v>
      </c>
      <c r="AG24" s="1">
        <v>384.5324</v>
      </c>
      <c r="AH24" s="1">
        <v>404.67020000000002</v>
      </c>
      <c r="AI24" s="1">
        <v>469.15940000000001</v>
      </c>
      <c r="AJ24" s="1">
        <v>501.86099999999999</v>
      </c>
      <c r="AK24" s="1"/>
      <c r="AL24" s="1">
        <f t="shared" si="10"/>
        <v>0</v>
      </c>
      <c r="AM24" s="1"/>
      <c r="AN24" s="1"/>
      <c r="AO24" s="1"/>
      <c r="AP24" s="1"/>
      <c r="AQ24" s="1"/>
      <c r="AR24" s="1"/>
      <c r="AS24" s="1"/>
    </row>
    <row r="25" spans="1:45" x14ac:dyDescent="0.25">
      <c r="A25" s="1" t="s">
        <v>66</v>
      </c>
      <c r="B25" s="1" t="s">
        <v>38</v>
      </c>
      <c r="C25" s="1">
        <v>65.656999999999996</v>
      </c>
      <c r="D25" s="1">
        <v>42.174999999999997</v>
      </c>
      <c r="E25" s="1">
        <v>57.023000000000003</v>
      </c>
      <c r="F25" s="1">
        <v>47.884</v>
      </c>
      <c r="G25" s="7">
        <v>1</v>
      </c>
      <c r="H25" s="1">
        <v>40</v>
      </c>
      <c r="I25" s="1" t="s">
        <v>44</v>
      </c>
      <c r="J25" s="1"/>
      <c r="K25" s="1">
        <v>91.099000000000004</v>
      </c>
      <c r="L25" s="1">
        <f t="shared" si="4"/>
        <v>-34.076000000000001</v>
      </c>
      <c r="M25" s="1">
        <f t="shared" si="5"/>
        <v>57.023000000000003</v>
      </c>
      <c r="N25" s="1"/>
      <c r="O25" s="1"/>
      <c r="P25" s="1"/>
      <c r="Q25" s="1">
        <f>-1*VLOOKUP(A25,[1]TDSheet!$A:$B,2,0)</f>
        <v>-39.499000000000002</v>
      </c>
      <c r="R25" s="1">
        <v>0</v>
      </c>
      <c r="S25" s="1"/>
      <c r="T25" s="20"/>
      <c r="U25" s="20"/>
      <c r="V25" s="1">
        <f t="shared" si="6"/>
        <v>3.5048000000000004</v>
      </c>
      <c r="W25" s="5"/>
      <c r="X25" s="5">
        <f t="shared" si="11"/>
        <v>0</v>
      </c>
      <c r="Y25" s="1">
        <f t="shared" si="8"/>
        <v>13.662405843414744</v>
      </c>
      <c r="Z25" s="1">
        <f t="shared" si="9"/>
        <v>13.662405843414744</v>
      </c>
      <c r="AA25" s="1">
        <v>4.6479999999999997</v>
      </c>
      <c r="AB25" s="1">
        <v>5.9480000000000004</v>
      </c>
      <c r="AC25" s="1">
        <v>7.4024000000000001</v>
      </c>
      <c r="AD25" s="1">
        <v>6.2479999999999993</v>
      </c>
      <c r="AE25" s="1">
        <v>11.03</v>
      </c>
      <c r="AF25" s="1">
        <v>9.5733999999999995</v>
      </c>
      <c r="AG25" s="1">
        <v>1.4523999999999999</v>
      </c>
      <c r="AH25" s="1">
        <v>1.8864000000000001</v>
      </c>
      <c r="AI25" s="1">
        <v>3.0478000000000001</v>
      </c>
      <c r="AJ25" s="1">
        <v>2.6137999999999999</v>
      </c>
      <c r="AK25" s="1"/>
      <c r="AL25" s="1">
        <f t="shared" si="10"/>
        <v>0</v>
      </c>
      <c r="AM25" s="1"/>
      <c r="AN25" s="1"/>
      <c r="AO25" s="1"/>
      <c r="AP25" s="1"/>
      <c r="AQ25" s="1"/>
      <c r="AR25" s="1"/>
      <c r="AS25" s="1"/>
    </row>
    <row r="26" spans="1:45" x14ac:dyDescent="0.25">
      <c r="A26" s="11" t="s">
        <v>67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44</v>
      </c>
      <c r="J26" s="11"/>
      <c r="K26" s="11"/>
      <c r="L26" s="11">
        <f t="shared" si="4"/>
        <v>0</v>
      </c>
      <c r="M26" s="11">
        <f t="shared" si="5"/>
        <v>0</v>
      </c>
      <c r="N26" s="11"/>
      <c r="O26" s="11"/>
      <c r="P26" s="11"/>
      <c r="Q26" s="11"/>
      <c r="R26" s="11">
        <v>0</v>
      </c>
      <c r="S26" s="11"/>
      <c r="T26" s="22"/>
      <c r="U26" s="22"/>
      <c r="V26" s="11">
        <f t="shared" si="6"/>
        <v>0</v>
      </c>
      <c r="W26" s="13"/>
      <c r="X26" s="5">
        <f t="shared" si="11"/>
        <v>0</v>
      </c>
      <c r="Y26" s="1" t="e">
        <f t="shared" si="8"/>
        <v>#DIV/0!</v>
      </c>
      <c r="Z26" s="1" t="e">
        <f t="shared" si="9"/>
        <v>#DIV/0!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 t="s">
        <v>59</v>
      </c>
      <c r="AL26" s="1">
        <f t="shared" si="10"/>
        <v>0</v>
      </c>
      <c r="AM26" s="1"/>
      <c r="AN26" s="1"/>
      <c r="AO26" s="1"/>
      <c r="AP26" s="1"/>
      <c r="AQ26" s="1"/>
      <c r="AR26" s="1"/>
      <c r="AS26" s="1"/>
    </row>
    <row r="27" spans="1:45" x14ac:dyDescent="0.25">
      <c r="A27" s="11" t="s">
        <v>68</v>
      </c>
      <c r="B27" s="11" t="s">
        <v>38</v>
      </c>
      <c r="C27" s="11"/>
      <c r="D27" s="11"/>
      <c r="E27" s="11"/>
      <c r="F27" s="11"/>
      <c r="G27" s="12">
        <v>0</v>
      </c>
      <c r="H27" s="11"/>
      <c r="I27" s="11" t="s">
        <v>44</v>
      </c>
      <c r="J27" s="11"/>
      <c r="K27" s="11"/>
      <c r="L27" s="11">
        <f t="shared" si="4"/>
        <v>0</v>
      </c>
      <c r="M27" s="11">
        <f t="shared" si="5"/>
        <v>0</v>
      </c>
      <c r="N27" s="11"/>
      <c r="O27" s="11"/>
      <c r="P27" s="11"/>
      <c r="Q27" s="11"/>
      <c r="R27" s="11">
        <v>0</v>
      </c>
      <c r="S27" s="11"/>
      <c r="T27" s="22"/>
      <c r="U27" s="22"/>
      <c r="V27" s="11">
        <f t="shared" si="6"/>
        <v>0</v>
      </c>
      <c r="W27" s="13"/>
      <c r="X27" s="5">
        <f t="shared" si="11"/>
        <v>0</v>
      </c>
      <c r="Y27" s="1" t="e">
        <f t="shared" si="8"/>
        <v>#DIV/0!</v>
      </c>
      <c r="Z27" s="1" t="e">
        <f t="shared" si="9"/>
        <v>#DIV/0!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 t="s">
        <v>59</v>
      </c>
      <c r="AL27" s="1">
        <f t="shared" si="10"/>
        <v>0</v>
      </c>
      <c r="AM27" s="1"/>
      <c r="AN27" s="1"/>
      <c r="AO27" s="1"/>
      <c r="AP27" s="1"/>
      <c r="AQ27" s="1"/>
      <c r="AR27" s="1"/>
      <c r="AS27" s="1"/>
    </row>
    <row r="28" spans="1:45" x14ac:dyDescent="0.25">
      <c r="A28" s="1" t="s">
        <v>69</v>
      </c>
      <c r="B28" s="1" t="s">
        <v>38</v>
      </c>
      <c r="C28" s="1">
        <v>4121.317</v>
      </c>
      <c r="D28" s="1">
        <v>2592.3530000000001</v>
      </c>
      <c r="E28" s="1">
        <v>1982.471</v>
      </c>
      <c r="F28" s="1">
        <v>4362.1509999999998</v>
      </c>
      <c r="G28" s="7">
        <v>1</v>
      </c>
      <c r="H28" s="1">
        <v>30</v>
      </c>
      <c r="I28" s="1" t="s">
        <v>39</v>
      </c>
      <c r="J28" s="1"/>
      <c r="K28" s="1">
        <v>3120.076</v>
      </c>
      <c r="L28" s="1">
        <f t="shared" si="4"/>
        <v>-1137.605</v>
      </c>
      <c r="M28" s="1">
        <f t="shared" si="5"/>
        <v>1982.471</v>
      </c>
      <c r="N28" s="1"/>
      <c r="O28" s="1">
        <v>-3500</v>
      </c>
      <c r="P28" s="1"/>
      <c r="Q28" s="1"/>
      <c r="R28" s="1">
        <v>2103.2829999999999</v>
      </c>
      <c r="S28" s="1"/>
      <c r="T28" s="20"/>
      <c r="U28" s="20"/>
      <c r="V28" s="1">
        <f t="shared" si="6"/>
        <v>396.49419999999998</v>
      </c>
      <c r="W28" s="5">
        <f>12*V28-R28-P28-O28-F28</f>
        <v>1792.4964</v>
      </c>
      <c r="X28" s="5">
        <f>IF(W28+$X$1*V28&lt;0,0,W28+$X$1*V28)</f>
        <v>1201.7200419999999</v>
      </c>
      <c r="Y28" s="1">
        <f t="shared" si="8"/>
        <v>10.510000000000002</v>
      </c>
      <c r="Z28" s="1">
        <f t="shared" si="9"/>
        <v>7.4791358864770281</v>
      </c>
      <c r="AA28" s="1">
        <v>440.45499999999998</v>
      </c>
      <c r="AB28" s="1">
        <v>413.21019999999999</v>
      </c>
      <c r="AC28" s="1">
        <v>344.91699999999997</v>
      </c>
      <c r="AD28" s="1">
        <v>256.0514</v>
      </c>
      <c r="AE28" s="1">
        <v>349.7722</v>
      </c>
      <c r="AF28" s="1">
        <v>272.06720000000001</v>
      </c>
      <c r="AG28" s="1">
        <v>228.89760000000001</v>
      </c>
      <c r="AH28" s="1">
        <v>443.47500000000002</v>
      </c>
      <c r="AI28" s="1">
        <v>527.50740000000008</v>
      </c>
      <c r="AJ28" s="1">
        <v>438.75599999999997</v>
      </c>
      <c r="AK28" s="1" t="s">
        <v>70</v>
      </c>
      <c r="AL28" s="1">
        <f t="shared" si="10"/>
        <v>1202</v>
      </c>
      <c r="AM28" s="1"/>
      <c r="AN28" s="1"/>
      <c r="AO28" s="1"/>
      <c r="AP28" s="1"/>
      <c r="AQ28" s="1"/>
      <c r="AR28" s="1"/>
      <c r="AS28" s="1"/>
    </row>
    <row r="29" spans="1:45" x14ac:dyDescent="0.25">
      <c r="A29" s="11" t="s">
        <v>71</v>
      </c>
      <c r="B29" s="11" t="s">
        <v>38</v>
      </c>
      <c r="C29" s="11">
        <v>87.367999999999995</v>
      </c>
      <c r="D29" s="11">
        <v>40.100999999999999</v>
      </c>
      <c r="E29" s="11">
        <v>63.116</v>
      </c>
      <c r="F29" s="11">
        <v>63.018999999999998</v>
      </c>
      <c r="G29" s="12">
        <v>0</v>
      </c>
      <c r="H29" s="11">
        <v>40</v>
      </c>
      <c r="I29" s="11" t="s">
        <v>72</v>
      </c>
      <c r="J29" s="11"/>
      <c r="K29" s="11">
        <v>145.76400000000001</v>
      </c>
      <c r="L29" s="11">
        <f t="shared" si="4"/>
        <v>-82.64800000000001</v>
      </c>
      <c r="M29" s="11">
        <f t="shared" si="5"/>
        <v>63.116</v>
      </c>
      <c r="N29" s="11"/>
      <c r="O29" s="11"/>
      <c r="P29" s="11"/>
      <c r="Q29" s="11">
        <f>-1*VLOOKUP(A29,[1]TDSheet!$A:$B,2,0)</f>
        <v>-40.264000000000003</v>
      </c>
      <c r="R29" s="11">
        <v>0</v>
      </c>
      <c r="S29" s="11"/>
      <c r="T29" s="22"/>
      <c r="U29" s="22"/>
      <c r="V29" s="11">
        <f t="shared" si="6"/>
        <v>4.5703999999999994</v>
      </c>
      <c r="W29" s="13"/>
      <c r="X29" s="5">
        <f t="shared" si="11"/>
        <v>0</v>
      </c>
      <c r="Y29" s="1">
        <f t="shared" si="8"/>
        <v>13.788508664449502</v>
      </c>
      <c r="Z29" s="1">
        <f t="shared" si="9"/>
        <v>13.788508664449502</v>
      </c>
      <c r="AA29" s="11">
        <v>4.0182000000000002</v>
      </c>
      <c r="AB29" s="11">
        <v>1.0573999999999999</v>
      </c>
      <c r="AC29" s="11">
        <v>8.8558000000000003</v>
      </c>
      <c r="AD29" s="11">
        <v>9.4266000000000005</v>
      </c>
      <c r="AE29" s="11">
        <v>13.422000000000001</v>
      </c>
      <c r="AF29" s="11">
        <v>12.8826</v>
      </c>
      <c r="AG29" s="11">
        <v>1.8428</v>
      </c>
      <c r="AH29" s="11">
        <v>1.2907999999999999</v>
      </c>
      <c r="AI29" s="11">
        <v>8.7688000000000006</v>
      </c>
      <c r="AJ29" s="11">
        <v>8.7688000000000006</v>
      </c>
      <c r="AK29" s="14" t="s">
        <v>52</v>
      </c>
      <c r="AL29" s="1">
        <f t="shared" si="10"/>
        <v>0</v>
      </c>
      <c r="AM29" s="1"/>
      <c r="AN29" s="1"/>
      <c r="AO29" s="1"/>
      <c r="AP29" s="1"/>
      <c r="AQ29" s="1"/>
      <c r="AR29" s="1"/>
      <c r="AS29" s="1"/>
    </row>
    <row r="30" spans="1:45" x14ac:dyDescent="0.25">
      <c r="A30" s="1" t="s">
        <v>73</v>
      </c>
      <c r="B30" s="1" t="s">
        <v>38</v>
      </c>
      <c r="C30" s="1">
        <v>1585.414</v>
      </c>
      <c r="D30" s="1">
        <v>11544.92</v>
      </c>
      <c r="E30" s="1">
        <v>7024.8950000000004</v>
      </c>
      <c r="F30" s="1">
        <v>4056.8389999999999</v>
      </c>
      <c r="G30" s="7">
        <v>1</v>
      </c>
      <c r="H30" s="1">
        <v>40</v>
      </c>
      <c r="I30" s="1" t="s">
        <v>39</v>
      </c>
      <c r="J30" s="1"/>
      <c r="K30" s="1">
        <v>9552.9060000000009</v>
      </c>
      <c r="L30" s="1">
        <f t="shared" si="4"/>
        <v>-2528.0110000000004</v>
      </c>
      <c r="M30" s="1">
        <f t="shared" si="5"/>
        <v>5157.3490000000002</v>
      </c>
      <c r="N30" s="1">
        <v>1867.546</v>
      </c>
      <c r="O30" s="1"/>
      <c r="P30" s="1"/>
      <c r="Q30" s="1"/>
      <c r="R30" s="1">
        <v>4509.2348223999988</v>
      </c>
      <c r="S30" s="1">
        <v>-4509</v>
      </c>
      <c r="T30" s="20"/>
      <c r="U30" s="20"/>
      <c r="V30" s="1">
        <f t="shared" si="6"/>
        <v>1031.4698000000001</v>
      </c>
      <c r="W30" s="5">
        <f>12*V30-R30-P30-O30-F30</f>
        <v>3811.563777600003</v>
      </c>
      <c r="X30" s="5">
        <f>IF(W30+$X$1*V30&lt;0,0,W30+$X$1*V30)</f>
        <v>2274.673775600003</v>
      </c>
      <c r="Y30" s="1">
        <f t="shared" si="8"/>
        <v>6.1385680879847389</v>
      </c>
      <c r="Z30" s="1">
        <f t="shared" si="9"/>
        <v>3.9332938515504745</v>
      </c>
      <c r="AA30" s="1">
        <v>1271.6156000000001</v>
      </c>
      <c r="AB30" s="1">
        <v>1208.7454</v>
      </c>
      <c r="AC30" s="1">
        <v>1373.8782000000001</v>
      </c>
      <c r="AD30" s="1">
        <v>1608.1394</v>
      </c>
      <c r="AE30" s="1">
        <v>1503.0753999999999</v>
      </c>
      <c r="AF30" s="1">
        <v>1112.3946000000001</v>
      </c>
      <c r="AG30" s="1">
        <v>1252.3152</v>
      </c>
      <c r="AH30" s="1">
        <v>1806.3748000000001</v>
      </c>
      <c r="AI30" s="1">
        <v>1535.5788</v>
      </c>
      <c r="AJ30" s="1">
        <v>1474.7154</v>
      </c>
      <c r="AK30" s="1"/>
      <c r="AL30" s="1">
        <f t="shared" si="10"/>
        <v>2275</v>
      </c>
      <c r="AM30" s="1"/>
      <c r="AN30" s="1"/>
      <c r="AO30" s="1"/>
      <c r="AP30" s="1"/>
      <c r="AQ30" s="1"/>
      <c r="AR30" s="1"/>
      <c r="AS30" s="1"/>
    </row>
    <row r="31" spans="1:45" x14ac:dyDescent="0.25">
      <c r="A31" s="11" t="s">
        <v>74</v>
      </c>
      <c r="B31" s="11" t="s">
        <v>38</v>
      </c>
      <c r="C31" s="11"/>
      <c r="D31" s="11"/>
      <c r="E31" s="11"/>
      <c r="F31" s="11"/>
      <c r="G31" s="12">
        <v>0</v>
      </c>
      <c r="H31" s="11"/>
      <c r="I31" s="11" t="s">
        <v>44</v>
      </c>
      <c r="J31" s="11"/>
      <c r="K31" s="11"/>
      <c r="L31" s="11">
        <f t="shared" si="4"/>
        <v>0</v>
      </c>
      <c r="M31" s="11">
        <f t="shared" si="5"/>
        <v>0</v>
      </c>
      <c r="N31" s="11"/>
      <c r="O31" s="11"/>
      <c r="P31" s="11"/>
      <c r="Q31" s="11"/>
      <c r="R31" s="11">
        <v>0</v>
      </c>
      <c r="S31" s="11"/>
      <c r="T31" s="22"/>
      <c r="U31" s="22"/>
      <c r="V31" s="11">
        <f t="shared" si="6"/>
        <v>0</v>
      </c>
      <c r="W31" s="13"/>
      <c r="X31" s="5">
        <f t="shared" si="11"/>
        <v>0</v>
      </c>
      <c r="Y31" s="1" t="e">
        <f t="shared" si="8"/>
        <v>#DIV/0!</v>
      </c>
      <c r="Z31" s="1" t="e">
        <f t="shared" si="9"/>
        <v>#DIV/0!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 t="s">
        <v>59</v>
      </c>
      <c r="AL31" s="1">
        <f t="shared" si="10"/>
        <v>0</v>
      </c>
      <c r="AM31" s="1"/>
      <c r="AN31" s="1"/>
      <c r="AO31" s="1"/>
      <c r="AP31" s="1"/>
      <c r="AQ31" s="1"/>
      <c r="AR31" s="1"/>
      <c r="AS31" s="1"/>
    </row>
    <row r="32" spans="1:45" x14ac:dyDescent="0.25">
      <c r="A32" s="11" t="s">
        <v>75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44</v>
      </c>
      <c r="J32" s="11"/>
      <c r="K32" s="11"/>
      <c r="L32" s="11">
        <f t="shared" si="4"/>
        <v>0</v>
      </c>
      <c r="M32" s="11">
        <f t="shared" si="5"/>
        <v>0</v>
      </c>
      <c r="N32" s="11"/>
      <c r="O32" s="11"/>
      <c r="P32" s="11"/>
      <c r="Q32" s="11"/>
      <c r="R32" s="11">
        <v>0</v>
      </c>
      <c r="S32" s="11"/>
      <c r="T32" s="22"/>
      <c r="U32" s="22"/>
      <c r="V32" s="11">
        <f t="shared" si="6"/>
        <v>0</v>
      </c>
      <c r="W32" s="13"/>
      <c r="X32" s="5">
        <f t="shared" si="11"/>
        <v>0</v>
      </c>
      <c r="Y32" s="1" t="e">
        <f t="shared" si="8"/>
        <v>#DIV/0!</v>
      </c>
      <c r="Z32" s="1" t="e">
        <f t="shared" si="9"/>
        <v>#DIV/0!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 t="s">
        <v>59</v>
      </c>
      <c r="AL32" s="1">
        <f t="shared" si="10"/>
        <v>0</v>
      </c>
      <c r="AM32" s="1"/>
      <c r="AN32" s="1"/>
      <c r="AO32" s="1"/>
      <c r="AP32" s="1"/>
      <c r="AQ32" s="1"/>
      <c r="AR32" s="1"/>
      <c r="AS32" s="1"/>
    </row>
    <row r="33" spans="1:45" x14ac:dyDescent="0.25">
      <c r="A33" s="11" t="s">
        <v>76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44</v>
      </c>
      <c r="J33" s="11"/>
      <c r="K33" s="11"/>
      <c r="L33" s="11">
        <f t="shared" si="4"/>
        <v>0</v>
      </c>
      <c r="M33" s="11">
        <f t="shared" si="5"/>
        <v>0</v>
      </c>
      <c r="N33" s="11"/>
      <c r="O33" s="11"/>
      <c r="P33" s="11"/>
      <c r="Q33" s="11"/>
      <c r="R33" s="11">
        <v>0</v>
      </c>
      <c r="S33" s="11"/>
      <c r="T33" s="22"/>
      <c r="U33" s="22"/>
      <c r="V33" s="11">
        <f t="shared" si="6"/>
        <v>0</v>
      </c>
      <c r="W33" s="13"/>
      <c r="X33" s="5">
        <f t="shared" si="11"/>
        <v>0</v>
      </c>
      <c r="Y33" s="1" t="e">
        <f t="shared" si="8"/>
        <v>#DIV/0!</v>
      </c>
      <c r="Z33" s="1" t="e">
        <f t="shared" si="9"/>
        <v>#DIV/0!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 t="s">
        <v>59</v>
      </c>
      <c r="AL33" s="1">
        <f t="shared" si="10"/>
        <v>0</v>
      </c>
      <c r="AM33" s="1"/>
      <c r="AN33" s="1"/>
      <c r="AO33" s="1"/>
      <c r="AP33" s="1"/>
      <c r="AQ33" s="1"/>
      <c r="AR33" s="1"/>
      <c r="AS33" s="1"/>
    </row>
    <row r="34" spans="1:45" x14ac:dyDescent="0.25">
      <c r="A34" s="11" t="s">
        <v>77</v>
      </c>
      <c r="B34" s="11" t="s">
        <v>38</v>
      </c>
      <c r="C34" s="11"/>
      <c r="D34" s="11"/>
      <c r="E34" s="11"/>
      <c r="F34" s="11"/>
      <c r="G34" s="12">
        <v>0</v>
      </c>
      <c r="H34" s="11"/>
      <c r="I34" s="11" t="s">
        <v>44</v>
      </c>
      <c r="J34" s="11"/>
      <c r="K34" s="11"/>
      <c r="L34" s="11">
        <f t="shared" si="4"/>
        <v>0</v>
      </c>
      <c r="M34" s="11">
        <f t="shared" si="5"/>
        <v>0</v>
      </c>
      <c r="N34" s="11"/>
      <c r="O34" s="11"/>
      <c r="P34" s="11"/>
      <c r="Q34" s="11"/>
      <c r="R34" s="11">
        <v>0</v>
      </c>
      <c r="S34" s="11"/>
      <c r="T34" s="22"/>
      <c r="U34" s="22"/>
      <c r="V34" s="11">
        <f t="shared" si="6"/>
        <v>0</v>
      </c>
      <c r="W34" s="13"/>
      <c r="X34" s="5">
        <f t="shared" si="11"/>
        <v>0</v>
      </c>
      <c r="Y34" s="1" t="e">
        <f t="shared" si="8"/>
        <v>#DIV/0!</v>
      </c>
      <c r="Z34" s="1" t="e">
        <f t="shared" si="9"/>
        <v>#DIV/0!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 t="s">
        <v>59</v>
      </c>
      <c r="AL34" s="1">
        <f t="shared" si="10"/>
        <v>0</v>
      </c>
      <c r="AM34" s="1"/>
      <c r="AN34" s="1"/>
      <c r="AO34" s="1"/>
      <c r="AP34" s="1"/>
      <c r="AQ34" s="1"/>
      <c r="AR34" s="1"/>
      <c r="AS34" s="1"/>
    </row>
    <row r="35" spans="1:45" x14ac:dyDescent="0.25">
      <c r="A35" s="1" t="s">
        <v>78</v>
      </c>
      <c r="B35" s="1" t="s">
        <v>43</v>
      </c>
      <c r="C35" s="1">
        <v>2696</v>
      </c>
      <c r="D35" s="1">
        <v>6848</v>
      </c>
      <c r="E35" s="1">
        <v>4041</v>
      </c>
      <c r="F35" s="1">
        <v>4660</v>
      </c>
      <c r="G35" s="7">
        <v>0.4</v>
      </c>
      <c r="H35" s="1">
        <v>45</v>
      </c>
      <c r="I35" s="1" t="s">
        <v>39</v>
      </c>
      <c r="J35" s="1"/>
      <c r="K35" s="1">
        <v>6226</v>
      </c>
      <c r="L35" s="1">
        <f t="shared" si="4"/>
        <v>-2185</v>
      </c>
      <c r="M35" s="1">
        <f t="shared" si="5"/>
        <v>4041</v>
      </c>
      <c r="N35" s="1"/>
      <c r="O35" s="1"/>
      <c r="P35" s="1">
        <v>500</v>
      </c>
      <c r="Q35" s="1">
        <f>-1*VLOOKUP(A35,[1]TDSheet!$A:$B,2,0)</f>
        <v>-924</v>
      </c>
      <c r="R35" s="1">
        <v>0</v>
      </c>
      <c r="S35" s="1"/>
      <c r="T35" s="20"/>
      <c r="U35" s="20"/>
      <c r="V35" s="1">
        <f t="shared" si="6"/>
        <v>623.4</v>
      </c>
      <c r="W35" s="5">
        <f t="shared" ref="W35:W38" si="17">12*V35-R35-P35-O35-F35</f>
        <v>2320.7999999999993</v>
      </c>
      <c r="X35" s="5">
        <f>IF(W35+$X$1*V35&lt;0,0,W35+$X$1*V35)</f>
        <v>1391.9339999999993</v>
      </c>
      <c r="Y35" s="1">
        <f t="shared" si="8"/>
        <v>10.51</v>
      </c>
      <c r="Z35" s="1">
        <f t="shared" si="9"/>
        <v>8.2771896053897986</v>
      </c>
      <c r="AA35" s="1">
        <v>584.79999999999995</v>
      </c>
      <c r="AB35" s="1">
        <v>637.6</v>
      </c>
      <c r="AC35" s="1">
        <v>816</v>
      </c>
      <c r="AD35" s="1">
        <v>898.6</v>
      </c>
      <c r="AE35" s="1">
        <v>865</v>
      </c>
      <c r="AF35" s="1">
        <v>794.6</v>
      </c>
      <c r="AG35" s="1">
        <v>770.4</v>
      </c>
      <c r="AH35" s="1">
        <v>777.8</v>
      </c>
      <c r="AI35" s="1">
        <v>836.4</v>
      </c>
      <c r="AJ35" s="1">
        <v>934.6</v>
      </c>
      <c r="AK35" s="1"/>
      <c r="AL35" s="1">
        <f t="shared" si="10"/>
        <v>557</v>
      </c>
      <c r="AM35" s="1"/>
      <c r="AN35" s="1"/>
      <c r="AO35" s="1"/>
      <c r="AP35" s="1"/>
      <c r="AQ35" s="1"/>
      <c r="AR35" s="1"/>
      <c r="AS35" s="1"/>
    </row>
    <row r="36" spans="1:45" x14ac:dyDescent="0.25">
      <c r="A36" s="1" t="s">
        <v>79</v>
      </c>
      <c r="B36" s="1" t="s">
        <v>43</v>
      </c>
      <c r="C36" s="1">
        <v>206.75</v>
      </c>
      <c r="D36" s="1">
        <v>2802</v>
      </c>
      <c r="E36" s="1">
        <v>1056</v>
      </c>
      <c r="F36" s="1">
        <v>1889.75</v>
      </c>
      <c r="G36" s="7">
        <v>0.45</v>
      </c>
      <c r="H36" s="1">
        <v>50</v>
      </c>
      <c r="I36" s="15" t="s">
        <v>47</v>
      </c>
      <c r="J36" s="1"/>
      <c r="K36" s="1">
        <v>1462</v>
      </c>
      <c r="L36" s="1">
        <f t="shared" si="4"/>
        <v>-406</v>
      </c>
      <c r="M36" s="1">
        <f t="shared" si="5"/>
        <v>1056</v>
      </c>
      <c r="N36" s="1"/>
      <c r="O36" s="1"/>
      <c r="P36" s="1"/>
      <c r="Q36" s="1">
        <f>-1*VLOOKUP(A36,[1]TDSheet!$A:$B,2,0)</f>
        <v>-720</v>
      </c>
      <c r="R36" s="1">
        <v>0</v>
      </c>
      <c r="S36" s="1"/>
      <c r="T36" s="20"/>
      <c r="U36" s="20"/>
      <c r="V36" s="1">
        <f t="shared" si="6"/>
        <v>67.2</v>
      </c>
      <c r="W36" s="5"/>
      <c r="X36" s="5">
        <f t="shared" si="11"/>
        <v>0</v>
      </c>
      <c r="Y36" s="1">
        <f t="shared" si="8"/>
        <v>28.121279761904759</v>
      </c>
      <c r="Z36" s="1">
        <f t="shared" si="9"/>
        <v>28.121279761904759</v>
      </c>
      <c r="AA36" s="1">
        <v>118.2</v>
      </c>
      <c r="AB36" s="1">
        <v>109.4</v>
      </c>
      <c r="AC36" s="1">
        <v>109.6</v>
      </c>
      <c r="AD36" s="1">
        <v>174.8</v>
      </c>
      <c r="AE36" s="1">
        <v>277.8</v>
      </c>
      <c r="AF36" s="1">
        <v>284.8</v>
      </c>
      <c r="AG36" s="1">
        <v>208.4</v>
      </c>
      <c r="AH36" s="1">
        <v>87.4</v>
      </c>
      <c r="AI36" s="1">
        <v>111.2</v>
      </c>
      <c r="AJ36" s="1">
        <v>94.2</v>
      </c>
      <c r="AK36" s="16" t="s">
        <v>181</v>
      </c>
      <c r="AL36" s="1">
        <f t="shared" si="10"/>
        <v>0</v>
      </c>
      <c r="AM36" s="1"/>
      <c r="AN36" s="1"/>
      <c r="AO36" s="1"/>
      <c r="AP36" s="1"/>
      <c r="AQ36" s="1"/>
      <c r="AR36" s="1"/>
      <c r="AS36" s="1"/>
    </row>
    <row r="37" spans="1:45" x14ac:dyDescent="0.25">
      <c r="A37" s="1" t="s">
        <v>80</v>
      </c>
      <c r="B37" s="1" t="s">
        <v>43</v>
      </c>
      <c r="C37" s="1">
        <v>222</v>
      </c>
      <c r="D37" s="1">
        <v>2196</v>
      </c>
      <c r="E37" s="1">
        <v>1243</v>
      </c>
      <c r="F37" s="1">
        <v>925</v>
      </c>
      <c r="G37" s="7">
        <v>0.4</v>
      </c>
      <c r="H37" s="1">
        <v>45</v>
      </c>
      <c r="I37" s="1" t="s">
        <v>44</v>
      </c>
      <c r="J37" s="1"/>
      <c r="K37" s="1">
        <v>1938</v>
      </c>
      <c r="L37" s="1">
        <f t="shared" si="4"/>
        <v>-695</v>
      </c>
      <c r="M37" s="1">
        <f t="shared" si="5"/>
        <v>1243</v>
      </c>
      <c r="N37" s="1"/>
      <c r="O37" s="1"/>
      <c r="P37" s="1"/>
      <c r="Q37" s="1">
        <f>-1*VLOOKUP(A37,[1]TDSheet!$A:$B,2,0)</f>
        <v>-282</v>
      </c>
      <c r="R37" s="1">
        <v>0</v>
      </c>
      <c r="S37" s="1"/>
      <c r="T37" s="20"/>
      <c r="U37" s="20"/>
      <c r="V37" s="1">
        <f t="shared" si="6"/>
        <v>192.2</v>
      </c>
      <c r="W37" s="5">
        <f t="shared" si="17"/>
        <v>1381.3999999999996</v>
      </c>
      <c r="X37" s="5">
        <f t="shared" ref="X37:X38" si="18">IF(W37+$X$1*V37&lt;0,0,W37+$X$1*V37)</f>
        <v>1095.0219999999997</v>
      </c>
      <c r="Y37" s="1">
        <f t="shared" si="8"/>
        <v>10.51</v>
      </c>
      <c r="Z37" s="1">
        <f t="shared" si="9"/>
        <v>4.8126951092611865</v>
      </c>
      <c r="AA37" s="1">
        <v>141.6</v>
      </c>
      <c r="AB37" s="1">
        <v>149</v>
      </c>
      <c r="AC37" s="1">
        <v>204.2</v>
      </c>
      <c r="AD37" s="1">
        <v>235.2</v>
      </c>
      <c r="AE37" s="1">
        <v>211</v>
      </c>
      <c r="AF37" s="1">
        <v>165</v>
      </c>
      <c r="AG37" s="1">
        <v>174</v>
      </c>
      <c r="AH37" s="1">
        <v>215.2</v>
      </c>
      <c r="AI37" s="1">
        <v>201.2</v>
      </c>
      <c r="AJ37" s="1">
        <v>198.2</v>
      </c>
      <c r="AK37" s="1"/>
      <c r="AL37" s="1">
        <f t="shared" si="10"/>
        <v>438</v>
      </c>
      <c r="AM37" s="1"/>
      <c r="AN37" s="1"/>
      <c r="AO37" s="1"/>
      <c r="AP37" s="1"/>
      <c r="AQ37" s="1"/>
      <c r="AR37" s="1"/>
      <c r="AS37" s="1"/>
    </row>
    <row r="38" spans="1:45" x14ac:dyDescent="0.25">
      <c r="A38" s="1" t="s">
        <v>81</v>
      </c>
      <c r="B38" s="1" t="s">
        <v>43</v>
      </c>
      <c r="C38" s="1">
        <v>876</v>
      </c>
      <c r="D38" s="1">
        <v>230</v>
      </c>
      <c r="E38" s="1">
        <v>430</v>
      </c>
      <c r="F38" s="1">
        <v>452</v>
      </c>
      <c r="G38" s="7">
        <v>0.4</v>
      </c>
      <c r="H38" s="1">
        <v>40</v>
      </c>
      <c r="I38" s="1" t="s">
        <v>44</v>
      </c>
      <c r="J38" s="1"/>
      <c r="K38" s="1">
        <v>733</v>
      </c>
      <c r="L38" s="1">
        <f t="shared" ref="L38:L69" si="19">E38-K38</f>
        <v>-303</v>
      </c>
      <c r="M38" s="1">
        <f t="shared" si="5"/>
        <v>430</v>
      </c>
      <c r="N38" s="1"/>
      <c r="O38" s="1"/>
      <c r="P38" s="1"/>
      <c r="Q38" s="1"/>
      <c r="R38" s="1">
        <v>150.21</v>
      </c>
      <c r="S38" s="1"/>
      <c r="T38" s="20"/>
      <c r="U38" s="20"/>
      <c r="V38" s="1">
        <f t="shared" si="6"/>
        <v>86</v>
      </c>
      <c r="W38" s="5">
        <f t="shared" si="17"/>
        <v>429.78999999999996</v>
      </c>
      <c r="X38" s="5">
        <f t="shared" si="18"/>
        <v>301.64999999999998</v>
      </c>
      <c r="Y38" s="1">
        <f t="shared" si="8"/>
        <v>10.51</v>
      </c>
      <c r="Z38" s="1">
        <f t="shared" si="9"/>
        <v>7.0024418604651171</v>
      </c>
      <c r="AA38" s="1">
        <v>78.400000000000006</v>
      </c>
      <c r="AB38" s="1">
        <v>89</v>
      </c>
      <c r="AC38" s="1">
        <v>117.4</v>
      </c>
      <c r="AD38" s="1">
        <v>80.400000000000006</v>
      </c>
      <c r="AE38" s="1">
        <v>83.2</v>
      </c>
      <c r="AF38" s="1">
        <v>136</v>
      </c>
      <c r="AG38" s="1">
        <v>101.6</v>
      </c>
      <c r="AH38" s="1">
        <v>63.2</v>
      </c>
      <c r="AI38" s="1">
        <v>73.2</v>
      </c>
      <c r="AJ38" s="1">
        <v>81.8</v>
      </c>
      <c r="AK38" s="1"/>
      <c r="AL38" s="1">
        <f t="shared" si="10"/>
        <v>121</v>
      </c>
      <c r="AM38" s="1"/>
      <c r="AN38" s="1"/>
      <c r="AO38" s="1"/>
      <c r="AP38" s="1"/>
      <c r="AQ38" s="1"/>
      <c r="AR38" s="1"/>
      <c r="AS38" s="1"/>
    </row>
    <row r="39" spans="1:45" x14ac:dyDescent="0.25">
      <c r="A39" s="11" t="s">
        <v>82</v>
      </c>
      <c r="B39" s="11" t="s">
        <v>38</v>
      </c>
      <c r="C39" s="11"/>
      <c r="D39" s="11"/>
      <c r="E39" s="11"/>
      <c r="F39" s="11"/>
      <c r="G39" s="12">
        <v>0</v>
      </c>
      <c r="H39" s="11"/>
      <c r="I39" s="11" t="s">
        <v>44</v>
      </c>
      <c r="J39" s="11"/>
      <c r="K39" s="11"/>
      <c r="L39" s="11">
        <f t="shared" si="19"/>
        <v>0</v>
      </c>
      <c r="M39" s="11">
        <f t="shared" si="5"/>
        <v>0</v>
      </c>
      <c r="N39" s="11"/>
      <c r="O39" s="11"/>
      <c r="P39" s="11"/>
      <c r="Q39" s="11"/>
      <c r="R39" s="11">
        <v>0</v>
      </c>
      <c r="S39" s="11"/>
      <c r="T39" s="22"/>
      <c r="U39" s="22"/>
      <c r="V39" s="11">
        <f t="shared" si="6"/>
        <v>0</v>
      </c>
      <c r="W39" s="13"/>
      <c r="X39" s="5">
        <f t="shared" si="11"/>
        <v>0</v>
      </c>
      <c r="Y39" s="1" t="e">
        <f t="shared" si="8"/>
        <v>#DIV/0!</v>
      </c>
      <c r="Z39" s="1" t="e">
        <f t="shared" si="9"/>
        <v>#DIV/0!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 t="s">
        <v>59</v>
      </c>
      <c r="AL39" s="1">
        <f t="shared" si="10"/>
        <v>0</v>
      </c>
      <c r="AM39" s="1"/>
      <c r="AN39" s="1"/>
      <c r="AO39" s="1"/>
      <c r="AP39" s="1"/>
      <c r="AQ39" s="1"/>
      <c r="AR39" s="1"/>
      <c r="AS39" s="1"/>
    </row>
    <row r="40" spans="1:45" x14ac:dyDescent="0.25">
      <c r="A40" s="1" t="s">
        <v>83</v>
      </c>
      <c r="B40" s="1" t="s">
        <v>43</v>
      </c>
      <c r="C40" s="1">
        <v>154</v>
      </c>
      <c r="D40" s="1">
        <v>464</v>
      </c>
      <c r="E40" s="1">
        <v>153</v>
      </c>
      <c r="F40" s="1">
        <v>446</v>
      </c>
      <c r="G40" s="7">
        <v>0.1</v>
      </c>
      <c r="H40" s="1">
        <v>731</v>
      </c>
      <c r="I40" s="1" t="s">
        <v>44</v>
      </c>
      <c r="J40" s="1"/>
      <c r="K40" s="1">
        <v>222</v>
      </c>
      <c r="L40" s="1">
        <f t="shared" si="19"/>
        <v>-69</v>
      </c>
      <c r="M40" s="1">
        <f t="shared" si="5"/>
        <v>153</v>
      </c>
      <c r="N40" s="1"/>
      <c r="O40" s="1"/>
      <c r="P40" s="1"/>
      <c r="Q40" s="1"/>
      <c r="R40" s="1">
        <v>16.000000000000011</v>
      </c>
      <c r="S40" s="1"/>
      <c r="T40" s="20"/>
      <c r="U40" s="20"/>
      <c r="V40" s="1">
        <f t="shared" si="6"/>
        <v>30.6</v>
      </c>
      <c r="W40" s="5"/>
      <c r="X40" s="5">
        <f t="shared" si="11"/>
        <v>0</v>
      </c>
      <c r="Y40" s="1">
        <f t="shared" si="8"/>
        <v>15.098039215686274</v>
      </c>
      <c r="Z40" s="1">
        <f t="shared" si="9"/>
        <v>15.098039215686274</v>
      </c>
      <c r="AA40" s="1">
        <v>40</v>
      </c>
      <c r="AB40" s="1">
        <v>46</v>
      </c>
      <c r="AC40" s="1">
        <v>46</v>
      </c>
      <c r="AD40" s="1">
        <v>42</v>
      </c>
      <c r="AE40" s="1">
        <v>46</v>
      </c>
      <c r="AF40" s="1">
        <v>39</v>
      </c>
      <c r="AG40" s="1">
        <v>48.2</v>
      </c>
      <c r="AH40" s="1">
        <v>46.8</v>
      </c>
      <c r="AI40" s="1">
        <v>41.2</v>
      </c>
      <c r="AJ40" s="1">
        <v>42.4</v>
      </c>
      <c r="AK40" s="1"/>
      <c r="AL40" s="1">
        <f t="shared" si="10"/>
        <v>0</v>
      </c>
      <c r="AM40" s="1"/>
      <c r="AN40" s="1"/>
      <c r="AO40" s="1"/>
      <c r="AP40" s="1"/>
      <c r="AQ40" s="1"/>
      <c r="AR40" s="1"/>
      <c r="AS40" s="1"/>
    </row>
    <row r="41" spans="1:45" x14ac:dyDescent="0.25">
      <c r="A41" s="1" t="s">
        <v>84</v>
      </c>
      <c r="B41" s="1" t="s">
        <v>43</v>
      </c>
      <c r="C41" s="1">
        <v>6</v>
      </c>
      <c r="D41" s="1">
        <v>308</v>
      </c>
      <c r="E41" s="1">
        <v>51</v>
      </c>
      <c r="F41" s="1">
        <v>253</v>
      </c>
      <c r="G41" s="7">
        <v>0.35</v>
      </c>
      <c r="H41" s="1">
        <v>40</v>
      </c>
      <c r="I41" s="1" t="s">
        <v>44</v>
      </c>
      <c r="J41" s="1"/>
      <c r="K41" s="1">
        <v>146</v>
      </c>
      <c r="L41" s="1">
        <f t="shared" si="19"/>
        <v>-95</v>
      </c>
      <c r="M41" s="1">
        <f t="shared" si="5"/>
        <v>51</v>
      </c>
      <c r="N41" s="1"/>
      <c r="O41" s="1"/>
      <c r="P41" s="1"/>
      <c r="Q41" s="1"/>
      <c r="R41" s="1">
        <v>0</v>
      </c>
      <c r="S41" s="1"/>
      <c r="T41" s="20"/>
      <c r="U41" s="20"/>
      <c r="V41" s="1">
        <f t="shared" si="6"/>
        <v>10.199999999999999</v>
      </c>
      <c r="W41" s="5"/>
      <c r="X41" s="5">
        <f t="shared" si="11"/>
        <v>0</v>
      </c>
      <c r="Y41" s="1">
        <f t="shared" si="8"/>
        <v>24.803921568627452</v>
      </c>
      <c r="Z41" s="1">
        <f t="shared" si="9"/>
        <v>24.803921568627452</v>
      </c>
      <c r="AA41" s="1">
        <v>3.8</v>
      </c>
      <c r="AB41" s="1">
        <v>4.8</v>
      </c>
      <c r="AC41" s="1">
        <v>13</v>
      </c>
      <c r="AD41" s="1">
        <v>28.4</v>
      </c>
      <c r="AE41" s="1">
        <v>24.2</v>
      </c>
      <c r="AF41" s="1">
        <v>16.399999999999999</v>
      </c>
      <c r="AG41" s="1">
        <v>18.399999999999999</v>
      </c>
      <c r="AH41" s="1">
        <v>15.6</v>
      </c>
      <c r="AI41" s="1">
        <v>17.2</v>
      </c>
      <c r="AJ41" s="1">
        <v>15</v>
      </c>
      <c r="AK41" s="1"/>
      <c r="AL41" s="1">
        <f t="shared" si="10"/>
        <v>0</v>
      </c>
      <c r="AM41" s="1"/>
      <c r="AN41" s="1"/>
      <c r="AO41" s="1"/>
      <c r="AP41" s="1"/>
      <c r="AQ41" s="1"/>
      <c r="AR41" s="1"/>
      <c r="AS41" s="1"/>
    </row>
    <row r="42" spans="1:45" x14ac:dyDescent="0.25">
      <c r="A42" s="1" t="s">
        <v>85</v>
      </c>
      <c r="B42" s="1" t="s">
        <v>38</v>
      </c>
      <c r="C42" s="1">
        <v>19.856999999999999</v>
      </c>
      <c r="D42" s="1">
        <v>22.344000000000001</v>
      </c>
      <c r="E42" s="1">
        <v>21.047999999999998</v>
      </c>
      <c r="F42" s="1">
        <v>19.395</v>
      </c>
      <c r="G42" s="7">
        <v>1</v>
      </c>
      <c r="H42" s="1">
        <v>40</v>
      </c>
      <c r="I42" s="1" t="s">
        <v>44</v>
      </c>
      <c r="J42" s="1"/>
      <c r="K42" s="1">
        <v>25</v>
      </c>
      <c r="L42" s="1">
        <f t="shared" si="19"/>
        <v>-3.9520000000000017</v>
      </c>
      <c r="M42" s="1">
        <f t="shared" si="5"/>
        <v>21.047999999999998</v>
      </c>
      <c r="N42" s="1"/>
      <c r="O42" s="1"/>
      <c r="P42" s="1"/>
      <c r="Q42" s="1"/>
      <c r="R42" s="1">
        <v>15.01126</v>
      </c>
      <c r="S42" s="1"/>
      <c r="T42" s="20"/>
      <c r="U42" s="20"/>
      <c r="V42" s="1">
        <f t="shared" si="6"/>
        <v>4.2096</v>
      </c>
      <c r="W42" s="5">
        <f t="shared" ref="W42:W48" si="20">12*V42-R42-P42-O42-F42</f>
        <v>16.10894</v>
      </c>
      <c r="X42" s="5">
        <f t="shared" si="11"/>
        <v>16.10894</v>
      </c>
      <c r="Y42" s="1">
        <f t="shared" si="8"/>
        <v>12.000000000000002</v>
      </c>
      <c r="Z42" s="1">
        <f t="shared" si="9"/>
        <v>8.1732848726719887</v>
      </c>
      <c r="AA42" s="1">
        <v>3.2993999999999999</v>
      </c>
      <c r="AB42" s="1">
        <v>1.956</v>
      </c>
      <c r="AC42" s="1">
        <v>1.4396</v>
      </c>
      <c r="AD42" s="1">
        <v>2.4447999999999999</v>
      </c>
      <c r="AE42" s="1">
        <v>3.2065999999999999</v>
      </c>
      <c r="AF42" s="1">
        <v>2.0581999999999998</v>
      </c>
      <c r="AG42" s="1">
        <v>2.5327999999999999</v>
      </c>
      <c r="AH42" s="1">
        <v>3.35</v>
      </c>
      <c r="AI42" s="1">
        <v>4.3372000000000002</v>
      </c>
      <c r="AJ42" s="1">
        <v>4.6543999999999999</v>
      </c>
      <c r="AK42" s="1"/>
      <c r="AL42" s="1">
        <f t="shared" si="10"/>
        <v>16</v>
      </c>
      <c r="AM42" s="1"/>
      <c r="AN42" s="1"/>
      <c r="AO42" s="1"/>
      <c r="AP42" s="1"/>
      <c r="AQ42" s="1"/>
      <c r="AR42" s="1"/>
      <c r="AS42" s="1"/>
    </row>
    <row r="43" spans="1:45" x14ac:dyDescent="0.25">
      <c r="A43" s="1" t="s">
        <v>86</v>
      </c>
      <c r="B43" s="1" t="s">
        <v>43</v>
      </c>
      <c r="C43" s="1">
        <v>-1</v>
      </c>
      <c r="D43" s="1">
        <v>4</v>
      </c>
      <c r="E43" s="1">
        <v>1</v>
      </c>
      <c r="F43" s="1">
        <v>-25</v>
      </c>
      <c r="G43" s="7">
        <v>0.4</v>
      </c>
      <c r="H43" s="1">
        <v>40</v>
      </c>
      <c r="I43" s="1" t="s">
        <v>44</v>
      </c>
      <c r="J43" s="1"/>
      <c r="K43" s="1">
        <v>317</v>
      </c>
      <c r="L43" s="1">
        <f t="shared" si="19"/>
        <v>-316</v>
      </c>
      <c r="M43" s="1">
        <f t="shared" si="5"/>
        <v>1</v>
      </c>
      <c r="N43" s="1"/>
      <c r="O43" s="1"/>
      <c r="P43" s="1"/>
      <c r="Q43" s="1"/>
      <c r="R43" s="1">
        <v>0</v>
      </c>
      <c r="S43" s="1"/>
      <c r="T43" s="20"/>
      <c r="U43" s="20"/>
      <c r="V43" s="1">
        <f t="shared" si="6"/>
        <v>0.2</v>
      </c>
      <c r="W43" s="5">
        <v>300</v>
      </c>
      <c r="X43" s="5">
        <f>IF(W43+$X$1*V43&lt;0,0,W43+$X$1*V43)</f>
        <v>299.702</v>
      </c>
      <c r="Y43" s="1">
        <f t="shared" si="8"/>
        <v>1373.51</v>
      </c>
      <c r="Z43" s="1">
        <f t="shared" si="9"/>
        <v>-125</v>
      </c>
      <c r="AA43" s="1">
        <v>-1</v>
      </c>
      <c r="AB43" s="1">
        <v>-1.2</v>
      </c>
      <c r="AC43" s="1">
        <v>-1</v>
      </c>
      <c r="AD43" s="1">
        <v>-1</v>
      </c>
      <c r="AE43" s="1">
        <v>12</v>
      </c>
      <c r="AF43" s="1">
        <v>65.400000000000006</v>
      </c>
      <c r="AG43" s="1">
        <v>80.2</v>
      </c>
      <c r="AH43" s="1">
        <v>44.4</v>
      </c>
      <c r="AI43" s="1">
        <v>31.2</v>
      </c>
      <c r="AJ43" s="1">
        <v>40.4</v>
      </c>
      <c r="AK43" s="1"/>
      <c r="AL43" s="1">
        <f t="shared" si="10"/>
        <v>120</v>
      </c>
      <c r="AM43" s="1"/>
      <c r="AN43" s="1"/>
      <c r="AO43" s="1"/>
      <c r="AP43" s="1"/>
      <c r="AQ43" s="1"/>
      <c r="AR43" s="1"/>
      <c r="AS43" s="1"/>
    </row>
    <row r="44" spans="1:45" x14ac:dyDescent="0.25">
      <c r="A44" s="1" t="s">
        <v>87</v>
      </c>
      <c r="B44" s="1" t="s">
        <v>43</v>
      </c>
      <c r="C44" s="1">
        <v>75</v>
      </c>
      <c r="D44" s="1">
        <v>380</v>
      </c>
      <c r="E44" s="1">
        <v>153</v>
      </c>
      <c r="F44" s="1">
        <v>284</v>
      </c>
      <c r="G44" s="7">
        <v>0.4</v>
      </c>
      <c r="H44" s="1">
        <v>45</v>
      </c>
      <c r="I44" s="1" t="s">
        <v>44</v>
      </c>
      <c r="J44" s="1"/>
      <c r="K44" s="1">
        <v>329</v>
      </c>
      <c r="L44" s="1">
        <f t="shared" si="19"/>
        <v>-176</v>
      </c>
      <c r="M44" s="1">
        <f t="shared" si="5"/>
        <v>153</v>
      </c>
      <c r="N44" s="1"/>
      <c r="O44" s="1"/>
      <c r="P44" s="1"/>
      <c r="Q44" s="1"/>
      <c r="R44" s="1">
        <v>144.62</v>
      </c>
      <c r="S44" s="1">
        <f>-60/G44</f>
        <v>-150</v>
      </c>
      <c r="T44" s="20"/>
      <c r="U44" s="20"/>
      <c r="V44" s="1">
        <f t="shared" si="6"/>
        <v>30.6</v>
      </c>
      <c r="W44" s="5"/>
      <c r="X44" s="5">
        <f t="shared" si="11"/>
        <v>0</v>
      </c>
      <c r="Y44" s="1">
        <f t="shared" si="8"/>
        <v>9.1052287581699343</v>
      </c>
      <c r="Z44" s="1">
        <f t="shared" si="9"/>
        <v>9.1052287581699343</v>
      </c>
      <c r="AA44" s="1">
        <v>40.799999999999997</v>
      </c>
      <c r="AB44" s="1">
        <v>47</v>
      </c>
      <c r="AC44" s="1">
        <v>52.2</v>
      </c>
      <c r="AD44" s="1">
        <v>48.4</v>
      </c>
      <c r="AE44" s="1">
        <v>56.4</v>
      </c>
      <c r="AF44" s="1">
        <v>42</v>
      </c>
      <c r="AG44" s="1">
        <v>27.6</v>
      </c>
      <c r="AH44" s="1">
        <v>34.799999999999997</v>
      </c>
      <c r="AI44" s="1">
        <v>54.8</v>
      </c>
      <c r="AJ44" s="1">
        <v>53.6</v>
      </c>
      <c r="AK44" s="1"/>
      <c r="AL44" s="1">
        <f t="shared" si="10"/>
        <v>0</v>
      </c>
      <c r="AM44" s="1"/>
      <c r="AN44" s="1"/>
      <c r="AO44" s="1"/>
      <c r="AP44" s="1"/>
      <c r="AQ44" s="1"/>
      <c r="AR44" s="1"/>
      <c r="AS44" s="1"/>
    </row>
    <row r="45" spans="1:45" x14ac:dyDescent="0.25">
      <c r="A45" s="1" t="s">
        <v>88</v>
      </c>
      <c r="B45" s="1" t="s">
        <v>38</v>
      </c>
      <c r="C45" s="1">
        <v>34.347000000000001</v>
      </c>
      <c r="D45" s="1">
        <v>44.35</v>
      </c>
      <c r="E45" s="1">
        <v>21.742000000000001</v>
      </c>
      <c r="F45" s="1">
        <v>51.548999999999999</v>
      </c>
      <c r="G45" s="7">
        <v>1</v>
      </c>
      <c r="H45" s="1">
        <v>40</v>
      </c>
      <c r="I45" s="1" t="s">
        <v>44</v>
      </c>
      <c r="J45" s="1"/>
      <c r="K45" s="1">
        <v>41.8</v>
      </c>
      <c r="L45" s="1">
        <f t="shared" si="19"/>
        <v>-20.057999999999996</v>
      </c>
      <c r="M45" s="1">
        <f t="shared" si="5"/>
        <v>21.742000000000001</v>
      </c>
      <c r="N45" s="1"/>
      <c r="O45" s="1"/>
      <c r="P45" s="1"/>
      <c r="Q45" s="1"/>
      <c r="R45" s="1">
        <v>0</v>
      </c>
      <c r="S45" s="1"/>
      <c r="T45" s="20"/>
      <c r="U45" s="20"/>
      <c r="V45" s="1">
        <f t="shared" si="6"/>
        <v>4.3483999999999998</v>
      </c>
      <c r="W45" s="5"/>
      <c r="X45" s="5">
        <f t="shared" si="11"/>
        <v>0</v>
      </c>
      <c r="Y45" s="1">
        <f t="shared" si="8"/>
        <v>11.854705178916383</v>
      </c>
      <c r="Z45" s="1">
        <f t="shared" si="9"/>
        <v>11.854705178916383</v>
      </c>
      <c r="AA45" s="1">
        <v>3.9114</v>
      </c>
      <c r="AB45" s="1">
        <v>4.0561999999999996</v>
      </c>
      <c r="AC45" s="1">
        <v>5.2270000000000003</v>
      </c>
      <c r="AD45" s="1">
        <v>5.5009999999999986</v>
      </c>
      <c r="AE45" s="1">
        <v>4.4914000000000014</v>
      </c>
      <c r="AF45" s="1">
        <v>6.1063999999999998</v>
      </c>
      <c r="AG45" s="1">
        <v>6.3879999999999999</v>
      </c>
      <c r="AH45" s="1">
        <v>3.4708000000000001</v>
      </c>
      <c r="AI45" s="1">
        <v>4.7606000000000002</v>
      </c>
      <c r="AJ45" s="1">
        <v>6.7906000000000004</v>
      </c>
      <c r="AK45" s="1"/>
      <c r="AL45" s="1">
        <f t="shared" si="10"/>
        <v>0</v>
      </c>
      <c r="AM45" s="1"/>
      <c r="AN45" s="1"/>
      <c r="AO45" s="1"/>
      <c r="AP45" s="1"/>
      <c r="AQ45" s="1"/>
      <c r="AR45" s="1"/>
      <c r="AS45" s="1"/>
    </row>
    <row r="46" spans="1:45" x14ac:dyDescent="0.25">
      <c r="A46" s="1" t="s">
        <v>89</v>
      </c>
      <c r="B46" s="1" t="s">
        <v>43</v>
      </c>
      <c r="C46" s="1">
        <v>613</v>
      </c>
      <c r="D46" s="1">
        <v>728</v>
      </c>
      <c r="E46" s="1">
        <v>440</v>
      </c>
      <c r="F46" s="1">
        <v>854</v>
      </c>
      <c r="G46" s="7">
        <v>0.35</v>
      </c>
      <c r="H46" s="1">
        <v>40</v>
      </c>
      <c r="I46" s="15" t="s">
        <v>47</v>
      </c>
      <c r="J46" s="1"/>
      <c r="K46" s="1">
        <v>813</v>
      </c>
      <c r="L46" s="1">
        <f t="shared" si="19"/>
        <v>-373</v>
      </c>
      <c r="M46" s="1">
        <f t="shared" si="5"/>
        <v>440</v>
      </c>
      <c r="N46" s="1"/>
      <c r="O46" s="1"/>
      <c r="P46" s="1"/>
      <c r="Q46" s="1"/>
      <c r="R46" s="1">
        <v>0</v>
      </c>
      <c r="S46" s="1"/>
      <c r="T46" s="20"/>
      <c r="U46" s="20"/>
      <c r="V46" s="1">
        <f t="shared" si="6"/>
        <v>88</v>
      </c>
      <c r="W46" s="5">
        <f t="shared" si="20"/>
        <v>202</v>
      </c>
      <c r="X46" s="5">
        <f>IF(W46+$X$1*V46&lt;0,0,W46+$X$1*V46)</f>
        <v>70.88</v>
      </c>
      <c r="Y46" s="1">
        <f t="shared" si="8"/>
        <v>10.51</v>
      </c>
      <c r="Z46" s="1">
        <f t="shared" si="9"/>
        <v>9.704545454545455</v>
      </c>
      <c r="AA46" s="1">
        <v>80.8</v>
      </c>
      <c r="AB46" s="1">
        <v>89.4</v>
      </c>
      <c r="AC46" s="1">
        <v>110</v>
      </c>
      <c r="AD46" s="1">
        <v>269.2</v>
      </c>
      <c r="AE46" s="1">
        <v>266.39999999999998</v>
      </c>
      <c r="AF46" s="1">
        <v>466.2</v>
      </c>
      <c r="AG46" s="1">
        <v>465.2</v>
      </c>
      <c r="AH46" s="1">
        <v>121.2</v>
      </c>
      <c r="AI46" s="1">
        <v>128.6</v>
      </c>
      <c r="AJ46" s="1">
        <v>118</v>
      </c>
      <c r="AK46" s="1" t="s">
        <v>90</v>
      </c>
      <c r="AL46" s="1">
        <f t="shared" si="10"/>
        <v>25</v>
      </c>
      <c r="AM46" s="1"/>
      <c r="AN46" s="1"/>
      <c r="AO46" s="1"/>
      <c r="AP46" s="1"/>
      <c r="AQ46" s="1"/>
      <c r="AR46" s="1"/>
      <c r="AS46" s="1"/>
    </row>
    <row r="47" spans="1:45" x14ac:dyDescent="0.25">
      <c r="A47" s="1" t="s">
        <v>91</v>
      </c>
      <c r="B47" s="1" t="s">
        <v>43</v>
      </c>
      <c r="C47" s="1">
        <v>206</v>
      </c>
      <c r="D47" s="1">
        <v>552</v>
      </c>
      <c r="E47" s="1">
        <v>179</v>
      </c>
      <c r="F47" s="1">
        <v>518</v>
      </c>
      <c r="G47" s="7">
        <v>0.4</v>
      </c>
      <c r="H47" s="1">
        <v>40</v>
      </c>
      <c r="I47" s="1" t="s">
        <v>44</v>
      </c>
      <c r="J47" s="1"/>
      <c r="K47" s="1">
        <v>631</v>
      </c>
      <c r="L47" s="1">
        <f t="shared" si="19"/>
        <v>-452</v>
      </c>
      <c r="M47" s="1">
        <f t="shared" si="5"/>
        <v>179</v>
      </c>
      <c r="N47" s="1"/>
      <c r="O47" s="1"/>
      <c r="P47" s="1"/>
      <c r="Q47" s="1"/>
      <c r="R47" s="1">
        <v>0</v>
      </c>
      <c r="S47" s="1"/>
      <c r="T47" s="20"/>
      <c r="U47" s="20"/>
      <c r="V47" s="1">
        <f t="shared" si="6"/>
        <v>35.799999999999997</v>
      </c>
      <c r="W47" s="5"/>
      <c r="X47" s="5">
        <f t="shared" si="11"/>
        <v>0</v>
      </c>
      <c r="Y47" s="1">
        <f t="shared" si="8"/>
        <v>14.46927374301676</v>
      </c>
      <c r="Z47" s="1">
        <f t="shared" si="9"/>
        <v>14.46927374301676</v>
      </c>
      <c r="AA47" s="1">
        <v>61</v>
      </c>
      <c r="AB47" s="1">
        <v>63.8</v>
      </c>
      <c r="AC47" s="1">
        <v>76</v>
      </c>
      <c r="AD47" s="1">
        <v>54.6</v>
      </c>
      <c r="AE47" s="1">
        <v>57.4</v>
      </c>
      <c r="AF47" s="1">
        <v>95.4</v>
      </c>
      <c r="AG47" s="1">
        <v>87.2</v>
      </c>
      <c r="AH47" s="1">
        <v>75.599999999999994</v>
      </c>
      <c r="AI47" s="1">
        <v>88.2</v>
      </c>
      <c r="AJ47" s="1">
        <v>91.4</v>
      </c>
      <c r="AK47" s="1"/>
      <c r="AL47" s="1">
        <f t="shared" si="10"/>
        <v>0</v>
      </c>
      <c r="AM47" s="1"/>
      <c r="AN47" s="1"/>
      <c r="AO47" s="1"/>
      <c r="AP47" s="1"/>
      <c r="AQ47" s="1"/>
      <c r="AR47" s="1"/>
      <c r="AS47" s="1"/>
    </row>
    <row r="48" spans="1:45" x14ac:dyDescent="0.25">
      <c r="A48" s="1" t="s">
        <v>92</v>
      </c>
      <c r="B48" s="1" t="s">
        <v>38</v>
      </c>
      <c r="C48" s="1">
        <v>160.01400000000001</v>
      </c>
      <c r="D48" s="1">
        <v>112.208</v>
      </c>
      <c r="E48" s="1">
        <v>139.82</v>
      </c>
      <c r="F48" s="1">
        <v>125.69199999999999</v>
      </c>
      <c r="G48" s="7">
        <v>1</v>
      </c>
      <c r="H48" s="1">
        <v>50</v>
      </c>
      <c r="I48" s="1" t="s">
        <v>44</v>
      </c>
      <c r="J48" s="1"/>
      <c r="K48" s="1">
        <v>195.976</v>
      </c>
      <c r="L48" s="1">
        <f t="shared" si="19"/>
        <v>-56.156000000000006</v>
      </c>
      <c r="M48" s="1">
        <f t="shared" si="5"/>
        <v>139.82</v>
      </c>
      <c r="N48" s="1"/>
      <c r="O48" s="1"/>
      <c r="P48" s="1"/>
      <c r="Q48" s="1">
        <f>-1*VLOOKUP(A48,[1]TDSheet!$A:$B,2,0)</f>
        <v>-53.676000000000002</v>
      </c>
      <c r="R48" s="1">
        <v>0</v>
      </c>
      <c r="S48" s="1"/>
      <c r="T48" s="20"/>
      <c r="U48" s="20"/>
      <c r="V48" s="1">
        <f t="shared" si="6"/>
        <v>17.2288</v>
      </c>
      <c r="W48" s="5">
        <f t="shared" si="20"/>
        <v>81.053600000000003</v>
      </c>
      <c r="X48" s="5">
        <f t="shared" si="11"/>
        <v>81.053600000000003</v>
      </c>
      <c r="Y48" s="1">
        <f t="shared" si="8"/>
        <v>12</v>
      </c>
      <c r="Z48" s="1">
        <f t="shared" si="9"/>
        <v>7.2954587667161963</v>
      </c>
      <c r="AA48" s="1">
        <v>15.883800000000001</v>
      </c>
      <c r="AB48" s="1">
        <v>16.6876</v>
      </c>
      <c r="AC48" s="1">
        <v>20.451000000000001</v>
      </c>
      <c r="AD48" s="1">
        <v>20.7852</v>
      </c>
      <c r="AE48" s="1">
        <v>18.385200000000001</v>
      </c>
      <c r="AF48" s="1">
        <v>26.343</v>
      </c>
      <c r="AG48" s="1">
        <v>19.9468</v>
      </c>
      <c r="AH48" s="1">
        <v>21.797999999999998</v>
      </c>
      <c r="AI48" s="1">
        <v>22.839600000000001</v>
      </c>
      <c r="AJ48" s="1">
        <v>22.878599999999999</v>
      </c>
      <c r="AK48" s="1"/>
      <c r="AL48" s="1">
        <f t="shared" si="10"/>
        <v>81</v>
      </c>
      <c r="AM48" s="1"/>
      <c r="AN48" s="1"/>
      <c r="AO48" s="1"/>
      <c r="AP48" s="1"/>
      <c r="AQ48" s="1"/>
      <c r="AR48" s="1"/>
      <c r="AS48" s="1"/>
    </row>
    <row r="49" spans="1:45" x14ac:dyDescent="0.25">
      <c r="A49" s="1" t="s">
        <v>93</v>
      </c>
      <c r="B49" s="1" t="s">
        <v>38</v>
      </c>
      <c r="C49" s="1">
        <v>461.315</v>
      </c>
      <c r="D49" s="1">
        <v>1239.19</v>
      </c>
      <c r="E49" s="1">
        <v>517.67100000000005</v>
      </c>
      <c r="F49" s="1">
        <v>878.20600000000002</v>
      </c>
      <c r="G49" s="7">
        <v>1</v>
      </c>
      <c r="H49" s="1">
        <v>50</v>
      </c>
      <c r="I49" s="1" t="s">
        <v>44</v>
      </c>
      <c r="J49" s="1"/>
      <c r="K49" s="1">
        <v>831.97699999999998</v>
      </c>
      <c r="L49" s="1">
        <f t="shared" si="19"/>
        <v>-314.30599999999993</v>
      </c>
      <c r="M49" s="1">
        <f t="shared" si="5"/>
        <v>260.39400000000006</v>
      </c>
      <c r="N49" s="1">
        <v>257.27699999999999</v>
      </c>
      <c r="O49" s="1"/>
      <c r="P49" s="1"/>
      <c r="Q49" s="1"/>
      <c r="R49" s="1">
        <v>271.51892000000032</v>
      </c>
      <c r="S49" s="1"/>
      <c r="T49" s="20"/>
      <c r="U49" s="20"/>
      <c r="V49" s="1">
        <f t="shared" si="6"/>
        <v>52.078800000000015</v>
      </c>
      <c r="W49" s="5"/>
      <c r="X49" s="5">
        <f t="shared" si="11"/>
        <v>0</v>
      </c>
      <c r="Y49" s="1">
        <f t="shared" si="8"/>
        <v>22.076640014746882</v>
      </c>
      <c r="Z49" s="1">
        <f t="shared" si="9"/>
        <v>22.076640014746882</v>
      </c>
      <c r="AA49" s="1">
        <v>97.671800000000005</v>
      </c>
      <c r="AB49" s="1">
        <v>62.823599999999999</v>
      </c>
      <c r="AC49" s="1">
        <v>78.122199999999992</v>
      </c>
      <c r="AD49" s="1">
        <v>85.384200000000007</v>
      </c>
      <c r="AE49" s="1">
        <v>84.619600000000005</v>
      </c>
      <c r="AF49" s="1">
        <v>57.522199999999998</v>
      </c>
      <c r="AG49" s="1">
        <v>111.0634</v>
      </c>
      <c r="AH49" s="1">
        <v>151.00360000000001</v>
      </c>
      <c r="AI49" s="1">
        <v>105.7694</v>
      </c>
      <c r="AJ49" s="1">
        <v>88.509799999999998</v>
      </c>
      <c r="AK49" s="1"/>
      <c r="AL49" s="1">
        <f t="shared" si="10"/>
        <v>0</v>
      </c>
      <c r="AM49" s="1"/>
      <c r="AN49" s="1"/>
      <c r="AO49" s="1"/>
      <c r="AP49" s="1"/>
      <c r="AQ49" s="1"/>
      <c r="AR49" s="1"/>
      <c r="AS49" s="1"/>
    </row>
    <row r="50" spans="1:45" x14ac:dyDescent="0.25">
      <c r="A50" s="11" t="s">
        <v>94</v>
      </c>
      <c r="B50" s="11" t="s">
        <v>38</v>
      </c>
      <c r="C50" s="11"/>
      <c r="D50" s="11"/>
      <c r="E50" s="11"/>
      <c r="F50" s="11"/>
      <c r="G50" s="12">
        <v>0</v>
      </c>
      <c r="H50" s="11"/>
      <c r="I50" s="11" t="s">
        <v>44</v>
      </c>
      <c r="J50" s="11"/>
      <c r="K50" s="11"/>
      <c r="L50" s="11">
        <f t="shared" si="19"/>
        <v>0</v>
      </c>
      <c r="M50" s="11">
        <f t="shared" si="5"/>
        <v>0</v>
      </c>
      <c r="N50" s="11"/>
      <c r="O50" s="11"/>
      <c r="P50" s="11"/>
      <c r="Q50" s="11"/>
      <c r="R50" s="11">
        <v>0</v>
      </c>
      <c r="S50" s="11"/>
      <c r="T50" s="22"/>
      <c r="U50" s="22"/>
      <c r="V50" s="11">
        <f t="shared" si="6"/>
        <v>0</v>
      </c>
      <c r="W50" s="13"/>
      <c r="X50" s="5">
        <f t="shared" si="11"/>
        <v>0</v>
      </c>
      <c r="Y50" s="1" t="e">
        <f t="shared" si="8"/>
        <v>#DIV/0!</v>
      </c>
      <c r="Z50" s="1" t="e">
        <f t="shared" si="9"/>
        <v>#DIV/0!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 t="s">
        <v>59</v>
      </c>
      <c r="AL50" s="1">
        <f t="shared" si="10"/>
        <v>0</v>
      </c>
      <c r="AM50" s="1"/>
      <c r="AN50" s="1"/>
      <c r="AO50" s="1"/>
      <c r="AP50" s="1"/>
      <c r="AQ50" s="1"/>
      <c r="AR50" s="1"/>
      <c r="AS50" s="1"/>
    </row>
    <row r="51" spans="1:45" x14ac:dyDescent="0.25">
      <c r="A51" s="1" t="s">
        <v>95</v>
      </c>
      <c r="B51" s="1" t="s">
        <v>43</v>
      </c>
      <c r="C51" s="1">
        <v>497</v>
      </c>
      <c r="D51" s="1">
        <v>796</v>
      </c>
      <c r="E51" s="1">
        <v>512</v>
      </c>
      <c r="F51" s="1">
        <v>725</v>
      </c>
      <c r="G51" s="7">
        <v>0.45</v>
      </c>
      <c r="H51" s="1">
        <v>50</v>
      </c>
      <c r="I51" s="1" t="s">
        <v>44</v>
      </c>
      <c r="J51" s="1"/>
      <c r="K51" s="1">
        <v>725</v>
      </c>
      <c r="L51" s="1">
        <f t="shared" si="19"/>
        <v>-213</v>
      </c>
      <c r="M51" s="1">
        <f t="shared" si="5"/>
        <v>512</v>
      </c>
      <c r="N51" s="1"/>
      <c r="O51" s="1"/>
      <c r="P51" s="1"/>
      <c r="Q51" s="1">
        <f>-1*VLOOKUP(A51,[1]TDSheet!$A:$B,2,0)</f>
        <v>-180</v>
      </c>
      <c r="R51" s="1">
        <v>0</v>
      </c>
      <c r="S51" s="1"/>
      <c r="T51" s="20"/>
      <c r="U51" s="20"/>
      <c r="V51" s="1">
        <f t="shared" si="6"/>
        <v>66.400000000000006</v>
      </c>
      <c r="W51" s="5">
        <f t="shared" ref="W51:W52" si="21">12*V51-R51-P51-O51-F51</f>
        <v>71.800000000000068</v>
      </c>
      <c r="X51" s="5">
        <f t="shared" si="11"/>
        <v>71.800000000000068</v>
      </c>
      <c r="Y51" s="1">
        <f t="shared" si="8"/>
        <v>12</v>
      </c>
      <c r="Z51" s="1">
        <f t="shared" si="9"/>
        <v>10.918674698795179</v>
      </c>
      <c r="AA51" s="1">
        <v>64.8</v>
      </c>
      <c r="AB51" s="1">
        <v>74.2</v>
      </c>
      <c r="AC51" s="1">
        <v>96</v>
      </c>
      <c r="AD51" s="1">
        <v>96.8</v>
      </c>
      <c r="AE51" s="1">
        <v>97.4</v>
      </c>
      <c r="AF51" s="1">
        <v>102</v>
      </c>
      <c r="AG51" s="1">
        <v>99.8</v>
      </c>
      <c r="AH51" s="1">
        <v>86.137</v>
      </c>
      <c r="AI51" s="1">
        <v>64.936999999999998</v>
      </c>
      <c r="AJ51" s="1">
        <v>81.20320000000001</v>
      </c>
      <c r="AK51" s="1"/>
      <c r="AL51" s="1">
        <f t="shared" si="10"/>
        <v>32</v>
      </c>
      <c r="AM51" s="1"/>
      <c r="AN51" s="1"/>
      <c r="AO51" s="1"/>
      <c r="AP51" s="1"/>
      <c r="AQ51" s="1"/>
      <c r="AR51" s="1"/>
      <c r="AS51" s="1"/>
    </row>
    <row r="52" spans="1:45" x14ac:dyDescent="0.25">
      <c r="A52" s="1" t="s">
        <v>96</v>
      </c>
      <c r="B52" s="1" t="s">
        <v>43</v>
      </c>
      <c r="C52" s="1">
        <v>332</v>
      </c>
      <c r="D52" s="1">
        <v>1332</v>
      </c>
      <c r="E52" s="1">
        <v>468</v>
      </c>
      <c r="F52" s="1">
        <v>1111</v>
      </c>
      <c r="G52" s="7">
        <v>0.45</v>
      </c>
      <c r="H52" s="1">
        <v>50</v>
      </c>
      <c r="I52" s="1" t="s">
        <v>44</v>
      </c>
      <c r="J52" s="1"/>
      <c r="K52" s="1">
        <v>741</v>
      </c>
      <c r="L52" s="1">
        <f t="shared" si="19"/>
        <v>-273</v>
      </c>
      <c r="M52" s="1">
        <f t="shared" si="5"/>
        <v>468</v>
      </c>
      <c r="N52" s="1"/>
      <c r="O52" s="1"/>
      <c r="P52" s="1"/>
      <c r="Q52" s="1"/>
      <c r="R52" s="1">
        <v>0</v>
      </c>
      <c r="S52" s="1"/>
      <c r="T52" s="20"/>
      <c r="U52" s="20"/>
      <c r="V52" s="1">
        <f t="shared" si="6"/>
        <v>93.6</v>
      </c>
      <c r="W52" s="5">
        <f t="shared" si="21"/>
        <v>12.199999999999818</v>
      </c>
      <c r="X52" s="5">
        <f t="shared" si="11"/>
        <v>12.199999999999818</v>
      </c>
      <c r="Y52" s="1">
        <f t="shared" si="8"/>
        <v>11.999999999999998</v>
      </c>
      <c r="Z52" s="1">
        <f t="shared" si="9"/>
        <v>11.869658119658121</v>
      </c>
      <c r="AA52" s="1">
        <v>89.2</v>
      </c>
      <c r="AB52" s="1">
        <v>95.2</v>
      </c>
      <c r="AC52" s="1">
        <v>128.6</v>
      </c>
      <c r="AD52" s="1">
        <v>132</v>
      </c>
      <c r="AE52" s="1">
        <v>114.6</v>
      </c>
      <c r="AF52" s="1">
        <v>104.4</v>
      </c>
      <c r="AG52" s="1">
        <v>96.4</v>
      </c>
      <c r="AH52" s="1">
        <v>86</v>
      </c>
      <c r="AI52" s="1">
        <v>79.2</v>
      </c>
      <c r="AJ52" s="1">
        <v>98.6</v>
      </c>
      <c r="AK52" s="1"/>
      <c r="AL52" s="1">
        <f t="shared" si="10"/>
        <v>5</v>
      </c>
      <c r="AM52" s="1"/>
      <c r="AN52" s="1"/>
      <c r="AO52" s="1"/>
      <c r="AP52" s="1"/>
      <c r="AQ52" s="1"/>
      <c r="AR52" s="1"/>
      <c r="AS52" s="1"/>
    </row>
    <row r="53" spans="1:45" x14ac:dyDescent="0.25">
      <c r="A53" s="11" t="s">
        <v>97</v>
      </c>
      <c r="B53" s="11" t="s">
        <v>43</v>
      </c>
      <c r="C53" s="11"/>
      <c r="D53" s="11"/>
      <c r="E53" s="11"/>
      <c r="F53" s="11"/>
      <c r="G53" s="12">
        <v>0</v>
      </c>
      <c r="H53" s="11"/>
      <c r="I53" s="11" t="s">
        <v>44</v>
      </c>
      <c r="J53" s="11"/>
      <c r="K53" s="11"/>
      <c r="L53" s="11">
        <f t="shared" si="19"/>
        <v>0</v>
      </c>
      <c r="M53" s="11">
        <f t="shared" si="5"/>
        <v>0</v>
      </c>
      <c r="N53" s="11"/>
      <c r="O53" s="11"/>
      <c r="P53" s="11"/>
      <c r="Q53" s="11"/>
      <c r="R53" s="11">
        <v>0</v>
      </c>
      <c r="S53" s="11"/>
      <c r="T53" s="22"/>
      <c r="U53" s="22"/>
      <c r="V53" s="11">
        <f t="shared" si="6"/>
        <v>0</v>
      </c>
      <c r="W53" s="13"/>
      <c r="X53" s="5">
        <f t="shared" si="11"/>
        <v>0</v>
      </c>
      <c r="Y53" s="1" t="e">
        <f t="shared" si="8"/>
        <v>#DIV/0!</v>
      </c>
      <c r="Z53" s="1" t="e">
        <f t="shared" si="9"/>
        <v>#DIV/0!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 t="s">
        <v>59</v>
      </c>
      <c r="AL53" s="1">
        <f t="shared" si="10"/>
        <v>0</v>
      </c>
      <c r="AM53" s="1"/>
      <c r="AN53" s="1"/>
      <c r="AO53" s="1"/>
      <c r="AP53" s="1"/>
      <c r="AQ53" s="1"/>
      <c r="AR53" s="1"/>
      <c r="AS53" s="1"/>
    </row>
    <row r="54" spans="1:45" x14ac:dyDescent="0.25">
      <c r="A54" s="1" t="s">
        <v>98</v>
      </c>
      <c r="B54" s="1" t="s">
        <v>43</v>
      </c>
      <c r="C54" s="1">
        <v>32</v>
      </c>
      <c r="D54" s="1">
        <v>21</v>
      </c>
      <c r="E54" s="1">
        <v>15</v>
      </c>
      <c r="F54" s="1">
        <v>32</v>
      </c>
      <c r="G54" s="7">
        <v>0.4</v>
      </c>
      <c r="H54" s="1">
        <v>40</v>
      </c>
      <c r="I54" s="1" t="s">
        <v>44</v>
      </c>
      <c r="J54" s="1"/>
      <c r="K54" s="1">
        <v>65</v>
      </c>
      <c r="L54" s="1">
        <f t="shared" si="19"/>
        <v>-50</v>
      </c>
      <c r="M54" s="1">
        <f t="shared" si="5"/>
        <v>15</v>
      </c>
      <c r="N54" s="1"/>
      <c r="O54" s="1"/>
      <c r="P54" s="1"/>
      <c r="Q54" s="1"/>
      <c r="R54" s="1">
        <v>3.7800000000000011</v>
      </c>
      <c r="S54" s="1"/>
      <c r="T54" s="20"/>
      <c r="U54" s="20"/>
      <c r="V54" s="1">
        <f t="shared" si="6"/>
        <v>3</v>
      </c>
      <c r="W54" s="5"/>
      <c r="X54" s="5">
        <f t="shared" si="11"/>
        <v>0</v>
      </c>
      <c r="Y54" s="1">
        <f t="shared" si="8"/>
        <v>11.926666666666668</v>
      </c>
      <c r="Z54" s="1">
        <f t="shared" si="9"/>
        <v>11.926666666666668</v>
      </c>
      <c r="AA54" s="1">
        <v>3.2</v>
      </c>
      <c r="AB54" s="1">
        <v>3.8</v>
      </c>
      <c r="AC54" s="1">
        <v>3.8</v>
      </c>
      <c r="AD54" s="1">
        <v>-0.6</v>
      </c>
      <c r="AE54" s="1">
        <v>0.8</v>
      </c>
      <c r="AF54" s="1">
        <v>12.2</v>
      </c>
      <c r="AG54" s="1">
        <v>12.4</v>
      </c>
      <c r="AH54" s="1">
        <v>5</v>
      </c>
      <c r="AI54" s="1">
        <v>4.2</v>
      </c>
      <c r="AJ54" s="1">
        <v>6.2</v>
      </c>
      <c r="AK54" s="1"/>
      <c r="AL54" s="1">
        <f t="shared" si="10"/>
        <v>0</v>
      </c>
      <c r="AM54" s="1"/>
      <c r="AN54" s="1"/>
      <c r="AO54" s="1"/>
      <c r="AP54" s="1"/>
      <c r="AQ54" s="1"/>
      <c r="AR54" s="1"/>
      <c r="AS54" s="1"/>
    </row>
    <row r="55" spans="1:45" x14ac:dyDescent="0.25">
      <c r="A55" s="1" t="s">
        <v>99</v>
      </c>
      <c r="B55" s="1" t="s">
        <v>38</v>
      </c>
      <c r="C55" s="1">
        <v>373.67200000000003</v>
      </c>
      <c r="D55" s="1">
        <v>991.86800000000005</v>
      </c>
      <c r="E55" s="1">
        <v>623.13199999999995</v>
      </c>
      <c r="F55" s="1">
        <v>658.36599999999999</v>
      </c>
      <c r="G55" s="7">
        <v>1</v>
      </c>
      <c r="H55" s="1">
        <v>50</v>
      </c>
      <c r="I55" s="1" t="s">
        <v>39</v>
      </c>
      <c r="J55" s="1"/>
      <c r="K55" s="1">
        <v>822.8</v>
      </c>
      <c r="L55" s="1">
        <f t="shared" si="19"/>
        <v>-199.66800000000001</v>
      </c>
      <c r="M55" s="1">
        <f t="shared" si="5"/>
        <v>623.13199999999995</v>
      </c>
      <c r="N55" s="1"/>
      <c r="O55" s="1"/>
      <c r="P55" s="1"/>
      <c r="Q55" s="1"/>
      <c r="R55" s="1">
        <v>493.86750000000012</v>
      </c>
      <c r="S55" s="1"/>
      <c r="T55" s="20"/>
      <c r="U55" s="20"/>
      <c r="V55" s="1">
        <f t="shared" si="6"/>
        <v>124.62639999999999</v>
      </c>
      <c r="W55" s="5">
        <f t="shared" ref="W55:W67" si="22">12*V55-R55-P55-O55-F55</f>
        <v>343.28329999999983</v>
      </c>
      <c r="X55" s="5">
        <f>IF(W55+$X$1*V55&lt;0,0,W55+$X$1*V55)</f>
        <v>157.58996399999984</v>
      </c>
      <c r="Y55" s="1">
        <f t="shared" si="8"/>
        <v>10.51</v>
      </c>
      <c r="Z55" s="1">
        <f t="shared" si="9"/>
        <v>9.2455009532490724</v>
      </c>
      <c r="AA55" s="1">
        <v>103.889</v>
      </c>
      <c r="AB55" s="1">
        <v>63.091200000000001</v>
      </c>
      <c r="AC55" s="1">
        <v>69.980199999999996</v>
      </c>
      <c r="AD55" s="1">
        <v>120.0566</v>
      </c>
      <c r="AE55" s="1">
        <v>112.971</v>
      </c>
      <c r="AF55" s="1">
        <v>95.999600000000001</v>
      </c>
      <c r="AG55" s="1">
        <v>109.7628</v>
      </c>
      <c r="AH55" s="1">
        <v>96.142200000000003</v>
      </c>
      <c r="AI55" s="1">
        <v>102.41540000000001</v>
      </c>
      <c r="AJ55" s="1">
        <v>98.602599999999995</v>
      </c>
      <c r="AK55" s="1"/>
      <c r="AL55" s="1">
        <f t="shared" si="10"/>
        <v>158</v>
      </c>
      <c r="AM55" s="1"/>
      <c r="AN55" s="1"/>
      <c r="AO55" s="1"/>
      <c r="AP55" s="1"/>
      <c r="AQ55" s="1"/>
      <c r="AR55" s="1"/>
      <c r="AS55" s="1"/>
    </row>
    <row r="56" spans="1:45" x14ac:dyDescent="0.25">
      <c r="A56" s="1" t="s">
        <v>100</v>
      </c>
      <c r="B56" s="1" t="s">
        <v>43</v>
      </c>
      <c r="C56" s="1">
        <v>86</v>
      </c>
      <c r="D56" s="1">
        <v>270</v>
      </c>
      <c r="E56" s="1">
        <v>94</v>
      </c>
      <c r="F56" s="1">
        <v>253</v>
      </c>
      <c r="G56" s="7">
        <v>0.1</v>
      </c>
      <c r="H56" s="1">
        <v>731</v>
      </c>
      <c r="I56" s="1" t="s">
        <v>44</v>
      </c>
      <c r="J56" s="1"/>
      <c r="K56" s="1">
        <v>132</v>
      </c>
      <c r="L56" s="1">
        <f t="shared" si="19"/>
        <v>-38</v>
      </c>
      <c r="M56" s="1">
        <f t="shared" si="5"/>
        <v>94</v>
      </c>
      <c r="N56" s="1"/>
      <c r="O56" s="1"/>
      <c r="P56" s="1"/>
      <c r="Q56" s="1">
        <f>-1*VLOOKUP(A56,[1]TDSheet!$A:$B,2,0)</f>
        <v>-6</v>
      </c>
      <c r="R56" s="1">
        <v>0</v>
      </c>
      <c r="S56" s="1"/>
      <c r="T56" s="20"/>
      <c r="U56" s="20"/>
      <c r="V56" s="1">
        <f t="shared" si="6"/>
        <v>17.600000000000001</v>
      </c>
      <c r="W56" s="5"/>
      <c r="X56" s="5">
        <f t="shared" si="11"/>
        <v>0</v>
      </c>
      <c r="Y56" s="1">
        <f t="shared" si="8"/>
        <v>14.374999999999998</v>
      </c>
      <c r="Z56" s="1">
        <f t="shared" si="9"/>
        <v>14.374999999999998</v>
      </c>
      <c r="AA56" s="1">
        <v>20.2</v>
      </c>
      <c r="AB56" s="1">
        <v>21.8</v>
      </c>
      <c r="AC56" s="1">
        <v>26.4</v>
      </c>
      <c r="AD56" s="1">
        <v>29.2</v>
      </c>
      <c r="AE56" s="1">
        <v>30</v>
      </c>
      <c r="AF56" s="1">
        <v>19.600000000000001</v>
      </c>
      <c r="AG56" s="1">
        <v>25.6</v>
      </c>
      <c r="AH56" s="1">
        <v>36</v>
      </c>
      <c r="AI56" s="1">
        <v>27.6</v>
      </c>
      <c r="AJ56" s="1">
        <v>21.6</v>
      </c>
      <c r="AK56" s="1"/>
      <c r="AL56" s="1">
        <f t="shared" si="10"/>
        <v>0</v>
      </c>
      <c r="AM56" s="1"/>
      <c r="AN56" s="1"/>
      <c r="AO56" s="1"/>
      <c r="AP56" s="1"/>
      <c r="AQ56" s="1"/>
      <c r="AR56" s="1"/>
      <c r="AS56" s="1"/>
    </row>
    <row r="57" spans="1:45" x14ac:dyDescent="0.25">
      <c r="A57" s="1" t="s">
        <v>101</v>
      </c>
      <c r="B57" s="1" t="s">
        <v>38</v>
      </c>
      <c r="C57" s="1">
        <v>873.96</v>
      </c>
      <c r="D57" s="1">
        <v>198.029</v>
      </c>
      <c r="E57" s="1">
        <v>350.661</v>
      </c>
      <c r="F57" s="1">
        <v>675.50199999999995</v>
      </c>
      <c r="G57" s="7">
        <v>1</v>
      </c>
      <c r="H57" s="1">
        <v>50</v>
      </c>
      <c r="I57" s="1" t="s">
        <v>39</v>
      </c>
      <c r="J57" s="1"/>
      <c r="K57" s="1">
        <v>570.43499999999995</v>
      </c>
      <c r="L57" s="1">
        <f t="shared" si="19"/>
        <v>-219.77399999999994</v>
      </c>
      <c r="M57" s="1">
        <f t="shared" si="5"/>
        <v>350.661</v>
      </c>
      <c r="N57" s="1"/>
      <c r="O57" s="1"/>
      <c r="P57" s="1"/>
      <c r="Q57" s="1"/>
      <c r="R57" s="1">
        <v>0</v>
      </c>
      <c r="S57" s="1"/>
      <c r="T57" s="20"/>
      <c r="U57" s="20"/>
      <c r="V57" s="1">
        <f t="shared" si="6"/>
        <v>70.132199999999997</v>
      </c>
      <c r="W57" s="5">
        <f t="shared" si="22"/>
        <v>166.08439999999996</v>
      </c>
      <c r="X57" s="5">
        <f>IF(W57+$X$1*V57&lt;0,0,W57+$X$1*V57)</f>
        <v>61.587421999999961</v>
      </c>
      <c r="Y57" s="1">
        <f t="shared" si="8"/>
        <v>10.51</v>
      </c>
      <c r="Z57" s="1">
        <f t="shared" si="9"/>
        <v>9.6318381570804856</v>
      </c>
      <c r="AA57" s="1">
        <v>63.280999999999992</v>
      </c>
      <c r="AB57" s="1">
        <v>79.756600000000006</v>
      </c>
      <c r="AC57" s="1">
        <v>81.925600000000003</v>
      </c>
      <c r="AD57" s="1">
        <v>86.080600000000004</v>
      </c>
      <c r="AE57" s="1">
        <v>92.588999999999999</v>
      </c>
      <c r="AF57" s="1">
        <v>122.23399999999999</v>
      </c>
      <c r="AG57" s="1">
        <v>127.477</v>
      </c>
      <c r="AH57" s="1">
        <v>116.47839999999999</v>
      </c>
      <c r="AI57" s="1">
        <v>107.4956</v>
      </c>
      <c r="AJ57" s="1">
        <v>89.548199999999994</v>
      </c>
      <c r="AK57" s="1"/>
      <c r="AL57" s="1">
        <f t="shared" si="10"/>
        <v>62</v>
      </c>
      <c r="AM57" s="1"/>
      <c r="AN57" s="1"/>
      <c r="AO57" s="1"/>
      <c r="AP57" s="1"/>
      <c r="AQ57" s="1"/>
      <c r="AR57" s="1"/>
      <c r="AS57" s="1"/>
    </row>
    <row r="58" spans="1:45" x14ac:dyDescent="0.25">
      <c r="A58" s="1" t="s">
        <v>102</v>
      </c>
      <c r="B58" s="1" t="s">
        <v>38</v>
      </c>
      <c r="C58" s="1">
        <v>59.274999999999999</v>
      </c>
      <c r="D58" s="1">
        <v>21.744</v>
      </c>
      <c r="E58" s="1">
        <v>17.498000000000001</v>
      </c>
      <c r="F58" s="1">
        <v>48.701999999999998</v>
      </c>
      <c r="G58" s="7">
        <v>1</v>
      </c>
      <c r="H58" s="1">
        <v>55</v>
      </c>
      <c r="I58" s="1" t="s">
        <v>44</v>
      </c>
      <c r="J58" s="1"/>
      <c r="K58" s="1">
        <v>31.4</v>
      </c>
      <c r="L58" s="1">
        <f t="shared" si="19"/>
        <v>-13.901999999999997</v>
      </c>
      <c r="M58" s="1">
        <f t="shared" si="5"/>
        <v>17.498000000000001</v>
      </c>
      <c r="N58" s="1"/>
      <c r="O58" s="1"/>
      <c r="P58" s="1"/>
      <c r="Q58" s="1"/>
      <c r="R58" s="1">
        <v>0</v>
      </c>
      <c r="S58" s="1"/>
      <c r="T58" s="20"/>
      <c r="U58" s="20"/>
      <c r="V58" s="1">
        <f t="shared" si="6"/>
        <v>3.4996</v>
      </c>
      <c r="W58" s="5"/>
      <c r="X58" s="5">
        <f t="shared" si="11"/>
        <v>0</v>
      </c>
      <c r="Y58" s="1">
        <f t="shared" si="8"/>
        <v>13.916447594010743</v>
      </c>
      <c r="Z58" s="1">
        <f t="shared" si="9"/>
        <v>13.916447594010743</v>
      </c>
      <c r="AA58" s="1">
        <v>4.0301999999999998</v>
      </c>
      <c r="AB58" s="1">
        <v>4.2412000000000001</v>
      </c>
      <c r="AC58" s="1">
        <v>5.3171999999999997</v>
      </c>
      <c r="AD58" s="1">
        <v>3.4356</v>
      </c>
      <c r="AE58" s="1">
        <v>4.8685999999999998</v>
      </c>
      <c r="AF58" s="1">
        <v>7.0706000000000007</v>
      </c>
      <c r="AG58" s="1">
        <v>8.1921999999999997</v>
      </c>
      <c r="AH58" s="1">
        <v>4.92</v>
      </c>
      <c r="AI58" s="1">
        <v>4.6549999999999994</v>
      </c>
      <c r="AJ58" s="1">
        <v>5.2093999999999996</v>
      </c>
      <c r="AK58" s="1"/>
      <c r="AL58" s="1">
        <f t="shared" si="10"/>
        <v>0</v>
      </c>
      <c r="AM58" s="1"/>
      <c r="AN58" s="1"/>
      <c r="AO58" s="1"/>
      <c r="AP58" s="1"/>
      <c r="AQ58" s="1"/>
      <c r="AR58" s="1"/>
      <c r="AS58" s="1"/>
    </row>
    <row r="59" spans="1:45" x14ac:dyDescent="0.25">
      <c r="A59" s="1" t="s">
        <v>103</v>
      </c>
      <c r="B59" s="1" t="s">
        <v>43</v>
      </c>
      <c r="C59" s="1">
        <v>114</v>
      </c>
      <c r="D59" s="1">
        <v>210</v>
      </c>
      <c r="E59" s="1">
        <v>94</v>
      </c>
      <c r="F59" s="1">
        <v>221</v>
      </c>
      <c r="G59" s="7">
        <v>0.1</v>
      </c>
      <c r="H59" s="1">
        <v>731</v>
      </c>
      <c r="I59" s="1" t="s">
        <v>44</v>
      </c>
      <c r="J59" s="1"/>
      <c r="K59" s="1">
        <v>122</v>
      </c>
      <c r="L59" s="1">
        <f t="shared" si="19"/>
        <v>-28</v>
      </c>
      <c r="M59" s="1">
        <f t="shared" si="5"/>
        <v>94</v>
      </c>
      <c r="N59" s="1"/>
      <c r="O59" s="1"/>
      <c r="P59" s="1"/>
      <c r="Q59" s="1">
        <f>-1*VLOOKUP(A59,[1]TDSheet!$A:$B,2,0)</f>
        <v>-6</v>
      </c>
      <c r="R59" s="1">
        <v>0</v>
      </c>
      <c r="S59" s="1"/>
      <c r="T59" s="20"/>
      <c r="U59" s="20"/>
      <c r="V59" s="1">
        <f t="shared" si="6"/>
        <v>17.600000000000001</v>
      </c>
      <c r="W59" s="5"/>
      <c r="X59" s="5">
        <f t="shared" si="11"/>
        <v>0</v>
      </c>
      <c r="Y59" s="1">
        <f t="shared" si="8"/>
        <v>12.556818181818182</v>
      </c>
      <c r="Z59" s="1">
        <f t="shared" si="9"/>
        <v>12.556818181818182</v>
      </c>
      <c r="AA59" s="1">
        <v>17.600000000000001</v>
      </c>
      <c r="AB59" s="1">
        <v>20.8</v>
      </c>
      <c r="AC59" s="1">
        <v>23.6</v>
      </c>
      <c r="AD59" s="1">
        <v>27.2</v>
      </c>
      <c r="AE59" s="1">
        <v>30.4</v>
      </c>
      <c r="AF59" s="1">
        <v>17.600000000000001</v>
      </c>
      <c r="AG59" s="1">
        <v>19.8</v>
      </c>
      <c r="AH59" s="1">
        <v>31.4</v>
      </c>
      <c r="AI59" s="1">
        <v>23.4</v>
      </c>
      <c r="AJ59" s="1">
        <v>19.600000000000001</v>
      </c>
      <c r="AK59" s="1"/>
      <c r="AL59" s="1">
        <f t="shared" si="10"/>
        <v>0</v>
      </c>
      <c r="AM59" s="1"/>
      <c r="AN59" s="1"/>
      <c r="AO59" s="1"/>
      <c r="AP59" s="1"/>
      <c r="AQ59" s="1"/>
      <c r="AR59" s="1"/>
      <c r="AS59" s="1"/>
    </row>
    <row r="60" spans="1:45" x14ac:dyDescent="0.25">
      <c r="A60" s="1" t="s">
        <v>104</v>
      </c>
      <c r="B60" s="1" t="s">
        <v>43</v>
      </c>
      <c r="C60" s="1"/>
      <c r="D60" s="1">
        <v>30</v>
      </c>
      <c r="E60" s="1">
        <v>14</v>
      </c>
      <c r="F60" s="1">
        <v>16</v>
      </c>
      <c r="G60" s="7">
        <v>0.4</v>
      </c>
      <c r="H60" s="1">
        <v>50</v>
      </c>
      <c r="I60" s="1" t="s">
        <v>44</v>
      </c>
      <c r="J60" s="1"/>
      <c r="K60" s="1">
        <v>19</v>
      </c>
      <c r="L60" s="1">
        <f t="shared" si="19"/>
        <v>-5</v>
      </c>
      <c r="M60" s="1">
        <f t="shared" si="5"/>
        <v>14</v>
      </c>
      <c r="N60" s="1"/>
      <c r="O60" s="1"/>
      <c r="P60" s="1"/>
      <c r="Q60" s="1"/>
      <c r="R60" s="1">
        <v>0</v>
      </c>
      <c r="S60" s="1"/>
      <c r="T60" s="20"/>
      <c r="U60" s="20"/>
      <c r="V60" s="1">
        <f t="shared" si="6"/>
        <v>2.8</v>
      </c>
      <c r="W60" s="5">
        <f t="shared" si="22"/>
        <v>17.599999999999994</v>
      </c>
      <c r="X60" s="5">
        <f t="shared" si="11"/>
        <v>17.599999999999994</v>
      </c>
      <c r="Y60" s="1">
        <f t="shared" si="8"/>
        <v>11.999999999999998</v>
      </c>
      <c r="Z60" s="1">
        <f t="shared" si="9"/>
        <v>5.7142857142857144</v>
      </c>
      <c r="AA60" s="1">
        <v>1.2</v>
      </c>
      <c r="AB60" s="1">
        <v>0.2</v>
      </c>
      <c r="AC60" s="1">
        <v>1.6</v>
      </c>
      <c r="AD60" s="1">
        <v>2.8</v>
      </c>
      <c r="AE60" s="1">
        <v>1.2</v>
      </c>
      <c r="AF60" s="1">
        <v>0</v>
      </c>
      <c r="AG60" s="1">
        <v>0.4</v>
      </c>
      <c r="AH60" s="1">
        <v>0.4</v>
      </c>
      <c r="AI60" s="1">
        <v>0</v>
      </c>
      <c r="AJ60" s="1">
        <v>0</v>
      </c>
      <c r="AK60" s="1"/>
      <c r="AL60" s="1">
        <f t="shared" si="10"/>
        <v>7</v>
      </c>
      <c r="AM60" s="1"/>
      <c r="AN60" s="1"/>
      <c r="AO60" s="1"/>
      <c r="AP60" s="1"/>
      <c r="AQ60" s="1"/>
      <c r="AR60" s="1"/>
      <c r="AS60" s="1"/>
    </row>
    <row r="61" spans="1:45" x14ac:dyDescent="0.25">
      <c r="A61" s="1" t="s">
        <v>105</v>
      </c>
      <c r="B61" s="1" t="s">
        <v>38</v>
      </c>
      <c r="C61" s="1">
        <v>54.661999999999999</v>
      </c>
      <c r="D61" s="1">
        <v>115.361</v>
      </c>
      <c r="E61" s="1">
        <v>44.084000000000003</v>
      </c>
      <c r="F61" s="1">
        <v>101.22499999999999</v>
      </c>
      <c r="G61" s="7">
        <v>1</v>
      </c>
      <c r="H61" s="1">
        <v>40</v>
      </c>
      <c r="I61" s="1" t="s">
        <v>44</v>
      </c>
      <c r="J61" s="1"/>
      <c r="K61" s="1">
        <v>98</v>
      </c>
      <c r="L61" s="1">
        <f t="shared" si="19"/>
        <v>-53.915999999999997</v>
      </c>
      <c r="M61" s="1">
        <f t="shared" si="5"/>
        <v>44.084000000000003</v>
      </c>
      <c r="N61" s="1"/>
      <c r="O61" s="1"/>
      <c r="P61" s="1"/>
      <c r="Q61" s="1"/>
      <c r="R61" s="1">
        <v>21.113960000000009</v>
      </c>
      <c r="S61" s="1"/>
      <c r="T61" s="20"/>
      <c r="U61" s="20"/>
      <c r="V61" s="1">
        <f t="shared" si="6"/>
        <v>8.8168000000000006</v>
      </c>
      <c r="W61" s="5"/>
      <c r="X61" s="5">
        <f t="shared" si="11"/>
        <v>0</v>
      </c>
      <c r="Y61" s="1">
        <f t="shared" si="8"/>
        <v>13.875664640232284</v>
      </c>
      <c r="Z61" s="1">
        <f t="shared" si="9"/>
        <v>13.875664640232284</v>
      </c>
      <c r="AA61" s="1">
        <v>9.9623999999999988</v>
      </c>
      <c r="AB61" s="1">
        <v>9.6790000000000003</v>
      </c>
      <c r="AC61" s="1">
        <v>10.668799999999999</v>
      </c>
      <c r="AD61" s="1">
        <v>14.4322</v>
      </c>
      <c r="AE61" s="1">
        <v>12.6326</v>
      </c>
      <c r="AF61" s="1">
        <v>14.220599999999999</v>
      </c>
      <c r="AG61" s="1">
        <v>11.2966</v>
      </c>
      <c r="AH61" s="1">
        <v>0.4582</v>
      </c>
      <c r="AI61" s="1">
        <v>4.8795999999999999</v>
      </c>
      <c r="AJ61" s="1">
        <v>24.591000000000001</v>
      </c>
      <c r="AK61" s="1"/>
      <c r="AL61" s="1">
        <f t="shared" si="10"/>
        <v>0</v>
      </c>
      <c r="AM61" s="1"/>
      <c r="AN61" s="1"/>
      <c r="AO61" s="1"/>
      <c r="AP61" s="1"/>
      <c r="AQ61" s="1"/>
      <c r="AR61" s="1"/>
      <c r="AS61" s="1"/>
    </row>
    <row r="62" spans="1:45" x14ac:dyDescent="0.25">
      <c r="A62" s="1" t="s">
        <v>106</v>
      </c>
      <c r="B62" s="1" t="s">
        <v>38</v>
      </c>
      <c r="C62" s="1">
        <v>52.332999999999998</v>
      </c>
      <c r="D62" s="1">
        <v>2.6829999999999998</v>
      </c>
      <c r="E62" s="1">
        <v>40.216999999999999</v>
      </c>
      <c r="F62" s="1">
        <v>12.116</v>
      </c>
      <c r="G62" s="7">
        <v>1</v>
      </c>
      <c r="H62" s="1">
        <v>40</v>
      </c>
      <c r="I62" s="1" t="s">
        <v>44</v>
      </c>
      <c r="J62" s="1"/>
      <c r="K62" s="1">
        <v>43.4</v>
      </c>
      <c r="L62" s="1">
        <f t="shared" si="19"/>
        <v>-3.1829999999999998</v>
      </c>
      <c r="M62" s="1">
        <f t="shared" si="5"/>
        <v>40.216999999999999</v>
      </c>
      <c r="N62" s="1"/>
      <c r="O62" s="1"/>
      <c r="P62" s="1"/>
      <c r="Q62" s="1"/>
      <c r="R62" s="1">
        <v>0</v>
      </c>
      <c r="S62" s="1"/>
      <c r="T62" s="20"/>
      <c r="U62" s="20"/>
      <c r="V62" s="1">
        <f t="shared" si="6"/>
        <v>8.0434000000000001</v>
      </c>
      <c r="W62" s="5">
        <f>7*V62-R62-P62-O62-F62</f>
        <v>44.187800000000003</v>
      </c>
      <c r="X62" s="5">
        <f t="shared" si="11"/>
        <v>44.187800000000003</v>
      </c>
      <c r="Y62" s="1">
        <f t="shared" si="8"/>
        <v>7</v>
      </c>
      <c r="Z62" s="1">
        <f t="shared" si="9"/>
        <v>1.5063281696794888</v>
      </c>
      <c r="AA62" s="1">
        <v>1.6077999999999999</v>
      </c>
      <c r="AB62" s="1">
        <v>1.6077999999999999</v>
      </c>
      <c r="AC62" s="1">
        <v>1.6292</v>
      </c>
      <c r="AD62" s="1">
        <v>1.1017999999999999</v>
      </c>
      <c r="AE62" s="1">
        <v>0.30680000000000002</v>
      </c>
      <c r="AF62" s="1">
        <v>0.37080000000000002</v>
      </c>
      <c r="AG62" s="1">
        <v>0.44779999999999998</v>
      </c>
      <c r="AH62" s="1">
        <v>3.7235999999999998</v>
      </c>
      <c r="AI62" s="1">
        <v>8.1310000000000002</v>
      </c>
      <c r="AJ62" s="1">
        <v>7.1864000000000008</v>
      </c>
      <c r="AK62" s="1"/>
      <c r="AL62" s="1">
        <f t="shared" si="10"/>
        <v>44</v>
      </c>
      <c r="AM62" s="1"/>
      <c r="AN62" s="1"/>
      <c r="AO62" s="1"/>
      <c r="AP62" s="1"/>
      <c r="AQ62" s="1"/>
      <c r="AR62" s="1"/>
      <c r="AS62" s="1"/>
    </row>
    <row r="63" spans="1:45" x14ac:dyDescent="0.25">
      <c r="A63" s="1" t="s">
        <v>107</v>
      </c>
      <c r="B63" s="1" t="s">
        <v>43</v>
      </c>
      <c r="C63" s="1">
        <v>266</v>
      </c>
      <c r="D63" s="1">
        <v>564</v>
      </c>
      <c r="E63" s="1">
        <v>566</v>
      </c>
      <c r="F63" s="1">
        <v>91</v>
      </c>
      <c r="G63" s="7">
        <v>0.4</v>
      </c>
      <c r="H63" s="1">
        <v>40</v>
      </c>
      <c r="I63" s="1" t="s">
        <v>44</v>
      </c>
      <c r="J63" s="1"/>
      <c r="K63" s="1">
        <v>960</v>
      </c>
      <c r="L63" s="1">
        <f t="shared" si="19"/>
        <v>-394</v>
      </c>
      <c r="M63" s="1">
        <f t="shared" si="5"/>
        <v>566</v>
      </c>
      <c r="N63" s="1"/>
      <c r="O63" s="1"/>
      <c r="P63" s="1"/>
      <c r="Q63" s="1"/>
      <c r="R63" s="1">
        <v>269.48000000000042</v>
      </c>
      <c r="S63" s="1"/>
      <c r="T63" s="20"/>
      <c r="U63" s="20"/>
      <c r="V63" s="1">
        <f t="shared" si="6"/>
        <v>113.2</v>
      </c>
      <c r="W63" s="5">
        <f>10*V63-R63-P63-O63-F63</f>
        <v>771.51999999999953</v>
      </c>
      <c r="X63" s="5">
        <f t="shared" ref="X63:X64" si="23">IF(W63+$X$1*V63&lt;0,0,W63+$X$1*V63)</f>
        <v>602.85199999999952</v>
      </c>
      <c r="Y63" s="1">
        <f t="shared" si="8"/>
        <v>8.509999999999998</v>
      </c>
      <c r="Z63" s="1">
        <f t="shared" si="9"/>
        <v>3.1844522968197917</v>
      </c>
      <c r="AA63" s="1">
        <v>99</v>
      </c>
      <c r="AB63" s="1">
        <v>107.8</v>
      </c>
      <c r="AC63" s="1">
        <v>129.19999999999999</v>
      </c>
      <c r="AD63" s="1">
        <v>139.4</v>
      </c>
      <c r="AE63" s="1">
        <v>108.2</v>
      </c>
      <c r="AF63" s="1">
        <v>105.6</v>
      </c>
      <c r="AG63" s="1">
        <v>124.6</v>
      </c>
      <c r="AH63" s="1">
        <v>83.8</v>
      </c>
      <c r="AI63" s="1">
        <v>22.4</v>
      </c>
      <c r="AJ63" s="1">
        <v>59.2</v>
      </c>
      <c r="AK63" s="1"/>
      <c r="AL63" s="1">
        <f t="shared" si="10"/>
        <v>241</v>
      </c>
      <c r="AM63" s="1"/>
      <c r="AN63" s="1"/>
      <c r="AO63" s="1"/>
      <c r="AP63" s="1"/>
      <c r="AQ63" s="1"/>
      <c r="AR63" s="1"/>
      <c r="AS63" s="1"/>
    </row>
    <row r="64" spans="1:45" x14ac:dyDescent="0.25">
      <c r="A64" s="1" t="s">
        <v>108</v>
      </c>
      <c r="B64" s="1" t="s">
        <v>43</v>
      </c>
      <c r="C64" s="1">
        <v>389</v>
      </c>
      <c r="D64" s="1">
        <v>280</v>
      </c>
      <c r="E64" s="1">
        <v>402</v>
      </c>
      <c r="F64" s="1">
        <v>205</v>
      </c>
      <c r="G64" s="7">
        <v>0.4</v>
      </c>
      <c r="H64" s="1">
        <v>40</v>
      </c>
      <c r="I64" s="1" t="s">
        <v>44</v>
      </c>
      <c r="J64" s="1"/>
      <c r="K64" s="1">
        <v>583</v>
      </c>
      <c r="L64" s="1">
        <f t="shared" si="19"/>
        <v>-181</v>
      </c>
      <c r="M64" s="1">
        <f t="shared" si="5"/>
        <v>402</v>
      </c>
      <c r="N64" s="1"/>
      <c r="O64" s="1"/>
      <c r="P64" s="1"/>
      <c r="Q64" s="1"/>
      <c r="R64" s="1">
        <v>433.66716328480021</v>
      </c>
      <c r="S64" s="1">
        <f>-172.2/G64</f>
        <v>-430.49999999999994</v>
      </c>
      <c r="T64" s="20"/>
      <c r="U64" s="20"/>
      <c r="V64" s="1">
        <f t="shared" si="6"/>
        <v>80.400000000000006</v>
      </c>
      <c r="W64" s="5">
        <f t="shared" si="22"/>
        <v>326.1328367151998</v>
      </c>
      <c r="X64" s="5">
        <f t="shared" si="23"/>
        <v>206.33683671519981</v>
      </c>
      <c r="Y64" s="1">
        <f t="shared" si="8"/>
        <v>5.1555223880597003</v>
      </c>
      <c r="Z64" s="1">
        <f t="shared" si="9"/>
        <v>2.5891438219502514</v>
      </c>
      <c r="AA64" s="1">
        <v>83.4</v>
      </c>
      <c r="AB64" s="1">
        <v>95.6</v>
      </c>
      <c r="AC64" s="1">
        <v>103.6</v>
      </c>
      <c r="AD64" s="1">
        <v>96.2</v>
      </c>
      <c r="AE64" s="1">
        <v>93</v>
      </c>
      <c r="AF64" s="1">
        <v>100.6</v>
      </c>
      <c r="AG64" s="1">
        <v>103.2</v>
      </c>
      <c r="AH64" s="1">
        <v>92.8</v>
      </c>
      <c r="AI64" s="1">
        <v>85.8</v>
      </c>
      <c r="AJ64" s="1">
        <v>85.6</v>
      </c>
      <c r="AK64" s="1"/>
      <c r="AL64" s="1">
        <f t="shared" si="10"/>
        <v>83</v>
      </c>
      <c r="AM64" s="1"/>
      <c r="AN64" s="1"/>
      <c r="AO64" s="1"/>
      <c r="AP64" s="1"/>
      <c r="AQ64" s="1"/>
      <c r="AR64" s="1"/>
      <c r="AS64" s="1"/>
    </row>
    <row r="65" spans="1:45" x14ac:dyDescent="0.25">
      <c r="A65" s="1" t="s">
        <v>109</v>
      </c>
      <c r="B65" s="1" t="s">
        <v>38</v>
      </c>
      <c r="C65" s="1">
        <v>145.88800000000001</v>
      </c>
      <c r="D65" s="1">
        <v>1.8080000000000001</v>
      </c>
      <c r="E65" s="1">
        <v>39.359000000000002</v>
      </c>
      <c r="F65" s="1">
        <v>106.529</v>
      </c>
      <c r="G65" s="7">
        <v>1</v>
      </c>
      <c r="H65" s="1">
        <v>40</v>
      </c>
      <c r="I65" s="1" t="s">
        <v>44</v>
      </c>
      <c r="J65" s="1"/>
      <c r="K65" s="1">
        <v>45.808999999999997</v>
      </c>
      <c r="L65" s="1">
        <f t="shared" si="19"/>
        <v>-6.4499999999999957</v>
      </c>
      <c r="M65" s="1">
        <f t="shared" si="5"/>
        <v>39.359000000000002</v>
      </c>
      <c r="N65" s="1"/>
      <c r="O65" s="1"/>
      <c r="P65" s="1"/>
      <c r="Q65" s="1"/>
      <c r="R65" s="1">
        <v>0</v>
      </c>
      <c r="S65" s="1"/>
      <c r="T65" s="20"/>
      <c r="U65" s="20"/>
      <c r="V65" s="1">
        <f t="shared" si="6"/>
        <v>7.8718000000000004</v>
      </c>
      <c r="W65" s="5"/>
      <c r="X65" s="5">
        <f t="shared" si="11"/>
        <v>0</v>
      </c>
      <c r="Y65" s="1">
        <f t="shared" si="8"/>
        <v>13.532991183719098</v>
      </c>
      <c r="Z65" s="1">
        <f t="shared" si="9"/>
        <v>13.532991183719098</v>
      </c>
      <c r="AA65" s="1">
        <v>7.6943999999999999</v>
      </c>
      <c r="AB65" s="1">
        <v>8.5982000000000003</v>
      </c>
      <c r="AC65" s="1">
        <v>10.3788</v>
      </c>
      <c r="AD65" s="1">
        <v>10.9048</v>
      </c>
      <c r="AE65" s="1">
        <v>10.0128</v>
      </c>
      <c r="AF65" s="1">
        <v>18.179400000000001</v>
      </c>
      <c r="AG65" s="1">
        <v>18.554600000000001</v>
      </c>
      <c r="AH65" s="1">
        <v>5.6436000000000002</v>
      </c>
      <c r="AI65" s="1">
        <v>0.72619999999999996</v>
      </c>
      <c r="AJ65" s="1">
        <v>-0.1802</v>
      </c>
      <c r="AK65" s="1"/>
      <c r="AL65" s="1">
        <f t="shared" si="10"/>
        <v>0</v>
      </c>
      <c r="AM65" s="1"/>
      <c r="AN65" s="1"/>
      <c r="AO65" s="1"/>
      <c r="AP65" s="1"/>
      <c r="AQ65" s="1"/>
      <c r="AR65" s="1"/>
      <c r="AS65" s="1"/>
    </row>
    <row r="66" spans="1:45" x14ac:dyDescent="0.25">
      <c r="A66" s="1" t="s">
        <v>110</v>
      </c>
      <c r="B66" s="1" t="s">
        <v>38</v>
      </c>
      <c r="C66" s="1">
        <v>73.558000000000007</v>
      </c>
      <c r="D66" s="1">
        <v>105.312</v>
      </c>
      <c r="E66" s="1">
        <v>72.19</v>
      </c>
      <c r="F66" s="1">
        <v>99.438000000000002</v>
      </c>
      <c r="G66" s="7">
        <v>1</v>
      </c>
      <c r="H66" s="1">
        <v>40</v>
      </c>
      <c r="I66" s="1" t="s">
        <v>44</v>
      </c>
      <c r="J66" s="1"/>
      <c r="K66" s="1">
        <v>93.201999999999998</v>
      </c>
      <c r="L66" s="1">
        <f t="shared" si="19"/>
        <v>-21.012</v>
      </c>
      <c r="M66" s="1">
        <f t="shared" si="5"/>
        <v>72.19</v>
      </c>
      <c r="N66" s="1"/>
      <c r="O66" s="1"/>
      <c r="P66" s="1"/>
      <c r="Q66" s="1"/>
      <c r="R66" s="1">
        <v>69.261360000000025</v>
      </c>
      <c r="S66" s="1"/>
      <c r="T66" s="20"/>
      <c r="U66" s="20"/>
      <c r="V66" s="1">
        <f t="shared" si="6"/>
        <v>14.437999999999999</v>
      </c>
      <c r="W66" s="5">
        <f t="shared" si="22"/>
        <v>4.5566399999999447</v>
      </c>
      <c r="X66" s="5">
        <f t="shared" si="11"/>
        <v>4.5566399999999447</v>
      </c>
      <c r="Y66" s="1">
        <f t="shared" si="8"/>
        <v>11.999999999999998</v>
      </c>
      <c r="Z66" s="1">
        <f t="shared" si="9"/>
        <v>11.684399501315973</v>
      </c>
      <c r="AA66" s="1">
        <v>14.6104</v>
      </c>
      <c r="AB66" s="1">
        <v>11.178800000000001</v>
      </c>
      <c r="AC66" s="1">
        <v>12.990399999999999</v>
      </c>
      <c r="AD66" s="1">
        <v>13.3424</v>
      </c>
      <c r="AE66" s="1">
        <v>17.515799999999999</v>
      </c>
      <c r="AF66" s="1">
        <v>14.6234</v>
      </c>
      <c r="AG66" s="1">
        <v>4.8811999999999998</v>
      </c>
      <c r="AH66" s="1">
        <v>5.7866</v>
      </c>
      <c r="AI66" s="1">
        <v>13.375400000000001</v>
      </c>
      <c r="AJ66" s="1">
        <v>12.828799999999999</v>
      </c>
      <c r="AK66" s="1"/>
      <c r="AL66" s="1">
        <f t="shared" si="10"/>
        <v>5</v>
      </c>
      <c r="AM66" s="1"/>
      <c r="AN66" s="1"/>
      <c r="AO66" s="1"/>
      <c r="AP66" s="1"/>
      <c r="AQ66" s="1"/>
      <c r="AR66" s="1"/>
      <c r="AS66" s="1"/>
    </row>
    <row r="67" spans="1:45" x14ac:dyDescent="0.25">
      <c r="A67" s="1" t="s">
        <v>111</v>
      </c>
      <c r="B67" s="1" t="s">
        <v>38</v>
      </c>
      <c r="C67" s="1">
        <v>860.846</v>
      </c>
      <c r="D67" s="1">
        <v>1554.568</v>
      </c>
      <c r="E67" s="1">
        <v>751.78</v>
      </c>
      <c r="F67" s="1">
        <v>1469.575</v>
      </c>
      <c r="G67" s="7">
        <v>1</v>
      </c>
      <c r="H67" s="1">
        <v>40</v>
      </c>
      <c r="I67" s="1" t="s">
        <v>39</v>
      </c>
      <c r="J67" s="1"/>
      <c r="K67" s="1">
        <v>939.15300000000002</v>
      </c>
      <c r="L67" s="1">
        <f t="shared" si="19"/>
        <v>-187.37300000000005</v>
      </c>
      <c r="M67" s="1">
        <f t="shared" si="5"/>
        <v>751.78</v>
      </c>
      <c r="N67" s="1"/>
      <c r="O67" s="1"/>
      <c r="P67" s="1"/>
      <c r="Q67" s="1"/>
      <c r="R67" s="1">
        <v>285.15078000000011</v>
      </c>
      <c r="S67" s="1"/>
      <c r="T67" s="20"/>
      <c r="U67" s="20"/>
      <c r="V67" s="1">
        <f t="shared" si="6"/>
        <v>150.35599999999999</v>
      </c>
      <c r="W67" s="5">
        <f t="shared" si="22"/>
        <v>49.546219999999721</v>
      </c>
      <c r="X67" s="5">
        <f t="shared" si="11"/>
        <v>49.546219999999721</v>
      </c>
      <c r="Y67" s="1">
        <f t="shared" si="8"/>
        <v>12</v>
      </c>
      <c r="Z67" s="1">
        <f t="shared" si="9"/>
        <v>11.670473941844691</v>
      </c>
      <c r="AA67" s="1">
        <v>156.10319999999999</v>
      </c>
      <c r="AB67" s="1">
        <v>121.55540000000001</v>
      </c>
      <c r="AC67" s="1">
        <v>176.9426</v>
      </c>
      <c r="AD67" s="1">
        <v>160.39500000000001</v>
      </c>
      <c r="AE67" s="1">
        <v>105.7924</v>
      </c>
      <c r="AF67" s="1">
        <v>94.529399999999995</v>
      </c>
      <c r="AG67" s="1">
        <v>94.002600000000001</v>
      </c>
      <c r="AH67" s="1">
        <v>120.4922</v>
      </c>
      <c r="AI67" s="1">
        <v>204.0352</v>
      </c>
      <c r="AJ67" s="1">
        <v>200.19560000000001</v>
      </c>
      <c r="AK67" s="1"/>
      <c r="AL67" s="1">
        <f t="shared" si="10"/>
        <v>50</v>
      </c>
      <c r="AM67" s="1"/>
      <c r="AN67" s="1"/>
      <c r="AO67" s="1"/>
      <c r="AP67" s="1"/>
      <c r="AQ67" s="1"/>
      <c r="AR67" s="1"/>
      <c r="AS67" s="1"/>
    </row>
    <row r="68" spans="1:45" x14ac:dyDescent="0.25">
      <c r="A68" s="1" t="s">
        <v>112</v>
      </c>
      <c r="B68" s="1" t="s">
        <v>38</v>
      </c>
      <c r="C68" s="1">
        <v>10.864000000000001</v>
      </c>
      <c r="D68" s="1">
        <v>147.595</v>
      </c>
      <c r="E68" s="1">
        <v>35.249000000000002</v>
      </c>
      <c r="F68" s="1">
        <v>117.759</v>
      </c>
      <c r="G68" s="7">
        <v>1</v>
      </c>
      <c r="H68" s="1">
        <v>40</v>
      </c>
      <c r="I68" s="1" t="s">
        <v>44</v>
      </c>
      <c r="J68" s="1"/>
      <c r="K68" s="1">
        <v>75.099999999999994</v>
      </c>
      <c r="L68" s="1">
        <f t="shared" si="19"/>
        <v>-39.850999999999992</v>
      </c>
      <c r="M68" s="1">
        <f t="shared" si="5"/>
        <v>35.249000000000002</v>
      </c>
      <c r="N68" s="1"/>
      <c r="O68" s="1"/>
      <c r="P68" s="1"/>
      <c r="Q68" s="1"/>
      <c r="R68" s="1">
        <v>0</v>
      </c>
      <c r="S68" s="1"/>
      <c r="T68" s="20"/>
      <c r="U68" s="20"/>
      <c r="V68" s="1">
        <f t="shared" si="6"/>
        <v>7.0498000000000003</v>
      </c>
      <c r="W68" s="5"/>
      <c r="X68" s="5">
        <f t="shared" si="11"/>
        <v>0</v>
      </c>
      <c r="Y68" s="1">
        <f t="shared" si="8"/>
        <v>16.703878124202106</v>
      </c>
      <c r="Z68" s="1">
        <f t="shared" si="9"/>
        <v>16.703878124202106</v>
      </c>
      <c r="AA68" s="1">
        <v>8.1069999999999993</v>
      </c>
      <c r="AB68" s="1">
        <v>10.646599999999999</v>
      </c>
      <c r="AC68" s="1">
        <v>11.2418</v>
      </c>
      <c r="AD68" s="1">
        <v>12.716799999999999</v>
      </c>
      <c r="AE68" s="1">
        <v>8.7721999999999998</v>
      </c>
      <c r="AF68" s="1">
        <v>8.0261999999999993</v>
      </c>
      <c r="AG68" s="1">
        <v>9.0599999999999987</v>
      </c>
      <c r="AH68" s="1">
        <v>10.198</v>
      </c>
      <c r="AI68" s="1">
        <v>9.1614000000000004</v>
      </c>
      <c r="AJ68" s="1">
        <v>9.3217999999999996</v>
      </c>
      <c r="AK68" s="1"/>
      <c r="AL68" s="1">
        <f t="shared" si="10"/>
        <v>0</v>
      </c>
      <c r="AM68" s="1"/>
      <c r="AN68" s="1"/>
      <c r="AO68" s="1"/>
      <c r="AP68" s="1"/>
      <c r="AQ68" s="1"/>
      <c r="AR68" s="1"/>
      <c r="AS68" s="1"/>
    </row>
    <row r="69" spans="1:45" x14ac:dyDescent="0.25">
      <c r="A69" s="11" t="s">
        <v>113</v>
      </c>
      <c r="B69" s="11" t="s">
        <v>43</v>
      </c>
      <c r="C69" s="11"/>
      <c r="D69" s="11"/>
      <c r="E69" s="11"/>
      <c r="F69" s="11"/>
      <c r="G69" s="12">
        <v>0</v>
      </c>
      <c r="H69" s="11"/>
      <c r="I69" s="11" t="s">
        <v>44</v>
      </c>
      <c r="J69" s="11"/>
      <c r="K69" s="11"/>
      <c r="L69" s="11">
        <f t="shared" si="19"/>
        <v>0</v>
      </c>
      <c r="M69" s="11">
        <f t="shared" si="5"/>
        <v>0</v>
      </c>
      <c r="N69" s="11"/>
      <c r="O69" s="11"/>
      <c r="P69" s="11"/>
      <c r="Q69" s="11"/>
      <c r="R69" s="11">
        <v>0</v>
      </c>
      <c r="S69" s="11"/>
      <c r="T69" s="22"/>
      <c r="U69" s="22"/>
      <c r="V69" s="11">
        <f t="shared" si="6"/>
        <v>0</v>
      </c>
      <c r="W69" s="13"/>
      <c r="X69" s="5">
        <f t="shared" si="11"/>
        <v>0</v>
      </c>
      <c r="Y69" s="1" t="e">
        <f t="shared" si="8"/>
        <v>#DIV/0!</v>
      </c>
      <c r="Z69" s="1" t="e">
        <f t="shared" si="9"/>
        <v>#DIV/0!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>
        <v>0</v>
      </c>
      <c r="AK69" s="11" t="s">
        <v>59</v>
      </c>
      <c r="AL69" s="1">
        <f t="shared" si="10"/>
        <v>0</v>
      </c>
      <c r="AM69" s="1"/>
      <c r="AN69" s="1"/>
      <c r="AO69" s="1"/>
      <c r="AP69" s="1"/>
      <c r="AQ69" s="1"/>
      <c r="AR69" s="1"/>
      <c r="AS69" s="1"/>
    </row>
    <row r="70" spans="1:45" x14ac:dyDescent="0.25">
      <c r="A70" s="1" t="s">
        <v>114</v>
      </c>
      <c r="B70" s="1" t="s">
        <v>38</v>
      </c>
      <c r="C70" s="1">
        <v>360.40300000000002</v>
      </c>
      <c r="D70" s="1">
        <v>1077.874</v>
      </c>
      <c r="E70" s="1">
        <v>320.81200000000001</v>
      </c>
      <c r="F70" s="1">
        <v>1026.7670000000001</v>
      </c>
      <c r="G70" s="7">
        <v>1</v>
      </c>
      <c r="H70" s="1">
        <v>30</v>
      </c>
      <c r="I70" s="1" t="s">
        <v>44</v>
      </c>
      <c r="J70" s="1"/>
      <c r="K70" s="1">
        <v>556.98199999999997</v>
      </c>
      <c r="L70" s="1">
        <f t="shared" ref="L70:L101" si="24">E70-K70</f>
        <v>-236.16999999999996</v>
      </c>
      <c r="M70" s="1">
        <f t="shared" si="5"/>
        <v>320.81200000000001</v>
      </c>
      <c r="N70" s="1"/>
      <c r="O70" s="1"/>
      <c r="P70" s="1"/>
      <c r="Q70" s="1">
        <f>-1*VLOOKUP(A70,[1]TDSheet!$A:$B,2,0)</f>
        <v>-76.02</v>
      </c>
      <c r="R70" s="1">
        <v>0</v>
      </c>
      <c r="S70" s="1"/>
      <c r="T70" s="20"/>
      <c r="U70" s="20"/>
      <c r="V70" s="1">
        <f t="shared" si="6"/>
        <v>48.958400000000005</v>
      </c>
      <c r="W70" s="5"/>
      <c r="X70" s="5">
        <f t="shared" si="11"/>
        <v>0</v>
      </c>
      <c r="Y70" s="1">
        <f t="shared" si="8"/>
        <v>20.972233569724501</v>
      </c>
      <c r="Z70" s="1">
        <f t="shared" si="9"/>
        <v>20.972233569724501</v>
      </c>
      <c r="AA70" s="1">
        <v>62.925199999999997</v>
      </c>
      <c r="AB70" s="1">
        <v>91.303799999999995</v>
      </c>
      <c r="AC70" s="1">
        <v>116.23739999999999</v>
      </c>
      <c r="AD70" s="1">
        <v>91.614599999999996</v>
      </c>
      <c r="AE70" s="1">
        <v>122.62739999999999</v>
      </c>
      <c r="AF70" s="1">
        <v>181.6866</v>
      </c>
      <c r="AG70" s="1">
        <v>114.6506</v>
      </c>
      <c r="AH70" s="1">
        <v>69.47999999999999</v>
      </c>
      <c r="AI70" s="1">
        <v>56.1828</v>
      </c>
      <c r="AJ70" s="1">
        <v>55.811199999999999</v>
      </c>
      <c r="AK70" s="16" t="s">
        <v>115</v>
      </c>
      <c r="AL70" s="1">
        <f t="shared" si="10"/>
        <v>0</v>
      </c>
      <c r="AM70" s="1"/>
      <c r="AN70" s="1"/>
      <c r="AO70" s="1"/>
      <c r="AP70" s="1"/>
      <c r="AQ70" s="1"/>
      <c r="AR70" s="1"/>
      <c r="AS70" s="1"/>
    </row>
    <row r="71" spans="1:45" x14ac:dyDescent="0.25">
      <c r="A71" s="1" t="s">
        <v>116</v>
      </c>
      <c r="B71" s="1" t="s">
        <v>43</v>
      </c>
      <c r="C71" s="1">
        <v>583</v>
      </c>
      <c r="D71" s="1">
        <v>1078</v>
      </c>
      <c r="E71" s="1">
        <v>600</v>
      </c>
      <c r="F71" s="1">
        <v>834</v>
      </c>
      <c r="G71" s="7">
        <v>0.6</v>
      </c>
      <c r="H71" s="1">
        <v>60</v>
      </c>
      <c r="I71" s="1" t="s">
        <v>44</v>
      </c>
      <c r="J71" s="1"/>
      <c r="K71" s="1">
        <v>1064</v>
      </c>
      <c r="L71" s="1">
        <f t="shared" si="24"/>
        <v>-464</v>
      </c>
      <c r="M71" s="1">
        <f t="shared" ref="M71:M131" si="25">E71-N71</f>
        <v>600</v>
      </c>
      <c r="N71" s="1"/>
      <c r="O71" s="1"/>
      <c r="P71" s="1"/>
      <c r="Q71" s="1">
        <f>-1*VLOOKUP(A71,[1]TDSheet!$A:$B,2,0)</f>
        <v>-272</v>
      </c>
      <c r="R71" s="1">
        <v>0</v>
      </c>
      <c r="S71" s="1"/>
      <c r="T71" s="20"/>
      <c r="U71" s="20"/>
      <c r="V71" s="1">
        <f t="shared" ref="V71:V131" si="26">(M71+Q71)/5</f>
        <v>65.599999999999994</v>
      </c>
      <c r="W71" s="5"/>
      <c r="X71" s="5">
        <f t="shared" ref="X71:X131" si="27">W71</f>
        <v>0</v>
      </c>
      <c r="Y71" s="1">
        <f t="shared" ref="Y71:Y131" si="28">(F71+O71+P71+R71+X71+S71+T71+U71)/V71</f>
        <v>12.713414634146343</v>
      </c>
      <c r="Z71" s="1">
        <f t="shared" ref="Z71:Z131" si="29">(F71+O71+P71+R71+S71+T71)/V71</f>
        <v>12.713414634146343</v>
      </c>
      <c r="AA71" s="1">
        <v>71</v>
      </c>
      <c r="AB71" s="1">
        <v>74</v>
      </c>
      <c r="AC71" s="1">
        <v>122</v>
      </c>
      <c r="AD71" s="1">
        <v>127.6</v>
      </c>
      <c r="AE71" s="1">
        <v>96.2</v>
      </c>
      <c r="AF71" s="1">
        <v>82</v>
      </c>
      <c r="AG71" s="1">
        <v>93.4</v>
      </c>
      <c r="AH71" s="1">
        <v>153</v>
      </c>
      <c r="AI71" s="1">
        <v>154</v>
      </c>
      <c r="AJ71" s="1">
        <v>159</v>
      </c>
      <c r="AK71" s="1"/>
      <c r="AL71" s="1">
        <f t="shared" ref="AL71:AL131" si="30">ROUND(G71*X71,0)</f>
        <v>0</v>
      </c>
      <c r="AM71" s="1"/>
      <c r="AN71" s="1"/>
      <c r="AO71" s="1"/>
      <c r="AP71" s="1"/>
      <c r="AQ71" s="1"/>
      <c r="AR71" s="1"/>
      <c r="AS71" s="1"/>
    </row>
    <row r="72" spans="1:45" x14ac:dyDescent="0.25">
      <c r="A72" s="1" t="s">
        <v>117</v>
      </c>
      <c r="B72" s="1" t="s">
        <v>43</v>
      </c>
      <c r="C72" s="1">
        <v>181</v>
      </c>
      <c r="D72" s="1">
        <v>1233</v>
      </c>
      <c r="E72" s="1">
        <v>644</v>
      </c>
      <c r="F72" s="1">
        <v>622</v>
      </c>
      <c r="G72" s="7">
        <v>0.6</v>
      </c>
      <c r="H72" s="1">
        <v>60</v>
      </c>
      <c r="I72" s="1" t="s">
        <v>44</v>
      </c>
      <c r="J72" s="1"/>
      <c r="K72" s="1">
        <v>1023</v>
      </c>
      <c r="L72" s="1">
        <f t="shared" si="24"/>
        <v>-379</v>
      </c>
      <c r="M72" s="1">
        <f t="shared" si="25"/>
        <v>644</v>
      </c>
      <c r="N72" s="1"/>
      <c r="O72" s="1"/>
      <c r="P72" s="1"/>
      <c r="Q72" s="1">
        <f>-1*VLOOKUP(A72,[1]TDSheet!$A:$B,2,0)</f>
        <v>-272</v>
      </c>
      <c r="R72" s="1">
        <v>0</v>
      </c>
      <c r="S72" s="1"/>
      <c r="T72" s="20"/>
      <c r="U72" s="20"/>
      <c r="V72" s="1">
        <f t="shared" si="26"/>
        <v>74.400000000000006</v>
      </c>
      <c r="W72" s="5">
        <f t="shared" ref="W72" si="31">12*V72-R72-P72-O72-F72</f>
        <v>270.80000000000007</v>
      </c>
      <c r="X72" s="5">
        <f>IF(W72+$X$1*V72&lt;0,0,W72+$X$1*V72)</f>
        <v>159.94400000000007</v>
      </c>
      <c r="Y72" s="1">
        <f t="shared" si="28"/>
        <v>10.51</v>
      </c>
      <c r="Z72" s="1">
        <f t="shared" si="29"/>
        <v>8.3602150537634401</v>
      </c>
      <c r="AA72" s="1">
        <v>64.8</v>
      </c>
      <c r="AB72" s="1">
        <v>68.599999999999994</v>
      </c>
      <c r="AC72" s="1">
        <v>104.6</v>
      </c>
      <c r="AD72" s="1">
        <v>112.2</v>
      </c>
      <c r="AE72" s="1">
        <v>95.2</v>
      </c>
      <c r="AF72" s="1">
        <v>77.400000000000006</v>
      </c>
      <c r="AG72" s="1">
        <v>92.4</v>
      </c>
      <c r="AH72" s="1">
        <v>121.2</v>
      </c>
      <c r="AI72" s="1">
        <v>86.6</v>
      </c>
      <c r="AJ72" s="1">
        <v>75.2</v>
      </c>
      <c r="AK72" s="1"/>
      <c r="AL72" s="1">
        <f t="shared" si="30"/>
        <v>96</v>
      </c>
      <c r="AM72" s="1"/>
      <c r="AN72" s="1"/>
      <c r="AO72" s="1"/>
      <c r="AP72" s="1"/>
      <c r="AQ72" s="1"/>
      <c r="AR72" s="1"/>
      <c r="AS72" s="1"/>
    </row>
    <row r="73" spans="1:45" x14ac:dyDescent="0.25">
      <c r="A73" s="11" t="s">
        <v>118</v>
      </c>
      <c r="B73" s="11" t="s">
        <v>43</v>
      </c>
      <c r="C73" s="11"/>
      <c r="D73" s="11"/>
      <c r="E73" s="11"/>
      <c r="F73" s="11"/>
      <c r="G73" s="12">
        <v>0</v>
      </c>
      <c r="H73" s="11"/>
      <c r="I73" s="11" t="s">
        <v>44</v>
      </c>
      <c r="J73" s="11"/>
      <c r="K73" s="11"/>
      <c r="L73" s="11">
        <f t="shared" si="24"/>
        <v>0</v>
      </c>
      <c r="M73" s="11">
        <f t="shared" si="25"/>
        <v>0</v>
      </c>
      <c r="N73" s="11"/>
      <c r="O73" s="11"/>
      <c r="P73" s="11"/>
      <c r="Q73" s="11"/>
      <c r="R73" s="11">
        <v>0</v>
      </c>
      <c r="S73" s="11"/>
      <c r="T73" s="22"/>
      <c r="U73" s="22"/>
      <c r="V73" s="11">
        <f t="shared" si="26"/>
        <v>0</v>
      </c>
      <c r="W73" s="13"/>
      <c r="X73" s="5">
        <f t="shared" si="27"/>
        <v>0</v>
      </c>
      <c r="Y73" s="1" t="e">
        <f t="shared" si="28"/>
        <v>#DIV/0!</v>
      </c>
      <c r="Z73" s="1" t="e">
        <f t="shared" si="29"/>
        <v>#DIV/0!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 t="s">
        <v>59</v>
      </c>
      <c r="AL73" s="1">
        <f t="shared" si="30"/>
        <v>0</v>
      </c>
      <c r="AM73" s="1"/>
      <c r="AN73" s="1"/>
      <c r="AO73" s="1"/>
      <c r="AP73" s="1"/>
      <c r="AQ73" s="1"/>
      <c r="AR73" s="1"/>
      <c r="AS73" s="1"/>
    </row>
    <row r="74" spans="1:45" x14ac:dyDescent="0.25">
      <c r="A74" s="11" t="s">
        <v>119</v>
      </c>
      <c r="B74" s="11" t="s">
        <v>43</v>
      </c>
      <c r="C74" s="11"/>
      <c r="D74" s="11">
        <v>2</v>
      </c>
      <c r="E74" s="11"/>
      <c r="F74" s="11">
        <v>2</v>
      </c>
      <c r="G74" s="12">
        <v>0</v>
      </c>
      <c r="H74" s="11"/>
      <c r="I74" s="11" t="s">
        <v>44</v>
      </c>
      <c r="J74" s="11"/>
      <c r="K74" s="11"/>
      <c r="L74" s="11">
        <f t="shared" si="24"/>
        <v>0</v>
      </c>
      <c r="M74" s="11">
        <f t="shared" si="25"/>
        <v>0</v>
      </c>
      <c r="N74" s="11"/>
      <c r="O74" s="11"/>
      <c r="P74" s="11"/>
      <c r="Q74" s="11"/>
      <c r="R74" s="11">
        <v>0</v>
      </c>
      <c r="S74" s="11"/>
      <c r="T74" s="22"/>
      <c r="U74" s="22"/>
      <c r="V74" s="11">
        <f t="shared" si="26"/>
        <v>0</v>
      </c>
      <c r="W74" s="13"/>
      <c r="X74" s="5">
        <f t="shared" si="27"/>
        <v>0</v>
      </c>
      <c r="Y74" s="1" t="e">
        <f t="shared" si="28"/>
        <v>#DIV/0!</v>
      </c>
      <c r="Z74" s="1" t="e">
        <f t="shared" si="29"/>
        <v>#DIV/0!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 t="s">
        <v>59</v>
      </c>
      <c r="AL74" s="1">
        <f t="shared" si="30"/>
        <v>0</v>
      </c>
      <c r="AM74" s="1"/>
      <c r="AN74" s="1"/>
      <c r="AO74" s="1"/>
      <c r="AP74" s="1"/>
      <c r="AQ74" s="1"/>
      <c r="AR74" s="1"/>
      <c r="AS74" s="1"/>
    </row>
    <row r="75" spans="1:45" x14ac:dyDescent="0.25">
      <c r="A75" s="1" t="s">
        <v>120</v>
      </c>
      <c r="B75" s="1" t="s">
        <v>43</v>
      </c>
      <c r="C75" s="1">
        <v>63</v>
      </c>
      <c r="D75" s="1">
        <v>126</v>
      </c>
      <c r="E75" s="1">
        <v>47</v>
      </c>
      <c r="F75" s="1">
        <v>136</v>
      </c>
      <c r="G75" s="7">
        <v>0.35</v>
      </c>
      <c r="H75" s="1">
        <v>90</v>
      </c>
      <c r="I75" s="1" t="s">
        <v>44</v>
      </c>
      <c r="J75" s="1"/>
      <c r="K75" s="1">
        <v>58</v>
      </c>
      <c r="L75" s="1">
        <f t="shared" si="24"/>
        <v>-11</v>
      </c>
      <c r="M75" s="1">
        <f t="shared" si="25"/>
        <v>47</v>
      </c>
      <c r="N75" s="1"/>
      <c r="O75" s="1"/>
      <c r="P75" s="1"/>
      <c r="Q75" s="1"/>
      <c r="R75" s="1">
        <v>0</v>
      </c>
      <c r="S75" s="1"/>
      <c r="T75" s="20"/>
      <c r="U75" s="20"/>
      <c r="V75" s="1">
        <f t="shared" si="26"/>
        <v>9.4</v>
      </c>
      <c r="W75" s="5"/>
      <c r="X75" s="5">
        <f t="shared" si="27"/>
        <v>0</v>
      </c>
      <c r="Y75" s="1">
        <f t="shared" si="28"/>
        <v>14.468085106382977</v>
      </c>
      <c r="Z75" s="1">
        <f t="shared" si="29"/>
        <v>14.468085106382977</v>
      </c>
      <c r="AA75" s="1">
        <v>5.2</v>
      </c>
      <c r="AB75" s="1">
        <v>8.1999999999999993</v>
      </c>
      <c r="AC75" s="1">
        <v>11.2</v>
      </c>
      <c r="AD75" s="1">
        <v>17.399999999999999</v>
      </c>
      <c r="AE75" s="1">
        <v>13.8</v>
      </c>
      <c r="AF75" s="1">
        <v>7.8</v>
      </c>
      <c r="AG75" s="1">
        <v>5.6</v>
      </c>
      <c r="AH75" s="1">
        <v>8.8000000000000007</v>
      </c>
      <c r="AI75" s="1">
        <v>17</v>
      </c>
      <c r="AJ75" s="1">
        <v>11</v>
      </c>
      <c r="AK75" s="1"/>
      <c r="AL75" s="1">
        <f t="shared" si="30"/>
        <v>0</v>
      </c>
      <c r="AM75" s="1"/>
      <c r="AN75" s="1"/>
      <c r="AO75" s="1"/>
      <c r="AP75" s="1"/>
      <c r="AQ75" s="1"/>
      <c r="AR75" s="1"/>
      <c r="AS75" s="1"/>
    </row>
    <row r="76" spans="1:45" x14ac:dyDescent="0.25">
      <c r="A76" s="1" t="s">
        <v>121</v>
      </c>
      <c r="B76" s="1" t="s">
        <v>43</v>
      </c>
      <c r="C76" s="1">
        <v>96</v>
      </c>
      <c r="D76" s="1">
        <v>342</v>
      </c>
      <c r="E76" s="1">
        <v>91</v>
      </c>
      <c r="F76" s="1">
        <v>328</v>
      </c>
      <c r="G76" s="7">
        <v>0.37</v>
      </c>
      <c r="H76" s="1">
        <v>50</v>
      </c>
      <c r="I76" s="1" t="s">
        <v>44</v>
      </c>
      <c r="J76" s="1"/>
      <c r="K76" s="1">
        <v>213</v>
      </c>
      <c r="L76" s="1">
        <f t="shared" si="24"/>
        <v>-122</v>
      </c>
      <c r="M76" s="1">
        <f t="shared" si="25"/>
        <v>91</v>
      </c>
      <c r="N76" s="1"/>
      <c r="O76" s="1"/>
      <c r="P76" s="1"/>
      <c r="Q76" s="1"/>
      <c r="R76" s="1">
        <v>37.239999999999917</v>
      </c>
      <c r="S76" s="1"/>
      <c r="T76" s="20"/>
      <c r="U76" s="20"/>
      <c r="V76" s="1">
        <f t="shared" si="26"/>
        <v>18.2</v>
      </c>
      <c r="W76" s="5"/>
      <c r="X76" s="5">
        <f t="shared" si="27"/>
        <v>0</v>
      </c>
      <c r="Y76" s="1">
        <f t="shared" si="28"/>
        <v>20.068131868131864</v>
      </c>
      <c r="Z76" s="1">
        <f t="shared" si="29"/>
        <v>20.068131868131864</v>
      </c>
      <c r="AA76" s="1">
        <v>30.6</v>
      </c>
      <c r="AB76" s="1">
        <v>29</v>
      </c>
      <c r="AC76" s="1">
        <v>32.200000000000003</v>
      </c>
      <c r="AD76" s="1">
        <v>29.2</v>
      </c>
      <c r="AE76" s="1">
        <v>33</v>
      </c>
      <c r="AF76" s="1">
        <v>30</v>
      </c>
      <c r="AG76" s="1">
        <v>16.600000000000001</v>
      </c>
      <c r="AH76" s="1">
        <v>15.8</v>
      </c>
      <c r="AI76" s="1">
        <v>23.6</v>
      </c>
      <c r="AJ76" s="1">
        <v>31</v>
      </c>
      <c r="AK76" s="1"/>
      <c r="AL76" s="1">
        <f t="shared" si="30"/>
        <v>0</v>
      </c>
      <c r="AM76" s="1"/>
      <c r="AN76" s="1"/>
      <c r="AO76" s="1"/>
      <c r="AP76" s="1"/>
      <c r="AQ76" s="1"/>
      <c r="AR76" s="1"/>
      <c r="AS76" s="1"/>
    </row>
    <row r="77" spans="1:45" x14ac:dyDescent="0.25">
      <c r="A77" s="1" t="s">
        <v>122</v>
      </c>
      <c r="B77" s="1" t="s">
        <v>43</v>
      </c>
      <c r="C77" s="1">
        <v>422</v>
      </c>
      <c r="D77" s="1">
        <v>846</v>
      </c>
      <c r="E77" s="1">
        <v>166</v>
      </c>
      <c r="F77" s="1">
        <v>1075</v>
      </c>
      <c r="G77" s="7">
        <v>0.6</v>
      </c>
      <c r="H77" s="1">
        <v>70</v>
      </c>
      <c r="I77" s="15" t="s">
        <v>47</v>
      </c>
      <c r="J77" s="1"/>
      <c r="K77" s="1">
        <v>823</v>
      </c>
      <c r="L77" s="1">
        <f t="shared" si="24"/>
        <v>-657</v>
      </c>
      <c r="M77" s="1">
        <f t="shared" si="25"/>
        <v>166</v>
      </c>
      <c r="N77" s="1"/>
      <c r="O77" s="1"/>
      <c r="P77" s="1"/>
      <c r="Q77" s="1"/>
      <c r="R77" s="1">
        <v>0</v>
      </c>
      <c r="S77" s="1"/>
      <c r="T77" s="20"/>
      <c r="U77" s="20"/>
      <c r="V77" s="1">
        <f t="shared" si="26"/>
        <v>33.200000000000003</v>
      </c>
      <c r="W77" s="5"/>
      <c r="X77" s="5">
        <f t="shared" si="27"/>
        <v>0</v>
      </c>
      <c r="Y77" s="1">
        <f t="shared" si="28"/>
        <v>32.379518072289152</v>
      </c>
      <c r="Z77" s="1">
        <f t="shared" si="29"/>
        <v>32.379518072289152</v>
      </c>
      <c r="AA77" s="1">
        <v>267.8</v>
      </c>
      <c r="AB77" s="1">
        <v>269</v>
      </c>
      <c r="AC77" s="1">
        <v>267.2</v>
      </c>
      <c r="AD77" s="1">
        <v>46.4</v>
      </c>
      <c r="AE77" s="1">
        <v>45.849400000000003</v>
      </c>
      <c r="AF77" s="1">
        <v>42.6494</v>
      </c>
      <c r="AG77" s="1">
        <v>44.8</v>
      </c>
      <c r="AH77" s="1">
        <v>51.4</v>
      </c>
      <c r="AI77" s="1">
        <v>44.4</v>
      </c>
      <c r="AJ77" s="1">
        <v>22.8</v>
      </c>
      <c r="AK77" s="16" t="s">
        <v>182</v>
      </c>
      <c r="AL77" s="1">
        <f t="shared" si="30"/>
        <v>0</v>
      </c>
      <c r="AM77" s="1"/>
      <c r="AN77" s="1"/>
      <c r="AO77" s="1"/>
      <c r="AP77" s="1"/>
      <c r="AQ77" s="1"/>
      <c r="AR77" s="1"/>
      <c r="AS77" s="1"/>
    </row>
    <row r="78" spans="1:45" x14ac:dyDescent="0.25">
      <c r="A78" s="1" t="s">
        <v>123</v>
      </c>
      <c r="B78" s="1" t="s">
        <v>43</v>
      </c>
      <c r="C78" s="1">
        <v>85</v>
      </c>
      <c r="D78" s="1">
        <v>393</v>
      </c>
      <c r="E78" s="1">
        <v>70</v>
      </c>
      <c r="F78" s="1">
        <v>291</v>
      </c>
      <c r="G78" s="7">
        <v>0.33</v>
      </c>
      <c r="H78" s="1">
        <v>40</v>
      </c>
      <c r="I78" s="1" t="s">
        <v>44</v>
      </c>
      <c r="J78" s="1"/>
      <c r="K78" s="1">
        <v>317</v>
      </c>
      <c r="L78" s="1">
        <f t="shared" si="24"/>
        <v>-247</v>
      </c>
      <c r="M78" s="1">
        <f t="shared" si="25"/>
        <v>70</v>
      </c>
      <c r="N78" s="1"/>
      <c r="O78" s="1"/>
      <c r="P78" s="1"/>
      <c r="Q78" s="1"/>
      <c r="R78" s="1">
        <v>132.66</v>
      </c>
      <c r="S78" s="1"/>
      <c r="T78" s="20"/>
      <c r="U78" s="20"/>
      <c r="V78" s="1">
        <f t="shared" si="26"/>
        <v>14</v>
      </c>
      <c r="W78" s="5"/>
      <c r="X78" s="5">
        <f t="shared" si="27"/>
        <v>0</v>
      </c>
      <c r="Y78" s="1">
        <f t="shared" si="28"/>
        <v>30.261428571428571</v>
      </c>
      <c r="Z78" s="1">
        <f t="shared" si="29"/>
        <v>30.261428571428571</v>
      </c>
      <c r="AA78" s="1">
        <v>35.4</v>
      </c>
      <c r="AB78" s="1">
        <v>34.799999999999997</v>
      </c>
      <c r="AC78" s="1">
        <v>35.6</v>
      </c>
      <c r="AD78" s="1">
        <v>19.8</v>
      </c>
      <c r="AE78" s="1">
        <v>12.8</v>
      </c>
      <c r="AF78" s="1">
        <v>23.4</v>
      </c>
      <c r="AG78" s="1">
        <v>19.399999999999999</v>
      </c>
      <c r="AH78" s="1">
        <v>9.6</v>
      </c>
      <c r="AI78" s="1">
        <v>4.2</v>
      </c>
      <c r="AJ78" s="1">
        <v>12</v>
      </c>
      <c r="AK78" s="9" t="s">
        <v>50</v>
      </c>
      <c r="AL78" s="1">
        <f t="shared" si="30"/>
        <v>0</v>
      </c>
      <c r="AM78" s="1"/>
      <c r="AN78" s="1"/>
      <c r="AO78" s="1"/>
      <c r="AP78" s="1"/>
      <c r="AQ78" s="1"/>
      <c r="AR78" s="1"/>
      <c r="AS78" s="1"/>
    </row>
    <row r="79" spans="1:45" x14ac:dyDescent="0.25">
      <c r="A79" s="1" t="s">
        <v>124</v>
      </c>
      <c r="B79" s="1" t="s">
        <v>43</v>
      </c>
      <c r="C79" s="1">
        <v>38</v>
      </c>
      <c r="D79" s="1">
        <v>142</v>
      </c>
      <c r="E79" s="1">
        <v>42</v>
      </c>
      <c r="F79" s="1">
        <v>133</v>
      </c>
      <c r="G79" s="7">
        <v>0.4</v>
      </c>
      <c r="H79" s="1">
        <v>55</v>
      </c>
      <c r="I79" s="1" t="s">
        <v>44</v>
      </c>
      <c r="J79" s="1"/>
      <c r="K79" s="1">
        <v>90</v>
      </c>
      <c r="L79" s="1">
        <f t="shared" si="24"/>
        <v>-48</v>
      </c>
      <c r="M79" s="1">
        <f t="shared" si="25"/>
        <v>42</v>
      </c>
      <c r="N79" s="1"/>
      <c r="O79" s="1"/>
      <c r="P79" s="1"/>
      <c r="Q79" s="1"/>
      <c r="R79" s="1">
        <v>2.8000000000000109</v>
      </c>
      <c r="S79" s="1"/>
      <c r="T79" s="20"/>
      <c r="U79" s="20"/>
      <c r="V79" s="1">
        <f t="shared" si="26"/>
        <v>8.4</v>
      </c>
      <c r="W79" s="5"/>
      <c r="X79" s="5">
        <f t="shared" si="27"/>
        <v>0</v>
      </c>
      <c r="Y79" s="1">
        <f t="shared" si="28"/>
        <v>16.166666666666668</v>
      </c>
      <c r="Z79" s="1">
        <f t="shared" si="29"/>
        <v>16.166666666666668</v>
      </c>
      <c r="AA79" s="1">
        <v>12</v>
      </c>
      <c r="AB79" s="1">
        <v>8.4</v>
      </c>
      <c r="AC79" s="1">
        <v>7.2</v>
      </c>
      <c r="AD79" s="1">
        <v>5.8</v>
      </c>
      <c r="AE79" s="1">
        <v>17.2</v>
      </c>
      <c r="AF79" s="1">
        <v>11.4</v>
      </c>
      <c r="AG79" s="1">
        <v>6</v>
      </c>
      <c r="AH79" s="1">
        <v>13.6</v>
      </c>
      <c r="AI79" s="1">
        <v>13.2</v>
      </c>
      <c r="AJ79" s="1">
        <v>10.148</v>
      </c>
      <c r="AK79" s="1"/>
      <c r="AL79" s="1">
        <f t="shared" si="30"/>
        <v>0</v>
      </c>
      <c r="AM79" s="1"/>
      <c r="AN79" s="1"/>
      <c r="AO79" s="1"/>
      <c r="AP79" s="1"/>
      <c r="AQ79" s="1"/>
      <c r="AR79" s="1"/>
      <c r="AS79" s="1"/>
    </row>
    <row r="80" spans="1:45" x14ac:dyDescent="0.25">
      <c r="A80" s="1" t="s">
        <v>125</v>
      </c>
      <c r="B80" s="1" t="s">
        <v>43</v>
      </c>
      <c r="C80" s="1">
        <v>45</v>
      </c>
      <c r="D80" s="1">
        <v>228</v>
      </c>
      <c r="E80" s="1">
        <v>179</v>
      </c>
      <c r="F80" s="1">
        <v>32</v>
      </c>
      <c r="G80" s="7">
        <v>0.35</v>
      </c>
      <c r="H80" s="1">
        <v>40</v>
      </c>
      <c r="I80" s="1" t="s">
        <v>44</v>
      </c>
      <c r="J80" s="1"/>
      <c r="K80" s="1">
        <v>308</v>
      </c>
      <c r="L80" s="1">
        <f t="shared" si="24"/>
        <v>-129</v>
      </c>
      <c r="M80" s="1">
        <f t="shared" si="25"/>
        <v>179</v>
      </c>
      <c r="N80" s="1"/>
      <c r="O80" s="1"/>
      <c r="P80" s="1"/>
      <c r="Q80" s="1"/>
      <c r="R80" s="1">
        <v>381.44</v>
      </c>
      <c r="S80" s="1">
        <f>-134.4/G80</f>
        <v>-384.00000000000006</v>
      </c>
      <c r="T80" s="20"/>
      <c r="U80" s="20"/>
      <c r="V80" s="1">
        <f t="shared" si="26"/>
        <v>35.799999999999997</v>
      </c>
      <c r="W80" s="5">
        <f t="shared" ref="W80:W81" si="32">12*V80-R80-P80-O80-F80</f>
        <v>16.159999999999968</v>
      </c>
      <c r="X80" s="5">
        <f t="shared" si="27"/>
        <v>16.159999999999968</v>
      </c>
      <c r="Y80" s="1">
        <f t="shared" si="28"/>
        <v>1.2737430167597741</v>
      </c>
      <c r="Z80" s="1">
        <f t="shared" si="29"/>
        <v>0.82234636871508227</v>
      </c>
      <c r="AA80" s="1">
        <v>40.6</v>
      </c>
      <c r="AB80" s="1">
        <v>41.6</v>
      </c>
      <c r="AC80" s="1">
        <v>46.2</v>
      </c>
      <c r="AD80" s="1">
        <v>34.4</v>
      </c>
      <c r="AE80" s="1">
        <v>36.6</v>
      </c>
      <c r="AF80" s="1">
        <v>30</v>
      </c>
      <c r="AG80" s="1">
        <v>11.8</v>
      </c>
      <c r="AH80" s="1">
        <v>22.8</v>
      </c>
      <c r="AI80" s="1">
        <v>51.8</v>
      </c>
      <c r="AJ80" s="1">
        <v>47.6</v>
      </c>
      <c r="AK80" s="1"/>
      <c r="AL80" s="1">
        <f t="shared" si="30"/>
        <v>6</v>
      </c>
      <c r="AM80" s="1"/>
      <c r="AN80" s="1"/>
      <c r="AO80" s="1"/>
      <c r="AP80" s="1"/>
      <c r="AQ80" s="1"/>
      <c r="AR80" s="1"/>
      <c r="AS80" s="1"/>
    </row>
    <row r="81" spans="1:45" x14ac:dyDescent="0.25">
      <c r="A81" s="1" t="s">
        <v>126</v>
      </c>
      <c r="B81" s="1" t="s">
        <v>43</v>
      </c>
      <c r="C81" s="1">
        <v>433</v>
      </c>
      <c r="D81" s="1">
        <v>205</v>
      </c>
      <c r="E81" s="1">
        <v>475</v>
      </c>
      <c r="F81" s="1">
        <v>81</v>
      </c>
      <c r="G81" s="7">
        <v>0.35</v>
      </c>
      <c r="H81" s="1">
        <v>45</v>
      </c>
      <c r="I81" s="1" t="s">
        <v>44</v>
      </c>
      <c r="J81" s="1"/>
      <c r="K81" s="1">
        <v>726</v>
      </c>
      <c r="L81" s="1">
        <f t="shared" si="24"/>
        <v>-251</v>
      </c>
      <c r="M81" s="1">
        <f t="shared" si="25"/>
        <v>415</v>
      </c>
      <c r="N81" s="1">
        <v>60</v>
      </c>
      <c r="O81" s="1"/>
      <c r="P81" s="1"/>
      <c r="Q81" s="1"/>
      <c r="R81" s="1">
        <v>399.54</v>
      </c>
      <c r="S81" s="1">
        <f>-141/G81</f>
        <v>-402.85714285714289</v>
      </c>
      <c r="T81" s="20"/>
      <c r="U81" s="20"/>
      <c r="V81" s="1">
        <f t="shared" si="26"/>
        <v>83</v>
      </c>
      <c r="W81" s="5">
        <f t="shared" si="32"/>
        <v>515.46</v>
      </c>
      <c r="X81" s="5">
        <f>IF(W81+$X$1*V81&lt;0,0,W81+$X$1*V81)</f>
        <v>391.79</v>
      </c>
      <c r="Y81" s="1">
        <f t="shared" si="28"/>
        <v>5.6562994836488816</v>
      </c>
      <c r="Z81" s="1">
        <f t="shared" si="29"/>
        <v>0.93593803786574858</v>
      </c>
      <c r="AA81" s="1">
        <v>72.599999999999994</v>
      </c>
      <c r="AB81" s="1">
        <v>72.599999999999994</v>
      </c>
      <c r="AC81" s="1">
        <v>82</v>
      </c>
      <c r="AD81" s="1">
        <v>85</v>
      </c>
      <c r="AE81" s="1">
        <v>80</v>
      </c>
      <c r="AF81" s="1">
        <v>70.599999999999994</v>
      </c>
      <c r="AG81" s="1">
        <v>69.400000000000006</v>
      </c>
      <c r="AH81" s="1">
        <v>121.4</v>
      </c>
      <c r="AI81" s="1">
        <v>133.4</v>
      </c>
      <c r="AJ81" s="1">
        <v>75.8</v>
      </c>
      <c r="AK81" s="1"/>
      <c r="AL81" s="1">
        <f t="shared" si="30"/>
        <v>137</v>
      </c>
      <c r="AM81" s="1"/>
      <c r="AN81" s="1"/>
      <c r="AO81" s="1"/>
      <c r="AP81" s="1"/>
      <c r="AQ81" s="1"/>
      <c r="AR81" s="1"/>
      <c r="AS81" s="1"/>
    </row>
    <row r="82" spans="1:45" x14ac:dyDescent="0.25">
      <c r="A82" s="1" t="s">
        <v>127</v>
      </c>
      <c r="B82" s="1" t="s">
        <v>43</v>
      </c>
      <c r="C82" s="1">
        <v>22</v>
      </c>
      <c r="D82" s="1">
        <v>40</v>
      </c>
      <c r="E82" s="1">
        <v>4</v>
      </c>
      <c r="F82" s="1">
        <v>58</v>
      </c>
      <c r="G82" s="7">
        <v>0.4</v>
      </c>
      <c r="H82" s="1">
        <v>55</v>
      </c>
      <c r="I82" s="1" t="s">
        <v>44</v>
      </c>
      <c r="J82" s="1"/>
      <c r="K82" s="1">
        <v>44</v>
      </c>
      <c r="L82" s="1">
        <f t="shared" si="24"/>
        <v>-40</v>
      </c>
      <c r="M82" s="1">
        <f t="shared" si="25"/>
        <v>4</v>
      </c>
      <c r="N82" s="1"/>
      <c r="O82" s="1"/>
      <c r="P82" s="1"/>
      <c r="Q82" s="1">
        <f>-1*VLOOKUP(A82,[1]TDSheet!$A:$B,2,0)</f>
        <v>-4</v>
      </c>
      <c r="R82" s="1">
        <v>0</v>
      </c>
      <c r="S82" s="1"/>
      <c r="T82" s="20"/>
      <c r="U82" s="20"/>
      <c r="V82" s="1">
        <f t="shared" si="26"/>
        <v>0</v>
      </c>
      <c r="W82" s="5"/>
      <c r="X82" s="5">
        <f t="shared" si="27"/>
        <v>0</v>
      </c>
      <c r="Y82" s="1" t="e">
        <f t="shared" si="28"/>
        <v>#DIV/0!</v>
      </c>
      <c r="Z82" s="1" t="e">
        <f t="shared" si="29"/>
        <v>#DIV/0!</v>
      </c>
      <c r="AA82" s="1">
        <v>0.2</v>
      </c>
      <c r="AB82" s="1">
        <v>0.2</v>
      </c>
      <c r="AC82" s="1">
        <v>4.5999999999999996</v>
      </c>
      <c r="AD82" s="1">
        <v>5</v>
      </c>
      <c r="AE82" s="1">
        <v>1</v>
      </c>
      <c r="AF82" s="1">
        <v>0.4</v>
      </c>
      <c r="AG82" s="1">
        <v>0</v>
      </c>
      <c r="AH82" s="1">
        <v>0</v>
      </c>
      <c r="AI82" s="1">
        <v>1</v>
      </c>
      <c r="AJ82" s="1">
        <v>1</v>
      </c>
      <c r="AK82" s="14" t="s">
        <v>52</v>
      </c>
      <c r="AL82" s="1">
        <f t="shared" si="30"/>
        <v>0</v>
      </c>
      <c r="AM82" s="1"/>
      <c r="AN82" s="1"/>
      <c r="AO82" s="1"/>
      <c r="AP82" s="1"/>
      <c r="AQ82" s="1"/>
      <c r="AR82" s="1"/>
      <c r="AS82" s="1"/>
    </row>
    <row r="83" spans="1:45" x14ac:dyDescent="0.25">
      <c r="A83" s="1" t="s">
        <v>128</v>
      </c>
      <c r="B83" s="1" t="s">
        <v>38</v>
      </c>
      <c r="C83" s="1">
        <v>62.369</v>
      </c>
      <c r="D83" s="1"/>
      <c r="E83" s="1">
        <v>8.6479999999999997</v>
      </c>
      <c r="F83" s="1">
        <v>53.720999999999997</v>
      </c>
      <c r="G83" s="7">
        <v>1</v>
      </c>
      <c r="H83" s="1">
        <v>55</v>
      </c>
      <c r="I83" s="1" t="s">
        <v>44</v>
      </c>
      <c r="J83" s="1"/>
      <c r="K83" s="1">
        <v>9</v>
      </c>
      <c r="L83" s="1">
        <f t="shared" si="24"/>
        <v>-0.35200000000000031</v>
      </c>
      <c r="M83" s="1">
        <f t="shared" si="25"/>
        <v>8.6479999999999997</v>
      </c>
      <c r="N83" s="1"/>
      <c r="O83" s="1"/>
      <c r="P83" s="1"/>
      <c r="Q83" s="1"/>
      <c r="R83" s="1">
        <v>0</v>
      </c>
      <c r="S83" s="1"/>
      <c r="T83" s="20"/>
      <c r="U83" s="20"/>
      <c r="V83" s="1">
        <f t="shared" si="26"/>
        <v>1.7296</v>
      </c>
      <c r="W83" s="5"/>
      <c r="X83" s="5">
        <f t="shared" si="27"/>
        <v>0</v>
      </c>
      <c r="Y83" s="1">
        <f t="shared" si="28"/>
        <v>31.059782608695649</v>
      </c>
      <c r="Z83" s="1">
        <f t="shared" si="29"/>
        <v>31.059782608695649</v>
      </c>
      <c r="AA83" s="1">
        <v>1.1372</v>
      </c>
      <c r="AB83" s="1">
        <v>1.4352</v>
      </c>
      <c r="AC83" s="1">
        <v>2.8454000000000002</v>
      </c>
      <c r="AD83" s="1">
        <v>1.7416</v>
      </c>
      <c r="AE83" s="1">
        <v>3.1873999999999998</v>
      </c>
      <c r="AF83" s="1">
        <v>6.8353999999999999</v>
      </c>
      <c r="AG83" s="1">
        <v>3.2829999999999999</v>
      </c>
      <c r="AH83" s="1">
        <v>2.9152</v>
      </c>
      <c r="AI83" s="1">
        <v>5.6456</v>
      </c>
      <c r="AJ83" s="1">
        <v>4.0502000000000002</v>
      </c>
      <c r="AK83" s="14" t="s">
        <v>52</v>
      </c>
      <c r="AL83" s="1">
        <f t="shared" si="30"/>
        <v>0</v>
      </c>
      <c r="AM83" s="1"/>
      <c r="AN83" s="1"/>
      <c r="AO83" s="1"/>
      <c r="AP83" s="1"/>
      <c r="AQ83" s="1"/>
      <c r="AR83" s="1"/>
      <c r="AS83" s="1"/>
    </row>
    <row r="84" spans="1:45" x14ac:dyDescent="0.25">
      <c r="A84" s="11" t="s">
        <v>129</v>
      </c>
      <c r="B84" s="11" t="s">
        <v>38</v>
      </c>
      <c r="C84" s="11"/>
      <c r="D84" s="11"/>
      <c r="E84" s="11"/>
      <c r="F84" s="11"/>
      <c r="G84" s="12">
        <v>0</v>
      </c>
      <c r="H84" s="11"/>
      <c r="I84" s="11" t="s">
        <v>44</v>
      </c>
      <c r="J84" s="11"/>
      <c r="K84" s="11"/>
      <c r="L84" s="11">
        <f t="shared" si="24"/>
        <v>0</v>
      </c>
      <c r="M84" s="11">
        <f t="shared" si="25"/>
        <v>0</v>
      </c>
      <c r="N84" s="11"/>
      <c r="O84" s="11"/>
      <c r="P84" s="11"/>
      <c r="Q84" s="11"/>
      <c r="R84" s="11">
        <v>0</v>
      </c>
      <c r="S84" s="11"/>
      <c r="T84" s="22"/>
      <c r="U84" s="22"/>
      <c r="V84" s="11">
        <f t="shared" si="26"/>
        <v>0</v>
      </c>
      <c r="W84" s="13"/>
      <c r="X84" s="5">
        <f t="shared" si="27"/>
        <v>0</v>
      </c>
      <c r="Y84" s="1" t="e">
        <f t="shared" si="28"/>
        <v>#DIV/0!</v>
      </c>
      <c r="Z84" s="1" t="e">
        <f t="shared" si="29"/>
        <v>#DIV/0!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 t="s">
        <v>59</v>
      </c>
      <c r="AL84" s="1">
        <f t="shared" si="30"/>
        <v>0</v>
      </c>
      <c r="AM84" s="1"/>
      <c r="AN84" s="1"/>
      <c r="AO84" s="1"/>
      <c r="AP84" s="1"/>
      <c r="AQ84" s="1"/>
      <c r="AR84" s="1"/>
      <c r="AS84" s="1"/>
    </row>
    <row r="85" spans="1:45" x14ac:dyDescent="0.25">
      <c r="A85" s="1" t="s">
        <v>130</v>
      </c>
      <c r="B85" s="1" t="s">
        <v>38</v>
      </c>
      <c r="C85" s="1">
        <v>3753.1010000000001</v>
      </c>
      <c r="D85" s="1">
        <v>4421.7209999999995</v>
      </c>
      <c r="E85" s="1">
        <v>4204.7359999999999</v>
      </c>
      <c r="F85" s="1">
        <v>3608.0419999999999</v>
      </c>
      <c r="G85" s="7">
        <v>1</v>
      </c>
      <c r="H85" s="1">
        <v>60</v>
      </c>
      <c r="I85" s="1" t="s">
        <v>39</v>
      </c>
      <c r="J85" s="1"/>
      <c r="K85" s="1">
        <v>5593.51</v>
      </c>
      <c r="L85" s="1">
        <f t="shared" si="24"/>
        <v>-1388.7740000000003</v>
      </c>
      <c r="M85" s="1">
        <f t="shared" si="25"/>
        <v>4021.136</v>
      </c>
      <c r="N85" s="1">
        <v>183.6</v>
      </c>
      <c r="O85" s="1"/>
      <c r="P85" s="1">
        <v>500</v>
      </c>
      <c r="Q85" s="1">
        <f>-1*VLOOKUP(A85,[1]TDSheet!$A:$B,2,0)</f>
        <v>-1583.99</v>
      </c>
      <c r="R85" s="1">
        <v>0</v>
      </c>
      <c r="S85" s="1"/>
      <c r="T85" s="20"/>
      <c r="U85" s="20"/>
      <c r="V85" s="1">
        <f t="shared" si="26"/>
        <v>487.42919999999992</v>
      </c>
      <c r="W85" s="5">
        <f t="shared" ref="W85:W87" si="33">12*V85-R85-P85-O85-F85</f>
        <v>1741.1083999999987</v>
      </c>
      <c r="X85" s="5">
        <f t="shared" ref="X85:X87" si="34">IF(W85+$X$1*V85&lt;0,0,W85+$X$1*V85)</f>
        <v>1014.8388919999989</v>
      </c>
      <c r="Y85" s="1">
        <f t="shared" si="28"/>
        <v>10.509999999999998</v>
      </c>
      <c r="Z85" s="1">
        <f t="shared" si="29"/>
        <v>8.4279768220697484</v>
      </c>
      <c r="AA85" s="1">
        <v>486.21499999999997</v>
      </c>
      <c r="AB85" s="1">
        <v>545.07420000000002</v>
      </c>
      <c r="AC85" s="1">
        <v>663.97019999999998</v>
      </c>
      <c r="AD85" s="1">
        <v>653.57219999999995</v>
      </c>
      <c r="AE85" s="1">
        <v>665.99520000000007</v>
      </c>
      <c r="AF85" s="1">
        <v>698.37220000000002</v>
      </c>
      <c r="AG85" s="1">
        <v>724.56380000000013</v>
      </c>
      <c r="AH85" s="1">
        <v>676.86879999999996</v>
      </c>
      <c r="AI85" s="1">
        <v>668.60320000000002</v>
      </c>
      <c r="AJ85" s="1">
        <v>799.48800000000006</v>
      </c>
      <c r="AK85" s="1"/>
      <c r="AL85" s="1">
        <f t="shared" si="30"/>
        <v>1015</v>
      </c>
      <c r="AM85" s="1"/>
      <c r="AN85" s="1"/>
      <c r="AO85" s="1"/>
      <c r="AP85" s="1"/>
      <c r="AQ85" s="1"/>
      <c r="AR85" s="1"/>
      <c r="AS85" s="1"/>
    </row>
    <row r="86" spans="1:45" x14ac:dyDescent="0.25">
      <c r="A86" s="1" t="s">
        <v>131</v>
      </c>
      <c r="B86" s="1" t="s">
        <v>43</v>
      </c>
      <c r="C86" s="1">
        <v>168</v>
      </c>
      <c r="D86" s="1">
        <v>360</v>
      </c>
      <c r="E86" s="1">
        <v>223</v>
      </c>
      <c r="F86" s="1">
        <v>227</v>
      </c>
      <c r="G86" s="7">
        <v>0.3</v>
      </c>
      <c r="H86" s="1">
        <v>40</v>
      </c>
      <c r="I86" s="1" t="s">
        <v>44</v>
      </c>
      <c r="J86" s="1"/>
      <c r="K86" s="1">
        <v>347</v>
      </c>
      <c r="L86" s="1">
        <f t="shared" si="24"/>
        <v>-124</v>
      </c>
      <c r="M86" s="1">
        <f t="shared" si="25"/>
        <v>223</v>
      </c>
      <c r="N86" s="1"/>
      <c r="O86" s="1"/>
      <c r="P86" s="1"/>
      <c r="Q86" s="1">
        <f>-1*VLOOKUP(A86,[1]TDSheet!$A:$B,2,0)</f>
        <v>-62</v>
      </c>
      <c r="R86" s="1">
        <v>0</v>
      </c>
      <c r="S86" s="1"/>
      <c r="T86" s="20"/>
      <c r="U86" s="20"/>
      <c r="V86" s="1">
        <f t="shared" si="26"/>
        <v>32.200000000000003</v>
      </c>
      <c r="W86" s="5">
        <f>11*V86-R86-P86-O86-F86</f>
        <v>127.20000000000005</v>
      </c>
      <c r="X86" s="5">
        <f t="shared" si="34"/>
        <v>79.222000000000037</v>
      </c>
      <c r="Y86" s="1">
        <f t="shared" si="28"/>
        <v>9.51</v>
      </c>
      <c r="Z86" s="1">
        <f t="shared" si="29"/>
        <v>7.049689440993788</v>
      </c>
      <c r="AA86" s="1">
        <v>19.600000000000001</v>
      </c>
      <c r="AB86" s="1">
        <v>20.399999999999999</v>
      </c>
      <c r="AC86" s="1">
        <v>31.2</v>
      </c>
      <c r="AD86" s="1">
        <v>47.6</v>
      </c>
      <c r="AE86" s="1">
        <v>47</v>
      </c>
      <c r="AF86" s="1">
        <v>39.799999999999997</v>
      </c>
      <c r="AG86" s="1">
        <v>42.6</v>
      </c>
      <c r="AH86" s="1">
        <v>36.200000000000003</v>
      </c>
      <c r="AI86" s="1">
        <v>40.200000000000003</v>
      </c>
      <c r="AJ86" s="1">
        <v>53</v>
      </c>
      <c r="AK86" s="1"/>
      <c r="AL86" s="1">
        <f t="shared" si="30"/>
        <v>24</v>
      </c>
      <c r="AM86" s="1"/>
      <c r="AN86" s="1"/>
      <c r="AO86" s="1"/>
      <c r="AP86" s="1"/>
      <c r="AQ86" s="1"/>
      <c r="AR86" s="1"/>
      <c r="AS86" s="1"/>
    </row>
    <row r="87" spans="1:45" x14ac:dyDescent="0.25">
      <c r="A87" s="1" t="s">
        <v>132</v>
      </c>
      <c r="B87" s="1" t="s">
        <v>38</v>
      </c>
      <c r="C87" s="1">
        <v>1650.357</v>
      </c>
      <c r="D87" s="1">
        <v>1878.6659999999999</v>
      </c>
      <c r="E87" s="1">
        <v>1473.5039999999999</v>
      </c>
      <c r="F87" s="1">
        <v>1711.115</v>
      </c>
      <c r="G87" s="7">
        <v>1</v>
      </c>
      <c r="H87" s="1">
        <v>60</v>
      </c>
      <c r="I87" s="1" t="s">
        <v>39</v>
      </c>
      <c r="J87" s="1"/>
      <c r="K87" s="1">
        <v>2144.58</v>
      </c>
      <c r="L87" s="1">
        <f t="shared" si="24"/>
        <v>-671.07600000000002</v>
      </c>
      <c r="M87" s="1">
        <f t="shared" si="25"/>
        <v>1054.6109999999999</v>
      </c>
      <c r="N87" s="1">
        <v>418.89299999999997</v>
      </c>
      <c r="O87" s="1"/>
      <c r="P87" s="1"/>
      <c r="Q87" s="1"/>
      <c r="R87" s="1">
        <v>150.77000919999949</v>
      </c>
      <c r="S87" s="1"/>
      <c r="T87" s="20"/>
      <c r="U87" s="20"/>
      <c r="V87" s="1">
        <f t="shared" si="26"/>
        <v>210.92219999999998</v>
      </c>
      <c r="W87" s="5">
        <f t="shared" si="33"/>
        <v>669.18139080000014</v>
      </c>
      <c r="X87" s="5">
        <f t="shared" si="34"/>
        <v>354.90731280000017</v>
      </c>
      <c r="Y87" s="1">
        <f t="shared" si="28"/>
        <v>10.51</v>
      </c>
      <c r="Z87" s="1">
        <f t="shared" si="29"/>
        <v>8.8273543951276814</v>
      </c>
      <c r="AA87" s="1">
        <v>200.2338</v>
      </c>
      <c r="AB87" s="1">
        <v>224.22739999999999</v>
      </c>
      <c r="AC87" s="1">
        <v>269.709</v>
      </c>
      <c r="AD87" s="1">
        <v>297.4228</v>
      </c>
      <c r="AE87" s="1">
        <v>254.03819999999999</v>
      </c>
      <c r="AF87" s="1">
        <v>250.9092</v>
      </c>
      <c r="AG87" s="1">
        <v>349.91320000000002</v>
      </c>
      <c r="AH87" s="1">
        <v>349.47840000000002</v>
      </c>
      <c r="AI87" s="1">
        <v>308.02800000000002</v>
      </c>
      <c r="AJ87" s="1">
        <v>301.47000000000003</v>
      </c>
      <c r="AK87" s="1"/>
      <c r="AL87" s="1">
        <f t="shared" si="30"/>
        <v>355</v>
      </c>
      <c r="AM87" s="1"/>
      <c r="AN87" s="1"/>
      <c r="AO87" s="1"/>
      <c r="AP87" s="1"/>
      <c r="AQ87" s="1"/>
      <c r="AR87" s="1"/>
      <c r="AS87" s="1"/>
    </row>
    <row r="88" spans="1:45" x14ac:dyDescent="0.25">
      <c r="A88" s="19" t="s">
        <v>133</v>
      </c>
      <c r="B88" s="1" t="s">
        <v>38</v>
      </c>
      <c r="C88" s="1">
        <v>4277.3010000000004</v>
      </c>
      <c r="D88" s="1">
        <v>8186.53</v>
      </c>
      <c r="E88" s="1">
        <v>3215.7139999999999</v>
      </c>
      <c r="F88" s="1">
        <v>7847.8469999999998</v>
      </c>
      <c r="G88" s="7">
        <v>1</v>
      </c>
      <c r="H88" s="1">
        <v>60</v>
      </c>
      <c r="I88" s="1" t="s">
        <v>39</v>
      </c>
      <c r="J88" s="1"/>
      <c r="K88" s="1">
        <v>4356.6729999999998</v>
      </c>
      <c r="L88" s="1">
        <f t="shared" si="24"/>
        <v>-1140.9589999999998</v>
      </c>
      <c r="M88" s="1">
        <f t="shared" si="25"/>
        <v>2008.1409999999998</v>
      </c>
      <c r="N88" s="1">
        <v>1207.5730000000001</v>
      </c>
      <c r="O88" s="1"/>
      <c r="P88" s="1"/>
      <c r="Q88" s="1"/>
      <c r="R88" s="1">
        <v>0</v>
      </c>
      <c r="S88" s="1"/>
      <c r="T88" s="20"/>
      <c r="U88" s="20">
        <v>1400</v>
      </c>
      <c r="V88" s="1">
        <f t="shared" si="26"/>
        <v>401.62819999999999</v>
      </c>
      <c r="W88" s="5"/>
      <c r="X88" s="5">
        <f t="shared" si="27"/>
        <v>0</v>
      </c>
      <c r="Y88" s="1">
        <f t="shared" si="28"/>
        <v>23.025890612262785</v>
      </c>
      <c r="Z88" s="1">
        <f t="shared" si="29"/>
        <v>19.540079605963925</v>
      </c>
      <c r="AA88" s="1">
        <v>487.01119999999992</v>
      </c>
      <c r="AB88" s="1">
        <v>453.0684</v>
      </c>
      <c r="AC88" s="1">
        <v>606.41340000000002</v>
      </c>
      <c r="AD88" s="1">
        <v>702.14319999999998</v>
      </c>
      <c r="AE88" s="1">
        <v>695.84860000000003</v>
      </c>
      <c r="AF88" s="1">
        <v>634.77740000000006</v>
      </c>
      <c r="AG88" s="1">
        <v>822.75660000000005</v>
      </c>
      <c r="AH88" s="1">
        <v>966.07039999999995</v>
      </c>
      <c r="AI88" s="1">
        <v>712.95320000000004</v>
      </c>
      <c r="AJ88" s="1">
        <v>686.71839999999997</v>
      </c>
      <c r="AK88" s="9" t="s">
        <v>50</v>
      </c>
      <c r="AL88" s="1">
        <f t="shared" si="30"/>
        <v>0</v>
      </c>
      <c r="AM88" s="1"/>
      <c r="AN88" s="1"/>
      <c r="AO88" s="1"/>
      <c r="AP88" s="1"/>
      <c r="AQ88" s="1"/>
      <c r="AR88" s="1"/>
      <c r="AS88" s="1"/>
    </row>
    <row r="89" spans="1:45" x14ac:dyDescent="0.25">
      <c r="A89" s="19" t="s">
        <v>134</v>
      </c>
      <c r="B89" s="1" t="s">
        <v>38</v>
      </c>
      <c r="C89" s="1">
        <v>1239.694</v>
      </c>
      <c r="D89" s="1">
        <v>12454.58</v>
      </c>
      <c r="E89" s="1">
        <v>6240.3459999999995</v>
      </c>
      <c r="F89" s="1">
        <v>6314.11</v>
      </c>
      <c r="G89" s="7">
        <v>1</v>
      </c>
      <c r="H89" s="1">
        <v>60</v>
      </c>
      <c r="I89" s="1" t="s">
        <v>39</v>
      </c>
      <c r="J89" s="1"/>
      <c r="K89" s="1">
        <v>7574.62</v>
      </c>
      <c r="L89" s="1">
        <f t="shared" si="24"/>
        <v>-1334.2740000000003</v>
      </c>
      <c r="M89" s="1">
        <f t="shared" si="25"/>
        <v>5471.16</v>
      </c>
      <c r="N89" s="1">
        <v>769.18600000000004</v>
      </c>
      <c r="O89" s="1"/>
      <c r="P89" s="1"/>
      <c r="Q89" s="1">
        <f>-1*VLOOKUP(A89,[1]TDSheet!$A:$B,2,0)</f>
        <v>-2866.5340000000001</v>
      </c>
      <c r="R89" s="1">
        <v>0</v>
      </c>
      <c r="S89" s="1"/>
      <c r="T89" s="20">
        <v>4700</v>
      </c>
      <c r="U89" s="20">
        <v>1000</v>
      </c>
      <c r="V89" s="1">
        <f t="shared" si="26"/>
        <v>520.9251999999999</v>
      </c>
      <c r="W89" s="5"/>
      <c r="X89" s="5">
        <f t="shared" si="27"/>
        <v>0</v>
      </c>
      <c r="Y89" s="1">
        <f t="shared" si="28"/>
        <v>23.063023251706777</v>
      </c>
      <c r="Z89" s="1">
        <f t="shared" si="29"/>
        <v>21.143361849263584</v>
      </c>
      <c r="AA89" s="1">
        <v>627.79740000000004</v>
      </c>
      <c r="AB89" s="1">
        <v>577.65159999999992</v>
      </c>
      <c r="AC89" s="1">
        <v>698.26039999999989</v>
      </c>
      <c r="AD89" s="1">
        <v>814.36879999999996</v>
      </c>
      <c r="AE89" s="1">
        <v>736.1662</v>
      </c>
      <c r="AF89" s="1">
        <v>609.91200000000003</v>
      </c>
      <c r="AG89" s="1">
        <v>659.83880000000011</v>
      </c>
      <c r="AH89" s="1">
        <v>775.93799999999987</v>
      </c>
      <c r="AI89" s="1">
        <v>804.43219999999997</v>
      </c>
      <c r="AJ89" s="1">
        <v>793.85979999999995</v>
      </c>
      <c r="AK89" s="1"/>
      <c r="AL89" s="1">
        <f t="shared" si="30"/>
        <v>0</v>
      </c>
      <c r="AM89" s="1"/>
      <c r="AN89" s="1"/>
      <c r="AO89" s="1"/>
      <c r="AP89" s="1"/>
      <c r="AQ89" s="1"/>
      <c r="AR89" s="1"/>
      <c r="AS89" s="1"/>
    </row>
    <row r="90" spans="1:45" x14ac:dyDescent="0.25">
      <c r="A90" s="1" t="s">
        <v>135</v>
      </c>
      <c r="B90" s="1" t="s">
        <v>38</v>
      </c>
      <c r="C90" s="1">
        <v>112.904</v>
      </c>
      <c r="D90" s="1"/>
      <c r="E90" s="1">
        <v>45.645000000000003</v>
      </c>
      <c r="F90" s="1">
        <v>65.908000000000001</v>
      </c>
      <c r="G90" s="7">
        <v>1</v>
      </c>
      <c r="H90" s="1">
        <v>55</v>
      </c>
      <c r="I90" s="1" t="s">
        <v>44</v>
      </c>
      <c r="J90" s="1"/>
      <c r="K90" s="1">
        <v>133.69999999999999</v>
      </c>
      <c r="L90" s="1">
        <f t="shared" si="24"/>
        <v>-88.054999999999978</v>
      </c>
      <c r="M90" s="1">
        <f t="shared" si="25"/>
        <v>45.645000000000003</v>
      </c>
      <c r="N90" s="1"/>
      <c r="O90" s="1"/>
      <c r="P90" s="1"/>
      <c r="Q90" s="1"/>
      <c r="R90" s="1">
        <v>43.818320000000028</v>
      </c>
      <c r="S90" s="1"/>
      <c r="T90" s="20"/>
      <c r="U90" s="20"/>
      <c r="V90" s="1">
        <f t="shared" si="26"/>
        <v>9.1290000000000013</v>
      </c>
      <c r="W90" s="5"/>
      <c r="X90" s="5">
        <f t="shared" si="27"/>
        <v>0</v>
      </c>
      <c r="Y90" s="1">
        <f t="shared" si="28"/>
        <v>12.01953335524154</v>
      </c>
      <c r="Z90" s="1">
        <f t="shared" si="29"/>
        <v>12.01953335524154</v>
      </c>
      <c r="AA90" s="1">
        <v>9.1308000000000007</v>
      </c>
      <c r="AB90" s="1">
        <v>9.6712000000000007</v>
      </c>
      <c r="AC90" s="1">
        <v>9.3979999999999997</v>
      </c>
      <c r="AD90" s="1">
        <v>9.9340000000000011</v>
      </c>
      <c r="AE90" s="1">
        <v>15.5474</v>
      </c>
      <c r="AF90" s="1">
        <v>15.0168</v>
      </c>
      <c r="AG90" s="1">
        <v>2.4350000000000001</v>
      </c>
      <c r="AH90" s="1">
        <v>1.0888</v>
      </c>
      <c r="AI90" s="1">
        <v>13.7394</v>
      </c>
      <c r="AJ90" s="1">
        <v>13.4664</v>
      </c>
      <c r="AK90" s="1"/>
      <c r="AL90" s="1">
        <f t="shared" si="30"/>
        <v>0</v>
      </c>
      <c r="AM90" s="1"/>
      <c r="AN90" s="1"/>
      <c r="AO90" s="1"/>
      <c r="AP90" s="1"/>
      <c r="AQ90" s="1"/>
      <c r="AR90" s="1"/>
      <c r="AS90" s="1"/>
    </row>
    <row r="91" spans="1:45" x14ac:dyDescent="0.25">
      <c r="A91" s="11" t="s">
        <v>136</v>
      </c>
      <c r="B91" s="11" t="s">
        <v>38</v>
      </c>
      <c r="C91" s="11"/>
      <c r="D91" s="11"/>
      <c r="E91" s="11">
        <v>1.36</v>
      </c>
      <c r="F91" s="11">
        <v>-1.36</v>
      </c>
      <c r="G91" s="12">
        <v>0</v>
      </c>
      <c r="H91" s="11"/>
      <c r="I91" s="11" t="s">
        <v>72</v>
      </c>
      <c r="J91" s="11"/>
      <c r="K91" s="11">
        <v>1.3</v>
      </c>
      <c r="L91" s="11">
        <f t="shared" si="24"/>
        <v>6.0000000000000053E-2</v>
      </c>
      <c r="M91" s="11">
        <f t="shared" si="25"/>
        <v>1.36</v>
      </c>
      <c r="N91" s="11"/>
      <c r="O91" s="11"/>
      <c r="P91" s="11"/>
      <c r="Q91" s="11"/>
      <c r="R91" s="11">
        <v>0</v>
      </c>
      <c r="S91" s="11"/>
      <c r="T91" s="22"/>
      <c r="U91" s="22"/>
      <c r="V91" s="11">
        <f t="shared" si="26"/>
        <v>0.27200000000000002</v>
      </c>
      <c r="W91" s="13"/>
      <c r="X91" s="5">
        <f t="shared" si="27"/>
        <v>0</v>
      </c>
      <c r="Y91" s="1">
        <f t="shared" si="28"/>
        <v>-5</v>
      </c>
      <c r="Z91" s="1">
        <f t="shared" si="29"/>
        <v>-5</v>
      </c>
      <c r="AA91" s="11">
        <v>0.27200000000000002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/>
      <c r="AL91" s="1">
        <f t="shared" si="30"/>
        <v>0</v>
      </c>
      <c r="AM91" s="1"/>
      <c r="AN91" s="1"/>
      <c r="AO91" s="1"/>
      <c r="AP91" s="1"/>
      <c r="AQ91" s="1"/>
      <c r="AR91" s="1"/>
      <c r="AS91" s="1"/>
    </row>
    <row r="92" spans="1:45" x14ac:dyDescent="0.25">
      <c r="A92" s="11" t="s">
        <v>137</v>
      </c>
      <c r="B92" s="11" t="s">
        <v>38</v>
      </c>
      <c r="C92" s="11">
        <v>574.49800000000005</v>
      </c>
      <c r="D92" s="11"/>
      <c r="E92" s="11">
        <v>12.1</v>
      </c>
      <c r="F92" s="11">
        <v>562.39800000000002</v>
      </c>
      <c r="G92" s="12">
        <v>0</v>
      </c>
      <c r="H92" s="11"/>
      <c r="I92" s="11" t="s">
        <v>72</v>
      </c>
      <c r="J92" s="11"/>
      <c r="K92" s="11">
        <v>19.399999999999999</v>
      </c>
      <c r="L92" s="11">
        <f t="shared" si="24"/>
        <v>-7.2999999999999989</v>
      </c>
      <c r="M92" s="11">
        <f t="shared" si="25"/>
        <v>12.1</v>
      </c>
      <c r="N92" s="11"/>
      <c r="O92" s="11"/>
      <c r="P92" s="11"/>
      <c r="Q92" s="11"/>
      <c r="R92" s="11">
        <v>0</v>
      </c>
      <c r="S92" s="11"/>
      <c r="T92" s="22"/>
      <c r="U92" s="22"/>
      <c r="V92" s="11">
        <f t="shared" si="26"/>
        <v>2.42</v>
      </c>
      <c r="W92" s="13"/>
      <c r="X92" s="5">
        <f t="shared" si="27"/>
        <v>0</v>
      </c>
      <c r="Y92" s="1">
        <f t="shared" si="28"/>
        <v>232.39586776859505</v>
      </c>
      <c r="Z92" s="1">
        <f t="shared" si="29"/>
        <v>232.39586776859505</v>
      </c>
      <c r="AA92" s="11">
        <v>6.7090000000000014</v>
      </c>
      <c r="AB92" s="11">
        <v>6.706999999999999</v>
      </c>
      <c r="AC92" s="11">
        <v>13.973000000000001</v>
      </c>
      <c r="AD92" s="11">
        <v>18.044</v>
      </c>
      <c r="AE92" s="11">
        <v>9.4331999999999994</v>
      </c>
      <c r="AF92" s="11">
        <v>0.53720000000000001</v>
      </c>
      <c r="AG92" s="11">
        <v>1.339</v>
      </c>
      <c r="AH92" s="11">
        <v>2.4163999999999999</v>
      </c>
      <c r="AI92" s="11">
        <v>1.0773999999999999</v>
      </c>
      <c r="AJ92" s="11">
        <v>0</v>
      </c>
      <c r="AK92" s="14" t="s">
        <v>52</v>
      </c>
      <c r="AL92" s="1">
        <f t="shared" si="30"/>
        <v>0</v>
      </c>
      <c r="AM92" s="1"/>
      <c r="AN92" s="1"/>
      <c r="AO92" s="1"/>
      <c r="AP92" s="1"/>
      <c r="AQ92" s="1"/>
      <c r="AR92" s="1"/>
      <c r="AS92" s="1"/>
    </row>
    <row r="93" spans="1:45" x14ac:dyDescent="0.25">
      <c r="A93" s="1" t="s">
        <v>138</v>
      </c>
      <c r="B93" s="1" t="s">
        <v>43</v>
      </c>
      <c r="C93" s="1">
        <v>158</v>
      </c>
      <c r="D93" s="1">
        <v>157</v>
      </c>
      <c r="E93" s="1">
        <v>86</v>
      </c>
      <c r="F93" s="1">
        <v>214</v>
      </c>
      <c r="G93" s="7">
        <v>0.3</v>
      </c>
      <c r="H93" s="1">
        <v>40</v>
      </c>
      <c r="I93" s="1" t="s">
        <v>44</v>
      </c>
      <c r="J93" s="1"/>
      <c r="K93" s="1">
        <v>148</v>
      </c>
      <c r="L93" s="1">
        <f t="shared" si="24"/>
        <v>-62</v>
      </c>
      <c r="M93" s="1">
        <f t="shared" si="25"/>
        <v>86</v>
      </c>
      <c r="N93" s="1"/>
      <c r="O93" s="1"/>
      <c r="P93" s="1"/>
      <c r="Q93" s="1"/>
      <c r="R93" s="1">
        <v>0</v>
      </c>
      <c r="S93" s="1"/>
      <c r="T93" s="20"/>
      <c r="U93" s="20"/>
      <c r="V93" s="1">
        <f t="shared" si="26"/>
        <v>17.2</v>
      </c>
      <c r="W93" s="5"/>
      <c r="X93" s="5">
        <f t="shared" si="27"/>
        <v>0</v>
      </c>
      <c r="Y93" s="1">
        <f t="shared" si="28"/>
        <v>12.44186046511628</v>
      </c>
      <c r="Z93" s="1">
        <f t="shared" si="29"/>
        <v>12.44186046511628</v>
      </c>
      <c r="AA93" s="1">
        <v>20.2</v>
      </c>
      <c r="AB93" s="1">
        <v>22.8</v>
      </c>
      <c r="AC93" s="1">
        <v>24.2</v>
      </c>
      <c r="AD93" s="1">
        <v>18.2</v>
      </c>
      <c r="AE93" s="1">
        <v>15.4</v>
      </c>
      <c r="AF93" s="1">
        <v>28.2</v>
      </c>
      <c r="AG93" s="1">
        <v>24.4</v>
      </c>
      <c r="AH93" s="1">
        <v>9.8000000000000007</v>
      </c>
      <c r="AI93" s="1">
        <v>18.399999999999999</v>
      </c>
      <c r="AJ93" s="1">
        <v>31.8</v>
      </c>
      <c r="AK93" s="1"/>
      <c r="AL93" s="1">
        <f t="shared" si="30"/>
        <v>0</v>
      </c>
      <c r="AM93" s="1"/>
      <c r="AN93" s="1"/>
      <c r="AO93" s="1"/>
      <c r="AP93" s="1"/>
      <c r="AQ93" s="1"/>
      <c r="AR93" s="1"/>
      <c r="AS93" s="1"/>
    </row>
    <row r="94" spans="1:45" x14ac:dyDescent="0.25">
      <c r="A94" s="1" t="s">
        <v>139</v>
      </c>
      <c r="B94" s="1" t="s">
        <v>43</v>
      </c>
      <c r="C94" s="1">
        <v>89</v>
      </c>
      <c r="D94" s="1"/>
      <c r="E94" s="1">
        <v>34</v>
      </c>
      <c r="F94" s="1">
        <v>55</v>
      </c>
      <c r="G94" s="7">
        <v>0.3</v>
      </c>
      <c r="H94" s="1">
        <v>40</v>
      </c>
      <c r="I94" s="1" t="s">
        <v>44</v>
      </c>
      <c r="J94" s="1"/>
      <c r="K94" s="1">
        <v>59</v>
      </c>
      <c r="L94" s="1">
        <f t="shared" si="24"/>
        <v>-25</v>
      </c>
      <c r="M94" s="1">
        <f t="shared" si="25"/>
        <v>34</v>
      </c>
      <c r="N94" s="1"/>
      <c r="O94" s="1"/>
      <c r="P94" s="1"/>
      <c r="Q94" s="1"/>
      <c r="R94" s="1">
        <v>21.56</v>
      </c>
      <c r="S94" s="1"/>
      <c r="T94" s="20"/>
      <c r="U94" s="20"/>
      <c r="V94" s="1">
        <f t="shared" si="26"/>
        <v>6.8</v>
      </c>
      <c r="W94" s="5">
        <f t="shared" ref="W94:W97" si="35">12*V94-R94-P94-O94-F94</f>
        <v>5.039999999999992</v>
      </c>
      <c r="X94" s="5">
        <f t="shared" si="27"/>
        <v>5.039999999999992</v>
      </c>
      <c r="Y94" s="1">
        <f t="shared" si="28"/>
        <v>12</v>
      </c>
      <c r="Z94" s="1">
        <f t="shared" si="29"/>
        <v>11.258823529411766</v>
      </c>
      <c r="AA94" s="1">
        <v>6.4</v>
      </c>
      <c r="AB94" s="1">
        <v>1.4</v>
      </c>
      <c r="AC94" s="1">
        <v>2</v>
      </c>
      <c r="AD94" s="1">
        <v>2.4</v>
      </c>
      <c r="AE94" s="1">
        <v>12.2</v>
      </c>
      <c r="AF94" s="1">
        <v>13.6</v>
      </c>
      <c r="AG94" s="1">
        <v>6.8</v>
      </c>
      <c r="AH94" s="1">
        <v>4.2</v>
      </c>
      <c r="AI94" s="1">
        <v>7.8</v>
      </c>
      <c r="AJ94" s="1">
        <v>8.1999999999999993</v>
      </c>
      <c r="AK94" s="1"/>
      <c r="AL94" s="1">
        <f t="shared" si="30"/>
        <v>2</v>
      </c>
      <c r="AM94" s="1"/>
      <c r="AN94" s="1"/>
      <c r="AO94" s="1"/>
      <c r="AP94" s="1"/>
      <c r="AQ94" s="1"/>
      <c r="AR94" s="1"/>
      <c r="AS94" s="1"/>
    </row>
    <row r="95" spans="1:45" x14ac:dyDescent="0.25">
      <c r="A95" s="1" t="s">
        <v>140</v>
      </c>
      <c r="B95" s="1" t="s">
        <v>43</v>
      </c>
      <c r="C95" s="1">
        <v>40</v>
      </c>
      <c r="D95" s="1">
        <v>392</v>
      </c>
      <c r="E95" s="1">
        <v>117</v>
      </c>
      <c r="F95" s="1">
        <v>278</v>
      </c>
      <c r="G95" s="7">
        <v>7.0000000000000007E-2</v>
      </c>
      <c r="H95" s="1">
        <v>90</v>
      </c>
      <c r="I95" s="1" t="s">
        <v>44</v>
      </c>
      <c r="J95" s="1"/>
      <c r="K95" s="1">
        <v>223</v>
      </c>
      <c r="L95" s="1">
        <f t="shared" si="24"/>
        <v>-106</v>
      </c>
      <c r="M95" s="1">
        <f t="shared" si="25"/>
        <v>117</v>
      </c>
      <c r="N95" s="1"/>
      <c r="O95" s="1"/>
      <c r="P95" s="1"/>
      <c r="Q95" s="1">
        <f>-1*VLOOKUP(A95,[1]TDSheet!$A:$B,2,0)</f>
        <v>-6</v>
      </c>
      <c r="R95" s="1">
        <v>0</v>
      </c>
      <c r="S95" s="1"/>
      <c r="T95" s="20"/>
      <c r="U95" s="20"/>
      <c r="V95" s="1">
        <f t="shared" si="26"/>
        <v>22.2</v>
      </c>
      <c r="W95" s="5"/>
      <c r="X95" s="5">
        <f t="shared" si="27"/>
        <v>0</v>
      </c>
      <c r="Y95" s="1">
        <f t="shared" si="28"/>
        <v>12.522522522522523</v>
      </c>
      <c r="Z95" s="1">
        <f t="shared" si="29"/>
        <v>12.522522522522523</v>
      </c>
      <c r="AA95" s="1">
        <v>22.6</v>
      </c>
      <c r="AB95" s="1">
        <v>26.8</v>
      </c>
      <c r="AC95" s="1">
        <v>31.2</v>
      </c>
      <c r="AD95" s="1">
        <v>29.2</v>
      </c>
      <c r="AE95" s="1">
        <v>24.8</v>
      </c>
      <c r="AF95" s="1">
        <v>22.8</v>
      </c>
      <c r="AG95" s="1">
        <v>19.600000000000001</v>
      </c>
      <c r="AH95" s="1">
        <v>16.8</v>
      </c>
      <c r="AI95" s="1">
        <v>16</v>
      </c>
      <c r="AJ95" s="1">
        <v>16.399999999999999</v>
      </c>
      <c r="AK95" s="1"/>
      <c r="AL95" s="1">
        <f t="shared" si="30"/>
        <v>0</v>
      </c>
      <c r="AM95" s="1"/>
      <c r="AN95" s="1"/>
      <c r="AO95" s="1"/>
      <c r="AP95" s="1"/>
      <c r="AQ95" s="1"/>
      <c r="AR95" s="1"/>
      <c r="AS95" s="1"/>
    </row>
    <row r="96" spans="1:45" x14ac:dyDescent="0.25">
      <c r="A96" s="1" t="s">
        <v>141</v>
      </c>
      <c r="B96" s="1" t="s">
        <v>43</v>
      </c>
      <c r="C96" s="1">
        <v>73</v>
      </c>
      <c r="D96" s="1">
        <v>239</v>
      </c>
      <c r="E96" s="1">
        <v>114</v>
      </c>
      <c r="F96" s="1">
        <v>159</v>
      </c>
      <c r="G96" s="7">
        <v>7.0000000000000007E-2</v>
      </c>
      <c r="H96" s="1">
        <v>90</v>
      </c>
      <c r="I96" s="1" t="s">
        <v>44</v>
      </c>
      <c r="J96" s="1"/>
      <c r="K96" s="1">
        <v>195</v>
      </c>
      <c r="L96" s="1">
        <f t="shared" si="24"/>
        <v>-81</v>
      </c>
      <c r="M96" s="1">
        <f t="shared" si="25"/>
        <v>114</v>
      </c>
      <c r="N96" s="1"/>
      <c r="O96" s="1"/>
      <c r="P96" s="1"/>
      <c r="Q96" s="1"/>
      <c r="R96" s="1">
        <v>127.98</v>
      </c>
      <c r="S96" s="1"/>
      <c r="T96" s="20"/>
      <c r="U96" s="20"/>
      <c r="V96" s="1">
        <f t="shared" si="26"/>
        <v>22.8</v>
      </c>
      <c r="W96" s="5"/>
      <c r="X96" s="5">
        <f t="shared" si="27"/>
        <v>0</v>
      </c>
      <c r="Y96" s="1">
        <f t="shared" si="28"/>
        <v>12.586842105263159</v>
      </c>
      <c r="Z96" s="1">
        <f t="shared" si="29"/>
        <v>12.586842105263159</v>
      </c>
      <c r="AA96" s="1">
        <v>26.2</v>
      </c>
      <c r="AB96" s="1">
        <v>20.399999999999999</v>
      </c>
      <c r="AC96" s="1">
        <v>22</v>
      </c>
      <c r="AD96" s="1">
        <v>23.4</v>
      </c>
      <c r="AE96" s="1">
        <v>33</v>
      </c>
      <c r="AF96" s="1">
        <v>23.8</v>
      </c>
      <c r="AG96" s="1">
        <v>7.8</v>
      </c>
      <c r="AH96" s="1">
        <v>9.8000000000000007</v>
      </c>
      <c r="AI96" s="1">
        <v>23.8</v>
      </c>
      <c r="AJ96" s="1">
        <v>23.6</v>
      </c>
      <c r="AK96" s="1"/>
      <c r="AL96" s="1">
        <f t="shared" si="30"/>
        <v>0</v>
      </c>
      <c r="AM96" s="1"/>
      <c r="AN96" s="1"/>
      <c r="AO96" s="1"/>
      <c r="AP96" s="1"/>
      <c r="AQ96" s="1"/>
      <c r="AR96" s="1"/>
      <c r="AS96" s="1"/>
    </row>
    <row r="97" spans="1:45" x14ac:dyDescent="0.25">
      <c r="A97" s="1" t="s">
        <v>142</v>
      </c>
      <c r="B97" s="1" t="s">
        <v>43</v>
      </c>
      <c r="C97" s="1">
        <v>25</v>
      </c>
      <c r="D97" s="1">
        <v>311</v>
      </c>
      <c r="E97" s="1">
        <v>98</v>
      </c>
      <c r="F97" s="1">
        <v>216</v>
      </c>
      <c r="G97" s="7">
        <v>7.0000000000000007E-2</v>
      </c>
      <c r="H97" s="1">
        <v>90</v>
      </c>
      <c r="I97" s="1" t="s">
        <v>44</v>
      </c>
      <c r="J97" s="1"/>
      <c r="K97" s="1">
        <v>154</v>
      </c>
      <c r="L97" s="1">
        <f t="shared" si="24"/>
        <v>-56</v>
      </c>
      <c r="M97" s="1">
        <f t="shared" si="25"/>
        <v>98</v>
      </c>
      <c r="N97" s="1"/>
      <c r="O97" s="1"/>
      <c r="P97" s="1"/>
      <c r="Q97" s="1">
        <f>-1*VLOOKUP(A97,[1]TDSheet!$A:$B,2,0)</f>
        <v>-4</v>
      </c>
      <c r="R97" s="1">
        <v>0</v>
      </c>
      <c r="S97" s="1"/>
      <c r="T97" s="20"/>
      <c r="U97" s="20"/>
      <c r="V97" s="1">
        <f t="shared" si="26"/>
        <v>18.8</v>
      </c>
      <c r="W97" s="5">
        <f t="shared" si="35"/>
        <v>9.6000000000000227</v>
      </c>
      <c r="X97" s="5">
        <f t="shared" si="27"/>
        <v>9.6000000000000227</v>
      </c>
      <c r="Y97" s="1">
        <f t="shared" si="28"/>
        <v>12</v>
      </c>
      <c r="Z97" s="1">
        <f t="shared" si="29"/>
        <v>11.48936170212766</v>
      </c>
      <c r="AA97" s="1">
        <v>18.399999999999999</v>
      </c>
      <c r="AB97" s="1">
        <v>20.6</v>
      </c>
      <c r="AC97" s="1">
        <v>22.8</v>
      </c>
      <c r="AD97" s="1">
        <v>20.6</v>
      </c>
      <c r="AE97" s="1">
        <v>21.4</v>
      </c>
      <c r="AF97" s="1">
        <v>16.399999999999999</v>
      </c>
      <c r="AG97" s="1">
        <v>7</v>
      </c>
      <c r="AH97" s="1">
        <v>11.2</v>
      </c>
      <c r="AI97" s="1">
        <v>16.8</v>
      </c>
      <c r="AJ97" s="1">
        <v>13.8</v>
      </c>
      <c r="AK97" s="1"/>
      <c r="AL97" s="1">
        <f t="shared" si="30"/>
        <v>1</v>
      </c>
      <c r="AM97" s="1"/>
      <c r="AN97" s="1"/>
      <c r="AO97" s="1"/>
      <c r="AP97" s="1"/>
      <c r="AQ97" s="1"/>
      <c r="AR97" s="1"/>
      <c r="AS97" s="1"/>
    </row>
    <row r="98" spans="1:45" x14ac:dyDescent="0.25">
      <c r="A98" s="11" t="s">
        <v>143</v>
      </c>
      <c r="B98" s="11" t="s">
        <v>43</v>
      </c>
      <c r="C98" s="11">
        <v>20</v>
      </c>
      <c r="D98" s="11">
        <v>211</v>
      </c>
      <c r="E98" s="11">
        <v>100</v>
      </c>
      <c r="F98" s="11">
        <v>119</v>
      </c>
      <c r="G98" s="12">
        <v>0</v>
      </c>
      <c r="H98" s="11">
        <v>90</v>
      </c>
      <c r="I98" s="11" t="s">
        <v>72</v>
      </c>
      <c r="J98" s="11"/>
      <c r="K98" s="11">
        <v>180</v>
      </c>
      <c r="L98" s="11">
        <f t="shared" si="24"/>
        <v>-80</v>
      </c>
      <c r="M98" s="11">
        <f t="shared" si="25"/>
        <v>100</v>
      </c>
      <c r="N98" s="11"/>
      <c r="O98" s="11"/>
      <c r="P98" s="11"/>
      <c r="Q98" s="11">
        <f>-1*VLOOKUP(A98,[1]TDSheet!$A:$B,2,0)</f>
        <v>-5</v>
      </c>
      <c r="R98" s="11">
        <v>0</v>
      </c>
      <c r="S98" s="11"/>
      <c r="T98" s="22"/>
      <c r="U98" s="22"/>
      <c r="V98" s="11">
        <f t="shared" si="26"/>
        <v>19</v>
      </c>
      <c r="W98" s="13"/>
      <c r="X98" s="5">
        <f t="shared" si="27"/>
        <v>0</v>
      </c>
      <c r="Y98" s="1">
        <f t="shared" si="28"/>
        <v>6.2631578947368425</v>
      </c>
      <c r="Z98" s="1">
        <f t="shared" si="29"/>
        <v>6.2631578947368425</v>
      </c>
      <c r="AA98" s="11">
        <v>9.8000000000000007</v>
      </c>
      <c r="AB98" s="11">
        <v>11</v>
      </c>
      <c r="AC98" s="11">
        <v>12</v>
      </c>
      <c r="AD98" s="11">
        <v>19.8</v>
      </c>
      <c r="AE98" s="11">
        <v>12.4</v>
      </c>
      <c r="AF98" s="11">
        <v>2.6</v>
      </c>
      <c r="AG98" s="11">
        <v>9.6</v>
      </c>
      <c r="AH98" s="11">
        <v>8</v>
      </c>
      <c r="AI98" s="11">
        <v>4.4000000000000004</v>
      </c>
      <c r="AJ98" s="11">
        <v>8.4</v>
      </c>
      <c r="AK98" s="11"/>
      <c r="AL98" s="1">
        <f t="shared" si="30"/>
        <v>0</v>
      </c>
      <c r="AM98" s="1"/>
      <c r="AN98" s="1"/>
      <c r="AO98" s="1"/>
      <c r="AP98" s="1"/>
      <c r="AQ98" s="1"/>
      <c r="AR98" s="1"/>
      <c r="AS98" s="1"/>
    </row>
    <row r="99" spans="1:45" x14ac:dyDescent="0.25">
      <c r="A99" s="1" t="s">
        <v>144</v>
      </c>
      <c r="B99" s="1" t="s">
        <v>43</v>
      </c>
      <c r="C99" s="1">
        <v>54</v>
      </c>
      <c r="D99" s="1">
        <v>1</v>
      </c>
      <c r="E99" s="1">
        <v>22</v>
      </c>
      <c r="F99" s="1">
        <v>32</v>
      </c>
      <c r="G99" s="7">
        <v>0.3</v>
      </c>
      <c r="H99" s="1">
        <v>40</v>
      </c>
      <c r="I99" s="1" t="s">
        <v>44</v>
      </c>
      <c r="J99" s="1"/>
      <c r="K99" s="1">
        <v>78</v>
      </c>
      <c r="L99" s="1">
        <f t="shared" si="24"/>
        <v>-56</v>
      </c>
      <c r="M99" s="1">
        <f t="shared" si="25"/>
        <v>22</v>
      </c>
      <c r="N99" s="1"/>
      <c r="O99" s="1"/>
      <c r="P99" s="1"/>
      <c r="Q99" s="1">
        <f>-1*VLOOKUP(A99,[1]TDSheet!$A:$B,2,0)</f>
        <v>-8</v>
      </c>
      <c r="R99" s="1">
        <v>0</v>
      </c>
      <c r="S99" s="1"/>
      <c r="T99" s="20"/>
      <c r="U99" s="20"/>
      <c r="V99" s="1">
        <f t="shared" si="26"/>
        <v>2.8</v>
      </c>
      <c r="W99" s="5"/>
      <c r="X99" s="5">
        <f t="shared" si="27"/>
        <v>0</v>
      </c>
      <c r="Y99" s="1">
        <f t="shared" si="28"/>
        <v>11.428571428571429</v>
      </c>
      <c r="Z99" s="1">
        <f t="shared" si="29"/>
        <v>11.428571428571429</v>
      </c>
      <c r="AA99" s="1">
        <v>1.6</v>
      </c>
      <c r="AB99" s="1">
        <v>1.2</v>
      </c>
      <c r="AC99" s="1">
        <v>-0.2</v>
      </c>
      <c r="AD99" s="1">
        <v>-0.4</v>
      </c>
      <c r="AE99" s="1">
        <v>7.8</v>
      </c>
      <c r="AF99" s="1">
        <v>8.1999999999999993</v>
      </c>
      <c r="AG99" s="1">
        <v>3.6</v>
      </c>
      <c r="AH99" s="1">
        <v>3</v>
      </c>
      <c r="AI99" s="1">
        <v>6.8</v>
      </c>
      <c r="AJ99" s="1">
        <v>7.2</v>
      </c>
      <c r="AK99" s="1"/>
      <c r="AL99" s="1">
        <f t="shared" si="30"/>
        <v>0</v>
      </c>
      <c r="AM99" s="1"/>
      <c r="AN99" s="1"/>
      <c r="AO99" s="1"/>
      <c r="AP99" s="1"/>
      <c r="AQ99" s="1"/>
      <c r="AR99" s="1"/>
      <c r="AS99" s="1"/>
    </row>
    <row r="100" spans="1:45" x14ac:dyDescent="0.25">
      <c r="A100" s="1" t="s">
        <v>145</v>
      </c>
      <c r="B100" s="1" t="s">
        <v>38</v>
      </c>
      <c r="C100" s="1">
        <v>35.695999999999998</v>
      </c>
      <c r="D100" s="1">
        <v>5.7</v>
      </c>
      <c r="E100" s="1">
        <v>14.103</v>
      </c>
      <c r="F100" s="1">
        <v>21.593</v>
      </c>
      <c r="G100" s="7">
        <v>1</v>
      </c>
      <c r="H100" s="1">
        <v>55</v>
      </c>
      <c r="I100" s="1" t="s">
        <v>44</v>
      </c>
      <c r="J100" s="1"/>
      <c r="K100" s="1">
        <v>17.771000000000001</v>
      </c>
      <c r="L100" s="1">
        <f t="shared" si="24"/>
        <v>-3.668000000000001</v>
      </c>
      <c r="M100" s="1">
        <f t="shared" si="25"/>
        <v>14.103</v>
      </c>
      <c r="N100" s="1"/>
      <c r="O100" s="1"/>
      <c r="P100" s="1"/>
      <c r="Q100" s="1"/>
      <c r="R100" s="1">
        <v>16.328099999999999</v>
      </c>
      <c r="S100" s="1"/>
      <c r="T100" s="20"/>
      <c r="U100" s="20"/>
      <c r="V100" s="1">
        <f t="shared" si="26"/>
        <v>2.8205999999999998</v>
      </c>
      <c r="W100" s="5"/>
      <c r="X100" s="5">
        <f t="shared" si="27"/>
        <v>0</v>
      </c>
      <c r="Y100" s="1">
        <f t="shared" si="28"/>
        <v>13.444338084095582</v>
      </c>
      <c r="Z100" s="1">
        <f t="shared" si="29"/>
        <v>13.444338084095582</v>
      </c>
      <c r="AA100" s="1">
        <v>3.2389999999999999</v>
      </c>
      <c r="AB100" s="1">
        <v>3.242</v>
      </c>
      <c r="AC100" s="1">
        <v>2.7948</v>
      </c>
      <c r="AD100" s="1">
        <v>2.4352</v>
      </c>
      <c r="AE100" s="1">
        <v>2.0659999999999998</v>
      </c>
      <c r="AF100" s="1">
        <v>1.2347999999999999</v>
      </c>
      <c r="AG100" s="1">
        <v>1.871</v>
      </c>
      <c r="AH100" s="1">
        <v>3.4733999999999998</v>
      </c>
      <c r="AI100" s="1">
        <v>3.5244</v>
      </c>
      <c r="AJ100" s="1">
        <v>3.4784000000000002</v>
      </c>
      <c r="AK100" s="1"/>
      <c r="AL100" s="1">
        <f t="shared" si="30"/>
        <v>0</v>
      </c>
      <c r="AM100" s="1"/>
      <c r="AN100" s="1"/>
      <c r="AO100" s="1"/>
      <c r="AP100" s="1"/>
      <c r="AQ100" s="1"/>
      <c r="AR100" s="1"/>
      <c r="AS100" s="1"/>
    </row>
    <row r="101" spans="1:45" x14ac:dyDescent="0.25">
      <c r="A101" s="1" t="s">
        <v>146</v>
      </c>
      <c r="B101" s="1" t="s">
        <v>43</v>
      </c>
      <c r="C101" s="1">
        <v>-4</v>
      </c>
      <c r="D101" s="1"/>
      <c r="E101" s="1"/>
      <c r="F101" s="1">
        <v>-4</v>
      </c>
      <c r="G101" s="7">
        <v>0.11</v>
      </c>
      <c r="H101" s="1">
        <v>30</v>
      </c>
      <c r="I101" s="1" t="s">
        <v>44</v>
      </c>
      <c r="J101" s="1"/>
      <c r="K101" s="1">
        <v>191</v>
      </c>
      <c r="L101" s="1">
        <f t="shared" si="24"/>
        <v>-191</v>
      </c>
      <c r="M101" s="1">
        <f t="shared" si="25"/>
        <v>0</v>
      </c>
      <c r="N101" s="1"/>
      <c r="O101" s="1"/>
      <c r="P101" s="1"/>
      <c r="Q101" s="1"/>
      <c r="R101" s="1">
        <v>14.32</v>
      </c>
      <c r="S101" s="1"/>
      <c r="T101" s="20"/>
      <c r="U101" s="20"/>
      <c r="V101" s="1">
        <f t="shared" si="26"/>
        <v>0</v>
      </c>
      <c r="W101" s="5"/>
      <c r="X101" s="5">
        <f t="shared" si="27"/>
        <v>0</v>
      </c>
      <c r="Y101" s="1" t="e">
        <f t="shared" si="28"/>
        <v>#DIV/0!</v>
      </c>
      <c r="Z101" s="1" t="e">
        <f t="shared" si="29"/>
        <v>#DIV/0!</v>
      </c>
      <c r="AA101" s="1">
        <v>0.8</v>
      </c>
      <c r="AB101" s="1">
        <v>0.4</v>
      </c>
      <c r="AC101" s="1">
        <v>0.4</v>
      </c>
      <c r="AD101" s="1">
        <v>0.6</v>
      </c>
      <c r="AE101" s="1">
        <v>9.1999999999999993</v>
      </c>
      <c r="AF101" s="1">
        <v>8.1999999999999993</v>
      </c>
      <c r="AG101" s="1">
        <v>4.2</v>
      </c>
      <c r="AH101" s="1">
        <v>6.2</v>
      </c>
      <c r="AI101" s="1">
        <v>2</v>
      </c>
      <c r="AJ101" s="1">
        <v>0</v>
      </c>
      <c r="AK101" s="1"/>
      <c r="AL101" s="1">
        <f t="shared" si="30"/>
        <v>0</v>
      </c>
      <c r="AM101" s="1"/>
      <c r="AN101" s="1"/>
      <c r="AO101" s="1"/>
      <c r="AP101" s="1"/>
      <c r="AQ101" s="1"/>
      <c r="AR101" s="1"/>
      <c r="AS101" s="1"/>
    </row>
    <row r="102" spans="1:45" x14ac:dyDescent="0.25">
      <c r="A102" s="11" t="s">
        <v>147</v>
      </c>
      <c r="B102" s="11" t="s">
        <v>43</v>
      </c>
      <c r="C102" s="11"/>
      <c r="D102" s="11"/>
      <c r="E102" s="11"/>
      <c r="F102" s="11"/>
      <c r="G102" s="12">
        <v>0</v>
      </c>
      <c r="H102" s="11"/>
      <c r="I102" s="11" t="s">
        <v>44</v>
      </c>
      <c r="J102" s="11"/>
      <c r="K102" s="11"/>
      <c r="L102" s="11">
        <f t="shared" ref="L102:L131" si="36">E102-K102</f>
        <v>0</v>
      </c>
      <c r="M102" s="11">
        <f t="shared" si="25"/>
        <v>0</v>
      </c>
      <c r="N102" s="11"/>
      <c r="O102" s="11"/>
      <c r="P102" s="11"/>
      <c r="Q102" s="11"/>
      <c r="R102" s="11">
        <v>0</v>
      </c>
      <c r="S102" s="11"/>
      <c r="T102" s="22"/>
      <c r="U102" s="22"/>
      <c r="V102" s="11">
        <f t="shared" si="26"/>
        <v>0</v>
      </c>
      <c r="W102" s="13"/>
      <c r="X102" s="5">
        <f t="shared" si="27"/>
        <v>0</v>
      </c>
      <c r="Y102" s="1" t="e">
        <f t="shared" si="28"/>
        <v>#DIV/0!</v>
      </c>
      <c r="Z102" s="1" t="e">
        <f t="shared" si="29"/>
        <v>#DIV/0!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 t="s">
        <v>59</v>
      </c>
      <c r="AL102" s="1">
        <f t="shared" si="30"/>
        <v>0</v>
      </c>
      <c r="AM102" s="1"/>
      <c r="AN102" s="1"/>
      <c r="AO102" s="1"/>
      <c r="AP102" s="1"/>
      <c r="AQ102" s="1"/>
      <c r="AR102" s="1"/>
      <c r="AS102" s="1"/>
    </row>
    <row r="103" spans="1:45" x14ac:dyDescent="0.25">
      <c r="A103" s="1" t="s">
        <v>148</v>
      </c>
      <c r="B103" s="1" t="s">
        <v>43</v>
      </c>
      <c r="C103" s="1">
        <v>69</v>
      </c>
      <c r="D103" s="1">
        <v>643</v>
      </c>
      <c r="E103" s="1">
        <v>178</v>
      </c>
      <c r="F103" s="1">
        <v>477</v>
      </c>
      <c r="G103" s="7">
        <v>0.08</v>
      </c>
      <c r="H103" s="1">
        <v>45</v>
      </c>
      <c r="I103" s="1" t="s">
        <v>44</v>
      </c>
      <c r="J103" s="1"/>
      <c r="K103" s="1">
        <v>373</v>
      </c>
      <c r="L103" s="1">
        <f t="shared" si="36"/>
        <v>-195</v>
      </c>
      <c r="M103" s="1">
        <f t="shared" si="25"/>
        <v>178</v>
      </c>
      <c r="N103" s="1"/>
      <c r="O103" s="1"/>
      <c r="P103" s="1"/>
      <c r="Q103" s="1"/>
      <c r="R103" s="1">
        <v>0</v>
      </c>
      <c r="S103" s="1"/>
      <c r="T103" s="20"/>
      <c r="U103" s="20"/>
      <c r="V103" s="1">
        <f t="shared" si="26"/>
        <v>35.6</v>
      </c>
      <c r="W103" s="5"/>
      <c r="X103" s="5">
        <f t="shared" si="27"/>
        <v>0</v>
      </c>
      <c r="Y103" s="1">
        <f t="shared" si="28"/>
        <v>13.398876404494381</v>
      </c>
      <c r="Z103" s="1">
        <f t="shared" si="29"/>
        <v>13.398876404494381</v>
      </c>
      <c r="AA103" s="1">
        <v>40.4</v>
      </c>
      <c r="AB103" s="1">
        <v>39</v>
      </c>
      <c r="AC103" s="1">
        <v>49</v>
      </c>
      <c r="AD103" s="1">
        <v>45.4</v>
      </c>
      <c r="AE103" s="1">
        <v>45.2</v>
      </c>
      <c r="AF103" s="1">
        <v>38.799999999999997</v>
      </c>
      <c r="AG103" s="1">
        <v>35.200000000000003</v>
      </c>
      <c r="AH103" s="1">
        <v>31.2</v>
      </c>
      <c r="AI103" s="1">
        <v>23.2</v>
      </c>
      <c r="AJ103" s="1">
        <v>25.6</v>
      </c>
      <c r="AK103" s="1"/>
      <c r="AL103" s="1">
        <f t="shared" si="30"/>
        <v>0</v>
      </c>
      <c r="AM103" s="1"/>
      <c r="AN103" s="1"/>
      <c r="AO103" s="1"/>
      <c r="AP103" s="1"/>
      <c r="AQ103" s="1"/>
      <c r="AR103" s="1"/>
      <c r="AS103" s="1"/>
    </row>
    <row r="104" spans="1:45" x14ac:dyDescent="0.25">
      <c r="A104" s="1" t="s">
        <v>149</v>
      </c>
      <c r="B104" s="1" t="s">
        <v>43</v>
      </c>
      <c r="C104" s="1">
        <v>80</v>
      </c>
      <c r="D104" s="1">
        <v>51</v>
      </c>
      <c r="E104" s="1">
        <v>62</v>
      </c>
      <c r="F104" s="1">
        <v>40</v>
      </c>
      <c r="G104" s="7">
        <v>0.08</v>
      </c>
      <c r="H104" s="1">
        <v>45</v>
      </c>
      <c r="I104" s="1" t="s">
        <v>44</v>
      </c>
      <c r="J104" s="1"/>
      <c r="K104" s="1">
        <v>284</v>
      </c>
      <c r="L104" s="1">
        <f t="shared" si="36"/>
        <v>-222</v>
      </c>
      <c r="M104" s="1">
        <f t="shared" si="25"/>
        <v>62</v>
      </c>
      <c r="N104" s="1"/>
      <c r="O104" s="1"/>
      <c r="P104" s="1"/>
      <c r="Q104" s="1"/>
      <c r="R104" s="1">
        <v>120.4999999999999</v>
      </c>
      <c r="S104" s="1"/>
      <c r="T104" s="20"/>
      <c r="U104" s="20"/>
      <c r="V104" s="1">
        <f t="shared" si="26"/>
        <v>12.4</v>
      </c>
      <c r="W104" s="5"/>
      <c r="X104" s="5">
        <f t="shared" si="27"/>
        <v>0</v>
      </c>
      <c r="Y104" s="1">
        <f t="shared" si="28"/>
        <v>12.943548387096765</v>
      </c>
      <c r="Z104" s="1">
        <f t="shared" si="29"/>
        <v>12.943548387096765</v>
      </c>
      <c r="AA104" s="1">
        <v>32</v>
      </c>
      <c r="AB104" s="1">
        <v>30.4</v>
      </c>
      <c r="AC104" s="1">
        <v>36.200000000000003</v>
      </c>
      <c r="AD104" s="1">
        <v>26.6</v>
      </c>
      <c r="AE104" s="1">
        <v>26.8</v>
      </c>
      <c r="AF104" s="1">
        <v>29</v>
      </c>
      <c r="AG104" s="1">
        <v>16.8</v>
      </c>
      <c r="AH104" s="1">
        <v>6.8</v>
      </c>
      <c r="AI104" s="1">
        <v>16.2</v>
      </c>
      <c r="AJ104" s="1">
        <v>28.6</v>
      </c>
      <c r="AK104" s="1"/>
      <c r="AL104" s="1">
        <f t="shared" si="30"/>
        <v>0</v>
      </c>
      <c r="AM104" s="1"/>
      <c r="AN104" s="1"/>
      <c r="AO104" s="1"/>
      <c r="AP104" s="1"/>
      <c r="AQ104" s="1"/>
      <c r="AR104" s="1"/>
      <c r="AS104" s="1"/>
    </row>
    <row r="105" spans="1:45" x14ac:dyDescent="0.25">
      <c r="A105" s="1" t="s">
        <v>150</v>
      </c>
      <c r="B105" s="1" t="s">
        <v>43</v>
      </c>
      <c r="C105" s="1">
        <v>-1</v>
      </c>
      <c r="D105" s="1">
        <v>120</v>
      </c>
      <c r="E105" s="1">
        <v>12</v>
      </c>
      <c r="F105" s="1">
        <v>103</v>
      </c>
      <c r="G105" s="7">
        <v>0.17</v>
      </c>
      <c r="H105" s="1">
        <v>30</v>
      </c>
      <c r="I105" s="1" t="s">
        <v>44</v>
      </c>
      <c r="J105" s="1"/>
      <c r="K105" s="1">
        <v>135</v>
      </c>
      <c r="L105" s="1">
        <f t="shared" si="36"/>
        <v>-123</v>
      </c>
      <c r="M105" s="1">
        <f t="shared" si="25"/>
        <v>12</v>
      </c>
      <c r="N105" s="1"/>
      <c r="O105" s="1"/>
      <c r="P105" s="1"/>
      <c r="Q105" s="1"/>
      <c r="R105" s="1">
        <v>0</v>
      </c>
      <c r="S105" s="1"/>
      <c r="T105" s="20"/>
      <c r="U105" s="20"/>
      <c r="V105" s="1">
        <f t="shared" si="26"/>
        <v>2.4</v>
      </c>
      <c r="W105" s="5"/>
      <c r="X105" s="5">
        <f t="shared" si="27"/>
        <v>0</v>
      </c>
      <c r="Y105" s="1">
        <f t="shared" si="28"/>
        <v>42.916666666666671</v>
      </c>
      <c r="Z105" s="1">
        <f t="shared" si="29"/>
        <v>42.916666666666671</v>
      </c>
      <c r="AA105" s="1">
        <v>3.2</v>
      </c>
      <c r="AB105" s="1">
        <v>8</v>
      </c>
      <c r="AC105" s="1">
        <v>9.1999999999999993</v>
      </c>
      <c r="AD105" s="1">
        <v>7.8</v>
      </c>
      <c r="AE105" s="1">
        <v>2.6</v>
      </c>
      <c r="AF105" s="1">
        <v>1.4</v>
      </c>
      <c r="AG105" s="1">
        <v>5</v>
      </c>
      <c r="AH105" s="1">
        <v>3.2</v>
      </c>
      <c r="AI105" s="1">
        <v>-0.8</v>
      </c>
      <c r="AJ105" s="1">
        <v>1.2</v>
      </c>
      <c r="AK105" s="1"/>
      <c r="AL105" s="1">
        <f t="shared" si="30"/>
        <v>0</v>
      </c>
      <c r="AM105" s="1"/>
      <c r="AN105" s="1"/>
      <c r="AO105" s="1"/>
      <c r="AP105" s="1"/>
      <c r="AQ105" s="1"/>
      <c r="AR105" s="1"/>
      <c r="AS105" s="1"/>
    </row>
    <row r="106" spans="1:45" x14ac:dyDescent="0.25">
      <c r="A106" s="1" t="s">
        <v>151</v>
      </c>
      <c r="B106" s="1" t="s">
        <v>38</v>
      </c>
      <c r="C106" s="1">
        <v>206.173</v>
      </c>
      <c r="D106" s="1">
        <v>504.36099999999999</v>
      </c>
      <c r="E106" s="1">
        <v>174.78399999999999</v>
      </c>
      <c r="F106" s="1">
        <v>493.42099999999999</v>
      </c>
      <c r="G106" s="7">
        <v>1</v>
      </c>
      <c r="H106" s="1">
        <v>40</v>
      </c>
      <c r="I106" s="1" t="s">
        <v>44</v>
      </c>
      <c r="J106" s="1"/>
      <c r="K106" s="1">
        <v>334.01299999999998</v>
      </c>
      <c r="L106" s="1">
        <f t="shared" si="36"/>
        <v>-159.22899999999998</v>
      </c>
      <c r="M106" s="1">
        <f t="shared" si="25"/>
        <v>174.78399999999999</v>
      </c>
      <c r="N106" s="1"/>
      <c r="O106" s="1"/>
      <c r="P106" s="1"/>
      <c r="Q106" s="1"/>
      <c r="R106" s="1">
        <v>0</v>
      </c>
      <c r="S106" s="1"/>
      <c r="T106" s="20"/>
      <c r="U106" s="20"/>
      <c r="V106" s="1">
        <f t="shared" si="26"/>
        <v>34.956800000000001</v>
      </c>
      <c r="W106" s="5"/>
      <c r="X106" s="5">
        <f t="shared" si="27"/>
        <v>0</v>
      </c>
      <c r="Y106" s="1">
        <f t="shared" si="28"/>
        <v>14.115165003661662</v>
      </c>
      <c r="Z106" s="1">
        <f t="shared" si="29"/>
        <v>14.115165003661662</v>
      </c>
      <c r="AA106" s="1">
        <v>41.598399999999998</v>
      </c>
      <c r="AB106" s="1">
        <v>45.939</v>
      </c>
      <c r="AC106" s="1">
        <v>53.251199999999997</v>
      </c>
      <c r="AD106" s="1">
        <v>53.023000000000003</v>
      </c>
      <c r="AE106" s="1">
        <v>48.691000000000003</v>
      </c>
      <c r="AF106" s="1">
        <v>50.067399999999999</v>
      </c>
      <c r="AG106" s="1">
        <v>53.2864</v>
      </c>
      <c r="AH106" s="1">
        <v>50.620199999999997</v>
      </c>
      <c r="AI106" s="1">
        <v>59.324399999999997</v>
      </c>
      <c r="AJ106" s="1">
        <v>63.511800000000008</v>
      </c>
      <c r="AK106" s="1"/>
      <c r="AL106" s="1">
        <f t="shared" si="30"/>
        <v>0</v>
      </c>
      <c r="AM106" s="1"/>
      <c r="AN106" s="1"/>
      <c r="AO106" s="1"/>
      <c r="AP106" s="1"/>
      <c r="AQ106" s="1"/>
      <c r="AR106" s="1"/>
      <c r="AS106" s="1"/>
    </row>
    <row r="107" spans="1:45" x14ac:dyDescent="0.25">
      <c r="A107" s="1" t="s">
        <v>152</v>
      </c>
      <c r="B107" s="1" t="s">
        <v>38</v>
      </c>
      <c r="C107" s="1">
        <v>46.933999999999997</v>
      </c>
      <c r="D107" s="1">
        <v>156.77500000000001</v>
      </c>
      <c r="E107" s="1">
        <v>69.006</v>
      </c>
      <c r="F107" s="1">
        <v>127.46599999999999</v>
      </c>
      <c r="G107" s="7">
        <v>1</v>
      </c>
      <c r="H107" s="1">
        <v>40</v>
      </c>
      <c r="I107" s="1" t="s">
        <v>44</v>
      </c>
      <c r="J107" s="1"/>
      <c r="K107" s="1">
        <v>121.28</v>
      </c>
      <c r="L107" s="1">
        <f t="shared" si="36"/>
        <v>-52.274000000000001</v>
      </c>
      <c r="M107" s="1">
        <f t="shared" si="25"/>
        <v>69.006</v>
      </c>
      <c r="N107" s="1"/>
      <c r="O107" s="1"/>
      <c r="P107" s="1"/>
      <c r="Q107" s="1">
        <f>-1*VLOOKUP(A107,[1]TDSheet!$A:$B,2,0)</f>
        <v>-43.28</v>
      </c>
      <c r="R107" s="1">
        <v>0</v>
      </c>
      <c r="S107" s="1"/>
      <c r="T107" s="20"/>
      <c r="U107" s="20"/>
      <c r="V107" s="1">
        <f t="shared" si="26"/>
        <v>5.1452</v>
      </c>
      <c r="W107" s="5"/>
      <c r="X107" s="5">
        <f t="shared" si="27"/>
        <v>0</v>
      </c>
      <c r="Y107" s="1">
        <f t="shared" si="28"/>
        <v>24.773769727124307</v>
      </c>
      <c r="Z107" s="1">
        <f t="shared" si="29"/>
        <v>24.773769727124307</v>
      </c>
      <c r="AA107" s="1">
        <v>6.1728000000000014</v>
      </c>
      <c r="AB107" s="1">
        <v>6.9261999999999997</v>
      </c>
      <c r="AC107" s="1">
        <v>11.025399999999999</v>
      </c>
      <c r="AD107" s="1">
        <v>19.4436</v>
      </c>
      <c r="AE107" s="1">
        <v>17.420200000000001</v>
      </c>
      <c r="AF107" s="1">
        <v>11.458399999999999</v>
      </c>
      <c r="AG107" s="1">
        <v>14.843</v>
      </c>
      <c r="AH107" s="1">
        <v>14.2028</v>
      </c>
      <c r="AI107" s="1">
        <v>11.4068</v>
      </c>
      <c r="AJ107" s="1">
        <v>14.0228</v>
      </c>
      <c r="AK107" s="9" t="s">
        <v>50</v>
      </c>
      <c r="AL107" s="1">
        <f t="shared" si="30"/>
        <v>0</v>
      </c>
      <c r="AM107" s="1"/>
      <c r="AN107" s="1"/>
      <c r="AO107" s="1"/>
      <c r="AP107" s="1"/>
      <c r="AQ107" s="1"/>
      <c r="AR107" s="1"/>
      <c r="AS107" s="1"/>
    </row>
    <row r="108" spans="1:45" x14ac:dyDescent="0.25">
      <c r="A108" s="1" t="s">
        <v>153</v>
      </c>
      <c r="B108" s="1" t="s">
        <v>38</v>
      </c>
      <c r="C108" s="1">
        <v>205.88300000000001</v>
      </c>
      <c r="D108" s="1">
        <v>277.35199999999998</v>
      </c>
      <c r="E108" s="1">
        <v>113.05500000000001</v>
      </c>
      <c r="F108" s="1">
        <v>347.78399999999999</v>
      </c>
      <c r="G108" s="7">
        <v>1</v>
      </c>
      <c r="H108" s="1">
        <v>40</v>
      </c>
      <c r="I108" s="1" t="s">
        <v>44</v>
      </c>
      <c r="J108" s="1"/>
      <c r="K108" s="1">
        <v>271.8</v>
      </c>
      <c r="L108" s="1">
        <f t="shared" si="36"/>
        <v>-158.745</v>
      </c>
      <c r="M108" s="1">
        <f t="shared" si="25"/>
        <v>113.05500000000001</v>
      </c>
      <c r="N108" s="1"/>
      <c r="O108" s="1"/>
      <c r="P108" s="1"/>
      <c r="Q108" s="1"/>
      <c r="R108" s="1">
        <v>0</v>
      </c>
      <c r="S108" s="1"/>
      <c r="T108" s="20"/>
      <c r="U108" s="20"/>
      <c r="V108" s="1">
        <f t="shared" si="26"/>
        <v>22.611000000000001</v>
      </c>
      <c r="W108" s="5"/>
      <c r="X108" s="5">
        <f t="shared" si="27"/>
        <v>0</v>
      </c>
      <c r="Y108" s="1">
        <f t="shared" si="28"/>
        <v>15.38118614833488</v>
      </c>
      <c r="Z108" s="1">
        <f t="shared" si="29"/>
        <v>15.38118614833488</v>
      </c>
      <c r="AA108" s="1">
        <v>27.788799999999998</v>
      </c>
      <c r="AB108" s="1">
        <v>32.3598</v>
      </c>
      <c r="AC108" s="1">
        <v>36.879600000000003</v>
      </c>
      <c r="AD108" s="1">
        <v>41.132800000000003</v>
      </c>
      <c r="AE108" s="1">
        <v>45.424199999999999</v>
      </c>
      <c r="AF108" s="1">
        <v>42.593600000000002</v>
      </c>
      <c r="AG108" s="1">
        <v>39.310600000000001</v>
      </c>
      <c r="AH108" s="1">
        <v>37.340800000000002</v>
      </c>
      <c r="AI108" s="1">
        <v>46.566600000000001</v>
      </c>
      <c r="AJ108" s="1">
        <v>47.993400000000001</v>
      </c>
      <c r="AK108" s="1"/>
      <c r="AL108" s="1">
        <f t="shared" si="30"/>
        <v>0</v>
      </c>
      <c r="AM108" s="1"/>
      <c r="AN108" s="1"/>
      <c r="AO108" s="1"/>
      <c r="AP108" s="1"/>
      <c r="AQ108" s="1"/>
      <c r="AR108" s="1"/>
      <c r="AS108" s="1"/>
    </row>
    <row r="109" spans="1:45" x14ac:dyDescent="0.25">
      <c r="A109" s="1" t="s">
        <v>154</v>
      </c>
      <c r="B109" s="1" t="s">
        <v>43</v>
      </c>
      <c r="C109" s="1">
        <v>2</v>
      </c>
      <c r="D109" s="1">
        <v>140</v>
      </c>
      <c r="E109" s="1">
        <v>29</v>
      </c>
      <c r="F109" s="1">
        <v>111</v>
      </c>
      <c r="G109" s="7">
        <v>0.3</v>
      </c>
      <c r="H109" s="1">
        <v>45</v>
      </c>
      <c r="I109" s="1" t="s">
        <v>44</v>
      </c>
      <c r="J109" s="1"/>
      <c r="K109" s="1">
        <v>71</v>
      </c>
      <c r="L109" s="1">
        <f t="shared" si="36"/>
        <v>-42</v>
      </c>
      <c r="M109" s="1">
        <f t="shared" si="25"/>
        <v>29</v>
      </c>
      <c r="N109" s="1"/>
      <c r="O109" s="1"/>
      <c r="P109" s="1"/>
      <c r="Q109" s="1"/>
      <c r="R109" s="1">
        <v>0</v>
      </c>
      <c r="S109" s="1"/>
      <c r="T109" s="20"/>
      <c r="U109" s="20"/>
      <c r="V109" s="1">
        <f t="shared" si="26"/>
        <v>5.8</v>
      </c>
      <c r="W109" s="5"/>
      <c r="X109" s="5">
        <f t="shared" si="27"/>
        <v>0</v>
      </c>
      <c r="Y109" s="1">
        <f t="shared" si="28"/>
        <v>19.137931034482758</v>
      </c>
      <c r="Z109" s="1">
        <f t="shared" si="29"/>
        <v>19.137931034482758</v>
      </c>
      <c r="AA109" s="1">
        <v>0.6</v>
      </c>
      <c r="AB109" s="1">
        <v>0.6</v>
      </c>
      <c r="AC109" s="1">
        <v>3.8</v>
      </c>
      <c r="AD109" s="1">
        <v>12.4</v>
      </c>
      <c r="AE109" s="1">
        <v>11.2</v>
      </c>
      <c r="AF109" s="1">
        <v>2.8</v>
      </c>
      <c r="AG109" s="1">
        <v>2.6</v>
      </c>
      <c r="AH109" s="1">
        <v>6.4</v>
      </c>
      <c r="AI109" s="1">
        <v>8</v>
      </c>
      <c r="AJ109" s="1">
        <v>8.8000000000000007</v>
      </c>
      <c r="AK109" s="1"/>
      <c r="AL109" s="1">
        <f t="shared" si="30"/>
        <v>0</v>
      </c>
      <c r="AM109" s="1"/>
      <c r="AN109" s="1"/>
      <c r="AO109" s="1"/>
      <c r="AP109" s="1"/>
      <c r="AQ109" s="1"/>
      <c r="AR109" s="1"/>
      <c r="AS109" s="1"/>
    </row>
    <row r="110" spans="1:45" x14ac:dyDescent="0.25">
      <c r="A110" s="1" t="s">
        <v>155</v>
      </c>
      <c r="B110" s="1" t="s">
        <v>38</v>
      </c>
      <c r="C110" s="1">
        <v>-8.0000000000000002E-3</v>
      </c>
      <c r="D110" s="1">
        <v>21.774999999999999</v>
      </c>
      <c r="E110" s="1"/>
      <c r="F110" s="1">
        <v>21.766999999999999</v>
      </c>
      <c r="G110" s="7">
        <v>1</v>
      </c>
      <c r="H110" s="1">
        <v>55</v>
      </c>
      <c r="I110" s="1" t="s">
        <v>44</v>
      </c>
      <c r="J110" s="1"/>
      <c r="K110" s="1"/>
      <c r="L110" s="1">
        <f t="shared" si="36"/>
        <v>0</v>
      </c>
      <c r="M110" s="1">
        <f t="shared" si="25"/>
        <v>0</v>
      </c>
      <c r="N110" s="1"/>
      <c r="O110" s="1"/>
      <c r="P110" s="1"/>
      <c r="Q110" s="1"/>
      <c r="R110" s="1">
        <v>0</v>
      </c>
      <c r="S110" s="1"/>
      <c r="T110" s="20"/>
      <c r="U110" s="20"/>
      <c r="V110" s="1">
        <f t="shared" si="26"/>
        <v>0</v>
      </c>
      <c r="W110" s="5"/>
      <c r="X110" s="5">
        <f t="shared" si="27"/>
        <v>0</v>
      </c>
      <c r="Y110" s="1" t="e">
        <f t="shared" si="28"/>
        <v>#DIV/0!</v>
      </c>
      <c r="Z110" s="1" t="e">
        <f t="shared" si="29"/>
        <v>#DIV/0!</v>
      </c>
      <c r="AA110" s="1">
        <v>0.40500000000000003</v>
      </c>
      <c r="AB110" s="1">
        <v>0.40500000000000003</v>
      </c>
      <c r="AC110" s="1">
        <v>1.224</v>
      </c>
      <c r="AD110" s="1">
        <v>0.5544</v>
      </c>
      <c r="AE110" s="1">
        <v>-0.2646</v>
      </c>
      <c r="AF110" s="1">
        <v>0</v>
      </c>
      <c r="AG110" s="1">
        <v>0</v>
      </c>
      <c r="AH110" s="1">
        <v>0</v>
      </c>
      <c r="AI110" s="1">
        <v>-0.27200000000000002</v>
      </c>
      <c r="AJ110" s="1">
        <v>0</v>
      </c>
      <c r="AK110" s="1"/>
      <c r="AL110" s="1">
        <f t="shared" si="30"/>
        <v>0</v>
      </c>
      <c r="AM110" s="1"/>
      <c r="AN110" s="1"/>
      <c r="AO110" s="1"/>
      <c r="AP110" s="1"/>
      <c r="AQ110" s="1"/>
      <c r="AR110" s="1"/>
      <c r="AS110" s="1"/>
    </row>
    <row r="111" spans="1:45" x14ac:dyDescent="0.25">
      <c r="A111" s="1" t="s">
        <v>156</v>
      </c>
      <c r="B111" s="1" t="s">
        <v>43</v>
      </c>
      <c r="C111" s="1">
        <v>326</v>
      </c>
      <c r="D111" s="1">
        <v>643</v>
      </c>
      <c r="E111" s="1">
        <v>302</v>
      </c>
      <c r="F111" s="1">
        <v>587</v>
      </c>
      <c r="G111" s="7">
        <v>0.28000000000000003</v>
      </c>
      <c r="H111" s="1">
        <v>40</v>
      </c>
      <c r="I111" s="1" t="s">
        <v>44</v>
      </c>
      <c r="J111" s="1"/>
      <c r="K111" s="1">
        <v>508</v>
      </c>
      <c r="L111" s="1">
        <f t="shared" si="36"/>
        <v>-206</v>
      </c>
      <c r="M111" s="1">
        <f t="shared" si="25"/>
        <v>302</v>
      </c>
      <c r="N111" s="1"/>
      <c r="O111" s="1"/>
      <c r="P111" s="1"/>
      <c r="Q111" s="1"/>
      <c r="R111" s="1">
        <v>0</v>
      </c>
      <c r="S111" s="1"/>
      <c r="T111" s="20"/>
      <c r="U111" s="20"/>
      <c r="V111" s="1">
        <f t="shared" si="26"/>
        <v>60.4</v>
      </c>
      <c r="W111" s="5">
        <f t="shared" ref="W111:W113" si="37">12*V111-R111-P111-O111-F111</f>
        <v>137.79999999999995</v>
      </c>
      <c r="X111" s="5">
        <f>IF(W111+$X$1*V111&lt;0,0,W111+$X$1*V111)</f>
        <v>47.803999999999959</v>
      </c>
      <c r="Y111" s="1">
        <f t="shared" si="28"/>
        <v>10.51</v>
      </c>
      <c r="Z111" s="1">
        <f t="shared" si="29"/>
        <v>9.7185430463576168</v>
      </c>
      <c r="AA111" s="1">
        <v>51.8</v>
      </c>
      <c r="AB111" s="1">
        <v>57</v>
      </c>
      <c r="AC111" s="1">
        <v>70</v>
      </c>
      <c r="AD111" s="1">
        <v>76.8</v>
      </c>
      <c r="AE111" s="1">
        <v>82.8</v>
      </c>
      <c r="AF111" s="1">
        <v>77.599999999999994</v>
      </c>
      <c r="AG111" s="1">
        <v>66.8</v>
      </c>
      <c r="AH111" s="1">
        <v>79.2</v>
      </c>
      <c r="AI111" s="1">
        <v>89.4</v>
      </c>
      <c r="AJ111" s="1">
        <v>80.2</v>
      </c>
      <c r="AK111" s="1"/>
      <c r="AL111" s="1">
        <f t="shared" si="30"/>
        <v>13</v>
      </c>
      <c r="AM111" s="1"/>
      <c r="AN111" s="1"/>
      <c r="AO111" s="1"/>
      <c r="AP111" s="1"/>
      <c r="AQ111" s="1"/>
      <c r="AR111" s="1"/>
      <c r="AS111" s="1"/>
    </row>
    <row r="112" spans="1:45" x14ac:dyDescent="0.25">
      <c r="A112" s="1" t="s">
        <v>157</v>
      </c>
      <c r="B112" s="1" t="s">
        <v>43</v>
      </c>
      <c r="C112" s="1">
        <v>24</v>
      </c>
      <c r="D112" s="1">
        <v>858</v>
      </c>
      <c r="E112" s="1">
        <v>245.274</v>
      </c>
      <c r="F112" s="1">
        <v>570.726</v>
      </c>
      <c r="G112" s="7">
        <v>0.28000000000000003</v>
      </c>
      <c r="H112" s="1">
        <v>40</v>
      </c>
      <c r="I112" s="1" t="s">
        <v>44</v>
      </c>
      <c r="J112" s="1"/>
      <c r="K112" s="1">
        <v>483</v>
      </c>
      <c r="L112" s="1">
        <f t="shared" si="36"/>
        <v>-237.726</v>
      </c>
      <c r="M112" s="1">
        <f t="shared" si="25"/>
        <v>245.274</v>
      </c>
      <c r="N112" s="1"/>
      <c r="O112" s="1"/>
      <c r="P112" s="1"/>
      <c r="Q112" s="1"/>
      <c r="R112" s="1">
        <v>0</v>
      </c>
      <c r="S112" s="1"/>
      <c r="T112" s="20"/>
      <c r="U112" s="20"/>
      <c r="V112" s="1">
        <f t="shared" si="26"/>
        <v>49.0548</v>
      </c>
      <c r="W112" s="5">
        <f t="shared" si="37"/>
        <v>17.931600000000003</v>
      </c>
      <c r="X112" s="5">
        <f t="shared" si="27"/>
        <v>17.931600000000003</v>
      </c>
      <c r="Y112" s="1">
        <f t="shared" si="28"/>
        <v>12</v>
      </c>
      <c r="Z112" s="1">
        <f t="shared" si="29"/>
        <v>11.634457790063358</v>
      </c>
      <c r="AA112" s="1">
        <v>24.854800000000001</v>
      </c>
      <c r="AB112" s="1">
        <v>32.654800000000002</v>
      </c>
      <c r="AC112" s="1">
        <v>50.4</v>
      </c>
      <c r="AD112" s="1">
        <v>91.8</v>
      </c>
      <c r="AE112" s="1">
        <v>43.6</v>
      </c>
      <c r="AF112" s="1">
        <v>2</v>
      </c>
      <c r="AG112" s="1">
        <v>40.4</v>
      </c>
      <c r="AH112" s="1">
        <v>50.8</v>
      </c>
      <c r="AI112" s="1">
        <v>10.4</v>
      </c>
      <c r="AJ112" s="1">
        <v>0</v>
      </c>
      <c r="AK112" s="1"/>
      <c r="AL112" s="1">
        <f t="shared" si="30"/>
        <v>5</v>
      </c>
      <c r="AM112" s="1"/>
      <c r="AN112" s="1"/>
      <c r="AO112" s="1"/>
      <c r="AP112" s="1"/>
      <c r="AQ112" s="1"/>
      <c r="AR112" s="1"/>
      <c r="AS112" s="1"/>
    </row>
    <row r="113" spans="1:45" x14ac:dyDescent="0.25">
      <c r="A113" s="1" t="s">
        <v>158</v>
      </c>
      <c r="B113" s="1" t="s">
        <v>43</v>
      </c>
      <c r="C113" s="1">
        <v>69</v>
      </c>
      <c r="D113" s="1">
        <v>1284</v>
      </c>
      <c r="E113" s="1">
        <v>495.5</v>
      </c>
      <c r="F113" s="1">
        <v>747.5</v>
      </c>
      <c r="G113" s="7">
        <v>0.28000000000000003</v>
      </c>
      <c r="H113" s="1">
        <v>40</v>
      </c>
      <c r="I113" s="1" t="s">
        <v>44</v>
      </c>
      <c r="J113" s="1"/>
      <c r="K113" s="1">
        <v>841</v>
      </c>
      <c r="L113" s="1">
        <f t="shared" si="36"/>
        <v>-345.5</v>
      </c>
      <c r="M113" s="1">
        <f t="shared" si="25"/>
        <v>495.5</v>
      </c>
      <c r="N113" s="1"/>
      <c r="O113" s="1"/>
      <c r="P113" s="1"/>
      <c r="Q113" s="1">
        <f>-1*VLOOKUP(A113,[1]TDSheet!$A:$B,2,0)</f>
        <v>-60</v>
      </c>
      <c r="R113" s="1">
        <v>0</v>
      </c>
      <c r="S113" s="1"/>
      <c r="T113" s="20"/>
      <c r="U113" s="20"/>
      <c r="V113" s="1">
        <f t="shared" si="26"/>
        <v>87.1</v>
      </c>
      <c r="W113" s="5">
        <f t="shared" si="37"/>
        <v>297.69999999999982</v>
      </c>
      <c r="X113" s="5">
        <f>IF(W113+$X$1*V113&lt;0,0,W113+$X$1*V113)</f>
        <v>167.92099999999982</v>
      </c>
      <c r="Y113" s="1">
        <f t="shared" si="28"/>
        <v>10.509999999999998</v>
      </c>
      <c r="Z113" s="1">
        <f t="shared" si="29"/>
        <v>8.5820895522388057</v>
      </c>
      <c r="AA113" s="1">
        <v>78.7</v>
      </c>
      <c r="AB113" s="1">
        <v>78.5</v>
      </c>
      <c r="AC113" s="1">
        <v>103.2</v>
      </c>
      <c r="AD113" s="1">
        <v>101.8</v>
      </c>
      <c r="AE113" s="1">
        <v>99</v>
      </c>
      <c r="AF113" s="1">
        <v>77.8</v>
      </c>
      <c r="AG113" s="1">
        <v>86.6</v>
      </c>
      <c r="AH113" s="1">
        <v>107</v>
      </c>
      <c r="AI113" s="1">
        <v>107.8</v>
      </c>
      <c r="AJ113" s="1">
        <v>88.6</v>
      </c>
      <c r="AK113" s="1"/>
      <c r="AL113" s="1">
        <f t="shared" si="30"/>
        <v>47</v>
      </c>
      <c r="AM113" s="1"/>
      <c r="AN113" s="1"/>
      <c r="AO113" s="1"/>
      <c r="AP113" s="1"/>
      <c r="AQ113" s="1"/>
      <c r="AR113" s="1"/>
      <c r="AS113" s="1"/>
    </row>
    <row r="114" spans="1:45" x14ac:dyDescent="0.25">
      <c r="A114" s="1" t="s">
        <v>159</v>
      </c>
      <c r="B114" s="1" t="s">
        <v>43</v>
      </c>
      <c r="C114" s="1">
        <v>17</v>
      </c>
      <c r="D114" s="1">
        <v>97</v>
      </c>
      <c r="E114" s="1">
        <v>27</v>
      </c>
      <c r="F114" s="1">
        <v>68</v>
      </c>
      <c r="G114" s="7">
        <v>0.09</v>
      </c>
      <c r="H114" s="1">
        <v>45</v>
      </c>
      <c r="I114" s="1" t="s">
        <v>44</v>
      </c>
      <c r="J114" s="1"/>
      <c r="K114" s="1">
        <v>102</v>
      </c>
      <c r="L114" s="1">
        <f t="shared" si="36"/>
        <v>-75</v>
      </c>
      <c r="M114" s="1">
        <f t="shared" si="25"/>
        <v>27</v>
      </c>
      <c r="N114" s="1"/>
      <c r="O114" s="1"/>
      <c r="P114" s="1"/>
      <c r="Q114" s="1"/>
      <c r="R114" s="1">
        <v>54.02000000000001</v>
      </c>
      <c r="S114" s="1"/>
      <c r="T114" s="20"/>
      <c r="U114" s="20"/>
      <c r="V114" s="1">
        <f t="shared" si="26"/>
        <v>5.4</v>
      </c>
      <c r="W114" s="5"/>
      <c r="X114" s="5">
        <f t="shared" si="27"/>
        <v>0</v>
      </c>
      <c r="Y114" s="1">
        <f t="shared" si="28"/>
        <v>22.596296296296298</v>
      </c>
      <c r="Z114" s="1">
        <f t="shared" si="29"/>
        <v>22.596296296296298</v>
      </c>
      <c r="AA114" s="1">
        <v>9.8000000000000007</v>
      </c>
      <c r="AB114" s="1">
        <v>6.6</v>
      </c>
      <c r="AC114" s="1">
        <v>10</v>
      </c>
      <c r="AD114" s="1">
        <v>8.1999999999999993</v>
      </c>
      <c r="AE114" s="1">
        <v>7.6</v>
      </c>
      <c r="AF114" s="1">
        <v>7.2</v>
      </c>
      <c r="AG114" s="1">
        <v>5.2</v>
      </c>
      <c r="AH114" s="1">
        <v>4</v>
      </c>
      <c r="AI114" s="1">
        <v>2</v>
      </c>
      <c r="AJ114" s="1">
        <v>0</v>
      </c>
      <c r="AK114" s="1"/>
      <c r="AL114" s="1">
        <f t="shared" si="30"/>
        <v>0</v>
      </c>
      <c r="AM114" s="1"/>
      <c r="AN114" s="1"/>
      <c r="AO114" s="1"/>
      <c r="AP114" s="1"/>
      <c r="AQ114" s="1"/>
      <c r="AR114" s="1"/>
      <c r="AS114" s="1"/>
    </row>
    <row r="115" spans="1:45" x14ac:dyDescent="0.25">
      <c r="A115" s="11" t="s">
        <v>160</v>
      </c>
      <c r="B115" s="11" t="s">
        <v>38</v>
      </c>
      <c r="C115" s="11">
        <v>71.524000000000001</v>
      </c>
      <c r="D115" s="11">
        <v>8.1029999999999998</v>
      </c>
      <c r="E115" s="11">
        <v>5.4249999999999998</v>
      </c>
      <c r="F115" s="11">
        <v>66.099000000000004</v>
      </c>
      <c r="G115" s="12">
        <v>0</v>
      </c>
      <c r="H115" s="11">
        <v>55</v>
      </c>
      <c r="I115" s="11" t="s">
        <v>72</v>
      </c>
      <c r="J115" s="11"/>
      <c r="K115" s="11">
        <v>13.2</v>
      </c>
      <c r="L115" s="11">
        <f t="shared" si="36"/>
        <v>-7.7749999999999995</v>
      </c>
      <c r="M115" s="11">
        <f t="shared" si="25"/>
        <v>5.4249999999999998</v>
      </c>
      <c r="N115" s="11"/>
      <c r="O115" s="11"/>
      <c r="P115" s="11"/>
      <c r="Q115" s="11"/>
      <c r="R115" s="11">
        <v>0</v>
      </c>
      <c r="S115" s="11"/>
      <c r="T115" s="22"/>
      <c r="U115" s="22"/>
      <c r="V115" s="11">
        <f t="shared" si="26"/>
        <v>1.085</v>
      </c>
      <c r="W115" s="13"/>
      <c r="X115" s="5">
        <f t="shared" si="27"/>
        <v>0</v>
      </c>
      <c r="Y115" s="1">
        <f t="shared" si="28"/>
        <v>60.920737327188945</v>
      </c>
      <c r="Z115" s="1">
        <f t="shared" si="29"/>
        <v>60.920737327188945</v>
      </c>
      <c r="AA115" s="11">
        <v>1.8994</v>
      </c>
      <c r="AB115" s="11">
        <v>2.1669999999999998</v>
      </c>
      <c r="AC115" s="11">
        <v>2.1669999999999998</v>
      </c>
      <c r="AD115" s="11">
        <v>0.80959999999999999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4" t="s">
        <v>52</v>
      </c>
      <c r="AL115" s="1">
        <f t="shared" si="30"/>
        <v>0</v>
      </c>
      <c r="AM115" s="1"/>
      <c r="AN115" s="1"/>
      <c r="AO115" s="1"/>
      <c r="AP115" s="1"/>
      <c r="AQ115" s="1"/>
      <c r="AR115" s="1"/>
      <c r="AS115" s="1"/>
    </row>
    <row r="116" spans="1:45" x14ac:dyDescent="0.25">
      <c r="A116" s="1" t="s">
        <v>161</v>
      </c>
      <c r="B116" s="1" t="s">
        <v>38</v>
      </c>
      <c r="C116" s="1">
        <v>94.509</v>
      </c>
      <c r="D116" s="1">
        <v>64.819000000000003</v>
      </c>
      <c r="E116" s="1">
        <v>28.26</v>
      </c>
      <c r="F116" s="1">
        <v>123.43300000000001</v>
      </c>
      <c r="G116" s="7">
        <v>1</v>
      </c>
      <c r="H116" s="1">
        <v>60</v>
      </c>
      <c r="I116" s="1" t="s">
        <v>44</v>
      </c>
      <c r="J116" s="1"/>
      <c r="K116" s="1">
        <v>80</v>
      </c>
      <c r="L116" s="1">
        <f t="shared" si="36"/>
        <v>-51.739999999999995</v>
      </c>
      <c r="M116" s="1">
        <f t="shared" si="25"/>
        <v>28.26</v>
      </c>
      <c r="N116" s="1"/>
      <c r="O116" s="1"/>
      <c r="P116" s="1"/>
      <c r="Q116" s="1"/>
      <c r="R116" s="1">
        <v>0</v>
      </c>
      <c r="S116" s="1"/>
      <c r="T116" s="20"/>
      <c r="U116" s="20"/>
      <c r="V116" s="1">
        <f t="shared" si="26"/>
        <v>5.6520000000000001</v>
      </c>
      <c r="W116" s="5"/>
      <c r="X116" s="5">
        <f t="shared" si="27"/>
        <v>0</v>
      </c>
      <c r="Y116" s="1">
        <f t="shared" si="28"/>
        <v>21.838818117480539</v>
      </c>
      <c r="Z116" s="1">
        <f t="shared" si="29"/>
        <v>21.838818117480539</v>
      </c>
      <c r="AA116" s="1">
        <v>6.5449999999999999</v>
      </c>
      <c r="AB116" s="1">
        <v>9.0909999999999993</v>
      </c>
      <c r="AC116" s="1">
        <v>11.584199999999999</v>
      </c>
      <c r="AD116" s="1">
        <v>9.4443999999999999</v>
      </c>
      <c r="AE116" s="1">
        <v>10.747999999999999</v>
      </c>
      <c r="AF116" s="1">
        <v>14.030799999999999</v>
      </c>
      <c r="AG116" s="1">
        <v>8.6370000000000005</v>
      </c>
      <c r="AH116" s="1">
        <v>10.106199999999999</v>
      </c>
      <c r="AI116" s="1">
        <v>14.573</v>
      </c>
      <c r="AJ116" s="1">
        <v>12.059799999999999</v>
      </c>
      <c r="AK116" s="14" t="s">
        <v>52</v>
      </c>
      <c r="AL116" s="1">
        <f t="shared" si="30"/>
        <v>0</v>
      </c>
      <c r="AM116" s="1"/>
      <c r="AN116" s="1"/>
      <c r="AO116" s="1"/>
      <c r="AP116" s="1"/>
      <c r="AQ116" s="1"/>
      <c r="AR116" s="1"/>
      <c r="AS116" s="1"/>
    </row>
    <row r="117" spans="1:45" x14ac:dyDescent="0.25">
      <c r="A117" s="1" t="s">
        <v>162</v>
      </c>
      <c r="B117" s="1" t="s">
        <v>38</v>
      </c>
      <c r="C117" s="1">
        <v>169.88399999999999</v>
      </c>
      <c r="D117" s="1">
        <v>2.4950000000000001</v>
      </c>
      <c r="E117" s="1">
        <v>158.357</v>
      </c>
      <c r="F117" s="1">
        <v>1.5529999999999999</v>
      </c>
      <c r="G117" s="7">
        <v>1</v>
      </c>
      <c r="H117" s="1">
        <v>50</v>
      </c>
      <c r="I117" s="1" t="s">
        <v>44</v>
      </c>
      <c r="J117" s="1"/>
      <c r="K117" s="1">
        <v>190.95500000000001</v>
      </c>
      <c r="L117" s="1">
        <f t="shared" si="36"/>
        <v>-32.598000000000013</v>
      </c>
      <c r="M117" s="1">
        <f t="shared" si="25"/>
        <v>158.357</v>
      </c>
      <c r="N117" s="1"/>
      <c r="O117" s="1"/>
      <c r="P117" s="1"/>
      <c r="Q117" s="1">
        <f>-1*VLOOKUP(A117,[1]TDSheet!$A:$B,2,0)</f>
        <v>-135.95500000000001</v>
      </c>
      <c r="R117" s="1">
        <v>0</v>
      </c>
      <c r="S117" s="1"/>
      <c r="T117" s="20"/>
      <c r="U117" s="20"/>
      <c r="V117" s="1">
        <f t="shared" si="26"/>
        <v>4.4803999999999977</v>
      </c>
      <c r="W117" s="5">
        <f>7*V117-R117-P117-O117-F117</f>
        <v>29.809799999999985</v>
      </c>
      <c r="X117" s="5">
        <f t="shared" si="27"/>
        <v>29.809799999999985</v>
      </c>
      <c r="Y117" s="1">
        <f t="shared" si="28"/>
        <v>7</v>
      </c>
      <c r="Z117" s="1">
        <f t="shared" si="29"/>
        <v>0.34662083742523003</v>
      </c>
      <c r="AA117" s="1">
        <v>3.0777999999999999</v>
      </c>
      <c r="AB117" s="1">
        <v>4.9722</v>
      </c>
      <c r="AC117" s="1">
        <v>7.1712000000000007</v>
      </c>
      <c r="AD117" s="1">
        <v>8.8970000000000002</v>
      </c>
      <c r="AE117" s="1">
        <v>7.3335999999999997</v>
      </c>
      <c r="AF117" s="1">
        <v>4.6264000000000003</v>
      </c>
      <c r="AG117" s="1">
        <v>9.5132000000000012</v>
      </c>
      <c r="AH117" s="1">
        <v>20.629000000000001</v>
      </c>
      <c r="AI117" s="1">
        <v>24.804400000000001</v>
      </c>
      <c r="AJ117" s="1">
        <v>17.557400000000001</v>
      </c>
      <c r="AK117" s="1"/>
      <c r="AL117" s="1">
        <f t="shared" si="30"/>
        <v>30</v>
      </c>
      <c r="AM117" s="1"/>
      <c r="AN117" s="1"/>
      <c r="AO117" s="1"/>
      <c r="AP117" s="1"/>
      <c r="AQ117" s="1"/>
      <c r="AR117" s="1"/>
      <c r="AS117" s="1"/>
    </row>
    <row r="118" spans="1:45" x14ac:dyDescent="0.25">
      <c r="A118" s="1" t="s">
        <v>163</v>
      </c>
      <c r="B118" s="1" t="s">
        <v>43</v>
      </c>
      <c r="C118" s="1">
        <v>8</v>
      </c>
      <c r="D118" s="1">
        <v>112</v>
      </c>
      <c r="E118" s="1">
        <v>44</v>
      </c>
      <c r="F118" s="1">
        <v>51</v>
      </c>
      <c r="G118" s="7">
        <v>0.09</v>
      </c>
      <c r="H118" s="1">
        <v>45</v>
      </c>
      <c r="I118" s="1" t="s">
        <v>44</v>
      </c>
      <c r="J118" s="1"/>
      <c r="K118" s="1">
        <v>130</v>
      </c>
      <c r="L118" s="1">
        <f t="shared" si="36"/>
        <v>-86</v>
      </c>
      <c r="M118" s="1">
        <f t="shared" si="25"/>
        <v>44</v>
      </c>
      <c r="N118" s="1"/>
      <c r="O118" s="1"/>
      <c r="P118" s="1"/>
      <c r="Q118" s="1"/>
      <c r="R118" s="1">
        <v>6.5600000000000023</v>
      </c>
      <c r="S118" s="1"/>
      <c r="T118" s="20"/>
      <c r="U118" s="20"/>
      <c r="V118" s="1">
        <f t="shared" si="26"/>
        <v>8.8000000000000007</v>
      </c>
      <c r="W118" s="5">
        <f t="shared" ref="W118:W128" si="38">12*V118-R118-P118-O118-F118</f>
        <v>48.040000000000006</v>
      </c>
      <c r="X118" s="5">
        <f t="shared" si="27"/>
        <v>48.040000000000006</v>
      </c>
      <c r="Y118" s="1">
        <f t="shared" si="28"/>
        <v>12</v>
      </c>
      <c r="Z118" s="1">
        <f t="shared" si="29"/>
        <v>6.540909090909091</v>
      </c>
      <c r="AA118" s="1">
        <v>6.4</v>
      </c>
      <c r="AB118" s="1">
        <v>4.8</v>
      </c>
      <c r="AC118" s="1">
        <v>6.4</v>
      </c>
      <c r="AD118" s="1">
        <v>8.1999999999999993</v>
      </c>
      <c r="AE118" s="1">
        <v>9</v>
      </c>
      <c r="AF118" s="1">
        <v>5.6</v>
      </c>
      <c r="AG118" s="1">
        <v>3</v>
      </c>
      <c r="AH118" s="1">
        <v>3</v>
      </c>
      <c r="AI118" s="1">
        <v>2</v>
      </c>
      <c r="AJ118" s="1">
        <v>0</v>
      </c>
      <c r="AK118" s="1"/>
      <c r="AL118" s="1">
        <f t="shared" si="30"/>
        <v>4</v>
      </c>
      <c r="AM118" s="1"/>
      <c r="AN118" s="1"/>
      <c r="AO118" s="1"/>
      <c r="AP118" s="1"/>
      <c r="AQ118" s="1"/>
      <c r="AR118" s="1"/>
      <c r="AS118" s="1"/>
    </row>
    <row r="119" spans="1:45" x14ac:dyDescent="0.25">
      <c r="A119" s="1" t="s">
        <v>164</v>
      </c>
      <c r="B119" s="1" t="s">
        <v>43</v>
      </c>
      <c r="C119" s="1">
        <v>1</v>
      </c>
      <c r="D119" s="1">
        <v>131</v>
      </c>
      <c r="E119" s="1">
        <v>49</v>
      </c>
      <c r="F119" s="1">
        <v>72</v>
      </c>
      <c r="G119" s="7">
        <v>0.09</v>
      </c>
      <c r="H119" s="1">
        <v>45</v>
      </c>
      <c r="I119" s="1" t="s">
        <v>44</v>
      </c>
      <c r="J119" s="1"/>
      <c r="K119" s="1">
        <v>86</v>
      </c>
      <c r="L119" s="1">
        <f t="shared" si="36"/>
        <v>-37</v>
      </c>
      <c r="M119" s="1">
        <f t="shared" si="25"/>
        <v>49</v>
      </c>
      <c r="N119" s="1"/>
      <c r="O119" s="1"/>
      <c r="P119" s="1"/>
      <c r="Q119" s="1"/>
      <c r="R119" s="1">
        <v>0</v>
      </c>
      <c r="S119" s="1"/>
      <c r="T119" s="20"/>
      <c r="U119" s="20"/>
      <c r="V119" s="1">
        <f t="shared" si="26"/>
        <v>9.8000000000000007</v>
      </c>
      <c r="W119" s="5">
        <f t="shared" si="38"/>
        <v>45.600000000000009</v>
      </c>
      <c r="X119" s="5">
        <f t="shared" si="27"/>
        <v>45.600000000000009</v>
      </c>
      <c r="Y119" s="1">
        <f t="shared" si="28"/>
        <v>12</v>
      </c>
      <c r="Z119" s="1">
        <f t="shared" si="29"/>
        <v>7.3469387755102034</v>
      </c>
      <c r="AA119" s="1">
        <v>1.8</v>
      </c>
      <c r="AB119" s="1">
        <v>1.4</v>
      </c>
      <c r="AC119" s="1">
        <v>0.2</v>
      </c>
      <c r="AD119" s="1">
        <v>6</v>
      </c>
      <c r="AE119" s="1">
        <v>8</v>
      </c>
      <c r="AF119" s="1">
        <v>5.4</v>
      </c>
      <c r="AG119" s="1">
        <v>3.2</v>
      </c>
      <c r="AH119" s="1">
        <v>2</v>
      </c>
      <c r="AI119" s="1">
        <v>2</v>
      </c>
      <c r="AJ119" s="1">
        <v>0</v>
      </c>
      <c r="AK119" s="1" t="s">
        <v>165</v>
      </c>
      <c r="AL119" s="1">
        <f t="shared" si="30"/>
        <v>4</v>
      </c>
      <c r="AM119" s="1"/>
      <c r="AN119" s="1"/>
      <c r="AO119" s="1"/>
      <c r="AP119" s="1"/>
      <c r="AQ119" s="1"/>
      <c r="AR119" s="1"/>
      <c r="AS119" s="1"/>
    </row>
    <row r="120" spans="1:45" x14ac:dyDescent="0.25">
      <c r="A120" s="1" t="s">
        <v>166</v>
      </c>
      <c r="B120" s="1" t="s">
        <v>38</v>
      </c>
      <c r="C120" s="1">
        <v>535.24300000000005</v>
      </c>
      <c r="D120" s="1">
        <v>1.37</v>
      </c>
      <c r="E120" s="1">
        <v>471.99599999999998</v>
      </c>
      <c r="F120" s="1">
        <v>61.878</v>
      </c>
      <c r="G120" s="7">
        <v>1</v>
      </c>
      <c r="H120" s="1">
        <v>60</v>
      </c>
      <c r="I120" s="1" t="s">
        <v>44</v>
      </c>
      <c r="J120" s="1"/>
      <c r="K120" s="1">
        <v>497.37599999999998</v>
      </c>
      <c r="L120" s="1">
        <f t="shared" si="36"/>
        <v>-25.379999999999995</v>
      </c>
      <c r="M120" s="1">
        <f t="shared" si="25"/>
        <v>471.99599999999998</v>
      </c>
      <c r="N120" s="1"/>
      <c r="O120" s="1"/>
      <c r="P120" s="1"/>
      <c r="Q120" s="1">
        <f>-1*VLOOKUP(A120,[1]TDSheet!$A:$B,2,0)</f>
        <v>-413.07600000000002</v>
      </c>
      <c r="R120" s="1">
        <v>0</v>
      </c>
      <c r="S120" s="1"/>
      <c r="T120" s="20"/>
      <c r="U120" s="20"/>
      <c r="V120" s="1">
        <f t="shared" si="26"/>
        <v>11.783999999999992</v>
      </c>
      <c r="W120" s="5">
        <f>11*V120-R120-P120-O120-F120</f>
        <v>67.74599999999991</v>
      </c>
      <c r="X120" s="5">
        <f t="shared" si="27"/>
        <v>67.74599999999991</v>
      </c>
      <c r="Y120" s="1">
        <f t="shared" si="28"/>
        <v>11</v>
      </c>
      <c r="Z120" s="1">
        <f t="shared" si="29"/>
        <v>5.2510183299389039</v>
      </c>
      <c r="AA120" s="1">
        <v>8.2132000000000005</v>
      </c>
      <c r="AB120" s="1">
        <v>7.9378000000000002</v>
      </c>
      <c r="AC120" s="1">
        <v>9.9105999999999987</v>
      </c>
      <c r="AD120" s="1">
        <v>11.642799999999999</v>
      </c>
      <c r="AE120" s="1">
        <v>11.3886</v>
      </c>
      <c r="AF120" s="1">
        <v>6.3688000000000002</v>
      </c>
      <c r="AG120" s="1">
        <v>0</v>
      </c>
      <c r="AH120" s="1">
        <v>0.2742</v>
      </c>
      <c r="AI120" s="1">
        <v>0.2742</v>
      </c>
      <c r="AJ120" s="1">
        <v>0</v>
      </c>
      <c r="AK120" s="1" t="s">
        <v>184</v>
      </c>
      <c r="AL120" s="1">
        <f t="shared" si="30"/>
        <v>68</v>
      </c>
      <c r="AM120" s="1"/>
      <c r="AN120" s="1"/>
      <c r="AO120" s="1"/>
      <c r="AP120" s="1"/>
      <c r="AQ120" s="1"/>
      <c r="AR120" s="1"/>
      <c r="AS120" s="1"/>
    </row>
    <row r="121" spans="1:45" x14ac:dyDescent="0.25">
      <c r="A121" s="1" t="s">
        <v>167</v>
      </c>
      <c r="B121" s="1" t="s">
        <v>38</v>
      </c>
      <c r="C121" s="1">
        <v>422.17599999999999</v>
      </c>
      <c r="D121" s="1">
        <v>976.26099999999997</v>
      </c>
      <c r="E121" s="1">
        <v>414.37400000000002</v>
      </c>
      <c r="F121" s="1">
        <v>909.65300000000002</v>
      </c>
      <c r="G121" s="7">
        <v>1</v>
      </c>
      <c r="H121" s="1">
        <v>60</v>
      </c>
      <c r="I121" s="1" t="s">
        <v>44</v>
      </c>
      <c r="J121" s="1"/>
      <c r="K121" s="1">
        <v>658.404</v>
      </c>
      <c r="L121" s="1">
        <f t="shared" si="36"/>
        <v>-244.02999999999997</v>
      </c>
      <c r="M121" s="1">
        <f t="shared" si="25"/>
        <v>414.37400000000002</v>
      </c>
      <c r="N121" s="1"/>
      <c r="O121" s="1"/>
      <c r="P121" s="1"/>
      <c r="Q121" s="1"/>
      <c r="R121" s="1">
        <v>0</v>
      </c>
      <c r="S121" s="1"/>
      <c r="T121" s="20"/>
      <c r="U121" s="20"/>
      <c r="V121" s="1">
        <f t="shared" si="26"/>
        <v>82.874800000000008</v>
      </c>
      <c r="W121" s="5">
        <f t="shared" si="38"/>
        <v>84.844600000000128</v>
      </c>
      <c r="X121" s="5">
        <f t="shared" si="27"/>
        <v>84.844600000000128</v>
      </c>
      <c r="Y121" s="1">
        <f t="shared" si="28"/>
        <v>12</v>
      </c>
      <c r="Z121" s="1">
        <f t="shared" si="29"/>
        <v>10.976231616848546</v>
      </c>
      <c r="AA121" s="1">
        <v>81.725400000000008</v>
      </c>
      <c r="AB121" s="1">
        <v>95.796599999999998</v>
      </c>
      <c r="AC121" s="1">
        <v>110.8334</v>
      </c>
      <c r="AD121" s="1">
        <v>111.65</v>
      </c>
      <c r="AE121" s="1">
        <v>111.2154</v>
      </c>
      <c r="AF121" s="1">
        <v>108.0656</v>
      </c>
      <c r="AG121" s="1">
        <v>110.3446</v>
      </c>
      <c r="AH121" s="1">
        <v>88.266400000000004</v>
      </c>
      <c r="AI121" s="1">
        <v>50.457000000000001</v>
      </c>
      <c r="AJ121" s="1">
        <v>79.408600000000007</v>
      </c>
      <c r="AK121" s="1"/>
      <c r="AL121" s="1">
        <f t="shared" si="30"/>
        <v>85</v>
      </c>
      <c r="AM121" s="1"/>
      <c r="AN121" s="1"/>
      <c r="AO121" s="1"/>
      <c r="AP121" s="1"/>
      <c r="AQ121" s="1"/>
      <c r="AR121" s="1"/>
      <c r="AS121" s="1"/>
    </row>
    <row r="122" spans="1:45" x14ac:dyDescent="0.25">
      <c r="A122" s="1" t="s">
        <v>168</v>
      </c>
      <c r="B122" s="1" t="s">
        <v>38</v>
      </c>
      <c r="C122" s="1">
        <v>449.87900000000002</v>
      </c>
      <c r="D122" s="1">
        <v>8.2360000000000007</v>
      </c>
      <c r="E122" s="1">
        <v>66.153000000000006</v>
      </c>
      <c r="F122" s="1">
        <v>386.47300000000001</v>
      </c>
      <c r="G122" s="7">
        <v>1</v>
      </c>
      <c r="H122" s="1">
        <v>60</v>
      </c>
      <c r="I122" s="1" t="s">
        <v>44</v>
      </c>
      <c r="J122" s="1"/>
      <c r="K122" s="1">
        <v>82.876000000000005</v>
      </c>
      <c r="L122" s="1">
        <f t="shared" si="36"/>
        <v>-16.722999999999999</v>
      </c>
      <c r="M122" s="1">
        <f t="shared" si="25"/>
        <v>66.153000000000006</v>
      </c>
      <c r="N122" s="1"/>
      <c r="O122" s="1"/>
      <c r="P122" s="1"/>
      <c r="Q122" s="1"/>
      <c r="R122" s="1">
        <v>0</v>
      </c>
      <c r="S122" s="1"/>
      <c r="T122" s="20"/>
      <c r="U122" s="20"/>
      <c r="V122" s="1">
        <f t="shared" si="26"/>
        <v>13.230600000000001</v>
      </c>
      <c r="W122" s="5"/>
      <c r="X122" s="5">
        <f t="shared" si="27"/>
        <v>0</v>
      </c>
      <c r="Y122" s="1">
        <f t="shared" si="28"/>
        <v>29.210542227865705</v>
      </c>
      <c r="Z122" s="1">
        <f t="shared" si="29"/>
        <v>29.210542227865705</v>
      </c>
      <c r="AA122" s="1">
        <v>9.9158000000000008</v>
      </c>
      <c r="AB122" s="1">
        <v>6.5962000000000014</v>
      </c>
      <c r="AC122" s="1">
        <v>6.8528000000000002</v>
      </c>
      <c r="AD122" s="1">
        <v>7.9191999999999991</v>
      </c>
      <c r="AE122" s="1">
        <v>6.2633999999999999</v>
      </c>
      <c r="AF122" s="1">
        <v>4.6247999999999996</v>
      </c>
      <c r="AG122" s="1">
        <v>1.9012</v>
      </c>
      <c r="AH122" s="1">
        <v>0.27400000000000002</v>
      </c>
      <c r="AI122" s="1">
        <v>0</v>
      </c>
      <c r="AJ122" s="1">
        <v>0.54699999999999993</v>
      </c>
      <c r="AK122" s="16" t="s">
        <v>183</v>
      </c>
      <c r="AL122" s="1">
        <f t="shared" si="30"/>
        <v>0</v>
      </c>
      <c r="AM122" s="1"/>
      <c r="AN122" s="1"/>
      <c r="AO122" s="1"/>
      <c r="AP122" s="1"/>
      <c r="AQ122" s="1"/>
      <c r="AR122" s="1"/>
      <c r="AS122" s="1"/>
    </row>
    <row r="123" spans="1:45" x14ac:dyDescent="0.25">
      <c r="A123" s="19" t="s">
        <v>169</v>
      </c>
      <c r="B123" s="1" t="s">
        <v>38</v>
      </c>
      <c r="C123" s="1">
        <v>729.95899999999995</v>
      </c>
      <c r="D123" s="1">
        <v>2993.9479999999999</v>
      </c>
      <c r="E123" s="1">
        <v>770.18399999999997</v>
      </c>
      <c r="F123" s="1">
        <v>2854.471</v>
      </c>
      <c r="G123" s="7">
        <v>1</v>
      </c>
      <c r="H123" s="1">
        <v>60</v>
      </c>
      <c r="I123" s="1" t="s">
        <v>39</v>
      </c>
      <c r="J123" s="1"/>
      <c r="K123" s="1">
        <v>1251.6289999999999</v>
      </c>
      <c r="L123" s="1">
        <f t="shared" si="36"/>
        <v>-481.44499999999994</v>
      </c>
      <c r="M123" s="1">
        <f t="shared" si="25"/>
        <v>770.18399999999997</v>
      </c>
      <c r="N123" s="1"/>
      <c r="O123" s="1"/>
      <c r="P123" s="1">
        <v>500</v>
      </c>
      <c r="Q123" s="1"/>
      <c r="R123" s="1">
        <v>0</v>
      </c>
      <c r="S123" s="1"/>
      <c r="T123" s="20"/>
      <c r="U123" s="20"/>
      <c r="V123" s="1">
        <f t="shared" si="26"/>
        <v>154.0368</v>
      </c>
      <c r="W123" s="5"/>
      <c r="X123" s="5">
        <f t="shared" si="27"/>
        <v>0</v>
      </c>
      <c r="Y123" s="1">
        <f t="shared" si="28"/>
        <v>21.777075348228475</v>
      </c>
      <c r="Z123" s="1">
        <f t="shared" si="29"/>
        <v>21.777075348228475</v>
      </c>
      <c r="AA123" s="1">
        <v>145.78739999999999</v>
      </c>
      <c r="AB123" s="1">
        <v>165.05019999999999</v>
      </c>
      <c r="AC123" s="1">
        <v>223.18119999999999</v>
      </c>
      <c r="AD123" s="1">
        <v>152.50559999999999</v>
      </c>
      <c r="AE123" s="1">
        <v>24.672599999999999</v>
      </c>
      <c r="AF123" s="1">
        <v>20.073399999999999</v>
      </c>
      <c r="AG123" s="1">
        <v>94.601399999999998</v>
      </c>
      <c r="AH123" s="1">
        <v>159.07579999999999</v>
      </c>
      <c r="AI123" s="1">
        <v>185.3526</v>
      </c>
      <c r="AJ123" s="1">
        <v>199.28919999999999</v>
      </c>
      <c r="AK123" s="9" t="s">
        <v>170</v>
      </c>
      <c r="AL123" s="1">
        <f t="shared" si="30"/>
        <v>0</v>
      </c>
      <c r="AM123" s="1"/>
      <c r="AN123" s="1"/>
      <c r="AO123" s="1"/>
      <c r="AP123" s="1"/>
      <c r="AQ123" s="1"/>
      <c r="AR123" s="1"/>
      <c r="AS123" s="1"/>
    </row>
    <row r="124" spans="1:45" x14ac:dyDescent="0.25">
      <c r="A124" s="1" t="s">
        <v>171</v>
      </c>
      <c r="B124" s="1" t="s">
        <v>43</v>
      </c>
      <c r="C124" s="1">
        <v>210</v>
      </c>
      <c r="D124" s="1">
        <v>224</v>
      </c>
      <c r="E124" s="1">
        <v>153</v>
      </c>
      <c r="F124" s="1">
        <v>241</v>
      </c>
      <c r="G124" s="7">
        <v>0.3</v>
      </c>
      <c r="H124" s="1">
        <v>40</v>
      </c>
      <c r="I124" s="1" t="s">
        <v>44</v>
      </c>
      <c r="J124" s="1"/>
      <c r="K124" s="1">
        <v>274</v>
      </c>
      <c r="L124" s="1">
        <f t="shared" si="36"/>
        <v>-121</v>
      </c>
      <c r="M124" s="1">
        <f t="shared" si="25"/>
        <v>153</v>
      </c>
      <c r="N124" s="1"/>
      <c r="O124" s="1"/>
      <c r="P124" s="1"/>
      <c r="Q124" s="1"/>
      <c r="R124" s="1">
        <v>0</v>
      </c>
      <c r="S124" s="1"/>
      <c r="T124" s="20"/>
      <c r="U124" s="20"/>
      <c r="V124" s="1">
        <f t="shared" si="26"/>
        <v>30.6</v>
      </c>
      <c r="W124" s="5">
        <f t="shared" si="38"/>
        <v>126.20000000000005</v>
      </c>
      <c r="X124" s="5">
        <f>IF(W124+$X$1*V124&lt;0,0,W124+$X$1*V124)</f>
        <v>80.606000000000051</v>
      </c>
      <c r="Y124" s="1">
        <f t="shared" si="28"/>
        <v>10.510000000000002</v>
      </c>
      <c r="Z124" s="1">
        <f t="shared" si="29"/>
        <v>7.8758169934640518</v>
      </c>
      <c r="AA124" s="1">
        <v>24.4</v>
      </c>
      <c r="AB124" s="1">
        <v>27</v>
      </c>
      <c r="AC124" s="1">
        <v>31.4</v>
      </c>
      <c r="AD124" s="1">
        <v>32.799999999999997</v>
      </c>
      <c r="AE124" s="1">
        <v>29.8</v>
      </c>
      <c r="AF124" s="1">
        <v>35.799999999999997</v>
      </c>
      <c r="AG124" s="1">
        <v>35.6</v>
      </c>
      <c r="AH124" s="1">
        <v>31</v>
      </c>
      <c r="AI124" s="1">
        <v>35.799999999999997</v>
      </c>
      <c r="AJ124" s="1">
        <v>40</v>
      </c>
      <c r="AK124" s="1"/>
      <c r="AL124" s="1">
        <f t="shared" si="30"/>
        <v>24</v>
      </c>
      <c r="AM124" s="1"/>
      <c r="AN124" s="1"/>
      <c r="AO124" s="1"/>
      <c r="AP124" s="1"/>
      <c r="AQ124" s="1"/>
      <c r="AR124" s="1"/>
      <c r="AS124" s="1"/>
    </row>
    <row r="125" spans="1:45" x14ac:dyDescent="0.25">
      <c r="A125" s="1" t="s">
        <v>172</v>
      </c>
      <c r="B125" s="1" t="s">
        <v>43</v>
      </c>
      <c r="C125" s="1">
        <v>90</v>
      </c>
      <c r="D125" s="1">
        <v>263</v>
      </c>
      <c r="E125" s="1">
        <v>118</v>
      </c>
      <c r="F125" s="1">
        <v>209</v>
      </c>
      <c r="G125" s="7">
        <v>0.3</v>
      </c>
      <c r="H125" s="1">
        <v>40</v>
      </c>
      <c r="I125" s="1" t="s">
        <v>44</v>
      </c>
      <c r="J125" s="1"/>
      <c r="K125" s="1">
        <v>208</v>
      </c>
      <c r="L125" s="1">
        <f t="shared" si="36"/>
        <v>-90</v>
      </c>
      <c r="M125" s="1">
        <f t="shared" si="25"/>
        <v>118</v>
      </c>
      <c r="N125" s="1"/>
      <c r="O125" s="1"/>
      <c r="P125" s="1"/>
      <c r="Q125" s="1"/>
      <c r="R125" s="1">
        <v>38.400000000000063</v>
      </c>
      <c r="S125" s="1"/>
      <c r="T125" s="20"/>
      <c r="U125" s="20"/>
      <c r="V125" s="1">
        <f t="shared" si="26"/>
        <v>23.6</v>
      </c>
      <c r="W125" s="5">
        <f t="shared" si="38"/>
        <v>35.799999999999983</v>
      </c>
      <c r="X125" s="5">
        <f t="shared" si="27"/>
        <v>35.799999999999983</v>
      </c>
      <c r="Y125" s="1">
        <f t="shared" si="28"/>
        <v>12.000000000000002</v>
      </c>
      <c r="Z125" s="1">
        <f t="shared" si="29"/>
        <v>10.48305084745763</v>
      </c>
      <c r="AA125" s="1">
        <v>23</v>
      </c>
      <c r="AB125" s="1">
        <v>22</v>
      </c>
      <c r="AC125" s="1">
        <v>25.8</v>
      </c>
      <c r="AD125" s="1">
        <v>23.2</v>
      </c>
      <c r="AE125" s="1">
        <v>20.6</v>
      </c>
      <c r="AF125" s="1">
        <v>23.8</v>
      </c>
      <c r="AG125" s="1">
        <v>26.2</v>
      </c>
      <c r="AH125" s="1">
        <v>17.8</v>
      </c>
      <c r="AI125" s="1">
        <v>7.4</v>
      </c>
      <c r="AJ125" s="1">
        <v>16</v>
      </c>
      <c r="AK125" s="1"/>
      <c r="AL125" s="1">
        <f t="shared" si="30"/>
        <v>11</v>
      </c>
      <c r="AM125" s="1"/>
      <c r="AN125" s="1"/>
      <c r="AO125" s="1"/>
      <c r="AP125" s="1"/>
      <c r="AQ125" s="1"/>
      <c r="AR125" s="1"/>
      <c r="AS125" s="1"/>
    </row>
    <row r="126" spans="1:45" x14ac:dyDescent="0.25">
      <c r="A126" s="1" t="s">
        <v>173</v>
      </c>
      <c r="B126" s="1" t="s">
        <v>38</v>
      </c>
      <c r="C126" s="1">
        <v>129.42400000000001</v>
      </c>
      <c r="D126" s="1">
        <v>22.94</v>
      </c>
      <c r="E126" s="1">
        <v>48.591000000000001</v>
      </c>
      <c r="F126" s="1">
        <v>99.337999999999994</v>
      </c>
      <c r="G126" s="7">
        <v>1</v>
      </c>
      <c r="H126" s="1">
        <v>50</v>
      </c>
      <c r="I126" s="1" t="s">
        <v>44</v>
      </c>
      <c r="J126" s="1"/>
      <c r="K126" s="1">
        <v>91.8</v>
      </c>
      <c r="L126" s="1">
        <f t="shared" si="36"/>
        <v>-43.208999999999996</v>
      </c>
      <c r="M126" s="1">
        <f t="shared" si="25"/>
        <v>48.591000000000001</v>
      </c>
      <c r="N126" s="1"/>
      <c r="O126" s="1"/>
      <c r="P126" s="1"/>
      <c r="Q126" s="1"/>
      <c r="R126" s="1">
        <v>0</v>
      </c>
      <c r="S126" s="1"/>
      <c r="T126" s="20"/>
      <c r="U126" s="20"/>
      <c r="V126" s="1">
        <f t="shared" si="26"/>
        <v>9.7181999999999995</v>
      </c>
      <c r="W126" s="5">
        <f t="shared" si="38"/>
        <v>17.2804</v>
      </c>
      <c r="X126" s="5">
        <f t="shared" si="27"/>
        <v>17.2804</v>
      </c>
      <c r="Y126" s="1">
        <f t="shared" si="28"/>
        <v>12</v>
      </c>
      <c r="Z126" s="1">
        <f t="shared" si="29"/>
        <v>10.221851783252042</v>
      </c>
      <c r="AA126" s="1">
        <v>8.9572000000000003</v>
      </c>
      <c r="AB126" s="1">
        <v>9.7802000000000007</v>
      </c>
      <c r="AC126" s="1">
        <v>11.72</v>
      </c>
      <c r="AD126" s="1">
        <v>12.3124</v>
      </c>
      <c r="AE126" s="1">
        <v>10.629799999999999</v>
      </c>
      <c r="AF126" s="1">
        <v>12.518000000000001</v>
      </c>
      <c r="AG126" s="1">
        <v>18.366</v>
      </c>
      <c r="AH126" s="1">
        <v>10.7338</v>
      </c>
      <c r="AI126" s="1">
        <v>3.254</v>
      </c>
      <c r="AJ126" s="1">
        <v>12.4718</v>
      </c>
      <c r="AK126" s="1"/>
      <c r="AL126" s="1">
        <f t="shared" si="30"/>
        <v>17</v>
      </c>
      <c r="AM126" s="1"/>
      <c r="AN126" s="1"/>
      <c r="AO126" s="1"/>
      <c r="AP126" s="1"/>
      <c r="AQ126" s="1"/>
      <c r="AR126" s="1"/>
      <c r="AS126" s="1"/>
    </row>
    <row r="127" spans="1:45" x14ac:dyDescent="0.25">
      <c r="A127" s="1" t="s">
        <v>174</v>
      </c>
      <c r="B127" s="1" t="s">
        <v>43</v>
      </c>
      <c r="C127" s="1">
        <v>73</v>
      </c>
      <c r="D127" s="1">
        <v>74</v>
      </c>
      <c r="E127" s="1">
        <v>45</v>
      </c>
      <c r="F127" s="1">
        <v>88</v>
      </c>
      <c r="G127" s="7">
        <v>0.3</v>
      </c>
      <c r="H127" s="1">
        <v>40</v>
      </c>
      <c r="I127" s="1" t="s">
        <v>44</v>
      </c>
      <c r="J127" s="1"/>
      <c r="K127" s="1">
        <v>78</v>
      </c>
      <c r="L127" s="1">
        <f t="shared" si="36"/>
        <v>-33</v>
      </c>
      <c r="M127" s="1">
        <f t="shared" si="25"/>
        <v>45</v>
      </c>
      <c r="N127" s="1"/>
      <c r="O127" s="1"/>
      <c r="P127" s="1"/>
      <c r="Q127" s="1"/>
      <c r="R127" s="1">
        <v>0</v>
      </c>
      <c r="S127" s="1"/>
      <c r="T127" s="20"/>
      <c r="U127" s="20"/>
      <c r="V127" s="1">
        <f t="shared" si="26"/>
        <v>9</v>
      </c>
      <c r="W127" s="5">
        <f t="shared" si="38"/>
        <v>20</v>
      </c>
      <c r="X127" s="5">
        <f t="shared" si="27"/>
        <v>20</v>
      </c>
      <c r="Y127" s="1">
        <f t="shared" si="28"/>
        <v>12</v>
      </c>
      <c r="Z127" s="1">
        <f t="shared" si="29"/>
        <v>9.7777777777777786</v>
      </c>
      <c r="AA127" s="1">
        <v>7.4</v>
      </c>
      <c r="AB127" s="1">
        <v>8.1999999999999993</v>
      </c>
      <c r="AC127" s="1">
        <v>10.4</v>
      </c>
      <c r="AD127" s="1">
        <v>9</v>
      </c>
      <c r="AE127" s="1">
        <v>10.199999999999999</v>
      </c>
      <c r="AF127" s="1">
        <v>9.8000000000000007</v>
      </c>
      <c r="AG127" s="1">
        <v>6.4</v>
      </c>
      <c r="AH127" s="1">
        <v>5.6</v>
      </c>
      <c r="AI127" s="1">
        <v>9.4</v>
      </c>
      <c r="AJ127" s="1">
        <v>13.4</v>
      </c>
      <c r="AK127" s="1"/>
      <c r="AL127" s="1">
        <f t="shared" si="30"/>
        <v>6</v>
      </c>
      <c r="AM127" s="1"/>
      <c r="AN127" s="1"/>
      <c r="AO127" s="1"/>
      <c r="AP127" s="1"/>
      <c r="AQ127" s="1"/>
      <c r="AR127" s="1"/>
      <c r="AS127" s="1"/>
    </row>
    <row r="128" spans="1:45" x14ac:dyDescent="0.25">
      <c r="A128" s="1" t="s">
        <v>175</v>
      </c>
      <c r="B128" s="1" t="s">
        <v>43</v>
      </c>
      <c r="C128" s="1">
        <v>5</v>
      </c>
      <c r="D128" s="1">
        <v>125</v>
      </c>
      <c r="E128" s="1">
        <v>52</v>
      </c>
      <c r="F128" s="1">
        <v>78</v>
      </c>
      <c r="G128" s="7">
        <v>0.12</v>
      </c>
      <c r="H128" s="1">
        <v>45</v>
      </c>
      <c r="I128" s="1" t="s">
        <v>44</v>
      </c>
      <c r="J128" s="1"/>
      <c r="K128" s="1">
        <v>72</v>
      </c>
      <c r="L128" s="1">
        <f t="shared" si="36"/>
        <v>-20</v>
      </c>
      <c r="M128" s="1">
        <f t="shared" si="25"/>
        <v>52</v>
      </c>
      <c r="N128" s="1"/>
      <c r="O128" s="1"/>
      <c r="P128" s="1"/>
      <c r="Q128" s="1"/>
      <c r="R128" s="1">
        <v>0</v>
      </c>
      <c r="S128" s="1"/>
      <c r="T128" s="20"/>
      <c r="U128" s="20"/>
      <c r="V128" s="1">
        <f t="shared" si="26"/>
        <v>10.4</v>
      </c>
      <c r="W128" s="5">
        <f t="shared" si="38"/>
        <v>46.800000000000011</v>
      </c>
      <c r="X128" s="5">
        <f t="shared" si="27"/>
        <v>46.800000000000011</v>
      </c>
      <c r="Y128" s="1">
        <f t="shared" si="28"/>
        <v>12</v>
      </c>
      <c r="Z128" s="1">
        <f t="shared" si="29"/>
        <v>7.5</v>
      </c>
      <c r="AA128" s="1">
        <v>2.2000000000000002</v>
      </c>
      <c r="AB128" s="1">
        <v>3.6</v>
      </c>
      <c r="AC128" s="1">
        <v>6.6</v>
      </c>
      <c r="AD128" s="1">
        <v>11.8</v>
      </c>
      <c r="AE128" s="1">
        <v>7</v>
      </c>
      <c r="AF128" s="1">
        <v>-0.4</v>
      </c>
      <c r="AG128" s="1">
        <v>4.2</v>
      </c>
      <c r="AH128" s="1">
        <v>4.8</v>
      </c>
      <c r="AI128" s="1">
        <v>0.6</v>
      </c>
      <c r="AJ128" s="1">
        <v>3.8</v>
      </c>
      <c r="AK128" s="1"/>
      <c r="AL128" s="1">
        <f t="shared" si="30"/>
        <v>6</v>
      </c>
      <c r="AM128" s="1"/>
      <c r="AN128" s="1"/>
      <c r="AO128" s="1"/>
      <c r="AP128" s="1"/>
      <c r="AQ128" s="1"/>
      <c r="AR128" s="1"/>
      <c r="AS128" s="1"/>
    </row>
    <row r="129" spans="1:45" x14ac:dyDescent="0.25">
      <c r="A129" s="1" t="s">
        <v>176</v>
      </c>
      <c r="B129" s="1" t="s">
        <v>43</v>
      </c>
      <c r="C129" s="1"/>
      <c r="D129" s="1"/>
      <c r="E129" s="1"/>
      <c r="F129" s="1"/>
      <c r="G129" s="7">
        <v>0.25</v>
      </c>
      <c r="H129" s="1"/>
      <c r="I129" s="1" t="s">
        <v>44</v>
      </c>
      <c r="J129" s="1"/>
      <c r="K129" s="1"/>
      <c r="L129" s="1">
        <f t="shared" si="36"/>
        <v>0</v>
      </c>
      <c r="M129" s="1">
        <f t="shared" si="25"/>
        <v>0</v>
      </c>
      <c r="N129" s="1"/>
      <c r="O129" s="1"/>
      <c r="P129" s="1"/>
      <c r="Q129" s="1"/>
      <c r="R129" s="1">
        <v>200</v>
      </c>
      <c r="S129" s="1"/>
      <c r="T129" s="20"/>
      <c r="U129" s="20"/>
      <c r="V129" s="1">
        <f t="shared" si="26"/>
        <v>0</v>
      </c>
      <c r="W129" s="5"/>
      <c r="X129" s="5">
        <f t="shared" si="27"/>
        <v>0</v>
      </c>
      <c r="Y129" s="1" t="e">
        <f t="shared" si="28"/>
        <v>#DIV/0!</v>
      </c>
      <c r="Z129" s="1" t="e">
        <f t="shared" si="29"/>
        <v>#DIV/0!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 t="s">
        <v>177</v>
      </c>
      <c r="AL129" s="1">
        <f t="shared" si="30"/>
        <v>0</v>
      </c>
      <c r="AM129" s="1"/>
      <c r="AN129" s="1"/>
      <c r="AO129" s="1"/>
      <c r="AP129" s="1"/>
      <c r="AQ129" s="1"/>
      <c r="AR129" s="1"/>
      <c r="AS129" s="1"/>
    </row>
    <row r="130" spans="1:45" x14ac:dyDescent="0.25">
      <c r="A130" s="1" t="s">
        <v>178</v>
      </c>
      <c r="B130" s="1" t="s">
        <v>43</v>
      </c>
      <c r="C130" s="1"/>
      <c r="D130" s="1"/>
      <c r="E130" s="1"/>
      <c r="F130" s="1"/>
      <c r="G130" s="7">
        <v>0.32500000000000001</v>
      </c>
      <c r="H130" s="1"/>
      <c r="I130" s="1" t="s">
        <v>44</v>
      </c>
      <c r="J130" s="1"/>
      <c r="K130" s="1"/>
      <c r="L130" s="1">
        <f t="shared" si="36"/>
        <v>0</v>
      </c>
      <c r="M130" s="1">
        <f t="shared" si="25"/>
        <v>0</v>
      </c>
      <c r="N130" s="1"/>
      <c r="O130" s="1"/>
      <c r="P130" s="1"/>
      <c r="Q130" s="1"/>
      <c r="R130" s="1">
        <v>200</v>
      </c>
      <c r="S130" s="1"/>
      <c r="T130" s="20"/>
      <c r="U130" s="20"/>
      <c r="V130" s="1">
        <f t="shared" si="26"/>
        <v>0</v>
      </c>
      <c r="W130" s="5"/>
      <c r="X130" s="5">
        <f t="shared" si="27"/>
        <v>0</v>
      </c>
      <c r="Y130" s="1" t="e">
        <f t="shared" si="28"/>
        <v>#DIV/0!</v>
      </c>
      <c r="Z130" s="1" t="e">
        <f t="shared" si="29"/>
        <v>#DIV/0!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 t="s">
        <v>177</v>
      </c>
      <c r="AL130" s="1">
        <f t="shared" si="30"/>
        <v>0</v>
      </c>
      <c r="AM130" s="1"/>
      <c r="AN130" s="1"/>
      <c r="AO130" s="1"/>
      <c r="AP130" s="1"/>
      <c r="AQ130" s="1"/>
      <c r="AR130" s="1"/>
      <c r="AS130" s="1"/>
    </row>
    <row r="131" spans="1:45" x14ac:dyDescent="0.25">
      <c r="A131" s="1" t="s">
        <v>179</v>
      </c>
      <c r="B131" s="1" t="s">
        <v>43</v>
      </c>
      <c r="C131" s="1"/>
      <c r="D131" s="1"/>
      <c r="E131" s="1"/>
      <c r="F131" s="1"/>
      <c r="G131" s="7">
        <v>0.25</v>
      </c>
      <c r="H131" s="1"/>
      <c r="I131" s="1" t="s">
        <v>44</v>
      </c>
      <c r="J131" s="1"/>
      <c r="K131" s="1"/>
      <c r="L131" s="1">
        <f t="shared" si="36"/>
        <v>0</v>
      </c>
      <c r="M131" s="1">
        <f t="shared" si="25"/>
        <v>0</v>
      </c>
      <c r="N131" s="1"/>
      <c r="O131" s="1"/>
      <c r="P131" s="1"/>
      <c r="Q131" s="1"/>
      <c r="R131" s="1">
        <v>200</v>
      </c>
      <c r="S131" s="1"/>
      <c r="T131" s="20"/>
      <c r="U131" s="20"/>
      <c r="V131" s="1">
        <f t="shared" si="26"/>
        <v>0</v>
      </c>
      <c r="W131" s="5"/>
      <c r="X131" s="5">
        <f t="shared" si="27"/>
        <v>0</v>
      </c>
      <c r="Y131" s="1" t="e">
        <f t="shared" si="28"/>
        <v>#DIV/0!</v>
      </c>
      <c r="Z131" s="1" t="e">
        <f t="shared" si="29"/>
        <v>#DIV/0!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 t="s">
        <v>177</v>
      </c>
      <c r="AL131" s="1">
        <f t="shared" si="30"/>
        <v>0</v>
      </c>
      <c r="AM131" s="1"/>
      <c r="AN131" s="1"/>
      <c r="AO131" s="1"/>
      <c r="AP131" s="1"/>
      <c r="AQ131" s="1"/>
      <c r="AR131" s="1"/>
      <c r="AS131" s="1"/>
    </row>
    <row r="132" spans="1:45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0"/>
      <c r="U132" s="20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0"/>
      <c r="U133" s="20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0"/>
      <c r="U134" s="20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0"/>
      <c r="U135" s="20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0"/>
      <c r="U136" s="20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0"/>
      <c r="U137" s="20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0"/>
      <c r="U138" s="20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0"/>
      <c r="U139" s="20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0"/>
      <c r="U140" s="20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0"/>
      <c r="U141" s="20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0"/>
      <c r="U142" s="20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0"/>
      <c r="U143" s="20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0"/>
      <c r="U144" s="20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0"/>
      <c r="U145" s="20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0"/>
      <c r="U146" s="20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0"/>
      <c r="U147" s="20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0"/>
      <c r="U148" s="20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0"/>
      <c r="U149" s="20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0"/>
      <c r="U150" s="20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0"/>
      <c r="U151" s="20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0"/>
      <c r="U152" s="20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0"/>
      <c r="U153" s="20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0"/>
      <c r="U154" s="20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0"/>
      <c r="U155" s="20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0"/>
      <c r="U156" s="20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0"/>
      <c r="U157" s="20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0"/>
      <c r="U158" s="20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0"/>
      <c r="U159" s="20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0"/>
      <c r="U160" s="20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0"/>
      <c r="U161" s="20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0"/>
      <c r="U162" s="20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0"/>
      <c r="U163" s="20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0"/>
      <c r="U164" s="20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0"/>
      <c r="U165" s="20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0"/>
      <c r="U166" s="20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0"/>
      <c r="U167" s="20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0"/>
      <c r="U168" s="20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0"/>
      <c r="U169" s="20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0"/>
      <c r="U170" s="20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0"/>
      <c r="U171" s="20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0"/>
      <c r="U172" s="20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0"/>
      <c r="U173" s="20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0"/>
      <c r="U174" s="20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0"/>
      <c r="U175" s="20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0"/>
      <c r="U176" s="20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0"/>
      <c r="U177" s="20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0"/>
      <c r="U178" s="20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0"/>
      <c r="U179" s="20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0"/>
      <c r="U180" s="20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0"/>
      <c r="U181" s="20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0"/>
      <c r="U182" s="20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0"/>
      <c r="U183" s="20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0"/>
      <c r="U184" s="20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0"/>
      <c r="U185" s="20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0"/>
      <c r="U186" s="20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0"/>
      <c r="U187" s="20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0"/>
      <c r="U188" s="20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0"/>
      <c r="U189" s="20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0"/>
      <c r="U190" s="20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0"/>
      <c r="U191" s="20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0"/>
      <c r="U192" s="20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0"/>
      <c r="U193" s="20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0"/>
      <c r="U194" s="20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0"/>
      <c r="U195" s="20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0"/>
      <c r="U196" s="20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0"/>
      <c r="U197" s="20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0"/>
      <c r="U198" s="20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0"/>
      <c r="U199" s="20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0"/>
      <c r="U200" s="20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0"/>
      <c r="U201" s="20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0"/>
      <c r="U202" s="20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0"/>
      <c r="U203" s="20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0"/>
      <c r="U204" s="20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0"/>
      <c r="U205" s="20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0"/>
      <c r="U206" s="20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0"/>
      <c r="U207" s="20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0"/>
      <c r="U208" s="20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0"/>
      <c r="U209" s="20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0"/>
      <c r="U210" s="20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0"/>
      <c r="U211" s="20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0"/>
      <c r="U212" s="20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0"/>
      <c r="U213" s="20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0"/>
      <c r="U214" s="20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0"/>
      <c r="U215" s="20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0"/>
      <c r="U216" s="20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0"/>
      <c r="U217" s="20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0"/>
      <c r="U218" s="20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0"/>
      <c r="U219" s="20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0"/>
      <c r="U220" s="20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0"/>
      <c r="U221" s="20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0"/>
      <c r="U222" s="20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0"/>
      <c r="U223" s="20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0"/>
      <c r="U224" s="20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0"/>
      <c r="U225" s="20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0"/>
      <c r="U226" s="20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0"/>
      <c r="U227" s="20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0"/>
      <c r="U228" s="20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0"/>
      <c r="U229" s="20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0"/>
      <c r="U230" s="20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0"/>
      <c r="U231" s="20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0"/>
      <c r="U232" s="20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0"/>
      <c r="U233" s="20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0"/>
      <c r="U234" s="20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0"/>
      <c r="U235" s="20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0"/>
      <c r="U236" s="20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0"/>
      <c r="U237" s="20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0"/>
      <c r="U238" s="20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0"/>
      <c r="U239" s="20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0"/>
      <c r="U240" s="20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0"/>
      <c r="U241" s="20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0"/>
      <c r="U242" s="20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0"/>
      <c r="U243" s="20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0"/>
      <c r="U244" s="20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0"/>
      <c r="U245" s="20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0"/>
      <c r="U246" s="20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0"/>
      <c r="U247" s="20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0"/>
      <c r="U248" s="20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0"/>
      <c r="U249" s="20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0"/>
      <c r="U250" s="20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0"/>
      <c r="U251" s="20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0"/>
      <c r="U252" s="20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0"/>
      <c r="U253" s="20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0"/>
      <c r="U254" s="20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0"/>
      <c r="U255" s="20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0"/>
      <c r="U256" s="20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0"/>
      <c r="U257" s="20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0"/>
      <c r="U258" s="20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0"/>
      <c r="U259" s="20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0"/>
      <c r="U260" s="20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0"/>
      <c r="U261" s="20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0"/>
      <c r="U262" s="20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0"/>
      <c r="U263" s="20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0"/>
      <c r="U264" s="20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0"/>
      <c r="U265" s="20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0"/>
      <c r="U266" s="20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0"/>
      <c r="U267" s="20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0"/>
      <c r="U268" s="20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0"/>
      <c r="U269" s="20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0"/>
      <c r="U270" s="20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0"/>
      <c r="U271" s="20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0"/>
      <c r="U272" s="20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0"/>
      <c r="U273" s="20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0"/>
      <c r="U274" s="20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0"/>
      <c r="U275" s="20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0"/>
      <c r="U276" s="20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0"/>
      <c r="U277" s="20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0"/>
      <c r="U278" s="20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0"/>
      <c r="U279" s="20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0"/>
      <c r="U280" s="20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0"/>
      <c r="U281" s="20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0"/>
      <c r="U282" s="20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0"/>
      <c r="U283" s="20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0"/>
      <c r="U284" s="20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0"/>
      <c r="U285" s="20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0"/>
      <c r="U286" s="20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0"/>
      <c r="U287" s="20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0"/>
      <c r="U288" s="20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0"/>
      <c r="U289" s="20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0"/>
      <c r="U290" s="20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0"/>
      <c r="U291" s="20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0"/>
      <c r="U292" s="20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0"/>
      <c r="U293" s="20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0"/>
      <c r="U294" s="20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0"/>
      <c r="U295" s="20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0"/>
      <c r="U296" s="20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0"/>
      <c r="U297" s="20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0"/>
      <c r="U298" s="20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0"/>
      <c r="U299" s="20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0"/>
      <c r="U300" s="20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0"/>
      <c r="U301" s="20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0"/>
      <c r="U302" s="20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0"/>
      <c r="U303" s="20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0"/>
      <c r="U304" s="20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0"/>
      <c r="U305" s="20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0"/>
      <c r="U306" s="20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0"/>
      <c r="U307" s="20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0"/>
      <c r="U308" s="20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0"/>
      <c r="U309" s="20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0"/>
      <c r="U310" s="20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0"/>
      <c r="U311" s="20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0"/>
      <c r="U312" s="20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0"/>
      <c r="U313" s="20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0"/>
      <c r="U314" s="20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0"/>
      <c r="U315" s="20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0"/>
      <c r="U316" s="20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0"/>
      <c r="U317" s="20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0"/>
      <c r="U318" s="20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0"/>
      <c r="U319" s="20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0"/>
      <c r="U320" s="20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0"/>
      <c r="U321" s="20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0"/>
      <c r="U322" s="20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0"/>
      <c r="U323" s="20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0"/>
      <c r="U324" s="20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0"/>
      <c r="U325" s="20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0"/>
      <c r="U326" s="20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0"/>
      <c r="U327" s="20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0"/>
      <c r="U328" s="20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0"/>
      <c r="U329" s="20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0"/>
      <c r="U330" s="20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0"/>
      <c r="U331" s="20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0"/>
      <c r="U332" s="20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0"/>
      <c r="U333" s="20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0"/>
      <c r="U334" s="20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0"/>
      <c r="U335" s="20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0"/>
      <c r="U336" s="20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0"/>
      <c r="U337" s="20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0"/>
      <c r="U338" s="20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0"/>
      <c r="U339" s="20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0"/>
      <c r="U340" s="20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0"/>
      <c r="U341" s="20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0"/>
      <c r="U342" s="20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0"/>
      <c r="U343" s="20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0"/>
      <c r="U344" s="20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0"/>
      <c r="U345" s="20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0"/>
      <c r="U346" s="20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0"/>
      <c r="U347" s="20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0"/>
      <c r="U348" s="20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0"/>
      <c r="U349" s="20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0"/>
      <c r="U350" s="20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0"/>
      <c r="U351" s="20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0"/>
      <c r="U352" s="20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0"/>
      <c r="U353" s="20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0"/>
      <c r="U354" s="20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0"/>
      <c r="U355" s="20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0"/>
      <c r="U356" s="20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0"/>
      <c r="U357" s="20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0"/>
      <c r="U358" s="20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0"/>
      <c r="U359" s="20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0"/>
      <c r="U360" s="20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0"/>
      <c r="U361" s="20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0"/>
      <c r="U362" s="20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0"/>
      <c r="U363" s="20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0"/>
      <c r="U364" s="20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0"/>
      <c r="U365" s="20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0"/>
      <c r="U366" s="20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0"/>
      <c r="U367" s="20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0"/>
      <c r="U368" s="20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0"/>
      <c r="U369" s="20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0"/>
      <c r="U370" s="20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0"/>
      <c r="U371" s="20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0"/>
      <c r="U372" s="20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0"/>
      <c r="U373" s="20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0"/>
      <c r="U374" s="20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0"/>
      <c r="U375" s="20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0"/>
      <c r="U376" s="20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0"/>
      <c r="U377" s="20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0"/>
      <c r="U378" s="20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0"/>
      <c r="U379" s="20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0"/>
      <c r="U380" s="20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0"/>
      <c r="U381" s="20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0"/>
      <c r="U382" s="20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0"/>
      <c r="U383" s="20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0"/>
      <c r="U384" s="20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0"/>
      <c r="U385" s="20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0"/>
      <c r="U386" s="20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0"/>
      <c r="U387" s="20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0"/>
      <c r="U388" s="20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0"/>
      <c r="U389" s="20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0"/>
      <c r="U390" s="20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0"/>
      <c r="U391" s="20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0"/>
      <c r="U392" s="20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0"/>
      <c r="U393" s="20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0"/>
      <c r="U394" s="20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0"/>
      <c r="U395" s="20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0"/>
      <c r="U396" s="20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0"/>
      <c r="U397" s="20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0"/>
      <c r="U398" s="20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0"/>
      <c r="U399" s="20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0"/>
      <c r="U400" s="20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0"/>
      <c r="U401" s="20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0"/>
      <c r="U402" s="20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0"/>
      <c r="U403" s="20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0"/>
      <c r="U404" s="20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0"/>
      <c r="U405" s="20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0"/>
      <c r="U406" s="20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0"/>
      <c r="U407" s="20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0"/>
      <c r="U408" s="20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0"/>
      <c r="U409" s="20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0"/>
      <c r="U410" s="20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0"/>
      <c r="U411" s="20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0"/>
      <c r="U412" s="20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0"/>
      <c r="U413" s="20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0"/>
      <c r="U414" s="20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0"/>
      <c r="U415" s="20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0"/>
      <c r="U416" s="20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0"/>
      <c r="U417" s="20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0"/>
      <c r="U418" s="20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0"/>
      <c r="U419" s="20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0"/>
      <c r="U420" s="20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0"/>
      <c r="U421" s="20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0"/>
      <c r="U422" s="20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0"/>
      <c r="U423" s="20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0"/>
      <c r="U424" s="20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0"/>
      <c r="U425" s="20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0"/>
      <c r="U426" s="20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0"/>
      <c r="U427" s="20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0"/>
      <c r="U428" s="20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0"/>
      <c r="U429" s="20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0"/>
      <c r="U430" s="20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0"/>
      <c r="U431" s="20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0"/>
      <c r="U432" s="20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0"/>
      <c r="U433" s="20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0"/>
      <c r="U434" s="20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0"/>
      <c r="U435" s="20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0"/>
      <c r="U436" s="20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0"/>
      <c r="U437" s="20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0"/>
      <c r="U438" s="20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0"/>
      <c r="U439" s="20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0"/>
      <c r="U440" s="20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0"/>
      <c r="U441" s="20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0"/>
      <c r="U442" s="20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0"/>
      <c r="U443" s="20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0"/>
      <c r="U444" s="20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0"/>
      <c r="U445" s="20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0"/>
      <c r="U446" s="20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0"/>
      <c r="U447" s="20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0"/>
      <c r="U448" s="20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0"/>
      <c r="U449" s="20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0"/>
      <c r="U450" s="20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0"/>
      <c r="U451" s="20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0"/>
      <c r="U452" s="20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0"/>
      <c r="U453" s="20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0"/>
      <c r="U454" s="20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0"/>
      <c r="U455" s="20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0"/>
      <c r="U456" s="20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0"/>
      <c r="U457" s="20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0"/>
      <c r="U458" s="20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0"/>
      <c r="U459" s="20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0"/>
      <c r="U460" s="20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0"/>
      <c r="U461" s="20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0"/>
      <c r="U462" s="20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0"/>
      <c r="U463" s="20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0"/>
      <c r="U464" s="20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0"/>
      <c r="U465" s="20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0"/>
      <c r="U466" s="20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0"/>
      <c r="U467" s="20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0"/>
      <c r="U468" s="20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0"/>
      <c r="U469" s="20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0"/>
      <c r="U470" s="20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0"/>
      <c r="U471" s="20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0"/>
      <c r="U472" s="20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0"/>
      <c r="U473" s="20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0"/>
      <c r="U474" s="20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0"/>
      <c r="U475" s="20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0"/>
      <c r="U476" s="20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0"/>
      <c r="U477" s="20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0"/>
      <c r="U478" s="20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0"/>
      <c r="U479" s="20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0"/>
      <c r="U480" s="20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0"/>
      <c r="U481" s="20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0"/>
      <c r="U482" s="20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0"/>
      <c r="U483" s="20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0"/>
      <c r="U484" s="20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0"/>
      <c r="U485" s="20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0"/>
      <c r="U486" s="20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0"/>
      <c r="U487" s="20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0"/>
      <c r="U488" s="20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0"/>
      <c r="U489" s="20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0"/>
      <c r="U490" s="20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0"/>
      <c r="U491" s="20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0"/>
      <c r="U492" s="20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0"/>
      <c r="U493" s="20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0"/>
      <c r="U494" s="20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0"/>
      <c r="U495" s="20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0"/>
      <c r="U496" s="20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0"/>
      <c r="U497" s="20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0"/>
      <c r="U498" s="20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0"/>
      <c r="U499" s="20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0"/>
      <c r="U500" s="20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</sheetData>
  <autoFilter ref="A3:AL131" xr:uid="{4A24056B-EE83-4271-956F-273C2ECE65DA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2026-07-23T13:36:40Z</dcterms:created>
  <dcterms:modified xsi:type="dcterms:W3CDTF">2026-07-27T07:04:06Z</dcterms:modified>
</cp:coreProperties>
</file>