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66B55C5-1250-4EC4-9660-69FEC09D21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9" i="1" l="1"/>
  <c r="Z543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551" i="1" s="1"/>
  <c r="Y553" i="1" s="1"/>
  <c r="Y24" i="1"/>
  <c r="X550" i="1"/>
  <c r="Z27" i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Z215" i="1" s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Z277" i="1" s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297" i="1"/>
  <c r="BP364" i="1"/>
  <c r="BN364" i="1"/>
  <c r="Z364" i="1"/>
  <c r="Z368" i="1" s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Y308" i="1"/>
  <c r="BP301" i="1"/>
  <c r="BN301" i="1"/>
  <c r="Z301" i="1"/>
  <c r="Z308" i="1" s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Z378" i="1" s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391" i="1" l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Z555" i="1" s="1"/>
  <c r="Y554" i="1"/>
  <c r="X553" i="1"/>
  <c r="Z347" i="1"/>
  <c r="Z194" i="1"/>
  <c r="Z169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<sst xmlns="http://schemas.openxmlformats.org/spreadsheetml/2006/main" count="2500" uniqueCount="907">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</sst>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62</v>
      </c>
      <c r="Y51" s="628">
        <f>IFERROR(IF(X51="",0,CEILING((X51/$H51),1)*$H51),"")</f>
        <v>64.800000000000011</v>
      </c>
      <c r="Z51" s="36">
        <f>IFERROR(IF(Y51=0,"",ROUNDUP(Y51/H51,0)*0.01898),"")</f>
        <v>0.11388000000000001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64.353703703703715</v>
      </c>
      <c r="BN51" s="64">
        <f>IFERROR(Y51*I51/H51,"0")</f>
        <v>67.260000000000005</v>
      </c>
      <c r="BO51" s="64">
        <f>IFERROR(1/J51*(X51/H51),"0")</f>
        <v>8.969907407407407E-2</v>
      </c>
      <c r="BP51" s="64">
        <f>IFERROR(1/J51*(Y51/H51),"0")</f>
        <v>9.3750000000000014E-2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10</v>
      </c>
      <c r="Y53" s="628">
        <f>IFERROR(IF(X53="",0,CEILING((X53/$H53),1)*$H53),"")</f>
        <v>12</v>
      </c>
      <c r="Z53" s="36">
        <f>IFERROR(IF(Y53=0,"",ROUNDUP(Y53/H53,0)*0.00902),"")</f>
        <v>2.7060000000000001E-2</v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10.475000000000001</v>
      </c>
      <c r="BN53" s="64">
        <f>IFERROR(Y53*I53/H53,"0")</f>
        <v>12.57</v>
      </c>
      <c r="BO53" s="64">
        <f>IFERROR(1/J53*(X53/H53),"0")</f>
        <v>1.893939393939394E-2</v>
      </c>
      <c r="BP53" s="64">
        <f>IFERROR(1/J53*(Y53/H53),"0")</f>
        <v>2.2727272727272728E-2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98</v>
      </c>
      <c r="Y54" s="628">
        <f>IFERROR(IF(X54="",0,CEILING((X54/$H54),1)*$H54),"")</f>
        <v>99.9</v>
      </c>
      <c r="Z54" s="36">
        <f>IFERROR(IF(Y54=0,"",ROUNDUP(Y54/H54,0)*0.00902),"")</f>
        <v>0.24354000000000001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103.03243243243243</v>
      </c>
      <c r="BN54" s="64">
        <f>IFERROR(Y54*I54/H54,"0")</f>
        <v>105.03</v>
      </c>
      <c r="BO54" s="64">
        <f>IFERROR(1/J54*(X54/H54),"0")</f>
        <v>0.20065520065520065</v>
      </c>
      <c r="BP54" s="64">
        <f>IFERROR(1/J54*(Y54/H54),"0")</f>
        <v>0.20454545454545456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34.727227227227225</v>
      </c>
      <c r="Y55" s="629">
        <f>IFERROR(Y51/H51,"0")+IFERROR(Y52/H52,"0")+IFERROR(Y53/H53,"0")+IFERROR(Y54/H54,"0")</f>
        <v>36</v>
      </c>
      <c r="Z55" s="629">
        <f>IFERROR(IF(Z51="",0,Z51),"0")+IFERROR(IF(Z52="",0,Z52),"0")+IFERROR(IF(Z53="",0,Z53),"0")+IFERROR(IF(Z54="",0,Z54),"0")</f>
        <v>0.38448000000000004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170</v>
      </c>
      <c r="Y56" s="629">
        <f>IFERROR(SUM(Y51:Y54),"0")</f>
        <v>176.70000000000002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25</v>
      </c>
      <c r="Y59" s="628">
        <f t="shared" ref="Y59:Y66" si="0">IFERROR(IF(X59="",0,CEILING((X59/$H59),1)*$H59),"")</f>
        <v>33.599999999999994</v>
      </c>
      <c r="Z59" s="36">
        <f>IFERROR(IF(Y59=0,"",ROUNDUP(Y59/H59,0)*0.01898),"")</f>
        <v>5.6940000000000004E-2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25.915178571428573</v>
      </c>
      <c r="BN59" s="64">
        <f t="shared" ref="BN59:BN66" si="2">IFERROR(Y59*I59/H59,"0")</f>
        <v>34.829999999999991</v>
      </c>
      <c r="BO59" s="64">
        <f t="shared" ref="BO59:BO66" si="3">IFERROR(1/J59*(X59/H59),"0")</f>
        <v>3.4877232142857144E-2</v>
      </c>
      <c r="BP59" s="64">
        <f t="shared" ref="BP59:BP66" si="4">IFERROR(1/J59*(Y59/H59),"0")</f>
        <v>4.6874999999999993E-2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30</v>
      </c>
      <c r="Y61" s="628">
        <f t="shared" si="0"/>
        <v>32.400000000000006</v>
      </c>
      <c r="Z61" s="36">
        <f>IFERROR(IF(Y61=0,"",ROUNDUP(Y61/H61,0)*0.01898),"")</f>
        <v>5.6940000000000004E-2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31.138888888888889</v>
      </c>
      <c r="BN61" s="64">
        <f t="shared" si="2"/>
        <v>33.630000000000003</v>
      </c>
      <c r="BO61" s="64">
        <f t="shared" si="3"/>
        <v>4.3402777777777776E-2</v>
      </c>
      <c r="BP61" s="64">
        <f t="shared" si="4"/>
        <v>4.6875000000000007E-2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46</v>
      </c>
      <c r="Y66" s="628">
        <f t="shared" si="0"/>
        <v>49.5</v>
      </c>
      <c r="Z66" s="36">
        <f>IFERROR(IF(Y66=0,"",ROUNDUP(Y66/H66,0)*0.00902),"")</f>
        <v>9.9220000000000003E-2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47.942222222222227</v>
      </c>
      <c r="BN66" s="64">
        <f t="shared" si="2"/>
        <v>51.59</v>
      </c>
      <c r="BO66" s="64">
        <f t="shared" si="3"/>
        <v>7.7441077441077436E-2</v>
      </c>
      <c r="BP66" s="64">
        <f t="shared" si="4"/>
        <v>8.3333333333333343E-2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15.232142857142856</v>
      </c>
      <c r="Y67" s="629">
        <f>IFERROR(Y59/H59,"0")+IFERROR(Y60/H60,"0")+IFERROR(Y61/H61,"0")+IFERROR(Y62/H62,"0")+IFERROR(Y63/H63,"0")+IFERROR(Y64/H64,"0")+IFERROR(Y65/H65,"0")+IFERROR(Y66/H66,"0")</f>
        <v>17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0.21310000000000001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101</v>
      </c>
      <c r="Y68" s="629">
        <f>IFERROR(SUM(Y59:Y66),"0")</f>
        <v>115.5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10</v>
      </c>
      <c r="Y70" s="628">
        <f>IFERROR(IF(X70="",0,CEILING((X70/$H70),1)*$H70),"")</f>
        <v>10.8</v>
      </c>
      <c r="Z70" s="36">
        <f>IFERROR(IF(Y70=0,"",ROUNDUP(Y70/H70,0)*0.01898),"")</f>
        <v>1.898E-2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10.37962962962963</v>
      </c>
      <c r="BN70" s="64">
        <f>IFERROR(Y70*I70/H70,"0")</f>
        <v>11.21</v>
      </c>
      <c r="BO70" s="64">
        <f>IFERROR(1/J70*(X70/H70),"0")</f>
        <v>1.4467592592592591E-2</v>
      </c>
      <c r="BP70" s="64">
        <f>IFERROR(1/J70*(Y70/H70),"0")</f>
        <v>1.5625E-2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0.92592592592592582</v>
      </c>
      <c r="Y74" s="629">
        <f>IFERROR(Y70/H70,"0")+IFERROR(Y71/H71,"0")+IFERROR(Y72/H72,"0")+IFERROR(Y73/H73,"0")</f>
        <v>1</v>
      </c>
      <c r="Z74" s="629">
        <f>IFERROR(IF(Z70="",0,Z70),"0")+IFERROR(IF(Z71="",0,Z71),"0")+IFERROR(IF(Z72="",0,Z72),"0")+IFERROR(IF(Z73="",0,Z73),"0")</f>
        <v>1.898E-2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10</v>
      </c>
      <c r="Y75" s="629">
        <f>IFERROR(SUM(Y70:Y73),"0")</f>
        <v>10.8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519</v>
      </c>
      <c r="Y82" s="628">
        <f>IFERROR(IF(X82="",0,CEILING((X82/$H82),1)*$H82),"")</f>
        <v>522.6</v>
      </c>
      <c r="Z82" s="36">
        <f>IFERROR(IF(Y82=0,"",ROUNDUP(Y82/H82,0)*0.01898),"")</f>
        <v>1.27166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546.28076923076935</v>
      </c>
      <c r="BN82" s="64">
        <f>IFERROR(Y82*I82/H82,"0")</f>
        <v>550.07000000000005</v>
      </c>
      <c r="BO82" s="64">
        <f>IFERROR(1/J82*(X82/H82),"0")</f>
        <v>1.0396634615384615</v>
      </c>
      <c r="BP82" s="64">
        <f>IFERROR(1/J82*(Y82/H82),"0")</f>
        <v>1.046875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66.538461538461533</v>
      </c>
      <c r="Y84" s="629">
        <f>IFERROR(Y82/H82,"0")+IFERROR(Y83/H83,"0")</f>
        <v>67</v>
      </c>
      <c r="Z84" s="629">
        <f>IFERROR(IF(Z82="",0,Z82),"0")+IFERROR(IF(Z83="",0,Z83),"0")</f>
        <v>1.27166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519</v>
      </c>
      <c r="Y85" s="629">
        <f>IFERROR(SUM(Y82:Y83),"0")</f>
        <v>522.6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117</v>
      </c>
      <c r="Y91" s="628">
        <f>IFERROR(IF(X91="",0,CEILING((X91/$H91),1)*$H91),"")</f>
        <v>117</v>
      </c>
      <c r="Z91" s="36">
        <f>IFERROR(IF(Y91=0,"",ROUNDUP(Y91/H91,0)*0.00902),"")</f>
        <v>0.23452000000000001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121.94</v>
      </c>
      <c r="BN91" s="64">
        <f>IFERROR(Y91*I91/H91,"0")</f>
        <v>121.94</v>
      </c>
      <c r="BO91" s="64">
        <f>IFERROR(1/J91*(X91/H91),"0")</f>
        <v>0.19696969696969696</v>
      </c>
      <c r="BP91" s="64">
        <f>IFERROR(1/J91*(Y91/H91),"0")</f>
        <v>0.19696969696969696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26</v>
      </c>
      <c r="Y92" s="629">
        <f>IFERROR(Y88/H88,"0")+IFERROR(Y89/H89,"0")+IFERROR(Y90/H90,"0")+IFERROR(Y91/H91,"0")</f>
        <v>26</v>
      </c>
      <c r="Z92" s="629">
        <f>IFERROR(IF(Z88="",0,Z88),"0")+IFERROR(IF(Z89="",0,Z89),"0")+IFERROR(IF(Z90="",0,Z90),"0")+IFERROR(IF(Z91="",0,Z91),"0")</f>
        <v>0.23452000000000001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117</v>
      </c>
      <c r="Y93" s="629">
        <f>IFERROR(SUM(Y88:Y91),"0")</f>
        <v>117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948</v>
      </c>
      <c r="Y95" s="628">
        <f>IFERROR(IF(X95="",0,CEILING((X95/$H95),1)*$H95),"")</f>
        <v>955.8</v>
      </c>
      <c r="Z95" s="36">
        <f>IFERROR(IF(Y95=0,"",ROUNDUP(Y95/H95,0)*0.01898),"")</f>
        <v>2.2396400000000001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1005.8162962962963</v>
      </c>
      <c r="BN95" s="64">
        <f>IFERROR(Y95*I95/H95,"0")</f>
        <v>1014.0919999999999</v>
      </c>
      <c r="BO95" s="64">
        <f>IFERROR(1/J95*(X95/H95),"0")</f>
        <v>1.8287037037037037</v>
      </c>
      <c r="BP95" s="64">
        <f>IFERROR(1/J95*(Y95/H95),"0")</f>
        <v>1.84375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211</v>
      </c>
      <c r="Y97" s="628">
        <f>IFERROR(IF(X97="",0,CEILING((X97/$H97),1)*$H97),"")</f>
        <v>213.3</v>
      </c>
      <c r="Z97" s="36">
        <f>IFERROR(IF(Y97=0,"",ROUNDUP(Y97/H97,0)*0.00651),"")</f>
        <v>0.51429000000000002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230.6933333333333</v>
      </c>
      <c r="BN97" s="64">
        <f>IFERROR(Y97*I97/H97,"0")</f>
        <v>233.208</v>
      </c>
      <c r="BO97" s="64">
        <f>IFERROR(1/J97*(X97/H97),"0")</f>
        <v>0.42938542938542934</v>
      </c>
      <c r="BP97" s="64">
        <f>IFERROR(1/J97*(Y97/H97),"0")</f>
        <v>0.43406593406593408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195.18518518518516</v>
      </c>
      <c r="Y99" s="629">
        <f>IFERROR(Y95/H95,"0")+IFERROR(Y96/H96,"0")+IFERROR(Y97/H97,"0")+IFERROR(Y98/H98,"0")</f>
        <v>197</v>
      </c>
      <c r="Z99" s="629">
        <f>IFERROR(IF(Z95="",0,Z95),"0")+IFERROR(IF(Z96="",0,Z96),"0")+IFERROR(IF(Z97="",0,Z97),"0")+IFERROR(IF(Z98="",0,Z98),"0")</f>
        <v>2.75393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1159</v>
      </c>
      <c r="Y100" s="629">
        <f>IFERROR(SUM(Y95:Y98),"0")</f>
        <v>1169.0999999999999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203</v>
      </c>
      <c r="Y107" s="628">
        <f t="shared" si="5"/>
        <v>207</v>
      </c>
      <c r="Z107" s="36">
        <f>IFERROR(IF(Y107=0,"",ROUNDUP(Y107/H107,0)*0.00902),"")</f>
        <v>0.41492000000000001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211.57111111111112</v>
      </c>
      <c r="BN107" s="64">
        <f t="shared" si="7"/>
        <v>215.74</v>
      </c>
      <c r="BO107" s="64">
        <f t="shared" si="8"/>
        <v>0.34175084175084181</v>
      </c>
      <c r="BP107" s="64">
        <f t="shared" si="9"/>
        <v>0.34848484848484851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45.111111111111114</v>
      </c>
      <c r="Y109" s="629">
        <f>IFERROR(Y103/H103,"0")+IFERROR(Y104/H104,"0")+IFERROR(Y105/H105,"0")+IFERROR(Y106/H106,"0")+IFERROR(Y107/H107,"0")+IFERROR(Y108/H108,"0")</f>
        <v>46</v>
      </c>
      <c r="Z109" s="629">
        <f>IFERROR(IF(Z103="",0,Z103),"0")+IFERROR(IF(Z104="",0,Z104),"0")+IFERROR(IF(Z105="",0,Z105),"0")+IFERROR(IF(Z106="",0,Z106),"0")+IFERROR(IF(Z107="",0,Z107),"0")+IFERROR(IF(Z108="",0,Z108),"0")</f>
        <v>0.41492000000000001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203</v>
      </c>
      <c r="Y110" s="629">
        <f>IFERROR(SUM(Y103:Y108),"0")</f>
        <v>207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110</v>
      </c>
      <c r="Y116" s="628">
        <f>IFERROR(IF(X116="",0,CEILING((X116/$H116),1)*$H116),"")</f>
        <v>110.39999999999999</v>
      </c>
      <c r="Z116" s="36">
        <f>IFERROR(IF(Y116=0,"",ROUNDUP(Y116/H116,0)*0.00651),"")</f>
        <v>0.29946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118.25000000000001</v>
      </c>
      <c r="BN116" s="64">
        <f>IFERROR(Y116*I116/H116,"0")</f>
        <v>118.68</v>
      </c>
      <c r="BO116" s="64">
        <f>IFERROR(1/J116*(X116/H116),"0")</f>
        <v>0.25183150183150188</v>
      </c>
      <c r="BP116" s="64">
        <f>IFERROR(1/J116*(Y116/H116),"0")</f>
        <v>0.25274725274725279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45.833333333333336</v>
      </c>
      <c r="Y117" s="629">
        <f>IFERROR(Y112/H112,"0")+IFERROR(Y113/H113,"0")+IFERROR(Y114/H114,"0")+IFERROR(Y115/H115,"0")+IFERROR(Y116/H116,"0")</f>
        <v>46</v>
      </c>
      <c r="Z117" s="629">
        <f>IFERROR(IF(Z112="",0,Z112),"0")+IFERROR(IF(Z113="",0,Z113),"0")+IFERROR(IF(Z114="",0,Z114),"0")+IFERROR(IF(Z115="",0,Z115),"0")+IFERROR(IF(Z116="",0,Z116),"0")</f>
        <v>0.29946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110</v>
      </c>
      <c r="Y118" s="629">
        <f>IFERROR(SUM(Y112:Y116),"0")</f>
        <v>110.39999999999999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993</v>
      </c>
      <c r="Y120" s="628">
        <f>IFERROR(IF(X120="",0,CEILING((X120/$H120),1)*$H120),"")</f>
        <v>996.3</v>
      </c>
      <c r="Z120" s="36">
        <f>IFERROR(IF(Y120=0,"",ROUNDUP(Y120/H120,0)*0.01898),"")</f>
        <v>2.3345400000000001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1052.8251851851853</v>
      </c>
      <c r="BN120" s="64">
        <f>IFERROR(Y120*I120/H120,"0")</f>
        <v>1056.3239999999998</v>
      </c>
      <c r="BO120" s="64">
        <f>IFERROR(1/J120*(X120/H120),"0")</f>
        <v>1.9155092592592593</v>
      </c>
      <c r="BP120" s="64">
        <f>IFERROR(1/J120*(Y120/H120),"0")</f>
        <v>1.921875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238</v>
      </c>
      <c r="Y122" s="628">
        <f>IFERROR(IF(X122="",0,CEILING((X122/$H122),1)*$H122),"")</f>
        <v>240.3</v>
      </c>
      <c r="Z122" s="36">
        <f>IFERROR(IF(Y122=0,"",ROUNDUP(Y122/H122,0)*0.00651),"")</f>
        <v>0.57938999999999996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260.21333333333331</v>
      </c>
      <c r="BN122" s="64">
        <f>IFERROR(Y122*I122/H122,"0")</f>
        <v>262.72799999999995</v>
      </c>
      <c r="BO122" s="64">
        <f>IFERROR(1/J122*(X122/H122),"0")</f>
        <v>0.48433048433048431</v>
      </c>
      <c r="BP122" s="64">
        <f>IFERROR(1/J122*(Y122/H122),"0")</f>
        <v>0.48901098901098905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210.74074074074073</v>
      </c>
      <c r="Y124" s="629">
        <f>IFERROR(Y120/H120,"0")+IFERROR(Y121/H121,"0")+IFERROR(Y122/H122,"0")+IFERROR(Y123/H123,"0")</f>
        <v>212</v>
      </c>
      <c r="Z124" s="629">
        <f>IFERROR(IF(Z120="",0,Z120),"0")+IFERROR(IF(Z121="",0,Z121),"0")+IFERROR(IF(Z122="",0,Z122),"0")+IFERROR(IF(Z123="",0,Z123),"0")</f>
        <v>2.9139300000000001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1231</v>
      </c>
      <c r="Y125" s="629">
        <f>IFERROR(SUM(Y120:Y123),"0")</f>
        <v>1236.5999999999999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24</v>
      </c>
      <c r="Y127" s="628">
        <f>IFERROR(IF(X127="",0,CEILING((X127/$H127),1)*$H127),"")</f>
        <v>25.74</v>
      </c>
      <c r="Z127" s="36">
        <f>IFERROR(IF(Y127=0,"",ROUNDUP(Y127/H127,0)*0.00651),"")</f>
        <v>8.4629999999999997E-2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27.127272727272729</v>
      </c>
      <c r="BN127" s="64">
        <f>IFERROR(Y127*I127/H127,"0")</f>
        <v>29.093999999999998</v>
      </c>
      <c r="BO127" s="64">
        <f>IFERROR(1/J127*(X127/H127),"0")</f>
        <v>6.6600066600066607E-2</v>
      </c>
      <c r="BP127" s="64">
        <f>IFERROR(1/J127*(Y127/H127),"0")</f>
        <v>7.1428571428571438E-2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12.121212121212121</v>
      </c>
      <c r="Y128" s="629">
        <f>IFERROR(Y127/H127,"0")</f>
        <v>13</v>
      </c>
      <c r="Z128" s="629">
        <f>IFERROR(IF(Z127="",0,Z127),"0")</f>
        <v>8.4629999999999997E-2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24</v>
      </c>
      <c r="Y129" s="629">
        <f>IFERROR(SUM(Y127:Y127),"0")</f>
        <v>25.74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12</v>
      </c>
      <c r="Y134" s="628">
        <f>IFERROR(IF(X134="",0,CEILING((X134/$H134),1)*$H134),"")</f>
        <v>12.8</v>
      </c>
      <c r="Z134" s="36">
        <f>IFERROR(IF(Y134=0,"",ROUNDUP(Y134/H134,0)*0.00651),"")</f>
        <v>2.6040000000000001E-2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12.675000000000001</v>
      </c>
      <c r="BN134" s="64">
        <f>IFERROR(Y134*I134/H134,"0")</f>
        <v>13.52</v>
      </c>
      <c r="BO134" s="64">
        <f>IFERROR(1/J134*(X134/H134),"0")</f>
        <v>2.0604395604395608E-2</v>
      </c>
      <c r="BP134" s="64">
        <f>IFERROR(1/J134*(Y134/H134),"0")</f>
        <v>2.197802197802198E-2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3.75</v>
      </c>
      <c r="Y136" s="629">
        <f>IFERROR(Y132/H132,"0")+IFERROR(Y133/H133,"0")+IFERROR(Y134/H134,"0")+IFERROR(Y135/H135,"0")</f>
        <v>4</v>
      </c>
      <c r="Z136" s="629">
        <f>IFERROR(IF(Z132="",0,Z132),"0")+IFERROR(IF(Z133="",0,Z133),"0")+IFERROR(IF(Z134="",0,Z134),"0")+IFERROR(IF(Z135="",0,Z135),"0")</f>
        <v>2.6040000000000001E-2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12</v>
      </c>
      <c r="Y137" s="629">
        <f>IFERROR(SUM(Y132:Y135),"0")</f>
        <v>12.8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29</v>
      </c>
      <c r="Y148" s="628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31.943939393939392</v>
      </c>
      <c r="BN148" s="64">
        <f>IFERROR(Y148*I148/H148,"0")</f>
        <v>31.988000000000003</v>
      </c>
      <c r="BO148" s="64">
        <f>IFERROR(1/J148*(X148/H148),"0")</f>
        <v>6.035631035631036E-2</v>
      </c>
      <c r="BP148" s="64">
        <f>IFERROR(1/J148*(Y148/H148),"0")</f>
        <v>6.0439560439560447E-2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10.984848484848484</v>
      </c>
      <c r="Y150" s="629">
        <f>IFERROR(Y146/H146,"0")+IFERROR(Y147/H147,"0")+IFERROR(Y148/H148,"0")+IFERROR(Y149/H149,"0")</f>
        <v>11</v>
      </c>
      <c r="Z150" s="629">
        <f>IFERROR(IF(Z146="",0,Z146),"0")+IFERROR(IF(Z147="",0,Z147),"0")+IFERROR(IF(Z148="",0,Z148),"0")+IFERROR(IF(Z149="",0,Z149),"0")</f>
        <v>7.1610000000000007E-2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29</v>
      </c>
      <c r="Y151" s="629">
        <f>IFERROR(SUM(Y146:Y149),"0")</f>
        <v>29.040000000000003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72</v>
      </c>
      <c r="Y177" s="628">
        <f t="shared" ref="Y177:Y187" si="10">IFERROR(IF(X177="",0,CEILING((X177/$H177),1)*$H177),"")</f>
        <v>73.5</v>
      </c>
      <c r="Z177" s="36">
        <f>IFERROR(IF(Y177=0,"",ROUNDUP(Y177/H177,0)*0.00902),"")</f>
        <v>0.18942000000000001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75.908571428571435</v>
      </c>
      <c r="BN177" s="64">
        <f t="shared" ref="BN177:BN187" si="12">IFERROR(Y177*I177/H177,"0")</f>
        <v>77.489999999999995</v>
      </c>
      <c r="BO177" s="64">
        <f t="shared" ref="BO177:BO187" si="13">IFERROR(1/J177*(X177/H177),"0")</f>
        <v>0.15584415584415587</v>
      </c>
      <c r="BP177" s="64">
        <f t="shared" ref="BP177:BP187" si="14">IFERROR(1/J177*(Y177/H177),"0")</f>
        <v>0.15909090909090909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113</v>
      </c>
      <c r="Y179" s="628">
        <f t="shared" si="10"/>
        <v>115.5</v>
      </c>
      <c r="Z179" s="36">
        <f>IFERROR(IF(Y179=0,"",ROUNDUP(Y179/H179,0)*0.00902),"")</f>
        <v>0.29766000000000004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119.13428571428571</v>
      </c>
      <c r="BN179" s="64">
        <f t="shared" si="12"/>
        <v>121.77</v>
      </c>
      <c r="BO179" s="64">
        <f t="shared" si="13"/>
        <v>0.24458874458874458</v>
      </c>
      <c r="BP179" s="64">
        <f t="shared" si="14"/>
        <v>0.25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32</v>
      </c>
      <c r="Y180" s="628">
        <f t="shared" si="10"/>
        <v>35</v>
      </c>
      <c r="Z180" s="36">
        <f>IFERROR(IF(Y180=0,"",ROUNDUP(Y180/H180,0)*0.00902),"")</f>
        <v>9.0200000000000002E-2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33.737142857142857</v>
      </c>
      <c r="BN180" s="64">
        <f t="shared" si="12"/>
        <v>36.9</v>
      </c>
      <c r="BO180" s="64">
        <f t="shared" si="13"/>
        <v>6.9264069264069264E-2</v>
      </c>
      <c r="BP180" s="64">
        <f t="shared" si="14"/>
        <v>7.575757575757576E-2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42</v>
      </c>
      <c r="Y185" s="628">
        <f t="shared" si="10"/>
        <v>42</v>
      </c>
      <c r="Z185" s="36">
        <f>IFERROR(IF(Y185=0,"",ROUNDUP(Y185/H185,0)*0.00502),"")</f>
        <v>0.1255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44.500000000000007</v>
      </c>
      <c r="BN185" s="64">
        <f t="shared" si="12"/>
        <v>44.500000000000007</v>
      </c>
      <c r="BO185" s="64">
        <f t="shared" si="13"/>
        <v>0.10683760683760685</v>
      </c>
      <c r="BP185" s="64">
        <f t="shared" si="14"/>
        <v>0.10683760683760685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30</v>
      </c>
      <c r="Y187" s="628">
        <f t="shared" si="10"/>
        <v>30.24</v>
      </c>
      <c r="Z187" s="36">
        <f>IFERROR(IF(Y187=0,"",ROUNDUP(Y187/H187,0)*0.00502),"")</f>
        <v>9.0359999999999996E-2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31.785714285714285</v>
      </c>
      <c r="BN187" s="64">
        <f t="shared" si="12"/>
        <v>32.04</v>
      </c>
      <c r="BO187" s="64">
        <f t="shared" si="13"/>
        <v>7.6312576312576319E-2</v>
      </c>
      <c r="BP187" s="64">
        <f t="shared" si="14"/>
        <v>7.6923076923076927E-2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104.85714285714286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107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0.79313999999999996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289</v>
      </c>
      <c r="Y189" s="629">
        <f>IFERROR(SUM(Y177:Y187),"0")</f>
        <v>296.24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102</v>
      </c>
      <c r="Y223" s="628">
        <f t="shared" ref="Y223:Y236" si="21">IFERROR(IF(X223="",0,CEILING((X223/$H223),1)*$H223),"")</f>
        <v>105</v>
      </c>
      <c r="Z223" s="36">
        <f>IFERROR(IF(Y223=0,"",ROUNDUP(Y223/H223,0)*0.00902),"")</f>
        <v>0.22550000000000001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108.07142857142857</v>
      </c>
      <c r="BN223" s="64">
        <f t="shared" ref="BN223:BN236" si="23">IFERROR(Y223*I223/H223,"0")</f>
        <v>111.25</v>
      </c>
      <c r="BO223" s="64">
        <f t="shared" ref="BO223:BO236" si="24">IFERROR(1/J223*(X223/H223),"0")</f>
        <v>0.18398268398268397</v>
      </c>
      <c r="BP223" s="64">
        <f t="shared" ref="BP223:BP236" si="25">IFERROR(1/J223*(Y223/H223),"0")</f>
        <v>0.18939393939393939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146</v>
      </c>
      <c r="Y225" s="628">
        <f t="shared" si="21"/>
        <v>147</v>
      </c>
      <c r="Z225" s="36">
        <f>IFERROR(IF(Y225=0,"",ROUNDUP(Y225/H225,0)*0.00902),"")</f>
        <v>0.31569999999999998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152.60476190476189</v>
      </c>
      <c r="BN225" s="64">
        <f t="shared" si="23"/>
        <v>153.64999999999998</v>
      </c>
      <c r="BO225" s="64">
        <f t="shared" si="24"/>
        <v>0.26334776334776333</v>
      </c>
      <c r="BP225" s="64">
        <f t="shared" si="25"/>
        <v>0.26515151515151514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101</v>
      </c>
      <c r="Y227" s="628">
        <f t="shared" si="21"/>
        <v>102.9</v>
      </c>
      <c r="Z227" s="36">
        <f t="shared" ref="Z227:Z232" si="26">IFERROR(IF(Y227=0,"",ROUNDUP(Y227/H227,0)*0.00502),"")</f>
        <v>0.24598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107.25238095238095</v>
      </c>
      <c r="BN227" s="64">
        <f t="shared" si="23"/>
        <v>109.27</v>
      </c>
      <c r="BO227" s="64">
        <f t="shared" si="24"/>
        <v>0.20553520553520555</v>
      </c>
      <c r="BP227" s="64">
        <f t="shared" si="25"/>
        <v>0.20940170940170943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198</v>
      </c>
      <c r="Y234" s="628">
        <f t="shared" si="21"/>
        <v>199.5</v>
      </c>
      <c r="Z234" s="36">
        <f>IFERROR(IF(Y234=0,"",ROUNDUP(Y234/H234,0)*0.00502),"")</f>
        <v>0.47689999999999999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207.42857142857144</v>
      </c>
      <c r="BN234" s="64">
        <f t="shared" si="23"/>
        <v>209</v>
      </c>
      <c r="BO234" s="64">
        <f t="shared" si="24"/>
        <v>0.40293040293040294</v>
      </c>
      <c r="BP234" s="64">
        <f t="shared" si="25"/>
        <v>0.40598290598290604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201.42857142857142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204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1.2640799999999999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547</v>
      </c>
      <c r="Y238" s="629">
        <f>IFERROR(SUM(Y223:Y236),"0")</f>
        <v>554.4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3</v>
      </c>
      <c r="Y254" s="628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2.3809523809523809</v>
      </c>
      <c r="Y255" s="629">
        <f>IFERROR(Y254/H254,"0")</f>
        <v>3</v>
      </c>
      <c r="Z255" s="629">
        <f>IFERROR(IF(Z254="",0,Z254),"0")</f>
        <v>1.77E-2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3</v>
      </c>
      <c r="Y256" s="629">
        <f>IFERROR(SUM(Y254:Y254),"0")</f>
        <v>3.7800000000000002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20</v>
      </c>
      <c r="Y269" s="628">
        <f t="shared" ref="Y269:Y276" si="27">IFERROR(IF(X269="",0,CEILING((X269/$H269),1)*$H269),"")</f>
        <v>21.6</v>
      </c>
      <c r="Z269" s="36">
        <f>IFERROR(IF(Y269=0,"",ROUNDUP(Y269/H269,0)*0.00902),"")</f>
        <v>3.6080000000000001E-2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20.703703703703702</v>
      </c>
      <c r="BN269" s="64">
        <f t="shared" ref="BN269:BN276" si="29">IFERROR(Y269*I269/H269,"0")</f>
        <v>22.36</v>
      </c>
      <c r="BO269" s="64">
        <f t="shared" ref="BO269:BO276" si="30">IFERROR(1/J269*(X269/H269),"0")</f>
        <v>2.8058361391694722E-2</v>
      </c>
      <c r="BP269" s="64">
        <f t="shared" ref="BP269:BP276" si="31">IFERROR(1/J269*(Y269/H269),"0")</f>
        <v>3.0303030303030304E-2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27</v>
      </c>
      <c r="Y270" s="628">
        <f t="shared" si="27"/>
        <v>27</v>
      </c>
      <c r="Z270" s="36">
        <f>IFERROR(IF(Y270=0,"",ROUNDUP(Y270/H270,0)*0.00902),"")</f>
        <v>4.5100000000000001E-2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27.95</v>
      </c>
      <c r="BN270" s="64">
        <f t="shared" si="29"/>
        <v>27.95</v>
      </c>
      <c r="BO270" s="64">
        <f t="shared" si="30"/>
        <v>3.787878787878788E-2</v>
      </c>
      <c r="BP270" s="64">
        <f t="shared" si="31"/>
        <v>3.787878787878788E-2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132</v>
      </c>
      <c r="Y271" s="628">
        <f t="shared" si="27"/>
        <v>135</v>
      </c>
      <c r="Z271" s="36">
        <f>IFERROR(IF(Y271=0,"",ROUNDUP(Y271/H271,0)*0.00902),"")</f>
        <v>0.22550000000000001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136.64444444444445</v>
      </c>
      <c r="BN271" s="64">
        <f t="shared" si="29"/>
        <v>139.75</v>
      </c>
      <c r="BO271" s="64">
        <f t="shared" si="30"/>
        <v>0.18518518518518517</v>
      </c>
      <c r="BP271" s="64">
        <f t="shared" si="31"/>
        <v>0.18939393939393939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133</v>
      </c>
      <c r="Y272" s="628">
        <f t="shared" si="27"/>
        <v>135</v>
      </c>
      <c r="Z272" s="36">
        <f>IFERROR(IF(Y272=0,"",ROUNDUP(Y272/H272,0)*0.00902),"")</f>
        <v>0.22550000000000001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137.67962962962963</v>
      </c>
      <c r="BN272" s="64">
        <f t="shared" si="29"/>
        <v>139.75</v>
      </c>
      <c r="BO272" s="64">
        <f t="shared" si="30"/>
        <v>0.18658810325476993</v>
      </c>
      <c r="BP272" s="64">
        <f t="shared" si="31"/>
        <v>0.18939393939393939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55</v>
      </c>
      <c r="Y273" s="628">
        <f t="shared" si="27"/>
        <v>55.800000000000004</v>
      </c>
      <c r="Z273" s="36">
        <f>IFERROR(IF(Y273=0,"",ROUNDUP(Y273/H273,0)*0.00502),"")</f>
        <v>0.15562000000000001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58.972222222222214</v>
      </c>
      <c r="BN273" s="64">
        <f t="shared" si="29"/>
        <v>59.83</v>
      </c>
      <c r="BO273" s="64">
        <f t="shared" si="30"/>
        <v>0.13057929724596393</v>
      </c>
      <c r="BP273" s="64">
        <f t="shared" si="31"/>
        <v>0.13247863247863248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18</v>
      </c>
      <c r="Y274" s="628">
        <f t="shared" si="27"/>
        <v>18</v>
      </c>
      <c r="Z274" s="36">
        <f>IFERROR(IF(Y274=0,"",ROUNDUP(Y274/H274,0)*0.00502),"")</f>
        <v>5.0200000000000002E-2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18.999999999999996</v>
      </c>
      <c r="BN274" s="64">
        <f t="shared" si="29"/>
        <v>18.999999999999996</v>
      </c>
      <c r="BO274" s="64">
        <f t="shared" si="30"/>
        <v>4.2735042735042736E-2</v>
      </c>
      <c r="BP274" s="64">
        <f t="shared" si="31"/>
        <v>4.2735042735042736E-2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64</v>
      </c>
      <c r="Y276" s="628">
        <f t="shared" si="27"/>
        <v>64.8</v>
      </c>
      <c r="Z276" s="36">
        <f>IFERROR(IF(Y276=0,"",ROUNDUP(Y276/H276,0)*0.00502),"")</f>
        <v>0.18071999999999999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67.555555555555557</v>
      </c>
      <c r="BN276" s="64">
        <f t="shared" si="29"/>
        <v>68.399999999999991</v>
      </c>
      <c r="BO276" s="64">
        <f t="shared" si="30"/>
        <v>0.1519468186134853</v>
      </c>
      <c r="BP276" s="64">
        <f t="shared" si="31"/>
        <v>0.15384615384615385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133.88888888888889</v>
      </c>
      <c r="Y277" s="629">
        <f>IFERROR(Y269/H269,"0")+IFERROR(Y270/H270,"0")+IFERROR(Y271/H271,"0")+IFERROR(Y272/H272,"0")+IFERROR(Y273/H273,"0")+IFERROR(Y274/H274,"0")+IFERROR(Y275/H275,"0")+IFERROR(Y276/H276,"0")</f>
        <v>136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0.91871999999999998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449</v>
      </c>
      <c r="Y278" s="629">
        <f>IFERROR(SUM(Y269:Y276),"0")</f>
        <v>457.20000000000005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32</v>
      </c>
      <c r="Y280" s="628">
        <f t="shared" ref="Y280:Y291" si="32">IFERROR(IF(X280="",0,CEILING((X280/$H280),1)*$H280),"")</f>
        <v>32.4</v>
      </c>
      <c r="Z280" s="36">
        <f>IFERROR(IF(Y280=0,"",ROUNDUP(Y280/H280,0)*0.01898),"")</f>
        <v>7.5920000000000001E-2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33.951604938271608</v>
      </c>
      <c r="BN280" s="64">
        <f t="shared" ref="BN280:BN291" si="34">IFERROR(Y280*I280/H280,"0")</f>
        <v>34.375999999999998</v>
      </c>
      <c r="BO280" s="64">
        <f t="shared" ref="BO280:BO291" si="35">IFERROR(1/J280*(X280/H280),"0")</f>
        <v>6.1728395061728399E-2</v>
      </c>
      <c r="BP280" s="64">
        <f t="shared" ref="BP280:BP291" si="36">IFERROR(1/J280*(Y280/H280),"0")</f>
        <v>6.25E-2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30</v>
      </c>
      <c r="Y282" s="628">
        <f t="shared" si="32"/>
        <v>34.799999999999997</v>
      </c>
      <c r="Z282" s="36">
        <f>IFERROR(IF(Y282=0,"",ROUNDUP(Y282/H282,0)*0.01898),"")</f>
        <v>7.5920000000000001E-2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31.703448275862076</v>
      </c>
      <c r="BN282" s="64">
        <f t="shared" si="34"/>
        <v>36.776000000000003</v>
      </c>
      <c r="BO282" s="64">
        <f t="shared" si="35"/>
        <v>5.387931034482759E-2</v>
      </c>
      <c r="BP282" s="64">
        <f t="shared" si="36"/>
        <v>6.25E-2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139</v>
      </c>
      <c r="Y283" s="628">
        <f t="shared" si="32"/>
        <v>139.19999999999999</v>
      </c>
      <c r="Z283" s="36">
        <f>IFERROR(IF(Y283=0,"",ROUNDUP(Y283/H283,0)*0.00651),"")</f>
        <v>0.37758000000000003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154.63750000000002</v>
      </c>
      <c r="BN283" s="64">
        <f t="shared" si="34"/>
        <v>154.86000000000001</v>
      </c>
      <c r="BO283" s="64">
        <f t="shared" si="35"/>
        <v>0.31822344322344326</v>
      </c>
      <c r="BP283" s="64">
        <f t="shared" si="36"/>
        <v>0.31868131868131871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581</v>
      </c>
      <c r="Y286" s="628">
        <f t="shared" si="32"/>
        <v>583.19999999999993</v>
      </c>
      <c r="Z286" s="36">
        <f>IFERROR(IF(Y286=0,"",ROUNDUP(Y286/H286,0)*0.00651),"")</f>
        <v>1.5819300000000001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642.00500000000011</v>
      </c>
      <c r="BN286" s="64">
        <f t="shared" si="34"/>
        <v>644.43599999999992</v>
      </c>
      <c r="BO286" s="64">
        <f t="shared" si="35"/>
        <v>1.3301282051282053</v>
      </c>
      <c r="BP286" s="64">
        <f t="shared" si="36"/>
        <v>1.3351648351648351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141</v>
      </c>
      <c r="Y288" s="628">
        <f t="shared" si="32"/>
        <v>141.6</v>
      </c>
      <c r="Z288" s="36">
        <f>IFERROR(IF(Y288=0,"",ROUNDUP(Y288/H288,0)*0.00651),"")</f>
        <v>0.38408999999999999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155.80500000000001</v>
      </c>
      <c r="BN288" s="64">
        <f t="shared" si="34"/>
        <v>156.46800000000002</v>
      </c>
      <c r="BO288" s="64">
        <f t="shared" si="35"/>
        <v>0.32280219780219782</v>
      </c>
      <c r="BP288" s="64">
        <f t="shared" si="36"/>
        <v>0.32417582417582419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191</v>
      </c>
      <c r="Y289" s="628">
        <f t="shared" si="32"/>
        <v>192</v>
      </c>
      <c r="Z289" s="36">
        <f>IFERROR(IF(Y289=0,"",ROUNDUP(Y289/H289,0)*0.00651),"")</f>
        <v>0.52080000000000004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211.05500000000004</v>
      </c>
      <c r="BN289" s="64">
        <f t="shared" si="34"/>
        <v>212.16000000000003</v>
      </c>
      <c r="BO289" s="64">
        <f t="shared" si="35"/>
        <v>0.43727106227106238</v>
      </c>
      <c r="BP289" s="64">
        <f t="shared" si="36"/>
        <v>0.43956043956043961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230</v>
      </c>
      <c r="Y290" s="628">
        <f t="shared" si="32"/>
        <v>230.39999999999998</v>
      </c>
      <c r="Z290" s="36">
        <f>IFERROR(IF(Y290=0,"",ROUNDUP(Y290/H290,0)*0.00651),"")</f>
        <v>0.62495999999999996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254.72500000000002</v>
      </c>
      <c r="BN290" s="64">
        <f t="shared" si="34"/>
        <v>255.16800000000001</v>
      </c>
      <c r="BO290" s="64">
        <f t="shared" si="35"/>
        <v>0.52655677655677668</v>
      </c>
      <c r="BP290" s="64">
        <f t="shared" si="36"/>
        <v>0.52747252747252749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541.56555981268627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544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3.6411999999999995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1344</v>
      </c>
      <c r="Y293" s="629">
        <f>IFERROR(SUM(Y280:Y291),"0")</f>
        <v>1353.6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86</v>
      </c>
      <c r="Y295" s="628">
        <f>IFERROR(IF(X295="",0,CEILING((X295/$H295),1)*$H295),"")</f>
        <v>86.399999999999991</v>
      </c>
      <c r="Z295" s="36">
        <f>IFERROR(IF(Y295=0,"",ROUNDUP(Y295/H295,0)*0.00651),"")</f>
        <v>0.23436000000000001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95.03</v>
      </c>
      <c r="BN295" s="64">
        <f>IFERROR(Y295*I295/H295,"0")</f>
        <v>95.472000000000008</v>
      </c>
      <c r="BO295" s="64">
        <f>IFERROR(1/J295*(X295/H295),"0")</f>
        <v>0.19688644688644691</v>
      </c>
      <c r="BP295" s="64">
        <f>IFERROR(1/J295*(Y295/H295),"0")</f>
        <v>0.19780219780219782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89</v>
      </c>
      <c r="Y296" s="628">
        <f>IFERROR(IF(X296="",0,CEILING((X296/$H296),1)*$H296),"")</f>
        <v>91.2</v>
      </c>
      <c r="Z296" s="36">
        <f>IFERROR(IF(Y296=0,"",ROUNDUP(Y296/H296,0)*0.00651),"")</f>
        <v>0.24738000000000002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98.345000000000013</v>
      </c>
      <c r="BN296" s="64">
        <f>IFERROR(Y296*I296/H296,"0")</f>
        <v>100.77600000000001</v>
      </c>
      <c r="BO296" s="64">
        <f>IFERROR(1/J296*(X296/H296),"0")</f>
        <v>0.20375457875457878</v>
      </c>
      <c r="BP296" s="64">
        <f>IFERROR(1/J296*(Y296/H296),"0")</f>
        <v>0.2087912087912088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72.916666666666671</v>
      </c>
      <c r="Y297" s="629">
        <f>IFERROR(Y295/H295,"0")+IFERROR(Y296/H296,"0")</f>
        <v>74</v>
      </c>
      <c r="Z297" s="629">
        <f>IFERROR(IF(Z295="",0,Z295),"0")+IFERROR(IF(Z296="",0,Z296),"0")</f>
        <v>0.48174000000000006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175</v>
      </c>
      <c r="Y298" s="629">
        <f>IFERROR(SUM(Y295:Y296),"0")</f>
        <v>177.6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11</v>
      </c>
      <c r="Y315" s="628">
        <f>IFERROR(IF(X315="",0,CEILING((X315/$H315),1)*$H315),"")</f>
        <v>12.6</v>
      </c>
      <c r="Z315" s="36">
        <f>IFERROR(IF(Y315=0,"",ROUNDUP(Y315/H315,0)*0.0059),"")</f>
        <v>4.1299999999999996E-2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12.069444444444445</v>
      </c>
      <c r="BN315" s="64">
        <f>IFERROR(Y315*I315/H315,"0")</f>
        <v>13.825000000000001</v>
      </c>
      <c r="BO315" s="64">
        <f>IFERROR(1/J315*(X315/H315),"0")</f>
        <v>2.8292181069958844E-2</v>
      </c>
      <c r="BP315" s="64">
        <f>IFERROR(1/J315*(Y315/H315),"0")</f>
        <v>3.2407407407407406E-2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6.1111111111111107</v>
      </c>
      <c r="Y316" s="629">
        <f>IFERROR(Y315/H315,"0")</f>
        <v>7</v>
      </c>
      <c r="Z316" s="629">
        <f>IFERROR(IF(Z315="",0,Z315),"0")</f>
        <v>4.1299999999999996E-2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11</v>
      </c>
      <c r="Y317" s="629">
        <f>IFERROR(SUM(Y315:Y315),"0")</f>
        <v>12.6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40</v>
      </c>
      <c r="Y336" s="628">
        <f>IFERROR(IF(X336="",0,CEILING((X336/$H336),1)*$H336),"")</f>
        <v>40.799999999999997</v>
      </c>
      <c r="Z336" s="36">
        <f>IFERROR(IF(Y336=0,"",ROUNDUP(Y336/H336,0)*0.00651),"")</f>
        <v>0.11067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44.20000000000001</v>
      </c>
      <c r="BN336" s="64">
        <f>IFERROR(Y336*I336/H336,"0")</f>
        <v>45.084000000000003</v>
      </c>
      <c r="BO336" s="64">
        <f>IFERROR(1/J336*(X336/H336),"0")</f>
        <v>9.1575091575091583E-2</v>
      </c>
      <c r="BP336" s="64">
        <f>IFERROR(1/J336*(Y336/H336),"0")</f>
        <v>9.3406593406593408E-2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101</v>
      </c>
      <c r="Y337" s="628">
        <f>IFERROR(IF(X337="",0,CEILING((X337/$H337),1)*$H337),"")</f>
        <v>103.2</v>
      </c>
      <c r="Z337" s="36">
        <f>IFERROR(IF(Y337=0,"",ROUNDUP(Y337/H337,0)*0.00651),"")</f>
        <v>0.27993000000000001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108.575</v>
      </c>
      <c r="BN337" s="64">
        <f>IFERROR(Y337*I337/H337,"0")</f>
        <v>110.94000000000001</v>
      </c>
      <c r="BO337" s="64">
        <f>IFERROR(1/J337*(X337/H337),"0")</f>
        <v>0.23122710622710627</v>
      </c>
      <c r="BP337" s="64">
        <f>IFERROR(1/J337*(Y337/H337),"0")</f>
        <v>0.23626373626373628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58.75</v>
      </c>
      <c r="Y338" s="629">
        <f>IFERROR(Y335/H335,"0")+IFERROR(Y336/H336,"0")+IFERROR(Y337/H337,"0")</f>
        <v>60</v>
      </c>
      <c r="Z338" s="629">
        <f>IFERROR(IF(Z335="",0,Z335),"0")+IFERROR(IF(Z336="",0,Z336),"0")+IFERROR(IF(Z337="",0,Z337),"0")</f>
        <v>0.3906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141</v>
      </c>
      <c r="Y339" s="629">
        <f>IFERROR(SUM(Y335:Y337),"0")</f>
        <v>144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363</v>
      </c>
      <c r="Y357" s="628">
        <f>IFERROR(IF(X357="",0,CEILING((X357/$H357),1)*$H357),"")</f>
        <v>366.59999999999997</v>
      </c>
      <c r="Z357" s="36">
        <f>IFERROR(IF(Y357=0,"",ROUNDUP(Y357/H357,0)*0.01898),"")</f>
        <v>0.89205999999999996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382.08076923076931</v>
      </c>
      <c r="BN357" s="64">
        <f>IFERROR(Y357*I357/H357,"0")</f>
        <v>385.87</v>
      </c>
      <c r="BO357" s="64">
        <f>IFERROR(1/J357*(X357/H357),"0")</f>
        <v>0.72716346153846156</v>
      </c>
      <c r="BP357" s="64">
        <f>IFERROR(1/J357*(Y357/H357),"0")</f>
        <v>0.734375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105</v>
      </c>
      <c r="Y358" s="628">
        <f>IFERROR(IF(X358="",0,CEILING((X358/$H358),1)*$H358),"")</f>
        <v>109.2</v>
      </c>
      <c r="Z358" s="36">
        <f>IFERROR(IF(Y358=0,"",ROUNDUP(Y358/H358,0)*0.01898),"")</f>
        <v>0.26572000000000001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110.51923076923077</v>
      </c>
      <c r="BN358" s="64">
        <f>IFERROR(Y358*I358/H358,"0")</f>
        <v>114.94000000000003</v>
      </c>
      <c r="BO358" s="64">
        <f>IFERROR(1/J358*(X358/H358),"0")</f>
        <v>0.21033653846153846</v>
      </c>
      <c r="BP358" s="64">
        <f>IFERROR(1/J358*(Y358/H358),"0")</f>
        <v>0.21875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60</v>
      </c>
      <c r="Y359" s="629">
        <f>IFERROR(Y356/H356,"0")+IFERROR(Y357/H357,"0")+IFERROR(Y358/H358,"0")</f>
        <v>61</v>
      </c>
      <c r="Z359" s="629">
        <f>IFERROR(IF(Z356="",0,Z356),"0")+IFERROR(IF(Z357="",0,Z357),"0")+IFERROR(IF(Z358="",0,Z358),"0")</f>
        <v>1.15778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468</v>
      </c>
      <c r="Y360" s="629">
        <f>IFERROR(SUM(Y356:Y358),"0")</f>
        <v>475.79999999999995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35</v>
      </c>
      <c r="Y377" s="628">
        <f t="shared" si="42"/>
        <v>36</v>
      </c>
      <c r="Z377" s="36">
        <f>IFERROR(IF(Y377=0,"",ROUNDUP(Y377/H377,0)*0.00651),"")</f>
        <v>0.13020000000000001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39.433333333333337</v>
      </c>
      <c r="BN377" s="64">
        <f t="shared" si="44"/>
        <v>40.559999999999995</v>
      </c>
      <c r="BO377" s="64">
        <f t="shared" si="45"/>
        <v>0.10683760683760683</v>
      </c>
      <c r="BP377" s="64">
        <f t="shared" si="46"/>
        <v>0.1098901098901099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19.444444444444443</v>
      </c>
      <c r="Y378" s="629">
        <f>IFERROR(Y371/H371,"0")+IFERROR(Y372/H372,"0")+IFERROR(Y373/H373,"0")+IFERROR(Y374/H374,"0")+IFERROR(Y375/H375,"0")+IFERROR(Y376/H376,"0")+IFERROR(Y377/H377,"0")</f>
        <v>20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0.13020000000000001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35</v>
      </c>
      <c r="Y379" s="629">
        <f>IFERROR(SUM(Y371:Y377),"0")</f>
        <v>36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164</v>
      </c>
      <c r="Y388" s="628">
        <f>IFERROR(IF(X388="",0,CEILING((X388/$H388),1)*$H388),"")</f>
        <v>168</v>
      </c>
      <c r="Z388" s="36">
        <f>IFERROR(IF(Y388=0,"",ROUNDUP(Y388/H388,0)*0.01898),"")</f>
        <v>0.37959999999999999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173.64476190476191</v>
      </c>
      <c r="BN388" s="64">
        <f>IFERROR(Y388*I388/H388,"0")</f>
        <v>177.88</v>
      </c>
      <c r="BO388" s="64">
        <f>IFERROR(1/J388*(X388/H388),"0")</f>
        <v>0.30505952380952378</v>
      </c>
      <c r="BP388" s="64">
        <f>IFERROR(1/J388*(Y388/H388),"0")</f>
        <v>0.3125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160</v>
      </c>
      <c r="Y389" s="628">
        <f>IFERROR(IF(X389="",0,CEILING((X389/$H389),1)*$H389),"")</f>
        <v>163.79999999999998</v>
      </c>
      <c r="Z389" s="36">
        <f>IFERROR(IF(Y389=0,"",ROUNDUP(Y389/H389,0)*0.01898),"")</f>
        <v>0.39857999999999999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170.13333333333333</v>
      </c>
      <c r="BN389" s="64">
        <f>IFERROR(Y389*I389/H389,"0")</f>
        <v>174.17400000000001</v>
      </c>
      <c r="BO389" s="64">
        <f>IFERROR(1/J389*(X389/H389),"0")</f>
        <v>0.32051282051282054</v>
      </c>
      <c r="BP389" s="64">
        <f>IFERROR(1/J389*(Y389/H389),"0")</f>
        <v>0.328125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76</v>
      </c>
      <c r="Y390" s="628">
        <f>IFERROR(IF(X390="",0,CEILING((X390/$H390),1)*$H390),"")</f>
        <v>84</v>
      </c>
      <c r="Z390" s="36">
        <f>IFERROR(IF(Y390=0,"",ROUNDUP(Y390/H390,0)*0.01898),"")</f>
        <v>0.1898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80.469523809523807</v>
      </c>
      <c r="BN390" s="64">
        <f>IFERROR(Y390*I390/H390,"0")</f>
        <v>88.94</v>
      </c>
      <c r="BO390" s="64">
        <f>IFERROR(1/J390*(X390/H390),"0")</f>
        <v>0.14136904761904762</v>
      </c>
      <c r="BP390" s="64">
        <f>IFERROR(1/J390*(Y390/H390),"0")</f>
        <v>0.15625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49.08424908424908</v>
      </c>
      <c r="Y391" s="629">
        <f>IFERROR(Y388/H388,"0")+IFERROR(Y389/H389,"0")+IFERROR(Y390/H390,"0")</f>
        <v>51</v>
      </c>
      <c r="Z391" s="629">
        <f>IFERROR(IF(Z388="",0,Z388),"0")+IFERROR(IF(Z389="",0,Z389),"0")+IFERROR(IF(Z390="",0,Z390),"0")</f>
        <v>0.96797999999999995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400</v>
      </c>
      <c r="Y392" s="629">
        <f>IFERROR(SUM(Y388:Y390),"0")</f>
        <v>415.79999999999995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6</v>
      </c>
      <c r="Y394" s="628">
        <f>IFERROR(IF(X394="",0,CEILING((X394/$H394),1)*$H394),"")</f>
        <v>6.08</v>
      </c>
      <c r="Z394" s="36">
        <f>IFERROR(IF(Y394=0,"",ROUNDUP(Y394/H394,0)*0.00902),"")</f>
        <v>1.804E-2</v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6.5328947368421053</v>
      </c>
      <c r="BN394" s="64">
        <f>IFERROR(Y394*I394/H394,"0")</f>
        <v>6.62</v>
      </c>
      <c r="BO394" s="64">
        <f>IFERROR(1/J394*(X394/H394),"0")</f>
        <v>1.4952153110047847E-2</v>
      </c>
      <c r="BP394" s="64">
        <f>IFERROR(1/J394*(Y394/H394),"0")</f>
        <v>1.5151515151515152E-2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1.9736842105263157</v>
      </c>
      <c r="Y398" s="629">
        <f>IFERROR(Y394/H394,"0")+IFERROR(Y395/H395,"0")+IFERROR(Y396/H396,"0")+IFERROR(Y397/H397,"0")</f>
        <v>2</v>
      </c>
      <c r="Z398" s="629">
        <f>IFERROR(IF(Z394="",0,Z394),"0")+IFERROR(IF(Z395="",0,Z395),"0")+IFERROR(IF(Z396="",0,Z396),"0")+IFERROR(IF(Z397="",0,Z397),"0")</f>
        <v>1.804E-2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6</v>
      </c>
      <c r="Y399" s="629">
        <f>IFERROR(SUM(Y394:Y397),"0")</f>
        <v>6.08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24</v>
      </c>
      <c r="Y402" s="628">
        <f>IFERROR(IF(X402="",0,CEILING((X402/$H402),1)*$H402),"")</f>
        <v>24</v>
      </c>
      <c r="Z402" s="36">
        <f>IFERROR(IF(Y402=0,"",ROUNDUP(Y402/H402,0)*0.00474),"")</f>
        <v>5.688E-2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26.880000000000003</v>
      </c>
      <c r="BN402" s="64">
        <f>IFERROR(Y402*I402/H402,"0")</f>
        <v>26.880000000000003</v>
      </c>
      <c r="BO402" s="64">
        <f>IFERROR(1/J402*(X402/H402),"0")</f>
        <v>5.0420168067226892E-2</v>
      </c>
      <c r="BP402" s="64">
        <f>IFERROR(1/J402*(Y402/H402),"0")</f>
        <v>5.0420168067226892E-2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28</v>
      </c>
      <c r="Y403" s="628">
        <f>IFERROR(IF(X403="",0,CEILING((X403/$H403),1)*$H403),"")</f>
        <v>28</v>
      </c>
      <c r="Z403" s="36">
        <f>IFERROR(IF(Y403=0,"",ROUNDUP(Y403/H403,0)*0.00474),"")</f>
        <v>6.6360000000000002E-2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31.360000000000003</v>
      </c>
      <c r="BN403" s="64">
        <f>IFERROR(Y403*I403/H403,"0")</f>
        <v>31.360000000000003</v>
      </c>
      <c r="BO403" s="64">
        <f>IFERROR(1/J403*(X403/H403),"0")</f>
        <v>5.8823529411764705E-2</v>
      </c>
      <c r="BP403" s="64">
        <f>IFERROR(1/J403*(Y403/H403),"0")</f>
        <v>5.8823529411764705E-2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26</v>
      </c>
      <c r="Y404" s="629">
        <f>IFERROR(Y401/H401,"0")+IFERROR(Y402/H402,"0")+IFERROR(Y403/H403,"0")</f>
        <v>26</v>
      </c>
      <c r="Z404" s="629">
        <f>IFERROR(IF(Z401="",0,Z401),"0")+IFERROR(IF(Z402="",0,Z402),"0")+IFERROR(IF(Z403="",0,Z403),"0")</f>
        <v>0.12324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52</v>
      </c>
      <c r="Y405" s="629">
        <f>IFERROR(SUM(Y401:Y403),"0")</f>
        <v>52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4</v>
      </c>
      <c r="Y416" s="628">
        <f>IFERROR(IF(X416="",0,CEILING((X416/$H416),1)*$H416),"")</f>
        <v>4.2</v>
      </c>
      <c r="Z416" s="36">
        <f>IFERROR(IF(Y416=0,"",ROUNDUP(Y416/H416,0)*0.00651),"")</f>
        <v>1.302E-2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4.4571428571428564</v>
      </c>
      <c r="BN416" s="64">
        <f>IFERROR(Y416*I416/H416,"0")</f>
        <v>4.68</v>
      </c>
      <c r="BO416" s="64">
        <f>IFERROR(1/J416*(X416/H416),"0")</f>
        <v>1.0465724751439037E-2</v>
      </c>
      <c r="BP416" s="64">
        <f>IFERROR(1/J416*(Y416/H416),"0")</f>
        <v>1.098901098901099E-2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1.9047619047619047</v>
      </c>
      <c r="Y417" s="629">
        <f>IFERROR(Y414/H414,"0")+IFERROR(Y415/H415,"0")+IFERROR(Y416/H416,"0")</f>
        <v>2</v>
      </c>
      <c r="Z417" s="629">
        <f>IFERROR(IF(Z414="",0,Z414),"0")+IFERROR(IF(Z415="",0,Z415),"0")+IFERROR(IF(Z416="",0,Z416),"0")</f>
        <v>1.302E-2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4</v>
      </c>
      <c r="Y418" s="629">
        <f>IFERROR(SUM(Y414:Y416),"0")</f>
        <v>4.2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91</v>
      </c>
      <c r="Y422" s="628">
        <f t="shared" ref="Y422:Y429" si="47">IFERROR(IF(X422="",0,CEILING((X422/$H422),1)*$H422),"")</f>
        <v>105</v>
      </c>
      <c r="Z422" s="36">
        <f>IFERROR(IF(Y422=0,"",ROUNDUP(Y422/H422,0)*0.02175),"")</f>
        <v>0.15225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93.851333333333329</v>
      </c>
      <c r="BN422" s="64">
        <f t="shared" ref="BN422:BN429" si="49">IFERROR(Y422*I422/H422,"0")</f>
        <v>108.29</v>
      </c>
      <c r="BO422" s="64">
        <f t="shared" ref="BO422:BO429" si="50">IFERROR(1/J422*(X422/H422),"0")</f>
        <v>0.12638888888888888</v>
      </c>
      <c r="BP422" s="64">
        <f t="shared" ref="BP422:BP429" si="51">IFERROR(1/J422*(Y422/H422),"0")</f>
        <v>0.14583333333333331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471</v>
      </c>
      <c r="Y424" s="628">
        <f t="shared" si="47"/>
        <v>480</v>
      </c>
      <c r="Z424" s="36">
        <f>IFERROR(IF(Y424=0,"",ROUNDUP(Y424/H424,0)*0.02175),"")</f>
        <v>0.69599999999999995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485.75799999999998</v>
      </c>
      <c r="BN424" s="64">
        <f t="shared" si="49"/>
        <v>495.04</v>
      </c>
      <c r="BO424" s="64">
        <f t="shared" si="50"/>
        <v>0.65416666666666656</v>
      </c>
      <c r="BP424" s="64">
        <f t="shared" si="51"/>
        <v>0.66666666666666663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37.466666666666669</v>
      </c>
      <c r="Y430" s="629">
        <f>IFERROR(Y422/H422,"0")+IFERROR(Y423/H423,"0")+IFERROR(Y424/H424,"0")+IFERROR(Y425/H425,"0")+IFERROR(Y426/H426,"0")+IFERROR(Y427/H427,"0")+IFERROR(Y428/H428,"0")+IFERROR(Y429/H429,"0")</f>
        <v>39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0.84824999999999995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562</v>
      </c>
      <c r="Y431" s="629">
        <f>IFERROR(SUM(Y422:Y429),"0")</f>
        <v>585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2551</v>
      </c>
      <c r="Y433" s="628">
        <f>IFERROR(IF(X433="",0,CEILING((X433/$H433),1)*$H433),"")</f>
        <v>2565</v>
      </c>
      <c r="Z433" s="36">
        <f>IFERROR(IF(Y433=0,"",ROUNDUP(Y433/H433,0)*0.02175),"")</f>
        <v>3.7192499999999997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2630.9313333333334</v>
      </c>
      <c r="BN433" s="64">
        <f>IFERROR(Y433*I433/H433,"0")</f>
        <v>2645.3700000000003</v>
      </c>
      <c r="BO433" s="64">
        <f>IFERROR(1/J433*(X433/H433),"0")</f>
        <v>3.5430555555555552</v>
      </c>
      <c r="BP433" s="64">
        <f>IFERROR(1/J433*(Y433/H433),"0")</f>
        <v>3.5625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36</v>
      </c>
      <c r="Y434" s="628">
        <f>IFERROR(IF(X434="",0,CEILING((X434/$H434),1)*$H434),"")</f>
        <v>45</v>
      </c>
      <c r="Z434" s="36">
        <f>IFERROR(IF(Y434=0,"",ROUNDUP(Y434/H434,0)*0.02175),"")</f>
        <v>6.5250000000000002E-2</v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37.128000000000007</v>
      </c>
      <c r="BN434" s="64">
        <f>IFERROR(Y434*I434/H434,"0")</f>
        <v>46.41</v>
      </c>
      <c r="BO434" s="64">
        <f>IFERROR(1/J434*(X434/H434),"0")</f>
        <v>4.9999999999999996E-2</v>
      </c>
      <c r="BP434" s="64">
        <f>IFERROR(1/J434*(Y434/H434),"0")</f>
        <v>6.25E-2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172.46666666666667</v>
      </c>
      <c r="Y436" s="629">
        <f>IFERROR(Y433/H433,"0")+IFERROR(Y434/H434,"0")+IFERROR(Y435/H435,"0")</f>
        <v>174</v>
      </c>
      <c r="Z436" s="629">
        <f>IFERROR(IF(Z433="",0,Z433),"0")+IFERROR(IF(Z434="",0,Z434),"0")+IFERROR(IF(Z435="",0,Z435),"0")</f>
        <v>3.7844999999999995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2587</v>
      </c>
      <c r="Y437" s="629">
        <f>IFERROR(SUM(Y433:Y435),"0")</f>
        <v>2610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291</v>
      </c>
      <c r="Y446" s="628">
        <f>IFERROR(IF(X446="",0,CEILING((X446/$H446),1)*$H446),"")</f>
        <v>297</v>
      </c>
      <c r="Z446" s="36">
        <f>IFERROR(IF(Y446=0,"",ROUNDUP(Y446/H446,0)*0.01898),"")</f>
        <v>0.62634000000000001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306.97266666666667</v>
      </c>
      <c r="BN446" s="64">
        <f>IFERROR(Y446*I446/H446,"0")</f>
        <v>313.30199999999996</v>
      </c>
      <c r="BO446" s="64">
        <f>IFERROR(1/J446*(X446/H446),"0")</f>
        <v>0.50520833333333337</v>
      </c>
      <c r="BP446" s="64">
        <f>IFERROR(1/J446*(Y446/H446),"0")</f>
        <v>0.515625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32.333333333333336</v>
      </c>
      <c r="Y447" s="629">
        <f>IFERROR(Y445/H445,"0")+IFERROR(Y446/H446,"0")</f>
        <v>33</v>
      </c>
      <c r="Z447" s="629">
        <f>IFERROR(IF(Z445="",0,Z445),"0")+IFERROR(IF(Z446="",0,Z446),"0")</f>
        <v>0.62634000000000001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291</v>
      </c>
      <c r="Y448" s="629">
        <f>IFERROR(SUM(Y445:Y446),"0")</f>
        <v>297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1097</v>
      </c>
      <c r="Y460" s="628">
        <f>IFERROR(IF(X460="",0,CEILING((X460/$H460),1)*$H460),"")</f>
        <v>1098</v>
      </c>
      <c r="Z460" s="36">
        <f>IFERROR(IF(Y460=0,"",ROUNDUP(Y460/H460,0)*0.01898),"")</f>
        <v>2.3155600000000001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1157.2131111111112</v>
      </c>
      <c r="BN460" s="64">
        <f>IFERROR(Y460*I460/H460,"0")</f>
        <v>1158.268</v>
      </c>
      <c r="BO460" s="64">
        <f>IFERROR(1/J460*(X460/H460),"0")</f>
        <v>1.9045138888888888</v>
      </c>
      <c r="BP460" s="64">
        <f>IFERROR(1/J460*(Y460/H460),"0")</f>
        <v>1.90625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42</v>
      </c>
      <c r="Y461" s="628">
        <f>IFERROR(IF(X461="",0,CEILING((X461/$H461),1)*$H461),"")</f>
        <v>43.199999999999996</v>
      </c>
      <c r="Z461" s="36">
        <f>IFERROR(IF(Y461=0,"",ROUNDUP(Y461/H461,0)*0.00651),"")</f>
        <v>0.11718000000000001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46.620000000000005</v>
      </c>
      <c r="BN461" s="64">
        <f>IFERROR(Y461*I461/H461,"0")</f>
        <v>47.952000000000005</v>
      </c>
      <c r="BO461" s="64">
        <f>IFERROR(1/J461*(X461/H461),"0")</f>
        <v>9.6153846153846159E-2</v>
      </c>
      <c r="BP461" s="64">
        <f>IFERROR(1/J461*(Y461/H461),"0")</f>
        <v>9.8901098901098911E-2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139.38888888888889</v>
      </c>
      <c r="Y463" s="629">
        <f>IFERROR(Y460/H460,"0")+IFERROR(Y461/H461,"0")+IFERROR(Y462/H462,"0")</f>
        <v>140</v>
      </c>
      <c r="Z463" s="629">
        <f>IFERROR(IF(Z460="",0,Z460),"0")+IFERROR(IF(Z461="",0,Z461),"0")+IFERROR(IF(Z462="",0,Z462),"0")</f>
        <v>2.4327399999999999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1139</v>
      </c>
      <c r="Y464" s="629">
        <f>IFERROR(SUM(Y460:Y462),"0")</f>
        <v>1141.2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59</v>
      </c>
      <c r="Y468" s="628">
        <f t="shared" ref="Y468:Y473" si="52">IFERROR(IF(X468="",0,CEILING((X468/$H468),1)*$H468),"")</f>
        <v>59.400000000000006</v>
      </c>
      <c r="Z468" s="36">
        <f>IFERROR(IF(Y468=0,"",ROUNDUP(Y468/H468,0)*0.00902),"")</f>
        <v>9.9220000000000003E-2</v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61.075925925925922</v>
      </c>
      <c r="BN468" s="64">
        <f t="shared" ref="BN468:BN473" si="54">IFERROR(Y468*I468/H468,"0")</f>
        <v>61.49</v>
      </c>
      <c r="BO468" s="64">
        <f t="shared" ref="BO468:BO473" si="55">IFERROR(1/J468*(X468/H468),"0")</f>
        <v>8.2772166105499437E-2</v>
      </c>
      <c r="BP468" s="64">
        <f t="shared" ref="BP468:BP473" si="56">IFERROR(1/J468*(Y468/H468),"0")</f>
        <v>8.3333333333333343E-2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10.925925925925926</v>
      </c>
      <c r="Y474" s="629">
        <f>IFERROR(Y468/H468,"0")+IFERROR(Y469/H469,"0")+IFERROR(Y470/H470,"0")+IFERROR(Y471/H471,"0")+IFERROR(Y472/H472,"0")+IFERROR(Y473/H473,"0")</f>
        <v>11</v>
      </c>
      <c r="Z474" s="629">
        <f>IFERROR(IF(Z468="",0,Z468),"0")+IFERROR(IF(Z469="",0,Z469),"0")+IFERROR(IF(Z470="",0,Z470),"0")+IFERROR(IF(Z471="",0,Z471),"0")+IFERROR(IF(Z472="",0,Z472),"0")+IFERROR(IF(Z473="",0,Z473),"0")</f>
        <v>9.9220000000000003E-2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59</v>
      </c>
      <c r="Y475" s="629">
        <f>IFERROR(SUM(Y468:Y473),"0")</f>
        <v>59.400000000000006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25</v>
      </c>
      <c r="Y487" s="628">
        <f>IFERROR(IF(X487="",0,CEILING((X487/$H487),1)*$H487),"")</f>
        <v>27</v>
      </c>
      <c r="Z487" s="36">
        <f>IFERROR(IF(Y487=0,"",ROUNDUP(Y487/H487,0)*0.00902),"")</f>
        <v>4.5100000000000001E-2</v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25.879629629629626</v>
      </c>
      <c r="BN487" s="64">
        <f>IFERROR(Y487*I487/H487,"0")</f>
        <v>27.95</v>
      </c>
      <c r="BO487" s="64">
        <f>IFERROR(1/J487*(X487/H487),"0")</f>
        <v>3.5072951739618406E-2</v>
      </c>
      <c r="BP487" s="64">
        <f>IFERROR(1/J487*(Y487/H487),"0")</f>
        <v>3.787878787878788E-2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4.6296296296296298</v>
      </c>
      <c r="Y490" s="629">
        <f>IFERROR(Y487/H487,"0")+IFERROR(Y488/H488,"0")+IFERROR(Y489/H489,"0")</f>
        <v>5</v>
      </c>
      <c r="Z490" s="629">
        <f>IFERROR(IF(Z487="",0,Z487),"0")+IFERROR(IF(Z488="",0,Z488),"0")+IFERROR(IF(Z489="",0,Z489),"0")</f>
        <v>4.5100000000000001E-2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25</v>
      </c>
      <c r="Y491" s="629">
        <f>IFERROR(SUM(Y487:Y489),"0")</f>
        <v>27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130</v>
      </c>
      <c r="Y495" s="628">
        <f t="shared" ref="Y495:Y503" si="57">IFERROR(IF(X495="",0,CEILING((X495/$H495),1)*$H495),"")</f>
        <v>132</v>
      </c>
      <c r="Z495" s="36">
        <f t="shared" ref="Z495:Z500" si="58">IFERROR(IF(Y495=0,"",ROUNDUP(Y495/H495,0)*0.01196),"")</f>
        <v>0.29899999999999999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138.61742424242422</v>
      </c>
      <c r="BN495" s="64">
        <f t="shared" ref="BN495:BN503" si="60">IFERROR(Y495*I495/H495,"0")</f>
        <v>140.75</v>
      </c>
      <c r="BO495" s="64">
        <f t="shared" ref="BO495:BO503" si="61">IFERROR(1/J495*(X495/H495),"0")</f>
        <v>0.23674242424242425</v>
      </c>
      <c r="BP495" s="64">
        <f t="shared" ref="BP495:BP503" si="62">IFERROR(1/J495*(Y495/H495),"0")</f>
        <v>0.24038461538461539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29</v>
      </c>
      <c r="Y497" s="628">
        <f t="shared" si="57"/>
        <v>31.68</v>
      </c>
      <c r="Z497" s="36">
        <f t="shared" si="58"/>
        <v>7.1760000000000004E-2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30.922348484848484</v>
      </c>
      <c r="BN497" s="64">
        <f t="shared" si="60"/>
        <v>33.779999999999994</v>
      </c>
      <c r="BO497" s="64">
        <f t="shared" si="61"/>
        <v>5.281177156177156E-2</v>
      </c>
      <c r="BP497" s="64">
        <f t="shared" si="62"/>
        <v>5.7692307692307696E-2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281</v>
      </c>
      <c r="Y498" s="628">
        <f t="shared" si="57"/>
        <v>285.12</v>
      </c>
      <c r="Z498" s="36">
        <f t="shared" si="58"/>
        <v>0.64583999999999997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299.62689393939394</v>
      </c>
      <c r="BN498" s="64">
        <f t="shared" si="60"/>
        <v>304.02</v>
      </c>
      <c r="BO498" s="64">
        <f t="shared" si="61"/>
        <v>0.51172785547785549</v>
      </c>
      <c r="BP498" s="64">
        <f t="shared" si="62"/>
        <v>0.51923076923076927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107</v>
      </c>
      <c r="Y500" s="628">
        <f t="shared" si="57"/>
        <v>110.88000000000001</v>
      </c>
      <c r="Z500" s="36">
        <f t="shared" si="58"/>
        <v>0.25115999999999999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114.09280303030302</v>
      </c>
      <c r="BN500" s="64">
        <f t="shared" si="60"/>
        <v>118.23</v>
      </c>
      <c r="BO500" s="64">
        <f t="shared" si="61"/>
        <v>0.19485722610722611</v>
      </c>
      <c r="BP500" s="64">
        <f t="shared" si="62"/>
        <v>0.20192307692307693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86</v>
      </c>
      <c r="Y503" s="628">
        <f t="shared" si="57"/>
        <v>86.399999999999991</v>
      </c>
      <c r="Z503" s="36">
        <f>IFERROR(IF(Y503=0,"",ROUNDUP(Y503/H503,0)*0.00902),"")</f>
        <v>0.16236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123.80416666666667</v>
      </c>
      <c r="BN503" s="64">
        <f t="shared" si="60"/>
        <v>124.38000000000001</v>
      </c>
      <c r="BO503" s="64">
        <f t="shared" si="61"/>
        <v>0.13573232323232323</v>
      </c>
      <c r="BP503" s="64">
        <f t="shared" si="62"/>
        <v>0.13636363636363635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121.51515151515152</v>
      </c>
      <c r="Y504" s="629">
        <f>IFERROR(Y495/H495,"0")+IFERROR(Y496/H496,"0")+IFERROR(Y497/H497,"0")+IFERROR(Y498/H498,"0")+IFERROR(Y499/H499,"0")+IFERROR(Y500/H500,"0")+IFERROR(Y501/H501,"0")+IFERROR(Y502/H502,"0")+IFERROR(Y503/H503,"0")</f>
        <v>124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1.4301200000000001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633</v>
      </c>
      <c r="Y505" s="629">
        <f>IFERROR(SUM(Y495:Y503),"0")</f>
        <v>646.08000000000004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88</v>
      </c>
      <c r="Y507" s="628">
        <f>IFERROR(IF(X507="",0,CEILING((X507/$H507),1)*$H507),"")</f>
        <v>89.76</v>
      </c>
      <c r="Z507" s="36">
        <f>IFERROR(IF(Y507=0,"",ROUNDUP(Y507/H507,0)*0.01196),"")</f>
        <v>0.20332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93.833333333333329</v>
      </c>
      <c r="BN507" s="64">
        <f>IFERROR(Y507*I507/H507,"0")</f>
        <v>95.710000000000008</v>
      </c>
      <c r="BO507" s="64">
        <f>IFERROR(1/J507*(X507/H507),"0")</f>
        <v>0.16025641025641024</v>
      </c>
      <c r="BP507" s="64">
        <f>IFERROR(1/J507*(Y507/H507),"0")</f>
        <v>0.16346153846153846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16.666666666666664</v>
      </c>
      <c r="Y510" s="629">
        <f>IFERROR(Y507/H507,"0")+IFERROR(Y508/H508,"0")+IFERROR(Y509/H509,"0")</f>
        <v>17</v>
      </c>
      <c r="Z510" s="629">
        <f>IFERROR(IF(Z507="",0,Z507),"0")+IFERROR(IF(Z508="",0,Z508),"0")+IFERROR(IF(Z509="",0,Z509),"0")</f>
        <v>0.20332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88</v>
      </c>
      <c r="Y511" s="629">
        <f>IFERROR(SUM(Y507:Y509),"0")</f>
        <v>89.76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144</v>
      </c>
      <c r="Y513" s="628">
        <f t="shared" ref="Y513:Y519" si="63">IFERROR(IF(X513="",0,CEILING((X513/$H513),1)*$H513),"")</f>
        <v>147.84</v>
      </c>
      <c r="Z513" s="36">
        <f>IFERROR(IF(Y513=0,"",ROUNDUP(Y513/H513,0)*0.01196),"")</f>
        <v>0.33488000000000001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153.54545454545453</v>
      </c>
      <c r="BN513" s="64">
        <f t="shared" ref="BN513:BN519" si="65">IFERROR(Y513*I513/H513,"0")</f>
        <v>157.63999999999999</v>
      </c>
      <c r="BO513" s="64">
        <f t="shared" ref="BO513:BO519" si="66">IFERROR(1/J513*(X513/H513),"0")</f>
        <v>0.26223776223776224</v>
      </c>
      <c r="BP513" s="64">
        <f t="shared" ref="BP513:BP519" si="67">IFERROR(1/J513*(Y513/H513),"0")</f>
        <v>0.26923076923076927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108</v>
      </c>
      <c r="Y514" s="628">
        <f t="shared" si="63"/>
        <v>110.88000000000001</v>
      </c>
      <c r="Z514" s="36">
        <f>IFERROR(IF(Y514=0,"",ROUNDUP(Y514/H514,0)*0.01196),"")</f>
        <v>0.25115999999999999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115.15909090909089</v>
      </c>
      <c r="BN514" s="64">
        <f t="shared" si="65"/>
        <v>118.23</v>
      </c>
      <c r="BO514" s="64">
        <f t="shared" si="66"/>
        <v>0.19667832167832167</v>
      </c>
      <c r="BP514" s="64">
        <f t="shared" si="67"/>
        <v>0.20192307692307693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155</v>
      </c>
      <c r="Y515" s="628">
        <f t="shared" si="63"/>
        <v>158.4</v>
      </c>
      <c r="Z515" s="36">
        <f>IFERROR(IF(Y515=0,"",ROUNDUP(Y515/H515,0)*0.01196),"")</f>
        <v>0.35880000000000001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165.27462121212119</v>
      </c>
      <c r="BN515" s="64">
        <f t="shared" si="65"/>
        <v>168.9</v>
      </c>
      <c r="BO515" s="64">
        <f t="shared" si="66"/>
        <v>0.28226981351981351</v>
      </c>
      <c r="BP515" s="64">
        <f t="shared" si="67"/>
        <v>0.28846153846153849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77.083333333333329</v>
      </c>
      <c r="Y520" s="629">
        <f>IFERROR(Y513/H513,"0")+IFERROR(Y514/H514,"0")+IFERROR(Y515/H515,"0")+IFERROR(Y516/H516,"0")+IFERROR(Y517/H517,"0")+IFERROR(Y518/H518,"0")+IFERROR(Y519/H519,"0")</f>
        <v>79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0.94484000000000001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407</v>
      </c>
      <c r="Y521" s="629">
        <f>IFERROR(SUM(Y513:Y519),"0")</f>
        <v>417.12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120</v>
      </c>
      <c r="Y537" s="628">
        <f>IFERROR(IF(X537="",0,CEILING((X537/$H537),1)*$H537),"")</f>
        <v>126</v>
      </c>
      <c r="Z537" s="36">
        <f>IFERROR(IF(Y537=0,"",ROUNDUP(Y537/H537,0)*0.01898),"")</f>
        <v>0.26572000000000001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126.58666666666666</v>
      </c>
      <c r="BN537" s="64">
        <f>IFERROR(Y537*I537/H537,"0")</f>
        <v>132.916</v>
      </c>
      <c r="BO537" s="64">
        <f>IFERROR(1/J537*(X537/H537),"0")</f>
        <v>0.20833333333333334</v>
      </c>
      <c r="BP537" s="64">
        <f>IFERROR(1/J537*(Y537/H537),"0")</f>
        <v>0.21875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13.333333333333334</v>
      </c>
      <c r="Y538" s="629">
        <f>IFERROR(Y537/H537,"0")</f>
        <v>14</v>
      </c>
      <c r="Z538" s="629">
        <f>IFERROR(IF(Z537="",0,Z537),"0")</f>
        <v>0.26572000000000001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120</v>
      </c>
      <c r="Y539" s="629">
        <f>IFERROR(SUM(Y537:Y537),"0")</f>
        <v>126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13520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13721.14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14339.459880374163</v>
      </c>
      <c r="Y551" s="629">
        <f>IFERROR(SUM(BN22:BN547),"0")</f>
        <v>14551.636999999995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25</v>
      </c>
      <c r="Y552" s="38">
        <f>ROUNDUP(SUM(BP22:BP547),0)</f>
        <v>25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14964.459880374163</v>
      </c>
      <c r="Y553" s="629">
        <f>GrossWeightTotalR+PalletQtyTotalR*25</f>
        <v>15176.636999999995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2573.2658172747856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2609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29.326149999999995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176.70000000000002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648.9</v>
      </c>
      <c r="F560" s="46">
        <f>IFERROR(Y88*1,"0")+IFERROR(Y89*1,"0")+IFERROR(Y90*1,"0")+IFERROR(Y91*1,"0")+IFERROR(Y95*1,"0")+IFERROR(Y96*1,"0")+IFERROR(Y97*1,"0")+IFERROR(Y98*1,"0")</f>
        <v>1286.0999999999999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1579.7399999999998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41.84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296.24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558.17999999999995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1988.3999999999999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12.6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144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475.79999999999995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509.87999999999994</v>
      </c>
      <c r="U560" s="46">
        <f>IFERROR(Y414*1,"0")+IFERROR(Y415*1,"0")+IFERROR(Y416*1,"0")</f>
        <v>4.2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3492</v>
      </c>
      <c r="W560" s="46">
        <f>IFERROR(Y451*1,"0")+IFERROR(Y452*1,"0")+IFERROR(Y456*1,"0")+IFERROR(Y460*1,"0")+IFERROR(Y461*1,"0")+IFERROR(Y462*1,"0")</f>
        <v>1141.2</v>
      </c>
      <c r="X560" s="46">
        <f>IFERROR(Y468*1,"0")+IFERROR(Y469*1,"0")+IFERROR(Y470*1,"0")+IFERROR(Y471*1,"0")+IFERROR(Y472*1,"0")+IFERROR(Y473*1,"0")+IFERROR(Y477*1,"0")+IFERROR(Y478*1,"0")</f>
        <v>59.400000000000006</v>
      </c>
      <c r="Y560" s="46">
        <f>IFERROR(Y483*1,"0")+IFERROR(Y487*1,"0")+IFERROR(Y488*1,"0")+IFERROR(Y489*1,"0")</f>
        <v>27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1152.96</v>
      </c>
      <c r="AA560" s="46">
        <f>IFERROR(Y525*1,"0")+IFERROR(Y529*1,"0")+IFERROR(Y533*1,"0")+IFERROR(Y537*1,"0")+IFERROR(Y541*1,"0")+IFERROR(Y542*1,"0")</f>
        <v>126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2026-07-24T09:06:23Z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