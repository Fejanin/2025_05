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Луганск\"/>
    </mc:Choice>
  </mc:AlternateContent>
  <xr:revisionPtr revIDLastSave="0" documentId="13_ncr:1_{41CD9065-55F9-4991-8948-CE5608FBD1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" sheetId="2" r:id="rId2"/>
  </sheets>
  <definedNames>
    <definedName name="_xlnm._FilterDatabase" localSheetId="0" hidden="1">Sheet!$A$3:$AM$141</definedName>
  </definedNames>
  <calcPr calcId="191029"/>
</workbook>
</file>

<file path=xl/calcChain.xml><?xml version="1.0" encoding="utf-8"?>
<calcChain xmlns="http://schemas.openxmlformats.org/spreadsheetml/2006/main">
  <c r="AO7" i="1" l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6" i="1"/>
  <c r="Y5" i="1"/>
  <c r="X5" i="1"/>
  <c r="E2" i="2"/>
  <c r="E3" i="2"/>
  <c r="E4" i="2"/>
  <c r="E5" i="2"/>
  <c r="E6" i="2"/>
  <c r="E7" i="2"/>
  <c r="E8" i="2"/>
  <c r="E9" i="2"/>
  <c r="E10" i="2"/>
  <c r="E11" i="2"/>
  <c r="E12" i="2"/>
  <c r="E1" i="2"/>
  <c r="AO5" i="1" l="1"/>
  <c r="W141" i="1"/>
  <c r="U141" i="1"/>
  <c r="AA141" i="1" s="1"/>
  <c r="W140" i="1"/>
  <c r="U140" i="1"/>
  <c r="AA140" i="1" s="1"/>
  <c r="W139" i="1"/>
  <c r="U139" i="1"/>
  <c r="AA139" i="1" s="1"/>
  <c r="W138" i="1"/>
  <c r="U138" i="1"/>
  <c r="AA138" i="1" s="1"/>
  <c r="W137" i="1"/>
  <c r="U137" i="1"/>
  <c r="AA137" i="1" s="1"/>
  <c r="W136" i="1"/>
  <c r="U136" i="1"/>
  <c r="AA136" i="1" s="1"/>
  <c r="W135" i="1"/>
  <c r="U135" i="1"/>
  <c r="AA135" i="1" s="1"/>
  <c r="W134" i="1"/>
  <c r="U134" i="1"/>
  <c r="AA134" i="1" s="1"/>
  <c r="W133" i="1"/>
  <c r="U133" i="1"/>
  <c r="AA133" i="1" s="1"/>
  <c r="W132" i="1"/>
  <c r="U132" i="1"/>
  <c r="AA132" i="1" s="1"/>
  <c r="W131" i="1"/>
  <c r="Z131" i="1" s="1"/>
  <c r="U131" i="1"/>
  <c r="AA131" i="1" s="1"/>
  <c r="W130" i="1"/>
  <c r="U130" i="1"/>
  <c r="AA130" i="1" s="1"/>
  <c r="W129" i="1"/>
  <c r="U129" i="1"/>
  <c r="AA129" i="1" s="1"/>
  <c r="W128" i="1"/>
  <c r="U128" i="1"/>
  <c r="AA128" i="1" s="1"/>
  <c r="W127" i="1"/>
  <c r="Z127" i="1" s="1"/>
  <c r="U127" i="1"/>
  <c r="AA127" i="1" s="1"/>
  <c r="W126" i="1"/>
  <c r="U126" i="1"/>
  <c r="AA126" i="1" s="1"/>
  <c r="U125" i="1"/>
  <c r="V125" i="1" s="1"/>
  <c r="W125" i="1" s="1"/>
  <c r="Z125" i="1" s="1"/>
  <c r="L125" i="1"/>
  <c r="U124" i="1"/>
  <c r="AA124" i="1" s="1"/>
  <c r="L124" i="1"/>
  <c r="U123" i="1"/>
  <c r="V123" i="1" s="1"/>
  <c r="W123" i="1" s="1"/>
  <c r="Z123" i="1" s="1"/>
  <c r="L123" i="1"/>
  <c r="U122" i="1"/>
  <c r="AA122" i="1" s="1"/>
  <c r="L122" i="1"/>
  <c r="U121" i="1"/>
  <c r="V121" i="1" s="1"/>
  <c r="W121" i="1" s="1"/>
  <c r="Z121" i="1" s="1"/>
  <c r="L121" i="1"/>
  <c r="W120" i="1"/>
  <c r="U120" i="1"/>
  <c r="AA120" i="1" s="1"/>
  <c r="L120" i="1"/>
  <c r="W119" i="1"/>
  <c r="U119" i="1"/>
  <c r="AA119" i="1" s="1"/>
  <c r="L119" i="1"/>
  <c r="U118" i="1"/>
  <c r="AA118" i="1" s="1"/>
  <c r="L118" i="1"/>
  <c r="U117" i="1"/>
  <c r="V117" i="1" s="1"/>
  <c r="W117" i="1" s="1"/>
  <c r="Z117" i="1" s="1"/>
  <c r="L117" i="1"/>
  <c r="W116" i="1"/>
  <c r="U116" i="1"/>
  <c r="AA116" i="1" s="1"/>
  <c r="L116" i="1"/>
  <c r="W115" i="1"/>
  <c r="U115" i="1"/>
  <c r="AA115" i="1" s="1"/>
  <c r="L115" i="1"/>
  <c r="W114" i="1"/>
  <c r="U114" i="1"/>
  <c r="AA114" i="1" s="1"/>
  <c r="L114" i="1"/>
  <c r="U113" i="1"/>
  <c r="AA113" i="1" s="1"/>
  <c r="L113" i="1"/>
  <c r="W112" i="1"/>
  <c r="U112" i="1"/>
  <c r="AA112" i="1" s="1"/>
  <c r="L112" i="1"/>
  <c r="U111" i="1"/>
  <c r="V111" i="1" s="1"/>
  <c r="W111" i="1" s="1"/>
  <c r="Z111" i="1" s="1"/>
  <c r="L111" i="1"/>
  <c r="U110" i="1"/>
  <c r="AA110" i="1" s="1"/>
  <c r="L110" i="1"/>
  <c r="U109" i="1"/>
  <c r="V109" i="1" s="1"/>
  <c r="W109" i="1" s="1"/>
  <c r="Z109" i="1" s="1"/>
  <c r="L109" i="1"/>
  <c r="W108" i="1"/>
  <c r="U108" i="1"/>
  <c r="AA108" i="1" s="1"/>
  <c r="L108" i="1"/>
  <c r="U107" i="1"/>
  <c r="AA107" i="1" s="1"/>
  <c r="L107" i="1"/>
  <c r="U106" i="1"/>
  <c r="V106" i="1" s="1"/>
  <c r="W106" i="1" s="1"/>
  <c r="Z106" i="1" s="1"/>
  <c r="L106" i="1"/>
  <c r="AM105" i="1"/>
  <c r="W105" i="1"/>
  <c r="Z105" i="1" s="1"/>
  <c r="U105" i="1"/>
  <c r="AA105" i="1" s="1"/>
  <c r="L105" i="1"/>
  <c r="U104" i="1"/>
  <c r="AA104" i="1" s="1"/>
  <c r="L104" i="1"/>
  <c r="U103" i="1"/>
  <c r="V103" i="1" s="1"/>
  <c r="W103" i="1" s="1"/>
  <c r="Z103" i="1" s="1"/>
  <c r="L103" i="1"/>
  <c r="W102" i="1"/>
  <c r="U102" i="1"/>
  <c r="AA102" i="1" s="1"/>
  <c r="L102" i="1"/>
  <c r="AM101" i="1"/>
  <c r="W101" i="1"/>
  <c r="U101" i="1"/>
  <c r="AA101" i="1" s="1"/>
  <c r="L101" i="1"/>
  <c r="AM100" i="1"/>
  <c r="W100" i="1"/>
  <c r="Z100" i="1" s="1"/>
  <c r="U100" i="1"/>
  <c r="AA100" i="1" s="1"/>
  <c r="L100" i="1"/>
  <c r="AM99" i="1"/>
  <c r="W99" i="1"/>
  <c r="Z99" i="1" s="1"/>
  <c r="U99" i="1"/>
  <c r="AA99" i="1" s="1"/>
  <c r="L99" i="1"/>
  <c r="U98" i="1"/>
  <c r="AA98" i="1" s="1"/>
  <c r="L98" i="1"/>
  <c r="U97" i="1"/>
  <c r="V97" i="1" s="1"/>
  <c r="W97" i="1" s="1"/>
  <c r="Z97" i="1" s="1"/>
  <c r="L97" i="1"/>
  <c r="W96" i="1"/>
  <c r="U96" i="1"/>
  <c r="AA96" i="1" s="1"/>
  <c r="L96" i="1"/>
  <c r="V95" i="1"/>
  <c r="W95" i="1" s="1"/>
  <c r="Z95" i="1" s="1"/>
  <c r="U95" i="1"/>
  <c r="AA95" i="1" s="1"/>
  <c r="L95" i="1"/>
  <c r="U94" i="1"/>
  <c r="L94" i="1"/>
  <c r="W93" i="1"/>
  <c r="U93" i="1"/>
  <c r="AA93" i="1" s="1"/>
  <c r="L93" i="1"/>
  <c r="W92" i="1"/>
  <c r="U92" i="1"/>
  <c r="AA92" i="1" s="1"/>
  <c r="L92" i="1"/>
  <c r="W91" i="1"/>
  <c r="U91" i="1"/>
  <c r="AA91" i="1" s="1"/>
  <c r="L91" i="1"/>
  <c r="W90" i="1"/>
  <c r="U90" i="1"/>
  <c r="AA90" i="1" s="1"/>
  <c r="L90" i="1"/>
  <c r="W89" i="1"/>
  <c r="U89" i="1"/>
  <c r="AA89" i="1" s="1"/>
  <c r="L89" i="1"/>
  <c r="V88" i="1"/>
  <c r="W88" i="1" s="1"/>
  <c r="Z88" i="1" s="1"/>
  <c r="U88" i="1"/>
  <c r="AA88" i="1" s="1"/>
  <c r="L88" i="1"/>
  <c r="U87" i="1"/>
  <c r="V87" i="1" s="1"/>
  <c r="W87" i="1" s="1"/>
  <c r="Z87" i="1" s="1"/>
  <c r="L87" i="1"/>
  <c r="W86" i="1"/>
  <c r="U86" i="1"/>
  <c r="AA86" i="1" s="1"/>
  <c r="L86" i="1"/>
  <c r="W85" i="1"/>
  <c r="U85" i="1"/>
  <c r="AA85" i="1" s="1"/>
  <c r="L85" i="1"/>
  <c r="W84" i="1"/>
  <c r="U84" i="1"/>
  <c r="AA84" i="1" s="1"/>
  <c r="L84" i="1"/>
  <c r="U83" i="1"/>
  <c r="AA83" i="1" s="1"/>
  <c r="L83" i="1"/>
  <c r="U82" i="1"/>
  <c r="V82" i="1" s="1"/>
  <c r="W82" i="1" s="1"/>
  <c r="Z82" i="1" s="1"/>
  <c r="L82" i="1"/>
  <c r="W81" i="1"/>
  <c r="U81" i="1"/>
  <c r="AA81" i="1" s="1"/>
  <c r="L81" i="1"/>
  <c r="U80" i="1"/>
  <c r="AA80" i="1" s="1"/>
  <c r="L80" i="1"/>
  <c r="W79" i="1"/>
  <c r="Z79" i="1" s="1"/>
  <c r="U79" i="1"/>
  <c r="AA79" i="1" s="1"/>
  <c r="L79" i="1"/>
  <c r="U78" i="1"/>
  <c r="V78" i="1" s="1"/>
  <c r="W78" i="1" s="1"/>
  <c r="Z78" i="1" s="1"/>
  <c r="L78" i="1"/>
  <c r="W77" i="1"/>
  <c r="U77" i="1"/>
  <c r="AA77" i="1" s="1"/>
  <c r="L77" i="1"/>
  <c r="U76" i="1"/>
  <c r="AA76" i="1" s="1"/>
  <c r="L76" i="1"/>
  <c r="U75" i="1"/>
  <c r="V75" i="1" s="1"/>
  <c r="W75" i="1" s="1"/>
  <c r="Z75" i="1" s="1"/>
  <c r="L75" i="1"/>
  <c r="W74" i="1"/>
  <c r="U74" i="1"/>
  <c r="AA74" i="1" s="1"/>
  <c r="L74" i="1"/>
  <c r="W73" i="1"/>
  <c r="U73" i="1"/>
  <c r="AA73" i="1" s="1"/>
  <c r="L73" i="1"/>
  <c r="W72" i="1"/>
  <c r="U72" i="1"/>
  <c r="AA72" i="1" s="1"/>
  <c r="L72" i="1"/>
  <c r="U71" i="1"/>
  <c r="AA71" i="1" s="1"/>
  <c r="L71" i="1"/>
  <c r="W70" i="1"/>
  <c r="U70" i="1"/>
  <c r="AA70" i="1" s="1"/>
  <c r="L70" i="1"/>
  <c r="W69" i="1"/>
  <c r="U69" i="1"/>
  <c r="AA69" i="1" s="1"/>
  <c r="L69" i="1"/>
  <c r="U68" i="1"/>
  <c r="V68" i="1" s="1"/>
  <c r="W68" i="1" s="1"/>
  <c r="Z68" i="1" s="1"/>
  <c r="L68" i="1"/>
  <c r="U67" i="1"/>
  <c r="AA67" i="1" s="1"/>
  <c r="L67" i="1"/>
  <c r="U66" i="1"/>
  <c r="V66" i="1" s="1"/>
  <c r="W66" i="1" s="1"/>
  <c r="Z66" i="1" s="1"/>
  <c r="L66" i="1"/>
  <c r="U65" i="1"/>
  <c r="AA65" i="1" s="1"/>
  <c r="L65" i="1"/>
  <c r="U64" i="1"/>
  <c r="V64" i="1" s="1"/>
  <c r="W64" i="1" s="1"/>
  <c r="Z64" i="1" s="1"/>
  <c r="L64" i="1"/>
  <c r="W63" i="1"/>
  <c r="U63" i="1"/>
  <c r="AA63" i="1" s="1"/>
  <c r="L63" i="1"/>
  <c r="W62" i="1"/>
  <c r="U62" i="1"/>
  <c r="AA62" i="1" s="1"/>
  <c r="L62" i="1"/>
  <c r="W61" i="1"/>
  <c r="U61" i="1"/>
  <c r="AA61" i="1" s="1"/>
  <c r="L61" i="1"/>
  <c r="W60" i="1"/>
  <c r="Z60" i="1" s="1"/>
  <c r="U60" i="1"/>
  <c r="AA60" i="1" s="1"/>
  <c r="L60" i="1"/>
  <c r="U59" i="1"/>
  <c r="V59" i="1" s="1"/>
  <c r="W59" i="1" s="1"/>
  <c r="Z59" i="1" s="1"/>
  <c r="L59" i="1"/>
  <c r="U58" i="1"/>
  <c r="AA58" i="1" s="1"/>
  <c r="L58" i="1"/>
  <c r="W57" i="1"/>
  <c r="U57" i="1"/>
  <c r="AA57" i="1" s="1"/>
  <c r="L57" i="1"/>
  <c r="W56" i="1"/>
  <c r="Z56" i="1" s="1"/>
  <c r="U56" i="1"/>
  <c r="AA56" i="1" s="1"/>
  <c r="L56" i="1"/>
  <c r="U55" i="1"/>
  <c r="V55" i="1" s="1"/>
  <c r="W55" i="1" s="1"/>
  <c r="Z55" i="1" s="1"/>
  <c r="L55" i="1"/>
  <c r="U54" i="1"/>
  <c r="AA54" i="1" s="1"/>
  <c r="L54" i="1"/>
  <c r="W53" i="1"/>
  <c r="U53" i="1"/>
  <c r="AA53" i="1" s="1"/>
  <c r="L53" i="1"/>
  <c r="W52" i="1"/>
  <c r="Z52" i="1" s="1"/>
  <c r="U52" i="1"/>
  <c r="AA52" i="1" s="1"/>
  <c r="L52" i="1"/>
  <c r="W51" i="1"/>
  <c r="U51" i="1"/>
  <c r="AA51" i="1" s="1"/>
  <c r="L51" i="1"/>
  <c r="W50" i="1"/>
  <c r="U50" i="1"/>
  <c r="AA50" i="1" s="1"/>
  <c r="L50" i="1"/>
  <c r="U49" i="1"/>
  <c r="V49" i="1" s="1"/>
  <c r="W49" i="1" s="1"/>
  <c r="Z49" i="1" s="1"/>
  <c r="L49" i="1"/>
  <c r="U48" i="1"/>
  <c r="AA48" i="1" s="1"/>
  <c r="L48" i="1"/>
  <c r="U47" i="1"/>
  <c r="V47" i="1" s="1"/>
  <c r="W47" i="1" s="1"/>
  <c r="Z47" i="1" s="1"/>
  <c r="L47" i="1"/>
  <c r="U46" i="1"/>
  <c r="AA46" i="1" s="1"/>
  <c r="L46" i="1"/>
  <c r="U45" i="1"/>
  <c r="V45" i="1" s="1"/>
  <c r="W45" i="1" s="1"/>
  <c r="Z45" i="1" s="1"/>
  <c r="L45" i="1"/>
  <c r="U44" i="1"/>
  <c r="AA44" i="1" s="1"/>
  <c r="L44" i="1"/>
  <c r="W43" i="1"/>
  <c r="U43" i="1"/>
  <c r="AA43" i="1" s="1"/>
  <c r="L43" i="1"/>
  <c r="U42" i="1"/>
  <c r="V42" i="1" s="1"/>
  <c r="W42" i="1" s="1"/>
  <c r="Z42" i="1" s="1"/>
  <c r="L42" i="1"/>
  <c r="W41" i="1"/>
  <c r="U41" i="1"/>
  <c r="AA41" i="1" s="1"/>
  <c r="L41" i="1"/>
  <c r="U40" i="1"/>
  <c r="AA40" i="1" s="1"/>
  <c r="L40" i="1"/>
  <c r="W39" i="1"/>
  <c r="Z39" i="1" s="1"/>
  <c r="U39" i="1"/>
  <c r="AA39" i="1" s="1"/>
  <c r="L39" i="1"/>
  <c r="U38" i="1"/>
  <c r="V38" i="1" s="1"/>
  <c r="W38" i="1" s="1"/>
  <c r="Z38" i="1" s="1"/>
  <c r="L38" i="1"/>
  <c r="U37" i="1"/>
  <c r="AA37" i="1" s="1"/>
  <c r="L37" i="1"/>
  <c r="U36" i="1"/>
  <c r="V36" i="1" s="1"/>
  <c r="W36" i="1" s="1"/>
  <c r="Z36" i="1" s="1"/>
  <c r="L36" i="1"/>
  <c r="U35" i="1"/>
  <c r="AA35" i="1" s="1"/>
  <c r="L35" i="1"/>
  <c r="U34" i="1"/>
  <c r="V34" i="1" s="1"/>
  <c r="W34" i="1" s="1"/>
  <c r="Z34" i="1" s="1"/>
  <c r="L34" i="1"/>
  <c r="W33" i="1"/>
  <c r="U33" i="1"/>
  <c r="AA33" i="1" s="1"/>
  <c r="L33" i="1"/>
  <c r="W32" i="1"/>
  <c r="U32" i="1"/>
  <c r="AA32" i="1" s="1"/>
  <c r="L32" i="1"/>
  <c r="U31" i="1"/>
  <c r="AA31" i="1" s="1"/>
  <c r="L31" i="1"/>
  <c r="U30" i="1"/>
  <c r="V30" i="1" s="1"/>
  <c r="W30" i="1" s="1"/>
  <c r="Z30" i="1" s="1"/>
  <c r="L30" i="1"/>
  <c r="U29" i="1"/>
  <c r="AA29" i="1" s="1"/>
  <c r="L29" i="1"/>
  <c r="W28" i="1"/>
  <c r="U28" i="1"/>
  <c r="AA28" i="1" s="1"/>
  <c r="L28" i="1"/>
  <c r="U27" i="1"/>
  <c r="V27" i="1" s="1"/>
  <c r="W27" i="1" s="1"/>
  <c r="Z27" i="1" s="1"/>
  <c r="L27" i="1"/>
  <c r="U26" i="1"/>
  <c r="AA26" i="1" s="1"/>
  <c r="L26" i="1"/>
  <c r="U25" i="1"/>
  <c r="V25" i="1" s="1"/>
  <c r="W25" i="1" s="1"/>
  <c r="Z25" i="1" s="1"/>
  <c r="L25" i="1"/>
  <c r="U24" i="1"/>
  <c r="AA24" i="1" s="1"/>
  <c r="L24" i="1"/>
  <c r="U23" i="1"/>
  <c r="V23" i="1" s="1"/>
  <c r="W23" i="1" s="1"/>
  <c r="Z23" i="1" s="1"/>
  <c r="L23" i="1"/>
  <c r="W22" i="1"/>
  <c r="U22" i="1"/>
  <c r="AA22" i="1" s="1"/>
  <c r="L22" i="1"/>
  <c r="U21" i="1"/>
  <c r="AA21" i="1" s="1"/>
  <c r="L21" i="1"/>
  <c r="W20" i="1"/>
  <c r="Z20" i="1" s="1"/>
  <c r="U20" i="1"/>
  <c r="AA20" i="1" s="1"/>
  <c r="L20" i="1"/>
  <c r="W19" i="1"/>
  <c r="U19" i="1"/>
  <c r="AA19" i="1" s="1"/>
  <c r="L19" i="1"/>
  <c r="U18" i="1"/>
  <c r="V18" i="1" s="1"/>
  <c r="W18" i="1" s="1"/>
  <c r="Z18" i="1" s="1"/>
  <c r="L18" i="1"/>
  <c r="U17" i="1"/>
  <c r="AA17" i="1" s="1"/>
  <c r="L17" i="1"/>
  <c r="W16" i="1"/>
  <c r="U16" i="1"/>
  <c r="AA16" i="1" s="1"/>
  <c r="L16" i="1"/>
  <c r="W15" i="1"/>
  <c r="Z15" i="1" s="1"/>
  <c r="U15" i="1"/>
  <c r="AA15" i="1" s="1"/>
  <c r="L15" i="1"/>
  <c r="U14" i="1"/>
  <c r="V14" i="1" s="1"/>
  <c r="W14" i="1" s="1"/>
  <c r="Z14" i="1" s="1"/>
  <c r="L14" i="1"/>
  <c r="U13" i="1"/>
  <c r="AA13" i="1" s="1"/>
  <c r="L13" i="1"/>
  <c r="W12" i="1"/>
  <c r="Z12" i="1" s="1"/>
  <c r="U12" i="1"/>
  <c r="AA12" i="1" s="1"/>
  <c r="L12" i="1"/>
  <c r="U11" i="1"/>
  <c r="V11" i="1" s="1"/>
  <c r="W11" i="1" s="1"/>
  <c r="Z11" i="1" s="1"/>
  <c r="L11" i="1"/>
  <c r="U10" i="1"/>
  <c r="AA10" i="1" s="1"/>
  <c r="L10" i="1"/>
  <c r="U9" i="1"/>
  <c r="V9" i="1" s="1"/>
  <c r="W9" i="1" s="1"/>
  <c r="Z9" i="1" s="1"/>
  <c r="L9" i="1"/>
  <c r="U8" i="1"/>
  <c r="AA8" i="1" s="1"/>
  <c r="L8" i="1"/>
  <c r="U7" i="1"/>
  <c r="V7" i="1" s="1"/>
  <c r="W7" i="1" s="1"/>
  <c r="Z7" i="1" s="1"/>
  <c r="L7" i="1"/>
  <c r="U6" i="1"/>
  <c r="AA6" i="1" s="1"/>
  <c r="L6" i="1"/>
  <c r="AK5" i="1"/>
  <c r="AJ5" i="1"/>
  <c r="AI5" i="1"/>
  <c r="AH5" i="1"/>
  <c r="AG5" i="1"/>
  <c r="AF5" i="1"/>
  <c r="AE5" i="1"/>
  <c r="AD5" i="1"/>
  <c r="AC5" i="1"/>
  <c r="AB5" i="1"/>
  <c r="T5" i="1"/>
  <c r="S5" i="1"/>
  <c r="R5" i="1"/>
  <c r="Q5" i="1"/>
  <c r="P5" i="1"/>
  <c r="O5" i="1"/>
  <c r="N5" i="1"/>
  <c r="M5" i="1"/>
  <c r="K5" i="1"/>
  <c r="F5" i="1"/>
  <c r="E5" i="1"/>
  <c r="Z101" i="1" l="1"/>
  <c r="AM108" i="1"/>
  <c r="Z108" i="1"/>
  <c r="Z134" i="1"/>
  <c r="AM116" i="1"/>
  <c r="Z116" i="1"/>
  <c r="AM134" i="1"/>
  <c r="Z51" i="1"/>
  <c r="AM74" i="1"/>
  <c r="Z74" i="1"/>
  <c r="Z81" i="1"/>
  <c r="Z43" i="1"/>
  <c r="V67" i="1"/>
  <c r="W67" i="1" s="1"/>
  <c r="AM81" i="1"/>
  <c r="Z126" i="1"/>
  <c r="Z135" i="1"/>
  <c r="AM89" i="1"/>
  <c r="Z89" i="1"/>
  <c r="AM96" i="1"/>
  <c r="Z96" i="1"/>
  <c r="Z102" i="1"/>
  <c r="AM126" i="1"/>
  <c r="V80" i="1"/>
  <c r="W80" i="1" s="1"/>
  <c r="Z80" i="1" s="1"/>
  <c r="AM102" i="1"/>
  <c r="AM136" i="1"/>
  <c r="Z136" i="1"/>
  <c r="Z16" i="1"/>
  <c r="Z19" i="1"/>
  <c r="Z57" i="1"/>
  <c r="Z28" i="1"/>
  <c r="V76" i="1"/>
  <c r="W76" i="1" s="1"/>
  <c r="Z76" i="1" s="1"/>
  <c r="AM90" i="1"/>
  <c r="Z90" i="1"/>
  <c r="Z137" i="1"/>
  <c r="Z53" i="1"/>
  <c r="Z61" i="1"/>
  <c r="Z69" i="1"/>
  <c r="AM119" i="1"/>
  <c r="Z119" i="1"/>
  <c r="AM128" i="1"/>
  <c r="Z128" i="1"/>
  <c r="AM41" i="1"/>
  <c r="Z41" i="1"/>
  <c r="AM73" i="1"/>
  <c r="Z73" i="1"/>
  <c r="AM138" i="1"/>
  <c r="Z138" i="1"/>
  <c r="V46" i="1"/>
  <c r="W46" i="1" s="1"/>
  <c r="Z46" i="1" s="1"/>
  <c r="Z77" i="1"/>
  <c r="AM84" i="1"/>
  <c r="Z84" i="1"/>
  <c r="AM91" i="1"/>
  <c r="Z91" i="1"/>
  <c r="Z112" i="1"/>
  <c r="Z129" i="1"/>
  <c r="AM115" i="1"/>
  <c r="Z115" i="1"/>
  <c r="Z50" i="1"/>
  <c r="Z62" i="1"/>
  <c r="Z70" i="1"/>
  <c r="AM77" i="1"/>
  <c r="AM120" i="1"/>
  <c r="Z120" i="1"/>
  <c r="Z139" i="1"/>
  <c r="AM33" i="1"/>
  <c r="Z33" i="1"/>
  <c r="AM130" i="1"/>
  <c r="Z130" i="1"/>
  <c r="AM85" i="1"/>
  <c r="Z85" i="1"/>
  <c r="AM92" i="1"/>
  <c r="Z92" i="1"/>
  <c r="AM140" i="1"/>
  <c r="Z140" i="1"/>
  <c r="AM22" i="1"/>
  <c r="Z22" i="1"/>
  <c r="Z63" i="1"/>
  <c r="Z133" i="1"/>
  <c r="AM114" i="1"/>
  <c r="Z114" i="1"/>
  <c r="Z141" i="1"/>
  <c r="AM32" i="1"/>
  <c r="Z32" i="1"/>
  <c r="AM72" i="1"/>
  <c r="Z72" i="1"/>
  <c r="AM86" i="1"/>
  <c r="Z86" i="1"/>
  <c r="AM93" i="1"/>
  <c r="Z93" i="1"/>
  <c r="AM132" i="1"/>
  <c r="Z132" i="1"/>
  <c r="V8" i="1"/>
  <c r="W8" i="1" s="1"/>
  <c r="V13" i="1"/>
  <c r="W13" i="1" s="1"/>
  <c r="V24" i="1"/>
  <c r="W24" i="1" s="1"/>
  <c r="V35" i="1"/>
  <c r="W35" i="1" s="1"/>
  <c r="V58" i="1"/>
  <c r="W58" i="1" s="1"/>
  <c r="V118" i="1"/>
  <c r="W118" i="1" s="1"/>
  <c r="Z118" i="1" s="1"/>
  <c r="L5" i="1"/>
  <c r="V6" i="1"/>
  <c r="W6" i="1" s="1"/>
  <c r="Z6" i="1" s="1"/>
  <c r="V21" i="1"/>
  <c r="W21" i="1" s="1"/>
  <c r="V31" i="1"/>
  <c r="W31" i="1" s="1"/>
  <c r="Z31" i="1" s="1"/>
  <c r="V48" i="1"/>
  <c r="W48" i="1" s="1"/>
  <c r="V65" i="1"/>
  <c r="W65" i="1" s="1"/>
  <c r="Z65" i="1" s="1"/>
  <c r="V83" i="1"/>
  <c r="W83" i="1" s="1"/>
  <c r="Z83" i="1" s="1"/>
  <c r="V107" i="1"/>
  <c r="W107" i="1" s="1"/>
  <c r="V110" i="1"/>
  <c r="W110" i="1" s="1"/>
  <c r="V124" i="1"/>
  <c r="W124" i="1" s="1"/>
  <c r="Z124" i="1" s="1"/>
  <c r="U5" i="1"/>
  <c r="V10" i="1"/>
  <c r="W10" i="1" s="1"/>
  <c r="Z10" i="1" s="1"/>
  <c r="V17" i="1"/>
  <c r="W17" i="1" s="1"/>
  <c r="Z17" i="1" s="1"/>
  <c r="V26" i="1"/>
  <c r="W26" i="1" s="1"/>
  <c r="Z26" i="1" s="1"/>
  <c r="V29" i="1"/>
  <c r="W29" i="1" s="1"/>
  <c r="V37" i="1"/>
  <c r="W37" i="1" s="1"/>
  <c r="Z37" i="1" s="1"/>
  <c r="V40" i="1"/>
  <c r="W40" i="1" s="1"/>
  <c r="V44" i="1"/>
  <c r="W44" i="1" s="1"/>
  <c r="V54" i="1"/>
  <c r="W54" i="1" s="1"/>
  <c r="Z54" i="1" s="1"/>
  <c r="AM65" i="1"/>
  <c r="V71" i="1"/>
  <c r="W71" i="1" s="1"/>
  <c r="Z71" i="1" s="1"/>
  <c r="AM88" i="1"/>
  <c r="AM95" i="1"/>
  <c r="V98" i="1"/>
  <c r="W98" i="1" s="1"/>
  <c r="Z98" i="1" s="1"/>
  <c r="V104" i="1"/>
  <c r="W104" i="1" s="1"/>
  <c r="Z104" i="1" s="1"/>
  <c r="AA106" i="1"/>
  <c r="V113" i="1"/>
  <c r="W113" i="1" s="1"/>
  <c r="Z113" i="1" s="1"/>
  <c r="V122" i="1"/>
  <c r="W122" i="1" s="1"/>
  <c r="Z122" i="1" s="1"/>
  <c r="AM9" i="1"/>
  <c r="AM14" i="1"/>
  <c r="AM25" i="1"/>
  <c r="AM36" i="1"/>
  <c r="AM49" i="1"/>
  <c r="AM59" i="1"/>
  <c r="AM30" i="1"/>
  <c r="AM45" i="1"/>
  <c r="AM55" i="1"/>
  <c r="AA7" i="1"/>
  <c r="AA11" i="1"/>
  <c r="AM15" i="1"/>
  <c r="AM16" i="1"/>
  <c r="AA18" i="1"/>
  <c r="AA23" i="1"/>
  <c r="AA27" i="1"/>
  <c r="AM31" i="1"/>
  <c r="AA34" i="1"/>
  <c r="AA38" i="1"/>
  <c r="AA42" i="1"/>
  <c r="AM46" i="1"/>
  <c r="AA47" i="1"/>
  <c r="AM50" i="1"/>
  <c r="AM51" i="1"/>
  <c r="AM52" i="1"/>
  <c r="AM53" i="1"/>
  <c r="AA55" i="1"/>
  <c r="AM60" i="1"/>
  <c r="AM61" i="1"/>
  <c r="AM62" i="1"/>
  <c r="AM63" i="1"/>
  <c r="AM64" i="1"/>
  <c r="AM66" i="1"/>
  <c r="AM68" i="1"/>
  <c r="AM79" i="1"/>
  <c r="AM87" i="1"/>
  <c r="AM7" i="1"/>
  <c r="AA9" i="1"/>
  <c r="AM11" i="1"/>
  <c r="AM12" i="1"/>
  <c r="AA14" i="1"/>
  <c r="AM18" i="1"/>
  <c r="AM19" i="1"/>
  <c r="AM20" i="1"/>
  <c r="AM23" i="1"/>
  <c r="AA25" i="1"/>
  <c r="AM27" i="1"/>
  <c r="AM28" i="1"/>
  <c r="AA30" i="1"/>
  <c r="AM34" i="1"/>
  <c r="AA36" i="1"/>
  <c r="AM38" i="1"/>
  <c r="AM39" i="1"/>
  <c r="AM42" i="1"/>
  <c r="AM43" i="1"/>
  <c r="AA45" i="1"/>
  <c r="AM47" i="1"/>
  <c r="AA49" i="1"/>
  <c r="AM56" i="1"/>
  <c r="AM57" i="1"/>
  <c r="AA59" i="1"/>
  <c r="AA66" i="1"/>
  <c r="AM69" i="1"/>
  <c r="AM70" i="1"/>
  <c r="AM75" i="1"/>
  <c r="AM76" i="1"/>
  <c r="AM78" i="1"/>
  <c r="AM80" i="1"/>
  <c r="AM82" i="1"/>
  <c r="AM97" i="1"/>
  <c r="AM103" i="1"/>
  <c r="AM109" i="1"/>
  <c r="AM111" i="1"/>
  <c r="AM121" i="1"/>
  <c r="AM123" i="1"/>
  <c r="AM125" i="1"/>
  <c r="AM127" i="1"/>
  <c r="AM135" i="1"/>
  <c r="AA64" i="1"/>
  <c r="AA68" i="1"/>
  <c r="AA75" i="1"/>
  <c r="AA78" i="1"/>
  <c r="AA82" i="1"/>
  <c r="AA87" i="1"/>
  <c r="AA94" i="1"/>
  <c r="V94" i="1"/>
  <c r="W94" i="1" s="1"/>
  <c r="Z94" i="1" s="1"/>
  <c r="AA103" i="1"/>
  <c r="AM106" i="1"/>
  <c r="AA109" i="1"/>
  <c r="AM112" i="1"/>
  <c r="AM117" i="1"/>
  <c r="AA121" i="1"/>
  <c r="AA125" i="1"/>
  <c r="AM131" i="1"/>
  <c r="AM139" i="1"/>
  <c r="AA97" i="1"/>
  <c r="AA111" i="1"/>
  <c r="AA117" i="1"/>
  <c r="AA123" i="1"/>
  <c r="AM129" i="1"/>
  <c r="AM133" i="1"/>
  <c r="AM137" i="1"/>
  <c r="AM141" i="1"/>
  <c r="AM58" i="1" l="1"/>
  <c r="Z58" i="1"/>
  <c r="AM44" i="1"/>
  <c r="Z44" i="1"/>
  <c r="AM35" i="1"/>
  <c r="Z35" i="1"/>
  <c r="AM40" i="1"/>
  <c r="Z40" i="1"/>
  <c r="AM24" i="1"/>
  <c r="Z24" i="1"/>
  <c r="AM13" i="1"/>
  <c r="Z13" i="1"/>
  <c r="AM67" i="1"/>
  <c r="Z67" i="1"/>
  <c r="AM21" i="1"/>
  <c r="Z21" i="1"/>
  <c r="AM29" i="1"/>
  <c r="Z29" i="1"/>
  <c r="AM8" i="1"/>
  <c r="Z8" i="1"/>
  <c r="AM54" i="1"/>
  <c r="AM124" i="1"/>
  <c r="AM110" i="1"/>
  <c r="Z110" i="1"/>
  <c r="AM37" i="1"/>
  <c r="AM107" i="1"/>
  <c r="Z107" i="1"/>
  <c r="AM26" i="1"/>
  <c r="AM118" i="1"/>
  <c r="AM48" i="1"/>
  <c r="Z48" i="1"/>
  <c r="AM83" i="1"/>
  <c r="AM113" i="1"/>
  <c r="AM104" i="1"/>
  <c r="AM71" i="1"/>
  <c r="AM10" i="1"/>
  <c r="AM122" i="1"/>
  <c r="AM98" i="1"/>
  <c r="AM17" i="1"/>
  <c r="V5" i="1"/>
  <c r="AM94" i="1"/>
  <c r="W5" i="1"/>
  <c r="AM6" i="1"/>
  <c r="AM5" i="1" l="1"/>
</calcChain>
</file>

<file path=xl/sharedStrings.xml><?xml version="1.0" encoding="utf-8"?>
<sst xmlns="http://schemas.openxmlformats.org/spreadsheetml/2006/main" count="682" uniqueCount="336">
  <si>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</si>
  <si>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</si>
  <si>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</si>
  <si>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</si>
  <si>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</si>
  <si>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</si>
  <si>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</si>
  <si>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</si>
  <si>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</si>
  <si>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</si>
  <si>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</si>
  <si>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</si>
  <si>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</si>
  <si>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</si>
  <si>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</si>
  <si>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</si>
  <si>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</si>
  <si>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</si>
  <si>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</si>
  <si>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</si>
  <si>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</si>
  <si>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</si>
  <si>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</si>
  <si>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</si>
  <si>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18,07,(2)</t>
  </si>
  <si>
    <t>18,07,(2)(дозаказ)</t>
  </si>
  <si>
    <t>19,07,</t>
  </si>
  <si>
    <t>19,07,(доз)</t>
  </si>
  <si>
    <t>20,07,(доз)</t>
  </si>
  <si>
    <t>20,07,</t>
  </si>
  <si>
    <t>21,07,</t>
  </si>
  <si>
    <t>25,07,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</si>
  <si>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</si>
  <si>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</si>
  <si>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</si>
  <si>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</si>
  <si>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</si>
  <si>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</si>
  <si>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</si>
  <si>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</si>
  <si>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</si>
  <si>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>11,06,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</si>
  <si>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</si>
  <si>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</si>
  <si>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</si>
  <si>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</si>
  <si>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</si>
  <si>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</si>
  <si>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</si>
  <si>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</si>
  <si>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030  Сосиски Вязанка Молочные, Вязанка вискофан МГС, 0.45кг, ПОКОМ</t>
  </si>
  <si>
    <t>шт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</si>
  <si>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</si>
  <si>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</si>
  <si>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</si>
  <si>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</si>
  <si>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</si>
  <si>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057  Колбаса Докторская Дугушка, вектор 0.4 кг, ТМ Стародворье    ПОКОМ</t>
  </si>
  <si>
    <t>не в матрице</t>
  </si>
  <si>
    <t>SU002019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</si>
  <si>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</si>
  <si>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</si>
  <si>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</si>
  <si>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</si>
  <si>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107  Сосиски С сыром,  0.33кг,ядрена копоть ПОКОМ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</si>
  <si>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</si>
  <si>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</si>
  <si>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>SU000152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</si>
  <si>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</si>
  <si>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</si>
  <si>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</si>
  <si>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</si>
  <si>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</si>
  <si>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</si>
  <si>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</si>
  <si>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</si>
  <si>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ротация на 597</t>
  </si>
  <si>
    <t>SU004238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</si>
  <si>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</si>
  <si>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</si>
  <si>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</si>
  <si>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</si>
  <si>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</si>
  <si>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</si>
  <si>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</si>
  <si>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</si>
  <si>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</si>
  <si>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</si>
  <si>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</si>
  <si>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</si>
  <si>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</si>
  <si>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</si>
  <si>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</si>
  <si>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</si>
  <si>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</si>
  <si>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</si>
  <si>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</si>
  <si>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</si>
  <si>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</si>
  <si>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251  Сосиски Баварские, ВЕС.  ПОКОМ</t>
  </si>
  <si>
    <t>нужно увеличить продажи</t>
  </si>
  <si>
    <t>SU001835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</si>
  <si>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</si>
  <si>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</si>
  <si>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</si>
  <si>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</si>
  <si>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263  Шпикачки Стародворские, ВЕС.  ПОКОМ</t>
  </si>
  <si>
    <t>SU001430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</si>
  <si>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</si>
  <si>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</si>
  <si>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</si>
  <si>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</si>
  <si>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</si>
  <si>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</si>
  <si>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</si>
  <si>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</si>
  <si>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</si>
  <si>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</si>
  <si>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</si>
  <si>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нужно увеличить продажи!!!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</si>
  <si>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</si>
  <si>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</si>
  <si>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</si>
  <si>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</si>
  <si>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</si>
  <si>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</si>
  <si>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</si>
  <si>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</si>
  <si>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</si>
  <si>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</si>
  <si>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</si>
  <si>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</si>
  <si>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</si>
  <si>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</si>
  <si>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</si>
  <si>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</si>
  <si>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</si>
  <si>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</si>
  <si>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</si>
  <si>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</si>
  <si>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</si>
  <si>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</si>
  <si>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</si>
  <si>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</si>
  <si>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</si>
  <si>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</si>
  <si>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</si>
  <si>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</si>
  <si>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</si>
  <si>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</si>
  <si>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</si>
  <si>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</si>
  <si>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</si>
  <si>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</si>
  <si>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</si>
  <si>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</si>
  <si>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</si>
  <si>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</si>
  <si>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</si>
  <si>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</si>
  <si>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</si>
  <si>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</si>
  <si>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</si>
  <si>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</si>
  <si>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</si>
  <si>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</si>
  <si>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</si>
  <si>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</si>
  <si>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</si>
  <si>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</si>
  <si>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</si>
  <si>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</si>
  <si>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</si>
  <si>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</si>
  <si>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</si>
  <si>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</si>
  <si>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</si>
  <si>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</si>
  <si>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</si>
  <si>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</si>
  <si>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</si>
  <si>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</si>
  <si>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</si>
  <si>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</si>
  <si>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</si>
  <si>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</si>
  <si>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</si>
  <si>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</si>
  <si>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</si>
  <si>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</si>
  <si>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</si>
  <si>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</si>
  <si>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</si>
  <si>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</si>
  <si>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</si>
  <si>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</si>
  <si>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</si>
  <si>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</si>
  <si>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</si>
  <si>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</si>
  <si>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</si>
  <si>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</si>
  <si>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</si>
  <si>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</si>
  <si>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</si>
  <si>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</si>
  <si>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</si>
  <si>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</si>
  <si>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</si>
  <si>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</si>
  <si>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</si>
  <si>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</si>
  <si>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</si>
  <si>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</si>
  <si>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</si>
  <si>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</si>
  <si>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</si>
  <si>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</si>
  <si>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</si>
  <si>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</si>
  <si>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</si>
  <si>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469  Колбаса Филедворская по-стародворски ТМ Стародворье в оболочке полиамид.ВЕС  ПОКОМ </t>
  </si>
  <si>
    <t>SU003387</t>
  </si>
  <si>
    <t xml:space="preserve"> 485  Колбаса Молочная по-стародворски ТМ Стародворье в оболочке полиамид. ВЕС ПОКОМ </t>
  </si>
  <si>
    <t>нужно увеличить продажи / помощь Донецку</t>
  </si>
  <si>
    <t xml:space="preserve"> 498  Колбаса Сочинка рубленая с сочным окороком 0,3кг ТМ Стародворье  ПОКОМ</t>
  </si>
  <si>
    <t>SU002948</t>
  </si>
  <si>
    <t>SU003665</t>
  </si>
  <si>
    <t xml:space="preserve"> 520  Колбаса Мраморная ТМ Стародворье в вакуумной упаковке 0,07 кг нарезка  ПОКОМ</t>
  </si>
  <si>
    <t>SU003895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</si>
  <si>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</si>
  <si>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</si>
  <si>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</si>
  <si>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</si>
  <si>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</si>
  <si>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</si>
  <si>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527  Окорок Прошутто выдержанный нарезка 0,055кг ТМ Стародворье  ПОКОМ</t>
  </si>
  <si>
    <t>SU003924</t>
  </si>
  <si>
    <t xml:space="preserve"> 530  Окорок Хамон выдержанный нарезка 0,055кг ТМ Стародворье  ПОКОМ</t>
  </si>
  <si>
    <t>SU003923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</si>
  <si>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</si>
  <si>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</si>
  <si>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</si>
  <si>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</si>
  <si>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SU004028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</si>
  <si>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</si>
  <si>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</si>
  <si>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</si>
  <si>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</si>
  <si>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</si>
  <si>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</si>
  <si>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</si>
  <si>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</si>
  <si>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</si>
  <si>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</si>
  <si>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</si>
  <si>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</si>
  <si>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</si>
  <si>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</si>
  <si>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</si>
  <si>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567 Колбаса Со шпиком Стародворская ТМ Стародворье в оболочке полиамид ВЕС  ПОКОМ</t>
  </si>
  <si>
    <t>нужно увеличить продажи!!! / 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</si>
  <si>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</si>
  <si>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</si>
  <si>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</si>
  <si>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</si>
  <si>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</si>
  <si>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</si>
  <si>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</si>
  <si>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</si>
  <si>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</si>
  <si>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</si>
  <si>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</si>
  <si>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</si>
  <si>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</si>
  <si>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</si>
  <si>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</si>
  <si>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>нужно увеличить продажи / вместо 219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</si>
  <si>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</si>
  <si>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</si>
  <si>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</si>
  <si>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</si>
  <si>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</si>
  <si>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</si>
  <si>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</si>
  <si>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</si>
  <si>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</si>
  <si>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</si>
  <si>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 xml:space="preserve"> 265  Колбаса Балыкбургская, ВЕС, ТМ Баварушка  ПОКОМ</t>
  </si>
  <si>
    <t>нет потребности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</si>
  <si>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</si>
  <si>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</si>
  <si>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</si>
  <si>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</si>
  <si>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</si>
  <si>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451 Сосиски Филейские ТМ Вязанка в оболочке целлофан 0,3 кг. ПОКОМ</t>
  </si>
  <si>
    <t>SU002825</t>
  </si>
  <si>
    <t xml:space="preserve"> 257  Сосиски Молочные оригинальные ТМ Особый рецепт, ВЕС.   ПОКОМ</t>
  </si>
  <si>
    <t>SU000246</t>
  </si>
  <si>
    <t xml:space="preserve"> 240  Колбаса Салями охотничья, ВЕС. ПОКОМ</t>
  </si>
  <si>
    <t>SU001921</t>
  </si>
  <si>
    <t xml:space="preserve"> 523  Колбаса Сальчичон нарезка 0,07кг ТМ Стародворье  ПОКОМ </t>
  </si>
  <si>
    <t>SU003893</t>
  </si>
  <si>
    <t xml:space="preserve"> 564  Сосиски Сочные 0,3 кг ТМ Вязанка  ПОКОМ</t>
  </si>
  <si>
    <t>SU004053</t>
  </si>
  <si>
    <t xml:space="preserve"> 023  Колбаса Докторская ГОСТ, Вязанка вектор, 0,4 кг, ПОКОМ</t>
  </si>
  <si>
    <t>SU001485</t>
  </si>
  <si>
    <t xml:space="preserve"> 574  Колбаса Сервелат Финский ТМ Вязанка в упаковке скин 0,09 кг нарезка  ПОКОМ</t>
  </si>
  <si>
    <t>SU003751</t>
  </si>
  <si>
    <t xml:space="preserve"> 583  Колбаса Балыковая ТМ Вязанка в упаковке скин 0,09 кг нарезка  ПОКОМ</t>
  </si>
  <si>
    <t>SU003753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</si>
  <si>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</si>
  <si>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</si>
  <si>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584  Колбаса Сервелат Ореховый ТМ Вязанка в упаковке скин 0,09 кг нарезка  ПОКОМ</t>
  </si>
  <si>
    <t>SU003988</t>
  </si>
  <si>
    <t>Консервы Гречка по-купечески с говядиной и овощами ТМ Стародворье банка металлическая ф/в 0,325 кг РК</t>
  </si>
  <si>
    <t>новинка</t>
  </si>
  <si>
    <t>SU004144</t>
  </si>
  <si>
    <t>Консервы Индейка томленая в собственном соку ТМ Стародворье банка металлическая ф/в 0,25 кг РК</t>
  </si>
  <si>
    <t>SU004145</t>
  </si>
  <si>
    <t>Консервы Буженина в пряном маринаде ТМ Стародворье банка металлическая ф/в 0,25 кг РК</t>
  </si>
  <si>
    <t>SU004146</t>
  </si>
  <si>
    <t>Сосиски «Молочные для завтрака» Весовой п/а ТМ «Особый рецепт»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</si>
  <si>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</si>
  <si>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</si>
  <si>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Сосиски Сочинки с сыром Бордо ф/в 0,4 кг п/а Стародворье</t>
  </si>
  <si>
    <t>Сосиски «Сочинки Сливочные» Фикс.вес 0,4 п/а мгс ТМ «Стародворье»</t>
  </si>
  <si>
    <t>Сосиски Сочинки по-баварски Бавария Фикс.вес 0,4 П/а мгс Стародворье</t>
  </si>
  <si>
    <t>Сосиски «Сосиски с сыром» Фикс.вес 0,3 вискофан ТМ «Ядрена копоть»</t>
  </si>
  <si>
    <t>Сосиски «Мясные для гриля» Фикс.вес 0,3 целлофан ТМ «Ядрена копоть»</t>
  </si>
  <si>
    <t>Сосиски «Баварские» Фикс.вес 0,35 П/а ТМ «Стародворье»</t>
  </si>
  <si>
    <t>Сосиски «Сочинки по-баварски с сыром» Фикс.вес 0,4 П/а мгс ТМ «Стародворье»</t>
  </si>
  <si>
    <t>Сардельки «Сочинки с сыром» Фикс.вес 0,4 п/а ТМ «Стародворье»</t>
  </si>
  <si>
    <t>Сардельки «Сочинки» Фикс.вес 0,4 п/а ТМ «Стародворье»</t>
  </si>
  <si>
    <t>25,07,(недогруз</t>
  </si>
  <si>
    <t>25,07,(дозаказ)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</si>
</sst>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  <xf numFmtId="164" fontId="5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0" borderId="1" xfId="1" applyNumberFormat="1"/>
    <xf numFmtId="164" fontId="5" fillId="0" borderId="1" xfId="1" applyNumberFormat="1" applyFont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7" sqref="Y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5" width="7" customWidth="1"/>
    <col min="26" max="27" width="5" customWidth="1"/>
    <col min="28" max="37" width="6" customWidth="1"/>
    <col min="38" max="38" width="12.5703125" customWidth="1"/>
    <col min="39" max="39" width="7" customWidth="1"/>
    <col min="41" max="41" width="7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8">
        <v>-0.42</v>
      </c>
      <c r="X1" s="18"/>
      <c r="Y1" s="18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O1" s="1"/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9" t="s">
        <v>0</v>
      </c>
      <c r="X2" s="19"/>
      <c r="Y2" s="19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O2" s="1">
        <v>4300</v>
      </c>
    </row>
    <row r="3" spans="1:4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16</v>
      </c>
      <c r="V3" s="3" t="s">
        <v>17</v>
      </c>
      <c r="W3" s="3" t="s">
        <v>18</v>
      </c>
      <c r="X3" s="3" t="s">
        <v>18</v>
      </c>
      <c r="Y3" s="3" t="s">
        <v>18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O3" s="2" t="s">
        <v>23</v>
      </c>
    </row>
    <row r="4" spans="1:4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/>
      <c r="W4" s="1" t="s">
        <v>31</v>
      </c>
      <c r="X4" s="1" t="s">
        <v>334</v>
      </c>
      <c r="Y4" s="1" t="s">
        <v>335</v>
      </c>
      <c r="Z4" s="1"/>
      <c r="AA4" s="1"/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 t="s">
        <v>40</v>
      </c>
      <c r="AK4" s="1" t="s">
        <v>41</v>
      </c>
      <c r="AL4" s="1"/>
      <c r="AM4" s="1"/>
      <c r="AO4" s="1" t="s">
        <v>335</v>
      </c>
    </row>
    <row r="5" spans="1:41" x14ac:dyDescent="0.25">
      <c r="A5" s="1"/>
      <c r="B5" s="1"/>
      <c r="C5" s="1"/>
      <c r="D5" s="1"/>
      <c r="E5" s="4">
        <f>SUM(E6:E491)</f>
        <v>54734.603999999992</v>
      </c>
      <c r="F5" s="4">
        <f>SUM(F6:F491)</f>
        <v>52641.778000000013</v>
      </c>
      <c r="G5" s="7"/>
      <c r="H5" s="1"/>
      <c r="I5" s="1"/>
      <c r="J5" s="1"/>
      <c r="K5" s="4">
        <f t="shared" ref="K5:W5" si="0">SUM(K6:K491)</f>
        <v>56183.06900000001</v>
      </c>
      <c r="L5" s="4">
        <f t="shared" si="0"/>
        <v>-1448.4650000000001</v>
      </c>
      <c r="M5" s="4">
        <f t="shared" si="0"/>
        <v>0</v>
      </c>
      <c r="N5" s="4">
        <f t="shared" si="0"/>
        <v>0</v>
      </c>
      <c r="O5" s="4">
        <f t="shared" si="0"/>
        <v>14000</v>
      </c>
      <c r="P5" s="4">
        <f t="shared" si="0"/>
        <v>2500</v>
      </c>
      <c r="Q5" s="4">
        <f t="shared" si="0"/>
        <v>9000</v>
      </c>
      <c r="R5" s="4">
        <f t="shared" si="0"/>
        <v>4000</v>
      </c>
      <c r="S5" s="4">
        <f t="shared" si="0"/>
        <v>900</v>
      </c>
      <c r="T5" s="4">
        <f t="shared" si="0"/>
        <v>20006.53519900002</v>
      </c>
      <c r="U5" s="4">
        <f t="shared" si="0"/>
        <v>10946.920799999996</v>
      </c>
      <c r="V5" s="4">
        <f t="shared" si="0"/>
        <v>27453.0365112</v>
      </c>
      <c r="W5" s="4">
        <f t="shared" si="0"/>
        <v>24678.220327199993</v>
      </c>
      <c r="X5" s="4">
        <f t="shared" ref="X5:Y5" si="1">SUM(X6:X491)</f>
        <v>-7266</v>
      </c>
      <c r="Y5" s="4">
        <f t="shared" si="1"/>
        <v>4300</v>
      </c>
      <c r="Z5" s="1"/>
      <c r="AA5" s="1"/>
      <c r="AB5" s="4">
        <f t="shared" ref="AB5:AK5" si="2">SUM(AB6:AB491)</f>
        <v>11020.885399999997</v>
      </c>
      <c r="AC5" s="4">
        <f t="shared" si="2"/>
        <v>11330.113399999998</v>
      </c>
      <c r="AD5" s="4">
        <f t="shared" si="2"/>
        <v>10868.862599999995</v>
      </c>
      <c r="AE5" s="4">
        <f t="shared" si="2"/>
        <v>10230.688399999999</v>
      </c>
      <c r="AF5" s="4">
        <f t="shared" si="2"/>
        <v>10557.787400000001</v>
      </c>
      <c r="AG5" s="4">
        <f t="shared" si="2"/>
        <v>11206.347200000004</v>
      </c>
      <c r="AH5" s="4">
        <f t="shared" si="2"/>
        <v>10686.477200000005</v>
      </c>
      <c r="AI5" s="4">
        <f t="shared" si="2"/>
        <v>10948.148200000001</v>
      </c>
      <c r="AJ5" s="4">
        <f t="shared" si="2"/>
        <v>11385.260799999998</v>
      </c>
      <c r="AK5" s="4">
        <f t="shared" si="2"/>
        <v>10613.700400000002</v>
      </c>
      <c r="AL5" s="1"/>
      <c r="AM5" s="4">
        <f>SUM(AM6:AM491)</f>
        <v>17522</v>
      </c>
      <c r="AO5" s="4">
        <f>SUM(AO6:AO491)</f>
        <v>4300</v>
      </c>
    </row>
    <row r="6" spans="1:41" x14ac:dyDescent="0.25">
      <c r="A6" s="1" t="s">
        <v>42</v>
      </c>
      <c r="B6" s="1" t="s">
        <v>43</v>
      </c>
      <c r="C6" s="1">
        <v>4009.8470000000002</v>
      </c>
      <c r="D6" s="1">
        <v>1038.252</v>
      </c>
      <c r="E6" s="1">
        <v>2427.4479999999999</v>
      </c>
      <c r="F6" s="1">
        <v>2441.299</v>
      </c>
      <c r="G6" s="7">
        <v>1</v>
      </c>
      <c r="H6" s="1">
        <v>50</v>
      </c>
      <c r="I6" s="1" t="s">
        <v>44</v>
      </c>
      <c r="J6" s="1"/>
      <c r="K6" s="1">
        <v>2385.0500000000002</v>
      </c>
      <c r="L6" s="1">
        <f t="shared" ref="L6:L37" si="3">E6-K6</f>
        <v>42.397999999999683</v>
      </c>
      <c r="M6" s="1"/>
      <c r="N6" s="1"/>
      <c r="O6" s="1">
        <v>700</v>
      </c>
      <c r="P6" s="1"/>
      <c r="Q6" s="1">
        <v>1000</v>
      </c>
      <c r="R6" s="1"/>
      <c r="S6" s="1"/>
      <c r="T6" s="1">
        <v>786.14965400000119</v>
      </c>
      <c r="U6" s="1">
        <f t="shared" ref="U6:U37" si="4">E6/5</f>
        <v>485.4896</v>
      </c>
      <c r="V6" s="5">
        <f t="shared" ref="V6:V11" si="5">11*U6-T6-S6-R6-Q6-P6-O6-F6</f>
        <v>412.9369459999989</v>
      </c>
      <c r="W6" s="5">
        <f>V6+$W$1*U6</f>
        <v>209.0313139999989</v>
      </c>
      <c r="X6" s="5"/>
      <c r="Y6" s="5"/>
      <c r="Z6" s="1">
        <f>(F6+O6+P6+Q6+R6+S6+T6+W6+X6+Y6)/U6</f>
        <v>10.580000000000002</v>
      </c>
      <c r="AA6" s="1">
        <f t="shared" ref="AA6:AA37" si="6">(F6+O6+P6+Q6+R6+S6+T6)/U6</f>
        <v>10.149442241399202</v>
      </c>
      <c r="AB6" s="1">
        <v>548.13580000000002</v>
      </c>
      <c r="AC6" s="1">
        <v>531.78219999999999</v>
      </c>
      <c r="AD6" s="1">
        <v>520.48940000000005</v>
      </c>
      <c r="AE6" s="1">
        <v>518.05520000000001</v>
      </c>
      <c r="AF6" s="1">
        <v>649.26400000000001</v>
      </c>
      <c r="AG6" s="1">
        <v>693.28</v>
      </c>
      <c r="AH6" s="1">
        <v>574.93340000000001</v>
      </c>
      <c r="AI6" s="1">
        <v>571.3528</v>
      </c>
      <c r="AJ6" s="1">
        <v>644.19260000000008</v>
      </c>
      <c r="AK6" s="1">
        <v>519.64480000000003</v>
      </c>
      <c r="AL6" s="1"/>
      <c r="AM6" s="1">
        <f t="shared" ref="AM6:AM37" si="7">ROUND(G6*W6,0)</f>
        <v>209</v>
      </c>
      <c r="AN6" t="s">
        <v>45</v>
      </c>
      <c r="AO6" s="1">
        <f>ROUND(G6*Y6,0)</f>
        <v>0</v>
      </c>
    </row>
    <row r="7" spans="1:41" x14ac:dyDescent="0.25">
      <c r="A7" s="1" t="s">
        <v>46</v>
      </c>
      <c r="B7" s="1" t="s">
        <v>43</v>
      </c>
      <c r="C7" s="1">
        <v>1409.223</v>
      </c>
      <c r="D7" s="1">
        <v>1035.4369999999999</v>
      </c>
      <c r="E7" s="1">
        <v>1177.5170000000001</v>
      </c>
      <c r="F7" s="1">
        <v>1162.2360000000001</v>
      </c>
      <c r="G7" s="7">
        <v>1</v>
      </c>
      <c r="H7" s="1">
        <v>45</v>
      </c>
      <c r="I7" s="1" t="s">
        <v>44</v>
      </c>
      <c r="J7" s="1"/>
      <c r="K7" s="1">
        <v>1126.95</v>
      </c>
      <c r="L7" s="1">
        <f t="shared" si="3"/>
        <v>50.567000000000007</v>
      </c>
      <c r="M7" s="1"/>
      <c r="N7" s="1"/>
      <c r="O7" s="1">
        <v>500</v>
      </c>
      <c r="P7" s="1"/>
      <c r="Q7" s="1"/>
      <c r="R7" s="1"/>
      <c r="S7" s="1"/>
      <c r="T7" s="1">
        <v>65.346425600001112</v>
      </c>
      <c r="U7" s="1">
        <f t="shared" si="4"/>
        <v>235.5034</v>
      </c>
      <c r="V7" s="5">
        <f t="shared" si="5"/>
        <v>862.95497439999895</v>
      </c>
      <c r="W7" s="5">
        <f>V7+$W$1*U7</f>
        <v>764.04354639999895</v>
      </c>
      <c r="X7" s="5"/>
      <c r="Y7" s="5"/>
      <c r="Z7" s="1">
        <f t="shared" ref="Z7:Z70" si="8">(F7+O7+P7+Q7+R7+S7+T7+W7+X7+Y7)/U7</f>
        <v>10.580000000000002</v>
      </c>
      <c r="AA7" s="1">
        <f t="shared" si="6"/>
        <v>7.3357005699280826</v>
      </c>
      <c r="AB7" s="1">
        <v>220.28479999999999</v>
      </c>
      <c r="AC7" s="1">
        <v>230.947</v>
      </c>
      <c r="AD7" s="1">
        <v>231.88659999999999</v>
      </c>
      <c r="AE7" s="1">
        <v>229.16200000000001</v>
      </c>
      <c r="AF7" s="1">
        <v>245.24719999999999</v>
      </c>
      <c r="AG7" s="1">
        <v>248.6404</v>
      </c>
      <c r="AH7" s="1">
        <v>233.95959999999999</v>
      </c>
      <c r="AI7" s="1">
        <v>237.83580000000001</v>
      </c>
      <c r="AJ7" s="1">
        <v>203.35040000000001</v>
      </c>
      <c r="AK7" s="1">
        <v>182.13740000000001</v>
      </c>
      <c r="AL7" s="1"/>
      <c r="AM7" s="1">
        <f t="shared" si="7"/>
        <v>764</v>
      </c>
      <c r="AN7" t="s">
        <v>47</v>
      </c>
      <c r="AO7" s="1">
        <f t="shared" ref="AO7:AO70" si="9">ROUND(G7*Y7,0)</f>
        <v>0</v>
      </c>
    </row>
    <row r="8" spans="1:41" x14ac:dyDescent="0.25">
      <c r="A8" s="1" t="s">
        <v>48</v>
      </c>
      <c r="B8" s="1" t="s">
        <v>43</v>
      </c>
      <c r="C8" s="1">
        <v>1458.1489999999999</v>
      </c>
      <c r="D8" s="1">
        <v>1013.259</v>
      </c>
      <c r="E8" s="1">
        <v>1176.5050000000001</v>
      </c>
      <c r="F8" s="1">
        <v>1225.1780000000001</v>
      </c>
      <c r="G8" s="7">
        <v>1</v>
      </c>
      <c r="H8" s="1">
        <v>45</v>
      </c>
      <c r="I8" s="1" t="s">
        <v>44</v>
      </c>
      <c r="J8" s="1"/>
      <c r="K8" s="1">
        <v>1124.0999999999999</v>
      </c>
      <c r="L8" s="1">
        <f t="shared" si="3"/>
        <v>52.4050000000002</v>
      </c>
      <c r="M8" s="1"/>
      <c r="N8" s="1"/>
      <c r="O8" s="1">
        <v>500</v>
      </c>
      <c r="P8" s="1"/>
      <c r="Q8" s="1"/>
      <c r="R8" s="1"/>
      <c r="S8" s="1"/>
      <c r="T8" s="1">
        <v>153.23029520000179</v>
      </c>
      <c r="U8" s="1">
        <f t="shared" si="4"/>
        <v>235.30100000000002</v>
      </c>
      <c r="V8" s="5">
        <f t="shared" si="5"/>
        <v>709.90270479999822</v>
      </c>
      <c r="W8" s="5">
        <f>V8+$W$1*U8</f>
        <v>611.07628479999823</v>
      </c>
      <c r="X8" s="5"/>
      <c r="Y8" s="5"/>
      <c r="Z8" s="1">
        <f t="shared" si="8"/>
        <v>10.58</v>
      </c>
      <c r="AA8" s="1">
        <f t="shared" si="6"/>
        <v>7.9830017517987679</v>
      </c>
      <c r="AB8" s="1">
        <v>231.13040000000001</v>
      </c>
      <c r="AC8" s="1">
        <v>232.49080000000001</v>
      </c>
      <c r="AD8" s="1">
        <v>229.34979999999999</v>
      </c>
      <c r="AE8" s="1">
        <v>233.9804</v>
      </c>
      <c r="AF8" s="1">
        <v>252.5744</v>
      </c>
      <c r="AG8" s="1">
        <v>250.4272</v>
      </c>
      <c r="AH8" s="1">
        <v>136.15100000000001</v>
      </c>
      <c r="AI8" s="1">
        <v>145.13079999999999</v>
      </c>
      <c r="AJ8" s="1">
        <v>215.2072</v>
      </c>
      <c r="AK8" s="1">
        <v>199.28120000000001</v>
      </c>
      <c r="AL8" s="1"/>
      <c r="AM8" s="1">
        <f t="shared" si="7"/>
        <v>611</v>
      </c>
      <c r="AN8" t="s">
        <v>49</v>
      </c>
      <c r="AO8" s="1">
        <f t="shared" si="9"/>
        <v>0</v>
      </c>
    </row>
    <row r="9" spans="1:41" x14ac:dyDescent="0.25">
      <c r="A9" s="1" t="s">
        <v>50</v>
      </c>
      <c r="B9" s="1" t="s">
        <v>51</v>
      </c>
      <c r="C9" s="1">
        <v>807</v>
      </c>
      <c r="D9" s="1">
        <v>433</v>
      </c>
      <c r="E9" s="1">
        <v>624</v>
      </c>
      <c r="F9" s="1">
        <v>507</v>
      </c>
      <c r="G9" s="7">
        <v>0.45</v>
      </c>
      <c r="H9" s="1">
        <v>45</v>
      </c>
      <c r="I9" s="1" t="s">
        <v>44</v>
      </c>
      <c r="J9" s="1"/>
      <c r="K9" s="1">
        <v>676</v>
      </c>
      <c r="L9" s="1">
        <f t="shared" si="3"/>
        <v>-52</v>
      </c>
      <c r="M9" s="1"/>
      <c r="N9" s="1"/>
      <c r="O9" s="1"/>
      <c r="P9" s="1"/>
      <c r="Q9" s="1"/>
      <c r="R9" s="1"/>
      <c r="S9" s="1"/>
      <c r="T9" s="1">
        <v>468.75400000000008</v>
      </c>
      <c r="U9" s="1">
        <f t="shared" si="4"/>
        <v>124.8</v>
      </c>
      <c r="V9" s="5">
        <f t="shared" si="5"/>
        <v>397.04599999999982</v>
      </c>
      <c r="W9" s="5">
        <f>V9+$W$1*U9</f>
        <v>344.62999999999982</v>
      </c>
      <c r="X9" s="5"/>
      <c r="Y9" s="5"/>
      <c r="Z9" s="1">
        <f t="shared" si="8"/>
        <v>10.58</v>
      </c>
      <c r="AA9" s="1">
        <f t="shared" si="6"/>
        <v>7.8185416666666683</v>
      </c>
      <c r="AB9" s="1">
        <v>110.6</v>
      </c>
      <c r="AC9" s="1">
        <v>109</v>
      </c>
      <c r="AD9" s="1">
        <v>123.6</v>
      </c>
      <c r="AE9" s="1">
        <v>123.8</v>
      </c>
      <c r="AF9" s="1">
        <v>115.4</v>
      </c>
      <c r="AG9" s="1">
        <v>118.8</v>
      </c>
      <c r="AH9" s="1">
        <v>111.6</v>
      </c>
      <c r="AI9" s="1">
        <v>102.4</v>
      </c>
      <c r="AJ9" s="1">
        <v>102.8</v>
      </c>
      <c r="AK9" s="1">
        <v>107.2</v>
      </c>
      <c r="AL9" s="1"/>
      <c r="AM9" s="1">
        <f t="shared" si="7"/>
        <v>155</v>
      </c>
      <c r="AN9" t="s">
        <v>52</v>
      </c>
      <c r="AO9" s="1">
        <f t="shared" si="9"/>
        <v>0</v>
      </c>
    </row>
    <row r="10" spans="1:41" x14ac:dyDescent="0.25">
      <c r="A10" s="1" t="s">
        <v>53</v>
      </c>
      <c r="B10" s="1" t="s">
        <v>51</v>
      </c>
      <c r="C10" s="1">
        <v>1616</v>
      </c>
      <c r="D10" s="1">
        <v>1042</v>
      </c>
      <c r="E10" s="1">
        <v>1151</v>
      </c>
      <c r="F10" s="1">
        <v>1367</v>
      </c>
      <c r="G10" s="7">
        <v>0.45</v>
      </c>
      <c r="H10" s="1">
        <v>45</v>
      </c>
      <c r="I10" s="1" t="s">
        <v>44</v>
      </c>
      <c r="J10" s="1"/>
      <c r="K10" s="1">
        <v>1174</v>
      </c>
      <c r="L10" s="1">
        <f t="shared" si="3"/>
        <v>-23</v>
      </c>
      <c r="M10" s="1"/>
      <c r="N10" s="1"/>
      <c r="O10" s="1"/>
      <c r="P10" s="1"/>
      <c r="Q10" s="1"/>
      <c r="R10" s="1"/>
      <c r="S10" s="1"/>
      <c r="T10" s="1">
        <v>477.68600000000038</v>
      </c>
      <c r="U10" s="1">
        <f t="shared" si="4"/>
        <v>230.2</v>
      </c>
      <c r="V10" s="5">
        <f t="shared" si="5"/>
        <v>687.51399999999921</v>
      </c>
      <c r="W10" s="5">
        <f>V10+$W$1*U10</f>
        <v>590.82999999999925</v>
      </c>
      <c r="X10" s="5"/>
      <c r="Y10" s="5"/>
      <c r="Z10" s="1">
        <f t="shared" si="8"/>
        <v>10.579999999999998</v>
      </c>
      <c r="AA10" s="1">
        <f t="shared" si="6"/>
        <v>8.0134057341442251</v>
      </c>
      <c r="AB10" s="1">
        <v>217</v>
      </c>
      <c r="AC10" s="1">
        <v>207.6</v>
      </c>
      <c r="AD10" s="1">
        <v>228.4</v>
      </c>
      <c r="AE10" s="1">
        <v>239.6</v>
      </c>
      <c r="AF10" s="1">
        <v>198.8</v>
      </c>
      <c r="AG10" s="1">
        <v>201.8</v>
      </c>
      <c r="AH10" s="1">
        <v>207.4</v>
      </c>
      <c r="AI10" s="1">
        <v>205.4</v>
      </c>
      <c r="AJ10" s="1">
        <v>203.4</v>
      </c>
      <c r="AK10" s="1">
        <v>195</v>
      </c>
      <c r="AL10" s="1"/>
      <c r="AM10" s="1">
        <f t="shared" si="7"/>
        <v>266</v>
      </c>
      <c r="AN10" t="s">
        <v>54</v>
      </c>
      <c r="AO10" s="1">
        <f t="shared" si="9"/>
        <v>0</v>
      </c>
    </row>
    <row r="11" spans="1:41" x14ac:dyDescent="0.25">
      <c r="A11" s="1" t="s">
        <v>55</v>
      </c>
      <c r="B11" s="1" t="s">
        <v>51</v>
      </c>
      <c r="C11" s="1">
        <v>156</v>
      </c>
      <c r="D11" s="1"/>
      <c r="E11" s="1">
        <v>76</v>
      </c>
      <c r="F11" s="1">
        <v>73</v>
      </c>
      <c r="G11" s="7">
        <v>0.17</v>
      </c>
      <c r="H11" s="1">
        <v>180</v>
      </c>
      <c r="I11" s="1" t="s">
        <v>44</v>
      </c>
      <c r="J11" s="1"/>
      <c r="K11" s="1">
        <v>76</v>
      </c>
      <c r="L11" s="1">
        <f t="shared" si="3"/>
        <v>0</v>
      </c>
      <c r="M11" s="1"/>
      <c r="N11" s="1"/>
      <c r="O11" s="1"/>
      <c r="P11" s="1"/>
      <c r="Q11" s="1"/>
      <c r="R11" s="1"/>
      <c r="S11" s="1"/>
      <c r="T11" s="1">
        <v>0</v>
      </c>
      <c r="U11" s="1">
        <f t="shared" si="4"/>
        <v>15.2</v>
      </c>
      <c r="V11" s="5">
        <f t="shared" si="5"/>
        <v>94.199999999999989</v>
      </c>
      <c r="W11" s="5">
        <f t="shared" ref="W11:W16" si="10">V11</f>
        <v>94.199999999999989</v>
      </c>
      <c r="X11" s="5"/>
      <c r="Y11" s="5"/>
      <c r="Z11" s="1">
        <f t="shared" si="8"/>
        <v>11</v>
      </c>
      <c r="AA11" s="1">
        <f t="shared" si="6"/>
        <v>4.802631578947369</v>
      </c>
      <c r="AB11" s="1">
        <v>11.8</v>
      </c>
      <c r="AC11" s="1">
        <v>12.8</v>
      </c>
      <c r="AD11" s="1">
        <v>7.4</v>
      </c>
      <c r="AE11" s="1">
        <v>8.6</v>
      </c>
      <c r="AF11" s="1">
        <v>18.2</v>
      </c>
      <c r="AG11" s="1">
        <v>20.6</v>
      </c>
      <c r="AH11" s="1">
        <v>16</v>
      </c>
      <c r="AI11" s="1">
        <v>15</v>
      </c>
      <c r="AJ11" s="1">
        <v>21.2</v>
      </c>
      <c r="AK11" s="1">
        <v>10</v>
      </c>
      <c r="AL11" s="1"/>
      <c r="AM11" s="1">
        <f t="shared" si="7"/>
        <v>16</v>
      </c>
      <c r="AN11" t="s">
        <v>56</v>
      </c>
      <c r="AO11" s="1">
        <f t="shared" si="9"/>
        <v>0</v>
      </c>
    </row>
    <row r="12" spans="1:41" x14ac:dyDescent="0.25">
      <c r="A12" s="9" t="s">
        <v>57</v>
      </c>
      <c r="B12" s="9" t="s">
        <v>51</v>
      </c>
      <c r="C12" s="9">
        <v>-47</v>
      </c>
      <c r="D12" s="9"/>
      <c r="E12" s="9"/>
      <c r="F12" s="9">
        <v>-47</v>
      </c>
      <c r="G12" s="10">
        <v>0</v>
      </c>
      <c r="H12" s="9"/>
      <c r="I12" s="9" t="s">
        <v>58</v>
      </c>
      <c r="J12" s="9"/>
      <c r="K12" s="9"/>
      <c r="L12" s="9">
        <f t="shared" si="3"/>
        <v>0</v>
      </c>
      <c r="M12" s="9"/>
      <c r="N12" s="9"/>
      <c r="O12" s="9"/>
      <c r="P12" s="9"/>
      <c r="Q12" s="9"/>
      <c r="R12" s="9"/>
      <c r="S12" s="9"/>
      <c r="T12" s="9">
        <v>0</v>
      </c>
      <c r="U12" s="9">
        <f t="shared" si="4"/>
        <v>0</v>
      </c>
      <c r="V12" s="11"/>
      <c r="W12" s="5">
        <f t="shared" si="10"/>
        <v>0</v>
      </c>
      <c r="X12" s="5"/>
      <c r="Y12" s="5"/>
      <c r="Z12" s="1" t="e">
        <f t="shared" si="8"/>
        <v>#DIV/0!</v>
      </c>
      <c r="AA12" s="9" t="e">
        <f t="shared" si="6"/>
        <v>#DIV/0!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/>
      <c r="AM12" s="1">
        <f t="shared" si="7"/>
        <v>0</v>
      </c>
      <c r="AN12" t="s">
        <v>59</v>
      </c>
      <c r="AO12" s="1">
        <f t="shared" si="9"/>
        <v>0</v>
      </c>
    </row>
    <row r="13" spans="1:41" x14ac:dyDescent="0.25">
      <c r="A13" s="1" t="s">
        <v>60</v>
      </c>
      <c r="B13" s="1" t="s">
        <v>51</v>
      </c>
      <c r="C13" s="1">
        <v>21</v>
      </c>
      <c r="D13" s="1">
        <v>199</v>
      </c>
      <c r="E13" s="1">
        <v>89</v>
      </c>
      <c r="F13" s="1">
        <v>120</v>
      </c>
      <c r="G13" s="7">
        <v>0.3</v>
      </c>
      <c r="H13" s="1">
        <v>40</v>
      </c>
      <c r="I13" s="1" t="s">
        <v>44</v>
      </c>
      <c r="J13" s="1"/>
      <c r="K13" s="1">
        <v>96</v>
      </c>
      <c r="L13" s="1">
        <f t="shared" si="3"/>
        <v>-7</v>
      </c>
      <c r="M13" s="1"/>
      <c r="N13" s="1"/>
      <c r="O13" s="1"/>
      <c r="P13" s="1"/>
      <c r="Q13" s="1"/>
      <c r="R13" s="1"/>
      <c r="S13" s="1"/>
      <c r="T13" s="1">
        <v>0</v>
      </c>
      <c r="U13" s="1">
        <f t="shared" si="4"/>
        <v>17.8</v>
      </c>
      <c r="V13" s="5">
        <f>11*U13-T13-S13-R13-Q13-P13-O13-F13</f>
        <v>75.800000000000011</v>
      </c>
      <c r="W13" s="5">
        <f t="shared" si="10"/>
        <v>75.800000000000011</v>
      </c>
      <c r="X13" s="5"/>
      <c r="Y13" s="5"/>
      <c r="Z13" s="1">
        <f t="shared" si="8"/>
        <v>11</v>
      </c>
      <c r="AA13" s="1">
        <f t="shared" si="6"/>
        <v>6.7415730337078648</v>
      </c>
      <c r="AB13" s="1">
        <v>9.1999999999999993</v>
      </c>
      <c r="AC13" s="1">
        <v>19.399999999999999</v>
      </c>
      <c r="AD13" s="1">
        <v>23</v>
      </c>
      <c r="AE13" s="1">
        <v>10.8</v>
      </c>
      <c r="AF13" s="1">
        <v>11.6</v>
      </c>
      <c r="AG13" s="1">
        <v>7.8</v>
      </c>
      <c r="AH13" s="1">
        <v>7.8</v>
      </c>
      <c r="AI13" s="1">
        <v>17.8</v>
      </c>
      <c r="AJ13" s="1">
        <v>20.399999999999999</v>
      </c>
      <c r="AK13" s="1">
        <v>12.8</v>
      </c>
      <c r="AL13" s="1"/>
      <c r="AM13" s="1">
        <f t="shared" si="7"/>
        <v>23</v>
      </c>
      <c r="AN13" t="s">
        <v>61</v>
      </c>
      <c r="AO13" s="1">
        <f t="shared" si="9"/>
        <v>0</v>
      </c>
    </row>
    <row r="14" spans="1:41" x14ac:dyDescent="0.25">
      <c r="A14" s="1" t="s">
        <v>62</v>
      </c>
      <c r="B14" s="1" t="s">
        <v>51</v>
      </c>
      <c r="C14" s="1">
        <v>336</v>
      </c>
      <c r="D14" s="1">
        <v>120</v>
      </c>
      <c r="E14" s="1">
        <v>281</v>
      </c>
      <c r="F14" s="1">
        <v>148</v>
      </c>
      <c r="G14" s="7">
        <v>0.17</v>
      </c>
      <c r="H14" s="1">
        <v>180</v>
      </c>
      <c r="I14" s="1" t="s">
        <v>44</v>
      </c>
      <c r="J14" s="1"/>
      <c r="K14" s="1">
        <v>280</v>
      </c>
      <c r="L14" s="1">
        <f t="shared" si="3"/>
        <v>1</v>
      </c>
      <c r="M14" s="1"/>
      <c r="N14" s="1"/>
      <c r="O14" s="1"/>
      <c r="P14" s="1"/>
      <c r="Q14" s="1"/>
      <c r="R14" s="1"/>
      <c r="S14" s="1"/>
      <c r="T14" s="1">
        <v>231.3000000000001</v>
      </c>
      <c r="U14" s="1">
        <f t="shared" si="4"/>
        <v>56.2</v>
      </c>
      <c r="V14" s="5">
        <f>11*U14-T14-S14-R14-Q14-P14-O14-F14</f>
        <v>238.89999999999998</v>
      </c>
      <c r="W14" s="5">
        <f t="shared" si="10"/>
        <v>238.89999999999998</v>
      </c>
      <c r="X14" s="5"/>
      <c r="Y14" s="5"/>
      <c r="Z14" s="1">
        <f t="shared" si="8"/>
        <v>11</v>
      </c>
      <c r="AA14" s="1">
        <f t="shared" si="6"/>
        <v>6.7491103202846983</v>
      </c>
      <c r="AB14" s="1">
        <v>45</v>
      </c>
      <c r="AC14" s="1">
        <v>39.4</v>
      </c>
      <c r="AD14" s="1">
        <v>40.6</v>
      </c>
      <c r="AE14" s="1">
        <v>41</v>
      </c>
      <c r="AF14" s="1">
        <v>51</v>
      </c>
      <c r="AG14" s="1">
        <v>48.8</v>
      </c>
      <c r="AH14" s="1">
        <v>47</v>
      </c>
      <c r="AI14" s="1">
        <v>49.8</v>
      </c>
      <c r="AJ14" s="1">
        <v>50.4</v>
      </c>
      <c r="AK14" s="1">
        <v>45.6</v>
      </c>
      <c r="AL14" s="1"/>
      <c r="AM14" s="1">
        <f t="shared" si="7"/>
        <v>41</v>
      </c>
      <c r="AN14" t="s">
        <v>63</v>
      </c>
      <c r="AO14" s="1">
        <f t="shared" si="9"/>
        <v>0</v>
      </c>
    </row>
    <row r="15" spans="1:41" x14ac:dyDescent="0.25">
      <c r="A15" s="9" t="s">
        <v>64</v>
      </c>
      <c r="B15" s="9" t="s">
        <v>51</v>
      </c>
      <c r="C15" s="9">
        <v>-2</v>
      </c>
      <c r="D15" s="9"/>
      <c r="E15" s="9"/>
      <c r="F15" s="9">
        <v>-2</v>
      </c>
      <c r="G15" s="10">
        <v>0</v>
      </c>
      <c r="H15" s="9"/>
      <c r="I15" s="9" t="s">
        <v>58</v>
      </c>
      <c r="J15" s="9" t="s">
        <v>65</v>
      </c>
      <c r="K15" s="9"/>
      <c r="L15" s="9">
        <f t="shared" si="3"/>
        <v>0</v>
      </c>
      <c r="M15" s="9"/>
      <c r="N15" s="9"/>
      <c r="O15" s="9"/>
      <c r="P15" s="9"/>
      <c r="Q15" s="9"/>
      <c r="R15" s="9"/>
      <c r="S15" s="9"/>
      <c r="T15" s="9">
        <v>0</v>
      </c>
      <c r="U15" s="9">
        <f t="shared" si="4"/>
        <v>0</v>
      </c>
      <c r="V15" s="11"/>
      <c r="W15" s="5">
        <f t="shared" si="10"/>
        <v>0</v>
      </c>
      <c r="X15" s="5"/>
      <c r="Y15" s="5"/>
      <c r="Z15" s="1" t="e">
        <f t="shared" si="8"/>
        <v>#DIV/0!</v>
      </c>
      <c r="AA15" s="9" t="e">
        <f t="shared" si="6"/>
        <v>#DIV/0!</v>
      </c>
      <c r="AB15" s="9">
        <v>0</v>
      </c>
      <c r="AC15" s="9">
        <v>0</v>
      </c>
      <c r="AD15" s="9">
        <v>0</v>
      </c>
      <c r="AE15" s="9">
        <v>0</v>
      </c>
      <c r="AF15" s="9">
        <v>0.4</v>
      </c>
      <c r="AG15" s="9">
        <v>0.4</v>
      </c>
      <c r="AH15" s="9">
        <v>0</v>
      </c>
      <c r="AI15" s="9">
        <v>0</v>
      </c>
      <c r="AJ15" s="9">
        <v>0</v>
      </c>
      <c r="AK15" s="9">
        <v>0</v>
      </c>
      <c r="AL15" s="9"/>
      <c r="AM15" s="1">
        <f t="shared" si="7"/>
        <v>0</v>
      </c>
      <c r="AO15" s="1">
        <f t="shared" si="9"/>
        <v>0</v>
      </c>
    </row>
    <row r="16" spans="1:41" x14ac:dyDescent="0.25">
      <c r="A16" s="9" t="s">
        <v>66</v>
      </c>
      <c r="B16" s="9" t="s">
        <v>51</v>
      </c>
      <c r="C16" s="9">
        <v>-1</v>
      </c>
      <c r="D16" s="9"/>
      <c r="E16" s="9"/>
      <c r="F16" s="9">
        <v>-1</v>
      </c>
      <c r="G16" s="10">
        <v>0</v>
      </c>
      <c r="H16" s="9"/>
      <c r="I16" s="9" t="s">
        <v>58</v>
      </c>
      <c r="J16" s="9"/>
      <c r="K16" s="9"/>
      <c r="L16" s="9">
        <f t="shared" si="3"/>
        <v>0</v>
      </c>
      <c r="M16" s="9"/>
      <c r="N16" s="9"/>
      <c r="O16" s="9"/>
      <c r="P16" s="9"/>
      <c r="Q16" s="9"/>
      <c r="R16" s="9"/>
      <c r="S16" s="9"/>
      <c r="T16" s="9">
        <v>0</v>
      </c>
      <c r="U16" s="9">
        <f t="shared" si="4"/>
        <v>0</v>
      </c>
      <c r="V16" s="11"/>
      <c r="W16" s="5">
        <f t="shared" si="10"/>
        <v>0</v>
      </c>
      <c r="X16" s="5"/>
      <c r="Y16" s="5"/>
      <c r="Z16" s="1" t="e">
        <f t="shared" si="8"/>
        <v>#DIV/0!</v>
      </c>
      <c r="AA16" s="9" t="e">
        <f t="shared" si="6"/>
        <v>#DIV/0!</v>
      </c>
      <c r="AB16" s="9">
        <v>0.2</v>
      </c>
      <c r="AC16" s="9">
        <v>0.2</v>
      </c>
      <c r="AD16" s="9">
        <v>0</v>
      </c>
      <c r="AE16" s="9">
        <v>0</v>
      </c>
      <c r="AF16" s="9">
        <v>0.4</v>
      </c>
      <c r="AG16" s="9">
        <v>0.4</v>
      </c>
      <c r="AH16" s="9">
        <v>0</v>
      </c>
      <c r="AI16" s="9">
        <v>0</v>
      </c>
      <c r="AJ16" s="9">
        <v>0</v>
      </c>
      <c r="AK16" s="9">
        <v>0</v>
      </c>
      <c r="AL16" s="9"/>
      <c r="AM16" s="1">
        <f t="shared" si="7"/>
        <v>0</v>
      </c>
      <c r="AN16" t="s">
        <v>67</v>
      </c>
      <c r="AO16" s="1">
        <f t="shared" si="9"/>
        <v>0</v>
      </c>
    </row>
    <row r="17" spans="1:41" x14ac:dyDescent="0.25">
      <c r="A17" s="1" t="s">
        <v>68</v>
      </c>
      <c r="B17" s="1" t="s">
        <v>43</v>
      </c>
      <c r="C17" s="1">
        <v>1346.6479999999999</v>
      </c>
      <c r="D17" s="1">
        <v>1120.0150000000001</v>
      </c>
      <c r="E17" s="1">
        <v>1089.6600000000001</v>
      </c>
      <c r="F17" s="1">
        <v>1271.4079999999999</v>
      </c>
      <c r="G17" s="7">
        <v>1</v>
      </c>
      <c r="H17" s="1">
        <v>70</v>
      </c>
      <c r="I17" s="1" t="s">
        <v>44</v>
      </c>
      <c r="J17" s="1"/>
      <c r="K17" s="1">
        <v>1053.3599999999999</v>
      </c>
      <c r="L17" s="1">
        <f t="shared" si="3"/>
        <v>36.300000000000182</v>
      </c>
      <c r="M17" s="1"/>
      <c r="N17" s="1"/>
      <c r="O17" s="1">
        <v>500</v>
      </c>
      <c r="P17" s="1"/>
      <c r="Q17" s="1"/>
      <c r="R17" s="1"/>
      <c r="S17" s="1"/>
      <c r="T17" s="1">
        <v>156.1593122000009</v>
      </c>
      <c r="U17" s="1">
        <f t="shared" si="4"/>
        <v>217.93200000000002</v>
      </c>
      <c r="V17" s="5">
        <f>11*U17-T17-S17-R17-Q17-P17-O17-F17</f>
        <v>469.68468779999967</v>
      </c>
      <c r="W17" s="5">
        <f>V17+$W$1*U17</f>
        <v>378.15324779999969</v>
      </c>
      <c r="X17" s="5"/>
      <c r="Y17" s="5"/>
      <c r="Z17" s="1">
        <f t="shared" si="8"/>
        <v>10.580000000000002</v>
      </c>
      <c r="AA17" s="1">
        <f t="shared" si="6"/>
        <v>8.8448108226419269</v>
      </c>
      <c r="AB17" s="1">
        <v>228.4726</v>
      </c>
      <c r="AC17" s="1">
        <v>235.23580000000001</v>
      </c>
      <c r="AD17" s="1">
        <v>236.49680000000001</v>
      </c>
      <c r="AE17" s="1">
        <v>223.6362</v>
      </c>
      <c r="AF17" s="1">
        <v>225.66139999999999</v>
      </c>
      <c r="AG17" s="1">
        <v>232.34639999999999</v>
      </c>
      <c r="AH17" s="1">
        <v>227.69319999999999</v>
      </c>
      <c r="AI17" s="1">
        <v>227.4924</v>
      </c>
      <c r="AJ17" s="1">
        <v>237.53</v>
      </c>
      <c r="AK17" s="1">
        <v>219.251</v>
      </c>
      <c r="AL17" s="1"/>
      <c r="AM17" s="1">
        <f t="shared" si="7"/>
        <v>378</v>
      </c>
      <c r="AN17" t="s">
        <v>69</v>
      </c>
      <c r="AO17" s="1">
        <f t="shared" si="9"/>
        <v>0</v>
      </c>
    </row>
    <row r="18" spans="1:41" x14ac:dyDescent="0.25">
      <c r="A18" s="1" t="s">
        <v>70</v>
      </c>
      <c r="B18" s="1" t="s">
        <v>43</v>
      </c>
      <c r="C18" s="1">
        <v>3812.8090000000002</v>
      </c>
      <c r="D18" s="1">
        <v>2395.3510000000001</v>
      </c>
      <c r="E18" s="1">
        <v>3733.0970000000002</v>
      </c>
      <c r="F18" s="1">
        <v>2120.67</v>
      </c>
      <c r="G18" s="7">
        <v>1</v>
      </c>
      <c r="H18" s="1">
        <v>50</v>
      </c>
      <c r="I18" s="1" t="s">
        <v>44</v>
      </c>
      <c r="J18" s="1"/>
      <c r="K18" s="1">
        <v>3754.8</v>
      </c>
      <c r="L18" s="1">
        <f t="shared" si="3"/>
        <v>-21.702999999999975</v>
      </c>
      <c r="M18" s="1"/>
      <c r="N18" s="1"/>
      <c r="O18" s="1">
        <v>1000</v>
      </c>
      <c r="P18" s="1"/>
      <c r="Q18" s="1">
        <v>2000</v>
      </c>
      <c r="R18" s="1"/>
      <c r="S18" s="1"/>
      <c r="T18" s="1">
        <v>2100</v>
      </c>
      <c r="U18" s="1">
        <f t="shared" si="4"/>
        <v>746.61940000000004</v>
      </c>
      <c r="V18" s="5">
        <f>11*U18-T18-S18-R18-Q18-P18-O18-F18</f>
        <v>992.14340000000084</v>
      </c>
      <c r="W18" s="5">
        <f>V18+$W$1*U18</f>
        <v>678.56325200000083</v>
      </c>
      <c r="X18" s="5"/>
      <c r="Y18" s="5"/>
      <c r="Z18" s="1">
        <f t="shared" si="8"/>
        <v>10.58</v>
      </c>
      <c r="AA18" s="1">
        <f t="shared" si="6"/>
        <v>9.6711523970579911</v>
      </c>
      <c r="AB18" s="1">
        <v>740.76059999999995</v>
      </c>
      <c r="AC18" s="1">
        <v>725.36279999999999</v>
      </c>
      <c r="AD18" s="1">
        <v>627.70680000000004</v>
      </c>
      <c r="AE18" s="1">
        <v>599.94200000000001</v>
      </c>
      <c r="AF18" s="1">
        <v>727.9</v>
      </c>
      <c r="AG18" s="1">
        <v>787.52279999999996</v>
      </c>
      <c r="AH18" s="1">
        <v>702.96499999999992</v>
      </c>
      <c r="AI18" s="1">
        <v>706.26260000000002</v>
      </c>
      <c r="AJ18" s="1">
        <v>695.55</v>
      </c>
      <c r="AK18" s="1">
        <v>651.36379999999997</v>
      </c>
      <c r="AL18" s="1"/>
      <c r="AM18" s="1">
        <f t="shared" si="7"/>
        <v>679</v>
      </c>
      <c r="AN18" t="s">
        <v>71</v>
      </c>
      <c r="AO18" s="1">
        <f t="shared" si="9"/>
        <v>0</v>
      </c>
    </row>
    <row r="19" spans="1:41" x14ac:dyDescent="0.25">
      <c r="A19" s="1" t="s">
        <v>72</v>
      </c>
      <c r="B19" s="1" t="s">
        <v>43</v>
      </c>
      <c r="C19" s="1">
        <v>105.703</v>
      </c>
      <c r="D19" s="1">
        <v>158.846</v>
      </c>
      <c r="E19" s="1">
        <v>97.947000000000003</v>
      </c>
      <c r="F19" s="1">
        <v>147.66999999999999</v>
      </c>
      <c r="G19" s="7">
        <v>1</v>
      </c>
      <c r="H19" s="1">
        <v>60</v>
      </c>
      <c r="I19" s="1" t="s">
        <v>44</v>
      </c>
      <c r="J19" s="1"/>
      <c r="K19" s="1">
        <v>100.425</v>
      </c>
      <c r="L19" s="1">
        <f t="shared" si="3"/>
        <v>-2.4779999999999944</v>
      </c>
      <c r="M19" s="1"/>
      <c r="N19" s="1"/>
      <c r="O19" s="1"/>
      <c r="P19" s="1"/>
      <c r="Q19" s="1"/>
      <c r="R19" s="1"/>
      <c r="S19" s="1"/>
      <c r="T19" s="1">
        <v>68.108903999999868</v>
      </c>
      <c r="U19" s="1">
        <f t="shared" si="4"/>
        <v>19.589400000000001</v>
      </c>
      <c r="V19" s="5"/>
      <c r="W19" s="5">
        <f>V19</f>
        <v>0</v>
      </c>
      <c r="X19" s="5"/>
      <c r="Y19" s="5"/>
      <c r="Z19" s="1">
        <f t="shared" si="8"/>
        <v>11.015084892850206</v>
      </c>
      <c r="AA19" s="1">
        <f t="shared" si="6"/>
        <v>11.015084892850206</v>
      </c>
      <c r="AB19" s="1">
        <v>22.287800000000001</v>
      </c>
      <c r="AC19" s="1">
        <v>21.7728</v>
      </c>
      <c r="AD19" s="1">
        <v>17.471399999999999</v>
      </c>
      <c r="AE19" s="1">
        <v>18.394600000000001</v>
      </c>
      <c r="AF19" s="1">
        <v>18.616199999999999</v>
      </c>
      <c r="AG19" s="1">
        <v>20.011800000000001</v>
      </c>
      <c r="AH19" s="1">
        <v>18.930399999999999</v>
      </c>
      <c r="AI19" s="1">
        <v>18.580200000000001</v>
      </c>
      <c r="AJ19" s="1">
        <v>20.035399999999999</v>
      </c>
      <c r="AK19" s="1">
        <v>20.866599999999998</v>
      </c>
      <c r="AL19" s="1"/>
      <c r="AM19" s="1">
        <f t="shared" si="7"/>
        <v>0</v>
      </c>
      <c r="AN19" t="s">
        <v>73</v>
      </c>
      <c r="AO19" s="1">
        <f t="shared" si="9"/>
        <v>0</v>
      </c>
    </row>
    <row r="20" spans="1:41" x14ac:dyDescent="0.25">
      <c r="A20" s="9" t="s">
        <v>74</v>
      </c>
      <c r="B20" s="9" t="s">
        <v>43</v>
      </c>
      <c r="C20" s="9">
        <v>-26.027999999999999</v>
      </c>
      <c r="D20" s="9"/>
      <c r="E20" s="9"/>
      <c r="F20" s="9">
        <v>-26.027999999999999</v>
      </c>
      <c r="G20" s="10">
        <v>0</v>
      </c>
      <c r="H20" s="9"/>
      <c r="I20" s="9" t="s">
        <v>58</v>
      </c>
      <c r="J20" s="9" t="s">
        <v>75</v>
      </c>
      <c r="K20" s="9">
        <v>0.8</v>
      </c>
      <c r="L20" s="9">
        <f t="shared" si="3"/>
        <v>-0.8</v>
      </c>
      <c r="M20" s="9"/>
      <c r="N20" s="9"/>
      <c r="O20" s="9"/>
      <c r="P20" s="9"/>
      <c r="Q20" s="9"/>
      <c r="R20" s="9"/>
      <c r="S20" s="9"/>
      <c r="T20" s="9">
        <v>0</v>
      </c>
      <c r="U20" s="9">
        <f t="shared" si="4"/>
        <v>0</v>
      </c>
      <c r="V20" s="11"/>
      <c r="W20" s="5">
        <f>V20</f>
        <v>0</v>
      </c>
      <c r="X20" s="5"/>
      <c r="Y20" s="5"/>
      <c r="Z20" s="1" t="e">
        <f t="shared" si="8"/>
        <v>#DIV/0!</v>
      </c>
      <c r="AA20" s="9" t="e">
        <f t="shared" si="6"/>
        <v>#DIV/0!</v>
      </c>
      <c r="AB20" s="9">
        <v>-0.40100000000000002</v>
      </c>
      <c r="AC20" s="9">
        <v>-0.52200000000000002</v>
      </c>
      <c r="AD20" s="9">
        <v>-0.28520000000000001</v>
      </c>
      <c r="AE20" s="9">
        <v>1.2378</v>
      </c>
      <c r="AF20" s="9">
        <v>1.2250000000000001</v>
      </c>
      <c r="AG20" s="9">
        <v>97.994200000000006</v>
      </c>
      <c r="AH20" s="9">
        <v>239.58519999999999</v>
      </c>
      <c r="AI20" s="9">
        <v>238.46119999999999</v>
      </c>
      <c r="AJ20" s="9">
        <v>236.93719999999999</v>
      </c>
      <c r="AK20" s="9">
        <v>215.0558</v>
      </c>
      <c r="AL20" s="9" t="s">
        <v>76</v>
      </c>
      <c r="AM20" s="1">
        <f t="shared" si="7"/>
        <v>0</v>
      </c>
      <c r="AN20" t="s">
        <v>77</v>
      </c>
      <c r="AO20" s="1">
        <f t="shared" si="9"/>
        <v>0</v>
      </c>
    </row>
    <row r="21" spans="1:41" x14ac:dyDescent="0.25">
      <c r="A21" s="1" t="s">
        <v>78</v>
      </c>
      <c r="B21" s="1" t="s">
        <v>43</v>
      </c>
      <c r="C21" s="1">
        <v>111.023</v>
      </c>
      <c r="D21" s="1">
        <v>65.055000000000007</v>
      </c>
      <c r="E21" s="1">
        <v>83.864999999999995</v>
      </c>
      <c r="F21" s="1">
        <v>86.022999999999996</v>
      </c>
      <c r="G21" s="7">
        <v>1</v>
      </c>
      <c r="H21" s="1">
        <v>60</v>
      </c>
      <c r="I21" s="1" t="s">
        <v>44</v>
      </c>
      <c r="J21" s="1"/>
      <c r="K21" s="1">
        <v>81.06</v>
      </c>
      <c r="L21" s="1">
        <f t="shared" si="3"/>
        <v>2.8049999999999926</v>
      </c>
      <c r="M21" s="1"/>
      <c r="N21" s="1"/>
      <c r="O21" s="1"/>
      <c r="P21" s="1"/>
      <c r="Q21" s="1"/>
      <c r="R21" s="1"/>
      <c r="S21" s="1"/>
      <c r="T21" s="1">
        <v>78.670600000000036</v>
      </c>
      <c r="U21" s="1">
        <f t="shared" si="4"/>
        <v>16.773</v>
      </c>
      <c r="V21" s="5">
        <f>11*U21-T21-S21-R21-Q21-P21-O21-F21</f>
        <v>19.809399999999954</v>
      </c>
      <c r="W21" s="5">
        <f>V21</f>
        <v>19.809399999999954</v>
      </c>
      <c r="X21" s="5"/>
      <c r="Y21" s="5"/>
      <c r="Z21" s="1">
        <f t="shared" si="8"/>
        <v>11</v>
      </c>
      <c r="AA21" s="1">
        <f t="shared" si="6"/>
        <v>9.8189709652417605</v>
      </c>
      <c r="AB21" s="1">
        <v>16.835999999999999</v>
      </c>
      <c r="AC21" s="1">
        <v>15.0814</v>
      </c>
      <c r="AD21" s="1">
        <v>11.555400000000001</v>
      </c>
      <c r="AE21" s="1">
        <v>13.023999999999999</v>
      </c>
      <c r="AF21" s="1">
        <v>16.781600000000001</v>
      </c>
      <c r="AG21" s="1">
        <v>17.526199999999999</v>
      </c>
      <c r="AH21" s="1">
        <v>17.302800000000001</v>
      </c>
      <c r="AI21" s="1">
        <v>16.8828</v>
      </c>
      <c r="AJ21" s="1">
        <v>13.7104</v>
      </c>
      <c r="AK21" s="1">
        <v>15.188800000000001</v>
      </c>
      <c r="AL21" s="1"/>
      <c r="AM21" s="1">
        <f t="shared" si="7"/>
        <v>20</v>
      </c>
      <c r="AN21" t="s">
        <v>79</v>
      </c>
      <c r="AO21" s="1">
        <f t="shared" si="9"/>
        <v>0</v>
      </c>
    </row>
    <row r="22" spans="1:41" x14ac:dyDescent="0.25">
      <c r="A22" s="1" t="s">
        <v>80</v>
      </c>
      <c r="B22" s="1" t="s">
        <v>43</v>
      </c>
      <c r="C22" s="1">
        <v>7.3239999999999998</v>
      </c>
      <c r="D22" s="1">
        <v>8.2260000000000009</v>
      </c>
      <c r="E22" s="1">
        <v>7.2409999999999997</v>
      </c>
      <c r="F22" s="1">
        <v>7.9580000000000002</v>
      </c>
      <c r="G22" s="7">
        <v>1</v>
      </c>
      <c r="H22" s="1">
        <v>180</v>
      </c>
      <c r="I22" s="1" t="s">
        <v>44</v>
      </c>
      <c r="J22" s="1"/>
      <c r="K22" s="1">
        <v>6.5570000000000004</v>
      </c>
      <c r="L22" s="1">
        <f t="shared" si="3"/>
        <v>0.68399999999999928</v>
      </c>
      <c r="M22" s="1"/>
      <c r="N22" s="1"/>
      <c r="O22" s="1"/>
      <c r="P22" s="1"/>
      <c r="Q22" s="1"/>
      <c r="R22" s="1"/>
      <c r="S22" s="1"/>
      <c r="T22" s="1">
        <v>15.0144</v>
      </c>
      <c r="U22" s="1">
        <f t="shared" si="4"/>
        <v>1.4481999999999999</v>
      </c>
      <c r="V22" s="5"/>
      <c r="W22" s="5">
        <f>V22</f>
        <v>0</v>
      </c>
      <c r="X22" s="5"/>
      <c r="Y22" s="5"/>
      <c r="Z22" s="1">
        <f t="shared" si="8"/>
        <v>15.862726142797957</v>
      </c>
      <c r="AA22" s="1">
        <f t="shared" si="6"/>
        <v>15.862726142797957</v>
      </c>
      <c r="AB22" s="1">
        <v>1.9716</v>
      </c>
      <c r="AC22" s="1">
        <v>1.2405999999999999</v>
      </c>
      <c r="AD22" s="1">
        <v>0.79459999999999997</v>
      </c>
      <c r="AE22" s="1">
        <v>0.72240000000000004</v>
      </c>
      <c r="AF22" s="1">
        <v>1.2132000000000001</v>
      </c>
      <c r="AG22" s="1">
        <v>1.4932000000000001</v>
      </c>
      <c r="AH22" s="1">
        <v>2.0506000000000002</v>
      </c>
      <c r="AI22" s="1">
        <v>2.9308000000000001</v>
      </c>
      <c r="AJ22" s="1">
        <v>1.6524000000000001</v>
      </c>
      <c r="AK22" s="1">
        <v>0.63919999999999999</v>
      </c>
      <c r="AL22" s="1"/>
      <c r="AM22" s="1">
        <f t="shared" si="7"/>
        <v>0</v>
      </c>
      <c r="AN22" t="s">
        <v>81</v>
      </c>
      <c r="AO22" s="1">
        <f t="shared" si="9"/>
        <v>0</v>
      </c>
    </row>
    <row r="23" spans="1:41" x14ac:dyDescent="0.25">
      <c r="A23" s="1" t="s">
        <v>82</v>
      </c>
      <c r="B23" s="1" t="s">
        <v>43</v>
      </c>
      <c r="C23" s="1">
        <v>1525.183</v>
      </c>
      <c r="D23" s="1">
        <v>1604.902</v>
      </c>
      <c r="E23" s="1">
        <v>1343.1959999999999</v>
      </c>
      <c r="F23" s="1">
        <v>1645.65</v>
      </c>
      <c r="G23" s="7">
        <v>1</v>
      </c>
      <c r="H23" s="1">
        <v>60</v>
      </c>
      <c r="I23" s="1" t="s">
        <v>44</v>
      </c>
      <c r="J23" s="1"/>
      <c r="K23" s="1">
        <v>1314.04</v>
      </c>
      <c r="L23" s="1">
        <f t="shared" si="3"/>
        <v>29.155999999999949</v>
      </c>
      <c r="M23" s="1"/>
      <c r="N23" s="1"/>
      <c r="O23" s="1">
        <v>700</v>
      </c>
      <c r="P23" s="1"/>
      <c r="Q23" s="1"/>
      <c r="R23" s="1"/>
      <c r="S23" s="1"/>
      <c r="T23" s="1">
        <v>75.947060200001033</v>
      </c>
      <c r="U23" s="1">
        <f t="shared" si="4"/>
        <v>268.63919999999996</v>
      </c>
      <c r="V23" s="5">
        <f>11*U23-T23-S23-R23-Q23-P23-O23-F23</f>
        <v>533.43413979999832</v>
      </c>
      <c r="W23" s="5">
        <f>V23+$W$1*U23</f>
        <v>420.60567579999832</v>
      </c>
      <c r="X23" s="5"/>
      <c r="Y23" s="5"/>
      <c r="Z23" s="1">
        <f t="shared" si="8"/>
        <v>10.579999999999998</v>
      </c>
      <c r="AA23" s="1">
        <f t="shared" si="6"/>
        <v>9.0143101237645187</v>
      </c>
      <c r="AB23" s="1">
        <v>285.46140000000003</v>
      </c>
      <c r="AC23" s="1">
        <v>300.20659999999998</v>
      </c>
      <c r="AD23" s="1">
        <v>291.22340000000003</v>
      </c>
      <c r="AE23" s="1">
        <v>269.3802</v>
      </c>
      <c r="AF23" s="1">
        <v>282.6694</v>
      </c>
      <c r="AG23" s="1">
        <v>300.6986</v>
      </c>
      <c r="AH23" s="1">
        <v>288.55360000000002</v>
      </c>
      <c r="AI23" s="1">
        <v>287.4658</v>
      </c>
      <c r="AJ23" s="1">
        <v>298.57600000000002</v>
      </c>
      <c r="AK23" s="1">
        <v>292.4074</v>
      </c>
      <c r="AL23" s="1"/>
      <c r="AM23" s="1">
        <f t="shared" si="7"/>
        <v>421</v>
      </c>
      <c r="AN23" t="s">
        <v>83</v>
      </c>
      <c r="AO23" s="1">
        <f t="shared" si="9"/>
        <v>0</v>
      </c>
    </row>
    <row r="24" spans="1:41" x14ac:dyDescent="0.25">
      <c r="A24" s="1" t="s">
        <v>84</v>
      </c>
      <c r="B24" s="1" t="s">
        <v>43</v>
      </c>
      <c r="C24" s="1">
        <v>352.90600000000001</v>
      </c>
      <c r="D24" s="1">
        <v>165.892</v>
      </c>
      <c r="E24" s="1">
        <v>201.78800000000001</v>
      </c>
      <c r="F24" s="1">
        <v>297.63900000000001</v>
      </c>
      <c r="G24" s="7">
        <v>1</v>
      </c>
      <c r="H24" s="1">
        <v>70</v>
      </c>
      <c r="I24" s="1" t="s">
        <v>44</v>
      </c>
      <c r="J24" s="1"/>
      <c r="K24" s="1">
        <v>193.93</v>
      </c>
      <c r="L24" s="1">
        <f t="shared" si="3"/>
        <v>7.8580000000000041</v>
      </c>
      <c r="M24" s="1"/>
      <c r="N24" s="1"/>
      <c r="O24" s="1"/>
      <c r="P24" s="1"/>
      <c r="Q24" s="1"/>
      <c r="R24" s="1"/>
      <c r="S24" s="1"/>
      <c r="T24" s="1">
        <v>0</v>
      </c>
      <c r="U24" s="1">
        <f t="shared" si="4"/>
        <v>40.357600000000005</v>
      </c>
      <c r="V24" s="5">
        <f>11*U24-T24-S24-R24-Q24-P24-O24-F24</f>
        <v>146.29460000000006</v>
      </c>
      <c r="W24" s="5">
        <f>V24</f>
        <v>146.29460000000006</v>
      </c>
      <c r="X24" s="5"/>
      <c r="Y24" s="5"/>
      <c r="Z24" s="1">
        <f t="shared" si="8"/>
        <v>11</v>
      </c>
      <c r="AA24" s="1">
        <f t="shared" si="6"/>
        <v>7.3750421234166543</v>
      </c>
      <c r="AB24" s="1">
        <v>31.3566</v>
      </c>
      <c r="AC24" s="1">
        <v>32.416400000000003</v>
      </c>
      <c r="AD24" s="1">
        <v>50.782600000000002</v>
      </c>
      <c r="AE24" s="1">
        <v>51.17</v>
      </c>
      <c r="AF24" s="1">
        <v>32.328000000000003</v>
      </c>
      <c r="AG24" s="1">
        <v>30.726199999999999</v>
      </c>
      <c r="AH24" s="1">
        <v>33.437800000000003</v>
      </c>
      <c r="AI24" s="1">
        <v>35.513399999999997</v>
      </c>
      <c r="AJ24" s="1">
        <v>47.424599999999998</v>
      </c>
      <c r="AK24" s="1">
        <v>33.419400000000003</v>
      </c>
      <c r="AL24" s="1"/>
      <c r="AM24" s="1">
        <f t="shared" si="7"/>
        <v>146</v>
      </c>
      <c r="AN24" t="s">
        <v>85</v>
      </c>
      <c r="AO24" s="1">
        <f t="shared" si="9"/>
        <v>0</v>
      </c>
    </row>
    <row r="25" spans="1:41" x14ac:dyDescent="0.25">
      <c r="A25" s="1" t="s">
        <v>86</v>
      </c>
      <c r="B25" s="1" t="s">
        <v>43</v>
      </c>
      <c r="C25" s="1">
        <v>550.005</v>
      </c>
      <c r="D25" s="1">
        <v>585.93700000000001</v>
      </c>
      <c r="E25" s="1">
        <v>453.916</v>
      </c>
      <c r="F25" s="1">
        <v>639.92999999999995</v>
      </c>
      <c r="G25" s="7">
        <v>1</v>
      </c>
      <c r="H25" s="1">
        <v>70</v>
      </c>
      <c r="I25" s="1" t="s">
        <v>44</v>
      </c>
      <c r="J25" s="1"/>
      <c r="K25" s="1">
        <v>436.6</v>
      </c>
      <c r="L25" s="1">
        <f t="shared" si="3"/>
        <v>17.315999999999974</v>
      </c>
      <c r="M25" s="1"/>
      <c r="N25" s="1"/>
      <c r="O25" s="1"/>
      <c r="P25" s="1"/>
      <c r="Q25" s="1"/>
      <c r="R25" s="1"/>
      <c r="S25" s="1"/>
      <c r="T25" s="1">
        <v>191.8520199999997</v>
      </c>
      <c r="U25" s="1">
        <f t="shared" si="4"/>
        <v>90.783199999999994</v>
      </c>
      <c r="V25" s="5">
        <f>11*U25-T25-S25-R25-Q25-P25-O25-F25</f>
        <v>166.83318000000031</v>
      </c>
      <c r="W25" s="5">
        <f>V25</f>
        <v>166.83318000000031</v>
      </c>
      <c r="X25" s="5"/>
      <c r="Y25" s="5"/>
      <c r="Z25" s="1">
        <f t="shared" si="8"/>
        <v>11</v>
      </c>
      <c r="AA25" s="1">
        <f t="shared" si="6"/>
        <v>9.1622901594127519</v>
      </c>
      <c r="AB25" s="1">
        <v>90.342600000000004</v>
      </c>
      <c r="AC25" s="1">
        <v>100.7072</v>
      </c>
      <c r="AD25" s="1">
        <v>100.1114</v>
      </c>
      <c r="AE25" s="1">
        <v>93.316600000000008</v>
      </c>
      <c r="AF25" s="1">
        <v>89.801999999999992</v>
      </c>
      <c r="AG25" s="1">
        <v>94.597799999999992</v>
      </c>
      <c r="AH25" s="1">
        <v>107.1392</v>
      </c>
      <c r="AI25" s="1">
        <v>102.1832</v>
      </c>
      <c r="AJ25" s="1">
        <v>88.741799999999998</v>
      </c>
      <c r="AK25" s="1">
        <v>100.90600000000001</v>
      </c>
      <c r="AL25" s="1"/>
      <c r="AM25" s="1">
        <f t="shared" si="7"/>
        <v>167</v>
      </c>
      <c r="AN25" t="s">
        <v>87</v>
      </c>
      <c r="AO25" s="1">
        <f t="shared" si="9"/>
        <v>0</v>
      </c>
    </row>
    <row r="26" spans="1:41" x14ac:dyDescent="0.25">
      <c r="A26" s="1" t="s">
        <v>88</v>
      </c>
      <c r="B26" s="1" t="s">
        <v>43</v>
      </c>
      <c r="C26" s="1">
        <v>744.38</v>
      </c>
      <c r="D26" s="1">
        <v>527.01700000000005</v>
      </c>
      <c r="E26" s="1">
        <v>698.52099999999996</v>
      </c>
      <c r="F26" s="1">
        <v>516.83799999999997</v>
      </c>
      <c r="G26" s="7">
        <v>1</v>
      </c>
      <c r="H26" s="1">
        <v>70</v>
      </c>
      <c r="I26" s="1" t="s">
        <v>44</v>
      </c>
      <c r="J26" s="1"/>
      <c r="K26" s="1">
        <v>684.18499999999995</v>
      </c>
      <c r="L26" s="1">
        <f t="shared" si="3"/>
        <v>14.336000000000013</v>
      </c>
      <c r="M26" s="1"/>
      <c r="N26" s="1"/>
      <c r="O26" s="1">
        <v>200</v>
      </c>
      <c r="P26" s="1"/>
      <c r="Q26" s="1"/>
      <c r="R26" s="1"/>
      <c r="S26" s="1"/>
      <c r="T26" s="1">
        <v>400.30580200000009</v>
      </c>
      <c r="U26" s="1">
        <f t="shared" si="4"/>
        <v>139.70419999999999</v>
      </c>
      <c r="V26" s="5">
        <f>11*U26-T26-S26-R26-Q26-P26-O26-F26</f>
        <v>419.60239799999977</v>
      </c>
      <c r="W26" s="5">
        <f>V26+$W$1*U26</f>
        <v>360.92663399999975</v>
      </c>
      <c r="X26" s="5"/>
      <c r="Y26" s="5"/>
      <c r="Z26" s="1">
        <f t="shared" si="8"/>
        <v>10.58</v>
      </c>
      <c r="AA26" s="1">
        <f t="shared" si="6"/>
        <v>7.9964940352544884</v>
      </c>
      <c r="AB26" s="1">
        <v>135.19220000000001</v>
      </c>
      <c r="AC26" s="1">
        <v>130.17939999999999</v>
      </c>
      <c r="AD26" s="1">
        <v>121.59180000000001</v>
      </c>
      <c r="AE26" s="1">
        <v>124.3712</v>
      </c>
      <c r="AF26" s="1">
        <v>128.39340000000001</v>
      </c>
      <c r="AG26" s="1">
        <v>130.5224</v>
      </c>
      <c r="AH26" s="1">
        <v>134.06620000000001</v>
      </c>
      <c r="AI26" s="1">
        <v>134.50720000000001</v>
      </c>
      <c r="AJ26" s="1">
        <v>124.1892</v>
      </c>
      <c r="AK26" s="1">
        <v>123.4182</v>
      </c>
      <c r="AL26" s="1"/>
      <c r="AM26" s="1">
        <f t="shared" si="7"/>
        <v>361</v>
      </c>
      <c r="AN26" t="s">
        <v>89</v>
      </c>
      <c r="AO26" s="1">
        <f t="shared" si="9"/>
        <v>0</v>
      </c>
    </row>
    <row r="27" spans="1:41" x14ac:dyDescent="0.25">
      <c r="A27" s="1" t="s">
        <v>90</v>
      </c>
      <c r="B27" s="1" t="s">
        <v>43</v>
      </c>
      <c r="C27" s="1">
        <v>87.543000000000006</v>
      </c>
      <c r="D27" s="1">
        <v>104.42700000000001</v>
      </c>
      <c r="E27" s="1">
        <v>142.755</v>
      </c>
      <c r="F27" s="1">
        <v>48.476999999999997</v>
      </c>
      <c r="G27" s="7">
        <v>1</v>
      </c>
      <c r="H27" s="1">
        <v>40</v>
      </c>
      <c r="I27" s="1" t="s">
        <v>44</v>
      </c>
      <c r="J27" s="1"/>
      <c r="K27" s="1">
        <v>138.5</v>
      </c>
      <c r="L27" s="1">
        <f t="shared" si="3"/>
        <v>4.2549999999999955</v>
      </c>
      <c r="M27" s="1"/>
      <c r="N27" s="1"/>
      <c r="O27" s="1"/>
      <c r="P27" s="1"/>
      <c r="Q27" s="1"/>
      <c r="R27" s="1"/>
      <c r="S27" s="1"/>
      <c r="T27" s="1">
        <v>20.81380000000004</v>
      </c>
      <c r="U27" s="1">
        <f t="shared" si="4"/>
        <v>28.550999999999998</v>
      </c>
      <c r="V27" s="5">
        <f>8*U27-T27-S27-R27-Q27-P27-O27-F27</f>
        <v>159.11719999999994</v>
      </c>
      <c r="W27" s="5">
        <f>V27</f>
        <v>159.11719999999994</v>
      </c>
      <c r="X27" s="5"/>
      <c r="Y27" s="5"/>
      <c r="Z27" s="1">
        <f t="shared" si="8"/>
        <v>7.9999999999999991</v>
      </c>
      <c r="AA27" s="1">
        <f t="shared" si="6"/>
        <v>2.4269132429687241</v>
      </c>
      <c r="AB27" s="1">
        <v>16.459599999999998</v>
      </c>
      <c r="AC27" s="1">
        <v>16.6052</v>
      </c>
      <c r="AD27" s="1">
        <v>15.1754</v>
      </c>
      <c r="AE27" s="1">
        <v>15.175800000000001</v>
      </c>
      <c r="AF27" s="1">
        <v>1.0192000000000001</v>
      </c>
      <c r="AG27" s="1">
        <v>0.87319999999999998</v>
      </c>
      <c r="AH27" s="1">
        <v>19.434200000000001</v>
      </c>
      <c r="AI27" s="1">
        <v>19.8704</v>
      </c>
      <c r="AJ27" s="1">
        <v>14.194000000000001</v>
      </c>
      <c r="AK27" s="1">
        <v>12.7166</v>
      </c>
      <c r="AL27" s="1"/>
      <c r="AM27" s="1">
        <f t="shared" si="7"/>
        <v>159</v>
      </c>
      <c r="AN27" t="s">
        <v>91</v>
      </c>
      <c r="AO27" s="1">
        <f t="shared" si="9"/>
        <v>0</v>
      </c>
    </row>
    <row r="28" spans="1:41" x14ac:dyDescent="0.25">
      <c r="A28" s="9" t="s">
        <v>92</v>
      </c>
      <c r="B28" s="9" t="s">
        <v>43</v>
      </c>
      <c r="C28" s="9">
        <v>-1.758</v>
      </c>
      <c r="D28" s="9"/>
      <c r="E28" s="9"/>
      <c r="F28" s="9">
        <v>-1.758</v>
      </c>
      <c r="G28" s="10">
        <v>0</v>
      </c>
      <c r="H28" s="9"/>
      <c r="I28" s="9" t="s">
        <v>58</v>
      </c>
      <c r="J28" s="9"/>
      <c r="K28" s="9"/>
      <c r="L28" s="9">
        <f t="shared" si="3"/>
        <v>0</v>
      </c>
      <c r="M28" s="9"/>
      <c r="N28" s="9"/>
      <c r="O28" s="9"/>
      <c r="P28" s="9"/>
      <c r="Q28" s="9"/>
      <c r="R28" s="9"/>
      <c r="S28" s="9"/>
      <c r="T28" s="9">
        <v>0</v>
      </c>
      <c r="U28" s="9">
        <f t="shared" si="4"/>
        <v>0</v>
      </c>
      <c r="V28" s="11"/>
      <c r="W28" s="5">
        <f>V28</f>
        <v>0</v>
      </c>
      <c r="X28" s="5"/>
      <c r="Y28" s="5"/>
      <c r="Z28" s="1" t="e">
        <f t="shared" si="8"/>
        <v>#DIV/0!</v>
      </c>
      <c r="AA28" s="9" t="e">
        <f t="shared" si="6"/>
        <v>#DIV/0!</v>
      </c>
      <c r="AB28" s="9">
        <v>0</v>
      </c>
      <c r="AC28" s="9">
        <v>0</v>
      </c>
      <c r="AD28" s="9">
        <v>0</v>
      </c>
      <c r="AE28" s="9">
        <v>0.35160000000000002</v>
      </c>
      <c r="AF28" s="9">
        <v>0.35160000000000002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/>
      <c r="AM28" s="1">
        <f t="shared" si="7"/>
        <v>0</v>
      </c>
      <c r="AO28" s="1">
        <f t="shared" si="9"/>
        <v>0</v>
      </c>
    </row>
    <row r="29" spans="1:41" x14ac:dyDescent="0.25">
      <c r="A29" s="1" t="s">
        <v>93</v>
      </c>
      <c r="B29" s="1" t="s">
        <v>43</v>
      </c>
      <c r="C29" s="1">
        <v>243.80099999999999</v>
      </c>
      <c r="D29" s="1">
        <v>230.19300000000001</v>
      </c>
      <c r="E29" s="1">
        <v>288.47800000000001</v>
      </c>
      <c r="F29" s="1">
        <v>146.74199999999999</v>
      </c>
      <c r="G29" s="7">
        <v>1</v>
      </c>
      <c r="H29" s="1">
        <v>30</v>
      </c>
      <c r="I29" s="1" t="s">
        <v>44</v>
      </c>
      <c r="J29" s="1"/>
      <c r="K29" s="1">
        <v>280.89999999999998</v>
      </c>
      <c r="L29" s="1">
        <f t="shared" si="3"/>
        <v>7.5780000000000314</v>
      </c>
      <c r="M29" s="1"/>
      <c r="N29" s="1"/>
      <c r="O29" s="1">
        <v>100</v>
      </c>
      <c r="P29" s="1"/>
      <c r="Q29" s="1"/>
      <c r="R29" s="1"/>
      <c r="S29" s="1"/>
      <c r="T29" s="1">
        <v>236.22349999999989</v>
      </c>
      <c r="U29" s="1">
        <f t="shared" si="4"/>
        <v>57.695599999999999</v>
      </c>
      <c r="V29" s="5">
        <f>11*U29-T29-S29-R29-Q29-P29-O29-F29</f>
        <v>151.68610000000015</v>
      </c>
      <c r="W29" s="5">
        <f>V29</f>
        <v>151.68610000000015</v>
      </c>
      <c r="X29" s="5"/>
      <c r="Y29" s="5"/>
      <c r="Z29" s="1">
        <f t="shared" si="8"/>
        <v>11</v>
      </c>
      <c r="AA29" s="1">
        <f t="shared" si="6"/>
        <v>8.3709242992533213</v>
      </c>
      <c r="AB29" s="1">
        <v>53.313800000000001</v>
      </c>
      <c r="AC29" s="1">
        <v>47.676200000000001</v>
      </c>
      <c r="AD29" s="1">
        <v>38.641599999999997</v>
      </c>
      <c r="AE29" s="1">
        <v>41.4846</v>
      </c>
      <c r="AF29" s="1">
        <v>49.220399999999998</v>
      </c>
      <c r="AG29" s="1">
        <v>39.5886</v>
      </c>
      <c r="AH29" s="1">
        <v>39.668999999999997</v>
      </c>
      <c r="AI29" s="1">
        <v>49.674999999999997</v>
      </c>
      <c r="AJ29" s="1">
        <v>52.338000000000001</v>
      </c>
      <c r="AK29" s="1">
        <v>27.1648</v>
      </c>
      <c r="AL29" s="1"/>
      <c r="AM29" s="1">
        <f t="shared" si="7"/>
        <v>152</v>
      </c>
      <c r="AN29" t="s">
        <v>94</v>
      </c>
      <c r="AO29" s="1">
        <f t="shared" si="9"/>
        <v>0</v>
      </c>
    </row>
    <row r="30" spans="1:41" x14ac:dyDescent="0.25">
      <c r="A30" s="1" t="s">
        <v>95</v>
      </c>
      <c r="B30" s="1" t="s">
        <v>43</v>
      </c>
      <c r="C30" s="1">
        <v>244.76499999999999</v>
      </c>
      <c r="D30" s="1">
        <v>216.727</v>
      </c>
      <c r="E30" s="1">
        <v>216.03299999999999</v>
      </c>
      <c r="F30" s="1">
        <v>226.29599999999999</v>
      </c>
      <c r="G30" s="7">
        <v>1</v>
      </c>
      <c r="H30" s="1">
        <v>40</v>
      </c>
      <c r="I30" s="1" t="s">
        <v>44</v>
      </c>
      <c r="J30" s="1"/>
      <c r="K30" s="1">
        <v>196.8</v>
      </c>
      <c r="L30" s="1">
        <f t="shared" si="3"/>
        <v>19.232999999999976</v>
      </c>
      <c r="M30" s="1"/>
      <c r="N30" s="1"/>
      <c r="O30" s="1"/>
      <c r="P30" s="1"/>
      <c r="Q30" s="1"/>
      <c r="R30" s="1"/>
      <c r="S30" s="1"/>
      <c r="T30" s="1">
        <v>113.3739120000001</v>
      </c>
      <c r="U30" s="1">
        <f t="shared" si="4"/>
        <v>43.206599999999995</v>
      </c>
      <c r="V30" s="5">
        <f>11*U30-T30-S30-R30-Q30-P30-O30-F30</f>
        <v>135.60268799999989</v>
      </c>
      <c r="W30" s="5">
        <f>V30</f>
        <v>135.60268799999989</v>
      </c>
      <c r="X30" s="5"/>
      <c r="Y30" s="5"/>
      <c r="Z30" s="1">
        <f t="shared" si="8"/>
        <v>11</v>
      </c>
      <c r="AA30" s="1">
        <f t="shared" si="6"/>
        <v>7.8615283776089786</v>
      </c>
      <c r="AB30" s="1">
        <v>39.3598</v>
      </c>
      <c r="AC30" s="1">
        <v>38.984400000000001</v>
      </c>
      <c r="AD30" s="1">
        <v>38.6952</v>
      </c>
      <c r="AE30" s="1">
        <v>38.327599999999997</v>
      </c>
      <c r="AF30" s="1">
        <v>37.422600000000003</v>
      </c>
      <c r="AG30" s="1">
        <v>35.545999999999999</v>
      </c>
      <c r="AH30" s="1">
        <v>35.754199999999997</v>
      </c>
      <c r="AI30" s="1">
        <v>41.111800000000002</v>
      </c>
      <c r="AJ30" s="1">
        <v>39.163600000000002</v>
      </c>
      <c r="AK30" s="1">
        <v>39.311599999999999</v>
      </c>
      <c r="AL30" s="1"/>
      <c r="AM30" s="1">
        <f t="shared" si="7"/>
        <v>136</v>
      </c>
      <c r="AN30" t="s">
        <v>96</v>
      </c>
      <c r="AO30" s="1">
        <f t="shared" si="9"/>
        <v>0</v>
      </c>
    </row>
    <row r="31" spans="1:41" x14ac:dyDescent="0.25">
      <c r="A31" s="1" t="s">
        <v>97</v>
      </c>
      <c r="B31" s="1" t="s">
        <v>43</v>
      </c>
      <c r="C31" s="1">
        <v>2299.5770000000002</v>
      </c>
      <c r="D31" s="1">
        <v>858.26400000000001</v>
      </c>
      <c r="E31" s="1">
        <v>2251.152</v>
      </c>
      <c r="F31" s="1">
        <v>627.12</v>
      </c>
      <c r="G31" s="7">
        <v>1</v>
      </c>
      <c r="H31" s="1">
        <v>30</v>
      </c>
      <c r="I31" s="1" t="s">
        <v>44</v>
      </c>
      <c r="J31" s="1"/>
      <c r="K31" s="1">
        <v>2157.5</v>
      </c>
      <c r="L31" s="1">
        <f t="shared" si="3"/>
        <v>93.652000000000044</v>
      </c>
      <c r="M31" s="1"/>
      <c r="N31" s="1"/>
      <c r="O31" s="1">
        <v>500</v>
      </c>
      <c r="P31" s="1"/>
      <c r="Q31" s="1">
        <v>1000</v>
      </c>
      <c r="R31" s="1"/>
      <c r="S31" s="1"/>
      <c r="T31" s="1">
        <v>550.71896800000059</v>
      </c>
      <c r="U31" s="1">
        <f t="shared" si="4"/>
        <v>450.23040000000003</v>
      </c>
      <c r="V31" s="5">
        <f>11*U31-T31-S31-R31-Q31-P31-O31-F31</f>
        <v>2274.6954319999995</v>
      </c>
      <c r="W31" s="5">
        <f>V31+$W$1*U31</f>
        <v>2085.5986639999996</v>
      </c>
      <c r="X31" s="5"/>
      <c r="Y31" s="5"/>
      <c r="Z31" s="1">
        <f t="shared" si="8"/>
        <v>10.58</v>
      </c>
      <c r="AA31" s="1">
        <f t="shared" si="6"/>
        <v>5.9477080357079402</v>
      </c>
      <c r="AB31" s="1">
        <v>427.48280000000011</v>
      </c>
      <c r="AC31" s="1">
        <v>418.57639999999998</v>
      </c>
      <c r="AD31" s="1">
        <v>396.39859999999999</v>
      </c>
      <c r="AE31" s="1">
        <v>378.3732</v>
      </c>
      <c r="AF31" s="1">
        <v>434.29799999999989</v>
      </c>
      <c r="AG31" s="1">
        <v>450.32920000000001</v>
      </c>
      <c r="AH31" s="1">
        <v>429.97359999999998</v>
      </c>
      <c r="AI31" s="1">
        <v>432.92399999999998</v>
      </c>
      <c r="AJ31" s="1">
        <v>405.47739999999999</v>
      </c>
      <c r="AK31" s="1">
        <v>435.78019999999998</v>
      </c>
      <c r="AL31" s="1"/>
      <c r="AM31" s="1">
        <f t="shared" si="7"/>
        <v>2086</v>
      </c>
      <c r="AN31" t="s">
        <v>98</v>
      </c>
      <c r="AO31" s="1">
        <f t="shared" si="9"/>
        <v>0</v>
      </c>
    </row>
    <row r="32" spans="1:41" x14ac:dyDescent="0.25">
      <c r="A32" s="9" t="s">
        <v>99</v>
      </c>
      <c r="B32" s="9" t="s">
        <v>43</v>
      </c>
      <c r="C32" s="9">
        <v>5.1740000000000004</v>
      </c>
      <c r="D32" s="9">
        <v>64.268000000000001</v>
      </c>
      <c r="E32" s="9">
        <v>19.966999999999999</v>
      </c>
      <c r="F32" s="9">
        <v>44.067</v>
      </c>
      <c r="G32" s="10">
        <v>0</v>
      </c>
      <c r="H32" s="9">
        <v>45</v>
      </c>
      <c r="I32" s="9" t="s">
        <v>58</v>
      </c>
      <c r="J32" s="9"/>
      <c r="K32" s="9">
        <v>29.9</v>
      </c>
      <c r="L32" s="9">
        <f t="shared" si="3"/>
        <v>-9.9329999999999998</v>
      </c>
      <c r="M32" s="9"/>
      <c r="N32" s="9"/>
      <c r="O32" s="9"/>
      <c r="P32" s="9"/>
      <c r="Q32" s="9"/>
      <c r="R32" s="9"/>
      <c r="S32" s="9"/>
      <c r="T32" s="9">
        <v>0</v>
      </c>
      <c r="U32" s="9">
        <f t="shared" si="4"/>
        <v>3.9933999999999998</v>
      </c>
      <c r="V32" s="11"/>
      <c r="W32" s="5">
        <f>V32</f>
        <v>0</v>
      </c>
      <c r="X32" s="5"/>
      <c r="Y32" s="5"/>
      <c r="Z32" s="1">
        <f t="shared" si="8"/>
        <v>11.034957680172285</v>
      </c>
      <c r="AA32" s="9">
        <f t="shared" si="6"/>
        <v>11.034957680172285</v>
      </c>
      <c r="AB32" s="9">
        <v>2.5615999999999999</v>
      </c>
      <c r="AC32" s="9">
        <v>5.5739999999999998</v>
      </c>
      <c r="AD32" s="9">
        <v>5.3944000000000001</v>
      </c>
      <c r="AE32" s="9">
        <v>2.9910000000000001</v>
      </c>
      <c r="AF32" s="9">
        <v>3.278</v>
      </c>
      <c r="AG32" s="9">
        <v>2.6667999999999998</v>
      </c>
      <c r="AH32" s="9">
        <v>3.2280000000000002</v>
      </c>
      <c r="AI32" s="9">
        <v>5.8651999999999997</v>
      </c>
      <c r="AJ32" s="9">
        <v>6.367</v>
      </c>
      <c r="AK32" s="9">
        <v>2.5865999999999998</v>
      </c>
      <c r="AL32" s="13" t="s">
        <v>100</v>
      </c>
      <c r="AM32" s="1">
        <f t="shared" si="7"/>
        <v>0</v>
      </c>
      <c r="AN32" t="s">
        <v>101</v>
      </c>
      <c r="AO32" s="1">
        <f t="shared" si="9"/>
        <v>0</v>
      </c>
    </row>
    <row r="33" spans="1:41" x14ac:dyDescent="0.25">
      <c r="A33" s="9" t="s">
        <v>102</v>
      </c>
      <c r="B33" s="9" t="s">
        <v>43</v>
      </c>
      <c r="C33" s="9">
        <v>37.204999999999998</v>
      </c>
      <c r="D33" s="9">
        <v>64.941000000000003</v>
      </c>
      <c r="E33" s="9">
        <v>101.502</v>
      </c>
      <c r="F33" s="9">
        <v>-0.186</v>
      </c>
      <c r="G33" s="10">
        <v>0</v>
      </c>
      <c r="H33" s="9">
        <v>40</v>
      </c>
      <c r="I33" s="9" t="s">
        <v>58</v>
      </c>
      <c r="J33" s="9"/>
      <c r="K33" s="9">
        <v>238.4</v>
      </c>
      <c r="L33" s="9">
        <f t="shared" si="3"/>
        <v>-136.89800000000002</v>
      </c>
      <c r="M33" s="9"/>
      <c r="N33" s="9"/>
      <c r="O33" s="9"/>
      <c r="P33" s="9"/>
      <c r="Q33" s="9"/>
      <c r="R33" s="9"/>
      <c r="S33" s="9"/>
      <c r="T33" s="9">
        <v>60.037199999999999</v>
      </c>
      <c r="U33" s="9">
        <f t="shared" si="4"/>
        <v>20.3004</v>
      </c>
      <c r="V33" s="11"/>
      <c r="W33" s="5">
        <f>V33</f>
        <v>0</v>
      </c>
      <c r="X33" s="5"/>
      <c r="Y33" s="5"/>
      <c r="Z33" s="1">
        <f t="shared" si="8"/>
        <v>2.9482768812437192</v>
      </c>
      <c r="AA33" s="9">
        <f t="shared" si="6"/>
        <v>2.9482768812437192</v>
      </c>
      <c r="AB33" s="9">
        <v>11.212</v>
      </c>
      <c r="AC33" s="9">
        <v>8.2512000000000008</v>
      </c>
      <c r="AD33" s="9">
        <v>7.6128</v>
      </c>
      <c r="AE33" s="9">
        <v>9.6614000000000004</v>
      </c>
      <c r="AF33" s="9">
        <v>3.0419999999999998</v>
      </c>
      <c r="AG33" s="9">
        <v>1.1419999999999999</v>
      </c>
      <c r="AH33" s="9">
        <v>3.5891999999999999</v>
      </c>
      <c r="AI33" s="9">
        <v>5.0362</v>
      </c>
      <c r="AJ33" s="9">
        <v>22.971</v>
      </c>
      <c r="AK33" s="9">
        <v>8.7968000000000011</v>
      </c>
      <c r="AL33" s="9"/>
      <c r="AM33" s="1">
        <f t="shared" si="7"/>
        <v>0</v>
      </c>
      <c r="AN33" t="s">
        <v>103</v>
      </c>
      <c r="AO33" s="1">
        <f t="shared" si="9"/>
        <v>0</v>
      </c>
    </row>
    <row r="34" spans="1:41" x14ac:dyDescent="0.25">
      <c r="A34" s="1" t="s">
        <v>104</v>
      </c>
      <c r="B34" s="1" t="s">
        <v>43</v>
      </c>
      <c r="C34" s="1">
        <v>807.74</v>
      </c>
      <c r="D34" s="1">
        <v>2713.4319999999998</v>
      </c>
      <c r="E34" s="1">
        <v>2719.1239999999998</v>
      </c>
      <c r="F34" s="1">
        <v>511.03</v>
      </c>
      <c r="G34" s="7">
        <v>1</v>
      </c>
      <c r="H34" s="1">
        <v>40</v>
      </c>
      <c r="I34" s="1" t="s">
        <v>44</v>
      </c>
      <c r="J34" s="1"/>
      <c r="K34" s="1">
        <v>2940.7</v>
      </c>
      <c r="L34" s="1">
        <f t="shared" si="3"/>
        <v>-221.57600000000002</v>
      </c>
      <c r="M34" s="1"/>
      <c r="N34" s="1"/>
      <c r="O34" s="1">
        <v>1300</v>
      </c>
      <c r="P34" s="1"/>
      <c r="Q34" s="1">
        <v>2000</v>
      </c>
      <c r="R34" s="1"/>
      <c r="S34" s="1"/>
      <c r="T34" s="1">
        <v>0</v>
      </c>
      <c r="U34" s="1">
        <f t="shared" si="4"/>
        <v>543.82479999999998</v>
      </c>
      <c r="V34" s="5">
        <f>11*U34-T34-S34-R34-Q34-P34-O34-F34</f>
        <v>2171.0428000000002</v>
      </c>
      <c r="W34" s="5">
        <f>V34+$W$1*U34</f>
        <v>1942.6363840000001</v>
      </c>
      <c r="X34" s="5">
        <v>-1944</v>
      </c>
      <c r="Y34" s="5"/>
      <c r="Z34" s="1">
        <f t="shared" si="8"/>
        <v>7.0053193307844737</v>
      </c>
      <c r="AA34" s="1">
        <f t="shared" si="6"/>
        <v>7.0078267853911775</v>
      </c>
      <c r="AB34" s="1">
        <v>632.09960000000001</v>
      </c>
      <c r="AC34" s="1">
        <v>771.26760000000002</v>
      </c>
      <c r="AD34" s="1">
        <v>511.33100000000002</v>
      </c>
      <c r="AE34" s="1">
        <v>199.14580000000001</v>
      </c>
      <c r="AF34" s="1">
        <v>179.42859999999999</v>
      </c>
      <c r="AG34" s="1">
        <v>420.00200000000012</v>
      </c>
      <c r="AH34" s="1">
        <v>606.72160000000008</v>
      </c>
      <c r="AI34" s="1">
        <v>622.55079999999998</v>
      </c>
      <c r="AJ34" s="1">
        <v>626.69579999999996</v>
      </c>
      <c r="AK34" s="1">
        <v>559.12</v>
      </c>
      <c r="AL34" s="1"/>
      <c r="AM34" s="1">
        <f t="shared" si="7"/>
        <v>1943</v>
      </c>
      <c r="AN34" t="s">
        <v>105</v>
      </c>
      <c r="AO34" s="1">
        <f t="shared" si="9"/>
        <v>0</v>
      </c>
    </row>
    <row r="35" spans="1:41" x14ac:dyDescent="0.25">
      <c r="A35" s="1" t="s">
        <v>106</v>
      </c>
      <c r="B35" s="1" t="s">
        <v>43</v>
      </c>
      <c r="C35" s="1">
        <v>326.37400000000002</v>
      </c>
      <c r="D35" s="1">
        <v>47.204000000000001</v>
      </c>
      <c r="E35" s="1">
        <v>277.17399999999998</v>
      </c>
      <c r="F35" s="1">
        <v>52.929000000000002</v>
      </c>
      <c r="G35" s="7">
        <v>1</v>
      </c>
      <c r="H35" s="1">
        <v>30</v>
      </c>
      <c r="I35" s="1" t="s">
        <v>44</v>
      </c>
      <c r="J35" s="1"/>
      <c r="K35" s="1">
        <v>270.5</v>
      </c>
      <c r="L35" s="1">
        <f t="shared" si="3"/>
        <v>6.6739999999999782</v>
      </c>
      <c r="M35" s="1"/>
      <c r="N35" s="1"/>
      <c r="O35" s="1"/>
      <c r="P35" s="1"/>
      <c r="Q35" s="1"/>
      <c r="R35" s="1"/>
      <c r="S35" s="1"/>
      <c r="T35" s="1">
        <v>240.01886400000009</v>
      </c>
      <c r="U35" s="1">
        <f t="shared" si="4"/>
        <v>55.434799999999996</v>
      </c>
      <c r="V35" s="5">
        <f>11*U35-T35-S35-R35-Q35-P35-O35-F35</f>
        <v>316.83493599999986</v>
      </c>
      <c r="W35" s="5">
        <f>V35</f>
        <v>316.83493599999986</v>
      </c>
      <c r="X35" s="5"/>
      <c r="Y35" s="5"/>
      <c r="Z35" s="1">
        <f t="shared" si="8"/>
        <v>11</v>
      </c>
      <c r="AA35" s="1">
        <f t="shared" si="6"/>
        <v>5.284548045631988</v>
      </c>
      <c r="AB35" s="1">
        <v>52.496000000000002</v>
      </c>
      <c r="AC35" s="1">
        <v>46.775199999999998</v>
      </c>
      <c r="AD35" s="1">
        <v>42.855600000000003</v>
      </c>
      <c r="AE35" s="1">
        <v>50.501600000000003</v>
      </c>
      <c r="AF35" s="1">
        <v>53.412799999999997</v>
      </c>
      <c r="AG35" s="1">
        <v>50.7288</v>
      </c>
      <c r="AH35" s="1">
        <v>48.586599999999997</v>
      </c>
      <c r="AI35" s="1">
        <v>45.2286</v>
      </c>
      <c r="AJ35" s="1">
        <v>43.9176</v>
      </c>
      <c r="AK35" s="1">
        <v>47.580399999999997</v>
      </c>
      <c r="AL35" s="1"/>
      <c r="AM35" s="1">
        <f t="shared" si="7"/>
        <v>317</v>
      </c>
      <c r="AN35" t="s">
        <v>107</v>
      </c>
      <c r="AO35" s="1">
        <f t="shared" si="9"/>
        <v>0</v>
      </c>
    </row>
    <row r="36" spans="1:41" x14ac:dyDescent="0.25">
      <c r="A36" s="1" t="s">
        <v>108</v>
      </c>
      <c r="B36" s="1" t="s">
        <v>51</v>
      </c>
      <c r="C36" s="1">
        <v>4800</v>
      </c>
      <c r="D36" s="1">
        <v>2785</v>
      </c>
      <c r="E36" s="1">
        <v>4231.7929999999997</v>
      </c>
      <c r="F36" s="1">
        <v>2901.2069999999999</v>
      </c>
      <c r="G36" s="7">
        <v>0.4</v>
      </c>
      <c r="H36" s="1">
        <v>45</v>
      </c>
      <c r="I36" s="1" t="s">
        <v>44</v>
      </c>
      <c r="J36" s="1"/>
      <c r="K36" s="1">
        <v>4282</v>
      </c>
      <c r="L36" s="1">
        <f t="shared" si="3"/>
        <v>-50.207000000000335</v>
      </c>
      <c r="M36" s="1"/>
      <c r="N36" s="1"/>
      <c r="O36" s="1">
        <v>1300</v>
      </c>
      <c r="P36" s="1"/>
      <c r="Q36" s="1">
        <v>1000</v>
      </c>
      <c r="R36" s="1"/>
      <c r="S36" s="1"/>
      <c r="T36" s="1">
        <v>803.05729000000304</v>
      </c>
      <c r="U36" s="1">
        <f t="shared" si="4"/>
        <v>846.35859999999991</v>
      </c>
      <c r="V36" s="5">
        <f>11*U36-T36-S36-R36-Q36-P36-O36-F36</f>
        <v>3305.6803099999966</v>
      </c>
      <c r="W36" s="5">
        <f>V36+$W$1*U36</f>
        <v>2950.2096979999965</v>
      </c>
      <c r="X36" s="5">
        <v>-2951.9999999999995</v>
      </c>
      <c r="Y36" s="5"/>
      <c r="Z36" s="1">
        <f t="shared" si="8"/>
        <v>7.0921167316076197</v>
      </c>
      <c r="AA36" s="1">
        <f t="shared" si="6"/>
        <v>7.0942320311981284</v>
      </c>
      <c r="AB36" s="1">
        <v>867.75859999999989</v>
      </c>
      <c r="AC36" s="1">
        <v>893.8</v>
      </c>
      <c r="AD36" s="1">
        <v>890.8</v>
      </c>
      <c r="AE36" s="1">
        <v>822.8</v>
      </c>
      <c r="AF36" s="1">
        <v>878.2</v>
      </c>
      <c r="AG36" s="1">
        <v>947.2</v>
      </c>
      <c r="AH36" s="1">
        <v>847.2</v>
      </c>
      <c r="AI36" s="1">
        <v>844.8</v>
      </c>
      <c r="AJ36" s="1">
        <v>866.6</v>
      </c>
      <c r="AK36" s="1">
        <v>846.4</v>
      </c>
      <c r="AL36" s="1"/>
      <c r="AM36" s="1">
        <f t="shared" si="7"/>
        <v>1180</v>
      </c>
      <c r="AN36" t="s">
        <v>109</v>
      </c>
      <c r="AO36" s="1">
        <f t="shared" si="9"/>
        <v>0</v>
      </c>
    </row>
    <row r="37" spans="1:41" x14ac:dyDescent="0.25">
      <c r="A37" s="1" t="s">
        <v>110</v>
      </c>
      <c r="B37" s="1" t="s">
        <v>51</v>
      </c>
      <c r="C37" s="1">
        <v>628</v>
      </c>
      <c r="D37" s="1">
        <v>471</v>
      </c>
      <c r="E37" s="1">
        <v>462</v>
      </c>
      <c r="F37" s="1">
        <v>599</v>
      </c>
      <c r="G37" s="7">
        <v>0.45</v>
      </c>
      <c r="H37" s="1">
        <v>50</v>
      </c>
      <c r="I37" s="1" t="s">
        <v>44</v>
      </c>
      <c r="J37" s="1"/>
      <c r="K37" s="1">
        <v>466</v>
      </c>
      <c r="L37" s="1">
        <f t="shared" si="3"/>
        <v>-4</v>
      </c>
      <c r="M37" s="1"/>
      <c r="N37" s="1"/>
      <c r="O37" s="1"/>
      <c r="P37" s="1"/>
      <c r="Q37" s="1"/>
      <c r="R37" s="1"/>
      <c r="S37" s="1"/>
      <c r="T37" s="1">
        <v>293.73</v>
      </c>
      <c r="U37" s="1">
        <f t="shared" si="4"/>
        <v>92.4</v>
      </c>
      <c r="V37" s="5">
        <f>11*U37-T37-S37-R37-Q37-P37-O37-F37</f>
        <v>123.67000000000007</v>
      </c>
      <c r="W37" s="5">
        <f>V37</f>
        <v>123.67000000000007</v>
      </c>
      <c r="X37" s="5"/>
      <c r="Y37" s="5"/>
      <c r="Z37" s="1">
        <f t="shared" si="8"/>
        <v>11</v>
      </c>
      <c r="AA37" s="1">
        <f t="shared" si="6"/>
        <v>9.661580086580086</v>
      </c>
      <c r="AB37" s="1">
        <v>96.2</v>
      </c>
      <c r="AC37" s="1">
        <v>96</v>
      </c>
      <c r="AD37" s="1">
        <v>109.6</v>
      </c>
      <c r="AE37" s="1">
        <v>100.2</v>
      </c>
      <c r="AF37" s="1">
        <v>83.2</v>
      </c>
      <c r="AG37" s="1">
        <v>89.6</v>
      </c>
      <c r="AH37" s="1">
        <v>100.4</v>
      </c>
      <c r="AI37" s="1">
        <v>92.2</v>
      </c>
      <c r="AJ37" s="1">
        <v>86.8</v>
      </c>
      <c r="AK37" s="1">
        <v>84.4</v>
      </c>
      <c r="AL37" s="1"/>
      <c r="AM37" s="1">
        <f t="shared" si="7"/>
        <v>56</v>
      </c>
      <c r="AN37" t="s">
        <v>111</v>
      </c>
      <c r="AO37" s="1">
        <f t="shared" si="9"/>
        <v>0</v>
      </c>
    </row>
    <row r="38" spans="1:41" x14ac:dyDescent="0.25">
      <c r="A38" s="1" t="s">
        <v>112</v>
      </c>
      <c r="B38" s="1" t="s">
        <v>51</v>
      </c>
      <c r="C38" s="1">
        <v>1159</v>
      </c>
      <c r="D38" s="1">
        <v>694</v>
      </c>
      <c r="E38" s="1">
        <v>1036</v>
      </c>
      <c r="F38" s="1">
        <v>720</v>
      </c>
      <c r="G38" s="7">
        <v>0.4</v>
      </c>
      <c r="H38" s="1">
        <v>45</v>
      </c>
      <c r="I38" s="1" t="s">
        <v>44</v>
      </c>
      <c r="J38" s="1"/>
      <c r="K38" s="1">
        <v>1071</v>
      </c>
      <c r="L38" s="1">
        <f t="shared" ref="L38:L69" si="11">E38-K38</f>
        <v>-35</v>
      </c>
      <c r="M38" s="1"/>
      <c r="N38" s="1"/>
      <c r="O38" s="1">
        <v>500</v>
      </c>
      <c r="P38" s="1"/>
      <c r="Q38" s="1"/>
      <c r="R38" s="1"/>
      <c r="S38" s="1"/>
      <c r="T38" s="1">
        <v>159.96480000000111</v>
      </c>
      <c r="U38" s="1">
        <f t="shared" ref="U38:U69" si="12">E38/5</f>
        <v>207.2</v>
      </c>
      <c r="V38" s="5">
        <f>11*U38-T38-S38-R38-Q38-P38-O38-F38</f>
        <v>899.23519999999871</v>
      </c>
      <c r="W38" s="5">
        <f>V38+$W$1*U38</f>
        <v>812.21119999999871</v>
      </c>
      <c r="X38" s="5"/>
      <c r="Y38" s="5"/>
      <c r="Z38" s="1">
        <f t="shared" si="8"/>
        <v>10.58</v>
      </c>
      <c r="AA38" s="1">
        <f t="shared" ref="AA38:AA69" si="13">(F38+O38+P38+Q38+R38+S38+T38)/U38</f>
        <v>6.6600617760617817</v>
      </c>
      <c r="AB38" s="1">
        <v>223</v>
      </c>
      <c r="AC38" s="1">
        <v>237.2</v>
      </c>
      <c r="AD38" s="1">
        <v>222</v>
      </c>
      <c r="AE38" s="1">
        <v>213.2</v>
      </c>
      <c r="AF38" s="1">
        <v>223.6</v>
      </c>
      <c r="AG38" s="1">
        <v>220.6</v>
      </c>
      <c r="AH38" s="1">
        <v>223.6</v>
      </c>
      <c r="AI38" s="1">
        <v>229.8</v>
      </c>
      <c r="AJ38" s="1">
        <v>232.6</v>
      </c>
      <c r="AK38" s="1">
        <v>209</v>
      </c>
      <c r="AL38" s="1"/>
      <c r="AM38" s="1">
        <f t="shared" ref="AM38:AM69" si="14">ROUND(G38*W38,0)</f>
        <v>325</v>
      </c>
      <c r="AN38" t="s">
        <v>113</v>
      </c>
      <c r="AO38" s="1">
        <f t="shared" si="9"/>
        <v>0</v>
      </c>
    </row>
    <row r="39" spans="1:41" x14ac:dyDescent="0.25">
      <c r="A39" s="1" t="s">
        <v>114</v>
      </c>
      <c r="B39" s="1" t="s">
        <v>51</v>
      </c>
      <c r="C39" s="1">
        <v>35</v>
      </c>
      <c r="D39" s="1"/>
      <c r="E39" s="1">
        <v>7</v>
      </c>
      <c r="F39" s="1">
        <v>25</v>
      </c>
      <c r="G39" s="7">
        <v>0.4</v>
      </c>
      <c r="H39" s="1">
        <v>40</v>
      </c>
      <c r="I39" s="1" t="s">
        <v>44</v>
      </c>
      <c r="J39" s="1"/>
      <c r="K39" s="1">
        <v>7</v>
      </c>
      <c r="L39" s="1">
        <f t="shared" si="11"/>
        <v>0</v>
      </c>
      <c r="M39" s="1"/>
      <c r="N39" s="1"/>
      <c r="O39" s="1"/>
      <c r="P39" s="1"/>
      <c r="Q39" s="1"/>
      <c r="R39" s="1"/>
      <c r="S39" s="1"/>
      <c r="T39" s="1">
        <v>0</v>
      </c>
      <c r="U39" s="1">
        <f t="shared" si="12"/>
        <v>1.4</v>
      </c>
      <c r="V39" s="5"/>
      <c r="W39" s="5">
        <f t="shared" ref="W39:W46" si="15">V39</f>
        <v>0</v>
      </c>
      <c r="X39" s="5"/>
      <c r="Y39" s="5"/>
      <c r="Z39" s="1">
        <f t="shared" si="8"/>
        <v>17.857142857142858</v>
      </c>
      <c r="AA39" s="1">
        <f t="shared" si="13"/>
        <v>17.857142857142858</v>
      </c>
      <c r="AB39" s="1">
        <v>2.8</v>
      </c>
      <c r="AC39" s="1">
        <v>2.6</v>
      </c>
      <c r="AD39" s="1">
        <v>0.2</v>
      </c>
      <c r="AE39" s="1">
        <v>0.4</v>
      </c>
      <c r="AF39" s="1">
        <v>1</v>
      </c>
      <c r="AG39" s="1">
        <v>3.8</v>
      </c>
      <c r="AH39" s="1">
        <v>3.8</v>
      </c>
      <c r="AI39" s="1">
        <v>0.6</v>
      </c>
      <c r="AJ39" s="1">
        <v>0.2</v>
      </c>
      <c r="AK39" s="1">
        <v>1.8</v>
      </c>
      <c r="AL39" s="1"/>
      <c r="AM39" s="1">
        <f t="shared" si="14"/>
        <v>0</v>
      </c>
      <c r="AN39" t="s">
        <v>115</v>
      </c>
      <c r="AO39" s="1">
        <f t="shared" si="9"/>
        <v>0</v>
      </c>
    </row>
    <row r="40" spans="1:41" x14ac:dyDescent="0.25">
      <c r="A40" s="1" t="s">
        <v>116</v>
      </c>
      <c r="B40" s="1" t="s">
        <v>43</v>
      </c>
      <c r="C40" s="1">
        <v>474.005</v>
      </c>
      <c r="D40" s="1">
        <v>157.07599999999999</v>
      </c>
      <c r="E40" s="1">
        <v>240.953</v>
      </c>
      <c r="F40" s="1">
        <v>357.68700000000001</v>
      </c>
      <c r="G40" s="7">
        <v>1</v>
      </c>
      <c r="H40" s="1">
        <v>45</v>
      </c>
      <c r="I40" s="1" t="s">
        <v>44</v>
      </c>
      <c r="J40" s="1"/>
      <c r="K40" s="1">
        <v>233.35</v>
      </c>
      <c r="L40" s="1">
        <f t="shared" si="11"/>
        <v>7.6030000000000086</v>
      </c>
      <c r="M40" s="1"/>
      <c r="N40" s="1"/>
      <c r="O40" s="1"/>
      <c r="P40" s="1"/>
      <c r="Q40" s="1"/>
      <c r="R40" s="1"/>
      <c r="S40" s="1"/>
      <c r="T40" s="1">
        <v>150.45237800000021</v>
      </c>
      <c r="U40" s="1">
        <f t="shared" si="12"/>
        <v>48.190600000000003</v>
      </c>
      <c r="V40" s="5">
        <f>11*U40-T40-S40-R40-Q40-P40-O40-F40</f>
        <v>21.957221999999888</v>
      </c>
      <c r="W40" s="5">
        <f t="shared" si="15"/>
        <v>21.957221999999888</v>
      </c>
      <c r="X40" s="5"/>
      <c r="Y40" s="5"/>
      <c r="Z40" s="1">
        <f t="shared" si="8"/>
        <v>11</v>
      </c>
      <c r="AA40" s="1">
        <f t="shared" si="13"/>
        <v>10.544367117238634</v>
      </c>
      <c r="AB40" s="1">
        <v>52.069800000000001</v>
      </c>
      <c r="AC40" s="1">
        <v>54.658799999999999</v>
      </c>
      <c r="AD40" s="1">
        <v>61.988999999999997</v>
      </c>
      <c r="AE40" s="1">
        <v>65.972999999999999</v>
      </c>
      <c r="AF40" s="1">
        <v>63.581400000000002</v>
      </c>
      <c r="AG40" s="1">
        <v>50.510399999999997</v>
      </c>
      <c r="AH40" s="1">
        <v>50.273200000000003</v>
      </c>
      <c r="AI40" s="1">
        <v>57.129399999999997</v>
      </c>
      <c r="AJ40" s="1">
        <v>54.578599999999987</v>
      </c>
      <c r="AK40" s="1">
        <v>50.101999999999997</v>
      </c>
      <c r="AL40" s="1"/>
      <c r="AM40" s="1">
        <f t="shared" si="14"/>
        <v>22</v>
      </c>
      <c r="AN40" t="s">
        <v>117</v>
      </c>
      <c r="AO40" s="1">
        <f t="shared" si="9"/>
        <v>0</v>
      </c>
    </row>
    <row r="41" spans="1:41" x14ac:dyDescent="0.25">
      <c r="A41" s="1" t="s">
        <v>118</v>
      </c>
      <c r="B41" s="1" t="s">
        <v>51</v>
      </c>
      <c r="C41" s="1">
        <v>1612</v>
      </c>
      <c r="D41" s="1"/>
      <c r="E41" s="1">
        <v>232</v>
      </c>
      <c r="F41" s="1">
        <v>1348</v>
      </c>
      <c r="G41" s="7">
        <v>0.1</v>
      </c>
      <c r="H41" s="1">
        <v>731</v>
      </c>
      <c r="I41" s="1" t="s">
        <v>44</v>
      </c>
      <c r="J41" s="1"/>
      <c r="K41" s="1">
        <v>226</v>
      </c>
      <c r="L41" s="1">
        <f t="shared" si="11"/>
        <v>6</v>
      </c>
      <c r="M41" s="1"/>
      <c r="N41" s="1"/>
      <c r="O41" s="1"/>
      <c r="P41" s="1"/>
      <c r="Q41" s="1"/>
      <c r="R41" s="1"/>
      <c r="S41" s="1"/>
      <c r="T41" s="1">
        <v>0</v>
      </c>
      <c r="U41" s="1">
        <f t="shared" si="12"/>
        <v>46.4</v>
      </c>
      <c r="V41" s="5"/>
      <c r="W41" s="5">
        <f t="shared" si="15"/>
        <v>0</v>
      </c>
      <c r="X41" s="5"/>
      <c r="Y41" s="5"/>
      <c r="Z41" s="1">
        <f t="shared" si="8"/>
        <v>29.051724137931036</v>
      </c>
      <c r="AA41" s="1">
        <f t="shared" si="13"/>
        <v>29.051724137931036</v>
      </c>
      <c r="AB41" s="1">
        <v>46.8</v>
      </c>
      <c r="AC41" s="1">
        <v>53.2</v>
      </c>
      <c r="AD41" s="1">
        <v>56.4</v>
      </c>
      <c r="AE41" s="1">
        <v>54</v>
      </c>
      <c r="AF41" s="1">
        <v>48.6</v>
      </c>
      <c r="AG41" s="1">
        <v>61.8</v>
      </c>
      <c r="AH41" s="1">
        <v>66</v>
      </c>
      <c r="AI41" s="1">
        <v>51</v>
      </c>
      <c r="AJ41" s="1">
        <v>44.4</v>
      </c>
      <c r="AK41" s="1">
        <v>57.4</v>
      </c>
      <c r="AL41" s="12" t="s">
        <v>119</v>
      </c>
      <c r="AM41" s="1">
        <f t="shared" si="14"/>
        <v>0</v>
      </c>
      <c r="AN41" t="s">
        <v>120</v>
      </c>
      <c r="AO41" s="1">
        <f t="shared" si="9"/>
        <v>0</v>
      </c>
    </row>
    <row r="42" spans="1:41" x14ac:dyDescent="0.25">
      <c r="A42" s="1" t="s">
        <v>121</v>
      </c>
      <c r="B42" s="1" t="s">
        <v>51</v>
      </c>
      <c r="C42" s="1">
        <v>256</v>
      </c>
      <c r="D42" s="1">
        <v>391</v>
      </c>
      <c r="E42" s="1">
        <v>223</v>
      </c>
      <c r="F42" s="1">
        <v>401</v>
      </c>
      <c r="G42" s="7">
        <v>0.35</v>
      </c>
      <c r="H42" s="1">
        <v>40</v>
      </c>
      <c r="I42" s="1" t="s">
        <v>44</v>
      </c>
      <c r="J42" s="1"/>
      <c r="K42" s="1">
        <v>236</v>
      </c>
      <c r="L42" s="1">
        <f t="shared" si="11"/>
        <v>-13</v>
      </c>
      <c r="M42" s="1"/>
      <c r="N42" s="1"/>
      <c r="O42" s="1"/>
      <c r="P42" s="1"/>
      <c r="Q42" s="1"/>
      <c r="R42" s="1"/>
      <c r="S42" s="1"/>
      <c r="T42" s="1">
        <v>60.744000000000142</v>
      </c>
      <c r="U42" s="1">
        <f t="shared" si="12"/>
        <v>44.6</v>
      </c>
      <c r="V42" s="5">
        <f>11*U42-T42-S42-R42-Q42-P42-O42-F42</f>
        <v>28.855999999999881</v>
      </c>
      <c r="W42" s="5">
        <f t="shared" si="15"/>
        <v>28.855999999999881</v>
      </c>
      <c r="X42" s="5"/>
      <c r="Y42" s="5"/>
      <c r="Z42" s="1">
        <f t="shared" si="8"/>
        <v>11</v>
      </c>
      <c r="AA42" s="1">
        <f t="shared" si="13"/>
        <v>10.353004484304936</v>
      </c>
      <c r="AB42" s="1">
        <v>46.4</v>
      </c>
      <c r="AC42" s="1">
        <v>55.6</v>
      </c>
      <c r="AD42" s="1">
        <v>56.6</v>
      </c>
      <c r="AE42" s="1">
        <v>52.8</v>
      </c>
      <c r="AF42" s="1">
        <v>57</v>
      </c>
      <c r="AG42" s="1">
        <v>43</v>
      </c>
      <c r="AH42" s="1">
        <v>47.6</v>
      </c>
      <c r="AI42" s="1">
        <v>54.6</v>
      </c>
      <c r="AJ42" s="1">
        <v>47.6</v>
      </c>
      <c r="AK42" s="1">
        <v>45</v>
      </c>
      <c r="AL42" s="1"/>
      <c r="AM42" s="1">
        <f t="shared" si="14"/>
        <v>10</v>
      </c>
      <c r="AN42" t="s">
        <v>122</v>
      </c>
      <c r="AO42" s="1">
        <f t="shared" si="9"/>
        <v>0</v>
      </c>
    </row>
    <row r="43" spans="1:41" x14ac:dyDescent="0.25">
      <c r="A43" s="1" t="s">
        <v>123</v>
      </c>
      <c r="B43" s="1" t="s">
        <v>43</v>
      </c>
      <c r="C43" s="1">
        <v>20.626999999999999</v>
      </c>
      <c r="D43" s="1">
        <v>108.956</v>
      </c>
      <c r="E43" s="1">
        <v>39.850999999999999</v>
      </c>
      <c r="F43" s="1">
        <v>87.558999999999997</v>
      </c>
      <c r="G43" s="7">
        <v>1</v>
      </c>
      <c r="H43" s="1">
        <v>40</v>
      </c>
      <c r="I43" s="1" t="s">
        <v>44</v>
      </c>
      <c r="J43" s="1"/>
      <c r="K43" s="1">
        <v>42.7</v>
      </c>
      <c r="L43" s="1">
        <f t="shared" si="11"/>
        <v>-2.8490000000000038</v>
      </c>
      <c r="M43" s="1"/>
      <c r="N43" s="1"/>
      <c r="O43" s="1"/>
      <c r="P43" s="1"/>
      <c r="Q43" s="1"/>
      <c r="R43" s="1"/>
      <c r="S43" s="1"/>
      <c r="T43" s="1">
        <v>14.74910000000002</v>
      </c>
      <c r="U43" s="1">
        <f t="shared" si="12"/>
        <v>7.9702000000000002</v>
      </c>
      <c r="V43" s="5"/>
      <c r="W43" s="5">
        <f t="shared" si="15"/>
        <v>0</v>
      </c>
      <c r="X43" s="5"/>
      <c r="Y43" s="5"/>
      <c r="Z43" s="1">
        <f t="shared" si="8"/>
        <v>12.836327821133725</v>
      </c>
      <c r="AA43" s="1">
        <f t="shared" si="13"/>
        <v>12.836327821133725</v>
      </c>
      <c r="AB43" s="1">
        <v>9.6010000000000009</v>
      </c>
      <c r="AC43" s="1">
        <v>10.6218</v>
      </c>
      <c r="AD43" s="1">
        <v>8.5141999999999989</v>
      </c>
      <c r="AE43" s="1">
        <v>5.8933999999999997</v>
      </c>
      <c r="AF43" s="1">
        <v>7.8151999999999999</v>
      </c>
      <c r="AG43" s="1">
        <v>7.2846000000000002</v>
      </c>
      <c r="AH43" s="1">
        <v>9.9352</v>
      </c>
      <c r="AI43" s="1">
        <v>11.954800000000001</v>
      </c>
      <c r="AJ43" s="1">
        <v>9.5638000000000005</v>
      </c>
      <c r="AK43" s="1">
        <v>10.995200000000001</v>
      </c>
      <c r="AL43" s="1"/>
      <c r="AM43" s="1">
        <f t="shared" si="14"/>
        <v>0</v>
      </c>
      <c r="AN43" t="s">
        <v>124</v>
      </c>
      <c r="AO43" s="1">
        <f t="shared" si="9"/>
        <v>0</v>
      </c>
    </row>
    <row r="44" spans="1:41" x14ac:dyDescent="0.25">
      <c r="A44" s="1" t="s">
        <v>125</v>
      </c>
      <c r="B44" s="1" t="s">
        <v>51</v>
      </c>
      <c r="C44" s="1">
        <v>87</v>
      </c>
      <c r="D44" s="1">
        <v>153</v>
      </c>
      <c r="E44" s="1">
        <v>164</v>
      </c>
      <c r="F44" s="1">
        <v>56</v>
      </c>
      <c r="G44" s="7">
        <v>0.4</v>
      </c>
      <c r="H44" s="1">
        <v>40</v>
      </c>
      <c r="I44" s="1" t="s">
        <v>44</v>
      </c>
      <c r="J44" s="1"/>
      <c r="K44" s="1">
        <v>224</v>
      </c>
      <c r="L44" s="1">
        <f t="shared" si="11"/>
        <v>-60</v>
      </c>
      <c r="M44" s="1"/>
      <c r="N44" s="1"/>
      <c r="O44" s="1"/>
      <c r="P44" s="1"/>
      <c r="Q44" s="1"/>
      <c r="R44" s="1"/>
      <c r="S44" s="1"/>
      <c r="T44" s="1">
        <v>234.89199999999991</v>
      </c>
      <c r="U44" s="1">
        <f t="shared" si="12"/>
        <v>32.799999999999997</v>
      </c>
      <c r="V44" s="5">
        <f t="shared" ref="V44:V49" si="16">11*U44-T44-S44-R44-Q44-P44-O44-F44</f>
        <v>69.908000000000044</v>
      </c>
      <c r="W44" s="5">
        <f t="shared" si="15"/>
        <v>69.908000000000044</v>
      </c>
      <c r="X44" s="5">
        <v>-72</v>
      </c>
      <c r="Y44" s="5"/>
      <c r="Z44" s="1">
        <f t="shared" si="8"/>
        <v>8.8048780487804876</v>
      </c>
      <c r="AA44" s="1">
        <f t="shared" si="13"/>
        <v>8.8686585365853645</v>
      </c>
      <c r="AB44" s="1">
        <v>44.6</v>
      </c>
      <c r="AC44" s="1">
        <v>38.6</v>
      </c>
      <c r="AD44" s="1">
        <v>36.200000000000003</v>
      </c>
      <c r="AE44" s="1">
        <v>42.2</v>
      </c>
      <c r="AF44" s="1">
        <v>47.8</v>
      </c>
      <c r="AG44" s="1">
        <v>56.4</v>
      </c>
      <c r="AH44" s="1">
        <v>47.8</v>
      </c>
      <c r="AI44" s="1">
        <v>38</v>
      </c>
      <c r="AJ44" s="1">
        <v>48.6</v>
      </c>
      <c r="AK44" s="1">
        <v>34.4</v>
      </c>
      <c r="AL44" s="1"/>
      <c r="AM44" s="1">
        <f t="shared" si="14"/>
        <v>28</v>
      </c>
      <c r="AN44" t="s">
        <v>126</v>
      </c>
      <c r="AO44" s="1">
        <f t="shared" si="9"/>
        <v>0</v>
      </c>
    </row>
    <row r="45" spans="1:41" x14ac:dyDescent="0.25">
      <c r="A45" s="1" t="s">
        <v>127</v>
      </c>
      <c r="B45" s="1" t="s">
        <v>51</v>
      </c>
      <c r="C45" s="1">
        <v>268</v>
      </c>
      <c r="D45" s="1">
        <v>78</v>
      </c>
      <c r="E45" s="1">
        <v>287</v>
      </c>
      <c r="F45" s="1">
        <v>41</v>
      </c>
      <c r="G45" s="7">
        <v>0.4</v>
      </c>
      <c r="H45" s="1">
        <v>45</v>
      </c>
      <c r="I45" s="1" t="s">
        <v>44</v>
      </c>
      <c r="J45" s="1"/>
      <c r="K45" s="1">
        <v>301</v>
      </c>
      <c r="L45" s="1">
        <f t="shared" si="11"/>
        <v>-14</v>
      </c>
      <c r="M45" s="1"/>
      <c r="N45" s="1"/>
      <c r="O45" s="1"/>
      <c r="P45" s="1"/>
      <c r="Q45" s="1"/>
      <c r="R45" s="1"/>
      <c r="S45" s="1"/>
      <c r="T45" s="1">
        <v>254.196</v>
      </c>
      <c r="U45" s="1">
        <f t="shared" si="12"/>
        <v>57.4</v>
      </c>
      <c r="V45" s="5">
        <f t="shared" si="16"/>
        <v>336.20399999999995</v>
      </c>
      <c r="W45" s="5">
        <f t="shared" si="15"/>
        <v>336.20399999999995</v>
      </c>
      <c r="X45" s="5">
        <v>-336</v>
      </c>
      <c r="Y45" s="5"/>
      <c r="Z45" s="1">
        <f t="shared" si="8"/>
        <v>5.1463414634146343</v>
      </c>
      <c r="AA45" s="1">
        <f t="shared" si="13"/>
        <v>5.1427874564459932</v>
      </c>
      <c r="AB45" s="1">
        <v>39.6</v>
      </c>
      <c r="AC45" s="1">
        <v>35.4</v>
      </c>
      <c r="AD45" s="1">
        <v>36</v>
      </c>
      <c r="AE45" s="1">
        <v>40</v>
      </c>
      <c r="AF45" s="1">
        <v>40.200000000000003</v>
      </c>
      <c r="AG45" s="1">
        <v>48.2</v>
      </c>
      <c r="AH45" s="1">
        <v>44.4</v>
      </c>
      <c r="AI45" s="1">
        <v>32.799999999999997</v>
      </c>
      <c r="AJ45" s="1">
        <v>37.200000000000003</v>
      </c>
      <c r="AK45" s="1">
        <v>42.8</v>
      </c>
      <c r="AL45" s="1"/>
      <c r="AM45" s="1">
        <f t="shared" si="14"/>
        <v>134</v>
      </c>
      <c r="AN45" t="s">
        <v>128</v>
      </c>
      <c r="AO45" s="1">
        <f t="shared" si="9"/>
        <v>0</v>
      </c>
    </row>
    <row r="46" spans="1:41" x14ac:dyDescent="0.25">
      <c r="A46" s="1" t="s">
        <v>129</v>
      </c>
      <c r="B46" s="1" t="s">
        <v>43</v>
      </c>
      <c r="C46" s="1">
        <v>148.26300000000001</v>
      </c>
      <c r="D46" s="1">
        <v>146.863</v>
      </c>
      <c r="E46" s="1">
        <v>129.75399999999999</v>
      </c>
      <c r="F46" s="1">
        <v>156.63</v>
      </c>
      <c r="G46" s="7">
        <v>1</v>
      </c>
      <c r="H46" s="1">
        <v>40</v>
      </c>
      <c r="I46" s="1" t="s">
        <v>44</v>
      </c>
      <c r="J46" s="1"/>
      <c r="K46" s="1">
        <v>137.6</v>
      </c>
      <c r="L46" s="1">
        <f t="shared" si="11"/>
        <v>-7.8460000000000036</v>
      </c>
      <c r="M46" s="1"/>
      <c r="N46" s="1"/>
      <c r="O46" s="1"/>
      <c r="P46" s="1"/>
      <c r="Q46" s="1"/>
      <c r="R46" s="1"/>
      <c r="S46" s="1"/>
      <c r="T46" s="1">
        <v>65.368399999999951</v>
      </c>
      <c r="U46" s="1">
        <f t="shared" si="12"/>
        <v>25.950799999999997</v>
      </c>
      <c r="V46" s="5">
        <f t="shared" si="16"/>
        <v>63.46040000000005</v>
      </c>
      <c r="W46" s="5">
        <f t="shared" si="15"/>
        <v>63.46040000000005</v>
      </c>
      <c r="X46" s="5"/>
      <c r="Y46" s="5"/>
      <c r="Z46" s="1">
        <f t="shared" si="8"/>
        <v>11.000000000000002</v>
      </c>
      <c r="AA46" s="1">
        <f t="shared" si="13"/>
        <v>8.5545879125113657</v>
      </c>
      <c r="AB46" s="1">
        <v>25.9468</v>
      </c>
      <c r="AC46" s="1">
        <v>25.837199999999999</v>
      </c>
      <c r="AD46" s="1">
        <v>21.918800000000001</v>
      </c>
      <c r="AE46" s="1">
        <v>21.019200000000001</v>
      </c>
      <c r="AF46" s="1">
        <v>27.880800000000001</v>
      </c>
      <c r="AG46" s="1">
        <v>26.376999999999999</v>
      </c>
      <c r="AH46" s="1">
        <v>22.745999999999999</v>
      </c>
      <c r="AI46" s="1">
        <v>24.5078</v>
      </c>
      <c r="AJ46" s="1">
        <v>27.916</v>
      </c>
      <c r="AK46" s="1">
        <v>25.068000000000001</v>
      </c>
      <c r="AL46" s="1"/>
      <c r="AM46" s="1">
        <f t="shared" si="14"/>
        <v>63</v>
      </c>
      <c r="AN46" t="s">
        <v>130</v>
      </c>
      <c r="AO46" s="1">
        <f t="shared" si="9"/>
        <v>0</v>
      </c>
    </row>
    <row r="47" spans="1:41" x14ac:dyDescent="0.25">
      <c r="A47" s="1" t="s">
        <v>131</v>
      </c>
      <c r="B47" s="1" t="s">
        <v>51</v>
      </c>
      <c r="C47" s="1">
        <v>2029</v>
      </c>
      <c r="D47" s="1">
        <v>1203</v>
      </c>
      <c r="E47" s="1">
        <v>1452</v>
      </c>
      <c r="F47" s="1">
        <v>1661</v>
      </c>
      <c r="G47" s="7">
        <v>0.35</v>
      </c>
      <c r="H47" s="1">
        <v>40</v>
      </c>
      <c r="I47" s="1" t="s">
        <v>44</v>
      </c>
      <c r="J47" s="1"/>
      <c r="K47" s="1">
        <v>1483</v>
      </c>
      <c r="L47" s="1">
        <f t="shared" si="11"/>
        <v>-31</v>
      </c>
      <c r="M47" s="1"/>
      <c r="N47" s="1"/>
      <c r="O47" s="1">
        <v>500</v>
      </c>
      <c r="P47" s="1"/>
      <c r="Q47" s="1"/>
      <c r="R47" s="1"/>
      <c r="S47" s="1"/>
      <c r="T47" s="1">
        <v>174.24859999999941</v>
      </c>
      <c r="U47" s="1">
        <f t="shared" si="12"/>
        <v>290.39999999999998</v>
      </c>
      <c r="V47" s="5">
        <f t="shared" si="16"/>
        <v>859.15140000000019</v>
      </c>
      <c r="W47" s="5">
        <f>V47+$W$1*U47</f>
        <v>737.18340000000023</v>
      </c>
      <c r="X47" s="5"/>
      <c r="Y47" s="5"/>
      <c r="Z47" s="1">
        <f t="shared" si="8"/>
        <v>10.58</v>
      </c>
      <c r="AA47" s="1">
        <f t="shared" si="13"/>
        <v>8.0414896694214857</v>
      </c>
      <c r="AB47" s="1">
        <v>282.2</v>
      </c>
      <c r="AC47" s="1">
        <v>295</v>
      </c>
      <c r="AD47" s="1">
        <v>315.2</v>
      </c>
      <c r="AE47" s="1">
        <v>312.39999999999998</v>
      </c>
      <c r="AF47" s="1">
        <v>340.2</v>
      </c>
      <c r="AG47" s="1">
        <v>330.4</v>
      </c>
      <c r="AH47" s="1">
        <v>325.60000000000002</v>
      </c>
      <c r="AI47" s="1">
        <v>357.4</v>
      </c>
      <c r="AJ47" s="1">
        <v>342.4</v>
      </c>
      <c r="AK47" s="1">
        <v>291.8</v>
      </c>
      <c r="AL47" s="1"/>
      <c r="AM47" s="1">
        <f t="shared" si="14"/>
        <v>258</v>
      </c>
      <c r="AN47" t="s">
        <v>132</v>
      </c>
      <c r="AO47" s="1">
        <f t="shared" si="9"/>
        <v>0</v>
      </c>
    </row>
    <row r="48" spans="1:41" x14ac:dyDescent="0.25">
      <c r="A48" s="1" t="s">
        <v>133</v>
      </c>
      <c r="B48" s="1" t="s">
        <v>51</v>
      </c>
      <c r="C48" s="1">
        <v>361</v>
      </c>
      <c r="D48" s="1">
        <v>763</v>
      </c>
      <c r="E48" s="1">
        <v>637</v>
      </c>
      <c r="F48" s="1">
        <v>401</v>
      </c>
      <c r="G48" s="7">
        <v>0.4</v>
      </c>
      <c r="H48" s="1">
        <v>40</v>
      </c>
      <c r="I48" s="1" t="s">
        <v>44</v>
      </c>
      <c r="J48" s="1"/>
      <c r="K48" s="1">
        <v>658</v>
      </c>
      <c r="L48" s="1">
        <f t="shared" si="11"/>
        <v>-21</v>
      </c>
      <c r="M48" s="1"/>
      <c r="N48" s="1"/>
      <c r="O48" s="1">
        <v>100</v>
      </c>
      <c r="P48" s="1"/>
      <c r="Q48" s="1"/>
      <c r="R48" s="1"/>
      <c r="S48" s="1"/>
      <c r="T48" s="1">
        <v>246.83999999999949</v>
      </c>
      <c r="U48" s="1">
        <f t="shared" si="12"/>
        <v>127.4</v>
      </c>
      <c r="V48" s="5">
        <f t="shared" si="16"/>
        <v>653.56000000000063</v>
      </c>
      <c r="W48" s="5">
        <f>V48+$W$1*U48</f>
        <v>600.05200000000059</v>
      </c>
      <c r="X48" s="5">
        <v>-600</v>
      </c>
      <c r="Y48" s="5"/>
      <c r="Z48" s="1">
        <f t="shared" si="8"/>
        <v>5.8704238618524336</v>
      </c>
      <c r="AA48" s="1">
        <f t="shared" si="13"/>
        <v>5.8700156985871228</v>
      </c>
      <c r="AB48" s="1">
        <v>113.8</v>
      </c>
      <c r="AC48" s="1">
        <v>119.2</v>
      </c>
      <c r="AD48" s="1">
        <v>124</v>
      </c>
      <c r="AE48" s="1">
        <v>124</v>
      </c>
      <c r="AF48" s="1">
        <v>125.6</v>
      </c>
      <c r="AG48" s="1">
        <v>124.2</v>
      </c>
      <c r="AH48" s="1">
        <v>123.2</v>
      </c>
      <c r="AI48" s="1">
        <v>114.6</v>
      </c>
      <c r="AJ48" s="1">
        <v>108.4</v>
      </c>
      <c r="AK48" s="1">
        <v>112.4</v>
      </c>
      <c r="AL48" s="1"/>
      <c r="AM48" s="1">
        <f t="shared" si="14"/>
        <v>240</v>
      </c>
      <c r="AN48" t="s">
        <v>134</v>
      </c>
      <c r="AO48" s="1">
        <f t="shared" si="9"/>
        <v>0</v>
      </c>
    </row>
    <row r="49" spans="1:41" x14ac:dyDescent="0.25">
      <c r="A49" s="1" t="s">
        <v>135</v>
      </c>
      <c r="B49" s="1" t="s">
        <v>43</v>
      </c>
      <c r="C49" s="1">
        <v>538.73699999999997</v>
      </c>
      <c r="D49" s="1">
        <v>499.24099999999999</v>
      </c>
      <c r="E49" s="1">
        <v>528.01700000000005</v>
      </c>
      <c r="F49" s="1">
        <v>475.32900000000001</v>
      </c>
      <c r="G49" s="7">
        <v>1</v>
      </c>
      <c r="H49" s="1">
        <v>50</v>
      </c>
      <c r="I49" s="1" t="s">
        <v>44</v>
      </c>
      <c r="J49" s="1"/>
      <c r="K49" s="1">
        <v>520.85</v>
      </c>
      <c r="L49" s="1">
        <f t="shared" si="11"/>
        <v>7.16700000000003</v>
      </c>
      <c r="M49" s="1"/>
      <c r="N49" s="1"/>
      <c r="O49" s="1">
        <v>150</v>
      </c>
      <c r="P49" s="1"/>
      <c r="Q49" s="1"/>
      <c r="R49" s="1"/>
      <c r="S49" s="1"/>
      <c r="T49" s="1">
        <v>209.23203000000029</v>
      </c>
      <c r="U49" s="1">
        <f t="shared" si="12"/>
        <v>105.60340000000001</v>
      </c>
      <c r="V49" s="5">
        <f t="shared" si="16"/>
        <v>327.07636999999971</v>
      </c>
      <c r="W49" s="5">
        <f>V49+$W$1*U49</f>
        <v>282.7229419999997</v>
      </c>
      <c r="X49" s="5"/>
      <c r="Y49" s="5"/>
      <c r="Z49" s="1">
        <f t="shared" si="8"/>
        <v>10.579999999999998</v>
      </c>
      <c r="AA49" s="1">
        <f t="shared" si="13"/>
        <v>7.9027856110693424</v>
      </c>
      <c r="AB49" s="1">
        <v>102.15940000000001</v>
      </c>
      <c r="AC49" s="1">
        <v>104.79640000000001</v>
      </c>
      <c r="AD49" s="1">
        <v>96.198999999999998</v>
      </c>
      <c r="AE49" s="1">
        <v>92.049199999999999</v>
      </c>
      <c r="AF49" s="1">
        <v>107.1942</v>
      </c>
      <c r="AG49" s="1">
        <v>100.47280000000001</v>
      </c>
      <c r="AH49" s="1">
        <v>94.212999999999994</v>
      </c>
      <c r="AI49" s="1">
        <v>105.2924</v>
      </c>
      <c r="AJ49" s="1">
        <v>90.395600000000002</v>
      </c>
      <c r="AK49" s="1">
        <v>87.028800000000004</v>
      </c>
      <c r="AL49" s="1"/>
      <c r="AM49" s="1">
        <f t="shared" si="14"/>
        <v>283</v>
      </c>
      <c r="AN49" t="s">
        <v>136</v>
      </c>
      <c r="AO49" s="1">
        <f t="shared" si="9"/>
        <v>0</v>
      </c>
    </row>
    <row r="50" spans="1:41" x14ac:dyDescent="0.25">
      <c r="A50" s="1" t="s">
        <v>137</v>
      </c>
      <c r="B50" s="1" t="s">
        <v>43</v>
      </c>
      <c r="C50" s="1">
        <v>703.66200000000003</v>
      </c>
      <c r="D50" s="1">
        <v>532.83000000000004</v>
      </c>
      <c r="E50" s="1">
        <v>575.63499999999999</v>
      </c>
      <c r="F50" s="1">
        <v>606.61099999999999</v>
      </c>
      <c r="G50" s="7">
        <v>1</v>
      </c>
      <c r="H50" s="1">
        <v>50</v>
      </c>
      <c r="I50" s="1" t="s">
        <v>44</v>
      </c>
      <c r="J50" s="1"/>
      <c r="K50" s="1">
        <v>563</v>
      </c>
      <c r="L50" s="1">
        <f t="shared" si="11"/>
        <v>12.634999999999991</v>
      </c>
      <c r="M50" s="1"/>
      <c r="N50" s="1"/>
      <c r="O50" s="1">
        <v>100</v>
      </c>
      <c r="P50" s="1">
        <v>300</v>
      </c>
      <c r="Q50" s="1"/>
      <c r="R50" s="1"/>
      <c r="S50" s="1">
        <v>400</v>
      </c>
      <c r="T50" s="1">
        <v>206.21154800000039</v>
      </c>
      <c r="U50" s="1">
        <f t="shared" si="12"/>
        <v>115.127</v>
      </c>
      <c r="V50" s="5"/>
      <c r="W50" s="5">
        <f t="shared" ref="W50:W57" si="17">V50</f>
        <v>0</v>
      </c>
      <c r="X50" s="5"/>
      <c r="Y50" s="5"/>
      <c r="Z50" s="1">
        <f t="shared" si="8"/>
        <v>14.009073006332141</v>
      </c>
      <c r="AA50" s="1">
        <f t="shared" si="13"/>
        <v>14.009073006332141</v>
      </c>
      <c r="AB50" s="1">
        <v>112.86660000000001</v>
      </c>
      <c r="AC50" s="1">
        <v>117.1014</v>
      </c>
      <c r="AD50" s="1">
        <v>120.026</v>
      </c>
      <c r="AE50" s="1">
        <v>114.6662</v>
      </c>
      <c r="AF50" s="1">
        <v>108.624</v>
      </c>
      <c r="AG50" s="1">
        <v>114.25920000000001</v>
      </c>
      <c r="AH50" s="1">
        <v>125.9438</v>
      </c>
      <c r="AI50" s="1">
        <v>125.8948</v>
      </c>
      <c r="AJ50" s="1">
        <v>120.74460000000001</v>
      </c>
      <c r="AK50" s="1">
        <v>111.24639999999999</v>
      </c>
      <c r="AL50" s="1"/>
      <c r="AM50" s="1">
        <f t="shared" si="14"/>
        <v>0</v>
      </c>
      <c r="AN50" t="s">
        <v>138</v>
      </c>
      <c r="AO50" s="1">
        <f t="shared" si="9"/>
        <v>0</v>
      </c>
    </row>
    <row r="51" spans="1:41" x14ac:dyDescent="0.25">
      <c r="A51" s="1" t="s">
        <v>139</v>
      </c>
      <c r="B51" s="1" t="s">
        <v>43</v>
      </c>
      <c r="C51" s="1">
        <v>58.284999999999997</v>
      </c>
      <c r="D51" s="1">
        <v>52.024999999999999</v>
      </c>
      <c r="E51" s="1">
        <v>46.792000000000002</v>
      </c>
      <c r="F51" s="1">
        <v>63.518000000000001</v>
      </c>
      <c r="G51" s="7">
        <v>1</v>
      </c>
      <c r="H51" s="1">
        <v>45</v>
      </c>
      <c r="I51" s="1" t="s">
        <v>44</v>
      </c>
      <c r="J51" s="1"/>
      <c r="K51" s="1">
        <v>44.8</v>
      </c>
      <c r="L51" s="1">
        <f t="shared" si="11"/>
        <v>1.9920000000000044</v>
      </c>
      <c r="M51" s="1"/>
      <c r="N51" s="1"/>
      <c r="O51" s="1"/>
      <c r="P51" s="1"/>
      <c r="Q51" s="1"/>
      <c r="R51" s="1"/>
      <c r="S51" s="1"/>
      <c r="T51" s="1">
        <v>42.702499999999993</v>
      </c>
      <c r="U51" s="1">
        <f t="shared" si="12"/>
        <v>9.3583999999999996</v>
      </c>
      <c r="V51" s="5"/>
      <c r="W51" s="5">
        <f t="shared" si="17"/>
        <v>0</v>
      </c>
      <c r="X51" s="5"/>
      <c r="Y51" s="5"/>
      <c r="Z51" s="1">
        <f t="shared" si="8"/>
        <v>11.350284236621643</v>
      </c>
      <c r="AA51" s="1">
        <f t="shared" si="13"/>
        <v>11.350284236621643</v>
      </c>
      <c r="AB51" s="1">
        <v>8.730599999999999</v>
      </c>
      <c r="AC51" s="1">
        <v>4.0386000000000006</v>
      </c>
      <c r="AD51" s="1">
        <v>8.4756</v>
      </c>
      <c r="AE51" s="1">
        <v>8.1896000000000004</v>
      </c>
      <c r="AF51" s="1">
        <v>1.7692000000000001</v>
      </c>
      <c r="AG51" s="1">
        <v>4.5528000000000004</v>
      </c>
      <c r="AH51" s="1">
        <v>10.3088</v>
      </c>
      <c r="AI51" s="1">
        <v>9.6738</v>
      </c>
      <c r="AJ51" s="1">
        <v>5.3747999999999996</v>
      </c>
      <c r="AK51" s="1">
        <v>3.0819999999999999</v>
      </c>
      <c r="AL51" s="1"/>
      <c r="AM51" s="1">
        <f t="shared" si="14"/>
        <v>0</v>
      </c>
      <c r="AN51" t="s">
        <v>140</v>
      </c>
      <c r="AO51" s="1">
        <f t="shared" si="9"/>
        <v>0</v>
      </c>
    </row>
    <row r="52" spans="1:41" x14ac:dyDescent="0.25">
      <c r="A52" s="1" t="s">
        <v>141</v>
      </c>
      <c r="B52" s="1" t="s">
        <v>51</v>
      </c>
      <c r="C52" s="1">
        <v>428</v>
      </c>
      <c r="D52" s="1">
        <v>261</v>
      </c>
      <c r="E52" s="1">
        <v>280</v>
      </c>
      <c r="F52" s="1">
        <v>365</v>
      </c>
      <c r="G52" s="7">
        <v>0.45</v>
      </c>
      <c r="H52" s="1">
        <v>50</v>
      </c>
      <c r="I52" s="1" t="s">
        <v>44</v>
      </c>
      <c r="J52" s="1"/>
      <c r="K52" s="1">
        <v>286</v>
      </c>
      <c r="L52" s="1">
        <f t="shared" si="11"/>
        <v>-6</v>
      </c>
      <c r="M52" s="1"/>
      <c r="N52" s="1"/>
      <c r="O52" s="1">
        <v>100</v>
      </c>
      <c r="P52" s="1"/>
      <c r="Q52" s="1"/>
      <c r="R52" s="1"/>
      <c r="S52" s="1"/>
      <c r="T52" s="1">
        <v>181.20599999999999</v>
      </c>
      <c r="U52" s="1">
        <f t="shared" si="12"/>
        <v>56</v>
      </c>
      <c r="V52" s="5"/>
      <c r="W52" s="5">
        <f t="shared" si="17"/>
        <v>0</v>
      </c>
      <c r="X52" s="5"/>
      <c r="Y52" s="5"/>
      <c r="Z52" s="1">
        <f t="shared" si="8"/>
        <v>11.539392857142857</v>
      </c>
      <c r="AA52" s="1">
        <f t="shared" si="13"/>
        <v>11.539392857142857</v>
      </c>
      <c r="AB52" s="1">
        <v>66.599999999999994</v>
      </c>
      <c r="AC52" s="1">
        <v>68</v>
      </c>
      <c r="AD52" s="1">
        <v>62</v>
      </c>
      <c r="AE52" s="1">
        <v>67.599999999999994</v>
      </c>
      <c r="AF52" s="1">
        <v>61.8</v>
      </c>
      <c r="AG52" s="1">
        <v>46</v>
      </c>
      <c r="AH52" s="1">
        <v>54.8</v>
      </c>
      <c r="AI52" s="1">
        <v>66.400000000000006</v>
      </c>
      <c r="AJ52" s="1">
        <v>62.4</v>
      </c>
      <c r="AK52" s="1">
        <v>53.8</v>
      </c>
      <c r="AL52" s="1"/>
      <c r="AM52" s="1">
        <f t="shared" si="14"/>
        <v>0</v>
      </c>
      <c r="AN52" t="s">
        <v>142</v>
      </c>
      <c r="AO52" s="1">
        <f t="shared" si="9"/>
        <v>0</v>
      </c>
    </row>
    <row r="53" spans="1:41" x14ac:dyDescent="0.25">
      <c r="A53" s="1" t="s">
        <v>143</v>
      </c>
      <c r="B53" s="1" t="s">
        <v>51</v>
      </c>
      <c r="C53" s="1">
        <v>599</v>
      </c>
      <c r="D53" s="1">
        <v>541</v>
      </c>
      <c r="E53" s="1">
        <v>470</v>
      </c>
      <c r="F53" s="1">
        <v>631</v>
      </c>
      <c r="G53" s="7">
        <v>0.45</v>
      </c>
      <c r="H53" s="1">
        <v>50</v>
      </c>
      <c r="I53" s="1" t="s">
        <v>44</v>
      </c>
      <c r="J53" s="1"/>
      <c r="K53" s="1">
        <v>475</v>
      </c>
      <c r="L53" s="1">
        <f t="shared" si="11"/>
        <v>-5</v>
      </c>
      <c r="M53" s="1"/>
      <c r="N53" s="1"/>
      <c r="O53" s="1">
        <v>100</v>
      </c>
      <c r="P53" s="1"/>
      <c r="Q53" s="1"/>
      <c r="R53" s="1"/>
      <c r="S53" s="1"/>
      <c r="T53" s="1">
        <v>369.68000000000012</v>
      </c>
      <c r="U53" s="1">
        <f t="shared" si="12"/>
        <v>94</v>
      </c>
      <c r="V53" s="5"/>
      <c r="W53" s="5">
        <f t="shared" si="17"/>
        <v>0</v>
      </c>
      <c r="X53" s="5"/>
      <c r="Y53" s="5"/>
      <c r="Z53" s="1">
        <f t="shared" si="8"/>
        <v>11.70936170212766</v>
      </c>
      <c r="AA53" s="1">
        <f t="shared" si="13"/>
        <v>11.70936170212766</v>
      </c>
      <c r="AB53" s="1">
        <v>111.2</v>
      </c>
      <c r="AC53" s="1">
        <v>109</v>
      </c>
      <c r="AD53" s="1">
        <v>109</v>
      </c>
      <c r="AE53" s="1">
        <v>103.8</v>
      </c>
      <c r="AF53" s="1">
        <v>93</v>
      </c>
      <c r="AG53" s="1">
        <v>100</v>
      </c>
      <c r="AH53" s="1">
        <v>100.8</v>
      </c>
      <c r="AI53" s="1">
        <v>89</v>
      </c>
      <c r="AJ53" s="1">
        <v>96.8</v>
      </c>
      <c r="AK53" s="1">
        <v>83.8</v>
      </c>
      <c r="AL53" s="1"/>
      <c r="AM53" s="1">
        <f t="shared" si="14"/>
        <v>0</v>
      </c>
      <c r="AN53" t="s">
        <v>144</v>
      </c>
      <c r="AO53" s="1">
        <f t="shared" si="9"/>
        <v>0</v>
      </c>
    </row>
    <row r="54" spans="1:41" x14ac:dyDescent="0.25">
      <c r="A54" s="1" t="s">
        <v>145</v>
      </c>
      <c r="B54" s="1" t="s">
        <v>51</v>
      </c>
      <c r="C54" s="1">
        <v>235</v>
      </c>
      <c r="D54" s="1">
        <v>75</v>
      </c>
      <c r="E54" s="1">
        <v>186</v>
      </c>
      <c r="F54" s="1">
        <v>113</v>
      </c>
      <c r="G54" s="7">
        <v>0.4</v>
      </c>
      <c r="H54" s="1">
        <v>40</v>
      </c>
      <c r="I54" s="1" t="s">
        <v>44</v>
      </c>
      <c r="J54" s="1"/>
      <c r="K54" s="1">
        <v>191</v>
      </c>
      <c r="L54" s="1">
        <f t="shared" si="11"/>
        <v>-5</v>
      </c>
      <c r="M54" s="1"/>
      <c r="N54" s="1"/>
      <c r="O54" s="1"/>
      <c r="P54" s="1"/>
      <c r="Q54" s="1"/>
      <c r="R54" s="1"/>
      <c r="S54" s="1"/>
      <c r="T54" s="1">
        <v>239.6</v>
      </c>
      <c r="U54" s="1">
        <f t="shared" si="12"/>
        <v>37.200000000000003</v>
      </c>
      <c r="V54" s="5">
        <f>11*U54-T54-S54-R54-Q54-P54-O54-F54</f>
        <v>56.600000000000051</v>
      </c>
      <c r="W54" s="5">
        <f t="shared" si="17"/>
        <v>56.600000000000051</v>
      </c>
      <c r="X54" s="5">
        <v>-60</v>
      </c>
      <c r="Y54" s="5"/>
      <c r="Z54" s="1">
        <f t="shared" si="8"/>
        <v>9.387096774193548</v>
      </c>
      <c r="AA54" s="1">
        <f t="shared" si="13"/>
        <v>9.478494623655914</v>
      </c>
      <c r="AB54" s="1">
        <v>33.6</v>
      </c>
      <c r="AC54" s="1">
        <v>27.6</v>
      </c>
      <c r="AD54" s="1">
        <v>19.600000000000001</v>
      </c>
      <c r="AE54" s="1">
        <v>18.600000000000001</v>
      </c>
      <c r="AF54" s="1">
        <v>31.4</v>
      </c>
      <c r="AG54" s="1">
        <v>27.6</v>
      </c>
      <c r="AH54" s="1">
        <v>19.2</v>
      </c>
      <c r="AI54" s="1">
        <v>22</v>
      </c>
      <c r="AJ54" s="1">
        <v>27.6</v>
      </c>
      <c r="AK54" s="1">
        <v>20.6</v>
      </c>
      <c r="AL54" s="1"/>
      <c r="AM54" s="1">
        <f t="shared" si="14"/>
        <v>23</v>
      </c>
      <c r="AN54" t="s">
        <v>146</v>
      </c>
      <c r="AO54" s="1">
        <f t="shared" si="9"/>
        <v>0</v>
      </c>
    </row>
    <row r="55" spans="1:41" x14ac:dyDescent="0.25">
      <c r="A55" s="1" t="s">
        <v>147</v>
      </c>
      <c r="B55" s="1" t="s">
        <v>51</v>
      </c>
      <c r="C55" s="1">
        <v>32</v>
      </c>
      <c r="D55" s="1">
        <v>90</v>
      </c>
      <c r="E55" s="1">
        <v>56</v>
      </c>
      <c r="F55" s="1">
        <v>58</v>
      </c>
      <c r="G55" s="7">
        <v>0.4</v>
      </c>
      <c r="H55" s="1">
        <v>40</v>
      </c>
      <c r="I55" s="1" t="s">
        <v>44</v>
      </c>
      <c r="J55" s="1"/>
      <c r="K55" s="1">
        <v>80</v>
      </c>
      <c r="L55" s="1">
        <f t="shared" si="11"/>
        <v>-24</v>
      </c>
      <c r="M55" s="1"/>
      <c r="N55" s="1"/>
      <c r="O55" s="1"/>
      <c r="P55" s="1"/>
      <c r="Q55" s="1"/>
      <c r="R55" s="1"/>
      <c r="S55" s="1"/>
      <c r="T55" s="1">
        <v>0</v>
      </c>
      <c r="U55" s="1">
        <f t="shared" si="12"/>
        <v>11.2</v>
      </c>
      <c r="V55" s="5">
        <f>11*U55-T55-S55-R55-Q55-P55-O55-F55</f>
        <v>65.199999999999989</v>
      </c>
      <c r="W55" s="5">
        <f t="shared" si="17"/>
        <v>65.199999999999989</v>
      </c>
      <c r="X55" s="5">
        <v>-65.999999999999986</v>
      </c>
      <c r="Y55" s="5"/>
      <c r="Z55" s="1">
        <f t="shared" si="8"/>
        <v>5.1071428571428577</v>
      </c>
      <c r="AA55" s="1">
        <f t="shared" si="13"/>
        <v>5.1785714285714288</v>
      </c>
      <c r="AB55" s="1">
        <v>7.8</v>
      </c>
      <c r="AC55" s="1">
        <v>11.2</v>
      </c>
      <c r="AD55" s="1">
        <v>12.4</v>
      </c>
      <c r="AE55" s="1">
        <v>14.4</v>
      </c>
      <c r="AF55" s="1">
        <v>12.8</v>
      </c>
      <c r="AG55" s="1">
        <v>10</v>
      </c>
      <c r="AH55" s="1">
        <v>8.8000000000000007</v>
      </c>
      <c r="AI55" s="1">
        <v>7.8</v>
      </c>
      <c r="AJ55" s="1">
        <v>12.4</v>
      </c>
      <c r="AK55" s="1">
        <v>10.6</v>
      </c>
      <c r="AL55" s="1"/>
      <c r="AM55" s="1">
        <f t="shared" si="14"/>
        <v>26</v>
      </c>
      <c r="AN55" t="s">
        <v>148</v>
      </c>
      <c r="AO55" s="1">
        <f t="shared" si="9"/>
        <v>0</v>
      </c>
    </row>
    <row r="56" spans="1:41" x14ac:dyDescent="0.25">
      <c r="A56" s="1" t="s">
        <v>149</v>
      </c>
      <c r="B56" s="1" t="s">
        <v>43</v>
      </c>
      <c r="C56" s="1">
        <v>825.99599999999998</v>
      </c>
      <c r="D56" s="1">
        <v>642.38</v>
      </c>
      <c r="E56" s="1">
        <v>756.63800000000003</v>
      </c>
      <c r="F56" s="1">
        <v>629.53700000000003</v>
      </c>
      <c r="G56" s="7">
        <v>1</v>
      </c>
      <c r="H56" s="1">
        <v>50</v>
      </c>
      <c r="I56" s="1" t="s">
        <v>44</v>
      </c>
      <c r="J56" s="1"/>
      <c r="K56" s="1">
        <v>743.4</v>
      </c>
      <c r="L56" s="1">
        <f t="shared" si="11"/>
        <v>13.238000000000056</v>
      </c>
      <c r="M56" s="1"/>
      <c r="N56" s="1"/>
      <c r="O56" s="1">
        <v>150</v>
      </c>
      <c r="P56" s="1">
        <v>300</v>
      </c>
      <c r="Q56" s="1"/>
      <c r="R56" s="1"/>
      <c r="S56" s="1">
        <v>500</v>
      </c>
      <c r="T56" s="1">
        <v>288.00462000000073</v>
      </c>
      <c r="U56" s="1">
        <f t="shared" si="12"/>
        <v>151.32760000000002</v>
      </c>
      <c r="V56" s="5"/>
      <c r="W56" s="5">
        <f t="shared" si="17"/>
        <v>0</v>
      </c>
      <c r="X56" s="5"/>
      <c r="Y56" s="5"/>
      <c r="Z56" s="1">
        <f t="shared" si="8"/>
        <v>12.341050938493709</v>
      </c>
      <c r="AA56" s="1">
        <f t="shared" si="13"/>
        <v>12.341050938493709</v>
      </c>
      <c r="AB56" s="1">
        <v>138.55520000000001</v>
      </c>
      <c r="AC56" s="1">
        <v>142.07140000000001</v>
      </c>
      <c r="AD56" s="1">
        <v>139.2654</v>
      </c>
      <c r="AE56" s="1">
        <v>135.7242</v>
      </c>
      <c r="AF56" s="1">
        <v>150.4196</v>
      </c>
      <c r="AG56" s="1">
        <v>157.773</v>
      </c>
      <c r="AH56" s="1">
        <v>158.69540000000001</v>
      </c>
      <c r="AI56" s="1">
        <v>162.9692</v>
      </c>
      <c r="AJ56" s="1">
        <v>150.57419999999999</v>
      </c>
      <c r="AK56" s="1">
        <v>145.5796</v>
      </c>
      <c r="AL56" s="1"/>
      <c r="AM56" s="1">
        <f t="shared" si="14"/>
        <v>0</v>
      </c>
      <c r="AN56" t="s">
        <v>150</v>
      </c>
      <c r="AO56" s="1">
        <f t="shared" si="9"/>
        <v>0</v>
      </c>
    </row>
    <row r="57" spans="1:41" x14ac:dyDescent="0.25">
      <c r="A57" s="1" t="s">
        <v>151</v>
      </c>
      <c r="B57" s="1" t="s">
        <v>51</v>
      </c>
      <c r="C57" s="1">
        <v>858</v>
      </c>
      <c r="D57" s="1"/>
      <c r="E57" s="1">
        <v>160</v>
      </c>
      <c r="F57" s="1">
        <v>679</v>
      </c>
      <c r="G57" s="7">
        <v>0.1</v>
      </c>
      <c r="H57" s="1">
        <v>731</v>
      </c>
      <c r="I57" s="1" t="s">
        <v>44</v>
      </c>
      <c r="J57" s="1"/>
      <c r="K57" s="1">
        <v>160</v>
      </c>
      <c r="L57" s="1">
        <f t="shared" si="11"/>
        <v>0</v>
      </c>
      <c r="M57" s="1"/>
      <c r="N57" s="1"/>
      <c r="O57" s="1"/>
      <c r="P57" s="1"/>
      <c r="Q57" s="1"/>
      <c r="R57" s="1"/>
      <c r="S57" s="1"/>
      <c r="T57" s="1">
        <v>0</v>
      </c>
      <c r="U57" s="1">
        <f t="shared" si="12"/>
        <v>32</v>
      </c>
      <c r="V57" s="5"/>
      <c r="W57" s="5">
        <f t="shared" si="17"/>
        <v>0</v>
      </c>
      <c r="X57" s="5"/>
      <c r="Y57" s="5"/>
      <c r="Z57" s="1">
        <f t="shared" si="8"/>
        <v>21.21875</v>
      </c>
      <c r="AA57" s="1">
        <f t="shared" si="13"/>
        <v>21.21875</v>
      </c>
      <c r="AB57" s="1">
        <v>24.4</v>
      </c>
      <c r="AC57" s="1">
        <v>32.4</v>
      </c>
      <c r="AD57" s="1">
        <v>36.4</v>
      </c>
      <c r="AE57" s="1">
        <v>33.4</v>
      </c>
      <c r="AF57" s="1">
        <v>29</v>
      </c>
      <c r="AG57" s="1">
        <v>31.2</v>
      </c>
      <c r="AH57" s="1">
        <v>33.799999999999997</v>
      </c>
      <c r="AI57" s="1">
        <v>31</v>
      </c>
      <c r="AJ57" s="1">
        <v>35.6</v>
      </c>
      <c r="AK57" s="1">
        <v>31.6</v>
      </c>
      <c r="AL57" s="12" t="s">
        <v>119</v>
      </c>
      <c r="AM57" s="1">
        <f t="shared" si="14"/>
        <v>0</v>
      </c>
      <c r="AN57" t="s">
        <v>152</v>
      </c>
      <c r="AO57" s="1">
        <f t="shared" si="9"/>
        <v>0</v>
      </c>
    </row>
    <row r="58" spans="1:41" x14ac:dyDescent="0.25">
      <c r="A58" s="1" t="s">
        <v>153</v>
      </c>
      <c r="B58" s="1" t="s">
        <v>43</v>
      </c>
      <c r="C58" s="1">
        <v>1113.249</v>
      </c>
      <c r="D58" s="1">
        <v>739.98199999999997</v>
      </c>
      <c r="E58" s="1">
        <v>934.03399999999999</v>
      </c>
      <c r="F58" s="1">
        <v>853.94100000000003</v>
      </c>
      <c r="G58" s="7">
        <v>1</v>
      </c>
      <c r="H58" s="1">
        <v>50</v>
      </c>
      <c r="I58" s="1" t="s">
        <v>44</v>
      </c>
      <c r="J58" s="1"/>
      <c r="K58" s="1">
        <v>904.4</v>
      </c>
      <c r="L58" s="1">
        <f t="shared" si="11"/>
        <v>29.634000000000015</v>
      </c>
      <c r="M58" s="1"/>
      <c r="N58" s="1"/>
      <c r="O58" s="1">
        <v>200</v>
      </c>
      <c r="P58" s="1"/>
      <c r="Q58" s="1"/>
      <c r="R58" s="1"/>
      <c r="S58" s="1"/>
      <c r="T58" s="1">
        <v>254.09103199999919</v>
      </c>
      <c r="U58" s="1">
        <f t="shared" si="12"/>
        <v>186.80680000000001</v>
      </c>
      <c r="V58" s="5">
        <f>11*U58-T58-S58-R58-Q58-P58-O58-F58</f>
        <v>746.84276800000089</v>
      </c>
      <c r="W58" s="5">
        <f>V58+$W$1*U58</f>
        <v>668.38391200000092</v>
      </c>
      <c r="X58" s="5"/>
      <c r="Y58" s="5"/>
      <c r="Z58" s="1">
        <f t="shared" si="8"/>
        <v>10.58</v>
      </c>
      <c r="AA58" s="1">
        <f t="shared" si="13"/>
        <v>7.0020579122387359</v>
      </c>
      <c r="AB58" s="1">
        <v>175.28739999999999</v>
      </c>
      <c r="AC58" s="1">
        <v>181.8802</v>
      </c>
      <c r="AD58" s="1">
        <v>201.43039999999999</v>
      </c>
      <c r="AE58" s="1">
        <v>197.81720000000001</v>
      </c>
      <c r="AF58" s="1">
        <v>133.85419999999999</v>
      </c>
      <c r="AG58" s="1">
        <v>120.19540000000001</v>
      </c>
      <c r="AH58" s="1">
        <v>164.78899999999999</v>
      </c>
      <c r="AI58" s="1">
        <v>169.20179999999999</v>
      </c>
      <c r="AJ58" s="1">
        <v>170.42339999999999</v>
      </c>
      <c r="AK58" s="1">
        <v>132.49619999999999</v>
      </c>
      <c r="AL58" s="1"/>
      <c r="AM58" s="1">
        <f t="shared" si="14"/>
        <v>668</v>
      </c>
      <c r="AN58" t="s">
        <v>154</v>
      </c>
      <c r="AO58" s="1">
        <f t="shared" si="9"/>
        <v>0</v>
      </c>
    </row>
    <row r="59" spans="1:41" x14ac:dyDescent="0.25">
      <c r="A59" s="1" t="s">
        <v>155</v>
      </c>
      <c r="B59" s="1" t="s">
        <v>43</v>
      </c>
      <c r="C59" s="1">
        <v>145.09399999999999</v>
      </c>
      <c r="D59" s="1">
        <v>98.073999999999998</v>
      </c>
      <c r="E59" s="1">
        <v>90.653000000000006</v>
      </c>
      <c r="F59" s="1">
        <v>149.81100000000001</v>
      </c>
      <c r="G59" s="7">
        <v>1</v>
      </c>
      <c r="H59" s="1">
        <v>55</v>
      </c>
      <c r="I59" s="1" t="s">
        <v>44</v>
      </c>
      <c r="J59" s="1"/>
      <c r="K59" s="1">
        <v>87.55</v>
      </c>
      <c r="L59" s="1">
        <f t="shared" si="11"/>
        <v>3.1030000000000086</v>
      </c>
      <c r="M59" s="1"/>
      <c r="N59" s="1"/>
      <c r="O59" s="1"/>
      <c r="P59" s="1"/>
      <c r="Q59" s="1"/>
      <c r="R59" s="1"/>
      <c r="S59" s="1"/>
      <c r="T59" s="1">
        <v>31.041444000000009</v>
      </c>
      <c r="U59" s="1">
        <f t="shared" si="12"/>
        <v>18.130600000000001</v>
      </c>
      <c r="V59" s="5">
        <f>11*U59-T59-S59-R59-Q59-P59-O59-F59</f>
        <v>18.584155999999979</v>
      </c>
      <c r="W59" s="5">
        <f>V59</f>
        <v>18.584155999999979</v>
      </c>
      <c r="X59" s="5"/>
      <c r="Y59" s="5"/>
      <c r="Z59" s="1">
        <f t="shared" si="8"/>
        <v>11</v>
      </c>
      <c r="AA59" s="1">
        <f t="shared" si="13"/>
        <v>9.9749839497865498</v>
      </c>
      <c r="AB59" s="1">
        <v>18.803999999999998</v>
      </c>
      <c r="AC59" s="1">
        <v>19.883600000000001</v>
      </c>
      <c r="AD59" s="1">
        <v>22.8446</v>
      </c>
      <c r="AE59" s="1">
        <v>22.9194</v>
      </c>
      <c r="AF59" s="1">
        <v>20.6586</v>
      </c>
      <c r="AG59" s="1">
        <v>19.6098</v>
      </c>
      <c r="AH59" s="1">
        <v>22.2102</v>
      </c>
      <c r="AI59" s="1">
        <v>19.939399999999999</v>
      </c>
      <c r="AJ59" s="1">
        <v>13.745200000000001</v>
      </c>
      <c r="AK59" s="1">
        <v>23.980599999999999</v>
      </c>
      <c r="AL59" s="1"/>
      <c r="AM59" s="1">
        <f t="shared" si="14"/>
        <v>19</v>
      </c>
      <c r="AN59" t="s">
        <v>156</v>
      </c>
      <c r="AO59" s="1">
        <f t="shared" si="9"/>
        <v>0</v>
      </c>
    </row>
    <row r="60" spans="1:41" x14ac:dyDescent="0.25">
      <c r="A60" s="1" t="s">
        <v>157</v>
      </c>
      <c r="B60" s="1" t="s">
        <v>51</v>
      </c>
      <c r="C60" s="1">
        <v>501</v>
      </c>
      <c r="D60" s="1"/>
      <c r="E60" s="1">
        <v>130</v>
      </c>
      <c r="F60" s="1">
        <v>332</v>
      </c>
      <c r="G60" s="7">
        <v>0.1</v>
      </c>
      <c r="H60" s="1">
        <v>731</v>
      </c>
      <c r="I60" s="1" t="s">
        <v>44</v>
      </c>
      <c r="J60" s="1"/>
      <c r="K60" s="1">
        <v>130</v>
      </c>
      <c r="L60" s="1">
        <f t="shared" si="11"/>
        <v>0</v>
      </c>
      <c r="M60" s="1"/>
      <c r="N60" s="1"/>
      <c r="O60" s="1"/>
      <c r="P60" s="1"/>
      <c r="Q60" s="1"/>
      <c r="R60" s="1"/>
      <c r="S60" s="1"/>
      <c r="T60" s="1">
        <v>0</v>
      </c>
      <c r="U60" s="1">
        <f t="shared" si="12"/>
        <v>26</v>
      </c>
      <c r="V60" s="5"/>
      <c r="W60" s="5">
        <f>V60</f>
        <v>0</v>
      </c>
      <c r="X60" s="5"/>
      <c r="Y60" s="5"/>
      <c r="Z60" s="1">
        <f t="shared" si="8"/>
        <v>12.76923076923077</v>
      </c>
      <c r="AA60" s="1">
        <f t="shared" si="13"/>
        <v>12.76923076923077</v>
      </c>
      <c r="AB60" s="1">
        <v>19</v>
      </c>
      <c r="AC60" s="1">
        <v>26.4</v>
      </c>
      <c r="AD60" s="1">
        <v>35</v>
      </c>
      <c r="AE60" s="1">
        <v>34.4</v>
      </c>
      <c r="AF60" s="1">
        <v>28.6</v>
      </c>
      <c r="AG60" s="1">
        <v>33.6</v>
      </c>
      <c r="AH60" s="1">
        <v>33.6</v>
      </c>
      <c r="AI60" s="1">
        <v>24.6</v>
      </c>
      <c r="AJ60" s="1">
        <v>28.8</v>
      </c>
      <c r="AK60" s="1">
        <v>29.8</v>
      </c>
      <c r="AL60" s="13" t="s">
        <v>100</v>
      </c>
      <c r="AM60" s="1">
        <f t="shared" si="14"/>
        <v>0</v>
      </c>
      <c r="AN60" t="s">
        <v>158</v>
      </c>
      <c r="AO60" s="1">
        <f t="shared" si="9"/>
        <v>0</v>
      </c>
    </row>
    <row r="61" spans="1:41" x14ac:dyDescent="0.25">
      <c r="A61" s="1" t="s">
        <v>159</v>
      </c>
      <c r="B61" s="1" t="s">
        <v>51</v>
      </c>
      <c r="C61" s="1">
        <v>242</v>
      </c>
      <c r="D61" s="1">
        <v>341</v>
      </c>
      <c r="E61" s="1">
        <v>213</v>
      </c>
      <c r="F61" s="1">
        <v>348</v>
      </c>
      <c r="G61" s="7">
        <v>0.4</v>
      </c>
      <c r="H61" s="1">
        <v>50</v>
      </c>
      <c r="I61" s="1" t="s">
        <v>44</v>
      </c>
      <c r="J61" s="1"/>
      <c r="K61" s="1">
        <v>222</v>
      </c>
      <c r="L61" s="1">
        <f t="shared" si="11"/>
        <v>-9</v>
      </c>
      <c r="M61" s="1"/>
      <c r="N61" s="1"/>
      <c r="O61" s="1"/>
      <c r="P61" s="1"/>
      <c r="Q61" s="1"/>
      <c r="R61" s="1"/>
      <c r="S61" s="1"/>
      <c r="T61" s="1">
        <v>152.84200000000001</v>
      </c>
      <c r="U61" s="1">
        <f t="shared" si="12"/>
        <v>42.6</v>
      </c>
      <c r="V61" s="5"/>
      <c r="W61" s="5">
        <f>V61</f>
        <v>0</v>
      </c>
      <c r="X61" s="5"/>
      <c r="Y61" s="5"/>
      <c r="Z61" s="1">
        <f t="shared" si="8"/>
        <v>11.756854460093896</v>
      </c>
      <c r="AA61" s="1">
        <f t="shared" si="13"/>
        <v>11.756854460093896</v>
      </c>
      <c r="AB61" s="1">
        <v>47.8</v>
      </c>
      <c r="AC61" s="1">
        <v>52.2</v>
      </c>
      <c r="AD61" s="1">
        <v>44.4</v>
      </c>
      <c r="AE61" s="1">
        <v>44</v>
      </c>
      <c r="AF61" s="1">
        <v>44</v>
      </c>
      <c r="AG61" s="1">
        <v>47</v>
      </c>
      <c r="AH61" s="1">
        <v>54.8</v>
      </c>
      <c r="AI61" s="1">
        <v>46.8</v>
      </c>
      <c r="AJ61" s="1">
        <v>39.6</v>
      </c>
      <c r="AK61" s="1">
        <v>51</v>
      </c>
      <c r="AL61" s="1"/>
      <c r="AM61" s="1">
        <f t="shared" si="14"/>
        <v>0</v>
      </c>
      <c r="AN61" t="s">
        <v>160</v>
      </c>
      <c r="AO61" s="1">
        <f t="shared" si="9"/>
        <v>0</v>
      </c>
    </row>
    <row r="62" spans="1:41" x14ac:dyDescent="0.25">
      <c r="A62" s="1" t="s">
        <v>161</v>
      </c>
      <c r="B62" s="1" t="s">
        <v>43</v>
      </c>
      <c r="C62" s="1">
        <v>25.815000000000001</v>
      </c>
      <c r="D62" s="1">
        <v>90.542000000000002</v>
      </c>
      <c r="E62" s="1">
        <v>41.978000000000002</v>
      </c>
      <c r="F62" s="1">
        <v>73.006</v>
      </c>
      <c r="G62" s="7">
        <v>1</v>
      </c>
      <c r="H62" s="1">
        <v>40</v>
      </c>
      <c r="I62" s="1" t="s">
        <v>44</v>
      </c>
      <c r="J62" s="1"/>
      <c r="K62" s="1">
        <v>40.5</v>
      </c>
      <c r="L62" s="1">
        <f t="shared" si="11"/>
        <v>1.4780000000000015</v>
      </c>
      <c r="M62" s="1"/>
      <c r="N62" s="1"/>
      <c r="O62" s="1"/>
      <c r="P62" s="1"/>
      <c r="Q62" s="1"/>
      <c r="R62" s="1"/>
      <c r="S62" s="1"/>
      <c r="T62" s="1">
        <v>21.517499999999981</v>
      </c>
      <c r="U62" s="1">
        <f t="shared" si="12"/>
        <v>8.3956</v>
      </c>
      <c r="V62" s="5"/>
      <c r="W62" s="5">
        <f>V62</f>
        <v>0</v>
      </c>
      <c r="X62" s="5"/>
      <c r="Y62" s="5"/>
      <c r="Z62" s="1">
        <f t="shared" si="8"/>
        <v>11.258695030730381</v>
      </c>
      <c r="AA62" s="1">
        <f t="shared" si="13"/>
        <v>11.258695030730381</v>
      </c>
      <c r="AB62" s="1">
        <v>9.6593999999999998</v>
      </c>
      <c r="AC62" s="1">
        <v>9.9038000000000004</v>
      </c>
      <c r="AD62" s="1">
        <v>9.5695999999999994</v>
      </c>
      <c r="AE62" s="1">
        <v>6.2734000000000014</v>
      </c>
      <c r="AF62" s="1">
        <v>4.3106</v>
      </c>
      <c r="AG62" s="1">
        <v>9.2512000000000008</v>
      </c>
      <c r="AH62" s="1">
        <v>10.3636</v>
      </c>
      <c r="AI62" s="1">
        <v>7.3794000000000004</v>
      </c>
      <c r="AJ62" s="1">
        <v>6.3710000000000004</v>
      </c>
      <c r="AK62" s="1">
        <v>7.6786000000000003</v>
      </c>
      <c r="AL62" s="1"/>
      <c r="AM62" s="1">
        <f t="shared" si="14"/>
        <v>0</v>
      </c>
      <c r="AN62" t="s">
        <v>162</v>
      </c>
      <c r="AO62" s="1">
        <f t="shared" si="9"/>
        <v>0</v>
      </c>
    </row>
    <row r="63" spans="1:41" x14ac:dyDescent="0.25">
      <c r="A63" s="1" t="s">
        <v>163</v>
      </c>
      <c r="B63" s="1" t="s">
        <v>43</v>
      </c>
      <c r="C63" s="1">
        <v>27.645</v>
      </c>
      <c r="D63" s="1">
        <v>1.355</v>
      </c>
      <c r="E63" s="1"/>
      <c r="F63" s="1">
        <v>29</v>
      </c>
      <c r="G63" s="7">
        <v>1</v>
      </c>
      <c r="H63" s="1">
        <v>40</v>
      </c>
      <c r="I63" s="1" t="s">
        <v>44</v>
      </c>
      <c r="J63" s="1"/>
      <c r="K63" s="1">
        <v>24.3</v>
      </c>
      <c r="L63" s="1">
        <f t="shared" si="11"/>
        <v>-24.3</v>
      </c>
      <c r="M63" s="1"/>
      <c r="N63" s="1"/>
      <c r="O63" s="1"/>
      <c r="P63" s="1"/>
      <c r="Q63" s="1"/>
      <c r="R63" s="1"/>
      <c r="S63" s="1"/>
      <c r="T63" s="1">
        <v>0</v>
      </c>
      <c r="U63" s="1">
        <f t="shared" si="12"/>
        <v>0</v>
      </c>
      <c r="V63" s="5"/>
      <c r="W63" s="5">
        <f>V63</f>
        <v>0</v>
      </c>
      <c r="X63" s="5"/>
      <c r="Y63" s="5"/>
      <c r="Z63" s="1" t="e">
        <f t="shared" si="8"/>
        <v>#DIV/0!</v>
      </c>
      <c r="AA63" s="1" t="e">
        <f t="shared" si="13"/>
        <v>#DIV/0!</v>
      </c>
      <c r="AB63" s="1">
        <v>0</v>
      </c>
      <c r="AC63" s="1">
        <v>0</v>
      </c>
      <c r="AD63" s="1">
        <v>0.27100000000000002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1.6514</v>
      </c>
      <c r="AK63" s="1">
        <v>0</v>
      </c>
      <c r="AL63" s="12" t="s">
        <v>119</v>
      </c>
      <c r="AM63" s="1">
        <f t="shared" si="14"/>
        <v>0</v>
      </c>
      <c r="AN63" t="s">
        <v>164</v>
      </c>
      <c r="AO63" s="1">
        <f t="shared" si="9"/>
        <v>0</v>
      </c>
    </row>
    <row r="64" spans="1:41" x14ac:dyDescent="0.25">
      <c r="A64" s="1" t="s">
        <v>165</v>
      </c>
      <c r="B64" s="1" t="s">
        <v>51</v>
      </c>
      <c r="C64" s="1">
        <v>969</v>
      </c>
      <c r="D64" s="1">
        <v>649</v>
      </c>
      <c r="E64" s="1">
        <v>851</v>
      </c>
      <c r="F64" s="1">
        <v>672</v>
      </c>
      <c r="G64" s="7">
        <v>0.4</v>
      </c>
      <c r="H64" s="1">
        <v>40</v>
      </c>
      <c r="I64" s="1" t="s">
        <v>44</v>
      </c>
      <c r="J64" s="1"/>
      <c r="K64" s="1">
        <v>863</v>
      </c>
      <c r="L64" s="1">
        <f t="shared" si="11"/>
        <v>-12</v>
      </c>
      <c r="M64" s="1"/>
      <c r="N64" s="1"/>
      <c r="O64" s="1">
        <v>100</v>
      </c>
      <c r="P64" s="1"/>
      <c r="Q64" s="1"/>
      <c r="R64" s="1"/>
      <c r="S64" s="1"/>
      <c r="T64" s="1">
        <v>231.5440000000003</v>
      </c>
      <c r="U64" s="1">
        <f t="shared" si="12"/>
        <v>170.2</v>
      </c>
      <c r="V64" s="5">
        <f>11*U64-T64-S64-R64-Q64-P64-O64-F64</f>
        <v>868.65599999999949</v>
      </c>
      <c r="W64" s="5">
        <f>V64+$W$1*U64</f>
        <v>797.17199999999946</v>
      </c>
      <c r="X64" s="5"/>
      <c r="Y64" s="5"/>
      <c r="Z64" s="1">
        <f t="shared" si="8"/>
        <v>10.58</v>
      </c>
      <c r="AA64" s="1">
        <f t="shared" si="13"/>
        <v>5.896263219741483</v>
      </c>
      <c r="AB64" s="1">
        <v>152.4</v>
      </c>
      <c r="AC64" s="1">
        <v>164.8</v>
      </c>
      <c r="AD64" s="1">
        <v>173.8</v>
      </c>
      <c r="AE64" s="1">
        <v>160</v>
      </c>
      <c r="AF64" s="1">
        <v>166</v>
      </c>
      <c r="AG64" s="1">
        <v>117.8</v>
      </c>
      <c r="AH64" s="1">
        <v>1.8</v>
      </c>
      <c r="AI64" s="1">
        <v>59.2</v>
      </c>
      <c r="AJ64" s="1">
        <v>173.6</v>
      </c>
      <c r="AK64" s="1">
        <v>160.4</v>
      </c>
      <c r="AL64" s="1"/>
      <c r="AM64" s="1">
        <f t="shared" si="14"/>
        <v>319</v>
      </c>
      <c r="AN64" t="s">
        <v>166</v>
      </c>
      <c r="AO64" s="1">
        <f t="shared" si="9"/>
        <v>0</v>
      </c>
    </row>
    <row r="65" spans="1:41" x14ac:dyDescent="0.25">
      <c r="A65" s="1" t="s">
        <v>167</v>
      </c>
      <c r="B65" s="1" t="s">
        <v>51</v>
      </c>
      <c r="C65" s="1">
        <v>635</v>
      </c>
      <c r="D65" s="1">
        <v>507</v>
      </c>
      <c r="E65" s="1">
        <v>616</v>
      </c>
      <c r="F65" s="1">
        <v>468</v>
      </c>
      <c r="G65" s="7">
        <v>0.4</v>
      </c>
      <c r="H65" s="1">
        <v>40</v>
      </c>
      <c r="I65" s="1" t="s">
        <v>44</v>
      </c>
      <c r="J65" s="1"/>
      <c r="K65" s="1">
        <v>628</v>
      </c>
      <c r="L65" s="1">
        <f t="shared" si="11"/>
        <v>-12</v>
      </c>
      <c r="M65" s="1"/>
      <c r="N65" s="1"/>
      <c r="O65" s="1">
        <v>150</v>
      </c>
      <c r="P65" s="1"/>
      <c r="Q65" s="1"/>
      <c r="R65" s="1"/>
      <c r="S65" s="1"/>
      <c r="T65" s="1">
        <v>164.21200000000019</v>
      </c>
      <c r="U65" s="1">
        <f t="shared" si="12"/>
        <v>123.2</v>
      </c>
      <c r="V65" s="5">
        <f>11*U65-T65-S65-R65-Q65-P65-O65-F65</f>
        <v>572.98799999999983</v>
      </c>
      <c r="W65" s="5">
        <f>V65+$W$1*U65</f>
        <v>521.2439999999998</v>
      </c>
      <c r="X65" s="5">
        <v>-522</v>
      </c>
      <c r="Y65" s="5"/>
      <c r="Z65" s="1">
        <f t="shared" si="8"/>
        <v>6.3429870129870141</v>
      </c>
      <c r="AA65" s="1">
        <f t="shared" si="13"/>
        <v>6.3491233766233783</v>
      </c>
      <c r="AB65" s="1">
        <v>116.8</v>
      </c>
      <c r="AC65" s="1">
        <v>135.4</v>
      </c>
      <c r="AD65" s="1">
        <v>128.80000000000001</v>
      </c>
      <c r="AE65" s="1">
        <v>117.6</v>
      </c>
      <c r="AF65" s="1">
        <v>112</v>
      </c>
      <c r="AG65" s="1">
        <v>118.8</v>
      </c>
      <c r="AH65" s="1">
        <v>136</v>
      </c>
      <c r="AI65" s="1">
        <v>111.2</v>
      </c>
      <c r="AJ65" s="1">
        <v>98.8</v>
      </c>
      <c r="AK65" s="1">
        <v>106.6</v>
      </c>
      <c r="AL65" s="1"/>
      <c r="AM65" s="1">
        <f t="shared" si="14"/>
        <v>208</v>
      </c>
      <c r="AN65" t="s">
        <v>168</v>
      </c>
      <c r="AO65" s="1">
        <f t="shared" si="9"/>
        <v>0</v>
      </c>
    </row>
    <row r="66" spans="1:41" x14ac:dyDescent="0.25">
      <c r="A66" s="1" t="s">
        <v>169</v>
      </c>
      <c r="B66" s="1" t="s">
        <v>43</v>
      </c>
      <c r="C66" s="1">
        <v>324.15199999999999</v>
      </c>
      <c r="D66" s="1">
        <v>235.79599999999999</v>
      </c>
      <c r="E66" s="1">
        <v>289.62799999999999</v>
      </c>
      <c r="F66" s="1">
        <v>241.05699999999999</v>
      </c>
      <c r="G66" s="7">
        <v>1</v>
      </c>
      <c r="H66" s="1">
        <v>40</v>
      </c>
      <c r="I66" s="1" t="s">
        <v>44</v>
      </c>
      <c r="J66" s="1"/>
      <c r="K66" s="1">
        <v>278.7</v>
      </c>
      <c r="L66" s="1">
        <f t="shared" si="11"/>
        <v>10.927999999999997</v>
      </c>
      <c r="M66" s="1"/>
      <c r="N66" s="1"/>
      <c r="O66" s="1">
        <v>100</v>
      </c>
      <c r="P66" s="1"/>
      <c r="Q66" s="1"/>
      <c r="R66" s="1"/>
      <c r="S66" s="1"/>
      <c r="T66" s="1">
        <v>230.7409339999999</v>
      </c>
      <c r="U66" s="1">
        <f t="shared" si="12"/>
        <v>57.925599999999996</v>
      </c>
      <c r="V66" s="5">
        <f>11*U66-T66-S66-R66-Q66-P66-O66-F66</f>
        <v>65.38366600000009</v>
      </c>
      <c r="W66" s="5">
        <f>V66</f>
        <v>65.38366600000009</v>
      </c>
      <c r="X66" s="5"/>
      <c r="Y66" s="5"/>
      <c r="Z66" s="1">
        <f t="shared" si="8"/>
        <v>11</v>
      </c>
      <c r="AA66" s="1">
        <f t="shared" si="13"/>
        <v>9.8712474967889836</v>
      </c>
      <c r="AB66" s="1">
        <v>62.245600000000003</v>
      </c>
      <c r="AC66" s="1">
        <v>58.9818</v>
      </c>
      <c r="AD66" s="1">
        <v>54.386400000000002</v>
      </c>
      <c r="AE66" s="1">
        <v>55.517999999999986</v>
      </c>
      <c r="AF66" s="1">
        <v>56.362400000000001</v>
      </c>
      <c r="AG66" s="1">
        <v>55.415399999999998</v>
      </c>
      <c r="AH66" s="1">
        <v>51.524800000000013</v>
      </c>
      <c r="AI66" s="1">
        <v>54.320799999999998</v>
      </c>
      <c r="AJ66" s="1">
        <v>57.605800000000002</v>
      </c>
      <c r="AK66" s="1">
        <v>53.382199999999997</v>
      </c>
      <c r="AL66" s="1"/>
      <c r="AM66" s="1">
        <f t="shared" si="14"/>
        <v>65</v>
      </c>
      <c r="AN66" t="s">
        <v>170</v>
      </c>
      <c r="AO66" s="1">
        <f t="shared" si="9"/>
        <v>0</v>
      </c>
    </row>
    <row r="67" spans="1:41" x14ac:dyDescent="0.25">
      <c r="A67" s="1" t="s">
        <v>171</v>
      </c>
      <c r="B67" s="1" t="s">
        <v>43</v>
      </c>
      <c r="C67" s="1">
        <v>504.01400000000001</v>
      </c>
      <c r="D67" s="1">
        <v>159.63999999999999</v>
      </c>
      <c r="E67" s="1">
        <v>334.81</v>
      </c>
      <c r="F67" s="1">
        <v>294.41399999999999</v>
      </c>
      <c r="G67" s="7">
        <v>1</v>
      </c>
      <c r="H67" s="1">
        <v>40</v>
      </c>
      <c r="I67" s="1" t="s">
        <v>44</v>
      </c>
      <c r="J67" s="1"/>
      <c r="K67" s="1">
        <v>333.7</v>
      </c>
      <c r="L67" s="1">
        <f t="shared" si="11"/>
        <v>1.1100000000000136</v>
      </c>
      <c r="M67" s="1"/>
      <c r="N67" s="1"/>
      <c r="O67" s="1">
        <v>100</v>
      </c>
      <c r="P67" s="1"/>
      <c r="Q67" s="1"/>
      <c r="R67" s="1"/>
      <c r="S67" s="1"/>
      <c r="T67" s="1">
        <v>243.77889999999999</v>
      </c>
      <c r="U67" s="1">
        <f t="shared" si="12"/>
        <v>66.962000000000003</v>
      </c>
      <c r="V67" s="5">
        <f>11*U67-T67-S67-R67-Q67-P67-O67-F67</f>
        <v>98.389099999999985</v>
      </c>
      <c r="W67" s="5">
        <f>V67</f>
        <v>98.389099999999985</v>
      </c>
      <c r="X67" s="5"/>
      <c r="Y67" s="5"/>
      <c r="Z67" s="1">
        <f t="shared" si="8"/>
        <v>11</v>
      </c>
      <c r="AA67" s="1">
        <f t="shared" si="13"/>
        <v>9.5306726202921048</v>
      </c>
      <c r="AB67" s="1">
        <v>73.197400000000002</v>
      </c>
      <c r="AC67" s="1">
        <v>65.809600000000003</v>
      </c>
      <c r="AD67" s="1">
        <v>65.876199999999997</v>
      </c>
      <c r="AE67" s="1">
        <v>82.411199999999994</v>
      </c>
      <c r="AF67" s="1">
        <v>48.477800000000002</v>
      </c>
      <c r="AG67" s="1">
        <v>36.398000000000003</v>
      </c>
      <c r="AH67" s="1">
        <v>60.998600000000003</v>
      </c>
      <c r="AI67" s="1">
        <v>63.899800000000013</v>
      </c>
      <c r="AJ67" s="1">
        <v>60.8812</v>
      </c>
      <c r="AK67" s="1">
        <v>55.814999999999998</v>
      </c>
      <c r="AL67" s="1"/>
      <c r="AM67" s="1">
        <f t="shared" si="14"/>
        <v>98</v>
      </c>
      <c r="AN67" t="s">
        <v>172</v>
      </c>
      <c r="AO67" s="1">
        <f t="shared" si="9"/>
        <v>0</v>
      </c>
    </row>
    <row r="68" spans="1:41" x14ac:dyDescent="0.25">
      <c r="A68" s="1" t="s">
        <v>173</v>
      </c>
      <c r="B68" s="1" t="s">
        <v>43</v>
      </c>
      <c r="C68" s="1">
        <v>984.28899999999999</v>
      </c>
      <c r="D68" s="1">
        <v>649.98400000000004</v>
      </c>
      <c r="E68" s="1">
        <v>846.09699999999998</v>
      </c>
      <c r="F68" s="1">
        <v>719.54300000000001</v>
      </c>
      <c r="G68" s="7">
        <v>1</v>
      </c>
      <c r="H68" s="1">
        <v>40</v>
      </c>
      <c r="I68" s="1" t="s">
        <v>44</v>
      </c>
      <c r="J68" s="1"/>
      <c r="K68" s="1">
        <v>815.17499999999995</v>
      </c>
      <c r="L68" s="1">
        <f t="shared" si="11"/>
        <v>30.922000000000025</v>
      </c>
      <c r="M68" s="1"/>
      <c r="N68" s="1"/>
      <c r="O68" s="1">
        <v>200</v>
      </c>
      <c r="P68" s="1"/>
      <c r="Q68" s="1"/>
      <c r="R68" s="1"/>
      <c r="S68" s="1"/>
      <c r="T68" s="1">
        <v>373.54852000000039</v>
      </c>
      <c r="U68" s="1">
        <f t="shared" si="12"/>
        <v>169.21940000000001</v>
      </c>
      <c r="V68" s="5">
        <f>11*U68-T68-S68-R68-Q68-P68-O68-F68</f>
        <v>568.32187999999962</v>
      </c>
      <c r="W68" s="5">
        <f>V68+$W$1*U68</f>
        <v>497.24973199999965</v>
      </c>
      <c r="X68" s="5"/>
      <c r="Y68" s="5"/>
      <c r="Z68" s="1">
        <f t="shared" si="8"/>
        <v>10.58</v>
      </c>
      <c r="AA68" s="1">
        <f t="shared" si="13"/>
        <v>7.6415087159037345</v>
      </c>
      <c r="AB68" s="1">
        <v>161.20079999999999</v>
      </c>
      <c r="AC68" s="1">
        <v>159.1652</v>
      </c>
      <c r="AD68" s="1">
        <v>160.1902</v>
      </c>
      <c r="AE68" s="1">
        <v>149.44159999999999</v>
      </c>
      <c r="AF68" s="1">
        <v>190.0198</v>
      </c>
      <c r="AG68" s="1">
        <v>208.4572</v>
      </c>
      <c r="AH68" s="1">
        <v>162.64080000000001</v>
      </c>
      <c r="AI68" s="1">
        <v>146.6738</v>
      </c>
      <c r="AJ68" s="1">
        <v>139.87819999999999</v>
      </c>
      <c r="AK68" s="1">
        <v>156.87700000000001</v>
      </c>
      <c r="AL68" s="1"/>
      <c r="AM68" s="1">
        <f t="shared" si="14"/>
        <v>497</v>
      </c>
      <c r="AN68" t="s">
        <v>174</v>
      </c>
      <c r="AO68" s="1">
        <f t="shared" si="9"/>
        <v>0</v>
      </c>
    </row>
    <row r="69" spans="1:41" x14ac:dyDescent="0.25">
      <c r="A69" s="1" t="s">
        <v>175</v>
      </c>
      <c r="B69" s="1" t="s">
        <v>43</v>
      </c>
      <c r="C69" s="1">
        <v>199.19</v>
      </c>
      <c r="D69" s="1">
        <v>313.149</v>
      </c>
      <c r="E69" s="1">
        <v>253.089</v>
      </c>
      <c r="F69" s="1">
        <v>219.03800000000001</v>
      </c>
      <c r="G69" s="7">
        <v>1</v>
      </c>
      <c r="H69" s="1">
        <v>40</v>
      </c>
      <c r="I69" s="1" t="s">
        <v>44</v>
      </c>
      <c r="J69" s="1"/>
      <c r="K69" s="1">
        <v>259</v>
      </c>
      <c r="L69" s="1">
        <f t="shared" si="11"/>
        <v>-5.9110000000000014</v>
      </c>
      <c r="M69" s="1"/>
      <c r="N69" s="1"/>
      <c r="O69" s="1">
        <v>150</v>
      </c>
      <c r="P69" s="1"/>
      <c r="Q69" s="1"/>
      <c r="R69" s="1"/>
      <c r="S69" s="1"/>
      <c r="T69" s="1">
        <v>218.91163200000011</v>
      </c>
      <c r="U69" s="1">
        <f t="shared" si="12"/>
        <v>50.617800000000003</v>
      </c>
      <c r="V69" s="5"/>
      <c r="W69" s="5">
        <f t="shared" ref="W69:W86" si="18">V69</f>
        <v>0</v>
      </c>
      <c r="X69" s="5"/>
      <c r="Y69" s="5"/>
      <c r="Z69" s="1">
        <f t="shared" si="8"/>
        <v>11.615471869579476</v>
      </c>
      <c r="AA69" s="1">
        <f t="shared" si="13"/>
        <v>11.615471869579476</v>
      </c>
      <c r="AB69" s="1">
        <v>59.919400000000003</v>
      </c>
      <c r="AC69" s="1">
        <v>55.928999999999988</v>
      </c>
      <c r="AD69" s="1">
        <v>43.223999999999997</v>
      </c>
      <c r="AE69" s="1">
        <v>44.775199999999998</v>
      </c>
      <c r="AF69" s="1">
        <v>49.704599999999999</v>
      </c>
      <c r="AG69" s="1">
        <v>48.999200000000002</v>
      </c>
      <c r="AH69" s="1">
        <v>42.549799999999998</v>
      </c>
      <c r="AI69" s="1">
        <v>40.731400000000001</v>
      </c>
      <c r="AJ69" s="1">
        <v>43.162799999999997</v>
      </c>
      <c r="AK69" s="1">
        <v>43.538400000000003</v>
      </c>
      <c r="AL69" s="1"/>
      <c r="AM69" s="1">
        <f t="shared" si="14"/>
        <v>0</v>
      </c>
      <c r="AN69" t="s">
        <v>176</v>
      </c>
      <c r="AO69" s="1">
        <f t="shared" si="9"/>
        <v>0</v>
      </c>
    </row>
    <row r="70" spans="1:41" x14ac:dyDescent="0.25">
      <c r="A70" s="1" t="s">
        <v>177</v>
      </c>
      <c r="B70" s="1" t="s">
        <v>51</v>
      </c>
      <c r="C70" s="1">
        <v>20</v>
      </c>
      <c r="D70" s="1"/>
      <c r="E70" s="1">
        <v>4</v>
      </c>
      <c r="F70" s="1">
        <v>16</v>
      </c>
      <c r="G70" s="7">
        <v>0.6</v>
      </c>
      <c r="H70" s="1">
        <v>70</v>
      </c>
      <c r="I70" s="1" t="s">
        <v>44</v>
      </c>
      <c r="J70" s="1"/>
      <c r="K70" s="1">
        <v>4</v>
      </c>
      <c r="L70" s="1">
        <f t="shared" ref="L70:L101" si="19">E70-K70</f>
        <v>0</v>
      </c>
      <c r="M70" s="1"/>
      <c r="N70" s="1"/>
      <c r="O70" s="1"/>
      <c r="P70" s="1"/>
      <c r="Q70" s="1"/>
      <c r="R70" s="1"/>
      <c r="S70" s="1"/>
      <c r="T70" s="1">
        <v>0</v>
      </c>
      <c r="U70" s="1">
        <f t="shared" ref="U70:U101" si="20">E70/5</f>
        <v>0.8</v>
      </c>
      <c r="V70" s="5"/>
      <c r="W70" s="5">
        <f t="shared" si="18"/>
        <v>0</v>
      </c>
      <c r="X70" s="5"/>
      <c r="Y70" s="5"/>
      <c r="Z70" s="1">
        <f t="shared" si="8"/>
        <v>20</v>
      </c>
      <c r="AA70" s="1">
        <f t="shared" ref="AA70:AA101" si="21">(F70+O70+P70+Q70+R70+S70+T70)/U70</f>
        <v>20</v>
      </c>
      <c r="AB70" s="1">
        <v>0.8</v>
      </c>
      <c r="AC70" s="1">
        <v>1</v>
      </c>
      <c r="AD70" s="1">
        <v>0.8</v>
      </c>
      <c r="AE70" s="1">
        <v>1.4</v>
      </c>
      <c r="AF70" s="1">
        <v>1.8</v>
      </c>
      <c r="AG70" s="1">
        <v>2.2000000000000002</v>
      </c>
      <c r="AH70" s="1">
        <v>1.8</v>
      </c>
      <c r="AI70" s="1">
        <v>2</v>
      </c>
      <c r="AJ70" s="1">
        <v>2</v>
      </c>
      <c r="AK70" s="1">
        <v>0.6</v>
      </c>
      <c r="AL70" s="12" t="s">
        <v>119</v>
      </c>
      <c r="AM70" s="1">
        <f t="shared" ref="AM70:AM101" si="22">ROUND(G70*W70,0)</f>
        <v>0</v>
      </c>
      <c r="AN70" t="s">
        <v>178</v>
      </c>
      <c r="AO70" s="1">
        <f t="shared" si="9"/>
        <v>0</v>
      </c>
    </row>
    <row r="71" spans="1:41" x14ac:dyDescent="0.25">
      <c r="A71" s="1" t="s">
        <v>179</v>
      </c>
      <c r="B71" s="1" t="s">
        <v>43</v>
      </c>
      <c r="C71" s="1">
        <v>497.70499999999998</v>
      </c>
      <c r="D71" s="1">
        <v>362.09199999999998</v>
      </c>
      <c r="E71" s="1">
        <v>303.99900000000002</v>
      </c>
      <c r="F71" s="1">
        <v>368.05399999999997</v>
      </c>
      <c r="G71" s="7">
        <v>1</v>
      </c>
      <c r="H71" s="1">
        <v>30</v>
      </c>
      <c r="I71" s="1" t="s">
        <v>44</v>
      </c>
      <c r="J71" s="1"/>
      <c r="K71" s="1">
        <v>393.55</v>
      </c>
      <c r="L71" s="1">
        <f t="shared" si="19"/>
        <v>-89.550999999999988</v>
      </c>
      <c r="M71" s="1"/>
      <c r="N71" s="1"/>
      <c r="O71" s="1"/>
      <c r="P71" s="1"/>
      <c r="Q71" s="1"/>
      <c r="R71" s="1"/>
      <c r="S71" s="1"/>
      <c r="T71" s="1">
        <v>156.94920000000019</v>
      </c>
      <c r="U71" s="1">
        <f t="shared" si="20"/>
        <v>60.799800000000005</v>
      </c>
      <c r="V71" s="5">
        <f>11*U71-T71-S71-R71-Q71-P71-O71-F71</f>
        <v>143.79459999999989</v>
      </c>
      <c r="W71" s="5">
        <f t="shared" si="18"/>
        <v>143.79459999999989</v>
      </c>
      <c r="X71" s="5"/>
      <c r="Y71" s="5"/>
      <c r="Z71" s="1">
        <f t="shared" ref="Z71:Z134" si="23">(F71+O71+P71+Q71+R71+S71+T71+W71+X71+Y71)/U71</f>
        <v>11</v>
      </c>
      <c r="AA71" s="1">
        <f t="shared" si="21"/>
        <v>8.6349494570705829</v>
      </c>
      <c r="AB71" s="1">
        <v>58.539200000000008</v>
      </c>
      <c r="AC71" s="1">
        <v>62.701199999999993</v>
      </c>
      <c r="AD71" s="1">
        <v>68.597200000000001</v>
      </c>
      <c r="AE71" s="1">
        <v>68.655000000000001</v>
      </c>
      <c r="AF71" s="1">
        <v>75.647000000000006</v>
      </c>
      <c r="AG71" s="1">
        <v>85.370399999999989</v>
      </c>
      <c r="AH71" s="1">
        <v>94.19919999999999</v>
      </c>
      <c r="AI71" s="1">
        <v>102.74299999999999</v>
      </c>
      <c r="AJ71" s="1">
        <v>104.8986</v>
      </c>
      <c r="AK71" s="1">
        <v>110.6538</v>
      </c>
      <c r="AL71" s="1"/>
      <c r="AM71" s="1">
        <f t="shared" si="22"/>
        <v>144</v>
      </c>
      <c r="AN71" t="s">
        <v>180</v>
      </c>
      <c r="AO71" s="1">
        <f t="shared" ref="AO71:AO134" si="24">ROUND(G71*Y71,0)</f>
        <v>0</v>
      </c>
    </row>
    <row r="72" spans="1:41" x14ac:dyDescent="0.25">
      <c r="A72" s="1" t="s">
        <v>181</v>
      </c>
      <c r="B72" s="1" t="s">
        <v>51</v>
      </c>
      <c r="C72" s="1">
        <v>114</v>
      </c>
      <c r="D72" s="1">
        <v>157</v>
      </c>
      <c r="E72" s="1">
        <v>75</v>
      </c>
      <c r="F72" s="1">
        <v>190</v>
      </c>
      <c r="G72" s="7">
        <v>0.6</v>
      </c>
      <c r="H72" s="1">
        <v>60</v>
      </c>
      <c r="I72" s="1" t="s">
        <v>44</v>
      </c>
      <c r="J72" s="1"/>
      <c r="K72" s="1">
        <v>93</v>
      </c>
      <c r="L72" s="1">
        <f t="shared" si="19"/>
        <v>-18</v>
      </c>
      <c r="M72" s="1"/>
      <c r="N72" s="1"/>
      <c r="O72" s="1"/>
      <c r="P72" s="1"/>
      <c r="Q72" s="1"/>
      <c r="R72" s="1"/>
      <c r="S72" s="1"/>
      <c r="T72" s="1">
        <v>113.8</v>
      </c>
      <c r="U72" s="1">
        <f t="shared" si="20"/>
        <v>15</v>
      </c>
      <c r="V72" s="5"/>
      <c r="W72" s="5">
        <f t="shared" si="18"/>
        <v>0</v>
      </c>
      <c r="X72" s="5"/>
      <c r="Y72" s="5"/>
      <c r="Z72" s="1">
        <f t="shared" si="23"/>
        <v>20.253333333333334</v>
      </c>
      <c r="AA72" s="1">
        <f t="shared" si="21"/>
        <v>20.253333333333334</v>
      </c>
      <c r="AB72" s="1">
        <v>22.8</v>
      </c>
      <c r="AC72" s="1">
        <v>22.4</v>
      </c>
      <c r="AD72" s="1">
        <v>20.6</v>
      </c>
      <c r="AE72" s="1">
        <v>18.399999999999999</v>
      </c>
      <c r="AF72" s="1">
        <v>20</v>
      </c>
      <c r="AG72" s="1">
        <v>22.2</v>
      </c>
      <c r="AH72" s="1">
        <v>23.4</v>
      </c>
      <c r="AI72" s="1">
        <v>26.6</v>
      </c>
      <c r="AJ72" s="1">
        <v>23.6</v>
      </c>
      <c r="AK72" s="1">
        <v>21.8</v>
      </c>
      <c r="AL72" s="12" t="s">
        <v>119</v>
      </c>
      <c r="AM72" s="1">
        <f t="shared" si="22"/>
        <v>0</v>
      </c>
      <c r="AN72" t="s">
        <v>182</v>
      </c>
      <c r="AO72" s="1">
        <f t="shared" si="24"/>
        <v>0</v>
      </c>
    </row>
    <row r="73" spans="1:41" x14ac:dyDescent="0.25">
      <c r="A73" s="1" t="s">
        <v>183</v>
      </c>
      <c r="B73" s="1" t="s">
        <v>51</v>
      </c>
      <c r="C73" s="1">
        <v>25</v>
      </c>
      <c r="D73" s="1">
        <v>65</v>
      </c>
      <c r="E73" s="1">
        <v>21</v>
      </c>
      <c r="F73" s="1">
        <v>66</v>
      </c>
      <c r="G73" s="7">
        <v>0.6</v>
      </c>
      <c r="H73" s="1">
        <v>60</v>
      </c>
      <c r="I73" s="1" t="s">
        <v>44</v>
      </c>
      <c r="J73" s="1"/>
      <c r="K73" s="1">
        <v>22</v>
      </c>
      <c r="L73" s="1">
        <f t="shared" si="19"/>
        <v>-1</v>
      </c>
      <c r="M73" s="1"/>
      <c r="N73" s="1"/>
      <c r="O73" s="1"/>
      <c r="P73" s="1"/>
      <c r="Q73" s="1"/>
      <c r="R73" s="1"/>
      <c r="S73" s="1"/>
      <c r="T73" s="1">
        <v>0</v>
      </c>
      <c r="U73" s="1">
        <f t="shared" si="20"/>
        <v>4.2</v>
      </c>
      <c r="V73" s="5"/>
      <c r="W73" s="5">
        <f t="shared" si="18"/>
        <v>0</v>
      </c>
      <c r="X73" s="5"/>
      <c r="Y73" s="5"/>
      <c r="Z73" s="1">
        <f t="shared" si="23"/>
        <v>15.714285714285714</v>
      </c>
      <c r="AA73" s="1">
        <f t="shared" si="21"/>
        <v>15.714285714285714</v>
      </c>
      <c r="AB73" s="1">
        <v>4.4000000000000004</v>
      </c>
      <c r="AC73" s="1">
        <v>7.2</v>
      </c>
      <c r="AD73" s="1">
        <v>6.4</v>
      </c>
      <c r="AE73" s="1">
        <v>5.6</v>
      </c>
      <c r="AF73" s="1">
        <v>5.6</v>
      </c>
      <c r="AG73" s="1">
        <v>6.8</v>
      </c>
      <c r="AH73" s="1">
        <v>6.6</v>
      </c>
      <c r="AI73" s="1">
        <v>3.6</v>
      </c>
      <c r="AJ73" s="1">
        <v>4.8</v>
      </c>
      <c r="AK73" s="1">
        <v>5.2</v>
      </c>
      <c r="AL73" s="1"/>
      <c r="AM73" s="1">
        <f t="shared" si="22"/>
        <v>0</v>
      </c>
      <c r="AN73" t="s">
        <v>184</v>
      </c>
      <c r="AO73" s="1">
        <f t="shared" si="24"/>
        <v>0</v>
      </c>
    </row>
    <row r="74" spans="1:41" x14ac:dyDescent="0.25">
      <c r="A74" s="1" t="s">
        <v>185</v>
      </c>
      <c r="B74" s="1" t="s">
        <v>51</v>
      </c>
      <c r="C74" s="1">
        <v>135</v>
      </c>
      <c r="D74" s="1">
        <v>160</v>
      </c>
      <c r="E74" s="1">
        <v>86</v>
      </c>
      <c r="F74" s="1">
        <v>192</v>
      </c>
      <c r="G74" s="7">
        <v>0.4</v>
      </c>
      <c r="H74" s="1">
        <v>90</v>
      </c>
      <c r="I74" s="1" t="s">
        <v>44</v>
      </c>
      <c r="J74" s="1"/>
      <c r="K74" s="1">
        <v>92</v>
      </c>
      <c r="L74" s="1">
        <f t="shared" si="19"/>
        <v>-6</v>
      </c>
      <c r="M74" s="1"/>
      <c r="N74" s="1"/>
      <c r="O74" s="1"/>
      <c r="P74" s="1"/>
      <c r="Q74" s="1"/>
      <c r="R74" s="1"/>
      <c r="S74" s="1"/>
      <c r="T74" s="1">
        <v>26.300000000000011</v>
      </c>
      <c r="U74" s="1">
        <f t="shared" si="20"/>
        <v>17.2</v>
      </c>
      <c r="V74" s="5"/>
      <c r="W74" s="5">
        <f t="shared" si="18"/>
        <v>0</v>
      </c>
      <c r="X74" s="5"/>
      <c r="Y74" s="5"/>
      <c r="Z74" s="1">
        <f t="shared" si="23"/>
        <v>12.69186046511628</v>
      </c>
      <c r="AA74" s="1">
        <f t="shared" si="21"/>
        <v>12.69186046511628</v>
      </c>
      <c r="AB74" s="1">
        <v>22.6</v>
      </c>
      <c r="AC74" s="1">
        <v>24.6</v>
      </c>
      <c r="AD74" s="1">
        <v>23.8</v>
      </c>
      <c r="AE74" s="1">
        <v>22.8</v>
      </c>
      <c r="AF74" s="1">
        <v>18.8</v>
      </c>
      <c r="AG74" s="1">
        <v>16.399999999999999</v>
      </c>
      <c r="AH74" s="1">
        <v>18.2</v>
      </c>
      <c r="AI74" s="1">
        <v>24.4</v>
      </c>
      <c r="AJ74" s="1">
        <v>22.6</v>
      </c>
      <c r="AK74" s="1">
        <v>17.2</v>
      </c>
      <c r="AL74" s="1"/>
      <c r="AM74" s="1">
        <f t="shared" si="22"/>
        <v>0</v>
      </c>
      <c r="AN74" t="s">
        <v>186</v>
      </c>
      <c r="AO74" s="1">
        <f t="shared" si="24"/>
        <v>0</v>
      </c>
    </row>
    <row r="75" spans="1:41" x14ac:dyDescent="0.25">
      <c r="A75" s="1" t="s">
        <v>187</v>
      </c>
      <c r="B75" s="1" t="s">
        <v>51</v>
      </c>
      <c r="C75" s="1">
        <v>225</v>
      </c>
      <c r="D75" s="1">
        <v>72</v>
      </c>
      <c r="E75" s="1">
        <v>119</v>
      </c>
      <c r="F75" s="1">
        <v>170</v>
      </c>
      <c r="G75" s="7">
        <v>0.33</v>
      </c>
      <c r="H75" s="1">
        <v>60</v>
      </c>
      <c r="I75" s="1" t="s">
        <v>44</v>
      </c>
      <c r="J75" s="1"/>
      <c r="K75" s="1">
        <v>125</v>
      </c>
      <c r="L75" s="1">
        <f t="shared" si="19"/>
        <v>-6</v>
      </c>
      <c r="M75" s="1"/>
      <c r="N75" s="1"/>
      <c r="O75" s="1"/>
      <c r="P75" s="1"/>
      <c r="Q75" s="1"/>
      <c r="R75" s="1"/>
      <c r="S75" s="1"/>
      <c r="T75" s="1">
        <v>46.5</v>
      </c>
      <c r="U75" s="1">
        <f t="shared" si="20"/>
        <v>23.8</v>
      </c>
      <c r="V75" s="5">
        <f>11*U75-T75-S75-R75-Q75-P75-O75-F75</f>
        <v>45.300000000000011</v>
      </c>
      <c r="W75" s="5">
        <f t="shared" si="18"/>
        <v>45.300000000000011</v>
      </c>
      <c r="X75" s="5"/>
      <c r="Y75" s="5"/>
      <c r="Z75" s="1">
        <f t="shared" si="23"/>
        <v>11</v>
      </c>
      <c r="AA75" s="1">
        <f t="shared" si="21"/>
        <v>9.0966386554621845</v>
      </c>
      <c r="AB75" s="1">
        <v>24.6</v>
      </c>
      <c r="AC75" s="1">
        <v>25.2</v>
      </c>
      <c r="AD75" s="1">
        <v>29</v>
      </c>
      <c r="AE75" s="1">
        <v>31.6</v>
      </c>
      <c r="AF75" s="1">
        <v>21.4</v>
      </c>
      <c r="AG75" s="1">
        <v>17</v>
      </c>
      <c r="AH75" s="1">
        <v>21.6</v>
      </c>
      <c r="AI75" s="1">
        <v>27.8</v>
      </c>
      <c r="AJ75" s="1">
        <v>25.2</v>
      </c>
      <c r="AK75" s="1">
        <v>21.6</v>
      </c>
      <c r="AL75" s="1"/>
      <c r="AM75" s="1">
        <f t="shared" si="22"/>
        <v>15</v>
      </c>
      <c r="AN75" t="s">
        <v>188</v>
      </c>
      <c r="AO75" s="1">
        <f t="shared" si="24"/>
        <v>0</v>
      </c>
    </row>
    <row r="76" spans="1:41" x14ac:dyDescent="0.25">
      <c r="A76" s="1" t="s">
        <v>189</v>
      </c>
      <c r="B76" s="1" t="s">
        <v>51</v>
      </c>
      <c r="C76" s="1">
        <v>123</v>
      </c>
      <c r="D76" s="1">
        <v>24</v>
      </c>
      <c r="E76" s="1">
        <v>78</v>
      </c>
      <c r="F76" s="1">
        <v>59</v>
      </c>
      <c r="G76" s="7">
        <v>0.35</v>
      </c>
      <c r="H76" s="1">
        <v>90</v>
      </c>
      <c r="I76" s="1" t="s">
        <v>44</v>
      </c>
      <c r="J76" s="1"/>
      <c r="K76" s="1">
        <v>82</v>
      </c>
      <c r="L76" s="1">
        <f t="shared" si="19"/>
        <v>-4</v>
      </c>
      <c r="M76" s="1"/>
      <c r="N76" s="1"/>
      <c r="O76" s="1"/>
      <c r="P76" s="1"/>
      <c r="Q76" s="1"/>
      <c r="R76" s="1"/>
      <c r="S76" s="1"/>
      <c r="T76" s="1">
        <v>55.400000000000013</v>
      </c>
      <c r="U76" s="1">
        <f t="shared" si="20"/>
        <v>15.6</v>
      </c>
      <c r="V76" s="5">
        <f>11*U76-T76-S76-R76-Q76-P76-O76-F76</f>
        <v>57.199999999999989</v>
      </c>
      <c r="W76" s="5">
        <f t="shared" si="18"/>
        <v>57.199999999999989</v>
      </c>
      <c r="X76" s="5"/>
      <c r="Y76" s="5"/>
      <c r="Z76" s="1">
        <f t="shared" si="23"/>
        <v>11</v>
      </c>
      <c r="AA76" s="1">
        <f t="shared" si="21"/>
        <v>7.3333333333333339</v>
      </c>
      <c r="AB76" s="1">
        <v>13.6</v>
      </c>
      <c r="AC76" s="1">
        <v>12.6</v>
      </c>
      <c r="AD76" s="1">
        <v>8.6</v>
      </c>
      <c r="AE76" s="1">
        <v>12.6</v>
      </c>
      <c r="AF76" s="1">
        <v>17</v>
      </c>
      <c r="AG76" s="1">
        <v>9.8000000000000007</v>
      </c>
      <c r="AH76" s="1">
        <v>8.1999999999999993</v>
      </c>
      <c r="AI76" s="1">
        <v>14.6</v>
      </c>
      <c r="AJ76" s="1">
        <v>10.8</v>
      </c>
      <c r="AK76" s="1">
        <v>9</v>
      </c>
      <c r="AL76" s="1"/>
      <c r="AM76" s="1">
        <f t="shared" si="22"/>
        <v>20</v>
      </c>
      <c r="AN76" t="s">
        <v>190</v>
      </c>
      <c r="AO76" s="1">
        <f t="shared" si="24"/>
        <v>0</v>
      </c>
    </row>
    <row r="77" spans="1:41" x14ac:dyDescent="0.25">
      <c r="A77" s="1" t="s">
        <v>191</v>
      </c>
      <c r="B77" s="1" t="s">
        <v>51</v>
      </c>
      <c r="C77" s="1">
        <v>657</v>
      </c>
      <c r="D77" s="1">
        <v>480</v>
      </c>
      <c r="E77" s="1">
        <v>423</v>
      </c>
      <c r="F77" s="1">
        <v>697</v>
      </c>
      <c r="G77" s="7">
        <v>0.37</v>
      </c>
      <c r="H77" s="1">
        <v>50</v>
      </c>
      <c r="I77" s="1" t="s">
        <v>44</v>
      </c>
      <c r="J77" s="1"/>
      <c r="K77" s="1">
        <v>426</v>
      </c>
      <c r="L77" s="1">
        <f t="shared" si="19"/>
        <v>-3</v>
      </c>
      <c r="M77" s="1"/>
      <c r="N77" s="1"/>
      <c r="O77" s="1">
        <v>100</v>
      </c>
      <c r="P77" s="1"/>
      <c r="Q77" s="1"/>
      <c r="R77" s="1"/>
      <c r="S77" s="1"/>
      <c r="T77" s="1">
        <v>273.57400000000013</v>
      </c>
      <c r="U77" s="1">
        <f t="shared" si="20"/>
        <v>84.6</v>
      </c>
      <c r="V77" s="5"/>
      <c r="W77" s="5">
        <f t="shared" si="18"/>
        <v>0</v>
      </c>
      <c r="X77" s="5"/>
      <c r="Y77" s="5"/>
      <c r="Z77" s="1">
        <f t="shared" si="23"/>
        <v>12.6545390070922</v>
      </c>
      <c r="AA77" s="1">
        <f t="shared" si="21"/>
        <v>12.6545390070922</v>
      </c>
      <c r="AB77" s="1">
        <v>103.8</v>
      </c>
      <c r="AC77" s="1">
        <v>109.6</v>
      </c>
      <c r="AD77" s="1">
        <v>106.2</v>
      </c>
      <c r="AE77" s="1">
        <v>107.6</v>
      </c>
      <c r="AF77" s="1">
        <v>106.8</v>
      </c>
      <c r="AG77" s="1">
        <v>116.8</v>
      </c>
      <c r="AH77" s="1">
        <v>116</v>
      </c>
      <c r="AI77" s="1">
        <v>112.8</v>
      </c>
      <c r="AJ77" s="1">
        <v>115.4</v>
      </c>
      <c r="AK77" s="1">
        <v>108</v>
      </c>
      <c r="AL77" s="1"/>
      <c r="AM77" s="1">
        <f t="shared" si="22"/>
        <v>0</v>
      </c>
      <c r="AN77" t="s">
        <v>192</v>
      </c>
      <c r="AO77" s="1">
        <f t="shared" si="24"/>
        <v>0</v>
      </c>
    </row>
    <row r="78" spans="1:41" x14ac:dyDescent="0.25">
      <c r="A78" s="1" t="s">
        <v>193</v>
      </c>
      <c r="B78" s="1" t="s">
        <v>51</v>
      </c>
      <c r="C78" s="1">
        <v>165</v>
      </c>
      <c r="D78" s="1">
        <v>112</v>
      </c>
      <c r="E78" s="1">
        <v>111</v>
      </c>
      <c r="F78" s="1">
        <v>164</v>
      </c>
      <c r="G78" s="7">
        <v>0.6</v>
      </c>
      <c r="H78" s="1">
        <v>70</v>
      </c>
      <c r="I78" s="1" t="s">
        <v>44</v>
      </c>
      <c r="J78" s="1"/>
      <c r="K78" s="1">
        <v>111</v>
      </c>
      <c r="L78" s="1">
        <f t="shared" si="19"/>
        <v>0</v>
      </c>
      <c r="M78" s="1"/>
      <c r="N78" s="1"/>
      <c r="O78" s="1"/>
      <c r="P78" s="1"/>
      <c r="Q78" s="1"/>
      <c r="R78" s="1"/>
      <c r="S78" s="1"/>
      <c r="T78" s="1">
        <v>25.800000000000072</v>
      </c>
      <c r="U78" s="1">
        <f t="shared" si="20"/>
        <v>22.2</v>
      </c>
      <c r="V78" s="5">
        <f>11*U78-T78-S78-R78-Q78-P78-O78-F78</f>
        <v>54.39999999999992</v>
      </c>
      <c r="W78" s="5">
        <f t="shared" si="18"/>
        <v>54.39999999999992</v>
      </c>
      <c r="X78" s="5"/>
      <c r="Y78" s="5"/>
      <c r="Z78" s="1">
        <f t="shared" si="23"/>
        <v>11</v>
      </c>
      <c r="AA78" s="1">
        <f t="shared" si="21"/>
        <v>8.5495495495495533</v>
      </c>
      <c r="AB78" s="1">
        <v>20</v>
      </c>
      <c r="AC78" s="1">
        <v>24.4</v>
      </c>
      <c r="AD78" s="1">
        <v>23.6</v>
      </c>
      <c r="AE78" s="1">
        <v>16.2</v>
      </c>
      <c r="AF78" s="1">
        <v>17.600000000000001</v>
      </c>
      <c r="AG78" s="1">
        <v>25.8</v>
      </c>
      <c r="AH78" s="1">
        <v>31.2</v>
      </c>
      <c r="AI78" s="1">
        <v>25.4</v>
      </c>
      <c r="AJ78" s="1">
        <v>25.4</v>
      </c>
      <c r="AK78" s="1">
        <v>23.2</v>
      </c>
      <c r="AL78" s="1"/>
      <c r="AM78" s="1">
        <f t="shared" si="22"/>
        <v>33</v>
      </c>
      <c r="AN78" t="s">
        <v>194</v>
      </c>
      <c r="AO78" s="1">
        <f t="shared" si="24"/>
        <v>0</v>
      </c>
    </row>
    <row r="79" spans="1:41" x14ac:dyDescent="0.25">
      <c r="A79" s="1" t="s">
        <v>195</v>
      </c>
      <c r="B79" s="1" t="s">
        <v>51</v>
      </c>
      <c r="C79" s="1">
        <v>29</v>
      </c>
      <c r="D79" s="1">
        <v>72</v>
      </c>
      <c r="E79" s="1">
        <v>30</v>
      </c>
      <c r="F79" s="1">
        <v>66</v>
      </c>
      <c r="G79" s="7">
        <v>0.33</v>
      </c>
      <c r="H79" s="1">
        <v>40</v>
      </c>
      <c r="I79" s="1" t="s">
        <v>44</v>
      </c>
      <c r="J79" s="1"/>
      <c r="K79" s="1">
        <v>30</v>
      </c>
      <c r="L79" s="1">
        <f t="shared" si="19"/>
        <v>0</v>
      </c>
      <c r="M79" s="1"/>
      <c r="N79" s="1"/>
      <c r="O79" s="1"/>
      <c r="P79" s="1"/>
      <c r="Q79" s="1"/>
      <c r="R79" s="1"/>
      <c r="S79" s="1"/>
      <c r="T79" s="1">
        <v>0</v>
      </c>
      <c r="U79" s="1">
        <f t="shared" si="20"/>
        <v>6</v>
      </c>
      <c r="V79" s="5"/>
      <c r="W79" s="5">
        <f t="shared" si="18"/>
        <v>0</v>
      </c>
      <c r="X79" s="5"/>
      <c r="Y79" s="5"/>
      <c r="Z79" s="1">
        <f t="shared" si="23"/>
        <v>11</v>
      </c>
      <c r="AA79" s="1">
        <f t="shared" si="21"/>
        <v>11</v>
      </c>
      <c r="AB79" s="1">
        <v>5.6</v>
      </c>
      <c r="AC79" s="1">
        <v>8.4</v>
      </c>
      <c r="AD79" s="1">
        <v>9.8000000000000007</v>
      </c>
      <c r="AE79" s="1">
        <v>6.4</v>
      </c>
      <c r="AF79" s="1">
        <v>3.8</v>
      </c>
      <c r="AG79" s="1">
        <v>3.6</v>
      </c>
      <c r="AH79" s="1">
        <v>6.2</v>
      </c>
      <c r="AI79" s="1">
        <v>9.1999999999999993</v>
      </c>
      <c r="AJ79" s="1">
        <v>10.4</v>
      </c>
      <c r="AK79" s="1">
        <v>8</v>
      </c>
      <c r="AL79" s="1"/>
      <c r="AM79" s="1">
        <f t="shared" si="22"/>
        <v>0</v>
      </c>
      <c r="AN79" t="s">
        <v>196</v>
      </c>
      <c r="AO79" s="1">
        <f t="shared" si="24"/>
        <v>0</v>
      </c>
    </row>
    <row r="80" spans="1:41" x14ac:dyDescent="0.25">
      <c r="A80" s="1" t="s">
        <v>197</v>
      </c>
      <c r="B80" s="1" t="s">
        <v>51</v>
      </c>
      <c r="C80" s="1">
        <v>290</v>
      </c>
      <c r="D80" s="1">
        <v>348</v>
      </c>
      <c r="E80" s="1">
        <v>224</v>
      </c>
      <c r="F80" s="1">
        <v>403</v>
      </c>
      <c r="G80" s="7">
        <v>0.4</v>
      </c>
      <c r="H80" s="1">
        <v>55</v>
      </c>
      <c r="I80" s="1" t="s">
        <v>44</v>
      </c>
      <c r="J80" s="1"/>
      <c r="K80" s="1">
        <v>228</v>
      </c>
      <c r="L80" s="1">
        <f t="shared" si="19"/>
        <v>-4</v>
      </c>
      <c r="M80" s="1"/>
      <c r="N80" s="1"/>
      <c r="O80" s="1"/>
      <c r="P80" s="1"/>
      <c r="Q80" s="1"/>
      <c r="R80" s="1"/>
      <c r="S80" s="1"/>
      <c r="T80" s="1">
        <v>62.87400000000008</v>
      </c>
      <c r="U80" s="1">
        <f t="shared" si="20"/>
        <v>44.8</v>
      </c>
      <c r="V80" s="5">
        <f>11*U80-T80-S80-R80-Q80-P80-O80-F80</f>
        <v>26.925999999999874</v>
      </c>
      <c r="W80" s="5">
        <f t="shared" si="18"/>
        <v>26.925999999999874</v>
      </c>
      <c r="X80" s="5"/>
      <c r="Y80" s="5"/>
      <c r="Z80" s="1">
        <f t="shared" si="23"/>
        <v>11</v>
      </c>
      <c r="AA80" s="1">
        <f t="shared" si="21"/>
        <v>10.398973214285716</v>
      </c>
      <c r="AB80" s="1">
        <v>44.8</v>
      </c>
      <c r="AC80" s="1">
        <v>57.4</v>
      </c>
      <c r="AD80" s="1">
        <v>54</v>
      </c>
      <c r="AE80" s="1">
        <v>51.8</v>
      </c>
      <c r="AF80" s="1">
        <v>54.2</v>
      </c>
      <c r="AG80" s="1">
        <v>54.4</v>
      </c>
      <c r="AH80" s="1">
        <v>55</v>
      </c>
      <c r="AI80" s="1">
        <v>43.8</v>
      </c>
      <c r="AJ80" s="1">
        <v>42</v>
      </c>
      <c r="AK80" s="1">
        <v>50.4</v>
      </c>
      <c r="AL80" s="1"/>
      <c r="AM80" s="1">
        <f t="shared" si="22"/>
        <v>11</v>
      </c>
      <c r="AN80" t="s">
        <v>198</v>
      </c>
      <c r="AO80" s="1">
        <f t="shared" si="24"/>
        <v>0</v>
      </c>
    </row>
    <row r="81" spans="1:41" x14ac:dyDescent="0.25">
      <c r="A81" s="1" t="s">
        <v>199</v>
      </c>
      <c r="B81" s="1" t="s">
        <v>51</v>
      </c>
      <c r="C81" s="1">
        <v>2</v>
      </c>
      <c r="D81" s="1">
        <v>206</v>
      </c>
      <c r="E81" s="1">
        <v>13</v>
      </c>
      <c r="F81" s="1">
        <v>180</v>
      </c>
      <c r="G81" s="7">
        <v>0.35</v>
      </c>
      <c r="H81" s="1">
        <v>40</v>
      </c>
      <c r="I81" s="1" t="s">
        <v>44</v>
      </c>
      <c r="J81" s="1"/>
      <c r="K81" s="1">
        <v>71</v>
      </c>
      <c r="L81" s="1">
        <f t="shared" si="19"/>
        <v>-58</v>
      </c>
      <c r="M81" s="1"/>
      <c r="N81" s="1"/>
      <c r="O81" s="1"/>
      <c r="P81" s="1"/>
      <c r="Q81" s="1"/>
      <c r="R81" s="1"/>
      <c r="S81" s="1"/>
      <c r="T81" s="1">
        <v>0</v>
      </c>
      <c r="U81" s="1">
        <f t="shared" si="20"/>
        <v>2.6</v>
      </c>
      <c r="V81" s="5"/>
      <c r="W81" s="5">
        <f t="shared" si="18"/>
        <v>0</v>
      </c>
      <c r="X81" s="5"/>
      <c r="Y81" s="5"/>
      <c r="Z81" s="1">
        <f t="shared" si="23"/>
        <v>69.230769230769226</v>
      </c>
      <c r="AA81" s="1">
        <f t="shared" si="21"/>
        <v>69.230769230769226</v>
      </c>
      <c r="AB81" s="1">
        <v>3.6</v>
      </c>
      <c r="AC81" s="1">
        <v>22.4</v>
      </c>
      <c r="AD81" s="1">
        <v>27</v>
      </c>
      <c r="AE81" s="1">
        <v>19.399999999999999</v>
      </c>
      <c r="AF81" s="1">
        <v>20.6</v>
      </c>
      <c r="AG81" s="1">
        <v>15.8</v>
      </c>
      <c r="AH81" s="1">
        <v>16</v>
      </c>
      <c r="AI81" s="1">
        <v>24</v>
      </c>
      <c r="AJ81" s="1">
        <v>24.2</v>
      </c>
      <c r="AK81" s="1">
        <v>23.8</v>
      </c>
      <c r="AL81" s="1"/>
      <c r="AM81" s="1">
        <f t="shared" si="22"/>
        <v>0</v>
      </c>
      <c r="AN81" t="s">
        <v>200</v>
      </c>
      <c r="AO81" s="1">
        <f t="shared" si="24"/>
        <v>0</v>
      </c>
    </row>
    <row r="82" spans="1:41" x14ac:dyDescent="0.25">
      <c r="A82" s="1" t="s">
        <v>201</v>
      </c>
      <c r="B82" s="1" t="s">
        <v>51</v>
      </c>
      <c r="C82" s="1">
        <v>427</v>
      </c>
      <c r="D82" s="1">
        <v>174</v>
      </c>
      <c r="E82" s="1">
        <v>245</v>
      </c>
      <c r="F82" s="1">
        <v>354</v>
      </c>
      <c r="G82" s="7">
        <v>0.35</v>
      </c>
      <c r="H82" s="1">
        <v>45</v>
      </c>
      <c r="I82" s="1" t="s">
        <v>44</v>
      </c>
      <c r="J82" s="1"/>
      <c r="K82" s="1">
        <v>250</v>
      </c>
      <c r="L82" s="1">
        <f t="shared" si="19"/>
        <v>-5</v>
      </c>
      <c r="M82" s="1"/>
      <c r="N82" s="1"/>
      <c r="O82" s="1"/>
      <c r="P82" s="1"/>
      <c r="Q82" s="1"/>
      <c r="R82" s="1"/>
      <c r="S82" s="1"/>
      <c r="T82" s="1">
        <v>33</v>
      </c>
      <c r="U82" s="1">
        <f t="shared" si="20"/>
        <v>49</v>
      </c>
      <c r="V82" s="5">
        <f>11*U82-T82-S82-R82-Q82-P82-O82-F82</f>
        <v>152</v>
      </c>
      <c r="W82" s="5">
        <f t="shared" si="18"/>
        <v>152</v>
      </c>
      <c r="X82" s="5">
        <v>-156</v>
      </c>
      <c r="Y82" s="5"/>
      <c r="Z82" s="1">
        <f t="shared" si="23"/>
        <v>7.8163265306122449</v>
      </c>
      <c r="AA82" s="1">
        <f t="shared" si="21"/>
        <v>7.8979591836734695</v>
      </c>
      <c r="AB82" s="1">
        <v>44.4</v>
      </c>
      <c r="AC82" s="1">
        <v>34.4</v>
      </c>
      <c r="AD82" s="1">
        <v>61.8</v>
      </c>
      <c r="AE82" s="1">
        <v>73.8</v>
      </c>
      <c r="AF82" s="1">
        <v>32.200000000000003</v>
      </c>
      <c r="AG82" s="1">
        <v>16</v>
      </c>
      <c r="AH82" s="1">
        <v>38.799999999999997</v>
      </c>
      <c r="AI82" s="1">
        <v>54.6</v>
      </c>
      <c r="AJ82" s="1">
        <v>69.400000000000006</v>
      </c>
      <c r="AK82" s="1">
        <v>48.8</v>
      </c>
      <c r="AL82" s="1"/>
      <c r="AM82" s="1">
        <f t="shared" si="22"/>
        <v>53</v>
      </c>
      <c r="AN82" t="s">
        <v>202</v>
      </c>
      <c r="AO82" s="1">
        <f t="shared" si="24"/>
        <v>0</v>
      </c>
    </row>
    <row r="83" spans="1:41" x14ac:dyDescent="0.25">
      <c r="A83" s="1" t="s">
        <v>203</v>
      </c>
      <c r="B83" s="1" t="s">
        <v>51</v>
      </c>
      <c r="C83" s="1">
        <v>130</v>
      </c>
      <c r="D83" s="1">
        <v>150</v>
      </c>
      <c r="E83" s="1">
        <v>149</v>
      </c>
      <c r="F83" s="1">
        <v>131</v>
      </c>
      <c r="G83" s="7">
        <v>0.4</v>
      </c>
      <c r="H83" s="1">
        <v>55</v>
      </c>
      <c r="I83" s="1" t="s">
        <v>44</v>
      </c>
      <c r="J83" s="1"/>
      <c r="K83" s="1">
        <v>150</v>
      </c>
      <c r="L83" s="1">
        <f t="shared" si="19"/>
        <v>-1</v>
      </c>
      <c r="M83" s="1"/>
      <c r="N83" s="1"/>
      <c r="O83" s="1"/>
      <c r="P83" s="1"/>
      <c r="Q83" s="1"/>
      <c r="R83" s="1"/>
      <c r="S83" s="1"/>
      <c r="T83" s="1">
        <v>34.899999999999977</v>
      </c>
      <c r="U83" s="1">
        <f t="shared" si="20"/>
        <v>29.8</v>
      </c>
      <c r="V83" s="5">
        <f>11*U83-T83-S83-R83-Q83-P83-O83-F83</f>
        <v>161.90000000000003</v>
      </c>
      <c r="W83" s="5">
        <f t="shared" si="18"/>
        <v>161.90000000000003</v>
      </c>
      <c r="X83" s="5"/>
      <c r="Y83" s="5"/>
      <c r="Z83" s="1">
        <f t="shared" si="23"/>
        <v>11</v>
      </c>
      <c r="AA83" s="1">
        <f t="shared" si="21"/>
        <v>5.5671140939597308</v>
      </c>
      <c r="AB83" s="1">
        <v>24.2</v>
      </c>
      <c r="AC83" s="1">
        <v>24.2</v>
      </c>
      <c r="AD83" s="1">
        <v>23.4</v>
      </c>
      <c r="AE83" s="1">
        <v>22.2</v>
      </c>
      <c r="AF83" s="1">
        <v>1</v>
      </c>
      <c r="AG83" s="1">
        <v>1</v>
      </c>
      <c r="AH83" s="1">
        <v>20.8</v>
      </c>
      <c r="AI83" s="1">
        <v>22.4</v>
      </c>
      <c r="AJ83" s="1">
        <v>22.8</v>
      </c>
      <c r="AK83" s="1">
        <v>14.4</v>
      </c>
      <c r="AL83" s="1"/>
      <c r="AM83" s="1">
        <f t="shared" si="22"/>
        <v>65</v>
      </c>
      <c r="AN83" t="s">
        <v>204</v>
      </c>
      <c r="AO83" s="1">
        <f t="shared" si="24"/>
        <v>0</v>
      </c>
    </row>
    <row r="84" spans="1:41" x14ac:dyDescent="0.25">
      <c r="A84" s="1" t="s">
        <v>205</v>
      </c>
      <c r="B84" s="1" t="s">
        <v>43</v>
      </c>
      <c r="C84" s="1">
        <v>8.0000000000000002E-3</v>
      </c>
      <c r="D84" s="1">
        <v>45.89</v>
      </c>
      <c r="E84" s="1">
        <v>-5.266</v>
      </c>
      <c r="F84" s="1">
        <v>43.006999999999998</v>
      </c>
      <c r="G84" s="7">
        <v>1</v>
      </c>
      <c r="H84" s="1">
        <v>55</v>
      </c>
      <c r="I84" s="1" t="s">
        <v>44</v>
      </c>
      <c r="J84" s="1"/>
      <c r="K84" s="1">
        <v>16.8</v>
      </c>
      <c r="L84" s="1">
        <f t="shared" si="19"/>
        <v>-22.066000000000003</v>
      </c>
      <c r="M84" s="1"/>
      <c r="N84" s="1"/>
      <c r="O84" s="1"/>
      <c r="P84" s="1"/>
      <c r="Q84" s="1"/>
      <c r="R84" s="1"/>
      <c r="S84" s="1"/>
      <c r="T84" s="1">
        <v>0</v>
      </c>
      <c r="U84" s="1">
        <f t="shared" si="20"/>
        <v>-1.0531999999999999</v>
      </c>
      <c r="V84" s="5"/>
      <c r="W84" s="5">
        <f t="shared" si="18"/>
        <v>0</v>
      </c>
      <c r="X84" s="5"/>
      <c r="Y84" s="5"/>
      <c r="Z84" s="1">
        <f t="shared" si="23"/>
        <v>-40.834599316369165</v>
      </c>
      <c r="AA84" s="1">
        <f t="shared" si="21"/>
        <v>-40.834599316369165</v>
      </c>
      <c r="AB84" s="1">
        <v>0.1918</v>
      </c>
      <c r="AC84" s="1">
        <v>6.4581999999999997</v>
      </c>
      <c r="AD84" s="1">
        <v>25.799199999999999</v>
      </c>
      <c r="AE84" s="1">
        <v>24.057600000000001</v>
      </c>
      <c r="AF84" s="1">
        <v>4.6172000000000004</v>
      </c>
      <c r="AG84" s="1">
        <v>3.7582</v>
      </c>
      <c r="AH84" s="1">
        <v>3.1760000000000002</v>
      </c>
      <c r="AI84" s="1">
        <v>1.129</v>
      </c>
      <c r="AJ84" s="1">
        <v>1.6768000000000001</v>
      </c>
      <c r="AK84" s="1">
        <v>0.54480000000000006</v>
      </c>
      <c r="AL84" s="1"/>
      <c r="AM84" s="1">
        <f t="shared" si="22"/>
        <v>0</v>
      </c>
      <c r="AN84" t="s">
        <v>206</v>
      </c>
      <c r="AO84" s="1">
        <f t="shared" si="24"/>
        <v>0</v>
      </c>
    </row>
    <row r="85" spans="1:41" x14ac:dyDescent="0.25">
      <c r="A85" s="9" t="s">
        <v>207</v>
      </c>
      <c r="B85" s="9" t="s">
        <v>51</v>
      </c>
      <c r="C85" s="9">
        <v>36</v>
      </c>
      <c r="D85" s="9">
        <v>20</v>
      </c>
      <c r="E85" s="9">
        <v>6</v>
      </c>
      <c r="F85" s="9">
        <v>47</v>
      </c>
      <c r="G85" s="10">
        <v>0</v>
      </c>
      <c r="H85" s="9">
        <v>55</v>
      </c>
      <c r="I85" s="9" t="s">
        <v>58</v>
      </c>
      <c r="J85" s="9"/>
      <c r="K85" s="9">
        <v>22</v>
      </c>
      <c r="L85" s="9">
        <f t="shared" si="19"/>
        <v>-16</v>
      </c>
      <c r="M85" s="9"/>
      <c r="N85" s="9"/>
      <c r="O85" s="9"/>
      <c r="P85" s="9"/>
      <c r="Q85" s="9"/>
      <c r="R85" s="9"/>
      <c r="S85" s="9"/>
      <c r="T85" s="9">
        <v>0</v>
      </c>
      <c r="U85" s="9">
        <f t="shared" si="20"/>
        <v>1.2</v>
      </c>
      <c r="V85" s="11"/>
      <c r="W85" s="5">
        <f t="shared" si="18"/>
        <v>0</v>
      </c>
      <c r="X85" s="5"/>
      <c r="Y85" s="5"/>
      <c r="Z85" s="1">
        <f t="shared" si="23"/>
        <v>39.166666666666671</v>
      </c>
      <c r="AA85" s="9">
        <f t="shared" si="21"/>
        <v>39.166666666666671</v>
      </c>
      <c r="AB85" s="9">
        <v>2</v>
      </c>
      <c r="AC85" s="9">
        <v>2.6</v>
      </c>
      <c r="AD85" s="9">
        <v>4.4000000000000004</v>
      </c>
      <c r="AE85" s="9">
        <v>4</v>
      </c>
      <c r="AF85" s="9">
        <v>3.4</v>
      </c>
      <c r="AG85" s="9">
        <v>2</v>
      </c>
      <c r="AH85" s="9">
        <v>0</v>
      </c>
      <c r="AI85" s="9">
        <v>2.4</v>
      </c>
      <c r="AJ85" s="9">
        <v>4</v>
      </c>
      <c r="AK85" s="9">
        <v>5.2</v>
      </c>
      <c r="AL85" s="12" t="s">
        <v>119</v>
      </c>
      <c r="AM85" s="1">
        <f t="shared" si="22"/>
        <v>0</v>
      </c>
      <c r="AN85" t="s">
        <v>208</v>
      </c>
      <c r="AO85" s="1">
        <f t="shared" si="24"/>
        <v>0</v>
      </c>
    </row>
    <row r="86" spans="1:41" x14ac:dyDescent="0.25">
      <c r="A86" s="1" t="s">
        <v>209</v>
      </c>
      <c r="B86" s="1" t="s">
        <v>43</v>
      </c>
      <c r="C86" s="1">
        <v>275.22899999999998</v>
      </c>
      <c r="D86" s="1">
        <v>232.02500000000001</v>
      </c>
      <c r="E86" s="1">
        <v>185.62299999999999</v>
      </c>
      <c r="F86" s="1">
        <v>319.72899999999998</v>
      </c>
      <c r="G86" s="7">
        <v>1</v>
      </c>
      <c r="H86" s="1">
        <v>55</v>
      </c>
      <c r="I86" s="1" t="s">
        <v>44</v>
      </c>
      <c r="J86" s="1"/>
      <c r="K86" s="1">
        <v>196.8</v>
      </c>
      <c r="L86" s="1">
        <f t="shared" si="19"/>
        <v>-11.177000000000021</v>
      </c>
      <c r="M86" s="1"/>
      <c r="N86" s="1"/>
      <c r="O86" s="1"/>
      <c r="P86" s="1"/>
      <c r="Q86" s="1"/>
      <c r="R86" s="1"/>
      <c r="S86" s="1"/>
      <c r="T86" s="1">
        <v>290.71179999999998</v>
      </c>
      <c r="U86" s="1">
        <f t="shared" si="20"/>
        <v>37.124600000000001</v>
      </c>
      <c r="V86" s="5"/>
      <c r="W86" s="5">
        <f t="shared" si="18"/>
        <v>0</v>
      </c>
      <c r="X86" s="5"/>
      <c r="Y86" s="5"/>
      <c r="Z86" s="1">
        <f t="shared" si="23"/>
        <v>16.443026995577057</v>
      </c>
      <c r="AA86" s="1">
        <f t="shared" si="21"/>
        <v>16.443026995577057</v>
      </c>
      <c r="AB86" s="1">
        <v>49.651200000000003</v>
      </c>
      <c r="AC86" s="1">
        <v>45.2958</v>
      </c>
      <c r="AD86" s="1">
        <v>39.439800000000012</v>
      </c>
      <c r="AE86" s="1">
        <v>39.754800000000003</v>
      </c>
      <c r="AF86" s="1">
        <v>43.838200000000001</v>
      </c>
      <c r="AG86" s="1">
        <v>48.463799999999999</v>
      </c>
      <c r="AH86" s="1">
        <v>47.909399999999998</v>
      </c>
      <c r="AI86" s="1">
        <v>41.079799999999999</v>
      </c>
      <c r="AJ86" s="1">
        <v>44.04</v>
      </c>
      <c r="AK86" s="1">
        <v>53.181399999999996</v>
      </c>
      <c r="AL86" s="1"/>
      <c r="AM86" s="1">
        <f t="shared" si="22"/>
        <v>0</v>
      </c>
      <c r="AN86" t="s">
        <v>210</v>
      </c>
      <c r="AO86" s="1">
        <f t="shared" si="24"/>
        <v>0</v>
      </c>
    </row>
    <row r="87" spans="1:41" x14ac:dyDescent="0.25">
      <c r="A87" s="1" t="s">
        <v>211</v>
      </c>
      <c r="B87" s="1" t="s">
        <v>43</v>
      </c>
      <c r="C87" s="1">
        <v>1341.096</v>
      </c>
      <c r="D87" s="1">
        <v>343.404</v>
      </c>
      <c r="E87" s="1">
        <v>855.74099999999999</v>
      </c>
      <c r="F87" s="1">
        <v>742.54700000000003</v>
      </c>
      <c r="G87" s="7">
        <v>1</v>
      </c>
      <c r="H87" s="1">
        <v>60</v>
      </c>
      <c r="I87" s="1" t="s">
        <v>44</v>
      </c>
      <c r="J87" s="1"/>
      <c r="K87" s="1">
        <v>867.70500000000004</v>
      </c>
      <c r="L87" s="1">
        <f t="shared" si="19"/>
        <v>-11.964000000000055</v>
      </c>
      <c r="M87" s="1"/>
      <c r="N87" s="1"/>
      <c r="O87" s="1">
        <v>250</v>
      </c>
      <c r="P87" s="1"/>
      <c r="Q87" s="1"/>
      <c r="R87" s="1"/>
      <c r="S87" s="1"/>
      <c r="T87" s="1">
        <v>476.56937000000022</v>
      </c>
      <c r="U87" s="1">
        <f t="shared" si="20"/>
        <v>171.1482</v>
      </c>
      <c r="V87" s="5">
        <f>11*U87-T87-S87-R87-Q87-P87-O87-F87</f>
        <v>413.51382999999987</v>
      </c>
      <c r="W87" s="5">
        <f>V87+$W$1*U87</f>
        <v>341.63158599999986</v>
      </c>
      <c r="X87" s="5"/>
      <c r="Y87" s="5"/>
      <c r="Z87" s="1">
        <f t="shared" si="23"/>
        <v>10.58</v>
      </c>
      <c r="AA87" s="1">
        <f t="shared" si="21"/>
        <v>8.583884434659554</v>
      </c>
      <c r="AB87" s="1">
        <v>171.82579999999999</v>
      </c>
      <c r="AC87" s="1">
        <v>171.11279999999999</v>
      </c>
      <c r="AD87" s="1">
        <v>160.2638</v>
      </c>
      <c r="AE87" s="1">
        <v>168.82660000000001</v>
      </c>
      <c r="AF87" s="1">
        <v>205.5204</v>
      </c>
      <c r="AG87" s="1">
        <v>213.1044</v>
      </c>
      <c r="AH87" s="1">
        <v>188.45419999999999</v>
      </c>
      <c r="AI87" s="1">
        <v>180.20160000000001</v>
      </c>
      <c r="AJ87" s="1">
        <v>190.19540000000001</v>
      </c>
      <c r="AK87" s="1">
        <v>178.114</v>
      </c>
      <c r="AL87" s="1"/>
      <c r="AM87" s="1">
        <f t="shared" si="22"/>
        <v>342</v>
      </c>
      <c r="AN87" t="s">
        <v>212</v>
      </c>
      <c r="AO87" s="1">
        <f t="shared" si="24"/>
        <v>0</v>
      </c>
    </row>
    <row r="88" spans="1:41" x14ac:dyDescent="0.25">
      <c r="A88" s="1" t="s">
        <v>213</v>
      </c>
      <c r="B88" s="1" t="s">
        <v>43</v>
      </c>
      <c r="C88" s="1">
        <v>2206.1239999999998</v>
      </c>
      <c r="D88" s="1">
        <v>1493.1679999999999</v>
      </c>
      <c r="E88" s="1">
        <v>2130.4630000000002</v>
      </c>
      <c r="F88" s="1">
        <v>1358.1880000000001</v>
      </c>
      <c r="G88" s="7">
        <v>1</v>
      </c>
      <c r="H88" s="1">
        <v>60</v>
      </c>
      <c r="I88" s="1" t="s">
        <v>44</v>
      </c>
      <c r="J88" s="1"/>
      <c r="K88" s="1">
        <v>2127.9499999999998</v>
      </c>
      <c r="L88" s="1">
        <f t="shared" si="19"/>
        <v>2.5130000000003747</v>
      </c>
      <c r="M88" s="1"/>
      <c r="N88" s="1"/>
      <c r="O88" s="1">
        <v>700</v>
      </c>
      <c r="P88" s="1"/>
      <c r="Q88" s="1">
        <v>1000</v>
      </c>
      <c r="R88" s="1"/>
      <c r="S88" s="1"/>
      <c r="T88" s="1">
        <v>517.89243360000182</v>
      </c>
      <c r="U88" s="1">
        <f t="shared" si="20"/>
        <v>426.09260000000006</v>
      </c>
      <c r="V88" s="5">
        <f>11*U88-T88-S88-R88-Q88-P88-O88-F88</f>
        <v>1110.9381663999984</v>
      </c>
      <c r="W88" s="5">
        <f>V88+$W$1*U88</f>
        <v>931.97927439999842</v>
      </c>
      <c r="X88" s="5"/>
      <c r="Y88" s="5"/>
      <c r="Z88" s="1">
        <f t="shared" si="23"/>
        <v>10.58</v>
      </c>
      <c r="AA88" s="1">
        <f t="shared" si="21"/>
        <v>8.3927306730978231</v>
      </c>
      <c r="AB88" s="1">
        <v>436.69299999999998</v>
      </c>
      <c r="AC88" s="1">
        <v>425.26580000000001</v>
      </c>
      <c r="AD88" s="1">
        <v>383.94839999999999</v>
      </c>
      <c r="AE88" s="1">
        <v>385.58100000000002</v>
      </c>
      <c r="AF88" s="1">
        <v>416.45319999999998</v>
      </c>
      <c r="AG88" s="1">
        <v>410.62759999999997</v>
      </c>
      <c r="AH88" s="1">
        <v>387.19619999999998</v>
      </c>
      <c r="AI88" s="1">
        <v>392.48200000000003</v>
      </c>
      <c r="AJ88" s="1">
        <v>416.58600000000001</v>
      </c>
      <c r="AK88" s="1">
        <v>357.05779999999999</v>
      </c>
      <c r="AL88" s="1"/>
      <c r="AM88" s="1">
        <f t="shared" si="22"/>
        <v>932</v>
      </c>
      <c r="AN88" t="s">
        <v>214</v>
      </c>
      <c r="AO88" s="1">
        <f t="shared" si="24"/>
        <v>0</v>
      </c>
    </row>
    <row r="89" spans="1:41" x14ac:dyDescent="0.25">
      <c r="A89" s="20" t="s">
        <v>215</v>
      </c>
      <c r="B89" s="1" t="s">
        <v>43</v>
      </c>
      <c r="C89" s="1">
        <v>3414.6149999999998</v>
      </c>
      <c r="D89" s="1">
        <v>3184.4549999999999</v>
      </c>
      <c r="E89" s="1">
        <v>2466.3209999999999</v>
      </c>
      <c r="F89" s="1">
        <v>3931.35</v>
      </c>
      <c r="G89" s="7">
        <v>1</v>
      </c>
      <c r="H89" s="1">
        <v>60</v>
      </c>
      <c r="I89" s="1" t="s">
        <v>44</v>
      </c>
      <c r="J89" s="1"/>
      <c r="K89" s="1">
        <v>2545</v>
      </c>
      <c r="L89" s="1">
        <f t="shared" si="19"/>
        <v>-78.679000000000087</v>
      </c>
      <c r="M89" s="1"/>
      <c r="N89" s="1"/>
      <c r="O89" s="1">
        <v>800</v>
      </c>
      <c r="P89" s="1">
        <v>500</v>
      </c>
      <c r="Q89" s="1"/>
      <c r="R89" s="1">
        <v>1300</v>
      </c>
      <c r="S89" s="1"/>
      <c r="T89" s="1">
        <v>49.771453000001202</v>
      </c>
      <c r="U89" s="1">
        <f t="shared" si="20"/>
        <v>493.26419999999996</v>
      </c>
      <c r="V89" s="5"/>
      <c r="W89" s="5">
        <f t="shared" ref="W89:W110" si="25">V89</f>
        <v>0</v>
      </c>
      <c r="X89" s="5"/>
      <c r="Y89" s="5">
        <v>2900</v>
      </c>
      <c r="Z89" s="1">
        <f t="shared" si="23"/>
        <v>19.2211829948332</v>
      </c>
      <c r="AA89" s="1">
        <f t="shared" si="21"/>
        <v>13.341980733651463</v>
      </c>
      <c r="AB89" s="1">
        <v>455.58280000000002</v>
      </c>
      <c r="AC89" s="1">
        <v>513.62299999999993</v>
      </c>
      <c r="AD89" s="1">
        <v>557.21199999999999</v>
      </c>
      <c r="AE89" s="1">
        <v>534.47</v>
      </c>
      <c r="AF89" s="1">
        <v>581.125</v>
      </c>
      <c r="AG89" s="1">
        <v>584.60559999999998</v>
      </c>
      <c r="AH89" s="1">
        <v>463.70979999999997</v>
      </c>
      <c r="AI89" s="1">
        <v>449.28960000000001</v>
      </c>
      <c r="AJ89" s="1">
        <v>497.07560000000001</v>
      </c>
      <c r="AK89" s="1">
        <v>432.53879999999998</v>
      </c>
      <c r="AL89" s="1"/>
      <c r="AM89" s="1">
        <f t="shared" si="22"/>
        <v>0</v>
      </c>
      <c r="AN89" t="s">
        <v>216</v>
      </c>
      <c r="AO89" s="1">
        <f t="shared" si="24"/>
        <v>2900</v>
      </c>
    </row>
    <row r="90" spans="1:41" x14ac:dyDescent="0.25">
      <c r="A90" s="20" t="s">
        <v>217</v>
      </c>
      <c r="B90" s="1" t="s">
        <v>43</v>
      </c>
      <c r="C90" s="1">
        <v>3186.5340000000001</v>
      </c>
      <c r="D90" s="1">
        <v>3700.23</v>
      </c>
      <c r="E90" s="1">
        <v>2891.7159999999999</v>
      </c>
      <c r="F90" s="1">
        <v>3761.2370000000001</v>
      </c>
      <c r="G90" s="7">
        <v>1</v>
      </c>
      <c r="H90" s="1">
        <v>60</v>
      </c>
      <c r="I90" s="1" t="s">
        <v>44</v>
      </c>
      <c r="J90" s="1"/>
      <c r="K90" s="1">
        <v>2884.4</v>
      </c>
      <c r="L90" s="1">
        <f t="shared" si="19"/>
        <v>7.3159999999998035</v>
      </c>
      <c r="M90" s="1"/>
      <c r="N90" s="1"/>
      <c r="O90" s="1">
        <v>1000</v>
      </c>
      <c r="P90" s="1">
        <v>1200</v>
      </c>
      <c r="Q90" s="1">
        <v>1000</v>
      </c>
      <c r="R90" s="1">
        <v>1900</v>
      </c>
      <c r="S90" s="1"/>
      <c r="T90" s="1">
        <v>646.71044320000078</v>
      </c>
      <c r="U90" s="1">
        <f t="shared" si="20"/>
        <v>578.34320000000002</v>
      </c>
      <c r="V90" s="5"/>
      <c r="W90" s="5">
        <f t="shared" si="25"/>
        <v>0</v>
      </c>
      <c r="X90" s="5"/>
      <c r="Y90" s="5">
        <v>1400</v>
      </c>
      <c r="Z90" s="1">
        <f t="shared" si="23"/>
        <v>18.860682451527055</v>
      </c>
      <c r="AA90" s="1">
        <f t="shared" si="21"/>
        <v>16.439974470522007</v>
      </c>
      <c r="AB90" s="1">
        <v>607.92340000000002</v>
      </c>
      <c r="AC90" s="1">
        <v>613.33459999999991</v>
      </c>
      <c r="AD90" s="1">
        <v>604.15620000000001</v>
      </c>
      <c r="AE90" s="1">
        <v>555.69460000000004</v>
      </c>
      <c r="AF90" s="1">
        <v>579.61239999999998</v>
      </c>
      <c r="AG90" s="1">
        <v>611.62079999999992</v>
      </c>
      <c r="AH90" s="1">
        <v>529.55100000000004</v>
      </c>
      <c r="AI90" s="1">
        <v>545.48260000000005</v>
      </c>
      <c r="AJ90" s="1">
        <v>597.17640000000006</v>
      </c>
      <c r="AK90" s="1">
        <v>524.64340000000004</v>
      </c>
      <c r="AL90" s="1"/>
      <c r="AM90" s="1">
        <f t="shared" si="22"/>
        <v>0</v>
      </c>
      <c r="AN90" t="s">
        <v>218</v>
      </c>
      <c r="AO90" s="1">
        <f t="shared" si="24"/>
        <v>1400</v>
      </c>
    </row>
    <row r="91" spans="1:41" x14ac:dyDescent="0.25">
      <c r="A91" s="1" t="s">
        <v>219</v>
      </c>
      <c r="B91" s="1" t="s">
        <v>43</v>
      </c>
      <c r="C91" s="1">
        <v>141.02699999999999</v>
      </c>
      <c r="D91" s="1">
        <v>75.578999999999994</v>
      </c>
      <c r="E91" s="1">
        <v>33.493000000000002</v>
      </c>
      <c r="F91" s="1">
        <v>181.42099999999999</v>
      </c>
      <c r="G91" s="7">
        <v>1</v>
      </c>
      <c r="H91" s="1">
        <v>55</v>
      </c>
      <c r="I91" s="1" t="s">
        <v>44</v>
      </c>
      <c r="J91" s="1"/>
      <c r="K91" s="1">
        <v>30.2</v>
      </c>
      <c r="L91" s="1">
        <f t="shared" si="19"/>
        <v>3.2930000000000028</v>
      </c>
      <c r="M91" s="1"/>
      <c r="N91" s="1"/>
      <c r="O91" s="1"/>
      <c r="P91" s="1"/>
      <c r="Q91" s="1"/>
      <c r="R91" s="1"/>
      <c r="S91" s="1"/>
      <c r="T91" s="1">
        <v>0</v>
      </c>
      <c r="U91" s="1">
        <f t="shared" si="20"/>
        <v>6.6986000000000008</v>
      </c>
      <c r="V91" s="5"/>
      <c r="W91" s="5">
        <f t="shared" si="25"/>
        <v>0</v>
      </c>
      <c r="X91" s="5"/>
      <c r="Y91" s="5"/>
      <c r="Z91" s="1">
        <f t="shared" si="23"/>
        <v>27.083420416206366</v>
      </c>
      <c r="AA91" s="1">
        <f t="shared" si="21"/>
        <v>27.083420416206366</v>
      </c>
      <c r="AB91" s="1">
        <v>4.5375999999999994</v>
      </c>
      <c r="AC91" s="1">
        <v>4.6059999999999999</v>
      </c>
      <c r="AD91" s="1">
        <v>19.7072</v>
      </c>
      <c r="AE91" s="1">
        <v>20.521999999999998</v>
      </c>
      <c r="AF91" s="1">
        <v>0.54480000000000006</v>
      </c>
      <c r="AG91" s="1">
        <v>0.27479999999999999</v>
      </c>
      <c r="AH91" s="1">
        <v>9.0836000000000006</v>
      </c>
      <c r="AI91" s="1">
        <v>8.8087999999999997</v>
      </c>
      <c r="AJ91" s="1">
        <v>9.4116</v>
      </c>
      <c r="AK91" s="1">
        <v>8.0733999999999995</v>
      </c>
      <c r="AL91" s="12" t="s">
        <v>119</v>
      </c>
      <c r="AM91" s="1">
        <f t="shared" si="22"/>
        <v>0</v>
      </c>
      <c r="AN91" t="s">
        <v>220</v>
      </c>
      <c r="AO91" s="1">
        <f t="shared" si="24"/>
        <v>0</v>
      </c>
    </row>
    <row r="92" spans="1:41" x14ac:dyDescent="0.25">
      <c r="A92" s="9" t="s">
        <v>221</v>
      </c>
      <c r="B92" s="9" t="s">
        <v>43</v>
      </c>
      <c r="C92" s="9">
        <v>38.401000000000003</v>
      </c>
      <c r="D92" s="9">
        <v>21.471</v>
      </c>
      <c r="E92" s="9">
        <v>10.186999999999999</v>
      </c>
      <c r="F92" s="9">
        <v>47.418999999999997</v>
      </c>
      <c r="G92" s="10">
        <v>0</v>
      </c>
      <c r="H92" s="9">
        <v>55</v>
      </c>
      <c r="I92" s="9" t="s">
        <v>58</v>
      </c>
      <c r="J92" s="9"/>
      <c r="K92" s="9">
        <v>11.8</v>
      </c>
      <c r="L92" s="9">
        <f t="shared" si="19"/>
        <v>-1.6130000000000013</v>
      </c>
      <c r="M92" s="9"/>
      <c r="N92" s="9"/>
      <c r="O92" s="9"/>
      <c r="P92" s="9"/>
      <c r="Q92" s="9"/>
      <c r="R92" s="9"/>
      <c r="S92" s="9"/>
      <c r="T92" s="9">
        <v>0</v>
      </c>
      <c r="U92" s="9">
        <f t="shared" si="20"/>
        <v>2.0373999999999999</v>
      </c>
      <c r="V92" s="11"/>
      <c r="W92" s="5">
        <f t="shared" si="25"/>
        <v>0</v>
      </c>
      <c r="X92" s="5"/>
      <c r="Y92" s="5"/>
      <c r="Z92" s="1">
        <f t="shared" si="23"/>
        <v>23.274271129871405</v>
      </c>
      <c r="AA92" s="9">
        <f t="shared" si="21"/>
        <v>23.274271129871405</v>
      </c>
      <c r="AB92" s="9">
        <v>2.5638000000000001</v>
      </c>
      <c r="AC92" s="9">
        <v>4.1109999999999998</v>
      </c>
      <c r="AD92" s="9">
        <v>5.1212</v>
      </c>
      <c r="AE92" s="9">
        <v>5.0456000000000003</v>
      </c>
      <c r="AF92" s="9">
        <v>4.5573999999999986</v>
      </c>
      <c r="AG92" s="9">
        <v>4.0289999999999999</v>
      </c>
      <c r="AH92" s="9">
        <v>4.6223999999999998</v>
      </c>
      <c r="AI92" s="9">
        <v>5.1738</v>
      </c>
      <c r="AJ92" s="9">
        <v>6.4451999999999998</v>
      </c>
      <c r="AK92" s="9">
        <v>3.7486000000000002</v>
      </c>
      <c r="AL92" s="12" t="s">
        <v>119</v>
      </c>
      <c r="AM92" s="1">
        <f t="shared" si="22"/>
        <v>0</v>
      </c>
      <c r="AN92" t="s">
        <v>222</v>
      </c>
      <c r="AO92" s="1">
        <f t="shared" si="24"/>
        <v>0</v>
      </c>
    </row>
    <row r="93" spans="1:41" x14ac:dyDescent="0.25">
      <c r="A93" s="9" t="s">
        <v>223</v>
      </c>
      <c r="B93" s="9" t="s">
        <v>43</v>
      </c>
      <c r="C93" s="9">
        <v>397.80799999999999</v>
      </c>
      <c r="D93" s="9"/>
      <c r="E93" s="9">
        <v>21.747</v>
      </c>
      <c r="F93" s="9">
        <v>378.74299999999999</v>
      </c>
      <c r="G93" s="10">
        <v>0</v>
      </c>
      <c r="H93" s="9"/>
      <c r="I93" s="9" t="s">
        <v>58</v>
      </c>
      <c r="J93" s="9"/>
      <c r="K93" s="9">
        <v>18.350000000000001</v>
      </c>
      <c r="L93" s="9">
        <f t="shared" si="19"/>
        <v>3.3969999999999985</v>
      </c>
      <c r="M93" s="9"/>
      <c r="N93" s="9"/>
      <c r="O93" s="9"/>
      <c r="P93" s="9"/>
      <c r="Q93" s="9"/>
      <c r="R93" s="9"/>
      <c r="S93" s="9"/>
      <c r="T93" s="9">
        <v>0</v>
      </c>
      <c r="U93" s="9">
        <f t="shared" si="20"/>
        <v>4.3494000000000002</v>
      </c>
      <c r="V93" s="11"/>
      <c r="W93" s="5">
        <f t="shared" si="25"/>
        <v>0</v>
      </c>
      <c r="X93" s="5"/>
      <c r="Y93" s="5"/>
      <c r="Z93" s="1">
        <f t="shared" si="23"/>
        <v>87.079367269048603</v>
      </c>
      <c r="AA93" s="9">
        <f t="shared" si="21"/>
        <v>87.079367269048603</v>
      </c>
      <c r="AB93" s="9">
        <v>2.9916</v>
      </c>
      <c r="AC93" s="9">
        <v>1.0693999999999999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13" t="s">
        <v>224</v>
      </c>
      <c r="AM93" s="1">
        <f t="shared" si="22"/>
        <v>0</v>
      </c>
      <c r="AO93" s="1">
        <f t="shared" si="24"/>
        <v>0</v>
      </c>
    </row>
    <row r="94" spans="1:41" x14ac:dyDescent="0.25">
      <c r="A94" s="1" t="s">
        <v>225</v>
      </c>
      <c r="B94" s="1" t="s">
        <v>51</v>
      </c>
      <c r="C94" s="1">
        <v>197</v>
      </c>
      <c r="D94" s="1">
        <v>277</v>
      </c>
      <c r="E94" s="1">
        <v>264</v>
      </c>
      <c r="F94" s="1">
        <v>153</v>
      </c>
      <c r="G94" s="7">
        <v>0.3</v>
      </c>
      <c r="H94" s="1">
        <v>40</v>
      </c>
      <c r="I94" s="1" t="s">
        <v>44</v>
      </c>
      <c r="J94" s="1"/>
      <c r="K94" s="1">
        <v>279</v>
      </c>
      <c r="L94" s="1">
        <f t="shared" si="19"/>
        <v>-15</v>
      </c>
      <c r="M94" s="1"/>
      <c r="N94" s="1"/>
      <c r="O94" s="1"/>
      <c r="P94" s="1"/>
      <c r="Q94" s="1"/>
      <c r="R94" s="1"/>
      <c r="S94" s="1"/>
      <c r="T94" s="1">
        <v>144.7880000000001</v>
      </c>
      <c r="U94" s="1">
        <f t="shared" si="20"/>
        <v>52.8</v>
      </c>
      <c r="V94" s="5">
        <f>11*U94-T94-S94-R94-Q94-P94-O94-F94</f>
        <v>283.01199999999983</v>
      </c>
      <c r="W94" s="5">
        <f t="shared" si="25"/>
        <v>283.01199999999983</v>
      </c>
      <c r="X94" s="5"/>
      <c r="Y94" s="5"/>
      <c r="Z94" s="1">
        <f t="shared" si="23"/>
        <v>11</v>
      </c>
      <c r="AA94" s="1">
        <f t="shared" si="21"/>
        <v>5.6399242424242448</v>
      </c>
      <c r="AB94" s="1">
        <v>41.2</v>
      </c>
      <c r="AC94" s="1">
        <v>41.8</v>
      </c>
      <c r="AD94" s="1">
        <v>41.6</v>
      </c>
      <c r="AE94" s="1">
        <v>37.4</v>
      </c>
      <c r="AF94" s="1">
        <v>36.6</v>
      </c>
      <c r="AG94" s="1">
        <v>44.6</v>
      </c>
      <c r="AH94" s="1">
        <v>40</v>
      </c>
      <c r="AI94" s="1">
        <v>20</v>
      </c>
      <c r="AJ94" s="1">
        <v>30.8</v>
      </c>
      <c r="AK94" s="1">
        <v>34.200000000000003</v>
      </c>
      <c r="AL94" s="1"/>
      <c r="AM94" s="1">
        <f t="shared" si="22"/>
        <v>85</v>
      </c>
      <c r="AN94" t="s">
        <v>226</v>
      </c>
      <c r="AO94" s="1">
        <f t="shared" si="24"/>
        <v>0</v>
      </c>
    </row>
    <row r="95" spans="1:41" x14ac:dyDescent="0.25">
      <c r="A95" s="1" t="s">
        <v>65</v>
      </c>
      <c r="B95" s="1" t="s">
        <v>51</v>
      </c>
      <c r="C95" s="1">
        <v>209</v>
      </c>
      <c r="D95" s="1">
        <v>66</v>
      </c>
      <c r="E95" s="1">
        <v>232</v>
      </c>
      <c r="F95" s="1">
        <v>37</v>
      </c>
      <c r="G95" s="7">
        <v>0.3</v>
      </c>
      <c r="H95" s="1">
        <v>40</v>
      </c>
      <c r="I95" s="1" t="s">
        <v>44</v>
      </c>
      <c r="J95" s="1"/>
      <c r="K95" s="1">
        <v>234</v>
      </c>
      <c r="L95" s="1">
        <f t="shared" si="19"/>
        <v>-2</v>
      </c>
      <c r="M95" s="1"/>
      <c r="N95" s="1"/>
      <c r="O95" s="1"/>
      <c r="P95" s="1"/>
      <c r="Q95" s="1"/>
      <c r="R95" s="1"/>
      <c r="S95" s="1"/>
      <c r="T95" s="1">
        <v>174.6999999999999</v>
      </c>
      <c r="U95" s="1">
        <f t="shared" si="20"/>
        <v>46.4</v>
      </c>
      <c r="V95" s="5">
        <f>11*U95-T95-S95-R95-Q95-P95-O95-F95</f>
        <v>298.70000000000005</v>
      </c>
      <c r="W95" s="5">
        <f t="shared" si="25"/>
        <v>298.70000000000005</v>
      </c>
      <c r="X95" s="5">
        <v>-300</v>
      </c>
      <c r="Y95" s="5"/>
      <c r="Z95" s="1">
        <f t="shared" si="23"/>
        <v>4.5344827586206895</v>
      </c>
      <c r="AA95" s="1">
        <f t="shared" si="21"/>
        <v>4.5624999999999982</v>
      </c>
      <c r="AB95" s="1">
        <v>33.799999999999997</v>
      </c>
      <c r="AC95" s="1">
        <v>35</v>
      </c>
      <c r="AD95" s="1">
        <v>38.799999999999997</v>
      </c>
      <c r="AE95" s="1">
        <v>41.6</v>
      </c>
      <c r="AF95" s="1">
        <v>11.8</v>
      </c>
      <c r="AG95" s="1">
        <v>3.2</v>
      </c>
      <c r="AH95" s="1">
        <v>15.2</v>
      </c>
      <c r="AI95" s="1">
        <v>21.8</v>
      </c>
      <c r="AJ95" s="1">
        <v>36.6</v>
      </c>
      <c r="AK95" s="1">
        <v>18.399999999999999</v>
      </c>
      <c r="AL95" s="1"/>
      <c r="AM95" s="1">
        <f t="shared" si="22"/>
        <v>90</v>
      </c>
      <c r="AN95" t="s">
        <v>227</v>
      </c>
      <c r="AO95" s="1">
        <f t="shared" si="24"/>
        <v>0</v>
      </c>
    </row>
    <row r="96" spans="1:41" x14ac:dyDescent="0.25">
      <c r="A96" s="9" t="s">
        <v>228</v>
      </c>
      <c r="B96" s="9" t="s">
        <v>51</v>
      </c>
      <c r="C96" s="9">
        <v>83</v>
      </c>
      <c r="D96" s="9">
        <v>59</v>
      </c>
      <c r="E96" s="9">
        <v>83</v>
      </c>
      <c r="F96" s="9">
        <v>47</v>
      </c>
      <c r="G96" s="10">
        <v>0</v>
      </c>
      <c r="H96" s="9">
        <v>60</v>
      </c>
      <c r="I96" s="9" t="s">
        <v>58</v>
      </c>
      <c r="J96" s="9"/>
      <c r="K96" s="9">
        <v>85</v>
      </c>
      <c r="L96" s="9">
        <f t="shared" si="19"/>
        <v>-2</v>
      </c>
      <c r="M96" s="9"/>
      <c r="N96" s="9"/>
      <c r="O96" s="9"/>
      <c r="P96" s="9"/>
      <c r="Q96" s="9"/>
      <c r="R96" s="9"/>
      <c r="S96" s="9"/>
      <c r="T96" s="9">
        <v>0</v>
      </c>
      <c r="U96" s="9">
        <f t="shared" si="20"/>
        <v>16.600000000000001</v>
      </c>
      <c r="V96" s="11"/>
      <c r="W96" s="5">
        <f t="shared" si="25"/>
        <v>0</v>
      </c>
      <c r="X96" s="5"/>
      <c r="Y96" s="5"/>
      <c r="Z96" s="1">
        <f t="shared" si="23"/>
        <v>2.831325301204819</v>
      </c>
      <c r="AA96" s="9">
        <f t="shared" si="21"/>
        <v>2.831325301204819</v>
      </c>
      <c r="AB96" s="9">
        <v>8.8000000000000007</v>
      </c>
      <c r="AC96" s="9">
        <v>10.199999999999999</v>
      </c>
      <c r="AD96" s="9">
        <v>10.199999999999999</v>
      </c>
      <c r="AE96" s="9">
        <v>11.8</v>
      </c>
      <c r="AF96" s="9">
        <v>10.199999999999999</v>
      </c>
      <c r="AG96" s="9">
        <v>4</v>
      </c>
      <c r="AH96" s="9">
        <v>-1.4</v>
      </c>
      <c r="AI96" s="9">
        <v>1.6</v>
      </c>
      <c r="AJ96" s="9">
        <v>9.8000000000000007</v>
      </c>
      <c r="AK96" s="9">
        <v>13.8</v>
      </c>
      <c r="AL96" s="9"/>
      <c r="AM96" s="1">
        <f t="shared" si="22"/>
        <v>0</v>
      </c>
      <c r="AN96" t="s">
        <v>229</v>
      </c>
      <c r="AO96" s="1">
        <f t="shared" si="24"/>
        <v>0</v>
      </c>
    </row>
    <row r="97" spans="1:41" x14ac:dyDescent="0.25">
      <c r="A97" s="1" t="s">
        <v>230</v>
      </c>
      <c r="B97" s="1" t="s">
        <v>51</v>
      </c>
      <c r="C97" s="1">
        <v>155</v>
      </c>
      <c r="D97" s="1">
        <v>6</v>
      </c>
      <c r="E97" s="1">
        <v>158</v>
      </c>
      <c r="F97" s="1">
        <v>2</v>
      </c>
      <c r="G97" s="7">
        <v>7.0000000000000007E-2</v>
      </c>
      <c r="H97" s="1">
        <v>90</v>
      </c>
      <c r="I97" s="1" t="s">
        <v>44</v>
      </c>
      <c r="J97" s="1"/>
      <c r="K97" s="1">
        <v>207</v>
      </c>
      <c r="L97" s="1">
        <f t="shared" si="19"/>
        <v>-49</v>
      </c>
      <c r="M97" s="1"/>
      <c r="N97" s="1"/>
      <c r="O97" s="1"/>
      <c r="P97" s="1"/>
      <c r="Q97" s="1"/>
      <c r="R97" s="1"/>
      <c r="S97" s="1"/>
      <c r="T97" s="1">
        <v>276.39999999999998</v>
      </c>
      <c r="U97" s="1">
        <f t="shared" si="20"/>
        <v>31.6</v>
      </c>
      <c r="V97" s="5">
        <f>11*U97-T97-S97-R97-Q97-P97-O97-F97</f>
        <v>69.200000000000045</v>
      </c>
      <c r="W97" s="5">
        <f t="shared" si="25"/>
        <v>69.200000000000045</v>
      </c>
      <c r="X97" s="5"/>
      <c r="Y97" s="5"/>
      <c r="Z97" s="1">
        <f t="shared" si="23"/>
        <v>11</v>
      </c>
      <c r="AA97" s="1">
        <f t="shared" si="21"/>
        <v>8.81012658227848</v>
      </c>
      <c r="AB97" s="1">
        <v>34.799999999999997</v>
      </c>
      <c r="AC97" s="1">
        <v>37.4</v>
      </c>
      <c r="AD97" s="1">
        <v>44.8</v>
      </c>
      <c r="AE97" s="1">
        <v>41</v>
      </c>
      <c r="AF97" s="1">
        <v>36.200000000000003</v>
      </c>
      <c r="AG97" s="1">
        <v>28.2</v>
      </c>
      <c r="AH97" s="1">
        <v>16.600000000000001</v>
      </c>
      <c r="AI97" s="1">
        <v>26.4</v>
      </c>
      <c r="AJ97" s="1">
        <v>44.2</v>
      </c>
      <c r="AK97" s="1">
        <v>27</v>
      </c>
      <c r="AL97" s="1"/>
      <c r="AM97" s="1">
        <f t="shared" si="22"/>
        <v>5</v>
      </c>
      <c r="AN97" t="s">
        <v>231</v>
      </c>
      <c r="AO97" s="1">
        <f t="shared" si="24"/>
        <v>0</v>
      </c>
    </row>
    <row r="98" spans="1:41" x14ac:dyDescent="0.25">
      <c r="A98" s="1" t="s">
        <v>232</v>
      </c>
      <c r="B98" s="1" t="s">
        <v>51</v>
      </c>
      <c r="C98" s="1">
        <v>186</v>
      </c>
      <c r="D98" s="1">
        <v>91</v>
      </c>
      <c r="E98" s="1">
        <v>118</v>
      </c>
      <c r="F98" s="1">
        <v>125</v>
      </c>
      <c r="G98" s="7">
        <v>7.0000000000000007E-2</v>
      </c>
      <c r="H98" s="1">
        <v>90</v>
      </c>
      <c r="I98" s="1" t="s">
        <v>44</v>
      </c>
      <c r="J98" s="1"/>
      <c r="K98" s="1">
        <v>125</v>
      </c>
      <c r="L98" s="1">
        <f t="shared" si="19"/>
        <v>-7</v>
      </c>
      <c r="M98" s="1"/>
      <c r="N98" s="1"/>
      <c r="O98" s="1"/>
      <c r="P98" s="1"/>
      <c r="Q98" s="1"/>
      <c r="R98" s="1"/>
      <c r="S98" s="1"/>
      <c r="T98" s="1">
        <v>61.012</v>
      </c>
      <c r="U98" s="1">
        <f t="shared" si="20"/>
        <v>23.6</v>
      </c>
      <c r="V98" s="5">
        <f>11*U98-T98-S98-R98-Q98-P98-O98-F98</f>
        <v>73.588000000000022</v>
      </c>
      <c r="W98" s="5">
        <f t="shared" si="25"/>
        <v>73.588000000000022</v>
      </c>
      <c r="X98" s="5"/>
      <c r="Y98" s="5"/>
      <c r="Z98" s="1">
        <f t="shared" si="23"/>
        <v>11</v>
      </c>
      <c r="AA98" s="1">
        <f t="shared" si="21"/>
        <v>7.8818644067796608</v>
      </c>
      <c r="AB98" s="1">
        <v>23.2</v>
      </c>
      <c r="AC98" s="1">
        <v>24.4</v>
      </c>
      <c r="AD98" s="1">
        <v>26.8</v>
      </c>
      <c r="AE98" s="1">
        <v>27</v>
      </c>
      <c r="AF98" s="1">
        <v>26.4</v>
      </c>
      <c r="AG98" s="1">
        <v>25.4</v>
      </c>
      <c r="AH98" s="1">
        <v>19.399999999999999</v>
      </c>
      <c r="AI98" s="1">
        <v>21.4</v>
      </c>
      <c r="AJ98" s="1">
        <v>29.6</v>
      </c>
      <c r="AK98" s="1">
        <v>22</v>
      </c>
      <c r="AL98" s="1"/>
      <c r="AM98" s="1">
        <f t="shared" si="22"/>
        <v>5</v>
      </c>
      <c r="AN98" t="s">
        <v>233</v>
      </c>
      <c r="AO98" s="1">
        <f t="shared" si="24"/>
        <v>0</v>
      </c>
    </row>
    <row r="99" spans="1:41" x14ac:dyDescent="0.25">
      <c r="A99" s="9" t="s">
        <v>234</v>
      </c>
      <c r="B99" s="9" t="s">
        <v>51</v>
      </c>
      <c r="C99" s="9">
        <v>131</v>
      </c>
      <c r="D99" s="9">
        <v>110</v>
      </c>
      <c r="E99" s="9">
        <v>100</v>
      </c>
      <c r="F99" s="9">
        <v>129</v>
      </c>
      <c r="G99" s="10">
        <v>0</v>
      </c>
      <c r="H99" s="9">
        <v>90</v>
      </c>
      <c r="I99" s="9" t="s">
        <v>58</v>
      </c>
      <c r="J99" s="9"/>
      <c r="K99" s="9">
        <v>109</v>
      </c>
      <c r="L99" s="9">
        <f t="shared" si="19"/>
        <v>-9</v>
      </c>
      <c r="M99" s="9"/>
      <c r="N99" s="9"/>
      <c r="O99" s="9"/>
      <c r="P99" s="9"/>
      <c r="Q99" s="9"/>
      <c r="R99" s="9"/>
      <c r="S99" s="9"/>
      <c r="T99" s="9">
        <v>56</v>
      </c>
      <c r="U99" s="9">
        <f t="shared" si="20"/>
        <v>20</v>
      </c>
      <c r="V99" s="11"/>
      <c r="W99" s="5">
        <f t="shared" si="25"/>
        <v>0</v>
      </c>
      <c r="X99" s="5"/>
      <c r="Y99" s="5"/>
      <c r="Z99" s="1">
        <f t="shared" si="23"/>
        <v>9.25</v>
      </c>
      <c r="AA99" s="9">
        <f t="shared" si="21"/>
        <v>9.25</v>
      </c>
      <c r="AB99" s="9">
        <v>19.2</v>
      </c>
      <c r="AC99" s="9">
        <v>18.399999999999999</v>
      </c>
      <c r="AD99" s="9">
        <v>18.2</v>
      </c>
      <c r="AE99" s="9">
        <v>16.8</v>
      </c>
      <c r="AF99" s="9">
        <v>18.600000000000001</v>
      </c>
      <c r="AG99" s="9">
        <v>20.2</v>
      </c>
      <c r="AH99" s="9">
        <v>18.600000000000001</v>
      </c>
      <c r="AI99" s="9">
        <v>18</v>
      </c>
      <c r="AJ99" s="9">
        <v>13.2</v>
      </c>
      <c r="AK99" s="9">
        <v>18.8</v>
      </c>
      <c r="AL99" s="9"/>
      <c r="AM99" s="1">
        <f t="shared" si="22"/>
        <v>0</v>
      </c>
      <c r="AN99" t="s">
        <v>235</v>
      </c>
      <c r="AO99" s="1">
        <f t="shared" si="24"/>
        <v>0</v>
      </c>
    </row>
    <row r="100" spans="1:41" x14ac:dyDescent="0.25">
      <c r="A100" s="9" t="s">
        <v>236</v>
      </c>
      <c r="B100" s="9" t="s">
        <v>51</v>
      </c>
      <c r="C100" s="9">
        <v>-1</v>
      </c>
      <c r="D100" s="9"/>
      <c r="E100" s="9">
        <v>-2</v>
      </c>
      <c r="F100" s="9">
        <v>-1</v>
      </c>
      <c r="G100" s="10">
        <v>0</v>
      </c>
      <c r="H100" s="9"/>
      <c r="I100" s="9" t="s">
        <v>58</v>
      </c>
      <c r="J100" s="9"/>
      <c r="K100" s="9">
        <v>9</v>
      </c>
      <c r="L100" s="9">
        <f t="shared" si="19"/>
        <v>-11</v>
      </c>
      <c r="M100" s="9"/>
      <c r="N100" s="9"/>
      <c r="O100" s="9"/>
      <c r="P100" s="9"/>
      <c r="Q100" s="9"/>
      <c r="R100" s="9"/>
      <c r="S100" s="9"/>
      <c r="T100" s="9">
        <v>0</v>
      </c>
      <c r="U100" s="9">
        <f t="shared" si="20"/>
        <v>-0.4</v>
      </c>
      <c r="V100" s="11"/>
      <c r="W100" s="5">
        <f t="shared" si="25"/>
        <v>0</v>
      </c>
      <c r="X100" s="5"/>
      <c r="Y100" s="5"/>
      <c r="Z100" s="1">
        <f t="shared" si="23"/>
        <v>2.5</v>
      </c>
      <c r="AA100" s="9">
        <f t="shared" si="21"/>
        <v>2.5</v>
      </c>
      <c r="AB100" s="9">
        <v>-0.4</v>
      </c>
      <c r="AC100" s="9">
        <v>0</v>
      </c>
      <c r="AD100" s="9">
        <v>-0.2</v>
      </c>
      <c r="AE100" s="9">
        <v>-0.2</v>
      </c>
      <c r="AF100" s="9">
        <v>3.2</v>
      </c>
      <c r="AG100" s="9">
        <v>9</v>
      </c>
      <c r="AH100" s="9">
        <v>15.8</v>
      </c>
      <c r="AI100" s="9">
        <v>17.2</v>
      </c>
      <c r="AJ100" s="9">
        <v>14.2</v>
      </c>
      <c r="AK100" s="9">
        <v>14</v>
      </c>
      <c r="AL100" s="9"/>
      <c r="AM100" s="1">
        <f t="shared" si="22"/>
        <v>0</v>
      </c>
      <c r="AN100" t="s">
        <v>237</v>
      </c>
      <c r="AO100" s="1">
        <f t="shared" si="24"/>
        <v>0</v>
      </c>
    </row>
    <row r="101" spans="1:41" x14ac:dyDescent="0.25">
      <c r="A101" s="9" t="s">
        <v>238</v>
      </c>
      <c r="B101" s="9" t="s">
        <v>51</v>
      </c>
      <c r="C101" s="9">
        <v>14</v>
      </c>
      <c r="D101" s="9">
        <v>6</v>
      </c>
      <c r="E101" s="9">
        <v>10</v>
      </c>
      <c r="F101" s="9">
        <v>4</v>
      </c>
      <c r="G101" s="10">
        <v>0</v>
      </c>
      <c r="H101" s="9"/>
      <c r="I101" s="9" t="s">
        <v>58</v>
      </c>
      <c r="J101" s="9"/>
      <c r="K101" s="9">
        <v>54</v>
      </c>
      <c r="L101" s="9">
        <f t="shared" si="19"/>
        <v>-44</v>
      </c>
      <c r="M101" s="9"/>
      <c r="N101" s="9"/>
      <c r="O101" s="9"/>
      <c r="P101" s="9"/>
      <c r="Q101" s="9"/>
      <c r="R101" s="9"/>
      <c r="S101" s="9"/>
      <c r="T101" s="9">
        <v>0</v>
      </c>
      <c r="U101" s="9">
        <f t="shared" si="20"/>
        <v>2</v>
      </c>
      <c r="V101" s="11"/>
      <c r="W101" s="5">
        <f t="shared" si="25"/>
        <v>0</v>
      </c>
      <c r="X101" s="5"/>
      <c r="Y101" s="5"/>
      <c r="Z101" s="1">
        <f t="shared" si="23"/>
        <v>2</v>
      </c>
      <c r="AA101" s="9">
        <f t="shared" si="21"/>
        <v>2</v>
      </c>
      <c r="AB101" s="9">
        <v>9.8000000000000007</v>
      </c>
      <c r="AC101" s="9">
        <v>14</v>
      </c>
      <c r="AD101" s="9">
        <v>12.4</v>
      </c>
      <c r="AE101" s="9">
        <v>11.8</v>
      </c>
      <c r="AF101" s="9">
        <v>13.8</v>
      </c>
      <c r="AG101" s="9">
        <v>13.2</v>
      </c>
      <c r="AH101" s="9">
        <v>8.4</v>
      </c>
      <c r="AI101" s="9">
        <v>10.199999999999999</v>
      </c>
      <c r="AJ101" s="9">
        <v>12.8</v>
      </c>
      <c r="AK101" s="9">
        <v>10.8</v>
      </c>
      <c r="AL101" s="9"/>
      <c r="AM101" s="1">
        <f t="shared" si="22"/>
        <v>0</v>
      </c>
      <c r="AN101" t="s">
        <v>239</v>
      </c>
      <c r="AO101" s="1">
        <f t="shared" si="24"/>
        <v>0</v>
      </c>
    </row>
    <row r="102" spans="1:41" x14ac:dyDescent="0.25">
      <c r="A102" s="9" t="s">
        <v>240</v>
      </c>
      <c r="B102" s="9" t="s">
        <v>51</v>
      </c>
      <c r="C102" s="9">
        <v>31</v>
      </c>
      <c r="D102" s="9"/>
      <c r="E102" s="9">
        <v>1</v>
      </c>
      <c r="F102" s="9">
        <v>30</v>
      </c>
      <c r="G102" s="10">
        <v>0</v>
      </c>
      <c r="H102" s="9">
        <v>60</v>
      </c>
      <c r="I102" s="9" t="s">
        <v>58</v>
      </c>
      <c r="J102" s="9"/>
      <c r="K102" s="9">
        <v>1</v>
      </c>
      <c r="L102" s="9">
        <f t="shared" ref="L102:L125" si="26">E102-K102</f>
        <v>0</v>
      </c>
      <c r="M102" s="9"/>
      <c r="N102" s="9"/>
      <c r="O102" s="9"/>
      <c r="P102" s="9"/>
      <c r="Q102" s="9"/>
      <c r="R102" s="9"/>
      <c r="S102" s="9"/>
      <c r="T102" s="9">
        <v>0</v>
      </c>
      <c r="U102" s="9">
        <f t="shared" ref="U102:U133" si="27">E102/5</f>
        <v>0.2</v>
      </c>
      <c r="V102" s="11"/>
      <c r="W102" s="5">
        <f t="shared" si="25"/>
        <v>0</v>
      </c>
      <c r="X102" s="5"/>
      <c r="Y102" s="5"/>
      <c r="Z102" s="1">
        <f t="shared" si="23"/>
        <v>150</v>
      </c>
      <c r="AA102" s="9">
        <f t="shared" ref="AA102:AA133" si="28">(F102+O102+P102+Q102+R102+S102+T102)/U102</f>
        <v>150</v>
      </c>
      <c r="AB102" s="9">
        <v>1</v>
      </c>
      <c r="AC102" s="9">
        <v>1</v>
      </c>
      <c r="AD102" s="9">
        <v>0.6</v>
      </c>
      <c r="AE102" s="9">
        <v>0.8</v>
      </c>
      <c r="AF102" s="9">
        <v>0.8</v>
      </c>
      <c r="AG102" s="9">
        <v>2</v>
      </c>
      <c r="AH102" s="9">
        <v>2</v>
      </c>
      <c r="AI102" s="9">
        <v>0.8</v>
      </c>
      <c r="AJ102" s="9">
        <v>1.6</v>
      </c>
      <c r="AK102" s="9">
        <v>0.4</v>
      </c>
      <c r="AL102" s="12" t="s">
        <v>119</v>
      </c>
      <c r="AM102" s="1">
        <f t="shared" ref="AM102:AM133" si="29">ROUND(G102*W102,0)</f>
        <v>0</v>
      </c>
      <c r="AO102" s="1">
        <f t="shared" si="24"/>
        <v>0</v>
      </c>
    </row>
    <row r="103" spans="1:41" x14ac:dyDescent="0.25">
      <c r="A103" s="1" t="s">
        <v>241</v>
      </c>
      <c r="B103" s="1" t="s">
        <v>51</v>
      </c>
      <c r="C103" s="1">
        <v>313</v>
      </c>
      <c r="D103" s="1"/>
      <c r="E103" s="1">
        <v>210</v>
      </c>
      <c r="F103" s="1">
        <v>91</v>
      </c>
      <c r="G103" s="7">
        <v>0.3</v>
      </c>
      <c r="H103" s="1">
        <v>40</v>
      </c>
      <c r="I103" s="1" t="s">
        <v>44</v>
      </c>
      <c r="J103" s="1"/>
      <c r="K103" s="1">
        <v>223</v>
      </c>
      <c r="L103" s="1">
        <f t="shared" si="26"/>
        <v>-13</v>
      </c>
      <c r="M103" s="1"/>
      <c r="N103" s="1"/>
      <c r="O103" s="1"/>
      <c r="P103" s="1"/>
      <c r="Q103" s="1"/>
      <c r="R103" s="1"/>
      <c r="S103" s="1"/>
      <c r="T103" s="1">
        <v>116.9999999999999</v>
      </c>
      <c r="U103" s="1">
        <f t="shared" si="27"/>
        <v>42</v>
      </c>
      <c r="V103" s="5">
        <f>11*U103-T103-S103-R103-Q103-P103-O103-F103</f>
        <v>254.00000000000011</v>
      </c>
      <c r="W103" s="5">
        <f t="shared" si="25"/>
        <v>254.00000000000011</v>
      </c>
      <c r="X103" s="5">
        <v>-258.00000000000006</v>
      </c>
      <c r="Y103" s="5"/>
      <c r="Z103" s="1">
        <f t="shared" si="23"/>
        <v>4.8571428571428559</v>
      </c>
      <c r="AA103" s="1">
        <f t="shared" si="28"/>
        <v>4.9523809523809499</v>
      </c>
      <c r="AB103" s="1">
        <v>32.799999999999997</v>
      </c>
      <c r="AC103" s="1">
        <v>34.200000000000003</v>
      </c>
      <c r="AD103" s="1">
        <v>48.4</v>
      </c>
      <c r="AE103" s="1">
        <v>53.4</v>
      </c>
      <c r="AF103" s="1">
        <v>14.4</v>
      </c>
      <c r="AG103" s="1">
        <v>11.4</v>
      </c>
      <c r="AH103" s="1">
        <v>33.4</v>
      </c>
      <c r="AI103" s="1">
        <v>28</v>
      </c>
      <c r="AJ103" s="1">
        <v>24.6</v>
      </c>
      <c r="AK103" s="1">
        <v>25</v>
      </c>
      <c r="AL103" s="1"/>
      <c r="AM103" s="1">
        <f t="shared" si="29"/>
        <v>76</v>
      </c>
      <c r="AN103" t="s">
        <v>242</v>
      </c>
      <c r="AO103" s="1">
        <f t="shared" si="24"/>
        <v>0</v>
      </c>
    </row>
    <row r="104" spans="1:41" x14ac:dyDescent="0.25">
      <c r="A104" s="1" t="s">
        <v>243</v>
      </c>
      <c r="B104" s="1" t="s">
        <v>43</v>
      </c>
      <c r="C104" s="1">
        <v>129.81800000000001</v>
      </c>
      <c r="D104" s="1">
        <v>114.273</v>
      </c>
      <c r="E104" s="1">
        <v>104.46899999999999</v>
      </c>
      <c r="F104" s="1">
        <v>124.871</v>
      </c>
      <c r="G104" s="7">
        <v>1</v>
      </c>
      <c r="H104" s="1">
        <v>55</v>
      </c>
      <c r="I104" s="1" t="s">
        <v>44</v>
      </c>
      <c r="J104" s="1"/>
      <c r="K104" s="1">
        <v>89.4</v>
      </c>
      <c r="L104" s="1">
        <f t="shared" si="26"/>
        <v>15.068999999999988</v>
      </c>
      <c r="M104" s="1"/>
      <c r="N104" s="1"/>
      <c r="O104" s="1"/>
      <c r="P104" s="1"/>
      <c r="Q104" s="1"/>
      <c r="R104" s="1"/>
      <c r="S104" s="1"/>
      <c r="T104" s="1">
        <v>33.139000000000003</v>
      </c>
      <c r="U104" s="1">
        <f t="shared" si="27"/>
        <v>20.893799999999999</v>
      </c>
      <c r="V104" s="5">
        <f>11*U104-T104-S104-R104-Q104-P104-O104-F104</f>
        <v>71.821799999999982</v>
      </c>
      <c r="W104" s="5">
        <f t="shared" si="25"/>
        <v>71.821799999999982</v>
      </c>
      <c r="X104" s="5"/>
      <c r="Y104" s="5"/>
      <c r="Z104" s="1">
        <f t="shared" si="23"/>
        <v>11</v>
      </c>
      <c r="AA104" s="1">
        <f t="shared" si="28"/>
        <v>7.5625305114435859</v>
      </c>
      <c r="AB104" s="1">
        <v>18.738800000000001</v>
      </c>
      <c r="AC104" s="1">
        <v>20.331600000000002</v>
      </c>
      <c r="AD104" s="1">
        <v>17.024799999999999</v>
      </c>
      <c r="AE104" s="1">
        <v>19.844799999999999</v>
      </c>
      <c r="AF104" s="1">
        <v>21.769400000000001</v>
      </c>
      <c r="AG104" s="1">
        <v>15.845800000000001</v>
      </c>
      <c r="AH104" s="1">
        <v>21.074000000000002</v>
      </c>
      <c r="AI104" s="1">
        <v>24.769600000000001</v>
      </c>
      <c r="AJ104" s="1">
        <v>22.8644</v>
      </c>
      <c r="AK104" s="1">
        <v>19.228400000000001</v>
      </c>
      <c r="AL104" s="1"/>
      <c r="AM104" s="1">
        <f t="shared" si="29"/>
        <v>72</v>
      </c>
      <c r="AN104" t="s">
        <v>244</v>
      </c>
      <c r="AO104" s="1">
        <f t="shared" si="24"/>
        <v>0</v>
      </c>
    </row>
    <row r="105" spans="1:41" x14ac:dyDescent="0.25">
      <c r="A105" s="1" t="s">
        <v>245</v>
      </c>
      <c r="B105" s="1" t="s">
        <v>51</v>
      </c>
      <c r="C105" s="1">
        <v>14</v>
      </c>
      <c r="D105" s="1">
        <v>15</v>
      </c>
      <c r="E105" s="1">
        <v>10</v>
      </c>
      <c r="F105" s="1">
        <v>18</v>
      </c>
      <c r="G105" s="7">
        <v>0.1</v>
      </c>
      <c r="H105" s="1">
        <v>30</v>
      </c>
      <c r="I105" s="1" t="s">
        <v>44</v>
      </c>
      <c r="J105" s="1"/>
      <c r="K105" s="1">
        <v>11</v>
      </c>
      <c r="L105" s="1">
        <f t="shared" si="26"/>
        <v>-1</v>
      </c>
      <c r="M105" s="1"/>
      <c r="N105" s="1"/>
      <c r="O105" s="1"/>
      <c r="P105" s="1"/>
      <c r="Q105" s="1"/>
      <c r="R105" s="1"/>
      <c r="S105" s="1"/>
      <c r="T105" s="1">
        <v>6</v>
      </c>
      <c r="U105" s="1">
        <f t="shared" si="27"/>
        <v>2</v>
      </c>
      <c r="V105" s="5"/>
      <c r="W105" s="5">
        <f t="shared" si="25"/>
        <v>0</v>
      </c>
      <c r="X105" s="5"/>
      <c r="Y105" s="5"/>
      <c r="Z105" s="1">
        <f t="shared" si="23"/>
        <v>12</v>
      </c>
      <c r="AA105" s="1">
        <f t="shared" si="28"/>
        <v>12</v>
      </c>
      <c r="AB105" s="1">
        <v>1.4</v>
      </c>
      <c r="AC105" s="1">
        <v>1.6</v>
      </c>
      <c r="AD105" s="1">
        <v>1.4</v>
      </c>
      <c r="AE105" s="1">
        <v>1.4</v>
      </c>
      <c r="AF105" s="1">
        <v>2.2000000000000002</v>
      </c>
      <c r="AG105" s="1">
        <v>3.2</v>
      </c>
      <c r="AH105" s="1">
        <v>1.8</v>
      </c>
      <c r="AI105" s="1">
        <v>0.8</v>
      </c>
      <c r="AJ105" s="1">
        <v>1.8</v>
      </c>
      <c r="AK105" s="1">
        <v>1.6</v>
      </c>
      <c r="AL105" s="1"/>
      <c r="AM105" s="1">
        <f t="shared" si="29"/>
        <v>0</v>
      </c>
      <c r="AN105" t="s">
        <v>246</v>
      </c>
      <c r="AO105" s="1">
        <f t="shared" si="24"/>
        <v>0</v>
      </c>
    </row>
    <row r="106" spans="1:41" x14ac:dyDescent="0.25">
      <c r="A106" s="1" t="s">
        <v>247</v>
      </c>
      <c r="B106" s="1" t="s">
        <v>51</v>
      </c>
      <c r="C106" s="1">
        <v>306</v>
      </c>
      <c r="D106" s="1">
        <v>292</v>
      </c>
      <c r="E106" s="1">
        <v>188</v>
      </c>
      <c r="F106" s="1">
        <v>364</v>
      </c>
      <c r="G106" s="7">
        <v>0.08</v>
      </c>
      <c r="H106" s="1">
        <v>45</v>
      </c>
      <c r="I106" s="1" t="s">
        <v>44</v>
      </c>
      <c r="J106" s="1"/>
      <c r="K106" s="1">
        <v>206</v>
      </c>
      <c r="L106" s="1">
        <f t="shared" si="26"/>
        <v>-18</v>
      </c>
      <c r="M106" s="1"/>
      <c r="N106" s="1"/>
      <c r="O106" s="1"/>
      <c r="P106" s="1"/>
      <c r="Q106" s="1"/>
      <c r="R106" s="1"/>
      <c r="S106" s="1"/>
      <c r="T106" s="1">
        <v>14.467999999999959</v>
      </c>
      <c r="U106" s="1">
        <f t="shared" si="27"/>
        <v>37.6</v>
      </c>
      <c r="V106" s="5">
        <f>11*U106-T106-S106-R106-Q106-P106-O106-F106</f>
        <v>35.132000000000062</v>
      </c>
      <c r="W106" s="5">
        <f t="shared" si="25"/>
        <v>35.132000000000062</v>
      </c>
      <c r="X106" s="5"/>
      <c r="Y106" s="5"/>
      <c r="Z106" s="1">
        <f t="shared" si="23"/>
        <v>11</v>
      </c>
      <c r="AA106" s="1">
        <f t="shared" si="28"/>
        <v>10.065638297872338</v>
      </c>
      <c r="AB106" s="1">
        <v>41.6</v>
      </c>
      <c r="AC106" s="1">
        <v>50.8</v>
      </c>
      <c r="AD106" s="1">
        <v>54</v>
      </c>
      <c r="AE106" s="1">
        <v>50</v>
      </c>
      <c r="AF106" s="1">
        <v>41.4</v>
      </c>
      <c r="AG106" s="1">
        <v>40.6</v>
      </c>
      <c r="AH106" s="1">
        <v>39.6</v>
      </c>
      <c r="AI106" s="1">
        <v>39.4</v>
      </c>
      <c r="AJ106" s="1">
        <v>42.4</v>
      </c>
      <c r="AK106" s="1">
        <v>36.4</v>
      </c>
      <c r="AL106" s="1"/>
      <c r="AM106" s="1">
        <f t="shared" si="29"/>
        <v>3</v>
      </c>
      <c r="AN106" t="s">
        <v>248</v>
      </c>
      <c r="AO106" s="1">
        <f t="shared" si="24"/>
        <v>0</v>
      </c>
    </row>
    <row r="107" spans="1:41" x14ac:dyDescent="0.25">
      <c r="A107" s="1" t="s">
        <v>249</v>
      </c>
      <c r="B107" s="1" t="s">
        <v>51</v>
      </c>
      <c r="C107" s="1">
        <v>227</v>
      </c>
      <c r="D107" s="1">
        <v>58</v>
      </c>
      <c r="E107" s="1">
        <v>175</v>
      </c>
      <c r="F107" s="1">
        <v>84</v>
      </c>
      <c r="G107" s="7">
        <v>0.08</v>
      </c>
      <c r="H107" s="1">
        <v>45</v>
      </c>
      <c r="I107" s="1" t="s">
        <v>44</v>
      </c>
      <c r="J107" s="1"/>
      <c r="K107" s="1">
        <v>189</v>
      </c>
      <c r="L107" s="1">
        <f t="shared" si="26"/>
        <v>-14</v>
      </c>
      <c r="M107" s="1"/>
      <c r="N107" s="1"/>
      <c r="O107" s="1"/>
      <c r="P107" s="1"/>
      <c r="Q107" s="1"/>
      <c r="R107" s="1"/>
      <c r="S107" s="1"/>
      <c r="T107" s="1">
        <v>236.56399999999999</v>
      </c>
      <c r="U107" s="1">
        <f t="shared" si="27"/>
        <v>35</v>
      </c>
      <c r="V107" s="5">
        <f>11*U107-T107-S107-R107-Q107-P107-O107-F107</f>
        <v>64.436000000000007</v>
      </c>
      <c r="W107" s="5">
        <f t="shared" si="25"/>
        <v>64.436000000000007</v>
      </c>
      <c r="X107" s="5"/>
      <c r="Y107" s="5"/>
      <c r="Z107" s="1">
        <f t="shared" si="23"/>
        <v>11</v>
      </c>
      <c r="AA107" s="1">
        <f t="shared" si="28"/>
        <v>9.1589714285714283</v>
      </c>
      <c r="AB107" s="1">
        <v>35.6</v>
      </c>
      <c r="AC107" s="1">
        <v>38.6</v>
      </c>
      <c r="AD107" s="1">
        <v>40.6</v>
      </c>
      <c r="AE107" s="1">
        <v>35.200000000000003</v>
      </c>
      <c r="AF107" s="1">
        <v>30.6</v>
      </c>
      <c r="AG107" s="1">
        <v>23.8</v>
      </c>
      <c r="AH107" s="1">
        <v>11.2</v>
      </c>
      <c r="AI107" s="1">
        <v>20.8</v>
      </c>
      <c r="AJ107" s="1">
        <v>34.4</v>
      </c>
      <c r="AK107" s="1">
        <v>20</v>
      </c>
      <c r="AL107" s="1"/>
      <c r="AM107" s="1">
        <f t="shared" si="29"/>
        <v>5</v>
      </c>
      <c r="AN107" t="s">
        <v>250</v>
      </c>
      <c r="AO107" s="1">
        <f t="shared" si="24"/>
        <v>0</v>
      </c>
    </row>
    <row r="108" spans="1:41" x14ac:dyDescent="0.25">
      <c r="A108" s="1" t="s">
        <v>251</v>
      </c>
      <c r="B108" s="1" t="s">
        <v>51</v>
      </c>
      <c r="C108" s="1">
        <v>13</v>
      </c>
      <c r="D108" s="1">
        <v>13</v>
      </c>
      <c r="E108" s="1">
        <v>9</v>
      </c>
      <c r="F108" s="1">
        <v>15</v>
      </c>
      <c r="G108" s="7">
        <v>0.17</v>
      </c>
      <c r="H108" s="1">
        <v>30</v>
      </c>
      <c r="I108" s="1" t="s">
        <v>44</v>
      </c>
      <c r="J108" s="1"/>
      <c r="K108" s="1">
        <v>13</v>
      </c>
      <c r="L108" s="1">
        <f t="shared" si="26"/>
        <v>-4</v>
      </c>
      <c r="M108" s="1"/>
      <c r="N108" s="1"/>
      <c r="O108" s="1"/>
      <c r="P108" s="1"/>
      <c r="Q108" s="1"/>
      <c r="R108" s="1"/>
      <c r="S108" s="1"/>
      <c r="T108" s="1">
        <v>5.5</v>
      </c>
      <c r="U108" s="1">
        <f t="shared" si="27"/>
        <v>1.8</v>
      </c>
      <c r="V108" s="5"/>
      <c r="W108" s="5">
        <f t="shared" si="25"/>
        <v>0</v>
      </c>
      <c r="X108" s="5"/>
      <c r="Y108" s="5"/>
      <c r="Z108" s="1">
        <f t="shared" si="23"/>
        <v>11.388888888888889</v>
      </c>
      <c r="AA108" s="1">
        <f t="shared" si="28"/>
        <v>11.388888888888889</v>
      </c>
      <c r="AB108" s="1">
        <v>1.4</v>
      </c>
      <c r="AC108" s="1">
        <v>0.6</v>
      </c>
      <c r="AD108" s="1">
        <v>0.2</v>
      </c>
      <c r="AE108" s="1">
        <v>1</v>
      </c>
      <c r="AF108" s="1">
        <v>2</v>
      </c>
      <c r="AG108" s="1">
        <v>3</v>
      </c>
      <c r="AH108" s="1">
        <v>1.6</v>
      </c>
      <c r="AI108" s="1">
        <v>1.4</v>
      </c>
      <c r="AJ108" s="1">
        <v>-0.4</v>
      </c>
      <c r="AK108" s="1">
        <v>2</v>
      </c>
      <c r="AL108" s="1" t="s">
        <v>252</v>
      </c>
      <c r="AM108" s="1">
        <f t="shared" si="29"/>
        <v>0</v>
      </c>
      <c r="AN108" t="s">
        <v>253</v>
      </c>
      <c r="AO108" s="1">
        <f t="shared" si="24"/>
        <v>0</v>
      </c>
    </row>
    <row r="109" spans="1:41" x14ac:dyDescent="0.25">
      <c r="A109" s="1" t="s">
        <v>254</v>
      </c>
      <c r="B109" s="1" t="s">
        <v>43</v>
      </c>
      <c r="C109" s="1">
        <v>337.005</v>
      </c>
      <c r="D109" s="1">
        <v>350.22300000000001</v>
      </c>
      <c r="E109" s="1">
        <v>443.99200000000002</v>
      </c>
      <c r="F109" s="1">
        <v>170.32400000000001</v>
      </c>
      <c r="G109" s="7">
        <v>1</v>
      </c>
      <c r="H109" s="1">
        <v>40</v>
      </c>
      <c r="I109" s="1" t="s">
        <v>44</v>
      </c>
      <c r="J109" s="1"/>
      <c r="K109" s="1">
        <v>462.68599999999998</v>
      </c>
      <c r="L109" s="1">
        <f t="shared" si="26"/>
        <v>-18.69399999999996</v>
      </c>
      <c r="M109" s="1"/>
      <c r="N109" s="1"/>
      <c r="O109" s="1">
        <v>150</v>
      </c>
      <c r="P109" s="1"/>
      <c r="Q109" s="1"/>
      <c r="R109" s="1"/>
      <c r="S109" s="1"/>
      <c r="T109" s="1">
        <v>320.7919939999997</v>
      </c>
      <c r="U109" s="1">
        <f t="shared" si="27"/>
        <v>88.798400000000001</v>
      </c>
      <c r="V109" s="5">
        <f>11*U109-T109-S109-R109-Q109-P109-O109-F109</f>
        <v>335.66640600000034</v>
      </c>
      <c r="W109" s="5">
        <f t="shared" si="25"/>
        <v>335.66640600000034</v>
      </c>
      <c r="X109" s="5"/>
      <c r="Y109" s="5"/>
      <c r="Z109" s="1">
        <f t="shared" si="23"/>
        <v>11</v>
      </c>
      <c r="AA109" s="1">
        <f t="shared" si="28"/>
        <v>7.2199047955818996</v>
      </c>
      <c r="AB109" s="1">
        <v>81.619799999999998</v>
      </c>
      <c r="AC109" s="1">
        <v>70.697800000000001</v>
      </c>
      <c r="AD109" s="1">
        <v>58.890599999999992</v>
      </c>
      <c r="AE109" s="1">
        <v>61.716999999999999</v>
      </c>
      <c r="AF109" s="1">
        <v>68.288199999999989</v>
      </c>
      <c r="AG109" s="1">
        <v>71.225800000000007</v>
      </c>
      <c r="AH109" s="1">
        <v>70.763800000000003</v>
      </c>
      <c r="AI109" s="1">
        <v>70.212599999999995</v>
      </c>
      <c r="AJ109" s="1">
        <v>71.038399999999996</v>
      </c>
      <c r="AK109" s="1">
        <v>80.659400000000005</v>
      </c>
      <c r="AL109" s="1"/>
      <c r="AM109" s="1">
        <f t="shared" si="29"/>
        <v>336</v>
      </c>
      <c r="AN109" t="s">
        <v>255</v>
      </c>
      <c r="AO109" s="1">
        <f t="shared" si="24"/>
        <v>0</v>
      </c>
    </row>
    <row r="110" spans="1:41" x14ac:dyDescent="0.25">
      <c r="A110" s="1" t="s">
        <v>256</v>
      </c>
      <c r="B110" s="1" t="s">
        <v>43</v>
      </c>
      <c r="C110" s="1">
        <v>225.078</v>
      </c>
      <c r="D110" s="1">
        <v>297.93700000000001</v>
      </c>
      <c r="E110" s="1">
        <v>308.399</v>
      </c>
      <c r="F110" s="1">
        <v>177.71899999999999</v>
      </c>
      <c r="G110" s="7">
        <v>1</v>
      </c>
      <c r="H110" s="1">
        <v>40</v>
      </c>
      <c r="I110" s="1" t="s">
        <v>44</v>
      </c>
      <c r="J110" s="1"/>
      <c r="K110" s="1">
        <v>310.12799999999999</v>
      </c>
      <c r="L110" s="1">
        <f t="shared" si="26"/>
        <v>-1.728999999999985</v>
      </c>
      <c r="M110" s="1"/>
      <c r="N110" s="1"/>
      <c r="O110" s="1"/>
      <c r="P110" s="1"/>
      <c r="Q110" s="1"/>
      <c r="R110" s="1"/>
      <c r="S110" s="1"/>
      <c r="T110" s="1">
        <v>218.23169999999999</v>
      </c>
      <c r="U110" s="1">
        <f t="shared" si="27"/>
        <v>61.6798</v>
      </c>
      <c r="V110" s="5">
        <f>11*U110-T110-S110-R110-Q110-P110-O110-F110</f>
        <v>282.52710000000002</v>
      </c>
      <c r="W110" s="5">
        <f t="shared" si="25"/>
        <v>282.52710000000002</v>
      </c>
      <c r="X110" s="5"/>
      <c r="Y110" s="5"/>
      <c r="Z110" s="1">
        <f t="shared" si="23"/>
        <v>11</v>
      </c>
      <c r="AA110" s="1">
        <f t="shared" si="28"/>
        <v>6.4194549917477035</v>
      </c>
      <c r="AB110" s="1">
        <v>49.1038</v>
      </c>
      <c r="AC110" s="1">
        <v>43.895600000000002</v>
      </c>
      <c r="AD110" s="1">
        <v>38.950400000000002</v>
      </c>
      <c r="AE110" s="1">
        <v>37.585000000000001</v>
      </c>
      <c r="AF110" s="1">
        <v>40.150599999999997</v>
      </c>
      <c r="AG110" s="1">
        <v>43.5214</v>
      </c>
      <c r="AH110" s="1">
        <v>32.672199999999997</v>
      </c>
      <c r="AI110" s="1">
        <v>29.6248</v>
      </c>
      <c r="AJ110" s="1">
        <v>36.467200000000012</v>
      </c>
      <c r="AK110" s="1">
        <v>30.478999999999999</v>
      </c>
      <c r="AL110" s="1"/>
      <c r="AM110" s="1">
        <f t="shared" si="29"/>
        <v>283</v>
      </c>
      <c r="AN110" t="s">
        <v>257</v>
      </c>
      <c r="AO110" s="1">
        <f t="shared" si="24"/>
        <v>0</v>
      </c>
    </row>
    <row r="111" spans="1:41" x14ac:dyDescent="0.25">
      <c r="A111" s="1" t="s">
        <v>258</v>
      </c>
      <c r="B111" s="1" t="s">
        <v>43</v>
      </c>
      <c r="C111" s="1">
        <v>412.43900000000002</v>
      </c>
      <c r="D111" s="1">
        <v>445.52</v>
      </c>
      <c r="E111" s="1">
        <v>524.16099999999994</v>
      </c>
      <c r="F111" s="1">
        <v>277.23599999999999</v>
      </c>
      <c r="G111" s="7">
        <v>1</v>
      </c>
      <c r="H111" s="1">
        <v>40</v>
      </c>
      <c r="I111" s="1" t="s">
        <v>44</v>
      </c>
      <c r="J111" s="1"/>
      <c r="K111" s="1">
        <v>529.05399999999997</v>
      </c>
      <c r="L111" s="1">
        <f t="shared" si="26"/>
        <v>-4.8930000000000291</v>
      </c>
      <c r="M111" s="1"/>
      <c r="N111" s="1"/>
      <c r="O111" s="1">
        <v>200</v>
      </c>
      <c r="P111" s="1"/>
      <c r="Q111" s="1"/>
      <c r="R111" s="1"/>
      <c r="S111" s="1"/>
      <c r="T111" s="1">
        <v>332.04514999999998</v>
      </c>
      <c r="U111" s="1">
        <f t="shared" si="27"/>
        <v>104.83219999999999</v>
      </c>
      <c r="V111" s="5">
        <f>11*U111-T111-S111-R111-Q111-P111-O111-F111</f>
        <v>343.87305000000003</v>
      </c>
      <c r="W111" s="5">
        <f>V111+$W$1*U111</f>
        <v>299.84352600000005</v>
      </c>
      <c r="X111" s="5"/>
      <c r="Y111" s="5"/>
      <c r="Z111" s="1">
        <f t="shared" si="23"/>
        <v>10.580000000000002</v>
      </c>
      <c r="AA111" s="1">
        <f t="shared" si="28"/>
        <v>7.719776461812307</v>
      </c>
      <c r="AB111" s="1">
        <v>101.123</v>
      </c>
      <c r="AC111" s="1">
        <v>92.513999999999996</v>
      </c>
      <c r="AD111" s="1">
        <v>78.795199999999994</v>
      </c>
      <c r="AE111" s="1">
        <v>78.278199999999998</v>
      </c>
      <c r="AF111" s="1">
        <v>85.24199999999999</v>
      </c>
      <c r="AG111" s="1">
        <v>105.099</v>
      </c>
      <c r="AH111" s="1">
        <v>107.1344</v>
      </c>
      <c r="AI111" s="1">
        <v>87.789999999999992</v>
      </c>
      <c r="AJ111" s="1">
        <v>86.225400000000008</v>
      </c>
      <c r="AK111" s="1">
        <v>98.287000000000006</v>
      </c>
      <c r="AL111" s="1"/>
      <c r="AM111" s="1">
        <f t="shared" si="29"/>
        <v>300</v>
      </c>
      <c r="AN111" t="s">
        <v>259</v>
      </c>
      <c r="AO111" s="1">
        <f t="shared" si="24"/>
        <v>0</v>
      </c>
    </row>
    <row r="112" spans="1:41" x14ac:dyDescent="0.25">
      <c r="A112" s="1" t="s">
        <v>260</v>
      </c>
      <c r="B112" s="1" t="s">
        <v>43</v>
      </c>
      <c r="C112" s="1">
        <v>11.898</v>
      </c>
      <c r="D112" s="1">
        <v>21.701000000000001</v>
      </c>
      <c r="E112" s="1"/>
      <c r="F112" s="1">
        <v>33.598999999999997</v>
      </c>
      <c r="G112" s="7">
        <v>1</v>
      </c>
      <c r="H112" s="1">
        <v>55</v>
      </c>
      <c r="I112" s="1" t="s">
        <v>44</v>
      </c>
      <c r="J112" s="1"/>
      <c r="K112" s="1">
        <v>1.3</v>
      </c>
      <c r="L112" s="1">
        <f t="shared" si="26"/>
        <v>-1.3</v>
      </c>
      <c r="M112" s="1"/>
      <c r="N112" s="1"/>
      <c r="O112" s="1"/>
      <c r="P112" s="1"/>
      <c r="Q112" s="1"/>
      <c r="R112" s="1"/>
      <c r="S112" s="1"/>
      <c r="T112" s="1">
        <v>0</v>
      </c>
      <c r="U112" s="1">
        <f t="shared" si="27"/>
        <v>0</v>
      </c>
      <c r="V112" s="5"/>
      <c r="W112" s="5">
        <f t="shared" ref="W112:W141" si="30">V112</f>
        <v>0</v>
      </c>
      <c r="X112" s="5"/>
      <c r="Y112" s="5"/>
      <c r="Z112" s="1" t="e">
        <f t="shared" si="23"/>
        <v>#DIV/0!</v>
      </c>
      <c r="AA112" s="1" t="e">
        <f t="shared" si="28"/>
        <v>#DIV/0!</v>
      </c>
      <c r="AB112" s="1">
        <v>0.29120000000000001</v>
      </c>
      <c r="AC112" s="1">
        <v>0.29120000000000001</v>
      </c>
      <c r="AD112" s="1">
        <v>3.2582</v>
      </c>
      <c r="AE112" s="1">
        <v>3.821800000000001</v>
      </c>
      <c r="AF112" s="1">
        <v>0.56359999999999999</v>
      </c>
      <c r="AG112" s="1">
        <v>0.55679999999999996</v>
      </c>
      <c r="AH112" s="1">
        <v>1.0944</v>
      </c>
      <c r="AI112" s="1">
        <v>0.83119999999999994</v>
      </c>
      <c r="AJ112" s="1">
        <v>0.29360000000000003</v>
      </c>
      <c r="AK112" s="1">
        <v>1.629</v>
      </c>
      <c r="AL112" s="13" t="s">
        <v>261</v>
      </c>
      <c r="AM112" s="1">
        <f t="shared" si="29"/>
        <v>0</v>
      </c>
      <c r="AN112" t="s">
        <v>262</v>
      </c>
      <c r="AO112" s="1">
        <f t="shared" si="24"/>
        <v>0</v>
      </c>
    </row>
    <row r="113" spans="1:41" x14ac:dyDescent="0.25">
      <c r="A113" s="1" t="s">
        <v>263</v>
      </c>
      <c r="B113" s="1" t="s">
        <v>51</v>
      </c>
      <c r="C113" s="1">
        <v>345</v>
      </c>
      <c r="D113" s="1">
        <v>433</v>
      </c>
      <c r="E113" s="1">
        <v>280</v>
      </c>
      <c r="F113" s="1">
        <v>430</v>
      </c>
      <c r="G113" s="7">
        <v>0.28000000000000003</v>
      </c>
      <c r="H113" s="1">
        <v>40</v>
      </c>
      <c r="I113" s="1" t="s">
        <v>44</v>
      </c>
      <c r="J113" s="1"/>
      <c r="K113" s="1">
        <v>303</v>
      </c>
      <c r="L113" s="1">
        <f t="shared" si="26"/>
        <v>-23</v>
      </c>
      <c r="M113" s="1"/>
      <c r="N113" s="1"/>
      <c r="O113" s="1"/>
      <c r="P113" s="1"/>
      <c r="Q113" s="1"/>
      <c r="R113" s="1"/>
      <c r="S113" s="1"/>
      <c r="T113" s="1">
        <v>169.94399999999999</v>
      </c>
      <c r="U113" s="1">
        <f t="shared" si="27"/>
        <v>56</v>
      </c>
      <c r="V113" s="5">
        <f>11*U113-T113-S113-R113-Q113-P113-O113-F113</f>
        <v>16.05600000000004</v>
      </c>
      <c r="W113" s="5">
        <f t="shared" si="30"/>
        <v>16.05600000000004</v>
      </c>
      <c r="X113" s="5"/>
      <c r="Y113" s="5"/>
      <c r="Z113" s="1">
        <f t="shared" si="23"/>
        <v>11</v>
      </c>
      <c r="AA113" s="1">
        <f t="shared" si="28"/>
        <v>10.713285714285714</v>
      </c>
      <c r="AB113" s="1">
        <v>64.599999999999994</v>
      </c>
      <c r="AC113" s="1">
        <v>67.400000000000006</v>
      </c>
      <c r="AD113" s="1">
        <v>57.4</v>
      </c>
      <c r="AE113" s="1">
        <v>60.6</v>
      </c>
      <c r="AF113" s="1">
        <v>65.400000000000006</v>
      </c>
      <c r="AG113" s="1">
        <v>69.8</v>
      </c>
      <c r="AH113" s="1">
        <v>65.2</v>
      </c>
      <c r="AI113" s="1">
        <v>64.8</v>
      </c>
      <c r="AJ113" s="1">
        <v>73.2</v>
      </c>
      <c r="AK113" s="1">
        <v>83</v>
      </c>
      <c r="AL113" s="1"/>
      <c r="AM113" s="1">
        <f t="shared" si="29"/>
        <v>4</v>
      </c>
      <c r="AN113" t="s">
        <v>264</v>
      </c>
      <c r="AO113" s="1">
        <f t="shared" si="24"/>
        <v>0</v>
      </c>
    </row>
    <row r="114" spans="1:41" x14ac:dyDescent="0.25">
      <c r="A114" s="1" t="s">
        <v>265</v>
      </c>
      <c r="B114" s="1" t="s">
        <v>51</v>
      </c>
      <c r="C114" s="1">
        <v>257</v>
      </c>
      <c r="D114" s="1">
        <v>579</v>
      </c>
      <c r="E114" s="1">
        <v>265</v>
      </c>
      <c r="F114" s="1">
        <v>513</v>
      </c>
      <c r="G114" s="7">
        <v>0.28000000000000003</v>
      </c>
      <c r="H114" s="1">
        <v>40</v>
      </c>
      <c r="I114" s="1" t="s">
        <v>44</v>
      </c>
      <c r="J114" s="1"/>
      <c r="K114" s="1">
        <v>332</v>
      </c>
      <c r="L114" s="1">
        <f t="shared" si="26"/>
        <v>-67</v>
      </c>
      <c r="M114" s="1"/>
      <c r="N114" s="1"/>
      <c r="O114" s="1"/>
      <c r="P114" s="1"/>
      <c r="Q114" s="1"/>
      <c r="R114" s="1"/>
      <c r="S114" s="1"/>
      <c r="T114" s="1">
        <v>114.40000000000011</v>
      </c>
      <c r="U114" s="1">
        <f t="shared" si="27"/>
        <v>53</v>
      </c>
      <c r="V114" s="5"/>
      <c r="W114" s="5">
        <f t="shared" si="30"/>
        <v>0</v>
      </c>
      <c r="X114" s="5"/>
      <c r="Y114" s="5"/>
      <c r="Z114" s="1">
        <f t="shared" si="23"/>
        <v>11.837735849056605</v>
      </c>
      <c r="AA114" s="1">
        <f t="shared" si="28"/>
        <v>11.837735849056605</v>
      </c>
      <c r="AB114" s="1">
        <v>66.400000000000006</v>
      </c>
      <c r="AC114" s="1">
        <v>72.8</v>
      </c>
      <c r="AD114" s="1">
        <v>61.4</v>
      </c>
      <c r="AE114" s="1">
        <v>55.6</v>
      </c>
      <c r="AF114" s="1">
        <v>59</v>
      </c>
      <c r="AG114" s="1">
        <v>71.599999999999994</v>
      </c>
      <c r="AH114" s="1">
        <v>69.2</v>
      </c>
      <c r="AI114" s="1">
        <v>65</v>
      </c>
      <c r="AJ114" s="1">
        <v>76.2</v>
      </c>
      <c r="AK114" s="1">
        <v>80.2</v>
      </c>
      <c r="AL114" s="1"/>
      <c r="AM114" s="1">
        <f t="shared" si="29"/>
        <v>0</v>
      </c>
      <c r="AN114" t="s">
        <v>266</v>
      </c>
      <c r="AO114" s="1">
        <f t="shared" si="24"/>
        <v>0</v>
      </c>
    </row>
    <row r="115" spans="1:41" x14ac:dyDescent="0.25">
      <c r="A115" s="1" t="s">
        <v>267</v>
      </c>
      <c r="B115" s="1" t="s">
        <v>43</v>
      </c>
      <c r="C115" s="1">
        <v>196.32599999999999</v>
      </c>
      <c r="D115" s="1">
        <v>269.245</v>
      </c>
      <c r="E115" s="1">
        <v>134.172</v>
      </c>
      <c r="F115" s="1">
        <v>330.714</v>
      </c>
      <c r="G115" s="7">
        <v>1</v>
      </c>
      <c r="H115" s="1">
        <v>60</v>
      </c>
      <c r="I115" s="1" t="s">
        <v>44</v>
      </c>
      <c r="J115" s="1"/>
      <c r="K115" s="1">
        <v>197.5</v>
      </c>
      <c r="L115" s="1">
        <f t="shared" si="26"/>
        <v>-63.328000000000003</v>
      </c>
      <c r="M115" s="1"/>
      <c r="N115" s="1"/>
      <c r="O115" s="1"/>
      <c r="P115" s="1"/>
      <c r="Q115" s="1"/>
      <c r="R115" s="1"/>
      <c r="S115" s="1"/>
      <c r="T115" s="1">
        <v>0</v>
      </c>
      <c r="U115" s="1">
        <f t="shared" si="27"/>
        <v>26.834399999999999</v>
      </c>
      <c r="V115" s="5"/>
      <c r="W115" s="5">
        <f t="shared" si="30"/>
        <v>0</v>
      </c>
      <c r="X115" s="5"/>
      <c r="Y115" s="5"/>
      <c r="Z115" s="1">
        <f t="shared" si="23"/>
        <v>12.324255433324391</v>
      </c>
      <c r="AA115" s="1">
        <f t="shared" si="28"/>
        <v>12.324255433324391</v>
      </c>
      <c r="AB115" s="1">
        <v>32.64</v>
      </c>
      <c r="AC115" s="1">
        <v>39.406399999999998</v>
      </c>
      <c r="AD115" s="1">
        <v>36.651000000000003</v>
      </c>
      <c r="AE115" s="1">
        <v>34.523000000000003</v>
      </c>
      <c r="AF115" s="1">
        <v>40.992800000000003</v>
      </c>
      <c r="AG115" s="1">
        <v>43.077399999999997</v>
      </c>
      <c r="AH115" s="1">
        <v>21.758600000000001</v>
      </c>
      <c r="AI115" s="1">
        <v>36.654000000000003</v>
      </c>
      <c r="AJ115" s="1">
        <v>43.590400000000002</v>
      </c>
      <c r="AK115" s="1">
        <v>50.267399999999988</v>
      </c>
      <c r="AL115" s="1"/>
      <c r="AM115" s="1">
        <f t="shared" si="29"/>
        <v>0</v>
      </c>
      <c r="AN115" t="s">
        <v>268</v>
      </c>
      <c r="AO115" s="1">
        <f t="shared" si="24"/>
        <v>0</v>
      </c>
    </row>
    <row r="116" spans="1:41" x14ac:dyDescent="0.25">
      <c r="A116" s="1" t="s">
        <v>269</v>
      </c>
      <c r="B116" s="1" t="s">
        <v>43</v>
      </c>
      <c r="C116" s="1">
        <v>290.45699999999999</v>
      </c>
      <c r="D116" s="1"/>
      <c r="E116" s="1">
        <v>91.912000000000006</v>
      </c>
      <c r="F116" s="1">
        <v>197.99</v>
      </c>
      <c r="G116" s="7">
        <v>1</v>
      </c>
      <c r="H116" s="1">
        <v>50</v>
      </c>
      <c r="I116" s="1" t="s">
        <v>44</v>
      </c>
      <c r="J116" s="1"/>
      <c r="K116" s="1">
        <v>92.5</v>
      </c>
      <c r="L116" s="1">
        <f t="shared" si="26"/>
        <v>-0.58799999999999386</v>
      </c>
      <c r="M116" s="1"/>
      <c r="N116" s="1"/>
      <c r="O116" s="1"/>
      <c r="P116" s="1"/>
      <c r="Q116" s="1"/>
      <c r="R116" s="1"/>
      <c r="S116" s="1"/>
      <c r="T116" s="1">
        <v>0</v>
      </c>
      <c r="U116" s="1">
        <f t="shared" si="27"/>
        <v>18.382400000000001</v>
      </c>
      <c r="V116" s="5"/>
      <c r="W116" s="5">
        <f t="shared" si="30"/>
        <v>0</v>
      </c>
      <c r="X116" s="5"/>
      <c r="Y116" s="5"/>
      <c r="Z116" s="1">
        <f t="shared" si="23"/>
        <v>10.770628427191227</v>
      </c>
      <c r="AA116" s="1">
        <f t="shared" si="28"/>
        <v>10.770628427191227</v>
      </c>
      <c r="AB116" s="1">
        <v>18.812799999999999</v>
      </c>
      <c r="AC116" s="1">
        <v>18.2974</v>
      </c>
      <c r="AD116" s="1">
        <v>13.1578</v>
      </c>
      <c r="AE116" s="1">
        <v>13.4122</v>
      </c>
      <c r="AF116" s="1">
        <v>14.643800000000001</v>
      </c>
      <c r="AG116" s="1">
        <v>18.419</v>
      </c>
      <c r="AH116" s="1">
        <v>17.446000000000002</v>
      </c>
      <c r="AI116" s="1">
        <v>19.5992</v>
      </c>
      <c r="AJ116" s="1">
        <v>31.039400000000001</v>
      </c>
      <c r="AK116" s="1">
        <v>37.197400000000002</v>
      </c>
      <c r="AL116" s="1"/>
      <c r="AM116" s="1">
        <f t="shared" si="29"/>
        <v>0</v>
      </c>
      <c r="AN116" t="s">
        <v>270</v>
      </c>
      <c r="AO116" s="1">
        <f t="shared" si="24"/>
        <v>0</v>
      </c>
    </row>
    <row r="117" spans="1:41" x14ac:dyDescent="0.25">
      <c r="A117" s="1" t="s">
        <v>271</v>
      </c>
      <c r="B117" s="1" t="s">
        <v>43</v>
      </c>
      <c r="C117" s="1">
        <v>270.822</v>
      </c>
      <c r="D117" s="1">
        <v>419.97500000000002</v>
      </c>
      <c r="E117" s="1">
        <v>356.67599999999999</v>
      </c>
      <c r="F117" s="1">
        <v>294.49400000000003</v>
      </c>
      <c r="G117" s="7">
        <v>1</v>
      </c>
      <c r="H117" s="1">
        <v>60</v>
      </c>
      <c r="I117" s="1" t="s">
        <v>44</v>
      </c>
      <c r="J117" s="1"/>
      <c r="K117" s="1">
        <v>349.6</v>
      </c>
      <c r="L117" s="1">
        <f t="shared" si="26"/>
        <v>7.075999999999965</v>
      </c>
      <c r="M117" s="1"/>
      <c r="N117" s="1"/>
      <c r="O117" s="1"/>
      <c r="P117" s="1"/>
      <c r="Q117" s="1"/>
      <c r="R117" s="1"/>
      <c r="S117" s="1"/>
      <c r="T117" s="1">
        <v>150.19509999999971</v>
      </c>
      <c r="U117" s="1">
        <f t="shared" si="27"/>
        <v>71.3352</v>
      </c>
      <c r="V117" s="5">
        <f>11*U117-T117-S117-R117-Q117-P117-O117-F117</f>
        <v>339.99810000000025</v>
      </c>
      <c r="W117" s="5">
        <f t="shared" si="30"/>
        <v>339.99810000000025</v>
      </c>
      <c r="X117" s="5"/>
      <c r="Y117" s="5"/>
      <c r="Z117" s="1">
        <f t="shared" si="23"/>
        <v>11</v>
      </c>
      <c r="AA117" s="1">
        <f t="shared" si="28"/>
        <v>6.2337962184167104</v>
      </c>
      <c r="AB117" s="1">
        <v>56.040999999999997</v>
      </c>
      <c r="AC117" s="1">
        <v>58.951800000000013</v>
      </c>
      <c r="AD117" s="1">
        <v>56.642000000000003</v>
      </c>
      <c r="AE117" s="1">
        <v>48.368200000000002</v>
      </c>
      <c r="AF117" s="1">
        <v>57.312800000000003</v>
      </c>
      <c r="AG117" s="1">
        <v>62.732199999999999</v>
      </c>
      <c r="AH117" s="1">
        <v>62.818399999999997</v>
      </c>
      <c r="AI117" s="1">
        <v>59.040599999999998</v>
      </c>
      <c r="AJ117" s="1">
        <v>62.59</v>
      </c>
      <c r="AK117" s="1">
        <v>60.839799999999997</v>
      </c>
      <c r="AL117" s="1"/>
      <c r="AM117" s="1">
        <f t="shared" si="29"/>
        <v>340</v>
      </c>
      <c r="AN117" t="s">
        <v>272</v>
      </c>
      <c r="AO117" s="1">
        <f t="shared" si="24"/>
        <v>0</v>
      </c>
    </row>
    <row r="118" spans="1:41" x14ac:dyDescent="0.25">
      <c r="A118" s="1" t="s">
        <v>273</v>
      </c>
      <c r="B118" s="1" t="s">
        <v>43</v>
      </c>
      <c r="C118" s="1">
        <v>351.65600000000001</v>
      </c>
      <c r="D118" s="1">
        <v>508.53</v>
      </c>
      <c r="E118" s="1">
        <v>441.53800000000001</v>
      </c>
      <c r="F118" s="1">
        <v>376.92200000000003</v>
      </c>
      <c r="G118" s="7">
        <v>1</v>
      </c>
      <c r="H118" s="1">
        <v>60</v>
      </c>
      <c r="I118" s="1" t="s">
        <v>44</v>
      </c>
      <c r="J118" s="1"/>
      <c r="K118" s="1">
        <v>431.61399999999998</v>
      </c>
      <c r="L118" s="1">
        <f t="shared" si="26"/>
        <v>9.924000000000035</v>
      </c>
      <c r="M118" s="1"/>
      <c r="N118" s="1"/>
      <c r="O118" s="1">
        <v>100</v>
      </c>
      <c r="P118" s="1"/>
      <c r="Q118" s="1"/>
      <c r="R118" s="1"/>
      <c r="S118" s="1"/>
      <c r="T118" s="1">
        <v>189.25980000000001</v>
      </c>
      <c r="U118" s="1">
        <f t="shared" si="27"/>
        <v>88.307600000000008</v>
      </c>
      <c r="V118" s="5">
        <f>11*U118-T118-S118-R118-Q118-P118-O118-F118</f>
        <v>305.20180000000005</v>
      </c>
      <c r="W118" s="5">
        <f t="shared" si="30"/>
        <v>305.20180000000005</v>
      </c>
      <c r="X118" s="5"/>
      <c r="Y118" s="5"/>
      <c r="Z118" s="1">
        <f t="shared" si="23"/>
        <v>11</v>
      </c>
      <c r="AA118" s="1">
        <f t="shared" si="28"/>
        <v>7.543878443078512</v>
      </c>
      <c r="AB118" s="1">
        <v>81.408000000000001</v>
      </c>
      <c r="AC118" s="1">
        <v>81.493200000000002</v>
      </c>
      <c r="AD118" s="1">
        <v>70.010400000000004</v>
      </c>
      <c r="AE118" s="1">
        <v>61.485999999999997</v>
      </c>
      <c r="AF118" s="1">
        <v>75.655000000000001</v>
      </c>
      <c r="AG118" s="1">
        <v>87.415199999999999</v>
      </c>
      <c r="AH118" s="1">
        <v>84.498999999999995</v>
      </c>
      <c r="AI118" s="1">
        <v>80.06280000000001</v>
      </c>
      <c r="AJ118" s="1">
        <v>88.82419999999999</v>
      </c>
      <c r="AK118" s="1">
        <v>81.487200000000001</v>
      </c>
      <c r="AL118" s="1"/>
      <c r="AM118" s="1">
        <f t="shared" si="29"/>
        <v>305</v>
      </c>
      <c r="AN118" t="s">
        <v>274</v>
      </c>
      <c r="AO118" s="1">
        <f t="shared" si="24"/>
        <v>0</v>
      </c>
    </row>
    <row r="119" spans="1:41" x14ac:dyDescent="0.25">
      <c r="A119" s="1" t="s">
        <v>275</v>
      </c>
      <c r="B119" s="1" t="s">
        <v>43</v>
      </c>
      <c r="C119" s="1">
        <v>95.224999999999994</v>
      </c>
      <c r="D119" s="1">
        <v>306.90699999999998</v>
      </c>
      <c r="E119" s="1">
        <v>137.547</v>
      </c>
      <c r="F119" s="1">
        <v>249.75399999999999</v>
      </c>
      <c r="G119" s="7">
        <v>1</v>
      </c>
      <c r="H119" s="1">
        <v>60</v>
      </c>
      <c r="I119" s="1" t="s">
        <v>44</v>
      </c>
      <c r="J119" s="1"/>
      <c r="K119" s="1">
        <v>147.65</v>
      </c>
      <c r="L119" s="1">
        <f t="shared" si="26"/>
        <v>-10.103000000000009</v>
      </c>
      <c r="M119" s="1"/>
      <c r="N119" s="1"/>
      <c r="O119" s="1"/>
      <c r="P119" s="1"/>
      <c r="Q119" s="1"/>
      <c r="R119" s="1"/>
      <c r="S119" s="1"/>
      <c r="T119" s="1">
        <v>61.292599999999908</v>
      </c>
      <c r="U119" s="1">
        <f t="shared" si="27"/>
        <v>27.509399999999999</v>
      </c>
      <c r="V119" s="5"/>
      <c r="W119" s="5">
        <f t="shared" si="30"/>
        <v>0</v>
      </c>
      <c r="X119" s="5"/>
      <c r="Y119" s="5"/>
      <c r="Z119" s="1">
        <f t="shared" si="23"/>
        <v>11.306920543523301</v>
      </c>
      <c r="AA119" s="1">
        <f t="shared" si="28"/>
        <v>11.306920543523301</v>
      </c>
      <c r="AB119" s="1">
        <v>31.500800000000002</v>
      </c>
      <c r="AC119" s="1">
        <v>33.397000000000013</v>
      </c>
      <c r="AD119" s="1">
        <v>28.143799999999999</v>
      </c>
      <c r="AE119" s="1">
        <v>21.887799999999999</v>
      </c>
      <c r="AF119" s="1">
        <v>25.122</v>
      </c>
      <c r="AG119" s="1">
        <v>29.194600000000001</v>
      </c>
      <c r="AH119" s="1">
        <v>30.5456</v>
      </c>
      <c r="AI119" s="1">
        <v>28.908799999999999</v>
      </c>
      <c r="AJ119" s="1">
        <v>27.003599999999999</v>
      </c>
      <c r="AK119" s="1">
        <v>30.353000000000002</v>
      </c>
      <c r="AL119" s="1"/>
      <c r="AM119" s="1">
        <f t="shared" si="29"/>
        <v>0</v>
      </c>
      <c r="AN119" t="s">
        <v>276</v>
      </c>
      <c r="AO119" s="1">
        <f t="shared" si="24"/>
        <v>0</v>
      </c>
    </row>
    <row r="120" spans="1:41" x14ac:dyDescent="0.25">
      <c r="A120" s="20" t="s">
        <v>75</v>
      </c>
      <c r="B120" s="1" t="s">
        <v>43</v>
      </c>
      <c r="C120" s="1">
        <v>578.24800000000005</v>
      </c>
      <c r="D120" s="1">
        <v>1419.2919999999999</v>
      </c>
      <c r="E120" s="1">
        <v>864.68299999999999</v>
      </c>
      <c r="F120" s="1">
        <v>910.92499999999995</v>
      </c>
      <c r="G120" s="7">
        <v>1</v>
      </c>
      <c r="H120" s="1">
        <v>60</v>
      </c>
      <c r="I120" s="1" t="s">
        <v>44</v>
      </c>
      <c r="J120" s="1"/>
      <c r="K120" s="1">
        <v>1303.7</v>
      </c>
      <c r="L120" s="1">
        <f t="shared" si="26"/>
        <v>-439.01700000000005</v>
      </c>
      <c r="M120" s="1"/>
      <c r="N120" s="1"/>
      <c r="O120" s="1">
        <v>700</v>
      </c>
      <c r="P120" s="1">
        <v>200</v>
      </c>
      <c r="Q120" s="1"/>
      <c r="R120" s="1">
        <v>800</v>
      </c>
      <c r="S120" s="1"/>
      <c r="T120" s="1">
        <v>1623.6532099999999</v>
      </c>
      <c r="U120" s="1">
        <f t="shared" si="27"/>
        <v>172.9366</v>
      </c>
      <c r="V120" s="5"/>
      <c r="W120" s="5">
        <f t="shared" si="30"/>
        <v>0</v>
      </c>
      <c r="X120" s="5"/>
      <c r="Y120" s="5"/>
      <c r="Z120" s="1">
        <f t="shared" si="23"/>
        <v>24.4863042872359</v>
      </c>
      <c r="AA120" s="1">
        <f t="shared" si="28"/>
        <v>24.4863042872359</v>
      </c>
      <c r="AB120" s="1">
        <v>248.2234</v>
      </c>
      <c r="AC120" s="1">
        <v>192.77199999999999</v>
      </c>
      <c r="AD120" s="1">
        <v>106.2038</v>
      </c>
      <c r="AE120" s="1">
        <v>76.627399999999994</v>
      </c>
      <c r="AF120" s="1">
        <v>49.574399999999997</v>
      </c>
      <c r="AG120" s="1">
        <v>119.9166</v>
      </c>
      <c r="AH120" s="1">
        <v>0</v>
      </c>
      <c r="AI120" s="1">
        <v>238.46119999999999</v>
      </c>
      <c r="AJ120" s="1">
        <v>236.93719999999999</v>
      </c>
      <c r="AK120" s="1">
        <v>215.0558</v>
      </c>
      <c r="AL120" s="13" t="s">
        <v>277</v>
      </c>
      <c r="AM120" s="1">
        <f t="shared" si="29"/>
        <v>0</v>
      </c>
      <c r="AN120" t="s">
        <v>77</v>
      </c>
      <c r="AO120" s="1">
        <f t="shared" si="24"/>
        <v>0</v>
      </c>
    </row>
    <row r="121" spans="1:41" x14ac:dyDescent="0.25">
      <c r="A121" s="1" t="s">
        <v>278</v>
      </c>
      <c r="B121" s="1" t="s">
        <v>51</v>
      </c>
      <c r="C121" s="1">
        <v>374</v>
      </c>
      <c r="D121" s="1">
        <v>442</v>
      </c>
      <c r="E121" s="1">
        <v>345</v>
      </c>
      <c r="F121" s="1">
        <v>431</v>
      </c>
      <c r="G121" s="7">
        <v>0.3</v>
      </c>
      <c r="H121" s="1">
        <v>40</v>
      </c>
      <c r="I121" s="1" t="s">
        <v>44</v>
      </c>
      <c r="J121" s="1"/>
      <c r="K121" s="1">
        <v>359</v>
      </c>
      <c r="L121" s="1">
        <f t="shared" si="26"/>
        <v>-14</v>
      </c>
      <c r="M121" s="1"/>
      <c r="N121" s="1"/>
      <c r="O121" s="1"/>
      <c r="P121" s="1"/>
      <c r="Q121" s="1"/>
      <c r="R121" s="1"/>
      <c r="S121" s="1"/>
      <c r="T121" s="1">
        <v>168.2119999999999</v>
      </c>
      <c r="U121" s="1">
        <f t="shared" si="27"/>
        <v>69</v>
      </c>
      <c r="V121" s="5">
        <f>11*U121-T121-S121-R121-Q121-P121-O121-F121</f>
        <v>159.78800000000012</v>
      </c>
      <c r="W121" s="5">
        <f t="shared" si="30"/>
        <v>159.78800000000012</v>
      </c>
      <c r="X121" s="5"/>
      <c r="Y121" s="5"/>
      <c r="Z121" s="1">
        <f t="shared" si="23"/>
        <v>11</v>
      </c>
      <c r="AA121" s="1">
        <f t="shared" si="28"/>
        <v>8.6842318840579686</v>
      </c>
      <c r="AB121" s="1">
        <v>67.8</v>
      </c>
      <c r="AC121" s="1">
        <v>71.400000000000006</v>
      </c>
      <c r="AD121" s="1">
        <v>66.400000000000006</v>
      </c>
      <c r="AE121" s="1">
        <v>66</v>
      </c>
      <c r="AF121" s="1">
        <v>67.599999999999994</v>
      </c>
      <c r="AG121" s="1">
        <v>70.400000000000006</v>
      </c>
      <c r="AH121" s="1">
        <v>67.2</v>
      </c>
      <c r="AI121" s="1">
        <v>36.6</v>
      </c>
      <c r="AJ121" s="1">
        <v>50</v>
      </c>
      <c r="AK121" s="1">
        <v>65.2</v>
      </c>
      <c r="AL121" s="1"/>
      <c r="AM121" s="1">
        <f t="shared" si="29"/>
        <v>48</v>
      </c>
      <c r="AN121" t="s">
        <v>279</v>
      </c>
      <c r="AO121" s="1">
        <f t="shared" si="24"/>
        <v>0</v>
      </c>
    </row>
    <row r="122" spans="1:41" x14ac:dyDescent="0.25">
      <c r="A122" s="1" t="s">
        <v>280</v>
      </c>
      <c r="B122" s="1" t="s">
        <v>51</v>
      </c>
      <c r="C122" s="1">
        <v>306</v>
      </c>
      <c r="D122" s="1">
        <v>362</v>
      </c>
      <c r="E122" s="1">
        <v>280</v>
      </c>
      <c r="F122" s="1">
        <v>342</v>
      </c>
      <c r="G122" s="7">
        <v>0.3</v>
      </c>
      <c r="H122" s="1">
        <v>40</v>
      </c>
      <c r="I122" s="1" t="s">
        <v>44</v>
      </c>
      <c r="J122" s="1"/>
      <c r="K122" s="1">
        <v>296</v>
      </c>
      <c r="L122" s="1">
        <f t="shared" si="26"/>
        <v>-16</v>
      </c>
      <c r="M122" s="1"/>
      <c r="N122" s="1"/>
      <c r="O122" s="1"/>
      <c r="P122" s="1"/>
      <c r="Q122" s="1"/>
      <c r="R122" s="1"/>
      <c r="S122" s="1"/>
      <c r="T122" s="1">
        <v>130.80000000000001</v>
      </c>
      <c r="U122" s="1">
        <f t="shared" si="27"/>
        <v>56</v>
      </c>
      <c r="V122" s="5">
        <f>11*U122-T122-S122-R122-Q122-P122-O122-F122</f>
        <v>143.19999999999999</v>
      </c>
      <c r="W122" s="5">
        <f t="shared" si="30"/>
        <v>143.19999999999999</v>
      </c>
      <c r="X122" s="5"/>
      <c r="Y122" s="5"/>
      <c r="Z122" s="1">
        <f t="shared" si="23"/>
        <v>11</v>
      </c>
      <c r="AA122" s="1">
        <f t="shared" si="28"/>
        <v>8.4428571428571431</v>
      </c>
      <c r="AB122" s="1">
        <v>55.2</v>
      </c>
      <c r="AC122" s="1">
        <v>59.2</v>
      </c>
      <c r="AD122" s="1">
        <v>57</v>
      </c>
      <c r="AE122" s="1">
        <v>54</v>
      </c>
      <c r="AF122" s="1">
        <v>52.6</v>
      </c>
      <c r="AG122" s="1">
        <v>60</v>
      </c>
      <c r="AH122" s="1">
        <v>57.4</v>
      </c>
      <c r="AI122" s="1">
        <v>27.2</v>
      </c>
      <c r="AJ122" s="1">
        <v>27.4</v>
      </c>
      <c r="AK122" s="1">
        <v>49.2</v>
      </c>
      <c r="AL122" s="1"/>
      <c r="AM122" s="1">
        <f t="shared" si="29"/>
        <v>43</v>
      </c>
      <c r="AN122" t="s">
        <v>281</v>
      </c>
      <c r="AO122" s="1">
        <f t="shared" si="24"/>
        <v>0</v>
      </c>
    </row>
    <row r="123" spans="1:41" x14ac:dyDescent="0.25">
      <c r="A123" s="1" t="s">
        <v>282</v>
      </c>
      <c r="B123" s="1" t="s">
        <v>43</v>
      </c>
      <c r="C123" s="1">
        <v>334.29700000000003</v>
      </c>
      <c r="D123" s="1">
        <v>295.15300000000002</v>
      </c>
      <c r="E123" s="1">
        <v>248.423</v>
      </c>
      <c r="F123" s="1">
        <v>347.459</v>
      </c>
      <c r="G123" s="7">
        <v>1</v>
      </c>
      <c r="H123" s="1">
        <v>50</v>
      </c>
      <c r="I123" s="1" t="s">
        <v>44</v>
      </c>
      <c r="J123" s="1"/>
      <c r="K123" s="1">
        <v>238.3</v>
      </c>
      <c r="L123" s="1">
        <f t="shared" si="26"/>
        <v>10.12299999999999</v>
      </c>
      <c r="M123" s="1"/>
      <c r="N123" s="1"/>
      <c r="O123" s="1"/>
      <c r="P123" s="1"/>
      <c r="Q123" s="1"/>
      <c r="R123" s="1"/>
      <c r="S123" s="1"/>
      <c r="T123" s="1">
        <v>122.54599999999979</v>
      </c>
      <c r="U123" s="1">
        <f t="shared" si="27"/>
        <v>49.684600000000003</v>
      </c>
      <c r="V123" s="5">
        <f>11*U123-T123-S123-R123-Q123-P123-O123-F123</f>
        <v>76.525600000000225</v>
      </c>
      <c r="W123" s="5">
        <f t="shared" si="30"/>
        <v>76.525600000000225</v>
      </c>
      <c r="X123" s="5"/>
      <c r="Y123" s="5"/>
      <c r="Z123" s="1">
        <f t="shared" si="23"/>
        <v>11</v>
      </c>
      <c r="AA123" s="1">
        <f t="shared" si="28"/>
        <v>9.4597722433108</v>
      </c>
      <c r="AB123" s="1">
        <v>52.064</v>
      </c>
      <c r="AC123" s="1">
        <v>54.797600000000003</v>
      </c>
      <c r="AD123" s="1">
        <v>47.229799999999997</v>
      </c>
      <c r="AE123" s="1">
        <v>50.653799999999997</v>
      </c>
      <c r="AF123" s="1">
        <v>59.935799999999993</v>
      </c>
      <c r="AG123" s="1">
        <v>60.668999999999997</v>
      </c>
      <c r="AH123" s="1">
        <v>68.052400000000006</v>
      </c>
      <c r="AI123" s="1">
        <v>60.573599999999999</v>
      </c>
      <c r="AJ123" s="1">
        <v>45.3932</v>
      </c>
      <c r="AK123" s="1">
        <v>56.154400000000003</v>
      </c>
      <c r="AL123" s="1"/>
      <c r="AM123" s="1">
        <f t="shared" si="29"/>
        <v>77</v>
      </c>
      <c r="AN123" t="s">
        <v>283</v>
      </c>
      <c r="AO123" s="1">
        <f t="shared" si="24"/>
        <v>0</v>
      </c>
    </row>
    <row r="124" spans="1:41" x14ac:dyDescent="0.25">
      <c r="A124" s="1" t="s">
        <v>284</v>
      </c>
      <c r="B124" s="1" t="s">
        <v>51</v>
      </c>
      <c r="C124" s="1">
        <v>370</v>
      </c>
      <c r="D124" s="1">
        <v>222</v>
      </c>
      <c r="E124" s="1">
        <v>288</v>
      </c>
      <c r="F124" s="1">
        <v>289</v>
      </c>
      <c r="G124" s="7">
        <v>0.3</v>
      </c>
      <c r="H124" s="1">
        <v>40</v>
      </c>
      <c r="I124" s="1" t="s">
        <v>44</v>
      </c>
      <c r="J124" s="1"/>
      <c r="K124" s="1">
        <v>293</v>
      </c>
      <c r="L124" s="1">
        <f t="shared" si="26"/>
        <v>-5</v>
      </c>
      <c r="M124" s="1"/>
      <c r="N124" s="1"/>
      <c r="O124" s="1"/>
      <c r="P124" s="1"/>
      <c r="Q124" s="1"/>
      <c r="R124" s="1"/>
      <c r="S124" s="1"/>
      <c r="T124" s="1">
        <v>62.021999999999707</v>
      </c>
      <c r="U124" s="1">
        <f t="shared" si="27"/>
        <v>57.6</v>
      </c>
      <c r="V124" s="5">
        <f>11*U124-T124-S124-R124-Q124-P124-O124-F124</f>
        <v>282.57800000000032</v>
      </c>
      <c r="W124" s="5">
        <f t="shared" si="30"/>
        <v>282.57800000000032</v>
      </c>
      <c r="X124" s="5"/>
      <c r="Y124" s="5"/>
      <c r="Z124" s="1">
        <f t="shared" si="23"/>
        <v>11</v>
      </c>
      <c r="AA124" s="1">
        <f t="shared" si="28"/>
        <v>6.0941319444444391</v>
      </c>
      <c r="AB124" s="1">
        <v>44.2</v>
      </c>
      <c r="AC124" s="1">
        <v>51.6</v>
      </c>
      <c r="AD124" s="1">
        <v>59.6</v>
      </c>
      <c r="AE124" s="1">
        <v>56.6</v>
      </c>
      <c r="AF124" s="1">
        <v>60</v>
      </c>
      <c r="AG124" s="1">
        <v>48.6</v>
      </c>
      <c r="AH124" s="1">
        <v>42</v>
      </c>
      <c r="AI124" s="1">
        <v>55.6</v>
      </c>
      <c r="AJ124" s="1">
        <v>54.4</v>
      </c>
      <c r="AK124" s="1">
        <v>44</v>
      </c>
      <c r="AL124" s="1"/>
      <c r="AM124" s="1">
        <f t="shared" si="29"/>
        <v>85</v>
      </c>
      <c r="AN124" t="s">
        <v>285</v>
      </c>
      <c r="AO124" s="1">
        <f t="shared" si="24"/>
        <v>0</v>
      </c>
    </row>
    <row r="125" spans="1:41" x14ac:dyDescent="0.25">
      <c r="A125" s="1" t="s">
        <v>286</v>
      </c>
      <c r="B125" s="1" t="s">
        <v>51</v>
      </c>
      <c r="C125" s="1">
        <v>68</v>
      </c>
      <c r="D125" s="1">
        <v>48</v>
      </c>
      <c r="E125" s="1">
        <v>57</v>
      </c>
      <c r="F125" s="1">
        <v>48</v>
      </c>
      <c r="G125" s="7">
        <v>0.12</v>
      </c>
      <c r="H125" s="1">
        <v>45</v>
      </c>
      <c r="I125" s="1" t="s">
        <v>44</v>
      </c>
      <c r="J125" s="1"/>
      <c r="K125" s="1">
        <v>68</v>
      </c>
      <c r="L125" s="1">
        <f t="shared" si="26"/>
        <v>-11</v>
      </c>
      <c r="M125" s="1"/>
      <c r="N125" s="1"/>
      <c r="O125" s="1"/>
      <c r="P125" s="1"/>
      <c r="Q125" s="1"/>
      <c r="R125" s="1"/>
      <c r="S125" s="1"/>
      <c r="T125" s="1">
        <v>0</v>
      </c>
      <c r="U125" s="1">
        <f t="shared" si="27"/>
        <v>11.4</v>
      </c>
      <c r="V125" s="5">
        <f>10*U125-T125-S125-R125-Q125-P125-O125-F125</f>
        <v>66</v>
      </c>
      <c r="W125" s="5">
        <f t="shared" si="30"/>
        <v>66</v>
      </c>
      <c r="X125" s="5"/>
      <c r="Y125" s="5"/>
      <c r="Z125" s="1">
        <f t="shared" si="23"/>
        <v>10</v>
      </c>
      <c r="AA125" s="1">
        <f t="shared" si="28"/>
        <v>4.2105263157894735</v>
      </c>
      <c r="AB125" s="1">
        <v>5.6</v>
      </c>
      <c r="AC125" s="1">
        <v>5.6</v>
      </c>
      <c r="AD125" s="1">
        <v>9.8000000000000007</v>
      </c>
      <c r="AE125" s="1">
        <v>9.6</v>
      </c>
      <c r="AF125" s="1">
        <v>6</v>
      </c>
      <c r="AG125" s="1">
        <v>2.8</v>
      </c>
      <c r="AH125" s="1">
        <v>-0.2</v>
      </c>
      <c r="AI125" s="1">
        <v>4</v>
      </c>
      <c r="AJ125" s="1">
        <v>6.4</v>
      </c>
      <c r="AK125" s="1">
        <v>2.6</v>
      </c>
      <c r="AL125" s="1"/>
      <c r="AM125" s="1">
        <f t="shared" si="29"/>
        <v>8</v>
      </c>
      <c r="AN125" t="s">
        <v>287</v>
      </c>
      <c r="AO125" s="1">
        <f t="shared" si="24"/>
        <v>0</v>
      </c>
    </row>
    <row r="126" spans="1:41" x14ac:dyDescent="0.25">
      <c r="A126" s="9" t="s">
        <v>288</v>
      </c>
      <c r="B126" s="9" t="s">
        <v>43</v>
      </c>
      <c r="C126" s="9"/>
      <c r="D126" s="9"/>
      <c r="E126" s="9"/>
      <c r="F126" s="9"/>
      <c r="G126" s="10">
        <v>0</v>
      </c>
      <c r="H126" s="9"/>
      <c r="I126" s="9" t="s">
        <v>44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>
        <f t="shared" si="27"/>
        <v>0</v>
      </c>
      <c r="V126" s="11"/>
      <c r="W126" s="5">
        <f t="shared" si="30"/>
        <v>0</v>
      </c>
      <c r="X126" s="5"/>
      <c r="Y126" s="5"/>
      <c r="Z126" s="1" t="e">
        <f t="shared" si="23"/>
        <v>#DIV/0!</v>
      </c>
      <c r="AA126" s="9" t="e">
        <f t="shared" si="28"/>
        <v>#DIV/0!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 t="s">
        <v>289</v>
      </c>
      <c r="AM126" s="1">
        <f t="shared" si="29"/>
        <v>0</v>
      </c>
      <c r="AN126" t="s">
        <v>290</v>
      </c>
      <c r="AO126" s="1">
        <f t="shared" si="24"/>
        <v>0</v>
      </c>
    </row>
    <row r="127" spans="1:41" x14ac:dyDescent="0.25">
      <c r="A127" s="9" t="s">
        <v>291</v>
      </c>
      <c r="B127" s="9" t="s">
        <v>43</v>
      </c>
      <c r="C127" s="9"/>
      <c r="D127" s="9"/>
      <c r="E127" s="9"/>
      <c r="F127" s="9"/>
      <c r="G127" s="10">
        <v>0</v>
      </c>
      <c r="H127" s="9"/>
      <c r="I127" s="9" t="s">
        <v>44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>
        <f t="shared" si="27"/>
        <v>0</v>
      </c>
      <c r="V127" s="11"/>
      <c r="W127" s="5">
        <f t="shared" si="30"/>
        <v>0</v>
      </c>
      <c r="X127" s="5"/>
      <c r="Y127" s="5"/>
      <c r="Z127" s="1" t="e">
        <f t="shared" si="23"/>
        <v>#DIV/0!</v>
      </c>
      <c r="AA127" s="9" t="e">
        <f t="shared" si="28"/>
        <v>#DIV/0!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 t="s">
        <v>289</v>
      </c>
      <c r="AM127" s="1">
        <f t="shared" si="29"/>
        <v>0</v>
      </c>
      <c r="AN127" t="s">
        <v>292</v>
      </c>
      <c r="AO127" s="1">
        <f t="shared" si="24"/>
        <v>0</v>
      </c>
    </row>
    <row r="128" spans="1:41" x14ac:dyDescent="0.25">
      <c r="A128" s="9" t="s">
        <v>293</v>
      </c>
      <c r="B128" s="9" t="s">
        <v>51</v>
      </c>
      <c r="C128" s="9"/>
      <c r="D128" s="9"/>
      <c r="E128" s="9"/>
      <c r="F128" s="9"/>
      <c r="G128" s="10">
        <v>0</v>
      </c>
      <c r="H128" s="9"/>
      <c r="I128" s="9" t="s">
        <v>44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>
        <f t="shared" si="27"/>
        <v>0</v>
      </c>
      <c r="V128" s="11"/>
      <c r="W128" s="5">
        <f t="shared" si="30"/>
        <v>0</v>
      </c>
      <c r="X128" s="5"/>
      <c r="Y128" s="5"/>
      <c r="Z128" s="1" t="e">
        <f t="shared" si="23"/>
        <v>#DIV/0!</v>
      </c>
      <c r="AA128" s="9" t="e">
        <f t="shared" si="28"/>
        <v>#DIV/0!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 t="s">
        <v>289</v>
      </c>
      <c r="AM128" s="1">
        <f t="shared" si="29"/>
        <v>0</v>
      </c>
      <c r="AN128" t="s">
        <v>294</v>
      </c>
      <c r="AO128" s="1">
        <f t="shared" si="24"/>
        <v>0</v>
      </c>
    </row>
    <row r="129" spans="1:41" x14ac:dyDescent="0.25">
      <c r="A129" s="9" t="s">
        <v>295</v>
      </c>
      <c r="B129" s="9" t="s">
        <v>51</v>
      </c>
      <c r="C129" s="9"/>
      <c r="D129" s="9"/>
      <c r="E129" s="9"/>
      <c r="F129" s="9"/>
      <c r="G129" s="10">
        <v>0</v>
      </c>
      <c r="H129" s="9"/>
      <c r="I129" s="9" t="s">
        <v>44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>
        <f t="shared" si="27"/>
        <v>0</v>
      </c>
      <c r="V129" s="11"/>
      <c r="W129" s="5">
        <f t="shared" si="30"/>
        <v>0</v>
      </c>
      <c r="X129" s="5"/>
      <c r="Y129" s="5"/>
      <c r="Z129" s="1" t="e">
        <f t="shared" si="23"/>
        <v>#DIV/0!</v>
      </c>
      <c r="AA129" s="9" t="e">
        <f t="shared" si="28"/>
        <v>#DIV/0!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 t="s">
        <v>289</v>
      </c>
      <c r="AM129" s="1">
        <f t="shared" si="29"/>
        <v>0</v>
      </c>
      <c r="AN129" t="s">
        <v>296</v>
      </c>
      <c r="AO129" s="1">
        <f t="shared" si="24"/>
        <v>0</v>
      </c>
    </row>
    <row r="130" spans="1:41" x14ac:dyDescent="0.25">
      <c r="A130" s="9" t="s">
        <v>297</v>
      </c>
      <c r="B130" s="9" t="s">
        <v>43</v>
      </c>
      <c r="C130" s="9"/>
      <c r="D130" s="9"/>
      <c r="E130" s="9"/>
      <c r="F130" s="9"/>
      <c r="G130" s="10">
        <v>0</v>
      </c>
      <c r="H130" s="9"/>
      <c r="I130" s="9" t="s">
        <v>44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>
        <f t="shared" si="27"/>
        <v>0</v>
      </c>
      <c r="V130" s="11"/>
      <c r="W130" s="5">
        <f t="shared" si="30"/>
        <v>0</v>
      </c>
      <c r="X130" s="5"/>
      <c r="Y130" s="5"/>
      <c r="Z130" s="1" t="e">
        <f t="shared" si="23"/>
        <v>#DIV/0!</v>
      </c>
      <c r="AA130" s="9" t="e">
        <f t="shared" si="28"/>
        <v>#DIV/0!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 t="s">
        <v>289</v>
      </c>
      <c r="AM130" s="1">
        <f t="shared" si="29"/>
        <v>0</v>
      </c>
      <c r="AN130" t="s">
        <v>298</v>
      </c>
      <c r="AO130" s="1">
        <f t="shared" si="24"/>
        <v>0</v>
      </c>
    </row>
    <row r="131" spans="1:41" x14ac:dyDescent="0.25">
      <c r="A131" s="9" t="s">
        <v>299</v>
      </c>
      <c r="B131" s="9" t="s">
        <v>43</v>
      </c>
      <c r="C131" s="9"/>
      <c r="D131" s="9"/>
      <c r="E131" s="9"/>
      <c r="F131" s="9"/>
      <c r="G131" s="10">
        <v>0</v>
      </c>
      <c r="H131" s="9"/>
      <c r="I131" s="9" t="s">
        <v>44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>
        <f t="shared" si="27"/>
        <v>0</v>
      </c>
      <c r="V131" s="11"/>
      <c r="W131" s="5">
        <f t="shared" si="30"/>
        <v>0</v>
      </c>
      <c r="X131" s="5"/>
      <c r="Y131" s="5"/>
      <c r="Z131" s="1" t="e">
        <f t="shared" si="23"/>
        <v>#DIV/0!</v>
      </c>
      <c r="AA131" s="9" t="e">
        <f t="shared" si="28"/>
        <v>#DIV/0!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 t="s">
        <v>289</v>
      </c>
      <c r="AM131" s="1">
        <f t="shared" si="29"/>
        <v>0</v>
      </c>
      <c r="AN131" t="s">
        <v>300</v>
      </c>
      <c r="AO131" s="1">
        <f t="shared" si="24"/>
        <v>0</v>
      </c>
    </row>
    <row r="132" spans="1:41" x14ac:dyDescent="0.25">
      <c r="A132" s="9" t="s">
        <v>301</v>
      </c>
      <c r="B132" s="9" t="s">
        <v>51</v>
      </c>
      <c r="C132" s="9"/>
      <c r="D132" s="9"/>
      <c r="E132" s="9"/>
      <c r="F132" s="9"/>
      <c r="G132" s="10">
        <v>0</v>
      </c>
      <c r="H132" s="9"/>
      <c r="I132" s="9" t="s">
        <v>44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>
        <f t="shared" si="27"/>
        <v>0</v>
      </c>
      <c r="V132" s="11"/>
      <c r="W132" s="5">
        <f t="shared" si="30"/>
        <v>0</v>
      </c>
      <c r="X132" s="5"/>
      <c r="Y132" s="5"/>
      <c r="Z132" s="1" t="e">
        <f t="shared" si="23"/>
        <v>#DIV/0!</v>
      </c>
      <c r="AA132" s="9" t="e">
        <f t="shared" si="28"/>
        <v>#DIV/0!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 t="s">
        <v>289</v>
      </c>
      <c r="AM132" s="1">
        <f t="shared" si="29"/>
        <v>0</v>
      </c>
      <c r="AN132" t="s">
        <v>302</v>
      </c>
      <c r="AO132" s="1">
        <f t="shared" si="24"/>
        <v>0</v>
      </c>
    </row>
    <row r="133" spans="1:41" x14ac:dyDescent="0.25">
      <c r="A133" s="9" t="s">
        <v>303</v>
      </c>
      <c r="B133" s="9" t="s">
        <v>51</v>
      </c>
      <c r="C133" s="9"/>
      <c r="D133" s="9"/>
      <c r="E133" s="9"/>
      <c r="F133" s="9"/>
      <c r="G133" s="10">
        <v>0</v>
      </c>
      <c r="H133" s="9"/>
      <c r="I133" s="9" t="s">
        <v>44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>
        <f t="shared" si="27"/>
        <v>0</v>
      </c>
      <c r="V133" s="11"/>
      <c r="W133" s="5">
        <f t="shared" si="30"/>
        <v>0</v>
      </c>
      <c r="X133" s="5"/>
      <c r="Y133" s="5"/>
      <c r="Z133" s="1" t="e">
        <f t="shared" si="23"/>
        <v>#DIV/0!</v>
      </c>
      <c r="AA133" s="9" t="e">
        <f t="shared" si="28"/>
        <v>#DIV/0!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 t="s">
        <v>289</v>
      </c>
      <c r="AM133" s="1">
        <f t="shared" si="29"/>
        <v>0</v>
      </c>
      <c r="AN133" t="s">
        <v>304</v>
      </c>
      <c r="AO133" s="1">
        <f t="shared" si="24"/>
        <v>0</v>
      </c>
    </row>
    <row r="134" spans="1:41" x14ac:dyDescent="0.25">
      <c r="A134" s="9" t="s">
        <v>305</v>
      </c>
      <c r="B134" s="9" t="s">
        <v>51</v>
      </c>
      <c r="C134" s="9"/>
      <c r="D134" s="9"/>
      <c r="E134" s="9"/>
      <c r="F134" s="9"/>
      <c r="G134" s="10">
        <v>0</v>
      </c>
      <c r="H134" s="9"/>
      <c r="I134" s="9" t="s">
        <v>44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>
        <f t="shared" ref="U134:U141" si="31">E134/5</f>
        <v>0</v>
      </c>
      <c r="V134" s="11"/>
      <c r="W134" s="5">
        <f t="shared" si="30"/>
        <v>0</v>
      </c>
      <c r="X134" s="5"/>
      <c r="Y134" s="5"/>
      <c r="Z134" s="1" t="e">
        <f t="shared" si="23"/>
        <v>#DIV/0!</v>
      </c>
      <c r="AA134" s="9" t="e">
        <f t="shared" ref="AA134:AA141" si="32">(F134+O134+P134+Q134+R134+S134+T134)/U134</f>
        <v>#DIV/0!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 t="s">
        <v>289</v>
      </c>
      <c r="AM134" s="1">
        <f t="shared" ref="AM134:AM141" si="33">ROUND(G134*W134,0)</f>
        <v>0</v>
      </c>
      <c r="AN134" t="s">
        <v>306</v>
      </c>
      <c r="AO134" s="1">
        <f t="shared" si="24"/>
        <v>0</v>
      </c>
    </row>
    <row r="135" spans="1:41" x14ac:dyDescent="0.25">
      <c r="A135" s="9" t="s">
        <v>307</v>
      </c>
      <c r="B135" s="9" t="s">
        <v>51</v>
      </c>
      <c r="C135" s="9"/>
      <c r="D135" s="9"/>
      <c r="E135" s="9"/>
      <c r="F135" s="9"/>
      <c r="G135" s="10">
        <v>0</v>
      </c>
      <c r="H135" s="9"/>
      <c r="I135" s="9" t="s">
        <v>44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>
        <f t="shared" si="31"/>
        <v>0</v>
      </c>
      <c r="V135" s="11"/>
      <c r="W135" s="5">
        <f t="shared" si="30"/>
        <v>0</v>
      </c>
      <c r="X135" s="5"/>
      <c r="Y135" s="5"/>
      <c r="Z135" s="1" t="e">
        <f t="shared" ref="Z135:Z141" si="34">(F135+O135+P135+Q135+R135+S135+T135+W135+X135+Y135)/U135</f>
        <v>#DIV/0!</v>
      </c>
      <c r="AA135" s="9" t="e">
        <f t="shared" si="32"/>
        <v>#DIV/0!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 t="s">
        <v>289</v>
      </c>
      <c r="AM135" s="1">
        <f t="shared" si="33"/>
        <v>0</v>
      </c>
      <c r="AN135" t="s">
        <v>308</v>
      </c>
      <c r="AO135" s="1">
        <f t="shared" ref="AO135:AO141" si="35">ROUND(G135*Y135,0)</f>
        <v>0</v>
      </c>
    </row>
    <row r="136" spans="1:41" x14ac:dyDescent="0.25">
      <c r="A136" s="9" t="s">
        <v>309</v>
      </c>
      <c r="B136" s="9" t="s">
        <v>51</v>
      </c>
      <c r="C136" s="9"/>
      <c r="D136" s="9"/>
      <c r="E136" s="9"/>
      <c r="F136" s="9"/>
      <c r="G136" s="10">
        <v>0</v>
      </c>
      <c r="H136" s="9"/>
      <c r="I136" s="9" t="s">
        <v>44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>
        <f t="shared" si="31"/>
        <v>0</v>
      </c>
      <c r="V136" s="11"/>
      <c r="W136" s="5">
        <f t="shared" si="30"/>
        <v>0</v>
      </c>
      <c r="X136" s="5"/>
      <c r="Y136" s="5"/>
      <c r="Z136" s="1" t="e">
        <f t="shared" si="34"/>
        <v>#DIV/0!</v>
      </c>
      <c r="AA136" s="9" t="e">
        <f t="shared" si="32"/>
        <v>#DIV/0!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 t="s">
        <v>289</v>
      </c>
      <c r="AM136" s="1">
        <f t="shared" si="33"/>
        <v>0</v>
      </c>
      <c r="AN136" t="s">
        <v>310</v>
      </c>
      <c r="AO136" s="1">
        <f t="shared" si="35"/>
        <v>0</v>
      </c>
    </row>
    <row r="137" spans="1:41" x14ac:dyDescent="0.25">
      <c r="A137" s="9" t="s">
        <v>311</v>
      </c>
      <c r="B137" s="9" t="s">
        <v>51</v>
      </c>
      <c r="C137" s="9"/>
      <c r="D137" s="9"/>
      <c r="E137" s="9"/>
      <c r="F137" s="9"/>
      <c r="G137" s="10">
        <v>0</v>
      </c>
      <c r="H137" s="9"/>
      <c r="I137" s="9" t="s">
        <v>44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>
        <f t="shared" si="31"/>
        <v>0</v>
      </c>
      <c r="V137" s="11"/>
      <c r="W137" s="5">
        <f t="shared" si="30"/>
        <v>0</v>
      </c>
      <c r="X137" s="5"/>
      <c r="Y137" s="5"/>
      <c r="Z137" s="1" t="e">
        <f t="shared" si="34"/>
        <v>#DIV/0!</v>
      </c>
      <c r="AA137" s="9" t="e">
        <f t="shared" si="32"/>
        <v>#DIV/0!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 t="s">
        <v>289</v>
      </c>
      <c r="AM137" s="1">
        <f t="shared" si="33"/>
        <v>0</v>
      </c>
      <c r="AN137" t="s">
        <v>312</v>
      </c>
      <c r="AO137" s="1">
        <f t="shared" si="35"/>
        <v>0</v>
      </c>
    </row>
    <row r="138" spans="1:41" x14ac:dyDescent="0.25">
      <c r="A138" s="9" t="s">
        <v>313</v>
      </c>
      <c r="B138" s="9" t="s">
        <v>51</v>
      </c>
      <c r="C138" s="9"/>
      <c r="D138" s="9"/>
      <c r="E138" s="9"/>
      <c r="F138" s="9"/>
      <c r="G138" s="10">
        <v>0</v>
      </c>
      <c r="H138" s="9"/>
      <c r="I138" s="9" t="s">
        <v>44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>
        <f t="shared" si="31"/>
        <v>0</v>
      </c>
      <c r="V138" s="11"/>
      <c r="W138" s="5">
        <f t="shared" si="30"/>
        <v>0</v>
      </c>
      <c r="X138" s="5"/>
      <c r="Y138" s="5"/>
      <c r="Z138" s="1" t="e">
        <f t="shared" si="34"/>
        <v>#DIV/0!</v>
      </c>
      <c r="AA138" s="9" t="e">
        <f t="shared" si="32"/>
        <v>#DIV/0!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 t="s">
        <v>289</v>
      </c>
      <c r="AM138" s="1">
        <f t="shared" si="33"/>
        <v>0</v>
      </c>
      <c r="AN138" t="s">
        <v>314</v>
      </c>
      <c r="AO138" s="1">
        <f t="shared" si="35"/>
        <v>0</v>
      </c>
    </row>
    <row r="139" spans="1:41" x14ac:dyDescent="0.25">
      <c r="A139" s="14" t="s">
        <v>315</v>
      </c>
      <c r="B139" s="14" t="s">
        <v>51</v>
      </c>
      <c r="C139" s="15"/>
      <c r="D139" s="15"/>
      <c r="E139" s="15"/>
      <c r="F139" s="15"/>
      <c r="G139" s="16">
        <v>0.32500000000000001</v>
      </c>
      <c r="H139" s="15"/>
      <c r="I139" s="14" t="s">
        <v>44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>
        <f t="shared" si="31"/>
        <v>0</v>
      </c>
      <c r="V139" s="17">
        <v>200</v>
      </c>
      <c r="W139" s="5">
        <f t="shared" si="30"/>
        <v>200</v>
      </c>
      <c r="X139" s="5"/>
      <c r="Y139" s="5"/>
      <c r="Z139" s="1" t="e">
        <f t="shared" si="34"/>
        <v>#DIV/0!</v>
      </c>
      <c r="AA139" s="15" t="e">
        <f t="shared" si="32"/>
        <v>#DIV/0!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4" t="s">
        <v>316</v>
      </c>
      <c r="AM139" s="1">
        <f t="shared" si="33"/>
        <v>65</v>
      </c>
      <c r="AN139" t="s">
        <v>317</v>
      </c>
      <c r="AO139" s="1">
        <f t="shared" si="35"/>
        <v>0</v>
      </c>
    </row>
    <row r="140" spans="1:41" x14ac:dyDescent="0.25">
      <c r="A140" s="14" t="s">
        <v>318</v>
      </c>
      <c r="B140" s="14" t="s">
        <v>51</v>
      </c>
      <c r="C140" s="15"/>
      <c r="D140" s="15"/>
      <c r="E140" s="15"/>
      <c r="F140" s="15"/>
      <c r="G140" s="16">
        <v>0.25</v>
      </c>
      <c r="H140" s="15"/>
      <c r="I140" s="14" t="s">
        <v>44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>
        <f t="shared" si="31"/>
        <v>0</v>
      </c>
      <c r="V140" s="17">
        <v>200</v>
      </c>
      <c r="W140" s="5">
        <f t="shared" si="30"/>
        <v>200</v>
      </c>
      <c r="X140" s="5"/>
      <c r="Y140" s="5"/>
      <c r="Z140" s="1" t="e">
        <f t="shared" si="34"/>
        <v>#DIV/0!</v>
      </c>
      <c r="AA140" s="15" t="e">
        <f t="shared" si="32"/>
        <v>#DIV/0!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4" t="s">
        <v>316</v>
      </c>
      <c r="AM140" s="1">
        <f t="shared" si="33"/>
        <v>50</v>
      </c>
      <c r="AN140" t="s">
        <v>319</v>
      </c>
      <c r="AO140" s="1">
        <f t="shared" si="35"/>
        <v>0</v>
      </c>
    </row>
    <row r="141" spans="1:41" x14ac:dyDescent="0.25">
      <c r="A141" s="14" t="s">
        <v>320</v>
      </c>
      <c r="B141" s="14" t="s">
        <v>51</v>
      </c>
      <c r="C141" s="15"/>
      <c r="D141" s="15"/>
      <c r="E141" s="15"/>
      <c r="F141" s="15"/>
      <c r="G141" s="16">
        <v>0.25</v>
      </c>
      <c r="H141" s="15"/>
      <c r="I141" s="14" t="s">
        <v>44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>
        <f t="shared" si="31"/>
        <v>0</v>
      </c>
      <c r="V141" s="17">
        <v>200</v>
      </c>
      <c r="W141" s="5">
        <f t="shared" si="30"/>
        <v>200</v>
      </c>
      <c r="X141" s="5"/>
      <c r="Y141" s="5"/>
      <c r="Z141" s="1" t="e">
        <f t="shared" si="34"/>
        <v>#DIV/0!</v>
      </c>
      <c r="AA141" s="15" t="e">
        <f t="shared" si="32"/>
        <v>#DIV/0!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4" t="s">
        <v>316</v>
      </c>
      <c r="AM141" s="1">
        <f t="shared" si="33"/>
        <v>50</v>
      </c>
      <c r="AN141" t="s">
        <v>321</v>
      </c>
      <c r="AO141" s="1">
        <f t="shared" si="35"/>
        <v>0</v>
      </c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O491" s="1"/>
    </row>
  </sheetData>
  <autoFilter ref="A3:AM141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56E0-53D9-44C7-8AA3-4E5A4D245E1D}">
  <dimension ref="A1:H12"/>
  <sheetViews>
    <sheetView workbookViewId="0">
      <selection activeCell="B3" sqref="B3"/>
    </sheetView>
  </sheetViews>
  <sheetFormatPr defaultRowHeight="15" x14ac:dyDescent="0.25"/>
  <cols>
    <col min="2" max="2" width="76.5703125" bestFit="1" customWidth="1"/>
    <col min="7" max="7" width="76.5703125" bestFit="1" customWidth="1"/>
  </cols>
  <sheetData>
    <row r="1" spans="1:8" x14ac:dyDescent="0.25">
      <c r="A1" t="s">
        <v>105</v>
      </c>
      <c r="B1" t="s">
        <v>322</v>
      </c>
      <c r="C1">
        <v>1</v>
      </c>
      <c r="D1">
        <v>-1944</v>
      </c>
      <c r="E1">
        <f>D1/C1</f>
        <v>-1944</v>
      </c>
      <c r="F1" t="s">
        <v>105</v>
      </c>
      <c r="G1" t="s">
        <v>322</v>
      </c>
      <c r="H1">
        <v>-1944</v>
      </c>
    </row>
    <row r="2" spans="1:8" x14ac:dyDescent="0.25">
      <c r="A2" t="s">
        <v>109</v>
      </c>
      <c r="B2" t="s">
        <v>323</v>
      </c>
      <c r="C2">
        <v>0.4</v>
      </c>
      <c r="D2">
        <v>-1180.8</v>
      </c>
      <c r="E2">
        <f t="shared" ref="E2:E12" si="0">D2/C2</f>
        <v>-2951.9999999999995</v>
      </c>
      <c r="F2" t="s">
        <v>109</v>
      </c>
      <c r="G2" t="s">
        <v>323</v>
      </c>
      <c r="H2">
        <v>-1180.8</v>
      </c>
    </row>
    <row r="3" spans="1:8" x14ac:dyDescent="0.25">
      <c r="A3" t="s">
        <v>113</v>
      </c>
      <c r="B3" t="s">
        <v>324</v>
      </c>
      <c r="C3">
        <v>0.4</v>
      </c>
      <c r="D3">
        <v>-326.39999999999998</v>
      </c>
      <c r="E3">
        <f t="shared" si="0"/>
        <v>-815.99999999999989</v>
      </c>
    </row>
    <row r="4" spans="1:8" x14ac:dyDescent="0.25">
      <c r="A4" t="s">
        <v>134</v>
      </c>
      <c r="B4" t="s">
        <v>325</v>
      </c>
      <c r="C4">
        <v>0.4</v>
      </c>
      <c r="D4">
        <v>-240</v>
      </c>
      <c r="E4">
        <f t="shared" si="0"/>
        <v>-600</v>
      </c>
      <c r="F4" t="s">
        <v>134</v>
      </c>
      <c r="G4" t="s">
        <v>325</v>
      </c>
      <c r="H4">
        <v>-240</v>
      </c>
    </row>
    <row r="5" spans="1:8" x14ac:dyDescent="0.25">
      <c r="A5" t="s">
        <v>168</v>
      </c>
      <c r="B5" t="s">
        <v>326</v>
      </c>
      <c r="C5">
        <v>0.4</v>
      </c>
      <c r="D5">
        <v>-208.8</v>
      </c>
      <c r="E5">
        <f t="shared" si="0"/>
        <v>-522</v>
      </c>
      <c r="F5" t="s">
        <v>168</v>
      </c>
      <c r="G5" t="s">
        <v>326</v>
      </c>
      <c r="H5">
        <v>-208.8</v>
      </c>
    </row>
    <row r="6" spans="1:8" x14ac:dyDescent="0.25">
      <c r="A6" t="s">
        <v>128</v>
      </c>
      <c r="B6" t="s">
        <v>327</v>
      </c>
      <c r="C6">
        <v>0.4</v>
      </c>
      <c r="D6">
        <v>-134.4</v>
      </c>
      <c r="E6">
        <f t="shared" si="0"/>
        <v>-336</v>
      </c>
      <c r="F6" t="s">
        <v>128</v>
      </c>
      <c r="G6" t="s">
        <v>327</v>
      </c>
      <c r="H6">
        <v>-134.4</v>
      </c>
    </row>
    <row r="7" spans="1:8" x14ac:dyDescent="0.25">
      <c r="A7" t="s">
        <v>227</v>
      </c>
      <c r="B7" t="s">
        <v>328</v>
      </c>
      <c r="C7">
        <v>0.3</v>
      </c>
      <c r="D7">
        <v>-90</v>
      </c>
      <c r="E7">
        <f t="shared" si="0"/>
        <v>-300</v>
      </c>
      <c r="F7" t="s">
        <v>227</v>
      </c>
      <c r="G7" t="s">
        <v>328</v>
      </c>
      <c r="H7">
        <v>-90</v>
      </c>
    </row>
    <row r="8" spans="1:8" x14ac:dyDescent="0.25">
      <c r="A8" t="s">
        <v>242</v>
      </c>
      <c r="B8" t="s">
        <v>329</v>
      </c>
      <c r="C8">
        <v>0.3</v>
      </c>
      <c r="D8">
        <v>-77.400000000000006</v>
      </c>
      <c r="E8">
        <f t="shared" si="0"/>
        <v>-258.00000000000006</v>
      </c>
      <c r="F8" t="s">
        <v>242</v>
      </c>
      <c r="G8" t="s">
        <v>329</v>
      </c>
      <c r="H8">
        <v>-77.400000000000006</v>
      </c>
    </row>
    <row r="9" spans="1:8" x14ac:dyDescent="0.25">
      <c r="A9" t="s">
        <v>202</v>
      </c>
      <c r="B9" t="s">
        <v>330</v>
      </c>
      <c r="C9">
        <v>0.35</v>
      </c>
      <c r="D9">
        <v>-54.6</v>
      </c>
      <c r="E9">
        <f t="shared" si="0"/>
        <v>-156</v>
      </c>
      <c r="F9" t="s">
        <v>202</v>
      </c>
      <c r="G9" t="s">
        <v>330</v>
      </c>
      <c r="H9">
        <v>-54.6</v>
      </c>
    </row>
    <row r="10" spans="1:8" x14ac:dyDescent="0.25">
      <c r="A10" t="s">
        <v>126</v>
      </c>
      <c r="B10" t="s">
        <v>331</v>
      </c>
      <c r="C10">
        <v>0.4</v>
      </c>
      <c r="D10">
        <v>-28.8</v>
      </c>
      <c r="E10">
        <f t="shared" si="0"/>
        <v>-72</v>
      </c>
      <c r="F10" t="s">
        <v>126</v>
      </c>
      <c r="G10" t="s">
        <v>331</v>
      </c>
      <c r="H10">
        <v>-28.8</v>
      </c>
    </row>
    <row r="11" spans="1:8" x14ac:dyDescent="0.25">
      <c r="A11" t="s">
        <v>148</v>
      </c>
      <c r="B11" t="s">
        <v>332</v>
      </c>
      <c r="C11">
        <v>0.4</v>
      </c>
      <c r="D11">
        <v>-26.4</v>
      </c>
      <c r="E11">
        <f t="shared" si="0"/>
        <v>-65.999999999999986</v>
      </c>
      <c r="F11" t="s">
        <v>148</v>
      </c>
      <c r="G11" t="s">
        <v>332</v>
      </c>
      <c r="H11">
        <v>-26.4</v>
      </c>
    </row>
    <row r="12" spans="1:8" x14ac:dyDescent="0.25">
      <c r="A12" t="s">
        <v>146</v>
      </c>
      <c r="B12" t="s">
        <v>333</v>
      </c>
      <c r="C12">
        <v>0.4</v>
      </c>
      <c r="D12">
        <v>-24</v>
      </c>
      <c r="E12">
        <f t="shared" si="0"/>
        <v>-60</v>
      </c>
      <c r="F12" t="s">
        <v>146</v>
      </c>
      <c r="G12" t="s">
        <v>333</v>
      </c>
      <c r="H12">
        <v>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2026-07-21T11:54:33Z</dcterms:created>
  <dcterms:modified xsi:type="dcterms:W3CDTF">2026-07-23T16:11:23Z</dcterms:modified>
</cp:coreProperties>
</file>