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4F7DD07E-867E-484D-A086-029A45BD39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Лист1!$A$2:$N$133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3" i="1" l="1"/>
  <c r="L120" i="1"/>
  <c r="L121" i="1"/>
  <c r="L112" i="1"/>
  <c r="L71" i="1"/>
  <c r="L118" i="1"/>
  <c r="L114" i="1"/>
  <c r="L129" i="1"/>
  <c r="L126" i="1"/>
  <c r="L119" i="1"/>
  <c r="L110" i="1"/>
  <c r="L111" i="1"/>
  <c r="L10" i="1" l="1"/>
  <c r="L16" i="1"/>
  <c r="L13" i="1"/>
  <c r="L23" i="1"/>
  <c r="L17" i="1"/>
  <c r="L97" i="1"/>
  <c r="L93" i="1"/>
  <c r="L66" i="1"/>
  <c r="L11" i="1"/>
  <c r="L4" i="1"/>
  <c r="L47" i="1"/>
  <c r="L91" i="1"/>
  <c r="L115" i="1"/>
  <c r="L8" i="1"/>
  <c r="L36" i="1"/>
  <c r="L20" i="1"/>
  <c r="L117" i="1"/>
  <c r="L15" i="1"/>
  <c r="L38" i="1"/>
  <c r="L14" i="1"/>
  <c r="L5" i="1"/>
  <c r="L57" i="1"/>
  <c r="L82" i="1"/>
  <c r="L96" i="1"/>
  <c r="L7" i="1"/>
  <c r="L30" i="1"/>
  <c r="L22" i="1"/>
  <c r="L74" i="1"/>
  <c r="L67" i="1"/>
  <c r="L64" i="1"/>
  <c r="L56" i="1"/>
  <c r="L85" i="1"/>
  <c r="L124" i="1"/>
  <c r="L55" i="1"/>
  <c r="L54" i="1"/>
  <c r="L59" i="1"/>
  <c r="L19" i="1"/>
  <c r="L31" i="1"/>
  <c r="L37" i="1"/>
  <c r="L27" i="1"/>
  <c r="L81" i="1"/>
  <c r="L40" i="1"/>
  <c r="L35" i="1"/>
  <c r="L87" i="1"/>
  <c r="L95" i="1"/>
  <c r="L25" i="1"/>
  <c r="L76" i="1"/>
  <c r="L24" i="1"/>
  <c r="L79" i="1"/>
  <c r="L80" i="1"/>
  <c r="L70" i="1"/>
  <c r="L86" i="1"/>
  <c r="L104" i="1"/>
  <c r="L28" i="1"/>
  <c r="L32" i="1"/>
  <c r="L42" i="1"/>
  <c r="L41" i="1"/>
  <c r="L18" i="1"/>
  <c r="L44" i="1"/>
  <c r="L26" i="1"/>
  <c r="L43" i="1"/>
  <c r="L51" i="1"/>
  <c r="L83" i="1"/>
  <c r="L77" i="1"/>
  <c r="L90" i="1"/>
  <c r="L68" i="1"/>
  <c r="L100" i="1"/>
  <c r="L62" i="1"/>
  <c r="L78" i="1"/>
  <c r="L50" i="1"/>
  <c r="L12" i="1"/>
  <c r="L9" i="1"/>
  <c r="L6" i="1"/>
  <c r="L3" i="1"/>
  <c r="L69" i="1"/>
  <c r="L122" i="1"/>
  <c r="L84" i="1"/>
  <c r="L92" i="1"/>
  <c r="L98" i="1"/>
  <c r="L109" i="1"/>
  <c r="L105" i="1"/>
  <c r="L75" i="1"/>
  <c r="L132" i="1"/>
  <c r="L72" i="1"/>
  <c r="L88" i="1"/>
  <c r="L125" i="1"/>
  <c r="L33" i="1"/>
  <c r="L48" i="1"/>
  <c r="L34" i="1"/>
  <c r="L46" i="1"/>
  <c r="L106" i="1"/>
  <c r="L45" i="1"/>
  <c r="L130" i="1"/>
  <c r="L52" i="1"/>
  <c r="L60" i="1"/>
  <c r="L131" i="1"/>
  <c r="L133" i="1"/>
  <c r="L53" i="1"/>
  <c r="L29" i="1"/>
  <c r="L73" i="1"/>
  <c r="L21" i="1"/>
  <c r="L49" i="1"/>
  <c r="L65" i="1"/>
  <c r="L58" i="1"/>
  <c r="L61" i="1"/>
  <c r="L116" i="1"/>
  <c r="L99" i="1"/>
  <c r="L103" i="1"/>
  <c r="L39" i="1"/>
  <c r="L101" i="1"/>
  <c r="L108" i="1"/>
  <c r="L107" i="1"/>
  <c r="L102" i="1"/>
  <c r="L94" i="1"/>
  <c r="L89" i="1"/>
  <c r="L123" i="1"/>
  <c r="L127" i="1"/>
  <c r="L128" i="1"/>
  <c r="L113" i="1"/>
</calcChain>
</file>

<file path=xl/sharedStrings.xml><?xml version="1.0" encoding="utf-8"?>
<sst xmlns="http://schemas.openxmlformats.org/spreadsheetml/2006/main" count="681" uniqueCount="287">
  <si>
    <t>SU</t>
  </si>
  <si>
    <t>Номенклатура</t>
  </si>
  <si>
    <t>SU000722</t>
  </si>
  <si>
    <t xml:space="preserve"> 005  Колбаса Докторская ГОСТ, Вязанка вектор,ВЕС. ПОКОМ</t>
  </si>
  <si>
    <t>SU001523</t>
  </si>
  <si>
    <t xml:space="preserve"> 016  Сосиски Вязанка Молочные, Вязанка вискофан  ВЕС.ПОКОМ</t>
  </si>
  <si>
    <t>SU001721</t>
  </si>
  <si>
    <t xml:space="preserve"> 017  Сосиски Вязанка Сливочные, Вязанка амицел ВЕС.ПОКОМ</t>
  </si>
  <si>
    <t>SU001718</t>
  </si>
  <si>
    <t xml:space="preserve"> 030  Сосиски Вязанка Молочные, Вязанка вискофан МГС, 0.45кг, ПОКОМ</t>
  </si>
  <si>
    <t>SU001720</t>
  </si>
  <si>
    <t xml:space="preserve"> 032  Сосиски Вязанка Сливочные, Вязанка амицел МГС, 0.45кг, ПОКОМ</t>
  </si>
  <si>
    <t>SU002092</t>
  </si>
  <si>
    <t xml:space="preserve"> 047  Кол Баварская, белков.обол. в термоусад. пакете 0.17 кг, ТМ Стародворье  ПОКОМ</t>
  </si>
  <si>
    <t>SU002252</t>
  </si>
  <si>
    <t xml:space="preserve"> 062  Колбаса Кракушка пряная с сальцем, 0.3кг в/у п/к, БАВАРУШКА ПОКОМ</t>
  </si>
  <si>
    <t>SU001869</t>
  </si>
  <si>
    <t xml:space="preserve"> 083  Колбаса Швейцарская 0,17 кг., ШТ., сырокопченая   ПОКОМ</t>
  </si>
  <si>
    <t>SU002035</t>
  </si>
  <si>
    <t xml:space="preserve"> 200  Ветчина Дугушка ТМ Стародворье, вектор в/у    ПОКОМ</t>
  </si>
  <si>
    <t>SU000126</t>
  </si>
  <si>
    <t xml:space="preserve"> 201  Ветчина Нежная ТМ Особый рецепт, (2,5кг), ПОКОМ</t>
  </si>
  <si>
    <t>SU002011</t>
  </si>
  <si>
    <t xml:space="preserve"> 215  Колбаса Докторская ГОСТ Дугушка, ВЕС, ТМ Стародворье ПОКОМ</t>
  </si>
  <si>
    <t>SU002182</t>
  </si>
  <si>
    <t xml:space="preserve"> 225  Колбаса Дугушка со шпиком, ВЕС, ТМ Стародворье   ПОКОМ</t>
  </si>
  <si>
    <t>SU001920</t>
  </si>
  <si>
    <t xml:space="preserve"> 226  Колбаса Княжеская, с/к белков.обол в термоусад. пакете, ВЕС, ТМ Стародворье ПОКОМ</t>
  </si>
  <si>
    <t>SU002010</t>
  </si>
  <si>
    <t xml:space="preserve"> 229  Колбаса Молочная Дугушка, в/у, ВЕС, ТМ Стародворье   ПОКОМ</t>
  </si>
  <si>
    <t>SU002150</t>
  </si>
  <si>
    <t xml:space="preserve"> 236  Колбаса Рубленая ЗАПЕЧ. Дугушка ТМ Стародворье, вектор, в/к    ПОКОМ</t>
  </si>
  <si>
    <t>SU002158</t>
  </si>
  <si>
    <t xml:space="preserve"> 239  Колбаса Салями запеч Дугушка, оболочка вектор, ВЕС, ТМ Стародворье  ПОКОМ</t>
  </si>
  <si>
    <t>SU001921</t>
  </si>
  <si>
    <t xml:space="preserve"> 240  Колбаса Салями охотничья, ВЕС. ПОКОМ</t>
  </si>
  <si>
    <t>SU002151</t>
  </si>
  <si>
    <t xml:space="preserve"> 242  Колбаса Сервелат ЗАПЕЧ.Дугушка ТМ Стародворье, вектор, в/к     ПОКОМ</t>
  </si>
  <si>
    <t>SU002287</t>
  </si>
  <si>
    <t xml:space="preserve"> 248  Сардельки Сочные ТМ Особый рецепт,   ПОКОМ</t>
  </si>
  <si>
    <t>SU000227</t>
  </si>
  <si>
    <t xml:space="preserve"> 250  Сардельки стародворские с говядиной в обол. NDX, ВЕС. ПОКОМ</t>
  </si>
  <si>
    <t>SU002074</t>
  </si>
  <si>
    <t xml:space="preserve"> 255  Сосиски Молочные для завтрака ТМ Особый рецепт, п/а МГС, ВЕС, ТМ Стародворье  ПОКОМ</t>
  </si>
  <si>
    <t>SU000246</t>
  </si>
  <si>
    <t xml:space="preserve"> 257  Сосиски Молочные оригинальные ТМ Особый рецепт, ВЕС.   ПОКОМ</t>
  </si>
  <si>
    <t>SU001430</t>
  </si>
  <si>
    <t xml:space="preserve"> 263  Шпикачки Стародворские, ВЕС.  ПОКОМ</t>
  </si>
  <si>
    <t>SU002612</t>
  </si>
  <si>
    <t xml:space="preserve"> 265  Колбаса Балыкбургская, ВЕС, ТМ Баварушка  ПОКОМ</t>
  </si>
  <si>
    <t>SU002614</t>
  </si>
  <si>
    <t xml:space="preserve"> 267  Колбаса Салями Филейбургская зернистая, оболочка фиброуз, ВЕС, ТМ Баварушка  ПОКОМ</t>
  </si>
  <si>
    <t>SU002618</t>
  </si>
  <si>
    <t xml:space="preserve"> 273  Сосиски Сочинки с сочной грудинкой, МГС 0.4кг,   ПОКОМ</t>
  </si>
  <si>
    <t>SU002734</t>
  </si>
  <si>
    <t xml:space="preserve"> 276  Колбаса Сливушка ТМ Вязанка в оболочке полиамид 0,45 кг  ПОКОМ</t>
  </si>
  <si>
    <t>SU002621</t>
  </si>
  <si>
    <t xml:space="preserve"> 278  Сосиски Сочинки с сочным окороком, МГС 0.4кг,   ПОКОМ</t>
  </si>
  <si>
    <t>SU002205</t>
  </si>
  <si>
    <t xml:space="preserve"> 281  Сосиски Молочные для завтрака ТМ Особый рецепт, 0,4кг  ПОКОМ</t>
  </si>
  <si>
    <t>SU002725</t>
  </si>
  <si>
    <t xml:space="preserve"> 283  Сосиски Сочинки, ВЕС, ТМ Стародворье ПОКОМ</t>
  </si>
  <si>
    <t>SU002368</t>
  </si>
  <si>
    <t xml:space="preserve"> 285  Паштет печеночный со слив.маслом ТМ Стародворье ламистер 0,1 кг  ПОКОМ</t>
  </si>
  <si>
    <t>SU002660</t>
  </si>
  <si>
    <t xml:space="preserve"> 296  Колбаса Мясорубская с рубленой грудинкой 0,35кг срез ТМ Стародворье  ПОКОМ</t>
  </si>
  <si>
    <t>SU002756</t>
  </si>
  <si>
    <t xml:space="preserve"> 297  Колбаса Мясорубская с рубленой грудинкой ВЕС ТМ Стародворье  ПОКОМ</t>
  </si>
  <si>
    <t>SU002733</t>
  </si>
  <si>
    <t xml:space="preserve"> 298  Колбаса Сливушка ТМ Вязанка, 0,375кг,  ПОКОМ</t>
  </si>
  <si>
    <t>SU002801</t>
  </si>
  <si>
    <t xml:space="preserve"> 301  Сосиски Сочинки по-баварски с сыром,  0.4кг, ТМ Стародворье  ПОКОМ</t>
  </si>
  <si>
    <t>SU002799</t>
  </si>
  <si>
    <t xml:space="preserve"> 302  Сосиски Сочинки по-баварски,  0.4кг, ТМ Стародворье  ПОКОМ</t>
  </si>
  <si>
    <t>SU002847</t>
  </si>
  <si>
    <t xml:space="preserve"> 305  Колбаса Сервелат Мясорубский с мелкорубленным окороком в/у  ТМ Стародворье ВЕС   ПОКОМ</t>
  </si>
  <si>
    <t>SU002848</t>
  </si>
  <si>
    <t xml:space="preserve"> 307  Колбаса Сервелат Мясорубский с мелкорубленным окороком 0,35 кг срез ТМ Стародворье   Поком</t>
  </si>
  <si>
    <t>SU002686</t>
  </si>
  <si>
    <t xml:space="preserve"> 309  Сосиски Сочинки с сыром 0,4 кг ТМ Стародворье  ПОКОМ</t>
  </si>
  <si>
    <t>SU002828</t>
  </si>
  <si>
    <t xml:space="preserve"> 312  Ветчина Филейская ВЕС ТМ  Вязанка ТС Столичная  ПОКОМ</t>
  </si>
  <si>
    <t>SU002830</t>
  </si>
  <si>
    <t xml:space="preserve"> 315  Колбаса вареная Молокуша ТМ Вязанка ВЕС, ПОКОМ</t>
  </si>
  <si>
    <t>SU002655</t>
  </si>
  <si>
    <t xml:space="preserve"> 318  Сосиски Датские ТМ Зареченские, ВЕС  ПОКОМ</t>
  </si>
  <si>
    <t>SU002815</t>
  </si>
  <si>
    <t xml:space="preserve"> 319  Колбаса вареная Филейская ТМ Вязанка ТС Классическая, 0,45 кг. ПОКОМ</t>
  </si>
  <si>
    <t>SU002816</t>
  </si>
  <si>
    <t xml:space="preserve"> 322  Колбаса вареная Молокуша 0,45кг ТМ Вязанка  ПОКОМ</t>
  </si>
  <si>
    <t>SU002758</t>
  </si>
  <si>
    <t xml:space="preserve"> 328  Сардельки Сочинки Стародворье ТМ  0,4 кг ПОКОМ</t>
  </si>
  <si>
    <t>SU002759</t>
  </si>
  <si>
    <t xml:space="preserve"> 329  Сардельки Сочинки с сыром Стародворье ТМ, 0,4 кг. ПОКОМ</t>
  </si>
  <si>
    <t>SU002829</t>
  </si>
  <si>
    <t xml:space="preserve"> 330  Колбаса вареная Филейская ТМ Вязанка ТС Классическая ВЕС  ПОКОМ</t>
  </si>
  <si>
    <t>SU002841</t>
  </si>
  <si>
    <t xml:space="preserve"> 334  Паштет Любительский ТМ Стародворье ламистер 0,1 кг  ПОКОМ</t>
  </si>
  <si>
    <t>SU002928</t>
  </si>
  <si>
    <t xml:space="preserve"> 335  Колбаса Сливушка ТМ Вязанка. ВЕС.  ПОКОМ </t>
  </si>
  <si>
    <t>SU002833</t>
  </si>
  <si>
    <t xml:space="preserve"> 336  Ветчина Сливушка с индейкой ТМ Вязанка. ВЕС  ПОКОМ</t>
  </si>
  <si>
    <t>SU002840</t>
  </si>
  <si>
    <t xml:space="preserve"> 338  Паштет печеночный с морковью ТМ Стародворье ламистер 0,1 кг.  ПОКОМ</t>
  </si>
  <si>
    <t>SU002831</t>
  </si>
  <si>
    <t xml:space="preserve"> 339  Колбаса вареная Филейская ТМ Вязанка ТС Классическая, 0,40 кг.  ПОКОМ</t>
  </si>
  <si>
    <t>SU002843</t>
  </si>
  <si>
    <t xml:space="preserve"> 340  Сосиски Сочинки Молочные ТМ Стародворье, ВЕС ПОКОМ</t>
  </si>
  <si>
    <t>SU002845</t>
  </si>
  <si>
    <t xml:space="preserve"> 341 Сосиски Сочинки Сливочные ТМ Стародворье ВЕС ПОКОМ</t>
  </si>
  <si>
    <t>SU002842</t>
  </si>
  <si>
    <t xml:space="preserve"> 342 Сосиски Сочинки Молочные ТМ Стародворье 0,4 кг ПОКОМ</t>
  </si>
  <si>
    <t>SU002844</t>
  </si>
  <si>
    <t xml:space="preserve"> 343 Сосиски Сочинки Сливочные ТМ Стародворье  0,4 кг ПОКОМ</t>
  </si>
  <si>
    <t>SU002941</t>
  </si>
  <si>
    <t xml:space="preserve"> 344  Колбаса Сочинка по-европейски с сочной грудинкой ТМ Стародворье, ВЕС ПОКОМ</t>
  </si>
  <si>
    <t>SU002943</t>
  </si>
  <si>
    <t xml:space="preserve"> 345  Колбаса Сочинка по-фински с сочным окроком ТМ Стародворье ВЕС ПОКОМ</t>
  </si>
  <si>
    <t>SU002945</t>
  </si>
  <si>
    <t xml:space="preserve"> 346  Колбаса Сочинка зернистая с сочной грудинкой ТМ Стародворье.ВЕС ПОКОМ</t>
  </si>
  <si>
    <t>SU002947</t>
  </si>
  <si>
    <t xml:space="preserve"> 347  Колбаса Сочинка рубленая с сочным окороком ТМ Стародворье ВЕС ПОКОМ</t>
  </si>
  <si>
    <t>SU002835</t>
  </si>
  <si>
    <t xml:space="preserve"> 364  Сардельки Филейские Вязанка ВЕС NDX ТМ Вязанка  ПОКОМ</t>
  </si>
  <si>
    <t>SU002632</t>
  </si>
  <si>
    <t xml:space="preserve"> 376  Колбаса Докторская Дугушка 0,6кг ГОСТ ТМ Стародворье  ПОКОМ </t>
  </si>
  <si>
    <t>SU002631</t>
  </si>
  <si>
    <t xml:space="preserve"> 377  Колбаса Молочная Дугушка 0,6кг ТМ Стародворье  ПОКОМ</t>
  </si>
  <si>
    <t>SU002983</t>
  </si>
  <si>
    <t xml:space="preserve"> 387  Колбаса вареная Мусульманская Халяль ТМ Вязанка, 0,4 кг ПОКОМ</t>
  </si>
  <si>
    <t>SU002984</t>
  </si>
  <si>
    <t xml:space="preserve"> 388  Сосиски Восточные Халяль ТМ Вязанка 0,33 кг АК. ПОКОМ</t>
  </si>
  <si>
    <t>SU002985</t>
  </si>
  <si>
    <t xml:space="preserve"> 394 Колбаса полукопченая Аль-Ислами халяль ТМ Вязанка оболочка фиброуз в в/у 0,35 кг  ПОКОМ</t>
  </si>
  <si>
    <t>SU002643</t>
  </si>
  <si>
    <t xml:space="preserve"> 397  Ветчина Дугушка ТМ Стародворье ТС Дугушка в полиамидной оболочке 0,6 кг. ПОКОМ</t>
  </si>
  <si>
    <t>SU002367</t>
  </si>
  <si>
    <t xml:space="preserve"> 405  Сардельки Сливушки ТМ Вязанка в оболочке айпил 0,33 кг. ПОКОМ</t>
  </si>
  <si>
    <t>SU002735</t>
  </si>
  <si>
    <t xml:space="preserve"> 408  Ветчина Сливушка с индейкой ТМ Вязанка, 0,4кг  ПОКОМ</t>
  </si>
  <si>
    <t>SU003168</t>
  </si>
  <si>
    <t xml:space="preserve"> 410  Сосиски Баварские с сыром ТМ Стародворье 0,35 кг. ПОКОМ</t>
  </si>
  <si>
    <t>SU003167</t>
  </si>
  <si>
    <t xml:space="preserve"> 412  Сосиски Баварские ТМ Стародворье 0,35 кг ПОКОМ</t>
  </si>
  <si>
    <t>SU002634</t>
  </si>
  <si>
    <t xml:space="preserve"> 449  Колбаса Дугушка Стародворская ВЕС ТС Дугушка ПОКОМ</t>
  </si>
  <si>
    <t>SU003423</t>
  </si>
  <si>
    <t xml:space="preserve"> 452  Колбаса Со шпиком ВЕС большой батон ТМ Особый рецепт  ПОКОМ</t>
  </si>
  <si>
    <t>SU003420</t>
  </si>
  <si>
    <t xml:space="preserve"> 456  Колбаса Филейная ТМ Особый рецепт ВЕС большой батон  ПОКОМ</t>
  </si>
  <si>
    <t>SU003422</t>
  </si>
  <si>
    <t xml:space="preserve"> 457  Колбаса Молочная ТМ Особый рецепт ВЕС большой батон  ПОКОМ</t>
  </si>
  <si>
    <t>SU002948</t>
  </si>
  <si>
    <t xml:space="preserve"> 498  Колбаса Сочинка рубленая с сочным окороком 0,3кг ТМ Стародворье  ПОКОМ</t>
  </si>
  <si>
    <t>SU003893</t>
  </si>
  <si>
    <t xml:space="preserve"> 523  Колбаса Сальчичон нарезка 0,07кг ТМ Стародворье  ПОКОМ </t>
  </si>
  <si>
    <t>SU003894</t>
  </si>
  <si>
    <t xml:space="preserve"> 524  Колбаса Сервелат Ореховый нарезка 0,07кг ТМ Стародворье  ПОКОМ</t>
  </si>
  <si>
    <t>SU003896</t>
  </si>
  <si>
    <t xml:space="preserve"> 525  Колбаса Фуэт нарезка 0,07кг ТМ Стародворье  ПОКОМ</t>
  </si>
  <si>
    <t>SU003925</t>
  </si>
  <si>
    <t xml:space="preserve"> 526  Корейка вяленая выдержанная нарезка 0,05кг ТМ Стародворье  ПОКОМ</t>
  </si>
  <si>
    <t>SU003924</t>
  </si>
  <si>
    <t xml:space="preserve"> 527  Окорок Прошутто выдержанный нарезка 0,055кг ТМ Стародворье  ПОКОМ</t>
  </si>
  <si>
    <t>SU003923</t>
  </si>
  <si>
    <t xml:space="preserve"> 530  Окорок Хамон выдержанный нарезка 0,055кг ТМ Стародворье  ПОКОМ</t>
  </si>
  <si>
    <t>SU004028</t>
  </si>
  <si>
    <t xml:space="preserve"> 547  Колбаса Мясная Классическая ТМ Вязанка в оболочке полиамид. ВЕС  ПОКОМ</t>
  </si>
  <si>
    <t>SU003745</t>
  </si>
  <si>
    <t xml:space="preserve"> 551  Колбаса Сливушка ТМ Вязанка в модифицированной газовой среде 0,11 кг нарезка  ПОКОМ</t>
  </si>
  <si>
    <t>SU004026</t>
  </si>
  <si>
    <t xml:space="preserve"> 553  Ассорти колбас Мясорубская коллекция: Сервелат Делюкс, С балыком 0,08 кг нарезка  ПОКОМ</t>
  </si>
  <si>
    <t>SU003178</t>
  </si>
  <si>
    <t xml:space="preserve"> 554  Колбаса Сервелат Мясорубский ТМ Стародворье в упаковке скин 0,08 кг нарезка  ПОКОМ</t>
  </si>
  <si>
    <t>SU002354</t>
  </si>
  <si>
    <t xml:space="preserve"> 555  Колбаса Молокуша ТМ Вязанка в модифицированной газовой среде 0,17 кг нарезка  ПОКОМ</t>
  </si>
  <si>
    <t>SU004044</t>
  </si>
  <si>
    <t xml:space="preserve"> 556  Колбаса Сервелат Ореховый ТМ Вязанка в оболочке фиброуз в вакуумной упаковке, ВЕС  ПОКОМ</t>
  </si>
  <si>
    <t>SU004047</t>
  </si>
  <si>
    <t xml:space="preserve"> 557  Колбаса Сервелат Финский ТМ Вязанка в оболочке фиброуз в вакуумной упаковке, ВЕС  ПОКОМ</t>
  </si>
  <si>
    <t>SU004041</t>
  </si>
  <si>
    <t xml:space="preserve"> 558  Колбаса Балыковая НОВАЯ ВЕС Вязанка фиброуз в/у ПОКОМ</t>
  </si>
  <si>
    <t>SU004039</t>
  </si>
  <si>
    <t xml:space="preserve"> 569  Колбаса Балыковая ТМ Вязанка в оболочке фиброуз в вакуумной упаковке 0,28 кг срез.  ПОКОМ</t>
  </si>
  <si>
    <t>SU004045</t>
  </si>
  <si>
    <t xml:space="preserve"> 570  Колбаса Сервелат Финский ТМ Вязанка в оболочке фиброуз в вак. упаковке 0,28 кг срез  ПОКОМ</t>
  </si>
  <si>
    <t>SU004042</t>
  </si>
  <si>
    <t xml:space="preserve"> 571  Колбаса Сервелат Ореховый ТМ Вязанка в оболочке фиброуз в вак. упаковке 0,28 кг срез  ПОКОМ</t>
  </si>
  <si>
    <t>SU003751</t>
  </si>
  <si>
    <t xml:space="preserve"> 574  Колбаса Сервелат Финский ТМ Вязанка в упаковке скин 0,09 кг нарезка  ПОКОМ</t>
  </si>
  <si>
    <t>SU004131</t>
  </si>
  <si>
    <t xml:space="preserve"> 579  Колбаса Ветчинно-рубленая ТМ Особый рецепт в оболочке полиамид.ВЕС  ПОКОМ</t>
  </si>
  <si>
    <t>SU003686</t>
  </si>
  <si>
    <t xml:space="preserve"> 580  Ветчина Нежная с индейкой ТМ Особый рецепт в оболочке полиамид.ВЕС  ПОКОМ</t>
  </si>
  <si>
    <t>SU003753</t>
  </si>
  <si>
    <t xml:space="preserve"> 583  Колбаса Балыковая ТМ Вязанка в упаковке скин 0,09 кг нарезка  ПОКОМ</t>
  </si>
  <si>
    <t>SU003988</t>
  </si>
  <si>
    <t xml:space="preserve"> 584  Колбаса Сервелат Ореховый ТМ Вязанка в упаковке скин 0,09 кг нарезка  ПОКОМ</t>
  </si>
  <si>
    <t>SU004103</t>
  </si>
  <si>
    <t xml:space="preserve"> 585  Колбаса Молочная ТМ Стародворье в оболочке вектор НД ВЕС.  ПОКОМ</t>
  </si>
  <si>
    <t>SU004104</t>
  </si>
  <si>
    <t xml:space="preserve"> 586  Колбаса Мясная ТМ Стародворье в оболочке вектор НД ВЕС.  ПОКОМ</t>
  </si>
  <si>
    <t>SU004106</t>
  </si>
  <si>
    <t xml:space="preserve"> 588 Колбаса Со шпиком ТМ Стародворье в оболочке вектор ВЕС  ПОКОМ</t>
  </si>
  <si>
    <t>SU004238</t>
  </si>
  <si>
    <t xml:space="preserve"> 597  Колбаса Классическая ТМ Особый рецепт в оболочке полиамид ВЕС. ПОКОМ</t>
  </si>
  <si>
    <t>SU002944</t>
  </si>
  <si>
    <t>495  Колбаса Сочинка по-европейски с сочной грудинкой 0,3кг ТМ Стародворье  ПОКОМ</t>
  </si>
  <si>
    <t>SU002942</t>
  </si>
  <si>
    <t>496  Колбаса Сочинка по-фински с сочным окроком 0,3кг ТМ Стародворье  ПОКОМ</t>
  </si>
  <si>
    <t>SU003642</t>
  </si>
  <si>
    <t>503 Колбаса Филейская со шпиком ТМ Вязанка в оболочке полиамид.ПОКОМ</t>
  </si>
  <si>
    <t>SU003829</t>
  </si>
  <si>
    <t>515  Колбаса Сервелат Мясорубский Делюкс 0,3кг ТМ Стародворье  ПОКОМ</t>
  </si>
  <si>
    <t>SU003921</t>
  </si>
  <si>
    <t>519  Грудинка 0,12 кг нарезка ТМ Стародворье  ПОКОМ</t>
  </si>
  <si>
    <t>нет в бланке</t>
  </si>
  <si>
    <t>новинка</t>
  </si>
  <si>
    <t>вместо 219 / новинка</t>
  </si>
  <si>
    <t>комм</t>
  </si>
  <si>
    <t>кг/дн</t>
  </si>
  <si>
    <t>Бердянск</t>
  </si>
  <si>
    <t>SU001822</t>
  </si>
  <si>
    <t xml:space="preserve"> 244  Колбаса Сервелат Кремлевский, ВЕС. ПОКОМ</t>
  </si>
  <si>
    <t>нет</t>
  </si>
  <si>
    <t>SU001340</t>
  </si>
  <si>
    <t xml:space="preserve"> 253  Сосиски Ганноверские   ПОКОМ</t>
  </si>
  <si>
    <t>SU002986</t>
  </si>
  <si>
    <t xml:space="preserve"> 395  Колбаса Докторская ГОСТ ТМ Вязанка в оболочке полиамид 0,37 кг. ПОКОМ</t>
  </si>
  <si>
    <t>SU003272</t>
  </si>
  <si>
    <t xml:space="preserve"> 430  Колбаса Стародворская с окороком 0,4 кг. ТМ Стародворье в оболочке полиамид  ПОКОМ</t>
  </si>
  <si>
    <t>SU003275</t>
  </si>
  <si>
    <t xml:space="preserve"> 433 Колбаса Стародворская со шпиком  в оболочке полиамид. ТМ Стародворье ВЕС ПОКОМ</t>
  </si>
  <si>
    <t>SU002825</t>
  </si>
  <si>
    <t xml:space="preserve"> 451 Сосиски Филейские ТМ Вязанка в оболочке целлофан 0,3 кг. ПОКОМ</t>
  </si>
  <si>
    <t>SU003392</t>
  </si>
  <si>
    <t xml:space="preserve"> 460  Колбаса Стародворская Традиционная ВЕС ТМ Стародворье в оболочке полиамид. ПОКОМ</t>
  </si>
  <si>
    <t>SU003665</t>
  </si>
  <si>
    <t xml:space="preserve"> 517  Сосиски С сыром ТМ Ядрена копоть 0,3кг  ПОКОМ</t>
  </si>
  <si>
    <t>SU004016</t>
  </si>
  <si>
    <t xml:space="preserve"> 544  Сосиски Мясные для гриля ТС Ядрена копоть 0,3 кг  ПОКОМ</t>
  </si>
  <si>
    <t>SU004053</t>
  </si>
  <si>
    <t xml:space="preserve"> 564  Сосиски Сочные 0,3 кг ТМ Вязанка  ПОКОМ</t>
  </si>
  <si>
    <t>SU004007</t>
  </si>
  <si>
    <t xml:space="preserve"> 567 Колбаса Со шпиком Стародворская ТМ Стародворье в оболочке полиамид ВЕС  ПОКОМ</t>
  </si>
  <si>
    <t>SU001485</t>
  </si>
  <si>
    <t xml:space="preserve"> 023  Колбаса Докторская ГОСТ, Вязанка вектор, 0,4 кг, ПОКОМ</t>
  </si>
  <si>
    <t>Донецк</t>
  </si>
  <si>
    <t>Луганск</t>
  </si>
  <si>
    <t>Мелитополь</t>
  </si>
  <si>
    <t>Итого</t>
  </si>
  <si>
    <t>SU001051</t>
  </si>
  <si>
    <t xml:space="preserve"> 247  Сардельки Нежные, ВЕС.  ПОКОМ</t>
  </si>
  <si>
    <t>SU001835</t>
  </si>
  <si>
    <t xml:space="preserve"> 251  Сосиски Баварские, ВЕС.  ПОКОМ</t>
  </si>
  <si>
    <t>SU002918</t>
  </si>
  <si>
    <t xml:space="preserve"> 355  Колбаса Сервелат запеченный ТМ Стародворье ТС Дугушка. 0,6 кг. ПОКОМ</t>
  </si>
  <si>
    <t>SU003274</t>
  </si>
  <si>
    <t xml:space="preserve"> 435  Колбаса Молочная Стародворская  с молоком в оболочке полиамид 0,4 кг.ТМ Стародворье ПОКОМ</t>
  </si>
  <si>
    <t>SU003273</t>
  </si>
  <si>
    <t xml:space="preserve"> 436  Колбаса Молочная стародворская с молоком, ВЕС, ТМ Стародворье  ПОКОМ</t>
  </si>
  <si>
    <t>SU003387</t>
  </si>
  <si>
    <t xml:space="preserve"> 469  Колбаса Филедворская по-стародворски ТМ Стародворье в оболочке полиамид.ВЕС  ПОКОМ </t>
  </si>
  <si>
    <t>SU003895</t>
  </si>
  <si>
    <t xml:space="preserve"> 520  Колбаса Мраморная ТМ Стародворье в вакуумной упаковке 0,07 кг нарезка  ПОКОМ</t>
  </si>
  <si>
    <t>SU003847</t>
  </si>
  <si>
    <t xml:space="preserve"> 537  Колбаса Докторская ТМ Стародворье ТС Дугушка в оболочке полиамид 0,4 кг  ПОКОМ</t>
  </si>
  <si>
    <t>SU002356</t>
  </si>
  <si>
    <t xml:space="preserve"> 552  Ветчина Сливушка с индейкой ТМ Вязанка в модифицированной газовой среде 0,1 кг нарезка  ПОКОМ</t>
  </si>
  <si>
    <t>SU001820</t>
  </si>
  <si>
    <t xml:space="preserve"> 243  Колбаса Сервелат Зернистый, ВЕС.  ПОКОМ</t>
  </si>
  <si>
    <t>SU002613</t>
  </si>
  <si>
    <t xml:space="preserve"> 266  Колбаса Филейбургская с сочным окороком, ВЕС, ТМ Баварушка  ПОКОМ</t>
  </si>
  <si>
    <t>SU002876</t>
  </si>
  <si>
    <t xml:space="preserve"> 304  Колбаса Салями Мясорубская с рубленным шпиком ВЕС ТМ Стародворье  ПОКОМ</t>
  </si>
  <si>
    <t>МАТРИЦА</t>
  </si>
  <si>
    <t>ДА</t>
  </si>
  <si>
    <t>НЕТ</t>
  </si>
  <si>
    <t>Делали ротацию на новинки по данной позиции, удаляем</t>
  </si>
  <si>
    <t>Сети, оставляем.</t>
  </si>
  <si>
    <t>Удаляем</t>
  </si>
  <si>
    <t>Оставляем</t>
  </si>
  <si>
    <t>Удаляем, пересорт был.</t>
  </si>
  <si>
    <t>ТК</t>
  </si>
  <si>
    <t>матрица</t>
  </si>
  <si>
    <t>не в матрице</t>
  </si>
  <si>
    <t>Сети, оставляем. / РОТАЦИЯ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</si>
</sst>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2" borderId="0" xfId="0" applyNumberFormat="1" applyFill="1"/>
    <xf numFmtId="1" fontId="0" fillId="3" borderId="0" xfId="0" applyNumberFormat="1" applyFill="1"/>
    <xf numFmtId="164" fontId="2" fillId="0" borderId="0" xfId="1" applyNumberFormat="1"/>
    <xf numFmtId="1" fontId="1" fillId="0" borderId="0" xfId="0" applyNumberFormat="1" applyFont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33"/>
  <sheetViews>
    <sheetView tabSelected="1" zoomScale="85" zoomScaleNormal="85" workbookViewId="0">
      <pane ySplit="2" topLeftCell="A3" activePane="bottomLeft" state="frozen"/>
      <selection pane="bottomLeft" activeCell="P6" sqref="P6"/>
    </sheetView>
  </sheetViews>
  <sheetFormatPr defaultColWidth="9.140625" defaultRowHeight="15" x14ac:dyDescent="0.25"/>
  <cols>
    <col min="1" max="1" width="9.140625" style="1"/>
    <col min="2" max="2" width="98.42578125" style="1" bestFit="1" customWidth="1"/>
    <col min="3" max="4" width="9.140625" style="1"/>
    <col min="5" max="5" width="9.140625" style="2"/>
    <col min="6" max="6" width="9.140625" style="1"/>
    <col min="7" max="7" width="9.140625" style="2"/>
    <col min="8" max="8" width="9.140625" style="1"/>
    <col min="9" max="9" width="9.140625" style="2"/>
    <col min="10" max="10" width="9.140625" style="1"/>
    <col min="11" max="11" width="9.140625" style="2"/>
    <col min="12" max="12" width="9.140625" style="6"/>
    <col min="13" max="13" width="11.140625" style="2" customWidth="1"/>
    <col min="14" max="14" width="51.85546875" style="1" bestFit="1" customWidth="1"/>
    <col min="15" max="15" width="14.85546875" style="1" customWidth="1"/>
    <col min="16" max="16" width="14.140625" style="1" customWidth="1"/>
    <col min="17" max="16384" width="9.140625" style="1"/>
  </cols>
  <sheetData>
    <row r="1" spans="1:15" x14ac:dyDescent="0.25">
      <c r="C1" s="11" t="s">
        <v>221</v>
      </c>
      <c r="D1" s="11"/>
      <c r="E1" s="11"/>
      <c r="F1" s="11" t="s">
        <v>247</v>
      </c>
      <c r="G1" s="11"/>
      <c r="H1" s="11" t="s">
        <v>248</v>
      </c>
      <c r="I1" s="11"/>
      <c r="J1" s="11" t="s">
        <v>249</v>
      </c>
      <c r="K1" s="11"/>
      <c r="L1" s="6" t="s">
        <v>250</v>
      </c>
    </row>
    <row r="2" spans="1:15" x14ac:dyDescent="0.25">
      <c r="A2" s="1" t="s">
        <v>0</v>
      </c>
      <c r="B2" s="1" t="s">
        <v>1</v>
      </c>
      <c r="C2" s="1" t="s">
        <v>219</v>
      </c>
      <c r="E2" s="2" t="s">
        <v>220</v>
      </c>
      <c r="F2" s="1" t="s">
        <v>219</v>
      </c>
      <c r="G2" s="2" t="s">
        <v>220</v>
      </c>
      <c r="H2" s="1" t="s">
        <v>219</v>
      </c>
      <c r="I2" s="2" t="s">
        <v>220</v>
      </c>
      <c r="J2" s="1" t="s">
        <v>219</v>
      </c>
      <c r="K2" s="2" t="s">
        <v>220</v>
      </c>
      <c r="L2" s="6" t="s">
        <v>220</v>
      </c>
      <c r="M2" s="2" t="s">
        <v>275</v>
      </c>
      <c r="N2" s="1" t="s">
        <v>283</v>
      </c>
    </row>
    <row r="3" spans="1:15" x14ac:dyDescent="0.25">
      <c r="A3" s="1" t="s">
        <v>150</v>
      </c>
      <c r="B3" s="1" t="s">
        <v>151</v>
      </c>
      <c r="E3" s="2">
        <v>413.30754545454545</v>
      </c>
      <c r="G3" s="2">
        <v>760.6100909090909</v>
      </c>
      <c r="I3" s="2">
        <v>562.8811454545455</v>
      </c>
      <c r="K3" s="2">
        <v>541.6260727272728</v>
      </c>
      <c r="L3" s="6">
        <f t="shared" ref="L3:L34" si="0">E3+G3+I3+K3</f>
        <v>2278.4248545454548</v>
      </c>
      <c r="M3" s="7" t="s">
        <v>276</v>
      </c>
      <c r="O3" s="1" t="s">
        <v>284</v>
      </c>
    </row>
    <row r="4" spans="1:15" x14ac:dyDescent="0.25">
      <c r="A4" s="1" t="s">
        <v>20</v>
      </c>
      <c r="B4" s="1" t="s">
        <v>21</v>
      </c>
      <c r="E4" s="2">
        <v>431.4899636363636</v>
      </c>
      <c r="G4" s="2">
        <v>708.30132727272746</v>
      </c>
      <c r="I4" s="2">
        <v>675.39320000000009</v>
      </c>
      <c r="K4" s="2">
        <v>348.8716</v>
      </c>
      <c r="L4" s="6">
        <f t="shared" si="0"/>
        <v>2164.0560909090909</v>
      </c>
      <c r="M4" s="7" t="s">
        <v>276</v>
      </c>
      <c r="O4" s="1" t="s">
        <v>284</v>
      </c>
    </row>
    <row r="5" spans="1:15" x14ac:dyDescent="0.25">
      <c r="A5" s="1" t="s">
        <v>42</v>
      </c>
      <c r="B5" s="1" t="s">
        <v>43</v>
      </c>
      <c r="E5" s="2">
        <v>169.65543636363637</v>
      </c>
      <c r="G5" s="2">
        <v>1375.1720181818182</v>
      </c>
      <c r="I5" s="2">
        <v>464.52832727272727</v>
      </c>
      <c r="K5" s="2">
        <v>121.91812727272728</v>
      </c>
      <c r="L5" s="6">
        <f t="shared" si="0"/>
        <v>2131.273909090909</v>
      </c>
      <c r="M5" s="7" t="s">
        <v>276</v>
      </c>
      <c r="O5" s="1" t="s">
        <v>284</v>
      </c>
    </row>
    <row r="6" spans="1:15" x14ac:dyDescent="0.25">
      <c r="A6" s="1" t="s">
        <v>148</v>
      </c>
      <c r="B6" s="1" t="s">
        <v>149</v>
      </c>
      <c r="E6" s="2">
        <v>230.40876363636363</v>
      </c>
      <c r="G6" s="2">
        <v>729.25356363636365</v>
      </c>
      <c r="I6" s="2">
        <v>482.1989272727273</v>
      </c>
      <c r="K6" s="2">
        <v>301.32869090909094</v>
      </c>
      <c r="L6" s="6">
        <f t="shared" si="0"/>
        <v>1743.1899454545455</v>
      </c>
      <c r="M6" s="7" t="s">
        <v>276</v>
      </c>
      <c r="O6" s="1" t="s">
        <v>284</v>
      </c>
    </row>
    <row r="7" spans="1:15" x14ac:dyDescent="0.25">
      <c r="A7" s="1" t="s">
        <v>52</v>
      </c>
      <c r="B7" s="1" t="s">
        <v>53</v>
      </c>
      <c r="E7" s="2">
        <v>127.79658181818182</v>
      </c>
      <c r="G7" s="2">
        <v>362.99636363636364</v>
      </c>
      <c r="I7" s="2">
        <v>863.34545454545446</v>
      </c>
      <c r="K7" s="2">
        <v>78.688000000000002</v>
      </c>
      <c r="L7" s="6">
        <f t="shared" si="0"/>
        <v>1432.8263999999999</v>
      </c>
      <c r="M7" s="7" t="s">
        <v>276</v>
      </c>
      <c r="O7" s="1" t="s">
        <v>284</v>
      </c>
    </row>
    <row r="8" spans="1:15" x14ac:dyDescent="0.25">
      <c r="A8" s="1" t="s">
        <v>28</v>
      </c>
      <c r="B8" s="1" t="s">
        <v>29</v>
      </c>
      <c r="E8" s="2">
        <v>79.427999999999997</v>
      </c>
      <c r="G8" s="2">
        <v>918.72941818181835</v>
      </c>
      <c r="I8" s="2">
        <v>302.81472727272728</v>
      </c>
      <c r="K8" s="2">
        <v>103.0102</v>
      </c>
      <c r="L8" s="6">
        <f t="shared" si="0"/>
        <v>1403.9823454545456</v>
      </c>
      <c r="M8" s="7" t="s">
        <v>276</v>
      </c>
      <c r="O8" s="1" t="s">
        <v>284</v>
      </c>
    </row>
    <row r="9" spans="1:15" x14ac:dyDescent="0.25">
      <c r="A9" s="1" t="s">
        <v>146</v>
      </c>
      <c r="B9" s="1" t="s">
        <v>147</v>
      </c>
      <c r="E9" s="2">
        <v>302.98260000000005</v>
      </c>
      <c r="G9" s="2">
        <v>291.56718181818184</v>
      </c>
      <c r="I9" s="2">
        <v>382.6606727272727</v>
      </c>
      <c r="K9" s="2">
        <v>307.80638181818182</v>
      </c>
      <c r="L9" s="6">
        <f t="shared" si="0"/>
        <v>1285.0168363636362</v>
      </c>
      <c r="M9" s="7" t="s">
        <v>276</v>
      </c>
      <c r="O9" s="1" t="s">
        <v>284</v>
      </c>
    </row>
    <row r="10" spans="1:15" x14ac:dyDescent="0.25">
      <c r="A10" s="1" t="s">
        <v>2</v>
      </c>
      <c r="B10" s="1" t="s">
        <v>3</v>
      </c>
      <c r="E10" s="2">
        <v>53.057090909090903</v>
      </c>
      <c r="G10" s="2">
        <v>527.26167272727275</v>
      </c>
      <c r="I10" s="2">
        <v>573.32132727272722</v>
      </c>
      <c r="K10" s="2">
        <v>63.411036363636363</v>
      </c>
      <c r="L10" s="6">
        <f t="shared" si="0"/>
        <v>1217.0511272727272</v>
      </c>
      <c r="M10" s="7" t="s">
        <v>276</v>
      </c>
      <c r="O10" s="1" t="s">
        <v>284</v>
      </c>
    </row>
    <row r="11" spans="1:15" x14ac:dyDescent="0.25">
      <c r="A11" s="1" t="s">
        <v>18</v>
      </c>
      <c r="B11" s="1" t="s">
        <v>19</v>
      </c>
      <c r="E11" s="2">
        <v>91.524999999999991</v>
      </c>
      <c r="G11" s="2">
        <v>764.16267272727271</v>
      </c>
      <c r="I11" s="2">
        <v>223.01343636363637</v>
      </c>
      <c r="K11" s="2">
        <v>69.916563636363648</v>
      </c>
      <c r="L11" s="6">
        <f t="shared" si="0"/>
        <v>1148.6176727272727</v>
      </c>
      <c r="M11" s="7" t="s">
        <v>276</v>
      </c>
      <c r="O11" s="1" t="s">
        <v>284</v>
      </c>
    </row>
    <row r="12" spans="1:15" x14ac:dyDescent="0.25">
      <c r="A12" s="1" t="s">
        <v>144</v>
      </c>
      <c r="B12" s="1" t="s">
        <v>145</v>
      </c>
      <c r="E12" s="2">
        <v>39.826636363636361</v>
      </c>
      <c r="G12" s="2">
        <v>729.7763636363635</v>
      </c>
      <c r="I12" s="2">
        <v>184.59687272727271</v>
      </c>
      <c r="K12" s="2">
        <v>51.667200000000008</v>
      </c>
      <c r="L12" s="6">
        <f t="shared" si="0"/>
        <v>1005.8670727272726</v>
      </c>
      <c r="M12" s="7" t="s">
        <v>276</v>
      </c>
      <c r="O12" s="1" t="s">
        <v>284</v>
      </c>
    </row>
    <row r="13" spans="1:15" x14ac:dyDescent="0.25">
      <c r="A13" s="1" t="s">
        <v>6</v>
      </c>
      <c r="B13" s="1" t="s">
        <v>7</v>
      </c>
      <c r="E13" s="2">
        <v>53.483872727272725</v>
      </c>
      <c r="G13" s="2">
        <v>592.45045454545459</v>
      </c>
      <c r="I13" s="2">
        <v>210.54010909090906</v>
      </c>
      <c r="K13" s="2">
        <v>117.65187272727272</v>
      </c>
      <c r="L13" s="6">
        <f t="shared" si="0"/>
        <v>974.12630909090899</v>
      </c>
      <c r="M13" s="7" t="s">
        <v>276</v>
      </c>
      <c r="O13" s="1" t="s">
        <v>284</v>
      </c>
    </row>
    <row r="14" spans="1:15" x14ac:dyDescent="0.25">
      <c r="A14" s="1" t="s">
        <v>40</v>
      </c>
      <c r="B14" s="1" t="s">
        <v>41</v>
      </c>
      <c r="E14" s="2">
        <v>37.439636363636367</v>
      </c>
      <c r="G14" s="2">
        <v>315.04670909090902</v>
      </c>
      <c r="I14" s="2">
        <v>387.73969090909088</v>
      </c>
      <c r="K14" s="2">
        <v>64.908690909090922</v>
      </c>
      <c r="L14" s="6">
        <f t="shared" si="0"/>
        <v>805.1347272727271</v>
      </c>
      <c r="M14" s="7" t="s">
        <v>276</v>
      </c>
      <c r="O14" s="1" t="s">
        <v>284</v>
      </c>
    </row>
    <row r="15" spans="1:15" x14ac:dyDescent="0.25">
      <c r="A15" s="1" t="s">
        <v>36</v>
      </c>
      <c r="B15" s="1" t="s">
        <v>37</v>
      </c>
      <c r="E15" s="2">
        <v>43.75481818181818</v>
      </c>
      <c r="G15" s="2">
        <v>426.37030909090902</v>
      </c>
      <c r="I15" s="2">
        <v>126.78061818181818</v>
      </c>
      <c r="K15" s="2">
        <v>51.175581818181826</v>
      </c>
      <c r="L15" s="6">
        <f t="shared" si="0"/>
        <v>648.08132727272721</v>
      </c>
      <c r="M15" s="7" t="s">
        <v>276</v>
      </c>
      <c r="O15" s="1" t="s">
        <v>284</v>
      </c>
    </row>
    <row r="16" spans="1:15" x14ac:dyDescent="0.25">
      <c r="A16" s="1" t="s">
        <v>4</v>
      </c>
      <c r="B16" s="1" t="s">
        <v>5</v>
      </c>
      <c r="E16" s="2">
        <v>53.885309090909097</v>
      </c>
      <c r="G16" s="2">
        <v>180.80540000000002</v>
      </c>
      <c r="I16" s="2">
        <v>219.56869090909095</v>
      </c>
      <c r="K16" s="2">
        <v>123.18503636363636</v>
      </c>
      <c r="L16" s="6">
        <f t="shared" si="0"/>
        <v>577.44443636363644</v>
      </c>
      <c r="M16" s="7" t="s">
        <v>276</v>
      </c>
      <c r="O16" s="1" t="s">
        <v>284</v>
      </c>
    </row>
    <row r="17" spans="1:15" x14ac:dyDescent="0.25">
      <c r="A17" s="1" t="s">
        <v>10</v>
      </c>
      <c r="B17" s="1" t="s">
        <v>11</v>
      </c>
      <c r="E17" s="2">
        <v>55.014545454545456</v>
      </c>
      <c r="G17" s="2">
        <v>275.28174000000001</v>
      </c>
      <c r="I17" s="2">
        <v>210.72727272727272</v>
      </c>
      <c r="K17" s="2">
        <v>32.440909090909095</v>
      </c>
      <c r="L17" s="6">
        <f t="shared" si="0"/>
        <v>573.46446727272735</v>
      </c>
      <c r="M17" s="7" t="s">
        <v>276</v>
      </c>
      <c r="O17" s="1" t="s">
        <v>284</v>
      </c>
    </row>
    <row r="18" spans="1:15" x14ac:dyDescent="0.25">
      <c r="A18" s="1" t="s">
        <v>118</v>
      </c>
      <c r="B18" s="1" t="s">
        <v>119</v>
      </c>
      <c r="E18" s="2">
        <v>80.423381818181824</v>
      </c>
      <c r="G18" s="2">
        <v>141.19532727272733</v>
      </c>
      <c r="I18" s="2">
        <v>162.78109090909089</v>
      </c>
      <c r="K18" s="2">
        <v>85.183327272727269</v>
      </c>
      <c r="L18" s="6">
        <f t="shared" si="0"/>
        <v>469.58312727272732</v>
      </c>
      <c r="M18" s="7" t="s">
        <v>276</v>
      </c>
      <c r="O18" s="1" t="s">
        <v>284</v>
      </c>
    </row>
    <row r="19" spans="1:15" x14ac:dyDescent="0.25">
      <c r="A19" s="1" t="s">
        <v>76</v>
      </c>
      <c r="B19" s="1" t="s">
        <v>77</v>
      </c>
      <c r="E19" s="2">
        <v>18.409999999999997</v>
      </c>
      <c r="G19" s="2">
        <v>76.872727272727261</v>
      </c>
      <c r="I19" s="2">
        <v>338.43636363636364</v>
      </c>
      <c r="K19" s="2">
        <v>23.817818181818179</v>
      </c>
      <c r="L19" s="6">
        <f t="shared" si="0"/>
        <v>457.53690909090903</v>
      </c>
      <c r="M19" s="7" t="s">
        <v>276</v>
      </c>
      <c r="O19" s="1" t="s">
        <v>284</v>
      </c>
    </row>
    <row r="20" spans="1:15" x14ac:dyDescent="0.25">
      <c r="A20" s="1" t="s">
        <v>32</v>
      </c>
      <c r="B20" s="1" t="s">
        <v>33</v>
      </c>
      <c r="E20" s="2">
        <v>35.372963636363629</v>
      </c>
      <c r="G20" s="2">
        <v>251.85776363636361</v>
      </c>
      <c r="I20" s="2">
        <v>96.607454545454544</v>
      </c>
      <c r="K20" s="2">
        <v>44.463963636363637</v>
      </c>
      <c r="L20" s="6">
        <f t="shared" si="0"/>
        <v>428.30214545454538</v>
      </c>
      <c r="M20" s="7" t="s">
        <v>276</v>
      </c>
      <c r="O20" s="1" t="s">
        <v>284</v>
      </c>
    </row>
    <row r="21" spans="1:15" x14ac:dyDescent="0.25">
      <c r="A21" s="3" t="s">
        <v>204</v>
      </c>
      <c r="B21" s="3" t="s">
        <v>205</v>
      </c>
      <c r="C21" s="3" t="s">
        <v>218</v>
      </c>
      <c r="D21" s="3"/>
      <c r="E21" s="2">
        <v>69.961836363636365</v>
      </c>
      <c r="F21" s="3" t="s">
        <v>218</v>
      </c>
      <c r="G21" s="2">
        <v>158.5368</v>
      </c>
      <c r="H21" s="3" t="s">
        <v>218</v>
      </c>
      <c r="I21" s="2">
        <v>167.04790909090909</v>
      </c>
      <c r="J21" s="3" t="s">
        <v>218</v>
      </c>
      <c r="K21" s="2">
        <v>24.652127272727274</v>
      </c>
      <c r="L21" s="6">
        <f t="shared" si="0"/>
        <v>420.19867272727276</v>
      </c>
      <c r="M21" s="7" t="s">
        <v>276</v>
      </c>
      <c r="O21" s="1" t="s">
        <v>284</v>
      </c>
    </row>
    <row r="22" spans="1:15" x14ac:dyDescent="0.25">
      <c r="A22" s="1" t="s">
        <v>56</v>
      </c>
      <c r="B22" s="1" t="s">
        <v>57</v>
      </c>
      <c r="E22" s="2">
        <v>49.570909090909097</v>
      </c>
      <c r="G22" s="2">
        <v>80.25454545454545</v>
      </c>
      <c r="I22" s="2">
        <v>226.09090909090904</v>
      </c>
      <c r="K22" s="2">
        <v>21.36</v>
      </c>
      <c r="L22" s="6">
        <f t="shared" si="0"/>
        <v>377.27636363636361</v>
      </c>
      <c r="M22" s="7" t="s">
        <v>276</v>
      </c>
      <c r="O22" s="1" t="s">
        <v>284</v>
      </c>
    </row>
    <row r="23" spans="1:15" x14ac:dyDescent="0.25">
      <c r="A23" s="1" t="s">
        <v>8</v>
      </c>
      <c r="B23" s="1" t="s">
        <v>9</v>
      </c>
      <c r="E23" s="2">
        <v>46.718181818181819</v>
      </c>
      <c r="G23" s="2">
        <v>167.58818181818179</v>
      </c>
      <c r="I23" s="2">
        <v>112.05454545454545</v>
      </c>
      <c r="K23" s="2">
        <v>22.47545454545455</v>
      </c>
      <c r="L23" s="6">
        <f t="shared" si="0"/>
        <v>348.83636363636361</v>
      </c>
      <c r="M23" s="7" t="s">
        <v>276</v>
      </c>
      <c r="O23" s="1" t="s">
        <v>284</v>
      </c>
    </row>
    <row r="24" spans="1:15" x14ac:dyDescent="0.25">
      <c r="A24" s="1" t="s">
        <v>98</v>
      </c>
      <c r="B24" s="1" t="s">
        <v>99</v>
      </c>
      <c r="E24" s="2">
        <v>30.843672727272725</v>
      </c>
      <c r="G24" s="2">
        <v>102.65485454545454</v>
      </c>
      <c r="I24" s="2">
        <v>158.35945454545455</v>
      </c>
      <c r="K24" s="2">
        <v>15.658036363636363</v>
      </c>
      <c r="L24" s="6">
        <f t="shared" si="0"/>
        <v>307.5160181818182</v>
      </c>
      <c r="M24" s="7" t="s">
        <v>276</v>
      </c>
      <c r="O24" s="1" t="s">
        <v>284</v>
      </c>
    </row>
    <row r="25" spans="1:15" x14ac:dyDescent="0.25">
      <c r="A25" s="1" t="s">
        <v>94</v>
      </c>
      <c r="B25" s="1" t="s">
        <v>95</v>
      </c>
      <c r="E25" s="2">
        <v>13.728272727272726</v>
      </c>
      <c r="G25" s="2">
        <v>100.97541818181817</v>
      </c>
      <c r="I25" s="2">
        <v>146.8341818181818</v>
      </c>
      <c r="K25" s="2">
        <v>19.546963636363635</v>
      </c>
      <c r="L25" s="6">
        <f t="shared" si="0"/>
        <v>281.08483636363633</v>
      </c>
      <c r="M25" s="7" t="s">
        <v>276</v>
      </c>
      <c r="O25" s="1" t="s">
        <v>284</v>
      </c>
    </row>
    <row r="26" spans="1:15" x14ac:dyDescent="0.25">
      <c r="A26" s="1" t="s">
        <v>122</v>
      </c>
      <c r="B26" s="1" t="s">
        <v>123</v>
      </c>
      <c r="E26" s="2">
        <v>43.509363636363638</v>
      </c>
      <c r="G26" s="2">
        <v>99.154109090909074</v>
      </c>
      <c r="I26" s="2">
        <v>81.312854545454556</v>
      </c>
      <c r="K26" s="2">
        <v>46.307563636363632</v>
      </c>
      <c r="L26" s="6">
        <f t="shared" si="0"/>
        <v>270.28389090909087</v>
      </c>
      <c r="M26" s="7" t="s">
        <v>276</v>
      </c>
      <c r="O26" s="1" t="s">
        <v>284</v>
      </c>
    </row>
    <row r="27" spans="1:15" x14ac:dyDescent="0.25">
      <c r="A27" s="1" t="s">
        <v>82</v>
      </c>
      <c r="B27" s="1" t="s">
        <v>83</v>
      </c>
      <c r="E27" s="2">
        <v>28.66174545454545</v>
      </c>
      <c r="G27" s="2">
        <v>93.569636363636349</v>
      </c>
      <c r="I27" s="2">
        <v>117.37136363636364</v>
      </c>
      <c r="K27" s="2">
        <v>20.620345454545454</v>
      </c>
      <c r="L27" s="6">
        <f t="shared" si="0"/>
        <v>260.2230909090909</v>
      </c>
      <c r="M27" s="7" t="s">
        <v>276</v>
      </c>
      <c r="O27" s="1" t="s">
        <v>284</v>
      </c>
    </row>
    <row r="28" spans="1:15" x14ac:dyDescent="0.25">
      <c r="A28" s="1" t="s">
        <v>110</v>
      </c>
      <c r="B28" s="1" t="s">
        <v>111</v>
      </c>
      <c r="E28" s="2">
        <v>26.167272727272724</v>
      </c>
      <c r="G28" s="2">
        <v>41.345454545454544</v>
      </c>
      <c r="I28" s="2">
        <v>135.81818181818181</v>
      </c>
      <c r="K28" s="2">
        <v>31.498181818181816</v>
      </c>
      <c r="L28" s="6">
        <f t="shared" si="0"/>
        <v>234.82909090909089</v>
      </c>
      <c r="M28" s="7" t="s">
        <v>276</v>
      </c>
      <c r="O28" s="1" t="s">
        <v>284</v>
      </c>
    </row>
    <row r="29" spans="1:15" x14ac:dyDescent="0.25">
      <c r="A29" s="1" t="s">
        <v>200</v>
      </c>
      <c r="B29" s="1" t="s">
        <v>201</v>
      </c>
      <c r="E29" s="2">
        <v>28.775854545454546</v>
      </c>
      <c r="G29" s="2">
        <v>86.942181818181822</v>
      </c>
      <c r="I29" s="2">
        <v>78.024363636363645</v>
      </c>
      <c r="K29" s="2">
        <v>25.494345454545456</v>
      </c>
      <c r="L29" s="6">
        <f t="shared" si="0"/>
        <v>219.23674545454548</v>
      </c>
      <c r="M29" s="7" t="s">
        <v>276</v>
      </c>
      <c r="O29" s="1" t="s">
        <v>284</v>
      </c>
    </row>
    <row r="30" spans="1:15" x14ac:dyDescent="0.25">
      <c r="A30" s="1" t="s">
        <v>54</v>
      </c>
      <c r="B30" s="1" t="s">
        <v>55</v>
      </c>
      <c r="E30" s="2">
        <v>24.488181818181822</v>
      </c>
      <c r="G30" s="2">
        <v>72.335454545454553</v>
      </c>
      <c r="I30" s="2">
        <v>91.472727272727283</v>
      </c>
      <c r="K30" s="2">
        <v>21.428181818181823</v>
      </c>
      <c r="L30" s="6">
        <f t="shared" si="0"/>
        <v>209.72454545454548</v>
      </c>
      <c r="M30" s="7" t="s">
        <v>276</v>
      </c>
      <c r="O30" s="1" t="s">
        <v>284</v>
      </c>
    </row>
    <row r="31" spans="1:15" x14ac:dyDescent="0.25">
      <c r="A31" s="1" t="s">
        <v>78</v>
      </c>
      <c r="B31" s="1" t="s">
        <v>79</v>
      </c>
      <c r="E31" s="2">
        <v>28.552930909090907</v>
      </c>
      <c r="G31" s="2">
        <v>31.985454545454555</v>
      </c>
      <c r="I31" s="2">
        <v>117.38181818181819</v>
      </c>
      <c r="K31" s="2">
        <v>21.396363636363638</v>
      </c>
      <c r="L31" s="6">
        <f t="shared" si="0"/>
        <v>199.3165672727273</v>
      </c>
      <c r="M31" s="7" t="s">
        <v>276</v>
      </c>
      <c r="O31" s="1" t="s">
        <v>284</v>
      </c>
    </row>
    <row r="32" spans="1:15" x14ac:dyDescent="0.25">
      <c r="A32" s="1" t="s">
        <v>112</v>
      </c>
      <c r="B32" s="1" t="s">
        <v>113</v>
      </c>
      <c r="E32" s="2">
        <v>25.025454545454551</v>
      </c>
      <c r="G32" s="2">
        <v>36.669090909090912</v>
      </c>
      <c r="I32" s="2">
        <v>115.36363636363639</v>
      </c>
      <c r="K32" s="2">
        <v>21.12</v>
      </c>
      <c r="L32" s="6">
        <f t="shared" si="0"/>
        <v>198.17818181818186</v>
      </c>
      <c r="M32" s="7" t="s">
        <v>276</v>
      </c>
      <c r="O32" s="1" t="s">
        <v>284</v>
      </c>
    </row>
    <row r="33" spans="1:15" x14ac:dyDescent="0.25">
      <c r="A33" s="1" t="s">
        <v>176</v>
      </c>
      <c r="B33" s="1" t="s">
        <v>177</v>
      </c>
      <c r="E33" s="2">
        <v>31.384454545454549</v>
      </c>
      <c r="G33" s="2">
        <v>49.203490909090903</v>
      </c>
      <c r="I33" s="2">
        <v>66.371418181818186</v>
      </c>
      <c r="K33" s="2">
        <v>39.45614545454545</v>
      </c>
      <c r="L33" s="6">
        <f t="shared" si="0"/>
        <v>186.4155090909091</v>
      </c>
      <c r="M33" s="7" t="s">
        <v>276</v>
      </c>
      <c r="O33" s="1" t="s">
        <v>284</v>
      </c>
    </row>
    <row r="34" spans="1:15" x14ac:dyDescent="0.25">
      <c r="A34" s="1" t="s">
        <v>180</v>
      </c>
      <c r="B34" s="1" t="s">
        <v>181</v>
      </c>
      <c r="E34" s="2">
        <v>6.6916909090909096</v>
      </c>
      <c r="G34" s="2">
        <v>39.808509090909091</v>
      </c>
      <c r="I34" s="2">
        <v>85.018854545454559</v>
      </c>
      <c r="K34" s="2">
        <v>51.001200000000011</v>
      </c>
      <c r="L34" s="6">
        <f t="shared" si="0"/>
        <v>182.52025454545458</v>
      </c>
      <c r="M34" s="7" t="s">
        <v>276</v>
      </c>
      <c r="O34" s="1" t="s">
        <v>284</v>
      </c>
    </row>
    <row r="35" spans="1:15" x14ac:dyDescent="0.25">
      <c r="A35" s="1" t="s">
        <v>88</v>
      </c>
      <c r="B35" s="1" t="s">
        <v>89</v>
      </c>
      <c r="E35" s="2">
        <v>24.12</v>
      </c>
      <c r="G35" s="2">
        <v>43.011818181818185</v>
      </c>
      <c r="I35" s="2">
        <v>96.854545454545459</v>
      </c>
      <c r="K35" s="2">
        <v>17.509090909090908</v>
      </c>
      <c r="L35" s="6">
        <f t="shared" ref="L35:L66" si="1">E35+G35+I35+K35</f>
        <v>181.49545454545455</v>
      </c>
      <c r="M35" s="7" t="s">
        <v>276</v>
      </c>
      <c r="O35" s="1" t="s">
        <v>284</v>
      </c>
    </row>
    <row r="36" spans="1:15" x14ac:dyDescent="0.25">
      <c r="A36" s="1" t="s">
        <v>30</v>
      </c>
      <c r="B36" s="1" t="s">
        <v>31</v>
      </c>
      <c r="E36" s="2">
        <v>23.212618181818183</v>
      </c>
      <c r="G36" s="2">
        <v>93.365181818181824</v>
      </c>
      <c r="I36" s="2">
        <v>37.486145454545458</v>
      </c>
      <c r="K36" s="2">
        <v>15.872727272727275</v>
      </c>
      <c r="L36" s="6">
        <f t="shared" si="1"/>
        <v>169.93667272727274</v>
      </c>
      <c r="M36" s="7" t="s">
        <v>276</v>
      </c>
      <c r="O36" s="1" t="s">
        <v>284</v>
      </c>
    </row>
    <row r="37" spans="1:15" x14ac:dyDescent="0.25">
      <c r="A37" s="1" t="s">
        <v>80</v>
      </c>
      <c r="B37" s="1" t="s">
        <v>81</v>
      </c>
      <c r="E37" s="2">
        <v>16.771872727272729</v>
      </c>
      <c r="G37" s="2">
        <v>24.232963636363639</v>
      </c>
      <c r="I37" s="2">
        <v>95.739527272727273</v>
      </c>
      <c r="K37" s="2">
        <v>6.616818181818183</v>
      </c>
      <c r="L37" s="6">
        <f t="shared" si="1"/>
        <v>143.36118181818182</v>
      </c>
      <c r="M37" s="7" t="s">
        <v>276</v>
      </c>
      <c r="O37" s="1" t="s">
        <v>284</v>
      </c>
    </row>
    <row r="38" spans="1:15" x14ac:dyDescent="0.25">
      <c r="A38" s="1" t="s">
        <v>38</v>
      </c>
      <c r="B38" s="1" t="s">
        <v>39</v>
      </c>
      <c r="E38" s="2">
        <v>40.403636363636366</v>
      </c>
      <c r="F38" s="1" t="s">
        <v>224</v>
      </c>
      <c r="I38" s="2">
        <v>39.080327272727267</v>
      </c>
      <c r="K38" s="2">
        <v>55.379236363636366</v>
      </c>
      <c r="L38" s="6">
        <f t="shared" si="1"/>
        <v>134.86320000000001</v>
      </c>
      <c r="M38" s="7" t="s">
        <v>276</v>
      </c>
      <c r="O38" s="1" t="s">
        <v>284</v>
      </c>
    </row>
    <row r="39" spans="1:15" x14ac:dyDescent="0.25">
      <c r="A39" t="s">
        <v>227</v>
      </c>
      <c r="B39" s="5" t="s">
        <v>228</v>
      </c>
      <c r="C39" s="1" t="s">
        <v>224</v>
      </c>
      <c r="G39" s="2">
        <v>8.9876363636363656</v>
      </c>
      <c r="I39" s="2">
        <v>111.1090909090909</v>
      </c>
      <c r="K39" s="2">
        <v>12.102363636363636</v>
      </c>
      <c r="L39" s="6">
        <f t="shared" si="1"/>
        <v>132.1990909090909</v>
      </c>
      <c r="M39" s="7" t="s">
        <v>276</v>
      </c>
      <c r="O39" s="1" t="s">
        <v>284</v>
      </c>
    </row>
    <row r="40" spans="1:15" x14ac:dyDescent="0.25">
      <c r="A40" s="1" t="s">
        <v>86</v>
      </c>
      <c r="B40" s="1" t="s">
        <v>87</v>
      </c>
      <c r="E40" s="2">
        <v>13.328181818181816</v>
      </c>
      <c r="G40" s="2">
        <v>42.015346363636361</v>
      </c>
      <c r="I40" s="2">
        <v>61.763636363636358</v>
      </c>
      <c r="K40" s="2">
        <v>11.479090909090907</v>
      </c>
      <c r="L40" s="6">
        <f t="shared" si="1"/>
        <v>128.58625545454544</v>
      </c>
      <c r="M40" s="7" t="s">
        <v>276</v>
      </c>
      <c r="O40" s="1" t="s">
        <v>284</v>
      </c>
    </row>
    <row r="41" spans="1:15" x14ac:dyDescent="0.25">
      <c r="A41" s="1" t="s">
        <v>116</v>
      </c>
      <c r="B41" s="1" t="s">
        <v>117</v>
      </c>
      <c r="E41" s="2">
        <v>28.186163636363634</v>
      </c>
      <c r="G41" s="2">
        <v>12.168309090909089</v>
      </c>
      <c r="I41" s="2">
        <v>58.673200000000001</v>
      </c>
      <c r="K41" s="2">
        <v>26.178872727272729</v>
      </c>
      <c r="L41" s="6">
        <f t="shared" si="1"/>
        <v>125.20654545454545</v>
      </c>
      <c r="M41" s="7" t="s">
        <v>276</v>
      </c>
      <c r="O41" s="1" t="s">
        <v>284</v>
      </c>
    </row>
    <row r="42" spans="1:15" x14ac:dyDescent="0.25">
      <c r="A42" s="1" t="s">
        <v>114</v>
      </c>
      <c r="B42" s="1" t="s">
        <v>115</v>
      </c>
      <c r="E42" s="2">
        <v>29.14381818181818</v>
      </c>
      <c r="G42" s="2">
        <v>9.5771636363636343</v>
      </c>
      <c r="I42" s="2">
        <v>54.898672727272725</v>
      </c>
      <c r="K42" s="2">
        <v>25.922581818181822</v>
      </c>
      <c r="L42" s="6">
        <f t="shared" si="1"/>
        <v>119.54223636363636</v>
      </c>
      <c r="M42" s="7" t="s">
        <v>276</v>
      </c>
      <c r="O42" s="1" t="s">
        <v>284</v>
      </c>
    </row>
    <row r="43" spans="1:15" x14ac:dyDescent="0.25">
      <c r="A43" s="1" t="s">
        <v>124</v>
      </c>
      <c r="B43" s="1" t="s">
        <v>125</v>
      </c>
      <c r="E43" s="2">
        <v>10.767272727272724</v>
      </c>
      <c r="G43" s="2">
        <v>85.756363636363616</v>
      </c>
      <c r="I43" s="2">
        <v>22.854545454545455</v>
      </c>
      <c r="J43" s="1" t="s">
        <v>224</v>
      </c>
      <c r="L43" s="6">
        <f t="shared" si="1"/>
        <v>119.3781818181818</v>
      </c>
      <c r="M43" s="7" t="s">
        <v>276</v>
      </c>
      <c r="O43" s="1" t="s">
        <v>284</v>
      </c>
    </row>
    <row r="44" spans="1:15" x14ac:dyDescent="0.25">
      <c r="A44" s="1" t="s">
        <v>120</v>
      </c>
      <c r="B44" s="1" t="s">
        <v>121</v>
      </c>
      <c r="E44" s="2">
        <v>33.89801818181818</v>
      </c>
      <c r="G44" s="2">
        <v>10.838545454545455</v>
      </c>
      <c r="I44" s="2">
        <v>46.446218181818182</v>
      </c>
      <c r="K44" s="2">
        <v>26.906745454545455</v>
      </c>
      <c r="L44" s="6">
        <f t="shared" si="1"/>
        <v>118.08952727272727</v>
      </c>
      <c r="M44" s="7" t="s">
        <v>276</v>
      </c>
      <c r="O44" s="1" t="s">
        <v>284</v>
      </c>
    </row>
    <row r="45" spans="1:15" x14ac:dyDescent="0.25">
      <c r="A45" s="1" t="s">
        <v>186</v>
      </c>
      <c r="B45" s="1" t="s">
        <v>187</v>
      </c>
      <c r="E45" s="2">
        <v>10.975999999999999</v>
      </c>
      <c r="G45" s="2">
        <v>25.077818181818184</v>
      </c>
      <c r="I45" s="2">
        <v>66.090909090909093</v>
      </c>
      <c r="K45" s="2">
        <v>9.8865454545454572</v>
      </c>
      <c r="L45" s="6">
        <f t="shared" si="1"/>
        <v>112.03127272727274</v>
      </c>
      <c r="M45" s="7" t="s">
        <v>276</v>
      </c>
      <c r="O45" s="1" t="s">
        <v>284</v>
      </c>
    </row>
    <row r="46" spans="1:15" x14ac:dyDescent="0.25">
      <c r="A46" s="1" t="s">
        <v>182</v>
      </c>
      <c r="B46" s="1" t="s">
        <v>183</v>
      </c>
      <c r="E46" s="2">
        <v>12.304727272727273</v>
      </c>
      <c r="G46" s="2">
        <v>21.463272727272731</v>
      </c>
      <c r="I46" s="2">
        <v>68.018181818181816</v>
      </c>
      <c r="K46" s="2">
        <v>7.0000000000000009</v>
      </c>
      <c r="L46" s="6">
        <f t="shared" si="1"/>
        <v>108.78618181818182</v>
      </c>
      <c r="M46" s="7" t="s">
        <v>276</v>
      </c>
      <c r="O46" s="1" t="s">
        <v>284</v>
      </c>
    </row>
    <row r="47" spans="1:15" x14ac:dyDescent="0.25">
      <c r="A47" s="1" t="s">
        <v>22</v>
      </c>
      <c r="B47" s="1" t="s">
        <v>23</v>
      </c>
      <c r="E47" s="2">
        <v>13.842654545454547</v>
      </c>
      <c r="G47" s="2">
        <v>56.925399999999996</v>
      </c>
      <c r="I47" s="2">
        <v>19.515854545454545</v>
      </c>
      <c r="K47" s="2">
        <v>17.722309090909089</v>
      </c>
      <c r="L47" s="6">
        <f t="shared" si="1"/>
        <v>108.00621818181818</v>
      </c>
      <c r="M47" s="7" t="s">
        <v>276</v>
      </c>
      <c r="O47" s="1" t="s">
        <v>284</v>
      </c>
    </row>
    <row r="48" spans="1:15" x14ac:dyDescent="0.25">
      <c r="A48" s="1" t="s">
        <v>178</v>
      </c>
      <c r="B48" s="1" t="s">
        <v>179</v>
      </c>
      <c r="E48" s="2">
        <v>20.928963636363637</v>
      </c>
      <c r="G48" s="2">
        <v>10.168090909090909</v>
      </c>
      <c r="I48" s="2">
        <v>30.683054545454546</v>
      </c>
      <c r="K48" s="2">
        <v>42.063218181818179</v>
      </c>
      <c r="L48" s="6">
        <f t="shared" si="1"/>
        <v>103.84332727272727</v>
      </c>
      <c r="M48" s="7" t="s">
        <v>276</v>
      </c>
      <c r="O48" s="1" t="s">
        <v>284</v>
      </c>
    </row>
    <row r="49" spans="1:15" x14ac:dyDescent="0.25">
      <c r="A49" s="1" t="s">
        <v>206</v>
      </c>
      <c r="B49" s="1" t="s">
        <v>207</v>
      </c>
      <c r="E49" s="2">
        <v>11.285454545454545</v>
      </c>
      <c r="G49" s="2">
        <v>10.06909090909091</v>
      </c>
      <c r="I49" s="2">
        <v>61.018181818181809</v>
      </c>
      <c r="K49" s="2">
        <v>11.934545454545454</v>
      </c>
      <c r="L49" s="6">
        <f t="shared" si="1"/>
        <v>94.307272727272718</v>
      </c>
      <c r="M49" s="7" t="s">
        <v>276</v>
      </c>
      <c r="O49" s="1" t="s">
        <v>284</v>
      </c>
    </row>
    <row r="50" spans="1:15" x14ac:dyDescent="0.25">
      <c r="A50" s="1" t="s">
        <v>142</v>
      </c>
      <c r="B50" s="1" t="s">
        <v>143</v>
      </c>
      <c r="E50" s="2">
        <v>9.3863636363636385</v>
      </c>
      <c r="G50" s="2">
        <v>30.997272727272726</v>
      </c>
      <c r="I50" s="2">
        <v>46.800000000000004</v>
      </c>
      <c r="K50" s="2">
        <v>1.9090909090909087</v>
      </c>
      <c r="L50" s="6">
        <f t="shared" si="1"/>
        <v>89.092727272727274</v>
      </c>
      <c r="M50" s="7" t="s">
        <v>276</v>
      </c>
      <c r="O50" s="1" t="s">
        <v>284</v>
      </c>
    </row>
    <row r="51" spans="1:15" x14ac:dyDescent="0.25">
      <c r="A51" s="1" t="s">
        <v>126</v>
      </c>
      <c r="B51" s="1" t="s">
        <v>127</v>
      </c>
      <c r="E51" s="2">
        <v>19.134545454545453</v>
      </c>
      <c r="G51" s="2">
        <v>55.330909090909095</v>
      </c>
      <c r="I51" s="2">
        <v>5.745454545454546</v>
      </c>
      <c r="K51" s="2">
        <v>6.545454545454545</v>
      </c>
      <c r="L51" s="6">
        <f t="shared" si="1"/>
        <v>86.756363636363645</v>
      </c>
      <c r="M51" s="7" t="s">
        <v>276</v>
      </c>
      <c r="O51" s="1" t="s">
        <v>284</v>
      </c>
    </row>
    <row r="52" spans="1:15" x14ac:dyDescent="0.25">
      <c r="A52" s="1" t="s">
        <v>190</v>
      </c>
      <c r="B52" s="1" t="s">
        <v>191</v>
      </c>
      <c r="E52" s="2">
        <v>13.596836363636363</v>
      </c>
      <c r="G52" s="2">
        <v>12.790127272727272</v>
      </c>
      <c r="I52" s="2">
        <v>42.729054545454552</v>
      </c>
      <c r="K52" s="2">
        <v>16.525109090909094</v>
      </c>
      <c r="L52" s="6">
        <f t="shared" si="1"/>
        <v>85.641127272727289</v>
      </c>
      <c r="M52" s="7" t="s">
        <v>276</v>
      </c>
      <c r="O52" s="1" t="s">
        <v>284</v>
      </c>
    </row>
    <row r="53" spans="1:15" x14ac:dyDescent="0.25">
      <c r="A53" s="1" t="s">
        <v>198</v>
      </c>
      <c r="B53" s="1" t="s">
        <v>199</v>
      </c>
      <c r="E53" s="2">
        <v>14.898945454545453</v>
      </c>
      <c r="G53" s="2">
        <v>5.2616181818181822</v>
      </c>
      <c r="I53" s="2">
        <v>55.263527272727266</v>
      </c>
      <c r="K53" s="2">
        <v>7.2331636363636367</v>
      </c>
      <c r="L53" s="6">
        <f t="shared" si="1"/>
        <v>82.657254545454535</v>
      </c>
      <c r="M53" s="7" t="s">
        <v>276</v>
      </c>
      <c r="O53" s="1" t="s">
        <v>284</v>
      </c>
    </row>
    <row r="54" spans="1:15" x14ac:dyDescent="0.25">
      <c r="A54" s="1" t="s">
        <v>72</v>
      </c>
      <c r="B54" s="1" t="s">
        <v>73</v>
      </c>
      <c r="E54" s="2">
        <v>12.981818181818182</v>
      </c>
      <c r="G54" s="2">
        <v>17.127272727272729</v>
      </c>
      <c r="I54" s="2">
        <v>39.56363636363637</v>
      </c>
      <c r="K54" s="2">
        <v>9.8763636363636351</v>
      </c>
      <c r="L54" s="6">
        <f t="shared" si="1"/>
        <v>79.549090909090921</v>
      </c>
      <c r="M54" s="7" t="s">
        <v>276</v>
      </c>
      <c r="O54" s="1" t="s">
        <v>284</v>
      </c>
    </row>
    <row r="55" spans="1:15" x14ac:dyDescent="0.25">
      <c r="A55" s="1" t="s">
        <v>70</v>
      </c>
      <c r="B55" s="1" t="s">
        <v>71</v>
      </c>
      <c r="E55" s="2">
        <v>9.8545454545454572</v>
      </c>
      <c r="G55" s="2">
        <v>17.861818181818183</v>
      </c>
      <c r="I55" s="2">
        <v>42.290909090909089</v>
      </c>
      <c r="K55" s="2">
        <v>9.286545454545454</v>
      </c>
      <c r="L55" s="6">
        <f t="shared" si="1"/>
        <v>79.293818181818182</v>
      </c>
      <c r="M55" s="7" t="s">
        <v>276</v>
      </c>
      <c r="O55" s="1" t="s">
        <v>284</v>
      </c>
    </row>
    <row r="56" spans="1:15" x14ac:dyDescent="0.25">
      <c r="A56" s="1" t="s">
        <v>64</v>
      </c>
      <c r="B56" s="1" t="s">
        <v>65</v>
      </c>
      <c r="E56" s="2">
        <v>5.2818181818181822</v>
      </c>
      <c r="G56" s="2">
        <v>7.1781818181818169</v>
      </c>
      <c r="I56" s="2">
        <v>50.800000000000004</v>
      </c>
      <c r="K56" s="2">
        <v>8.7754545454545436</v>
      </c>
      <c r="L56" s="6">
        <f t="shared" si="1"/>
        <v>72.035454545454542</v>
      </c>
      <c r="M56" s="7" t="s">
        <v>276</v>
      </c>
      <c r="O56" s="1" t="s">
        <v>284</v>
      </c>
    </row>
    <row r="57" spans="1:15" x14ac:dyDescent="0.25">
      <c r="A57" s="1" t="s">
        <v>46</v>
      </c>
      <c r="B57" s="1" t="s">
        <v>47</v>
      </c>
      <c r="E57" s="2">
        <v>15.403563636363636</v>
      </c>
      <c r="F57" s="1" t="s">
        <v>224</v>
      </c>
      <c r="I57" s="2">
        <v>46.609618181818185</v>
      </c>
      <c r="K57" s="2">
        <v>9.9349636363636353</v>
      </c>
      <c r="L57" s="6">
        <f t="shared" si="1"/>
        <v>71.948145454545454</v>
      </c>
      <c r="M57" s="7" t="s">
        <v>276</v>
      </c>
      <c r="O57" s="1" t="s">
        <v>284</v>
      </c>
    </row>
    <row r="58" spans="1:15" x14ac:dyDescent="0.25">
      <c r="A58" s="1" t="s">
        <v>210</v>
      </c>
      <c r="B58" s="1" t="s">
        <v>211</v>
      </c>
      <c r="E58" s="2">
        <v>2.4119999999999999</v>
      </c>
      <c r="G58" s="2">
        <v>10.486818181818183</v>
      </c>
      <c r="I58" s="2">
        <v>55.605672727272719</v>
      </c>
      <c r="K58" s="2">
        <v>1.6481636363636363</v>
      </c>
      <c r="L58" s="6">
        <f t="shared" si="1"/>
        <v>70.152654545454538</v>
      </c>
      <c r="M58" s="7" t="s">
        <v>276</v>
      </c>
      <c r="O58" s="1" t="s">
        <v>284</v>
      </c>
    </row>
    <row r="59" spans="1:15" x14ac:dyDescent="0.25">
      <c r="A59" s="1" t="s">
        <v>74</v>
      </c>
      <c r="B59" s="1" t="s">
        <v>75</v>
      </c>
      <c r="E59" s="2">
        <v>18.893236363636365</v>
      </c>
      <c r="G59" s="2">
        <v>7.0209090909090914</v>
      </c>
      <c r="I59" s="2">
        <v>25.60065454545455</v>
      </c>
      <c r="K59" s="2">
        <v>18.584599999999998</v>
      </c>
      <c r="L59" s="6">
        <f t="shared" si="1"/>
        <v>70.099400000000003</v>
      </c>
      <c r="M59" s="7" t="s">
        <v>276</v>
      </c>
      <c r="O59" s="1" t="s">
        <v>284</v>
      </c>
    </row>
    <row r="60" spans="1:15" x14ac:dyDescent="0.25">
      <c r="A60" s="1" t="s">
        <v>192</v>
      </c>
      <c r="B60" s="1" t="s">
        <v>193</v>
      </c>
      <c r="E60" s="2">
        <v>20.03325454545454</v>
      </c>
      <c r="G60" s="2">
        <v>13.829254545454546</v>
      </c>
      <c r="I60" s="2">
        <v>20.899218181818181</v>
      </c>
      <c r="K60" s="2">
        <v>13.476745454545455</v>
      </c>
      <c r="L60" s="6">
        <f t="shared" si="1"/>
        <v>68.238472727272722</v>
      </c>
      <c r="M60" s="7" t="s">
        <v>276</v>
      </c>
      <c r="O60" s="1" t="s">
        <v>284</v>
      </c>
    </row>
    <row r="61" spans="1:15" x14ac:dyDescent="0.25">
      <c r="A61" s="1" t="s">
        <v>212</v>
      </c>
      <c r="B61" s="1" t="s">
        <v>213</v>
      </c>
      <c r="E61" s="2">
        <v>4.3854545454545457</v>
      </c>
      <c r="G61" s="2">
        <v>2.9236363636363634</v>
      </c>
      <c r="I61" s="2">
        <v>52.127272727272725</v>
      </c>
      <c r="K61" s="2">
        <v>5.94</v>
      </c>
      <c r="L61" s="6">
        <f t="shared" si="1"/>
        <v>65.376363636363635</v>
      </c>
      <c r="M61" s="7" t="s">
        <v>276</v>
      </c>
      <c r="O61" s="1" t="s">
        <v>284</v>
      </c>
    </row>
    <row r="62" spans="1:15" x14ac:dyDescent="0.25">
      <c r="A62" s="1" t="s">
        <v>138</v>
      </c>
      <c r="B62" s="1" t="s">
        <v>139</v>
      </c>
      <c r="E62" s="2">
        <v>2.4800000000000004</v>
      </c>
      <c r="G62" s="2">
        <v>4.4199272727272723</v>
      </c>
      <c r="I62" s="2">
        <v>52.018181818181809</v>
      </c>
      <c r="K62" s="2">
        <v>5.3963636363636374</v>
      </c>
      <c r="L62" s="6">
        <f t="shared" si="1"/>
        <v>64.314472727272715</v>
      </c>
      <c r="M62" s="7" t="s">
        <v>276</v>
      </c>
      <c r="O62" s="1" t="s">
        <v>284</v>
      </c>
    </row>
    <row r="63" spans="1:15" x14ac:dyDescent="0.25">
      <c r="A63" s="1" t="s">
        <v>251</v>
      </c>
      <c r="B63" s="1" t="s">
        <v>252</v>
      </c>
      <c r="C63" s="1" t="s">
        <v>224</v>
      </c>
      <c r="F63" s="1" t="s">
        <v>224</v>
      </c>
      <c r="I63" s="2">
        <v>44.749509090909093</v>
      </c>
      <c r="K63" s="2">
        <v>18.948563636363637</v>
      </c>
      <c r="L63" s="6">
        <f t="shared" si="1"/>
        <v>63.698072727272731</v>
      </c>
      <c r="M63" s="7" t="s">
        <v>276</v>
      </c>
      <c r="O63" s="1" t="s">
        <v>284</v>
      </c>
    </row>
    <row r="64" spans="1:15" x14ac:dyDescent="0.25">
      <c r="A64" s="1" t="s">
        <v>62</v>
      </c>
      <c r="B64" s="1" t="s">
        <v>63</v>
      </c>
      <c r="E64" s="2">
        <v>1.1472727272727272</v>
      </c>
      <c r="G64" s="2">
        <v>4.1745454545454548</v>
      </c>
      <c r="I64" s="2">
        <v>53.109090909090916</v>
      </c>
      <c r="K64" s="2">
        <v>4.9109090909090902</v>
      </c>
      <c r="L64" s="6">
        <f t="shared" si="1"/>
        <v>63.341818181818184</v>
      </c>
      <c r="M64" s="7" t="s">
        <v>276</v>
      </c>
      <c r="O64" s="1" t="s">
        <v>284</v>
      </c>
    </row>
    <row r="65" spans="1:15" x14ac:dyDescent="0.25">
      <c r="A65" s="1" t="s">
        <v>208</v>
      </c>
      <c r="B65" s="1" t="s">
        <v>209</v>
      </c>
      <c r="E65" s="2">
        <v>6.78</v>
      </c>
      <c r="G65" s="2">
        <v>5.9290909090909096</v>
      </c>
      <c r="I65" s="2">
        <v>47.81818181818182</v>
      </c>
      <c r="K65" s="2">
        <v>2.5581818181818186</v>
      </c>
      <c r="L65" s="6">
        <f t="shared" si="1"/>
        <v>63.085454545454553</v>
      </c>
      <c r="M65" s="7" t="s">
        <v>276</v>
      </c>
      <c r="O65" s="1" t="s">
        <v>284</v>
      </c>
    </row>
    <row r="66" spans="1:15" x14ac:dyDescent="0.25">
      <c r="A66" s="1" t="s">
        <v>16</v>
      </c>
      <c r="B66" s="1" t="s">
        <v>17</v>
      </c>
      <c r="E66" s="2">
        <v>3.6812727272727277</v>
      </c>
      <c r="G66" s="2">
        <v>8.3207272727272734</v>
      </c>
      <c r="I66" s="2">
        <v>46.018181818181809</v>
      </c>
      <c r="K66" s="2">
        <v>3.6070909090909096</v>
      </c>
      <c r="L66" s="6">
        <f t="shared" si="1"/>
        <v>61.627272727272718</v>
      </c>
      <c r="M66" s="7" t="s">
        <v>276</v>
      </c>
      <c r="O66" s="1" t="s">
        <v>284</v>
      </c>
    </row>
    <row r="67" spans="1:15" x14ac:dyDescent="0.25">
      <c r="A67" s="1" t="s">
        <v>60</v>
      </c>
      <c r="B67" s="1" t="s">
        <v>61</v>
      </c>
      <c r="E67" s="2">
        <v>2.9831818181818179</v>
      </c>
      <c r="F67" s="1" t="s">
        <v>224</v>
      </c>
      <c r="I67" s="2">
        <v>54.889054545454542</v>
      </c>
      <c r="K67" s="2">
        <v>2.5205272727272732</v>
      </c>
      <c r="L67" s="6">
        <f t="shared" ref="L67:L98" si="2">E67+G67+I67+K67</f>
        <v>60.392763636363632</v>
      </c>
      <c r="M67" s="7" t="s">
        <v>276</v>
      </c>
      <c r="O67" s="1" t="s">
        <v>284</v>
      </c>
    </row>
    <row r="68" spans="1:15" x14ac:dyDescent="0.25">
      <c r="A68" s="1" t="s">
        <v>134</v>
      </c>
      <c r="B68" s="1" t="s">
        <v>135</v>
      </c>
      <c r="E68" s="2">
        <v>7.2436363636363641</v>
      </c>
      <c r="G68" s="2">
        <v>28.859934545454543</v>
      </c>
      <c r="I68" s="2">
        <v>23.563636363636363</v>
      </c>
      <c r="J68" s="1" t="s">
        <v>224</v>
      </c>
      <c r="L68" s="6">
        <f t="shared" si="2"/>
        <v>59.667207272727268</v>
      </c>
      <c r="M68" s="7" t="s">
        <v>276</v>
      </c>
      <c r="O68" s="1" t="s">
        <v>284</v>
      </c>
    </row>
    <row r="69" spans="1:15" x14ac:dyDescent="0.25">
      <c r="A69" s="1" t="s">
        <v>152</v>
      </c>
      <c r="B69" s="1" t="s">
        <v>153</v>
      </c>
      <c r="E69" s="2">
        <v>6.1199999999999992</v>
      </c>
      <c r="G69" s="2">
        <v>5.9836363636363625</v>
      </c>
      <c r="I69" s="2">
        <v>36.054545454545455</v>
      </c>
      <c r="K69" s="2">
        <v>6.6981818181818182</v>
      </c>
      <c r="L69" s="6">
        <f t="shared" si="2"/>
        <v>54.856363636363632</v>
      </c>
      <c r="M69" s="7" t="s">
        <v>276</v>
      </c>
      <c r="O69" s="1" t="s">
        <v>284</v>
      </c>
    </row>
    <row r="70" spans="1:15" x14ac:dyDescent="0.25">
      <c r="A70" s="1" t="s">
        <v>104</v>
      </c>
      <c r="B70" s="1" t="s">
        <v>105</v>
      </c>
      <c r="E70" s="2">
        <v>1.1636363636363636</v>
      </c>
      <c r="G70" s="2">
        <v>0.2690909090909091</v>
      </c>
      <c r="I70" s="2">
        <v>48.690909090909095</v>
      </c>
      <c r="K70" s="2">
        <v>1.8545454545454547</v>
      </c>
      <c r="L70" s="6">
        <f t="shared" si="2"/>
        <v>51.978181818181817</v>
      </c>
      <c r="M70" s="7" t="s">
        <v>276</v>
      </c>
      <c r="O70" s="1" t="s">
        <v>284</v>
      </c>
    </row>
    <row r="71" spans="1:15" x14ac:dyDescent="0.25">
      <c r="A71" t="s">
        <v>259</v>
      </c>
      <c r="B71" s="5" t="s">
        <v>260</v>
      </c>
      <c r="C71" s="1" t="s">
        <v>224</v>
      </c>
      <c r="F71" s="1" t="s">
        <v>224</v>
      </c>
      <c r="I71" s="2">
        <v>48.12792727272727</v>
      </c>
      <c r="K71" s="2">
        <v>1.7884000000000002</v>
      </c>
      <c r="L71" s="6">
        <f t="shared" si="2"/>
        <v>49.916327272727273</v>
      </c>
      <c r="M71" s="7" t="s">
        <v>276</v>
      </c>
      <c r="O71" s="1" t="s">
        <v>284</v>
      </c>
    </row>
    <row r="72" spans="1:15" x14ac:dyDescent="0.25">
      <c r="A72" s="1" t="s">
        <v>170</v>
      </c>
      <c r="B72" s="1" t="s">
        <v>171</v>
      </c>
      <c r="E72" s="2">
        <v>1.6218181818181823</v>
      </c>
      <c r="G72" s="2">
        <v>2.7330909090909086</v>
      </c>
      <c r="I72" s="2">
        <v>42.836363636363636</v>
      </c>
      <c r="K72" s="2">
        <v>0.82036363636363629</v>
      </c>
      <c r="L72" s="6">
        <f t="shared" si="2"/>
        <v>48.011636363636363</v>
      </c>
      <c r="M72" s="7" t="s">
        <v>276</v>
      </c>
      <c r="O72" s="1" t="s">
        <v>284</v>
      </c>
    </row>
    <row r="73" spans="1:15" x14ac:dyDescent="0.25">
      <c r="A73" s="1" t="s">
        <v>202</v>
      </c>
      <c r="B73" s="1" t="s">
        <v>203</v>
      </c>
      <c r="E73" s="2">
        <v>5.364218181818182</v>
      </c>
      <c r="G73" s="2">
        <v>2.7276363636363636</v>
      </c>
      <c r="I73" s="2">
        <v>28.78221818181818</v>
      </c>
      <c r="K73" s="2">
        <v>8.5634181818181805</v>
      </c>
      <c r="L73" s="6">
        <f t="shared" si="2"/>
        <v>45.437490909090904</v>
      </c>
      <c r="M73" s="7" t="s">
        <v>276</v>
      </c>
      <c r="O73" s="1" t="s">
        <v>284</v>
      </c>
    </row>
    <row r="74" spans="1:15" x14ac:dyDescent="0.25">
      <c r="A74" s="1" t="s">
        <v>58</v>
      </c>
      <c r="B74" s="1" t="s">
        <v>59</v>
      </c>
      <c r="E74" s="2">
        <v>6.3927272727272735</v>
      </c>
      <c r="G74" s="2">
        <v>34.238290909090914</v>
      </c>
      <c r="I74" s="2">
        <v>1.4727272727272727</v>
      </c>
      <c r="K74" s="2">
        <v>2.4290909090909092</v>
      </c>
      <c r="L74" s="6">
        <f t="shared" si="2"/>
        <v>44.53283636363637</v>
      </c>
      <c r="M74" s="7" t="s">
        <v>276</v>
      </c>
      <c r="O74" s="1" t="s">
        <v>284</v>
      </c>
    </row>
    <row r="75" spans="1:15" x14ac:dyDescent="0.25">
      <c r="A75" s="1" t="s">
        <v>166</v>
      </c>
      <c r="B75" s="1" t="s">
        <v>167</v>
      </c>
      <c r="E75" s="2">
        <v>20.588854545454545</v>
      </c>
      <c r="G75" s="2">
        <v>2.8081818181818181</v>
      </c>
      <c r="I75" s="2">
        <v>20.765981818181817</v>
      </c>
      <c r="J75" s="1" t="s">
        <v>224</v>
      </c>
      <c r="L75" s="6">
        <f t="shared" si="2"/>
        <v>44.163018181818181</v>
      </c>
      <c r="M75" s="7" t="s">
        <v>276</v>
      </c>
      <c r="O75" s="1" t="s">
        <v>284</v>
      </c>
    </row>
    <row r="76" spans="1:15" x14ac:dyDescent="0.25">
      <c r="A76" s="1" t="s">
        <v>96</v>
      </c>
      <c r="B76" s="1" t="s">
        <v>97</v>
      </c>
      <c r="E76" s="2">
        <v>1.1836363636363636</v>
      </c>
      <c r="G76" s="2">
        <v>2.6927272727272729</v>
      </c>
      <c r="I76" s="2">
        <v>32.545454545454547</v>
      </c>
      <c r="K76" s="2">
        <v>3.7345454545454544</v>
      </c>
      <c r="L76" s="6">
        <f t="shared" si="2"/>
        <v>40.156363636363636</v>
      </c>
      <c r="M76" s="7" t="s">
        <v>276</v>
      </c>
      <c r="O76" s="1" t="s">
        <v>284</v>
      </c>
    </row>
    <row r="77" spans="1:15" x14ac:dyDescent="0.25">
      <c r="A77" s="1" t="s">
        <v>130</v>
      </c>
      <c r="B77" s="1" t="s">
        <v>131</v>
      </c>
      <c r="E77" s="2">
        <v>8.8020000000000014</v>
      </c>
      <c r="F77" s="1" t="s">
        <v>224</v>
      </c>
      <c r="I77" s="2">
        <v>24.327272727272728</v>
      </c>
      <c r="K77" s="2">
        <v>6.9119999999999999</v>
      </c>
      <c r="L77" s="6">
        <f t="shared" si="2"/>
        <v>40.041272727272727</v>
      </c>
      <c r="M77" s="7" t="s">
        <v>276</v>
      </c>
      <c r="O77" s="1" t="s">
        <v>284</v>
      </c>
    </row>
    <row r="78" spans="1:15" x14ac:dyDescent="0.25">
      <c r="A78" s="1" t="s">
        <v>140</v>
      </c>
      <c r="B78" s="1" t="s">
        <v>141</v>
      </c>
      <c r="E78" s="2">
        <v>2.335454545454545</v>
      </c>
      <c r="G78" s="2">
        <v>11.721818181818181</v>
      </c>
      <c r="I78" s="2">
        <v>22.327272727272728</v>
      </c>
      <c r="K78" s="2">
        <v>2.2399999999999998</v>
      </c>
      <c r="L78" s="6">
        <f t="shared" si="2"/>
        <v>38.624545454545455</v>
      </c>
      <c r="M78" s="7" t="s">
        <v>276</v>
      </c>
      <c r="O78" s="1" t="s">
        <v>284</v>
      </c>
    </row>
    <row r="79" spans="1:15" x14ac:dyDescent="0.25">
      <c r="A79" s="1" t="s">
        <v>100</v>
      </c>
      <c r="B79" s="1" t="s">
        <v>101</v>
      </c>
      <c r="E79" s="2">
        <v>6.2771636363636363</v>
      </c>
      <c r="G79" s="2">
        <v>6.6405818181818184</v>
      </c>
      <c r="I79" s="2">
        <v>20.277799999999999</v>
      </c>
      <c r="K79" s="2">
        <v>3.9338363636363636</v>
      </c>
      <c r="L79" s="6">
        <f t="shared" si="2"/>
        <v>37.12938181818182</v>
      </c>
      <c r="M79" s="7" t="s">
        <v>276</v>
      </c>
      <c r="O79" s="1" t="s">
        <v>284</v>
      </c>
    </row>
    <row r="80" spans="1:15" x14ac:dyDescent="0.25">
      <c r="A80" s="1" t="s">
        <v>102</v>
      </c>
      <c r="B80" s="1" t="s">
        <v>103</v>
      </c>
      <c r="E80" s="2">
        <v>1.0290909090909091</v>
      </c>
      <c r="G80" s="2">
        <v>2.3672727272727272</v>
      </c>
      <c r="I80" s="2">
        <v>30.16363636363636</v>
      </c>
      <c r="K80" s="2">
        <v>3.5672727272727274</v>
      </c>
      <c r="L80" s="6">
        <f t="shared" si="2"/>
        <v>37.127272727272725</v>
      </c>
      <c r="M80" s="7" t="s">
        <v>276</v>
      </c>
      <c r="O80" s="1" t="s">
        <v>284</v>
      </c>
    </row>
    <row r="81" spans="1:15" x14ac:dyDescent="0.25">
      <c r="A81" s="1" t="s">
        <v>84</v>
      </c>
      <c r="B81" s="1" t="s">
        <v>85</v>
      </c>
      <c r="E81" s="2">
        <v>22.496527272727274</v>
      </c>
      <c r="F81" s="1" t="s">
        <v>224</v>
      </c>
      <c r="I81" s="2">
        <v>6.2112545454545458</v>
      </c>
      <c r="K81" s="2">
        <v>7.9407272727272726</v>
      </c>
      <c r="L81" s="6">
        <f t="shared" si="2"/>
        <v>36.648509090909094</v>
      </c>
      <c r="M81" s="7" t="s">
        <v>276</v>
      </c>
      <c r="O81" s="1" t="s">
        <v>284</v>
      </c>
    </row>
    <row r="82" spans="1:15" x14ac:dyDescent="0.25">
      <c r="A82" s="1" t="s">
        <v>48</v>
      </c>
      <c r="B82" s="1" t="s">
        <v>49</v>
      </c>
      <c r="E82" s="2">
        <v>22.06796363636364</v>
      </c>
      <c r="F82" s="1" t="s">
        <v>224</v>
      </c>
      <c r="H82" s="1" t="s">
        <v>224</v>
      </c>
      <c r="K82" s="2">
        <v>14.052490909090913</v>
      </c>
      <c r="L82" s="6">
        <f t="shared" si="2"/>
        <v>36.12045454545455</v>
      </c>
      <c r="M82" s="7" t="s">
        <v>276</v>
      </c>
      <c r="O82" s="1" t="s">
        <v>284</v>
      </c>
    </row>
    <row r="83" spans="1:15" x14ac:dyDescent="0.25">
      <c r="A83" s="1" t="s">
        <v>128</v>
      </c>
      <c r="B83" s="1" t="s">
        <v>129</v>
      </c>
      <c r="E83" s="2">
        <v>8.581818181818182</v>
      </c>
      <c r="F83" s="1" t="s">
        <v>224</v>
      </c>
      <c r="I83" s="2">
        <v>20.909090909090907</v>
      </c>
      <c r="K83" s="2">
        <v>6.6181818181818191</v>
      </c>
      <c r="L83" s="6">
        <f t="shared" si="2"/>
        <v>36.109090909090909</v>
      </c>
      <c r="M83" s="7" t="s">
        <v>276</v>
      </c>
      <c r="O83" s="1" t="s">
        <v>284</v>
      </c>
    </row>
    <row r="84" spans="1:15" x14ac:dyDescent="0.25">
      <c r="A84" s="1" t="s">
        <v>156</v>
      </c>
      <c r="B84" s="1" t="s">
        <v>157</v>
      </c>
      <c r="E84" s="2">
        <v>0.90618181818181831</v>
      </c>
      <c r="G84" s="2">
        <v>1.4534545454545456</v>
      </c>
      <c r="I84" s="2">
        <v>33.199999999999996</v>
      </c>
      <c r="K84" s="2">
        <v>0.32454545454545458</v>
      </c>
      <c r="L84" s="6">
        <f t="shared" si="2"/>
        <v>35.884181818181816</v>
      </c>
      <c r="M84" s="7" t="s">
        <v>276</v>
      </c>
      <c r="O84" s="1" t="s">
        <v>284</v>
      </c>
    </row>
    <row r="85" spans="1:15" x14ac:dyDescent="0.25">
      <c r="A85" s="1" t="s">
        <v>66</v>
      </c>
      <c r="B85" s="1" t="s">
        <v>67</v>
      </c>
      <c r="E85" s="2">
        <v>6.4224181818181822</v>
      </c>
      <c r="G85" s="2">
        <v>3.8321454545454547</v>
      </c>
      <c r="I85" s="2">
        <v>9.6667454545454561</v>
      </c>
      <c r="K85" s="2">
        <v>15.432581818181818</v>
      </c>
      <c r="L85" s="6">
        <f t="shared" si="2"/>
        <v>35.353890909090907</v>
      </c>
      <c r="M85" s="7" t="s">
        <v>276</v>
      </c>
      <c r="O85" s="1" t="s">
        <v>284</v>
      </c>
    </row>
    <row r="86" spans="1:15" x14ac:dyDescent="0.25">
      <c r="A86" s="1" t="s">
        <v>106</v>
      </c>
      <c r="B86" s="1" t="s">
        <v>107</v>
      </c>
      <c r="E86" s="2">
        <v>11.247509090909089</v>
      </c>
      <c r="G86" s="2">
        <v>12.500399999999997</v>
      </c>
      <c r="I86" s="2">
        <v>8.2900363636363643</v>
      </c>
      <c r="K86" s="2">
        <v>1.8752909090909091</v>
      </c>
      <c r="L86" s="6">
        <f t="shared" si="2"/>
        <v>33.913236363636358</v>
      </c>
      <c r="M86" s="7" t="s">
        <v>276</v>
      </c>
      <c r="O86" s="1" t="s">
        <v>284</v>
      </c>
    </row>
    <row r="87" spans="1:15" x14ac:dyDescent="0.25">
      <c r="A87" s="1" t="s">
        <v>90</v>
      </c>
      <c r="B87" s="1" t="s">
        <v>91</v>
      </c>
      <c r="E87" s="2">
        <v>0.60363636363636353</v>
      </c>
      <c r="F87" s="1" t="s">
        <v>224</v>
      </c>
      <c r="I87" s="2">
        <v>24.309090909090909</v>
      </c>
      <c r="K87" s="2">
        <v>6.5963636363636358</v>
      </c>
      <c r="L87" s="6">
        <f t="shared" si="2"/>
        <v>31.509090909090908</v>
      </c>
      <c r="M87" s="7" t="s">
        <v>276</v>
      </c>
      <c r="O87" s="1" t="s">
        <v>284</v>
      </c>
    </row>
    <row r="88" spans="1:15" x14ac:dyDescent="0.25">
      <c r="A88" s="1" t="s">
        <v>172</v>
      </c>
      <c r="B88" s="1" t="s">
        <v>173</v>
      </c>
      <c r="E88" s="2">
        <v>1.2276363636363636</v>
      </c>
      <c r="G88" s="2">
        <v>1.9825454545454548</v>
      </c>
      <c r="I88" s="2">
        <v>27.036363636363639</v>
      </c>
      <c r="K88" s="2">
        <v>1.2523636363636363</v>
      </c>
      <c r="L88" s="6">
        <f t="shared" si="2"/>
        <v>31.498909090909095</v>
      </c>
      <c r="M88" s="7" t="s">
        <v>276</v>
      </c>
      <c r="O88" s="1" t="s">
        <v>284</v>
      </c>
    </row>
    <row r="89" spans="1:15" x14ac:dyDescent="0.25">
      <c r="A89" t="s">
        <v>239</v>
      </c>
      <c r="B89" s="5" t="s">
        <v>240</v>
      </c>
      <c r="C89" s="1" t="s">
        <v>224</v>
      </c>
      <c r="G89" s="2">
        <v>1.4563636363636365</v>
      </c>
      <c r="I89" s="2">
        <v>28.45454545454545</v>
      </c>
      <c r="J89" s="1" t="s">
        <v>224</v>
      </c>
      <c r="L89" s="6">
        <f t="shared" si="2"/>
        <v>29.910909090909087</v>
      </c>
      <c r="M89" s="7" t="s">
        <v>276</v>
      </c>
      <c r="O89" s="1" t="s">
        <v>284</v>
      </c>
    </row>
    <row r="90" spans="1:15" x14ac:dyDescent="0.25">
      <c r="A90" s="1" t="s">
        <v>132</v>
      </c>
      <c r="B90" s="1" t="s">
        <v>133</v>
      </c>
      <c r="E90" s="2">
        <v>9.4754545454545447</v>
      </c>
      <c r="G90" s="2">
        <v>3.5318181818181817</v>
      </c>
      <c r="I90" s="2">
        <v>11.09090909090909</v>
      </c>
      <c r="K90" s="2">
        <v>4.8490909090909087</v>
      </c>
      <c r="L90" s="6">
        <f t="shared" si="2"/>
        <v>28.947272727272722</v>
      </c>
      <c r="M90" s="7" t="s">
        <v>276</v>
      </c>
      <c r="O90" s="1" t="s">
        <v>284</v>
      </c>
    </row>
    <row r="91" spans="1:15" x14ac:dyDescent="0.25">
      <c r="A91" s="1" t="s">
        <v>24</v>
      </c>
      <c r="B91" s="1" t="s">
        <v>25</v>
      </c>
      <c r="E91" s="2">
        <v>8.4817999999999998</v>
      </c>
      <c r="F91" s="1" t="s">
        <v>224</v>
      </c>
      <c r="I91" s="2">
        <v>15.038636363636368</v>
      </c>
      <c r="K91" s="2">
        <v>5.3226363636363638</v>
      </c>
      <c r="L91" s="6">
        <f t="shared" si="2"/>
        <v>28.84307272727273</v>
      </c>
      <c r="M91" s="7" t="s">
        <v>276</v>
      </c>
      <c r="O91" s="1" t="s">
        <v>284</v>
      </c>
    </row>
    <row r="92" spans="1:15" x14ac:dyDescent="0.25">
      <c r="A92" s="1" t="s">
        <v>158</v>
      </c>
      <c r="B92" s="1" t="s">
        <v>159</v>
      </c>
      <c r="E92" s="2">
        <v>0.59309090909090911</v>
      </c>
      <c r="G92" s="2">
        <v>1.05</v>
      </c>
      <c r="I92" s="2">
        <v>24.418181818181814</v>
      </c>
      <c r="K92" s="2">
        <v>0.53581818181818186</v>
      </c>
      <c r="L92" s="6">
        <f t="shared" si="2"/>
        <v>26.597090909090905</v>
      </c>
      <c r="M92" s="7" t="s">
        <v>276</v>
      </c>
      <c r="O92" s="1" t="s">
        <v>284</v>
      </c>
    </row>
    <row r="93" spans="1:15" x14ac:dyDescent="0.25">
      <c r="A93" s="1" t="s">
        <v>14</v>
      </c>
      <c r="B93" s="1" t="s">
        <v>15</v>
      </c>
      <c r="E93" s="2">
        <v>6.660000000000001</v>
      </c>
      <c r="G93" s="2">
        <v>1.6145454545454545</v>
      </c>
      <c r="I93" s="2">
        <v>13.58181818181818</v>
      </c>
      <c r="K93" s="2">
        <v>4.5981818181818177</v>
      </c>
      <c r="L93" s="6">
        <f t="shared" si="2"/>
        <v>26.454545454545453</v>
      </c>
      <c r="M93" s="7" t="s">
        <v>276</v>
      </c>
      <c r="O93" s="1" t="s">
        <v>284</v>
      </c>
    </row>
    <row r="94" spans="1:15" x14ac:dyDescent="0.25">
      <c r="A94" t="s">
        <v>237</v>
      </c>
      <c r="B94" s="5" t="s">
        <v>238</v>
      </c>
      <c r="C94" s="1" t="s">
        <v>224</v>
      </c>
      <c r="G94" s="2">
        <v>2.0018181818181819</v>
      </c>
      <c r="I94" s="2">
        <v>24.345454545454547</v>
      </c>
      <c r="J94" s="1" t="s">
        <v>224</v>
      </c>
      <c r="L94" s="6">
        <f t="shared" si="2"/>
        <v>26.347272727272731</v>
      </c>
      <c r="M94" s="7" t="s">
        <v>276</v>
      </c>
      <c r="O94" s="1" t="s">
        <v>284</v>
      </c>
    </row>
    <row r="95" spans="1:15" x14ac:dyDescent="0.25">
      <c r="A95" s="1" t="s">
        <v>92</v>
      </c>
      <c r="B95" s="1" t="s">
        <v>93</v>
      </c>
      <c r="E95" s="2">
        <v>4.2618181818181817</v>
      </c>
      <c r="G95" s="2">
        <v>2.5890909090909089</v>
      </c>
      <c r="I95" s="2">
        <v>10.890909090909091</v>
      </c>
      <c r="K95" s="2">
        <v>5.8981818181818193</v>
      </c>
      <c r="L95" s="6">
        <f t="shared" si="2"/>
        <v>23.64</v>
      </c>
      <c r="M95" s="7" t="s">
        <v>276</v>
      </c>
      <c r="O95" s="1" t="s">
        <v>284</v>
      </c>
    </row>
    <row r="96" spans="1:15" x14ac:dyDescent="0.25">
      <c r="A96" s="1" t="s">
        <v>50</v>
      </c>
      <c r="B96" s="1" t="s">
        <v>51</v>
      </c>
      <c r="E96" s="2">
        <v>13.189399999999999</v>
      </c>
      <c r="F96" s="1" t="s">
        <v>224</v>
      </c>
      <c r="H96" s="1" t="s">
        <v>224</v>
      </c>
      <c r="K96" s="2">
        <v>7.5320909090909085</v>
      </c>
      <c r="L96" s="6">
        <f t="shared" si="2"/>
        <v>20.721490909090907</v>
      </c>
      <c r="M96" s="7" t="s">
        <v>276</v>
      </c>
      <c r="O96" s="1" t="s">
        <v>284</v>
      </c>
    </row>
    <row r="97" spans="1:15" x14ac:dyDescent="0.25">
      <c r="A97" s="1" t="s">
        <v>12</v>
      </c>
      <c r="B97" s="1" t="s">
        <v>13</v>
      </c>
      <c r="E97" s="2">
        <v>2.6921818181818185</v>
      </c>
      <c r="G97" s="2">
        <v>3.0167272727272731</v>
      </c>
      <c r="I97" s="2">
        <v>14.181818181818185</v>
      </c>
      <c r="J97" s="1" t="s">
        <v>224</v>
      </c>
      <c r="L97" s="6">
        <f t="shared" si="2"/>
        <v>19.890727272727275</v>
      </c>
      <c r="M97" s="7" t="s">
        <v>276</v>
      </c>
      <c r="O97" s="1" t="s">
        <v>284</v>
      </c>
    </row>
    <row r="98" spans="1:15" hidden="1" x14ac:dyDescent="0.25">
      <c r="A98" s="1" t="s">
        <v>160</v>
      </c>
      <c r="B98" s="1" t="s">
        <v>161</v>
      </c>
      <c r="E98" s="2">
        <v>0.61545454545454559</v>
      </c>
      <c r="G98" s="2">
        <v>0.45</v>
      </c>
      <c r="I98" s="2">
        <v>17.2</v>
      </c>
      <c r="K98" s="2">
        <v>0.49454545454545462</v>
      </c>
      <c r="L98" s="6">
        <f t="shared" si="2"/>
        <v>18.760000000000002</v>
      </c>
      <c r="M98" s="8" t="s">
        <v>277</v>
      </c>
      <c r="N98" s="1" t="s">
        <v>280</v>
      </c>
      <c r="O98" s="1" t="s">
        <v>285</v>
      </c>
    </row>
    <row r="99" spans="1:15" x14ac:dyDescent="0.25">
      <c r="A99" t="s">
        <v>222</v>
      </c>
      <c r="B99" s="5" t="s">
        <v>223</v>
      </c>
      <c r="C99" s="1" t="s">
        <v>224</v>
      </c>
      <c r="G99" s="2">
        <v>5.7843818181818172</v>
      </c>
      <c r="I99" s="2">
        <v>12.154436363636364</v>
      </c>
      <c r="J99" s="1" t="s">
        <v>224</v>
      </c>
      <c r="L99" s="6">
        <f t="shared" ref="L99:L130" si="3">E99+G99+I99+K99</f>
        <v>17.938818181818181</v>
      </c>
      <c r="M99" s="9" t="s">
        <v>276</v>
      </c>
      <c r="N99" s="1" t="s">
        <v>281</v>
      </c>
      <c r="O99" s="1" t="s">
        <v>284</v>
      </c>
    </row>
    <row r="100" spans="1:15" x14ac:dyDescent="0.25">
      <c r="A100" s="1" t="s">
        <v>136</v>
      </c>
      <c r="B100" s="1" t="s">
        <v>137</v>
      </c>
      <c r="E100" s="2">
        <v>2.5679999999999996</v>
      </c>
      <c r="G100" s="2">
        <v>4.6860000000000008</v>
      </c>
      <c r="I100" s="2">
        <v>7.9636363636363647</v>
      </c>
      <c r="K100" s="2">
        <v>2.5799999999999996</v>
      </c>
      <c r="L100" s="6">
        <f t="shared" si="3"/>
        <v>17.797636363636364</v>
      </c>
      <c r="M100" s="9" t="s">
        <v>276</v>
      </c>
      <c r="N100" s="1" t="s">
        <v>279</v>
      </c>
      <c r="O100" s="1" t="s">
        <v>284</v>
      </c>
    </row>
    <row r="101" spans="1:15" x14ac:dyDescent="0.25">
      <c r="A101" t="s">
        <v>229</v>
      </c>
      <c r="B101" s="5" t="s">
        <v>230</v>
      </c>
      <c r="C101" s="1" t="s">
        <v>224</v>
      </c>
      <c r="G101" s="2">
        <v>0.7781818181818182</v>
      </c>
      <c r="I101" s="2">
        <v>16.309090909090909</v>
      </c>
      <c r="J101" s="1" t="s">
        <v>224</v>
      </c>
      <c r="L101" s="6">
        <f t="shared" si="3"/>
        <v>17.087272727272726</v>
      </c>
      <c r="M101" s="9" t="s">
        <v>276</v>
      </c>
      <c r="N101" s="1" t="s">
        <v>279</v>
      </c>
      <c r="O101" s="1" t="s">
        <v>284</v>
      </c>
    </row>
    <row r="102" spans="1:15" x14ac:dyDescent="0.25">
      <c r="A102" t="s">
        <v>235</v>
      </c>
      <c r="B102" s="5" t="s">
        <v>236</v>
      </c>
      <c r="C102" s="1" t="s">
        <v>224</v>
      </c>
      <c r="G102" s="2">
        <v>8.5308727272727261</v>
      </c>
      <c r="I102" s="2">
        <v>8.0999636363636363</v>
      </c>
      <c r="J102" s="1" t="s">
        <v>224</v>
      </c>
      <c r="L102" s="6">
        <f t="shared" si="3"/>
        <v>16.630836363636362</v>
      </c>
      <c r="M102" s="9" t="s">
        <v>276</v>
      </c>
      <c r="N102" s="1" t="s">
        <v>279</v>
      </c>
      <c r="O102" s="1" t="s">
        <v>284</v>
      </c>
    </row>
    <row r="103" spans="1:15" hidden="1" x14ac:dyDescent="0.25">
      <c r="A103" s="1" t="s">
        <v>225</v>
      </c>
      <c r="B103" s="1" t="s">
        <v>226</v>
      </c>
      <c r="C103" s="1" t="s">
        <v>224</v>
      </c>
      <c r="G103" s="2">
        <v>7.1300727272727276</v>
      </c>
      <c r="I103" s="2">
        <v>8.2716545454545454</v>
      </c>
      <c r="J103" s="1" t="s">
        <v>224</v>
      </c>
      <c r="L103" s="6">
        <f t="shared" si="3"/>
        <v>15.401727272727273</v>
      </c>
      <c r="M103" s="8" t="s">
        <v>277</v>
      </c>
      <c r="N103" s="1" t="s">
        <v>280</v>
      </c>
      <c r="O103" s="1" t="s">
        <v>285</v>
      </c>
    </row>
    <row r="104" spans="1:15" x14ac:dyDescent="0.25">
      <c r="A104" s="1" t="s">
        <v>108</v>
      </c>
      <c r="B104" s="1" t="s">
        <v>109</v>
      </c>
      <c r="E104" s="2">
        <v>3.0386545454545453</v>
      </c>
      <c r="G104" s="2">
        <v>3.4319636363636365</v>
      </c>
      <c r="I104" s="2">
        <v>0.24363636363636365</v>
      </c>
      <c r="K104" s="2">
        <v>6.9993999999999996</v>
      </c>
      <c r="L104" s="6">
        <f t="shared" si="3"/>
        <v>13.713654545454546</v>
      </c>
      <c r="M104" s="9" t="s">
        <v>276</v>
      </c>
      <c r="N104" s="1" t="s">
        <v>279</v>
      </c>
      <c r="O104" s="1" t="s">
        <v>284</v>
      </c>
    </row>
    <row r="105" spans="1:15" hidden="1" x14ac:dyDescent="0.25">
      <c r="A105" s="4" t="s">
        <v>164</v>
      </c>
      <c r="B105" s="4" t="s">
        <v>165</v>
      </c>
      <c r="C105" s="1" t="s">
        <v>216</v>
      </c>
      <c r="E105" s="2">
        <v>0.57799999999999996</v>
      </c>
      <c r="F105" s="1" t="s">
        <v>216</v>
      </c>
      <c r="G105" s="2">
        <v>0.53799999999999992</v>
      </c>
      <c r="H105" s="1" t="s">
        <v>216</v>
      </c>
      <c r="I105" s="2">
        <v>11.345454545454544</v>
      </c>
      <c r="J105" s="1" t="s">
        <v>216</v>
      </c>
      <c r="K105" s="2">
        <v>0.49099999999999994</v>
      </c>
      <c r="L105" s="6">
        <f t="shared" si="3"/>
        <v>12.952454545454543</v>
      </c>
      <c r="M105" s="8" t="s">
        <v>277</v>
      </c>
      <c r="N105" s="1" t="s">
        <v>278</v>
      </c>
      <c r="O105" s="1" t="s">
        <v>285</v>
      </c>
    </row>
    <row r="106" spans="1:15" x14ac:dyDescent="0.25">
      <c r="A106" s="1" t="s">
        <v>184</v>
      </c>
      <c r="B106" s="1" t="s">
        <v>185</v>
      </c>
      <c r="E106" s="2">
        <v>2.4487272727272731</v>
      </c>
      <c r="G106" s="2">
        <v>6.0836363636363648</v>
      </c>
      <c r="H106" s="1" t="s">
        <v>224</v>
      </c>
      <c r="K106" s="2">
        <v>3.08</v>
      </c>
      <c r="L106" s="6">
        <f t="shared" si="3"/>
        <v>11.612363636363638</v>
      </c>
      <c r="M106" s="9" t="s">
        <v>276</v>
      </c>
      <c r="N106" s="1" t="s">
        <v>279</v>
      </c>
      <c r="O106" s="1" t="s">
        <v>284</v>
      </c>
    </row>
    <row r="107" spans="1:15" x14ac:dyDescent="0.25">
      <c r="A107" t="s">
        <v>233</v>
      </c>
      <c r="B107" s="5" t="s">
        <v>234</v>
      </c>
      <c r="C107" s="1" t="s">
        <v>224</v>
      </c>
      <c r="G107" s="2">
        <v>10.238181818181816</v>
      </c>
      <c r="H107" s="1" t="s">
        <v>224</v>
      </c>
      <c r="J107" s="1" t="s">
        <v>224</v>
      </c>
      <c r="L107" s="6">
        <f t="shared" si="3"/>
        <v>10.238181818181816</v>
      </c>
      <c r="M107" s="9" t="s">
        <v>276</v>
      </c>
      <c r="N107" s="1" t="s">
        <v>279</v>
      </c>
      <c r="O107" s="1" t="s">
        <v>284</v>
      </c>
    </row>
    <row r="108" spans="1:15" x14ac:dyDescent="0.25">
      <c r="A108" t="s">
        <v>231</v>
      </c>
      <c r="B108" s="5" t="s">
        <v>232</v>
      </c>
      <c r="C108" s="1" t="s">
        <v>224</v>
      </c>
      <c r="G108" s="2">
        <v>3.2450545454545447</v>
      </c>
      <c r="I108" s="2">
        <v>6.6953454545454543</v>
      </c>
      <c r="J108" s="1" t="s">
        <v>224</v>
      </c>
      <c r="L108" s="6">
        <f t="shared" si="3"/>
        <v>9.9403999999999986</v>
      </c>
      <c r="M108" s="9" t="s">
        <v>276</v>
      </c>
      <c r="N108" s="1" t="s">
        <v>279</v>
      </c>
      <c r="O108" s="1" t="s">
        <v>284</v>
      </c>
    </row>
    <row r="109" spans="1:15" hidden="1" x14ac:dyDescent="0.25">
      <c r="A109" s="4" t="s">
        <v>162</v>
      </c>
      <c r="B109" s="4" t="s">
        <v>163</v>
      </c>
      <c r="C109" s="1" t="s">
        <v>216</v>
      </c>
      <c r="E109" s="2">
        <v>0.36199999999999999</v>
      </c>
      <c r="F109" s="1" t="s">
        <v>216</v>
      </c>
      <c r="G109" s="2">
        <v>0.4172727272727273</v>
      </c>
      <c r="H109" s="1" t="s">
        <v>216</v>
      </c>
      <c r="I109" s="2">
        <v>8.7272727272727266</v>
      </c>
      <c r="J109" s="1" t="s">
        <v>216</v>
      </c>
      <c r="K109" s="2">
        <v>0.36399999999999988</v>
      </c>
      <c r="L109" s="6">
        <f t="shared" si="3"/>
        <v>9.8705454545454536</v>
      </c>
      <c r="M109" s="8" t="s">
        <v>277</v>
      </c>
      <c r="N109" s="1" t="s">
        <v>278</v>
      </c>
      <c r="O109" s="1" t="s">
        <v>285</v>
      </c>
    </row>
    <row r="110" spans="1:15" hidden="1" x14ac:dyDescent="0.25">
      <c r="A110" t="s">
        <v>271</v>
      </c>
      <c r="B110" s="5" t="s">
        <v>272</v>
      </c>
      <c r="C110" s="1" t="s">
        <v>224</v>
      </c>
      <c r="F110" s="1" t="s">
        <v>224</v>
      </c>
      <c r="H110" s="1" t="s">
        <v>224</v>
      </c>
      <c r="K110" s="2">
        <v>9.4192727272727268</v>
      </c>
      <c r="L110" s="6">
        <f t="shared" si="3"/>
        <v>9.4192727272727268</v>
      </c>
      <c r="M110" s="8" t="s">
        <v>277</v>
      </c>
      <c r="N110" s="1" t="s">
        <v>280</v>
      </c>
      <c r="O110" s="1" t="s">
        <v>285</v>
      </c>
    </row>
    <row r="111" spans="1:15" hidden="1" x14ac:dyDescent="0.25">
      <c r="A111" s="1" t="s">
        <v>273</v>
      </c>
      <c r="B111" s="1" t="s">
        <v>274</v>
      </c>
      <c r="C111" s="1" t="s">
        <v>224</v>
      </c>
      <c r="F111" s="1" t="s">
        <v>224</v>
      </c>
      <c r="H111" s="1" t="s">
        <v>224</v>
      </c>
      <c r="K111" s="2">
        <v>8.4713818181818183</v>
      </c>
      <c r="L111" s="6">
        <f t="shared" si="3"/>
        <v>8.4713818181818183</v>
      </c>
      <c r="M111" s="8" t="s">
        <v>277</v>
      </c>
      <c r="N111" s="1" t="s">
        <v>280</v>
      </c>
      <c r="O111" s="1" t="s">
        <v>285</v>
      </c>
    </row>
    <row r="112" spans="1:15" hidden="1" x14ac:dyDescent="0.25">
      <c r="A112" t="s">
        <v>257</v>
      </c>
      <c r="B112" s="5" t="s">
        <v>258</v>
      </c>
      <c r="C112" s="1" t="s">
        <v>224</v>
      </c>
      <c r="F112" s="1" t="s">
        <v>224</v>
      </c>
      <c r="I112" s="2">
        <v>3.1999999999999997</v>
      </c>
      <c r="K112" s="2">
        <v>5.2145454545454548</v>
      </c>
      <c r="L112" s="6">
        <f t="shared" si="3"/>
        <v>8.4145454545454541</v>
      </c>
      <c r="M112" s="8" t="s">
        <v>277</v>
      </c>
      <c r="N112" s="1" t="s">
        <v>280</v>
      </c>
      <c r="O112" s="1" t="s">
        <v>285</v>
      </c>
    </row>
    <row r="113" spans="1:15" x14ac:dyDescent="0.25">
      <c r="A113" s="1" t="s">
        <v>44</v>
      </c>
      <c r="B113" s="1" t="s">
        <v>45</v>
      </c>
      <c r="E113" s="2">
        <v>1.2194727272727273</v>
      </c>
      <c r="F113" s="1" t="s">
        <v>224</v>
      </c>
      <c r="H113" s="1" t="s">
        <v>224</v>
      </c>
      <c r="K113" s="2">
        <v>7.0756363636363631</v>
      </c>
      <c r="L113" s="6">
        <f t="shared" si="3"/>
        <v>8.2951090909090901</v>
      </c>
      <c r="M113" s="9" t="s">
        <v>276</v>
      </c>
      <c r="N113" s="1" t="s">
        <v>281</v>
      </c>
      <c r="O113" s="1" t="s">
        <v>284</v>
      </c>
    </row>
    <row r="114" spans="1:15" hidden="1" x14ac:dyDescent="0.25">
      <c r="A114" t="s">
        <v>263</v>
      </c>
      <c r="B114" s="5" t="s">
        <v>264</v>
      </c>
      <c r="C114" s="1" t="s">
        <v>224</v>
      </c>
      <c r="F114" s="1" t="s">
        <v>224</v>
      </c>
      <c r="I114" s="2">
        <v>8.2000000000000011</v>
      </c>
      <c r="J114" s="1" t="s">
        <v>224</v>
      </c>
      <c r="L114" s="6">
        <f t="shared" si="3"/>
        <v>8.2000000000000011</v>
      </c>
      <c r="M114" s="8" t="s">
        <v>277</v>
      </c>
      <c r="N114" s="1" t="s">
        <v>280</v>
      </c>
      <c r="O114" s="1" t="s">
        <v>285</v>
      </c>
    </row>
    <row r="115" spans="1:15" x14ac:dyDescent="0.25">
      <c r="A115" s="1" t="s">
        <v>26</v>
      </c>
      <c r="B115" s="1" t="s">
        <v>27</v>
      </c>
      <c r="E115" s="2">
        <v>2.5269818181818184</v>
      </c>
      <c r="G115" s="2">
        <v>0.69958181818181808</v>
      </c>
      <c r="I115" s="2">
        <v>1.3069818181818185</v>
      </c>
      <c r="K115" s="2">
        <v>3.4008181818181824</v>
      </c>
      <c r="L115" s="6">
        <f t="shared" si="3"/>
        <v>7.9343636363636367</v>
      </c>
      <c r="M115" s="9" t="s">
        <v>276</v>
      </c>
      <c r="N115" s="1" t="s">
        <v>281</v>
      </c>
      <c r="O115" s="1" t="s">
        <v>284</v>
      </c>
    </row>
    <row r="116" spans="1:15" x14ac:dyDescent="0.25">
      <c r="A116" s="1" t="s">
        <v>214</v>
      </c>
      <c r="B116" s="1" t="s">
        <v>215</v>
      </c>
      <c r="E116" s="2">
        <v>0.92072727272727273</v>
      </c>
      <c r="G116" s="2">
        <v>0.58909090909090911</v>
      </c>
      <c r="I116" s="2">
        <v>4.745454545454546</v>
      </c>
      <c r="K116" s="2">
        <v>0.65890909090909089</v>
      </c>
      <c r="L116" s="6">
        <f t="shared" si="3"/>
        <v>6.9141818181818184</v>
      </c>
      <c r="M116" s="9" t="s">
        <v>276</v>
      </c>
      <c r="N116" s="1" t="s">
        <v>279</v>
      </c>
      <c r="O116" s="1" t="s">
        <v>284</v>
      </c>
    </row>
    <row r="117" spans="1:15" x14ac:dyDescent="0.25">
      <c r="A117" s="1" t="s">
        <v>34</v>
      </c>
      <c r="B117" s="1" t="s">
        <v>35</v>
      </c>
      <c r="E117" s="2">
        <v>3.5374909090909088</v>
      </c>
      <c r="F117" s="1" t="s">
        <v>224</v>
      </c>
      <c r="H117" s="1" t="s">
        <v>224</v>
      </c>
      <c r="K117" s="2">
        <v>3.3305272727272723</v>
      </c>
      <c r="L117" s="6">
        <f t="shared" si="3"/>
        <v>6.8680181818181811</v>
      </c>
      <c r="M117" s="9" t="s">
        <v>276</v>
      </c>
      <c r="N117" s="1" t="s">
        <v>281</v>
      </c>
      <c r="O117" s="1" t="s">
        <v>284</v>
      </c>
    </row>
    <row r="118" spans="1:15" hidden="1" x14ac:dyDescent="0.25">
      <c r="A118" t="s">
        <v>261</v>
      </c>
      <c r="B118" s="5" t="s">
        <v>262</v>
      </c>
      <c r="C118" s="1" t="s">
        <v>224</v>
      </c>
      <c r="F118" s="1" t="s">
        <v>224</v>
      </c>
      <c r="I118" s="2">
        <v>4.9149090909090907</v>
      </c>
      <c r="J118" s="1" t="s">
        <v>224</v>
      </c>
      <c r="L118" s="6">
        <f t="shared" si="3"/>
        <v>4.9149090909090907</v>
      </c>
      <c r="M118" s="8" t="s">
        <v>277</v>
      </c>
      <c r="N118" s="1" t="s">
        <v>280</v>
      </c>
      <c r="O118" s="1" t="s">
        <v>285</v>
      </c>
    </row>
    <row r="119" spans="1:15" hidden="1" x14ac:dyDescent="0.25">
      <c r="A119" t="s">
        <v>269</v>
      </c>
      <c r="B119" s="5" t="s">
        <v>270</v>
      </c>
      <c r="C119" s="1" t="s">
        <v>224</v>
      </c>
      <c r="F119" s="1" t="s">
        <v>224</v>
      </c>
      <c r="H119" s="1" t="s">
        <v>224</v>
      </c>
      <c r="K119" s="2">
        <v>4.8321272727272726</v>
      </c>
      <c r="L119" s="6">
        <f t="shared" si="3"/>
        <v>4.8321272727272726</v>
      </c>
      <c r="M119" s="8" t="s">
        <v>277</v>
      </c>
      <c r="N119" s="1" t="s">
        <v>280</v>
      </c>
      <c r="O119" s="1" t="s">
        <v>285</v>
      </c>
    </row>
    <row r="120" spans="1:15" hidden="1" x14ac:dyDescent="0.25">
      <c r="A120" t="s">
        <v>253</v>
      </c>
      <c r="B120" s="5" t="s">
        <v>254</v>
      </c>
      <c r="C120" s="1" t="s">
        <v>224</v>
      </c>
      <c r="F120" s="1" t="s">
        <v>224</v>
      </c>
      <c r="I120" s="2">
        <v>4.4079636363636361</v>
      </c>
      <c r="J120" s="1" t="s">
        <v>224</v>
      </c>
      <c r="L120" s="6">
        <f t="shared" si="3"/>
        <v>4.4079636363636361</v>
      </c>
      <c r="M120" s="10" t="s">
        <v>277</v>
      </c>
      <c r="N120" s="1" t="s">
        <v>286</v>
      </c>
      <c r="O120" s="1" t="s">
        <v>285</v>
      </c>
    </row>
    <row r="121" spans="1:15" x14ac:dyDescent="0.25">
      <c r="A121" t="s">
        <v>255</v>
      </c>
      <c r="B121" s="5" t="s">
        <v>256</v>
      </c>
      <c r="C121" s="1" t="s">
        <v>224</v>
      </c>
      <c r="F121" s="1" t="s">
        <v>224</v>
      </c>
      <c r="I121" s="2">
        <v>1.5636363636363635</v>
      </c>
      <c r="K121" s="2">
        <v>1.9090909090909089</v>
      </c>
      <c r="L121" s="6">
        <f t="shared" si="3"/>
        <v>3.4727272727272727</v>
      </c>
      <c r="M121" s="9" t="s">
        <v>276</v>
      </c>
      <c r="N121" s="1" t="s">
        <v>279</v>
      </c>
      <c r="O121" s="1" t="s">
        <v>284</v>
      </c>
    </row>
    <row r="122" spans="1:15" x14ac:dyDescent="0.25">
      <c r="A122" s="1" t="s">
        <v>154</v>
      </c>
      <c r="B122" s="1" t="s">
        <v>155</v>
      </c>
      <c r="E122" s="2">
        <v>0.88836363636363624</v>
      </c>
      <c r="G122" s="2">
        <v>1.3478181818181818</v>
      </c>
      <c r="H122" s="1" t="s">
        <v>224</v>
      </c>
      <c r="K122" s="2">
        <v>0.74072727272727279</v>
      </c>
      <c r="L122" s="6">
        <f t="shared" si="3"/>
        <v>2.9769090909090909</v>
      </c>
      <c r="M122" s="9" t="s">
        <v>276</v>
      </c>
      <c r="N122" s="1" t="s">
        <v>279</v>
      </c>
      <c r="O122" s="1" t="s">
        <v>284</v>
      </c>
    </row>
    <row r="123" spans="1:15" x14ac:dyDescent="0.25">
      <c r="A123" t="s">
        <v>241</v>
      </c>
      <c r="B123" s="5" t="s">
        <v>242</v>
      </c>
      <c r="C123" s="1" t="s">
        <v>224</v>
      </c>
      <c r="G123" s="2">
        <v>2.6890909090909094</v>
      </c>
      <c r="H123" s="1" t="s">
        <v>224</v>
      </c>
      <c r="J123" s="1" t="s">
        <v>224</v>
      </c>
      <c r="L123" s="6">
        <f t="shared" si="3"/>
        <v>2.6890909090909094</v>
      </c>
      <c r="M123" s="9" t="s">
        <v>276</v>
      </c>
      <c r="N123" s="1" t="s">
        <v>279</v>
      </c>
      <c r="O123" s="1" t="s">
        <v>284</v>
      </c>
    </row>
    <row r="124" spans="1:15" hidden="1" x14ac:dyDescent="0.25">
      <c r="A124" s="1" t="s">
        <v>68</v>
      </c>
      <c r="B124" s="1" t="s">
        <v>69</v>
      </c>
      <c r="E124" s="2">
        <v>2.290909090909091</v>
      </c>
      <c r="F124" s="1" t="s">
        <v>224</v>
      </c>
      <c r="H124" s="1" t="s">
        <v>224</v>
      </c>
      <c r="J124" s="1" t="s">
        <v>224</v>
      </c>
      <c r="L124" s="6">
        <f t="shared" si="3"/>
        <v>2.290909090909091</v>
      </c>
      <c r="M124" s="8" t="s">
        <v>277</v>
      </c>
      <c r="N124" s="1" t="s">
        <v>282</v>
      </c>
      <c r="O124" s="1" t="s">
        <v>285</v>
      </c>
    </row>
    <row r="125" spans="1:15" x14ac:dyDescent="0.25">
      <c r="A125" s="1" t="s">
        <v>174</v>
      </c>
      <c r="B125" s="1" t="s">
        <v>175</v>
      </c>
      <c r="E125" s="2">
        <v>-2.7818181818181815E-2</v>
      </c>
      <c r="G125" s="2">
        <v>0.63363636363636378</v>
      </c>
      <c r="I125" s="2">
        <v>1.4181818181818182</v>
      </c>
      <c r="J125" s="1" t="s">
        <v>224</v>
      </c>
      <c r="L125" s="6">
        <f t="shared" si="3"/>
        <v>2.024</v>
      </c>
      <c r="M125" s="9" t="s">
        <v>276</v>
      </c>
      <c r="N125" s="1" t="s">
        <v>279</v>
      </c>
      <c r="O125" s="1" t="s">
        <v>284</v>
      </c>
    </row>
    <row r="126" spans="1:15" x14ac:dyDescent="0.25">
      <c r="A126" s="1" t="s">
        <v>267</v>
      </c>
      <c r="B126" s="1" t="s">
        <v>268</v>
      </c>
      <c r="C126" s="1" t="s">
        <v>224</v>
      </c>
      <c r="F126" s="1" t="s">
        <v>224</v>
      </c>
      <c r="I126" s="2">
        <v>1.6</v>
      </c>
      <c r="J126" s="1" t="s">
        <v>224</v>
      </c>
      <c r="L126" s="6">
        <f t="shared" si="3"/>
        <v>1.6</v>
      </c>
      <c r="M126" s="9" t="s">
        <v>276</v>
      </c>
      <c r="N126" s="1" t="s">
        <v>279</v>
      </c>
      <c r="O126" s="1" t="s">
        <v>284</v>
      </c>
    </row>
    <row r="127" spans="1:15" x14ac:dyDescent="0.25">
      <c r="A127" t="s">
        <v>243</v>
      </c>
      <c r="B127" s="5" t="s">
        <v>244</v>
      </c>
      <c r="C127" s="1" t="s">
        <v>224</v>
      </c>
      <c r="G127" s="2">
        <v>0.19996363636363637</v>
      </c>
      <c r="I127" s="2">
        <v>1.1970181818181818</v>
      </c>
      <c r="J127" s="1" t="s">
        <v>224</v>
      </c>
      <c r="L127" s="6">
        <f t="shared" si="3"/>
        <v>1.3969818181818181</v>
      </c>
      <c r="M127" s="9" t="s">
        <v>276</v>
      </c>
      <c r="N127" s="1" t="s">
        <v>279</v>
      </c>
      <c r="O127" s="1" t="s">
        <v>284</v>
      </c>
    </row>
    <row r="128" spans="1:15" x14ac:dyDescent="0.25">
      <c r="A128" t="s">
        <v>245</v>
      </c>
      <c r="B128" s="5" t="s">
        <v>246</v>
      </c>
      <c r="C128" s="1" t="s">
        <v>224</v>
      </c>
      <c r="G128" s="2">
        <v>0.9236363636363637</v>
      </c>
      <c r="H128" s="1" t="s">
        <v>224</v>
      </c>
      <c r="K128" s="2">
        <v>0.29818181818181816</v>
      </c>
      <c r="L128" s="6">
        <f t="shared" si="3"/>
        <v>1.2218181818181819</v>
      </c>
      <c r="M128" s="9" t="s">
        <v>276</v>
      </c>
      <c r="N128" s="1" t="s">
        <v>279</v>
      </c>
      <c r="O128" s="1" t="s">
        <v>284</v>
      </c>
    </row>
    <row r="129" spans="1:15" hidden="1" x14ac:dyDescent="0.25">
      <c r="A129" t="s">
        <v>265</v>
      </c>
      <c r="B129" s="5" t="s">
        <v>266</v>
      </c>
      <c r="C129" s="1" t="s">
        <v>224</v>
      </c>
      <c r="F129" s="1" t="s">
        <v>224</v>
      </c>
      <c r="I129" s="2">
        <v>0.92727272727272725</v>
      </c>
      <c r="J129" s="1" t="s">
        <v>224</v>
      </c>
      <c r="L129" s="6">
        <f t="shared" si="3"/>
        <v>0.92727272727272725</v>
      </c>
      <c r="M129" s="8" t="s">
        <v>277</v>
      </c>
      <c r="N129" s="1" t="s">
        <v>280</v>
      </c>
      <c r="O129" s="1" t="s">
        <v>285</v>
      </c>
    </row>
    <row r="130" spans="1:15" x14ac:dyDescent="0.25">
      <c r="A130" s="3" t="s">
        <v>188</v>
      </c>
      <c r="B130" s="3" t="s">
        <v>189</v>
      </c>
      <c r="C130" s="3" t="s">
        <v>217</v>
      </c>
      <c r="D130" s="3"/>
      <c r="E130" s="2">
        <v>0.17836363636363634</v>
      </c>
      <c r="G130" s="2">
        <v>0.27981818181818185</v>
      </c>
      <c r="H130" s="1" t="s">
        <v>224</v>
      </c>
      <c r="J130" s="1" t="s">
        <v>224</v>
      </c>
      <c r="L130" s="6">
        <f t="shared" si="3"/>
        <v>0.45818181818181819</v>
      </c>
      <c r="M130" s="7" t="s">
        <v>276</v>
      </c>
      <c r="O130" s="1" t="s">
        <v>284</v>
      </c>
    </row>
    <row r="131" spans="1:15" x14ac:dyDescent="0.25">
      <c r="A131" s="3" t="s">
        <v>194</v>
      </c>
      <c r="B131" s="3" t="s">
        <v>195</v>
      </c>
      <c r="C131" s="3" t="s">
        <v>217</v>
      </c>
      <c r="D131" s="3"/>
      <c r="E131" s="2">
        <v>0.14727272727272728</v>
      </c>
      <c r="G131" s="2">
        <v>0.252</v>
      </c>
      <c r="H131" s="1" t="s">
        <v>224</v>
      </c>
      <c r="J131" s="1" t="s">
        <v>224</v>
      </c>
      <c r="L131" s="6">
        <f t="shared" ref="L131:L133" si="4">E131+G131+I131+K131</f>
        <v>0.39927272727272728</v>
      </c>
      <c r="M131" s="7" t="s">
        <v>276</v>
      </c>
      <c r="O131" s="1" t="s">
        <v>284</v>
      </c>
    </row>
    <row r="132" spans="1:15" x14ac:dyDescent="0.25">
      <c r="A132" s="1" t="s">
        <v>168</v>
      </c>
      <c r="B132" s="1" t="s">
        <v>169</v>
      </c>
      <c r="E132" s="2">
        <v>-1.5999999999999997E-2</v>
      </c>
      <c r="G132" s="2">
        <v>0.38600000000000001</v>
      </c>
      <c r="H132" s="1" t="s">
        <v>224</v>
      </c>
      <c r="J132" s="1" t="s">
        <v>224</v>
      </c>
      <c r="L132" s="6">
        <f t="shared" si="4"/>
        <v>0.37</v>
      </c>
      <c r="M132" s="9" t="s">
        <v>276</v>
      </c>
      <c r="N132" s="1" t="s">
        <v>279</v>
      </c>
      <c r="O132" s="1" t="s">
        <v>284</v>
      </c>
    </row>
    <row r="133" spans="1:15" x14ac:dyDescent="0.25">
      <c r="A133" s="3" t="s">
        <v>196</v>
      </c>
      <c r="B133" s="3" t="s">
        <v>197</v>
      </c>
      <c r="C133" s="3" t="s">
        <v>217</v>
      </c>
      <c r="D133" s="3"/>
      <c r="E133" s="2">
        <v>0.14399999999999999</v>
      </c>
      <c r="G133" s="2">
        <v>0.2176363636363636</v>
      </c>
      <c r="H133" s="1" t="s">
        <v>224</v>
      </c>
      <c r="J133" s="1" t="s">
        <v>224</v>
      </c>
      <c r="L133" s="6">
        <f t="shared" si="4"/>
        <v>0.36163636363636359</v>
      </c>
      <c r="M133" s="7" t="s">
        <v>276</v>
      </c>
      <c r="O133" s="1" t="s">
        <v>284</v>
      </c>
    </row>
  </sheetData>
  <autoFilter ref="A2:N133" xr:uid="{55D3D372-5C7B-48C4-A0AC-36D954A68C0D}">
    <filterColumn colId="12">
      <filters>
        <filter val="ДА"/>
      </filters>
    </filterColumn>
  </autoFilter>
  <mergeCells count="4">
    <mergeCell ref="C1:E1"/>
    <mergeCell ref="F1:G1"/>
    <mergeCell ref="H1:I1"/>
    <mergeCell ref="J1:K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User</cp:lastModifiedBy>
  <dcterms:created xsi:type="dcterms:W3CDTF">2015-06-05T18:19:34Z</dcterms:created>
  <dcterms:modified xsi:type="dcterms:W3CDTF">2026-07-21T15:43:07Z</dcterms:modified>
</cp:coreProperties>
</file>