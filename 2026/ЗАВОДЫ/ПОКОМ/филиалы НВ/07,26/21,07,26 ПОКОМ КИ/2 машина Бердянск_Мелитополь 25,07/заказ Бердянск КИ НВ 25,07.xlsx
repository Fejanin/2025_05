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91F16D3E-2E3C-4BBC-B614-9B6D46C0D57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0" i="1" l="1"/>
  <c r="X539" i="1"/>
  <c r="BO538" i="1"/>
  <c r="BM538" i="1"/>
  <c r="Y538" i="1"/>
  <c r="P538" i="1"/>
  <c r="X535" i="1"/>
  <c r="X534" i="1"/>
  <c r="BO533" i="1"/>
  <c r="BM533" i="1"/>
  <c r="Y533" i="1"/>
  <c r="P533" i="1"/>
  <c r="BP532" i="1"/>
  <c r="BO532" i="1"/>
  <c r="BN532" i="1"/>
  <c r="BM532" i="1"/>
  <c r="Z532" i="1"/>
  <c r="Y532" i="1"/>
  <c r="P532" i="1"/>
  <c r="X530" i="1"/>
  <c r="Y529" i="1"/>
  <c r="X529" i="1"/>
  <c r="BP528" i="1"/>
  <c r="BO528" i="1"/>
  <c r="BN528" i="1"/>
  <c r="BM528" i="1"/>
  <c r="Z528" i="1"/>
  <c r="Z529" i="1" s="1"/>
  <c r="Y528" i="1"/>
  <c r="Y530" i="1" s="1"/>
  <c r="P528" i="1"/>
  <c r="X526" i="1"/>
  <c r="Y525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X517" i="1"/>
  <c r="X516" i="1"/>
  <c r="BO515" i="1"/>
  <c r="BM515" i="1"/>
  <c r="Y515" i="1"/>
  <c r="P515" i="1"/>
  <c r="X511" i="1"/>
  <c r="X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P498" i="1"/>
  <c r="BO498" i="1"/>
  <c r="BN498" i="1"/>
  <c r="BM498" i="1"/>
  <c r="Z498" i="1"/>
  <c r="Y498" i="1"/>
  <c r="P498" i="1"/>
  <c r="BO497" i="1"/>
  <c r="BM497" i="1"/>
  <c r="Y497" i="1"/>
  <c r="P497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P486" i="1"/>
  <c r="BO485" i="1"/>
  <c r="BM485" i="1"/>
  <c r="Y485" i="1"/>
  <c r="P485" i="1"/>
  <c r="X481" i="1"/>
  <c r="X480" i="1"/>
  <c r="BO479" i="1"/>
  <c r="BM479" i="1"/>
  <c r="Y479" i="1"/>
  <c r="P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X465" i="1"/>
  <c r="X464" i="1"/>
  <c r="BP463" i="1"/>
  <c r="BO463" i="1"/>
  <c r="BN463" i="1"/>
  <c r="BM463" i="1"/>
  <c r="Z463" i="1"/>
  <c r="Y463" i="1"/>
  <c r="P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X438" i="1"/>
  <c r="Y437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7" i="1"/>
  <c r="X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X421" i="1"/>
  <c r="X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BP413" i="1" s="1"/>
  <c r="P413" i="1"/>
  <c r="BP412" i="1"/>
  <c r="BO412" i="1"/>
  <c r="BN412" i="1"/>
  <c r="BM412" i="1"/>
  <c r="Z412" i="1"/>
  <c r="Y412" i="1"/>
  <c r="P412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BP405" i="1" s="1"/>
  <c r="P405" i="1"/>
  <c r="BP404" i="1"/>
  <c r="BO404" i="1"/>
  <c r="BN404" i="1"/>
  <c r="BM404" i="1"/>
  <c r="Z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BP398" i="1" s="1"/>
  <c r="P398" i="1"/>
  <c r="BP397" i="1"/>
  <c r="BO397" i="1"/>
  <c r="BN397" i="1"/>
  <c r="BM397" i="1"/>
  <c r="Z397" i="1"/>
  <c r="Y397" i="1"/>
  <c r="Y401" i="1" s="1"/>
  <c r="P397" i="1"/>
  <c r="X395" i="1"/>
  <c r="X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Y395" i="1" s="1"/>
  <c r="P391" i="1"/>
  <c r="X389" i="1"/>
  <c r="X388" i="1"/>
  <c r="BP387" i="1"/>
  <c r="BO387" i="1"/>
  <c r="BN387" i="1"/>
  <c r="BM387" i="1"/>
  <c r="Z387" i="1"/>
  <c r="Y387" i="1"/>
  <c r="P387" i="1"/>
  <c r="BO386" i="1"/>
  <c r="BM386" i="1"/>
  <c r="Y386" i="1"/>
  <c r="BP386" i="1" s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2" i="1"/>
  <c r="X381" i="1"/>
  <c r="BO380" i="1"/>
  <c r="BM380" i="1"/>
  <c r="Y380" i="1"/>
  <c r="P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Y376" i="1" s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Y369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Y349" i="1" s="1"/>
  <c r="P347" i="1"/>
  <c r="BP346" i="1"/>
  <c r="BO346" i="1"/>
  <c r="BN346" i="1"/>
  <c r="BM346" i="1"/>
  <c r="Z346" i="1"/>
  <c r="Y346" i="1"/>
  <c r="S551" i="1" s="1"/>
  <c r="P346" i="1"/>
  <c r="X343" i="1"/>
  <c r="X342" i="1"/>
  <c r="BP341" i="1"/>
  <c r="BO341" i="1"/>
  <c r="BN341" i="1"/>
  <c r="BM341" i="1"/>
  <c r="Z341" i="1"/>
  <c r="Y341" i="1"/>
  <c r="P341" i="1"/>
  <c r="BO340" i="1"/>
  <c r="BM340" i="1"/>
  <c r="Y340" i="1"/>
  <c r="P340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BP333" i="1"/>
  <c r="BO333" i="1"/>
  <c r="BN333" i="1"/>
  <c r="BM333" i="1"/>
  <c r="Z333" i="1"/>
  <c r="Y333" i="1"/>
  <c r="P333" i="1"/>
  <c r="BO332" i="1"/>
  <c r="BM332" i="1"/>
  <c r="Y332" i="1"/>
  <c r="P332" i="1"/>
  <c r="X329" i="1"/>
  <c r="X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Y329" i="1" s="1"/>
  <c r="P325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3" i="1"/>
  <c r="X312" i="1"/>
  <c r="BO311" i="1"/>
  <c r="BM311" i="1"/>
  <c r="Y311" i="1"/>
  <c r="P311" i="1"/>
  <c r="BP310" i="1"/>
  <c r="BO310" i="1"/>
  <c r="BN310" i="1"/>
  <c r="BM310" i="1"/>
  <c r="Z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9" i="1"/>
  <c r="X298" i="1"/>
  <c r="BO297" i="1"/>
  <c r="BM297" i="1"/>
  <c r="Y297" i="1"/>
  <c r="P297" i="1"/>
  <c r="BP296" i="1"/>
  <c r="BO296" i="1"/>
  <c r="BN296" i="1"/>
  <c r="BM296" i="1"/>
  <c r="Z296" i="1"/>
  <c r="Y296" i="1"/>
  <c r="P296" i="1"/>
  <c r="BO295" i="1"/>
  <c r="BM295" i="1"/>
  <c r="Y295" i="1"/>
  <c r="P295" i="1"/>
  <c r="BP294" i="1"/>
  <c r="BO294" i="1"/>
  <c r="BN294" i="1"/>
  <c r="BM294" i="1"/>
  <c r="Z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Y299" i="1" s="1"/>
  <c r="P291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Y287" i="1" s="1"/>
  <c r="P285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8" i="1"/>
  <c r="X267" i="1"/>
  <c r="BO266" i="1"/>
  <c r="BM266" i="1"/>
  <c r="Y266" i="1"/>
  <c r="P266" i="1"/>
  <c r="BO265" i="1"/>
  <c r="BM265" i="1"/>
  <c r="Y265" i="1"/>
  <c r="BP265" i="1" s="1"/>
  <c r="P265" i="1"/>
  <c r="BP264" i="1"/>
  <c r="BO264" i="1"/>
  <c r="BN264" i="1"/>
  <c r="BM264" i="1"/>
  <c r="Z264" i="1"/>
  <c r="Y264" i="1"/>
  <c r="P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BO261" i="1"/>
  <c r="BM261" i="1"/>
  <c r="Y261" i="1"/>
  <c r="BP261" i="1" s="1"/>
  <c r="P261" i="1"/>
  <c r="BP260" i="1"/>
  <c r="BO260" i="1"/>
  <c r="BN260" i="1"/>
  <c r="BM260" i="1"/>
  <c r="Z260" i="1"/>
  <c r="Y260" i="1"/>
  <c r="P260" i="1"/>
  <c r="BO259" i="1"/>
  <c r="BM259" i="1"/>
  <c r="Y259" i="1"/>
  <c r="Y267" i="1" s="1"/>
  <c r="P259" i="1"/>
  <c r="X257" i="1"/>
  <c r="X256" i="1"/>
  <c r="BO255" i="1"/>
  <c r="BM255" i="1"/>
  <c r="Y255" i="1"/>
  <c r="BP255" i="1" s="1"/>
  <c r="P255" i="1"/>
  <c r="BP254" i="1"/>
  <c r="BO254" i="1"/>
  <c r="BN254" i="1"/>
  <c r="BM254" i="1"/>
  <c r="Z254" i="1"/>
  <c r="Y254" i="1"/>
  <c r="Y256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M551" i="1" s="1"/>
  <c r="P249" i="1"/>
  <c r="X246" i="1"/>
  <c r="X245" i="1"/>
  <c r="BO244" i="1"/>
  <c r="BM244" i="1"/>
  <c r="Y244" i="1"/>
  <c r="Y245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Y241" i="1" s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Y235" i="1" s="1"/>
  <c r="P230" i="1"/>
  <c r="X228" i="1"/>
  <c r="X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Y227" i="1" s="1"/>
  <c r="P213" i="1"/>
  <c r="X211" i="1"/>
  <c r="Y210" i="1"/>
  <c r="X210" i="1"/>
  <c r="BP209" i="1"/>
  <c r="BO209" i="1"/>
  <c r="BN209" i="1"/>
  <c r="BM209" i="1"/>
  <c r="Z209" i="1"/>
  <c r="Z210" i="1" s="1"/>
  <c r="Y209" i="1"/>
  <c r="P209" i="1"/>
  <c r="X206" i="1"/>
  <c r="X205" i="1"/>
  <c r="BP204" i="1"/>
  <c r="BO204" i="1"/>
  <c r="BN204" i="1"/>
  <c r="BM204" i="1"/>
  <c r="Z204" i="1"/>
  <c r="Y204" i="1"/>
  <c r="P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90" i="1"/>
  <c r="X189" i="1"/>
  <c r="BP188" i="1"/>
  <c r="BO188" i="1"/>
  <c r="BN188" i="1"/>
  <c r="BM188" i="1"/>
  <c r="Z188" i="1"/>
  <c r="Y188" i="1"/>
  <c r="P188" i="1"/>
  <c r="BO187" i="1"/>
  <c r="BM187" i="1"/>
  <c r="Y187" i="1"/>
  <c r="Y190" i="1" s="1"/>
  <c r="P187" i="1"/>
  <c r="X185" i="1"/>
  <c r="X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Y184" i="1" s="1"/>
  <c r="P181" i="1"/>
  <c r="X179" i="1"/>
  <c r="X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Y178" i="1" s="1"/>
  <c r="P166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60" i="1"/>
  <c r="X159" i="1"/>
  <c r="BP158" i="1"/>
  <c r="BO158" i="1"/>
  <c r="BN158" i="1"/>
  <c r="BM158" i="1"/>
  <c r="Z158" i="1"/>
  <c r="Y158" i="1"/>
  <c r="P158" i="1"/>
  <c r="BO157" i="1"/>
  <c r="BM157" i="1"/>
  <c r="Y157" i="1"/>
  <c r="BP157" i="1" s="1"/>
  <c r="P157" i="1"/>
  <c r="BP156" i="1"/>
  <c r="BO156" i="1"/>
  <c r="BN156" i="1"/>
  <c r="BM156" i="1"/>
  <c r="Z156" i="1"/>
  <c r="Y156" i="1"/>
  <c r="P156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I551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Y144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Y140" i="1" s="1"/>
  <c r="P137" i="1"/>
  <c r="X135" i="1"/>
  <c r="X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51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51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45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F9" i="1" l="1"/>
  <c r="J9" i="1"/>
  <c r="F10" i="1"/>
  <c r="Y25" i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Y135" i="1"/>
  <c r="Y139" i="1"/>
  <c r="Y145" i="1"/>
  <c r="Y152" i="1"/>
  <c r="Y159" i="1"/>
  <c r="Y179" i="1"/>
  <c r="Y185" i="1"/>
  <c r="Y189" i="1"/>
  <c r="Y205" i="1"/>
  <c r="Y228" i="1"/>
  <c r="Y236" i="1"/>
  <c r="Y242" i="1"/>
  <c r="Y246" i="1"/>
  <c r="Y251" i="1"/>
  <c r="Y257" i="1"/>
  <c r="BP272" i="1"/>
  <c r="BN272" i="1"/>
  <c r="Z272" i="1"/>
  <c r="BP276" i="1"/>
  <c r="BN276" i="1"/>
  <c r="Z276" i="1"/>
  <c r="BP280" i="1"/>
  <c r="BN280" i="1"/>
  <c r="Z280" i="1"/>
  <c r="BP293" i="1"/>
  <c r="BN293" i="1"/>
  <c r="Z293" i="1"/>
  <c r="BP297" i="1"/>
  <c r="BN297" i="1"/>
  <c r="Z297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Y312" i="1"/>
  <c r="BP309" i="1"/>
  <c r="BN309" i="1"/>
  <c r="Z309" i="1"/>
  <c r="BP318" i="1"/>
  <c r="BN318" i="1"/>
  <c r="Z318" i="1"/>
  <c r="BP327" i="1"/>
  <c r="BN327" i="1"/>
  <c r="Z327" i="1"/>
  <c r="R551" i="1"/>
  <c r="Y337" i="1"/>
  <c r="BP332" i="1"/>
  <c r="BN332" i="1"/>
  <c r="Z332" i="1"/>
  <c r="BP336" i="1"/>
  <c r="BN336" i="1"/>
  <c r="Z336" i="1"/>
  <c r="Y338" i="1"/>
  <c r="Y343" i="1"/>
  <c r="BP340" i="1"/>
  <c r="BN340" i="1"/>
  <c r="Z340" i="1"/>
  <c r="Z342" i="1" s="1"/>
  <c r="BP354" i="1"/>
  <c r="BN354" i="1"/>
  <c r="Z354" i="1"/>
  <c r="Z358" i="1" s="1"/>
  <c r="Y358" i="1"/>
  <c r="BP362" i="1"/>
  <c r="BN362" i="1"/>
  <c r="Z362" i="1"/>
  <c r="BP366" i="1"/>
  <c r="BN366" i="1"/>
  <c r="Z366" i="1"/>
  <c r="Y375" i="1"/>
  <c r="BP374" i="1"/>
  <c r="BN374" i="1"/>
  <c r="Z374" i="1"/>
  <c r="Y381" i="1"/>
  <c r="BP378" i="1"/>
  <c r="BN378" i="1"/>
  <c r="Z378" i="1"/>
  <c r="H9" i="1"/>
  <c r="B551" i="1"/>
  <c r="X542" i="1"/>
  <c r="X543" i="1"/>
  <c r="Z23" i="1"/>
  <c r="Z24" i="1" s="1"/>
  <c r="BN23" i="1"/>
  <c r="Y542" i="1" s="1"/>
  <c r="Y24" i="1"/>
  <c r="X541" i="1"/>
  <c r="Z27" i="1"/>
  <c r="BN27" i="1"/>
  <c r="BP27" i="1"/>
  <c r="Y543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Z45" i="1"/>
  <c r="BN45" i="1"/>
  <c r="Y46" i="1"/>
  <c r="Z51" i="1"/>
  <c r="BN51" i="1"/>
  <c r="BP51" i="1"/>
  <c r="Z53" i="1"/>
  <c r="BN53" i="1"/>
  <c r="Y56" i="1"/>
  <c r="E551" i="1"/>
  <c r="Z60" i="1"/>
  <c r="Z67" i="1" s="1"/>
  <c r="BN60" i="1"/>
  <c r="Z62" i="1"/>
  <c r="BN62" i="1"/>
  <c r="Z64" i="1"/>
  <c r="BN64" i="1"/>
  <c r="Z66" i="1"/>
  <c r="BN66" i="1"/>
  <c r="Y67" i="1"/>
  <c r="Z70" i="1"/>
  <c r="BN70" i="1"/>
  <c r="BP70" i="1"/>
  <c r="Z72" i="1"/>
  <c r="BN72" i="1"/>
  <c r="Z78" i="1"/>
  <c r="Z79" i="1" s="1"/>
  <c r="BN78" i="1"/>
  <c r="Z82" i="1"/>
  <c r="Z84" i="1" s="1"/>
  <c r="BN82" i="1"/>
  <c r="BP82" i="1"/>
  <c r="F551" i="1"/>
  <c r="Z89" i="1"/>
  <c r="Z92" i="1" s="1"/>
  <c r="BN89" i="1"/>
  <c r="Z91" i="1"/>
  <c r="BN91" i="1"/>
  <c r="Y92" i="1"/>
  <c r="Z95" i="1"/>
  <c r="BN95" i="1"/>
  <c r="BP95" i="1"/>
  <c r="Z97" i="1"/>
  <c r="BN97" i="1"/>
  <c r="G551" i="1"/>
  <c r="Z104" i="1"/>
  <c r="Z109" i="1" s="1"/>
  <c r="BN104" i="1"/>
  <c r="Z106" i="1"/>
  <c r="BN106" i="1"/>
  <c r="Z108" i="1"/>
  <c r="BN108" i="1"/>
  <c r="Y109" i="1"/>
  <c r="Z112" i="1"/>
  <c r="Z117" i="1" s="1"/>
  <c r="BN112" i="1"/>
  <c r="BP112" i="1"/>
  <c r="Z114" i="1"/>
  <c r="BN114" i="1"/>
  <c r="Z116" i="1"/>
  <c r="BN116" i="1"/>
  <c r="Z120" i="1"/>
  <c r="BN120" i="1"/>
  <c r="BP120" i="1"/>
  <c r="Z122" i="1"/>
  <c r="BN122" i="1"/>
  <c r="H551" i="1"/>
  <c r="Z133" i="1"/>
  <c r="Z134" i="1" s="1"/>
  <c r="BN133" i="1"/>
  <c r="Y134" i="1"/>
  <c r="Z137" i="1"/>
  <c r="Z139" i="1" s="1"/>
  <c r="BN137" i="1"/>
  <c r="BP137" i="1"/>
  <c r="Z143" i="1"/>
  <c r="Z144" i="1" s="1"/>
  <c r="BN143" i="1"/>
  <c r="Z148" i="1"/>
  <c r="BN148" i="1"/>
  <c r="BP148" i="1"/>
  <c r="Z150" i="1"/>
  <c r="BN150" i="1"/>
  <c r="Y153" i="1"/>
  <c r="J551" i="1"/>
  <c r="Z157" i="1"/>
  <c r="Z159" i="1" s="1"/>
  <c r="BN157" i="1"/>
  <c r="Y160" i="1"/>
  <c r="Z167" i="1"/>
  <c r="Z178" i="1" s="1"/>
  <c r="BN167" i="1"/>
  <c r="Z169" i="1"/>
  <c r="BN169" i="1"/>
  <c r="Z171" i="1"/>
  <c r="BN171" i="1"/>
  <c r="Z173" i="1"/>
  <c r="BN173" i="1"/>
  <c r="Z175" i="1"/>
  <c r="BN175" i="1"/>
  <c r="Z177" i="1"/>
  <c r="BN177" i="1"/>
  <c r="Z181" i="1"/>
  <c r="BN181" i="1"/>
  <c r="BP181" i="1"/>
  <c r="Z183" i="1"/>
  <c r="BN183" i="1"/>
  <c r="Z187" i="1"/>
  <c r="Z189" i="1" s="1"/>
  <c r="BN187" i="1"/>
  <c r="BP187" i="1"/>
  <c r="K551" i="1"/>
  <c r="Z199" i="1"/>
  <c r="Z205" i="1" s="1"/>
  <c r="BN199" i="1"/>
  <c r="Z201" i="1"/>
  <c r="BN201" i="1"/>
  <c r="Z203" i="1"/>
  <c r="BN203" i="1"/>
  <c r="Y206" i="1"/>
  <c r="L551" i="1"/>
  <c r="Y211" i="1"/>
  <c r="Z214" i="1"/>
  <c r="Z227" i="1" s="1"/>
  <c r="BN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Z230" i="1"/>
  <c r="BN230" i="1"/>
  <c r="BP230" i="1"/>
  <c r="Z232" i="1"/>
  <c r="BN232" i="1"/>
  <c r="Z234" i="1"/>
  <c r="BN234" i="1"/>
  <c r="Z238" i="1"/>
  <c r="BN238" i="1"/>
  <c r="BP238" i="1"/>
  <c r="Z240" i="1"/>
  <c r="BN240" i="1"/>
  <c r="Z244" i="1"/>
  <c r="Z245" i="1" s="1"/>
  <c r="BN244" i="1"/>
  <c r="BP244" i="1"/>
  <c r="Z249" i="1"/>
  <c r="Z251" i="1" s="1"/>
  <c r="BN249" i="1"/>
  <c r="BP249" i="1"/>
  <c r="Y252" i="1"/>
  <c r="Z255" i="1"/>
  <c r="Z256" i="1" s="1"/>
  <c r="BN255" i="1"/>
  <c r="Z259" i="1"/>
  <c r="BN259" i="1"/>
  <c r="BP259" i="1"/>
  <c r="Z261" i="1"/>
  <c r="BN261" i="1"/>
  <c r="Z263" i="1"/>
  <c r="BN263" i="1"/>
  <c r="Z265" i="1"/>
  <c r="BN265" i="1"/>
  <c r="BP266" i="1"/>
  <c r="BN266" i="1"/>
  <c r="Z266" i="1"/>
  <c r="Y268" i="1"/>
  <c r="Y283" i="1"/>
  <c r="BP270" i="1"/>
  <c r="BN270" i="1"/>
  <c r="Z270" i="1"/>
  <c r="BP274" i="1"/>
  <c r="BN274" i="1"/>
  <c r="Z274" i="1"/>
  <c r="BP278" i="1"/>
  <c r="BN278" i="1"/>
  <c r="Z278" i="1"/>
  <c r="Y282" i="1"/>
  <c r="BP286" i="1"/>
  <c r="BN286" i="1"/>
  <c r="Z286" i="1"/>
  <c r="Z287" i="1" s="1"/>
  <c r="Y288" i="1"/>
  <c r="Y298" i="1"/>
  <c r="BP291" i="1"/>
  <c r="BN291" i="1"/>
  <c r="Z291" i="1"/>
  <c r="O551" i="1"/>
  <c r="BP295" i="1"/>
  <c r="BN295" i="1"/>
  <c r="Z295" i="1"/>
  <c r="BP311" i="1"/>
  <c r="BN311" i="1"/>
  <c r="Z311" i="1"/>
  <c r="Y313" i="1"/>
  <c r="P551" i="1"/>
  <c r="Y321" i="1"/>
  <c r="BP316" i="1"/>
  <c r="BN316" i="1"/>
  <c r="Z316" i="1"/>
  <c r="Z321" i="1" s="1"/>
  <c r="BP320" i="1"/>
  <c r="BN320" i="1"/>
  <c r="Z320" i="1"/>
  <c r="Y322" i="1"/>
  <c r="Q551" i="1"/>
  <c r="Y328" i="1"/>
  <c r="BP325" i="1"/>
  <c r="BN325" i="1"/>
  <c r="Z325" i="1"/>
  <c r="Z328" i="1" s="1"/>
  <c r="BP334" i="1"/>
  <c r="BN334" i="1"/>
  <c r="Z334" i="1"/>
  <c r="Y342" i="1"/>
  <c r="BP347" i="1"/>
  <c r="BN347" i="1"/>
  <c r="Z347" i="1"/>
  <c r="Z349" i="1" s="1"/>
  <c r="BP356" i="1"/>
  <c r="BN356" i="1"/>
  <c r="Z356" i="1"/>
  <c r="BP364" i="1"/>
  <c r="BN364" i="1"/>
  <c r="Z364" i="1"/>
  <c r="Z368" i="1" s="1"/>
  <c r="Y368" i="1"/>
  <c r="BP372" i="1"/>
  <c r="BN372" i="1"/>
  <c r="Z372" i="1"/>
  <c r="Z375" i="1" s="1"/>
  <c r="BP380" i="1"/>
  <c r="BN380" i="1"/>
  <c r="Z380" i="1"/>
  <c r="Y382" i="1"/>
  <c r="Y389" i="1"/>
  <c r="BP384" i="1"/>
  <c r="BN384" i="1"/>
  <c r="Z384" i="1"/>
  <c r="Y388" i="1"/>
  <c r="Y394" i="1"/>
  <c r="Y400" i="1"/>
  <c r="Y407" i="1"/>
  <c r="BP415" i="1"/>
  <c r="BN415" i="1"/>
  <c r="BP417" i="1"/>
  <c r="BN417" i="1"/>
  <c r="Z417" i="1"/>
  <c r="BP425" i="1"/>
  <c r="BN425" i="1"/>
  <c r="Z425" i="1"/>
  <c r="Y427" i="1"/>
  <c r="Y432" i="1"/>
  <c r="BP429" i="1"/>
  <c r="BN429" i="1"/>
  <c r="Z429" i="1"/>
  <c r="BP442" i="1"/>
  <c r="BN442" i="1"/>
  <c r="Z442" i="1"/>
  <c r="Z443" i="1" s="1"/>
  <c r="Y444" i="1"/>
  <c r="Y447" i="1"/>
  <c r="BP446" i="1"/>
  <c r="BN446" i="1"/>
  <c r="Z446" i="1"/>
  <c r="Z447" i="1" s="1"/>
  <c r="Y448" i="1"/>
  <c r="Y453" i="1"/>
  <c r="BP450" i="1"/>
  <c r="BN450" i="1"/>
  <c r="Z450" i="1"/>
  <c r="BP460" i="1"/>
  <c r="BN460" i="1"/>
  <c r="Z460" i="1"/>
  <c r="Y464" i="1"/>
  <c r="BP468" i="1"/>
  <c r="BN468" i="1"/>
  <c r="Z468" i="1"/>
  <c r="Z469" i="1" s="1"/>
  <c r="Y470" i="1"/>
  <c r="Y551" i="1"/>
  <c r="Y474" i="1"/>
  <c r="BP473" i="1"/>
  <c r="BN473" i="1"/>
  <c r="Z473" i="1"/>
  <c r="Z474" i="1" s="1"/>
  <c r="Y475" i="1"/>
  <c r="Y480" i="1"/>
  <c r="BP477" i="1"/>
  <c r="BN477" i="1"/>
  <c r="Z477" i="1"/>
  <c r="Y481" i="1"/>
  <c r="BP487" i="1"/>
  <c r="BN487" i="1"/>
  <c r="Z487" i="1"/>
  <c r="BP491" i="1"/>
  <c r="BN491" i="1"/>
  <c r="Z491" i="1"/>
  <c r="BP499" i="1"/>
  <c r="BN499" i="1"/>
  <c r="Z499" i="1"/>
  <c r="Y501" i="1"/>
  <c r="Y510" i="1"/>
  <c r="BP503" i="1"/>
  <c r="BN503" i="1"/>
  <c r="Z503" i="1"/>
  <c r="Y511" i="1"/>
  <c r="BP507" i="1"/>
  <c r="BN507" i="1"/>
  <c r="Z507" i="1"/>
  <c r="BP533" i="1"/>
  <c r="BN533" i="1"/>
  <c r="Z533" i="1"/>
  <c r="Z534" i="1" s="1"/>
  <c r="Y535" i="1"/>
  <c r="AB551" i="1"/>
  <c r="Y539" i="1"/>
  <c r="BP538" i="1"/>
  <c r="BN538" i="1"/>
  <c r="Z538" i="1"/>
  <c r="Z539" i="1" s="1"/>
  <c r="Y540" i="1"/>
  <c r="W551" i="1"/>
  <c r="Y350" i="1"/>
  <c r="T551" i="1"/>
  <c r="Y359" i="1"/>
  <c r="Z386" i="1"/>
  <c r="BN386" i="1"/>
  <c r="Z392" i="1"/>
  <c r="Z394" i="1" s="1"/>
  <c r="BN392" i="1"/>
  <c r="Z398" i="1"/>
  <c r="Z400" i="1" s="1"/>
  <c r="BN398" i="1"/>
  <c r="U551" i="1"/>
  <c r="Z405" i="1"/>
  <c r="Z407" i="1" s="1"/>
  <c r="BN405" i="1"/>
  <c r="Y408" i="1"/>
  <c r="V551" i="1"/>
  <c r="Y420" i="1"/>
  <c r="Z413" i="1"/>
  <c r="Z420" i="1" s="1"/>
  <c r="BN413" i="1"/>
  <c r="Z415" i="1"/>
  <c r="BP419" i="1"/>
  <c r="BN419" i="1"/>
  <c r="Z419" i="1"/>
  <c r="Y421" i="1"/>
  <c r="Y426" i="1"/>
  <c r="BP423" i="1"/>
  <c r="BN423" i="1"/>
  <c r="Z423" i="1"/>
  <c r="Z426" i="1" s="1"/>
  <c r="BP431" i="1"/>
  <c r="BN431" i="1"/>
  <c r="Z431" i="1"/>
  <c r="Y433" i="1"/>
  <c r="Y438" i="1"/>
  <c r="BP435" i="1"/>
  <c r="BN435" i="1"/>
  <c r="Z435" i="1"/>
  <c r="Z437" i="1" s="1"/>
  <c r="Y443" i="1"/>
  <c r="BP452" i="1"/>
  <c r="BN452" i="1"/>
  <c r="Z452" i="1"/>
  <c r="Y454" i="1"/>
  <c r="X551" i="1"/>
  <c r="Y465" i="1"/>
  <c r="BP458" i="1"/>
  <c r="BN458" i="1"/>
  <c r="Z458" i="1"/>
  <c r="Z464" i="1" s="1"/>
  <c r="BP462" i="1"/>
  <c r="BN462" i="1"/>
  <c r="Z462" i="1"/>
  <c r="Y469" i="1"/>
  <c r="AA551" i="1"/>
  <c r="BP479" i="1"/>
  <c r="BN479" i="1"/>
  <c r="Z479" i="1"/>
  <c r="Z551" i="1"/>
  <c r="Y494" i="1"/>
  <c r="BP485" i="1"/>
  <c r="BN485" i="1"/>
  <c r="Z485" i="1"/>
  <c r="BP489" i="1"/>
  <c r="BN489" i="1"/>
  <c r="Z489" i="1"/>
  <c r="BP493" i="1"/>
  <c r="BN493" i="1"/>
  <c r="Z493" i="1"/>
  <c r="Y495" i="1"/>
  <c r="Y500" i="1"/>
  <c r="BP497" i="1"/>
  <c r="BN497" i="1"/>
  <c r="Z497" i="1"/>
  <c r="Z500" i="1" s="1"/>
  <c r="BP505" i="1"/>
  <c r="BN505" i="1"/>
  <c r="Z505" i="1"/>
  <c r="BP509" i="1"/>
  <c r="BN509" i="1"/>
  <c r="Z509" i="1"/>
  <c r="Y516" i="1"/>
  <c r="BP515" i="1"/>
  <c r="BN515" i="1"/>
  <c r="Z515" i="1"/>
  <c r="Z516" i="1" s="1"/>
  <c r="Y517" i="1"/>
  <c r="Y520" i="1"/>
  <c r="BP519" i="1"/>
  <c r="BN519" i="1"/>
  <c r="Z519" i="1"/>
  <c r="Z520" i="1" s="1"/>
  <c r="Y521" i="1"/>
  <c r="Y526" i="1"/>
  <c r="BP523" i="1"/>
  <c r="BN523" i="1"/>
  <c r="Z523" i="1"/>
  <c r="Z525" i="1" s="1"/>
  <c r="Y534" i="1"/>
  <c r="Y544" i="1" l="1"/>
  <c r="Z480" i="1"/>
  <c r="Z453" i="1"/>
  <c r="Z388" i="1"/>
  <c r="Z298" i="1"/>
  <c r="Z235" i="1"/>
  <c r="Z184" i="1"/>
  <c r="Z152" i="1"/>
  <c r="Z124" i="1"/>
  <c r="Z99" i="1"/>
  <c r="Z74" i="1"/>
  <c r="Z55" i="1"/>
  <c r="Z46" i="1"/>
  <c r="Z32" i="1"/>
  <c r="Z546" i="1" s="1"/>
  <c r="Y545" i="1"/>
  <c r="X544" i="1"/>
  <c r="Z381" i="1"/>
  <c r="Z337" i="1"/>
  <c r="Y541" i="1"/>
  <c r="Z494" i="1"/>
  <c r="Z510" i="1"/>
  <c r="Z432" i="1"/>
  <c r="Z282" i="1"/>
  <c r="Z267" i="1"/>
  <c r="Z241" i="1"/>
  <c r="Z312" i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<sst xmlns="http://schemas.openxmlformats.org/spreadsheetml/2006/main" count="2448" uniqueCount="889">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</sst>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1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3" customWidth="1"/>
    <col min="19" max="19" width="6.140625" style="61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3" customWidth="1"/>
    <col min="25" max="25" width="11" style="613" customWidth="1"/>
    <col min="26" max="26" width="10" style="613" customWidth="1"/>
    <col min="27" max="27" width="11.5703125" style="613" customWidth="1"/>
    <col min="28" max="28" width="10.42578125" style="613" customWidth="1"/>
    <col min="29" max="29" width="30" style="61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3" customWidth="1"/>
    <col min="34" max="34" width="9.140625" style="613" customWidth="1"/>
    <col min="35" max="16384" width="9.140625" style="613"/>
  </cols>
  <sheetData>
    <row r="1" spans="1:32" s="609" customFormat="1" ht="45" customHeight="1" x14ac:dyDescent="0.2">
      <c r="A1" s="41"/>
      <c r="B1" s="41"/>
      <c r="C1" s="41"/>
      <c r="D1" s="690" t="s">
        <v>0</v>
      </c>
      <c r="E1" s="647"/>
      <c r="F1" s="647"/>
      <c r="G1" s="12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0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6"/>
      <c r="Y2" s="16"/>
      <c r="Z2" s="16"/>
      <c r="AA2" s="16"/>
      <c r="AB2" s="51"/>
      <c r="AC2" s="51"/>
      <c r="AD2" s="51"/>
      <c r="AE2" s="51"/>
    </row>
    <row r="3" spans="1:32" s="60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27"/>
      <c r="Q3" s="627"/>
      <c r="R3" s="627"/>
      <c r="S3" s="627"/>
      <c r="T3" s="627"/>
      <c r="U3" s="627"/>
      <c r="V3" s="627"/>
      <c r="W3" s="627"/>
      <c r="X3" s="16"/>
      <c r="Y3" s="16"/>
      <c r="Z3" s="16"/>
      <c r="AA3" s="16"/>
      <c r="AB3" s="51"/>
      <c r="AC3" s="51"/>
      <c r="AD3" s="51"/>
      <c r="AE3" s="51"/>
    </row>
    <row r="4" spans="1:32" s="60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09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58"/>
      <c r="P5" s="24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1"/>
      <c r="AC5" s="51"/>
      <c r="AD5" s="51"/>
      <c r="AE5" s="51"/>
    </row>
    <row r="6" spans="1:32" s="609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59"/>
      <c r="P6" s="24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1"/>
      <c r="AC6" s="51"/>
      <c r="AD6" s="51"/>
      <c r="AE6" s="51"/>
    </row>
    <row r="7" spans="1:32" s="609" customFormat="1" ht="21.75" hidden="1" customHeight="1" x14ac:dyDescent="0.2">
      <c r="A7" s="55"/>
      <c r="B7" s="55"/>
      <c r="C7" s="55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60"/>
      <c r="P7" s="24"/>
      <c r="Q7" s="42"/>
      <c r="R7" s="42"/>
      <c r="T7" s="627"/>
      <c r="U7" s="704"/>
      <c r="V7" s="854"/>
      <c r="W7" s="855"/>
      <c r="AB7" s="51"/>
      <c r="AC7" s="51"/>
      <c r="AD7" s="51"/>
      <c r="AE7" s="51"/>
    </row>
    <row r="8" spans="1:32" s="609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61"/>
      <c r="P8" s="24" t="s">
        <v>18</v>
      </c>
      <c r="Q8" s="748">
        <v>0.41666666666666669</v>
      </c>
      <c r="R8" s="674"/>
      <c r="T8" s="627"/>
      <c r="U8" s="704"/>
      <c r="V8" s="854"/>
      <c r="W8" s="855"/>
      <c r="AB8" s="51"/>
      <c r="AC8" s="51"/>
      <c r="AD8" s="51"/>
      <c r="AE8" s="51"/>
    </row>
    <row r="9" spans="1:32" s="609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07"/>
      <c r="P9" s="26" t="s">
        <v>19</v>
      </c>
      <c r="Q9" s="735"/>
      <c r="R9" s="736"/>
      <c r="T9" s="627"/>
      <c r="U9" s="704"/>
      <c r="V9" s="856"/>
      <c r="W9" s="857"/>
      <c r="X9" s="43"/>
      <c r="Y9" s="43"/>
      <c r="Z9" s="43"/>
      <c r="AA9" s="43"/>
      <c r="AB9" s="51"/>
      <c r="AC9" s="51"/>
      <c r="AD9" s="51"/>
      <c r="AE9" s="51"/>
    </row>
    <row r="10" spans="1:32" s="609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08"/>
      <c r="P10" s="26" t="s">
        <v>20</v>
      </c>
      <c r="Q10" s="797"/>
      <c r="R10" s="798"/>
      <c r="U10" s="24" t="s">
        <v>21</v>
      </c>
      <c r="V10" s="664" t="s">
        <v>22</v>
      </c>
      <c r="W10" s="665"/>
      <c r="X10" s="44"/>
      <c r="Y10" s="44"/>
      <c r="Z10" s="44"/>
      <c r="AA10" s="44"/>
      <c r="AB10" s="51"/>
      <c r="AC10" s="51"/>
      <c r="AD10" s="51"/>
      <c r="AE10" s="51"/>
    </row>
    <row r="11" spans="1:32" s="60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39"/>
      <c r="R11" s="740"/>
      <c r="U11" s="24" t="s">
        <v>25</v>
      </c>
      <c r="V11" s="891" t="s">
        <v>26</v>
      </c>
      <c r="W11" s="736"/>
      <c r="X11" s="45"/>
      <c r="Y11" s="45"/>
      <c r="Z11" s="45"/>
      <c r="AA11" s="45"/>
      <c r="AB11" s="51"/>
      <c r="AC11" s="51"/>
      <c r="AD11" s="51"/>
      <c r="AE11" s="51"/>
    </row>
    <row r="12" spans="1:32" s="609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28</v>
      </c>
      <c r="Q12" s="748"/>
      <c r="R12" s="674"/>
      <c r="S12" s="23"/>
      <c r="U12" s="24"/>
      <c r="V12" s="647"/>
      <c r="W12" s="627"/>
      <c r="AB12" s="51"/>
      <c r="AC12" s="51"/>
      <c r="AD12" s="51"/>
      <c r="AE12" s="51"/>
    </row>
    <row r="13" spans="1:32" s="609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30</v>
      </c>
      <c r="Q13" s="891"/>
      <c r="R13" s="73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09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09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769" t="s">
        <v>33</v>
      </c>
      <c r="Q15" s="647"/>
      <c r="R15" s="647"/>
      <c r="S15" s="647"/>
      <c r="T15" s="64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66"/>
      <c r="BD17" s="65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67" t="s">
        <v>59</v>
      </c>
      <c r="V18" s="67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66"/>
      <c r="BD18" s="65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48"/>
      <c r="AB19" s="48"/>
      <c r="AC19" s="48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10"/>
      <c r="AB20" s="610"/>
      <c r="AC20" s="610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11"/>
      <c r="AB21" s="611"/>
      <c r="AC21" s="611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19">
        <v>4680115886643</v>
      </c>
      <c r="E22" s="620"/>
      <c r="F22" s="614">
        <v>0.19</v>
      </c>
      <c r="G22" s="32">
        <v>10</v>
      </c>
      <c r="H22" s="614">
        <v>1.9</v>
      </c>
      <c r="I22" s="614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4"/>
      <c r="V22" s="34"/>
      <c r="W22" s="35" t="s">
        <v>67</v>
      </c>
      <c r="X22" s="615">
        <v>0</v>
      </c>
      <c r="Y22" s="61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19">
        <v>4680115889071</v>
      </c>
      <c r="E23" s="620"/>
      <c r="F23" s="614">
        <v>0.3</v>
      </c>
      <c r="G23" s="32">
        <v>6</v>
      </c>
      <c r="H23" s="614">
        <v>1.8</v>
      </c>
      <c r="I23" s="614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4"/>
      <c r="V23" s="34"/>
      <c r="W23" s="35" t="s">
        <v>67</v>
      </c>
      <c r="X23" s="615">
        <v>0</v>
      </c>
      <c r="Y23" s="61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37" t="s">
        <v>73</v>
      </c>
      <c r="X24" s="617">
        <f>IFERROR(X22/H22,"0")+IFERROR(X23/H23,"0")</f>
        <v>0</v>
      </c>
      <c r="Y24" s="617">
        <f>IFERROR(Y22/H22,"0")+IFERROR(Y23/H23,"0")</f>
        <v>0</v>
      </c>
      <c r="Z24" s="617">
        <f>IFERROR(IF(Z22="",0,Z22),"0")+IFERROR(IF(Z23="",0,Z23),"0")</f>
        <v>0</v>
      </c>
      <c r="AA24" s="618"/>
      <c r="AB24" s="618"/>
      <c r="AC24" s="618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37" t="s">
        <v>67</v>
      </c>
      <c r="X25" s="617">
        <f>IFERROR(SUM(X22:X23),"0")</f>
        <v>0</v>
      </c>
      <c r="Y25" s="617">
        <f>IFERROR(SUM(Y22:Y23),"0")</f>
        <v>0</v>
      </c>
      <c r="Z25" s="37"/>
      <c r="AA25" s="618"/>
      <c r="AB25" s="618"/>
      <c r="AC25" s="618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11"/>
      <c r="AB26" s="611"/>
      <c r="AC26" s="611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19">
        <v>4680115885912</v>
      </c>
      <c r="E27" s="620"/>
      <c r="F27" s="614">
        <v>0.3</v>
      </c>
      <c r="G27" s="32">
        <v>6</v>
      </c>
      <c r="H27" s="614">
        <v>1.8</v>
      </c>
      <c r="I27" s="614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4"/>
      <c r="V27" s="34"/>
      <c r="W27" s="35" t="s">
        <v>67</v>
      </c>
      <c r="X27" s="615">
        <v>0</v>
      </c>
      <c r="Y27" s="61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19">
        <v>4607091388237</v>
      </c>
      <c r="E28" s="620"/>
      <c r="F28" s="614">
        <v>0.42</v>
      </c>
      <c r="G28" s="32">
        <v>6</v>
      </c>
      <c r="H28" s="614">
        <v>2.52</v>
      </c>
      <c r="I28" s="614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4"/>
      <c r="V28" s="34"/>
      <c r="W28" s="35" t="s">
        <v>67</v>
      </c>
      <c r="X28" s="615">
        <v>0</v>
      </c>
      <c r="Y28" s="61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19">
        <v>4680115887350</v>
      </c>
      <c r="E29" s="620"/>
      <c r="F29" s="614">
        <v>0.3</v>
      </c>
      <c r="G29" s="32">
        <v>6</v>
      </c>
      <c r="H29" s="614">
        <v>1.8</v>
      </c>
      <c r="I29" s="614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4"/>
      <c r="V29" s="34"/>
      <c r="W29" s="35" t="s">
        <v>67</v>
      </c>
      <c r="X29" s="615">
        <v>0</v>
      </c>
      <c r="Y29" s="61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19">
        <v>4680115885905</v>
      </c>
      <c r="E30" s="620"/>
      <c r="F30" s="614">
        <v>0.3</v>
      </c>
      <c r="G30" s="32">
        <v>6</v>
      </c>
      <c r="H30" s="614">
        <v>1.8</v>
      </c>
      <c r="I30" s="614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4"/>
      <c r="V30" s="34"/>
      <c r="W30" s="35" t="s">
        <v>67</v>
      </c>
      <c r="X30" s="615">
        <v>0</v>
      </c>
      <c r="Y30" s="61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19">
        <v>4680115887619</v>
      </c>
      <c r="E31" s="620"/>
      <c r="F31" s="614">
        <v>0.33</v>
      </c>
      <c r="G31" s="32">
        <v>6</v>
      </c>
      <c r="H31" s="614">
        <v>1.98</v>
      </c>
      <c r="I31" s="614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4"/>
      <c r="V31" s="34"/>
      <c r="W31" s="35" t="s">
        <v>67</v>
      </c>
      <c r="X31" s="615">
        <v>0</v>
      </c>
      <c r="Y31" s="61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37" t="s">
        <v>73</v>
      </c>
      <c r="X32" s="617">
        <f>IFERROR(X27/H27,"0")+IFERROR(X28/H28,"0")+IFERROR(X29/H29,"0")+IFERROR(X30/H30,"0")+IFERROR(X31/H31,"0")</f>
        <v>0</v>
      </c>
      <c r="Y32" s="617">
        <f>IFERROR(Y27/H27,"0")+IFERROR(Y28/H28,"0")+IFERROR(Y29/H29,"0")+IFERROR(Y30/H30,"0")+IFERROR(Y31/H31,"0")</f>
        <v>0</v>
      </c>
      <c r="Z32" s="617">
        <f>IFERROR(IF(Z27="",0,Z27),"0")+IFERROR(IF(Z28="",0,Z28),"0")+IFERROR(IF(Z29="",0,Z29),"0")+IFERROR(IF(Z30="",0,Z30),"0")+IFERROR(IF(Z31="",0,Z31),"0")</f>
        <v>0</v>
      </c>
      <c r="AA32" s="618"/>
      <c r="AB32" s="618"/>
      <c r="AC32" s="618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37" t="s">
        <v>67</v>
      </c>
      <c r="X33" s="617">
        <f>IFERROR(SUM(X27:X31),"0")</f>
        <v>0</v>
      </c>
      <c r="Y33" s="617">
        <f>IFERROR(SUM(Y27:Y31),"0")</f>
        <v>0</v>
      </c>
      <c r="Z33" s="37"/>
      <c r="AA33" s="618"/>
      <c r="AB33" s="618"/>
      <c r="AC33" s="618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11"/>
      <c r="AB34" s="611"/>
      <c r="AC34" s="611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19">
        <v>4607091388503</v>
      </c>
      <c r="E35" s="620"/>
      <c r="F35" s="614">
        <v>0.05</v>
      </c>
      <c r="G35" s="32">
        <v>12</v>
      </c>
      <c r="H35" s="614">
        <v>0.6</v>
      </c>
      <c r="I35" s="614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4"/>
      <c r="V35" s="34"/>
      <c r="W35" s="35" t="s">
        <v>67</v>
      </c>
      <c r="X35" s="615">
        <v>0</v>
      </c>
      <c r="Y35" s="61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37" t="s">
        <v>73</v>
      </c>
      <c r="X36" s="617">
        <f>IFERROR(X35/H35,"0")</f>
        <v>0</v>
      </c>
      <c r="Y36" s="617">
        <f>IFERROR(Y35/H35,"0")</f>
        <v>0</v>
      </c>
      <c r="Z36" s="617">
        <f>IFERROR(IF(Z35="",0,Z35),"0")</f>
        <v>0</v>
      </c>
      <c r="AA36" s="618"/>
      <c r="AB36" s="618"/>
      <c r="AC36" s="618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37" t="s">
        <v>67</v>
      </c>
      <c r="X37" s="617">
        <f>IFERROR(SUM(X35:X35),"0")</f>
        <v>0</v>
      </c>
      <c r="Y37" s="617">
        <f>IFERROR(SUM(Y35:Y35),"0")</f>
        <v>0</v>
      </c>
      <c r="Z37" s="37"/>
      <c r="AA37" s="618"/>
      <c r="AB37" s="618"/>
      <c r="AC37" s="618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48"/>
      <c r="AB38" s="48"/>
      <c r="AC38" s="48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10"/>
      <c r="AB39" s="610"/>
      <c r="AC39" s="610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11"/>
      <c r="AB40" s="611"/>
      <c r="AC40" s="611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19">
        <v>4680115889354</v>
      </c>
      <c r="E41" s="620"/>
      <c r="F41" s="614">
        <v>0.32</v>
      </c>
      <c r="G41" s="32">
        <v>6</v>
      </c>
      <c r="H41" s="614">
        <v>1.92</v>
      </c>
      <c r="I41" s="614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4"/>
      <c r="V41" s="34"/>
      <c r="W41" s="35" t="s">
        <v>67</v>
      </c>
      <c r="X41" s="615">
        <v>0</v>
      </c>
      <c r="Y41" s="61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19">
        <v>4680115888463</v>
      </c>
      <c r="E42" s="620"/>
      <c r="F42" s="614">
        <v>0.32</v>
      </c>
      <c r="G42" s="32">
        <v>6</v>
      </c>
      <c r="H42" s="614">
        <v>1.92</v>
      </c>
      <c r="I42" s="614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4"/>
      <c r="V42" s="34"/>
      <c r="W42" s="35" t="s">
        <v>67</v>
      </c>
      <c r="X42" s="615">
        <v>0</v>
      </c>
      <c r="Y42" s="61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19">
        <v>4680115888494</v>
      </c>
      <c r="E43" s="620"/>
      <c r="F43" s="614">
        <v>0.32</v>
      </c>
      <c r="G43" s="32">
        <v>6</v>
      </c>
      <c r="H43" s="614">
        <v>1.92</v>
      </c>
      <c r="I43" s="614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4"/>
      <c r="V43" s="34"/>
      <c r="W43" s="35" t="s">
        <v>67</v>
      </c>
      <c r="X43" s="615">
        <v>0</v>
      </c>
      <c r="Y43" s="61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19">
        <v>4680115888272</v>
      </c>
      <c r="E44" s="620"/>
      <c r="F44" s="614">
        <v>0.32</v>
      </c>
      <c r="G44" s="32">
        <v>6</v>
      </c>
      <c r="H44" s="614">
        <v>1.92</v>
      </c>
      <c r="I44" s="614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4"/>
      <c r="V44" s="34"/>
      <c r="W44" s="35" t="s">
        <v>67</v>
      </c>
      <c r="X44" s="615">
        <v>0</v>
      </c>
      <c r="Y44" s="61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19">
        <v>4680115888364</v>
      </c>
      <c r="E45" s="620"/>
      <c r="F45" s="614">
        <v>0.32</v>
      </c>
      <c r="G45" s="32">
        <v>6</v>
      </c>
      <c r="H45" s="614">
        <v>1.92</v>
      </c>
      <c r="I45" s="614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4"/>
      <c r="V45" s="34"/>
      <c r="W45" s="35" t="s">
        <v>67</v>
      </c>
      <c r="X45" s="615">
        <v>0</v>
      </c>
      <c r="Y45" s="61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37" t="s">
        <v>73</v>
      </c>
      <c r="X46" s="617">
        <f>IFERROR(X41/H41,"0")+IFERROR(X42/H42,"0")+IFERROR(X43/H43,"0")+IFERROR(X44/H44,"0")+IFERROR(X45/H45,"0")</f>
        <v>0</v>
      </c>
      <c r="Y46" s="617">
        <f>IFERROR(Y41/H41,"0")+IFERROR(Y42/H42,"0")+IFERROR(Y43/H43,"0")+IFERROR(Y44/H44,"0")+IFERROR(Y45/H45,"0")</f>
        <v>0</v>
      </c>
      <c r="Z46" s="617">
        <f>IFERROR(IF(Z41="",0,Z41),"0")+IFERROR(IF(Z42="",0,Z42),"0")+IFERROR(IF(Z43="",0,Z43),"0")+IFERROR(IF(Z44="",0,Z44),"0")+IFERROR(IF(Z45="",0,Z45),"0")</f>
        <v>0</v>
      </c>
      <c r="AA46" s="618"/>
      <c r="AB46" s="618"/>
      <c r="AC46" s="618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37" t="s">
        <v>67</v>
      </c>
      <c r="X47" s="617">
        <f>IFERROR(SUM(X41:X45),"0")</f>
        <v>0</v>
      </c>
      <c r="Y47" s="617">
        <f>IFERROR(SUM(Y41:Y45),"0")</f>
        <v>0</v>
      </c>
      <c r="Z47" s="37"/>
      <c r="AA47" s="618"/>
      <c r="AB47" s="618"/>
      <c r="AC47" s="618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48"/>
      <c r="AB48" s="48"/>
      <c r="AC48" s="48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10"/>
      <c r="AB49" s="610"/>
      <c r="AC49" s="610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11"/>
      <c r="AB50" s="611"/>
      <c r="AC50" s="611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19">
        <v>4607091385670</v>
      </c>
      <c r="E51" s="620"/>
      <c r="F51" s="614">
        <v>1.35</v>
      </c>
      <c r="G51" s="32">
        <v>8</v>
      </c>
      <c r="H51" s="614">
        <v>10.8</v>
      </c>
      <c r="I51" s="614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4"/>
      <c r="V51" s="34"/>
      <c r="W51" s="35" t="s">
        <v>67</v>
      </c>
      <c r="X51" s="615">
        <v>16</v>
      </c>
      <c r="Y51" s="616">
        <f>IFERROR(IF(X51="",0,CEILING((X51/$H51),1)*$H51),"")</f>
        <v>21.6</v>
      </c>
      <c r="Z51" s="36">
        <f>IFERROR(IF(Y51=0,"",ROUNDUP(Y51/H51,0)*0.01898),"")</f>
        <v>3.7960000000000001E-2</v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16.607407407407408</v>
      </c>
      <c r="BN51" s="64">
        <f>IFERROR(Y51*I51/H51,"0")</f>
        <v>22.42</v>
      </c>
      <c r="BO51" s="64">
        <f>IFERROR(1/J51*(X51/H51),"0")</f>
        <v>2.3148148148148147E-2</v>
      </c>
      <c r="BP51" s="64">
        <f>IFERROR(1/J51*(Y51/H51),"0")</f>
        <v>3.125E-2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19">
        <v>4680115887725</v>
      </c>
      <c r="E52" s="620"/>
      <c r="F52" s="614">
        <v>0.11</v>
      </c>
      <c r="G52" s="32">
        <v>10</v>
      </c>
      <c r="H52" s="614">
        <v>1.1000000000000001</v>
      </c>
      <c r="I52" s="614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4"/>
      <c r="V52" s="34"/>
      <c r="W52" s="35" t="s">
        <v>67</v>
      </c>
      <c r="X52" s="615">
        <v>0</v>
      </c>
      <c r="Y52" s="61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19">
        <v>4607091385687</v>
      </c>
      <c r="E53" s="620"/>
      <c r="F53" s="614">
        <v>0.4</v>
      </c>
      <c r="G53" s="32">
        <v>10</v>
      </c>
      <c r="H53" s="614">
        <v>4</v>
      </c>
      <c r="I53" s="614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4"/>
      <c r="V53" s="34"/>
      <c r="W53" s="35" t="s">
        <v>67</v>
      </c>
      <c r="X53" s="615">
        <v>0</v>
      </c>
      <c r="Y53" s="61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19">
        <v>4680115882539</v>
      </c>
      <c r="E54" s="620"/>
      <c r="F54" s="614">
        <v>0.37</v>
      </c>
      <c r="G54" s="32">
        <v>10</v>
      </c>
      <c r="H54" s="614">
        <v>3.7</v>
      </c>
      <c r="I54" s="614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4"/>
      <c r="V54" s="34"/>
      <c r="W54" s="35" t="s">
        <v>67</v>
      </c>
      <c r="X54" s="615">
        <v>0</v>
      </c>
      <c r="Y54" s="616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37" t="s">
        <v>73</v>
      </c>
      <c r="X55" s="617">
        <f>IFERROR(X51/H51,"0")+IFERROR(X52/H52,"0")+IFERROR(X53/H53,"0")+IFERROR(X54/H54,"0")</f>
        <v>1.4814814814814814</v>
      </c>
      <c r="Y55" s="617">
        <f>IFERROR(Y51/H51,"0")+IFERROR(Y52/H52,"0")+IFERROR(Y53/H53,"0")+IFERROR(Y54/H54,"0")</f>
        <v>2</v>
      </c>
      <c r="Z55" s="617">
        <f>IFERROR(IF(Z51="",0,Z51),"0")+IFERROR(IF(Z52="",0,Z52),"0")+IFERROR(IF(Z53="",0,Z53),"0")+IFERROR(IF(Z54="",0,Z54),"0")</f>
        <v>3.7960000000000001E-2</v>
      </c>
      <c r="AA55" s="618"/>
      <c r="AB55" s="618"/>
      <c r="AC55" s="618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37" t="s">
        <v>67</v>
      </c>
      <c r="X56" s="617">
        <f>IFERROR(SUM(X51:X54),"0")</f>
        <v>16</v>
      </c>
      <c r="Y56" s="617">
        <f>IFERROR(SUM(Y51:Y54),"0")</f>
        <v>21.6</v>
      </c>
      <c r="Z56" s="37"/>
      <c r="AA56" s="618"/>
      <c r="AB56" s="618"/>
      <c r="AC56" s="618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10"/>
      <c r="AB57" s="610"/>
      <c r="AC57" s="610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11"/>
      <c r="AB58" s="611"/>
      <c r="AC58" s="611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19">
        <v>4680115885882</v>
      </c>
      <c r="E59" s="620"/>
      <c r="F59" s="614">
        <v>1.4</v>
      </c>
      <c r="G59" s="32">
        <v>8</v>
      </c>
      <c r="H59" s="614">
        <v>11.2</v>
      </c>
      <c r="I59" s="614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4"/>
      <c r="V59" s="34"/>
      <c r="W59" s="35" t="s">
        <v>67</v>
      </c>
      <c r="X59" s="615">
        <v>4</v>
      </c>
      <c r="Y59" s="616">
        <f t="shared" ref="Y59:Y66" si="0">IFERROR(IF(X59="",0,CEILING((X59/$H59),1)*$H59),"")</f>
        <v>11.2</v>
      </c>
      <c r="Z59" s="36">
        <f>IFERROR(IF(Y59=0,"",ROUNDUP(Y59/H59,0)*0.01898),"")</f>
        <v>1.898E-2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4.1464285714285714</v>
      </c>
      <c r="BN59" s="64">
        <f t="shared" ref="BN59:BN66" si="2">IFERROR(Y59*I59/H59,"0")</f>
        <v>11.61</v>
      </c>
      <c r="BO59" s="64">
        <f t="shared" ref="BO59:BO66" si="3">IFERROR(1/J59*(X59/H59),"0")</f>
        <v>5.580357142857143E-3</v>
      </c>
      <c r="BP59" s="64">
        <f t="shared" ref="BP59:BP66" si="4">IFERROR(1/J59*(Y59/H59),"0")</f>
        <v>1.5625E-2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19">
        <v>4680115885882</v>
      </c>
      <c r="E60" s="620"/>
      <c r="F60" s="614">
        <v>1.4</v>
      </c>
      <c r="G60" s="32">
        <v>8</v>
      </c>
      <c r="H60" s="614">
        <v>11.2</v>
      </c>
      <c r="I60" s="614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4"/>
      <c r="V60" s="34"/>
      <c r="W60" s="35" t="s">
        <v>67</v>
      </c>
      <c r="X60" s="615">
        <v>0</v>
      </c>
      <c r="Y60" s="616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19">
        <v>4680115881426</v>
      </c>
      <c r="E61" s="620"/>
      <c r="F61" s="614">
        <v>1.35</v>
      </c>
      <c r="G61" s="32">
        <v>8</v>
      </c>
      <c r="H61" s="614">
        <v>10.8</v>
      </c>
      <c r="I61" s="614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4"/>
      <c r="V61" s="34"/>
      <c r="W61" s="35" t="s">
        <v>67</v>
      </c>
      <c r="X61" s="615">
        <v>0</v>
      </c>
      <c r="Y61" s="61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19">
        <v>4680115880283</v>
      </c>
      <c r="E62" s="620"/>
      <c r="F62" s="614">
        <v>0.6</v>
      </c>
      <c r="G62" s="32">
        <v>8</v>
      </c>
      <c r="H62" s="614">
        <v>4.8</v>
      </c>
      <c r="I62" s="614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4"/>
      <c r="V62" s="34"/>
      <c r="W62" s="35" t="s">
        <v>67</v>
      </c>
      <c r="X62" s="615">
        <v>0</v>
      </c>
      <c r="Y62" s="61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19">
        <v>4680115880283</v>
      </c>
      <c r="E63" s="620"/>
      <c r="F63" s="614">
        <v>0.6</v>
      </c>
      <c r="G63" s="32">
        <v>8</v>
      </c>
      <c r="H63" s="614">
        <v>4.8</v>
      </c>
      <c r="I63" s="614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4"/>
      <c r="V63" s="34"/>
      <c r="W63" s="35" t="s">
        <v>67</v>
      </c>
      <c r="X63" s="615">
        <v>0</v>
      </c>
      <c r="Y63" s="61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19">
        <v>4680115881525</v>
      </c>
      <c r="E64" s="620"/>
      <c r="F64" s="614">
        <v>0.4</v>
      </c>
      <c r="G64" s="32">
        <v>10</v>
      </c>
      <c r="H64" s="614">
        <v>4</v>
      </c>
      <c r="I64" s="614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4"/>
      <c r="V64" s="34"/>
      <c r="W64" s="35" t="s">
        <v>67</v>
      </c>
      <c r="X64" s="615">
        <v>0</v>
      </c>
      <c r="Y64" s="61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19">
        <v>4680115885899</v>
      </c>
      <c r="E65" s="620"/>
      <c r="F65" s="614">
        <v>0.35</v>
      </c>
      <c r="G65" s="32">
        <v>6</v>
      </c>
      <c r="H65" s="614">
        <v>2.1</v>
      </c>
      <c r="I65" s="614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4"/>
      <c r="V65" s="34"/>
      <c r="W65" s="35" t="s">
        <v>67</v>
      </c>
      <c r="X65" s="615">
        <v>0</v>
      </c>
      <c r="Y65" s="61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19">
        <v>4680115881419</v>
      </c>
      <c r="E66" s="620"/>
      <c r="F66" s="614">
        <v>0.45</v>
      </c>
      <c r="G66" s="32">
        <v>10</v>
      </c>
      <c r="H66" s="614">
        <v>4.5</v>
      </c>
      <c r="I66" s="614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4"/>
      <c r="V66" s="34"/>
      <c r="W66" s="35" t="s">
        <v>67</v>
      </c>
      <c r="X66" s="615">
        <v>0</v>
      </c>
      <c r="Y66" s="61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37" t="s">
        <v>73</v>
      </c>
      <c r="X67" s="617">
        <f>IFERROR(X59/H59,"0")+IFERROR(X60/H60,"0")+IFERROR(X61/H61,"0")+IFERROR(X62/H62,"0")+IFERROR(X63/H63,"0")+IFERROR(X64/H64,"0")+IFERROR(X65/H65,"0")+IFERROR(X66/H66,"0")</f>
        <v>0.35714285714285715</v>
      </c>
      <c r="Y67" s="617">
        <f>IFERROR(Y59/H59,"0")+IFERROR(Y60/H60,"0")+IFERROR(Y61/H61,"0")+IFERROR(Y62/H62,"0")+IFERROR(Y63/H63,"0")+IFERROR(Y64/H64,"0")+IFERROR(Y65/H65,"0")+IFERROR(Y66/H66,"0")</f>
        <v>1</v>
      </c>
      <c r="Z67" s="617">
        <f>IFERROR(IF(Z59="",0,Z59),"0")+IFERROR(IF(Z60="",0,Z60),"0")+IFERROR(IF(Z61="",0,Z61),"0")+IFERROR(IF(Z62="",0,Z62),"0")+IFERROR(IF(Z63="",0,Z63),"0")+IFERROR(IF(Z64="",0,Z64),"0")+IFERROR(IF(Z65="",0,Z65),"0")+IFERROR(IF(Z66="",0,Z66),"0")</f>
        <v>1.898E-2</v>
      </c>
      <c r="AA67" s="618"/>
      <c r="AB67" s="618"/>
      <c r="AC67" s="618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37" t="s">
        <v>67</v>
      </c>
      <c r="X68" s="617">
        <f>IFERROR(SUM(X59:X66),"0")</f>
        <v>4</v>
      </c>
      <c r="Y68" s="617">
        <f>IFERROR(SUM(Y59:Y66),"0")</f>
        <v>11.2</v>
      </c>
      <c r="Z68" s="37"/>
      <c r="AA68" s="618"/>
      <c r="AB68" s="618"/>
      <c r="AC68" s="618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11"/>
      <c r="AB69" s="611"/>
      <c r="AC69" s="611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19">
        <v>4680115881440</v>
      </c>
      <c r="E70" s="620"/>
      <c r="F70" s="614">
        <v>1.35</v>
      </c>
      <c r="G70" s="32">
        <v>8</v>
      </c>
      <c r="H70" s="614">
        <v>10.8</v>
      </c>
      <c r="I70" s="614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4"/>
      <c r="V70" s="34"/>
      <c r="W70" s="35" t="s">
        <v>67</v>
      </c>
      <c r="X70" s="615">
        <v>0</v>
      </c>
      <c r="Y70" s="616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19">
        <v>4680115885950</v>
      </c>
      <c r="E71" s="620"/>
      <c r="F71" s="614">
        <v>0.37</v>
      </c>
      <c r="G71" s="32">
        <v>6</v>
      </c>
      <c r="H71" s="614">
        <v>2.2200000000000002</v>
      </c>
      <c r="I71" s="614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4"/>
      <c r="V71" s="34"/>
      <c r="W71" s="35" t="s">
        <v>67</v>
      </c>
      <c r="X71" s="615">
        <v>0</v>
      </c>
      <c r="Y71" s="61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19">
        <v>4680115887688</v>
      </c>
      <c r="E72" s="620"/>
      <c r="F72" s="614">
        <v>0.1</v>
      </c>
      <c r="G72" s="32">
        <v>10</v>
      </c>
      <c r="H72" s="614">
        <v>1</v>
      </c>
      <c r="I72" s="614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4"/>
      <c r="V72" s="34"/>
      <c r="W72" s="35" t="s">
        <v>67</v>
      </c>
      <c r="X72" s="615">
        <v>0</v>
      </c>
      <c r="Y72" s="61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19">
        <v>4680115881433</v>
      </c>
      <c r="E73" s="620"/>
      <c r="F73" s="614">
        <v>0.45</v>
      </c>
      <c r="G73" s="32">
        <v>6</v>
      </c>
      <c r="H73" s="614">
        <v>2.7</v>
      </c>
      <c r="I73" s="614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4"/>
      <c r="V73" s="34"/>
      <c r="W73" s="35" t="s">
        <v>67</v>
      </c>
      <c r="X73" s="615">
        <v>0</v>
      </c>
      <c r="Y73" s="61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37" t="s">
        <v>73</v>
      </c>
      <c r="X74" s="617">
        <f>IFERROR(X70/H70,"0")+IFERROR(X71/H71,"0")+IFERROR(X72/H72,"0")+IFERROR(X73/H73,"0")</f>
        <v>0</v>
      </c>
      <c r="Y74" s="617">
        <f>IFERROR(Y70/H70,"0")+IFERROR(Y71/H71,"0")+IFERROR(Y72/H72,"0")+IFERROR(Y73/H73,"0")</f>
        <v>0</v>
      </c>
      <c r="Z74" s="617">
        <f>IFERROR(IF(Z70="",0,Z70),"0")+IFERROR(IF(Z71="",0,Z71),"0")+IFERROR(IF(Z72="",0,Z72),"0")+IFERROR(IF(Z73="",0,Z73),"0")</f>
        <v>0</v>
      </c>
      <c r="AA74" s="618"/>
      <c r="AB74" s="618"/>
      <c r="AC74" s="618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37" t="s">
        <v>67</v>
      </c>
      <c r="X75" s="617">
        <f>IFERROR(SUM(X70:X73),"0")</f>
        <v>0</v>
      </c>
      <c r="Y75" s="617">
        <f>IFERROR(SUM(Y70:Y73),"0")</f>
        <v>0</v>
      </c>
      <c r="Z75" s="37"/>
      <c r="AA75" s="618"/>
      <c r="AB75" s="618"/>
      <c r="AC75" s="618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11"/>
      <c r="AB76" s="611"/>
      <c r="AC76" s="611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19">
        <v>4680115884311</v>
      </c>
      <c r="E77" s="620"/>
      <c r="F77" s="614">
        <v>0.3</v>
      </c>
      <c r="G77" s="32">
        <v>6</v>
      </c>
      <c r="H77" s="614">
        <v>1.8</v>
      </c>
      <c r="I77" s="614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4"/>
      <c r="V77" s="34"/>
      <c r="W77" s="35" t="s">
        <v>67</v>
      </c>
      <c r="X77" s="615">
        <v>0</v>
      </c>
      <c r="Y77" s="61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19">
        <v>4680115884403</v>
      </c>
      <c r="E78" s="620"/>
      <c r="F78" s="614">
        <v>0.3</v>
      </c>
      <c r="G78" s="32">
        <v>6</v>
      </c>
      <c r="H78" s="614">
        <v>1.8</v>
      </c>
      <c r="I78" s="614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4"/>
      <c r="V78" s="34"/>
      <c r="W78" s="35" t="s">
        <v>67</v>
      </c>
      <c r="X78" s="615">
        <v>0</v>
      </c>
      <c r="Y78" s="61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37" t="s">
        <v>73</v>
      </c>
      <c r="X79" s="617">
        <f>IFERROR(X77/H77,"0")+IFERROR(X78/H78,"0")</f>
        <v>0</v>
      </c>
      <c r="Y79" s="617">
        <f>IFERROR(Y77/H77,"0")+IFERROR(Y78/H78,"0")</f>
        <v>0</v>
      </c>
      <c r="Z79" s="617">
        <f>IFERROR(IF(Z77="",0,Z77),"0")+IFERROR(IF(Z78="",0,Z78),"0")</f>
        <v>0</v>
      </c>
      <c r="AA79" s="618"/>
      <c r="AB79" s="618"/>
      <c r="AC79" s="618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37" t="s">
        <v>67</v>
      </c>
      <c r="X80" s="617">
        <f>IFERROR(SUM(X77:X78),"0")</f>
        <v>0</v>
      </c>
      <c r="Y80" s="617">
        <f>IFERROR(SUM(Y77:Y78),"0")</f>
        <v>0</v>
      </c>
      <c r="Z80" s="37"/>
      <c r="AA80" s="618"/>
      <c r="AB80" s="618"/>
      <c r="AC80" s="618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11"/>
      <c r="AB81" s="611"/>
      <c r="AC81" s="611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19">
        <v>4680115881532</v>
      </c>
      <c r="E82" s="620"/>
      <c r="F82" s="614">
        <v>1.3</v>
      </c>
      <c r="G82" s="32">
        <v>6</v>
      </c>
      <c r="H82" s="614">
        <v>7.8</v>
      </c>
      <c r="I82" s="614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4"/>
      <c r="V82" s="34"/>
      <c r="W82" s="35" t="s">
        <v>67</v>
      </c>
      <c r="X82" s="615">
        <v>137</v>
      </c>
      <c r="Y82" s="616">
        <f>IFERROR(IF(X82="",0,CEILING((X82/$H82),1)*$H82),"")</f>
        <v>140.4</v>
      </c>
      <c r="Z82" s="36">
        <f>IFERROR(IF(Y82=0,"",ROUNDUP(Y82/H82,0)*0.01898),"")</f>
        <v>0.34164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144.20128205128208</v>
      </c>
      <c r="BN82" s="64">
        <f>IFERROR(Y82*I82/H82,"0")</f>
        <v>147.78000000000003</v>
      </c>
      <c r="BO82" s="64">
        <f>IFERROR(1/J82*(X82/H82),"0")</f>
        <v>0.27443910256410259</v>
      </c>
      <c r="BP82" s="64">
        <f>IFERROR(1/J82*(Y82/H82),"0")</f>
        <v>0.28125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19">
        <v>4680115881464</v>
      </c>
      <c r="E83" s="620"/>
      <c r="F83" s="614">
        <v>0.4</v>
      </c>
      <c r="G83" s="32">
        <v>6</v>
      </c>
      <c r="H83" s="614">
        <v>2.4</v>
      </c>
      <c r="I83" s="614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4"/>
      <c r="V83" s="34"/>
      <c r="W83" s="35" t="s">
        <v>67</v>
      </c>
      <c r="X83" s="615">
        <v>0</v>
      </c>
      <c r="Y83" s="616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37" t="s">
        <v>73</v>
      </c>
      <c r="X84" s="617">
        <f>IFERROR(X82/H82,"0")+IFERROR(X83/H83,"0")</f>
        <v>17.564102564102566</v>
      </c>
      <c r="Y84" s="617">
        <f>IFERROR(Y82/H82,"0")+IFERROR(Y83/H83,"0")</f>
        <v>18</v>
      </c>
      <c r="Z84" s="617">
        <f>IFERROR(IF(Z82="",0,Z82),"0")+IFERROR(IF(Z83="",0,Z83),"0")</f>
        <v>0.34164</v>
      </c>
      <c r="AA84" s="618"/>
      <c r="AB84" s="618"/>
      <c r="AC84" s="618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37" t="s">
        <v>67</v>
      </c>
      <c r="X85" s="617">
        <f>IFERROR(SUM(X82:X83),"0")</f>
        <v>137</v>
      </c>
      <c r="Y85" s="617">
        <f>IFERROR(SUM(Y82:Y83),"0")</f>
        <v>140.4</v>
      </c>
      <c r="Z85" s="37"/>
      <c r="AA85" s="618"/>
      <c r="AB85" s="618"/>
      <c r="AC85" s="618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10"/>
      <c r="AB86" s="610"/>
      <c r="AC86" s="610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11"/>
      <c r="AB87" s="611"/>
      <c r="AC87" s="611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19">
        <v>4680115881327</v>
      </c>
      <c r="E88" s="620"/>
      <c r="F88" s="614">
        <v>1.35</v>
      </c>
      <c r="G88" s="32">
        <v>8</v>
      </c>
      <c r="H88" s="614">
        <v>10.8</v>
      </c>
      <c r="I88" s="614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4"/>
      <c r="V88" s="34"/>
      <c r="W88" s="35" t="s">
        <v>67</v>
      </c>
      <c r="X88" s="615">
        <v>0</v>
      </c>
      <c r="Y88" s="616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19">
        <v>4680115887732</v>
      </c>
      <c r="E89" s="620"/>
      <c r="F89" s="614">
        <v>0.17</v>
      </c>
      <c r="G89" s="32">
        <v>10</v>
      </c>
      <c r="H89" s="614">
        <v>1.7</v>
      </c>
      <c r="I89" s="614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4"/>
      <c r="V89" s="34"/>
      <c r="W89" s="35" t="s">
        <v>67</v>
      </c>
      <c r="X89" s="615">
        <v>0</v>
      </c>
      <c r="Y89" s="616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19">
        <v>4680115881518</v>
      </c>
      <c r="E90" s="620"/>
      <c r="F90" s="614">
        <v>0.4</v>
      </c>
      <c r="G90" s="32">
        <v>10</v>
      </c>
      <c r="H90" s="614">
        <v>4</v>
      </c>
      <c r="I90" s="614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4"/>
      <c r="V90" s="34"/>
      <c r="W90" s="35" t="s">
        <v>67</v>
      </c>
      <c r="X90" s="615">
        <v>0</v>
      </c>
      <c r="Y90" s="616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19">
        <v>4680115881303</v>
      </c>
      <c r="E91" s="620"/>
      <c r="F91" s="614">
        <v>0.45</v>
      </c>
      <c r="G91" s="32">
        <v>10</v>
      </c>
      <c r="H91" s="614">
        <v>4.5</v>
      </c>
      <c r="I91" s="614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4"/>
      <c r="V91" s="34"/>
      <c r="W91" s="35" t="s">
        <v>67</v>
      </c>
      <c r="X91" s="615">
        <v>0</v>
      </c>
      <c r="Y91" s="616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37" t="s">
        <v>73</v>
      </c>
      <c r="X92" s="617">
        <f>IFERROR(X88/H88,"0")+IFERROR(X89/H89,"0")+IFERROR(X90/H90,"0")+IFERROR(X91/H91,"0")</f>
        <v>0</v>
      </c>
      <c r="Y92" s="617">
        <f>IFERROR(Y88/H88,"0")+IFERROR(Y89/H89,"0")+IFERROR(Y90/H90,"0")+IFERROR(Y91/H91,"0")</f>
        <v>0</v>
      </c>
      <c r="Z92" s="617">
        <f>IFERROR(IF(Z88="",0,Z88),"0")+IFERROR(IF(Z89="",0,Z89),"0")+IFERROR(IF(Z90="",0,Z90),"0")+IFERROR(IF(Z91="",0,Z91),"0")</f>
        <v>0</v>
      </c>
      <c r="AA92" s="618"/>
      <c r="AB92" s="618"/>
      <c r="AC92" s="618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37" t="s">
        <v>67</v>
      </c>
      <c r="X93" s="617">
        <f>IFERROR(SUM(X88:X91),"0")</f>
        <v>0</v>
      </c>
      <c r="Y93" s="617">
        <f>IFERROR(SUM(Y88:Y91),"0")</f>
        <v>0</v>
      </c>
      <c r="Z93" s="37"/>
      <c r="AA93" s="618"/>
      <c r="AB93" s="618"/>
      <c r="AC93" s="618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11"/>
      <c r="AB94" s="611"/>
      <c r="AC94" s="611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19">
        <v>4607091386967</v>
      </c>
      <c r="E95" s="620"/>
      <c r="F95" s="614">
        <v>1.35</v>
      </c>
      <c r="G95" s="32">
        <v>6</v>
      </c>
      <c r="H95" s="614">
        <v>8.1</v>
      </c>
      <c r="I95" s="614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4"/>
      <c r="V95" s="34"/>
      <c r="W95" s="35" t="s">
        <v>67</v>
      </c>
      <c r="X95" s="615">
        <v>0</v>
      </c>
      <c r="Y95" s="616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19">
        <v>4680115884953</v>
      </c>
      <c r="E96" s="620"/>
      <c r="F96" s="614">
        <v>0.37</v>
      </c>
      <c r="G96" s="32">
        <v>6</v>
      </c>
      <c r="H96" s="614">
        <v>2.2200000000000002</v>
      </c>
      <c r="I96" s="614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4"/>
      <c r="V96" s="34"/>
      <c r="W96" s="35" t="s">
        <v>67</v>
      </c>
      <c r="X96" s="615">
        <v>0</v>
      </c>
      <c r="Y96" s="61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19">
        <v>4607091385731</v>
      </c>
      <c r="E97" s="620"/>
      <c r="F97" s="614">
        <v>0.45</v>
      </c>
      <c r="G97" s="32">
        <v>6</v>
      </c>
      <c r="H97" s="614">
        <v>2.7</v>
      </c>
      <c r="I97" s="614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4"/>
      <c r="V97" s="34"/>
      <c r="W97" s="35" t="s">
        <v>67</v>
      </c>
      <c r="X97" s="615">
        <v>260</v>
      </c>
      <c r="Y97" s="616">
        <f>IFERROR(IF(X97="",0,CEILING((X97/$H97),1)*$H97),"")</f>
        <v>261.90000000000003</v>
      </c>
      <c r="Z97" s="36">
        <f>IFERROR(IF(Y97=0,"",ROUNDUP(Y97/H97,0)*0.00651),"")</f>
        <v>0.63146999999999998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284.26666666666665</v>
      </c>
      <c r="BN97" s="64">
        <f>IFERROR(Y97*I97/H97,"0")</f>
        <v>286.34399999999999</v>
      </c>
      <c r="BO97" s="64">
        <f>IFERROR(1/J97*(X97/H97),"0")</f>
        <v>0.52910052910052907</v>
      </c>
      <c r="BP97" s="64">
        <f>IFERROR(1/J97*(Y97/H97),"0")</f>
        <v>0.53296703296703296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19">
        <v>4680115880894</v>
      </c>
      <c r="E98" s="620"/>
      <c r="F98" s="614">
        <v>0.33</v>
      </c>
      <c r="G98" s="32">
        <v>6</v>
      </c>
      <c r="H98" s="614">
        <v>1.98</v>
      </c>
      <c r="I98" s="614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4"/>
      <c r="V98" s="34"/>
      <c r="W98" s="35" t="s">
        <v>67</v>
      </c>
      <c r="X98" s="615">
        <v>0</v>
      </c>
      <c r="Y98" s="616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37" t="s">
        <v>73</v>
      </c>
      <c r="X99" s="617">
        <f>IFERROR(X95/H95,"0")+IFERROR(X96/H96,"0")+IFERROR(X97/H97,"0")+IFERROR(X98/H98,"0")</f>
        <v>96.296296296296291</v>
      </c>
      <c r="Y99" s="617">
        <f>IFERROR(Y95/H95,"0")+IFERROR(Y96/H96,"0")+IFERROR(Y97/H97,"0")+IFERROR(Y98/H98,"0")</f>
        <v>97</v>
      </c>
      <c r="Z99" s="617">
        <f>IFERROR(IF(Z95="",0,Z95),"0")+IFERROR(IF(Z96="",0,Z96),"0")+IFERROR(IF(Z97="",0,Z97),"0")+IFERROR(IF(Z98="",0,Z98),"0")</f>
        <v>0.63146999999999998</v>
      </c>
      <c r="AA99" s="618"/>
      <c r="AB99" s="618"/>
      <c r="AC99" s="618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37" t="s">
        <v>67</v>
      </c>
      <c r="X100" s="617">
        <f>IFERROR(SUM(X95:X98),"0")</f>
        <v>260</v>
      </c>
      <c r="Y100" s="617">
        <f>IFERROR(SUM(Y95:Y98),"0")</f>
        <v>261.90000000000003</v>
      </c>
      <c r="Z100" s="37"/>
      <c r="AA100" s="618"/>
      <c r="AB100" s="618"/>
      <c r="AC100" s="618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10"/>
      <c r="AB101" s="610"/>
      <c r="AC101" s="610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11"/>
      <c r="AB102" s="611"/>
      <c r="AC102" s="611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19">
        <v>4680115882133</v>
      </c>
      <c r="E103" s="620"/>
      <c r="F103" s="614">
        <v>1.35</v>
      </c>
      <c r="G103" s="32">
        <v>8</v>
      </c>
      <c r="H103" s="614">
        <v>10.8</v>
      </c>
      <c r="I103" s="614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4"/>
      <c r="V103" s="34"/>
      <c r="W103" s="35" t="s">
        <v>67</v>
      </c>
      <c r="X103" s="615">
        <v>115</v>
      </c>
      <c r="Y103" s="616">
        <f t="shared" ref="Y103:Y108" si="5">IFERROR(IF(X103="",0,CEILING((X103/$H103),1)*$H103),"")</f>
        <v>118.80000000000001</v>
      </c>
      <c r="Z103" s="36">
        <f>IFERROR(IF(Y103=0,"",ROUNDUP(Y103/H103,0)*0.01898),"")</f>
        <v>0.20877999999999999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119.36574074074075</v>
      </c>
      <c r="BN103" s="64">
        <f t="shared" ref="BN103:BN108" si="7">IFERROR(Y103*I103/H103,"0")</f>
        <v>123.31000000000002</v>
      </c>
      <c r="BO103" s="64">
        <f t="shared" ref="BO103:BO108" si="8">IFERROR(1/J103*(X103/H103),"0")</f>
        <v>0.1663773148148148</v>
      </c>
      <c r="BP103" s="64">
        <f t="shared" ref="BP103:BP108" si="9">IFERROR(1/J103*(Y103/H103),"0")</f>
        <v>0.171875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19">
        <v>4680115887718</v>
      </c>
      <c r="E104" s="620"/>
      <c r="F104" s="614">
        <v>0.11</v>
      </c>
      <c r="G104" s="32">
        <v>10</v>
      </c>
      <c r="H104" s="614">
        <v>1.1000000000000001</v>
      </c>
      <c r="I104" s="614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4"/>
      <c r="V104" s="34"/>
      <c r="W104" s="35" t="s">
        <v>67</v>
      </c>
      <c r="X104" s="615">
        <v>2</v>
      </c>
      <c r="Y104" s="616">
        <f t="shared" si="5"/>
        <v>2.2000000000000002</v>
      </c>
      <c r="Z104" s="36">
        <f>IFERROR(IF(Y104=0,"",ROUNDUP(Y104/H104,0)*0.00726),"")</f>
        <v>1.452E-2</v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2.3818181818181818</v>
      </c>
      <c r="BN104" s="64">
        <f t="shared" si="7"/>
        <v>2.62</v>
      </c>
      <c r="BO104" s="64">
        <f t="shared" si="8"/>
        <v>9.4696969696969682E-3</v>
      </c>
      <c r="BP104" s="64">
        <f t="shared" si="9"/>
        <v>1.0416666666666666E-2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19">
        <v>4680115887718</v>
      </c>
      <c r="E105" s="620"/>
      <c r="F105" s="614">
        <v>0.11</v>
      </c>
      <c r="G105" s="32">
        <v>8</v>
      </c>
      <c r="H105" s="614">
        <v>0.88</v>
      </c>
      <c r="I105" s="614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4"/>
      <c r="V105" s="34"/>
      <c r="W105" s="35" t="s">
        <v>67</v>
      </c>
      <c r="X105" s="615">
        <v>0</v>
      </c>
      <c r="Y105" s="616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19">
        <v>4680115880269</v>
      </c>
      <c r="E106" s="620"/>
      <c r="F106" s="614">
        <v>0.375</v>
      </c>
      <c r="G106" s="32">
        <v>10</v>
      </c>
      <c r="H106" s="614">
        <v>3.75</v>
      </c>
      <c r="I106" s="614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4"/>
      <c r="V106" s="34"/>
      <c r="W106" s="35" t="s">
        <v>67</v>
      </c>
      <c r="X106" s="615">
        <v>0</v>
      </c>
      <c r="Y106" s="616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19">
        <v>4680115880429</v>
      </c>
      <c r="E107" s="620"/>
      <c r="F107" s="614">
        <v>0.45</v>
      </c>
      <c r="G107" s="32">
        <v>10</v>
      </c>
      <c r="H107" s="614">
        <v>4.5</v>
      </c>
      <c r="I107" s="614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4"/>
      <c r="V107" s="34"/>
      <c r="W107" s="35" t="s">
        <v>67</v>
      </c>
      <c r="X107" s="615">
        <v>151</v>
      </c>
      <c r="Y107" s="616">
        <f t="shared" si="5"/>
        <v>153</v>
      </c>
      <c r="Z107" s="36">
        <f>IFERROR(IF(Y107=0,"",ROUNDUP(Y107/H107,0)*0.00902),"")</f>
        <v>0.30668000000000001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157.37555555555556</v>
      </c>
      <c r="BN107" s="64">
        <f t="shared" si="7"/>
        <v>159.46</v>
      </c>
      <c r="BO107" s="64">
        <f t="shared" si="8"/>
        <v>0.25420875420875422</v>
      </c>
      <c r="BP107" s="64">
        <f t="shared" si="9"/>
        <v>0.25757575757575757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19">
        <v>4680115881457</v>
      </c>
      <c r="E108" s="620"/>
      <c r="F108" s="614">
        <v>0.75</v>
      </c>
      <c r="G108" s="32">
        <v>6</v>
      </c>
      <c r="H108" s="614">
        <v>4.5</v>
      </c>
      <c r="I108" s="614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4"/>
      <c r="V108" s="34"/>
      <c r="W108" s="35" t="s">
        <v>67</v>
      </c>
      <c r="X108" s="615">
        <v>0</v>
      </c>
      <c r="Y108" s="616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37" t="s">
        <v>73</v>
      </c>
      <c r="X109" s="617">
        <f>IFERROR(X103/H103,"0")+IFERROR(X104/H104,"0")+IFERROR(X105/H105,"0")+IFERROR(X106/H106,"0")+IFERROR(X107/H107,"0")+IFERROR(X108/H108,"0")</f>
        <v>46.021885521885523</v>
      </c>
      <c r="Y109" s="617">
        <f>IFERROR(Y103/H103,"0")+IFERROR(Y104/H104,"0")+IFERROR(Y105/H105,"0")+IFERROR(Y106/H106,"0")+IFERROR(Y107/H107,"0")+IFERROR(Y108/H108,"0")</f>
        <v>47</v>
      </c>
      <c r="Z109" s="617">
        <f>IFERROR(IF(Z103="",0,Z103),"0")+IFERROR(IF(Z104="",0,Z104),"0")+IFERROR(IF(Z105="",0,Z105),"0")+IFERROR(IF(Z106="",0,Z106),"0")+IFERROR(IF(Z107="",0,Z107),"0")+IFERROR(IF(Z108="",0,Z108),"0")</f>
        <v>0.52998000000000001</v>
      </c>
      <c r="AA109" s="618"/>
      <c r="AB109" s="618"/>
      <c r="AC109" s="618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37" t="s">
        <v>67</v>
      </c>
      <c r="X110" s="617">
        <f>IFERROR(SUM(X103:X108),"0")</f>
        <v>268</v>
      </c>
      <c r="Y110" s="617">
        <f>IFERROR(SUM(Y103:Y108),"0")</f>
        <v>274</v>
      </c>
      <c r="Z110" s="37"/>
      <c r="AA110" s="618"/>
      <c r="AB110" s="618"/>
      <c r="AC110" s="618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11"/>
      <c r="AB111" s="611"/>
      <c r="AC111" s="611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19">
        <v>4680115881488</v>
      </c>
      <c r="E112" s="620"/>
      <c r="F112" s="614">
        <v>1.35</v>
      </c>
      <c r="G112" s="32">
        <v>8</v>
      </c>
      <c r="H112" s="614">
        <v>10.8</v>
      </c>
      <c r="I112" s="614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4"/>
      <c r="V112" s="34"/>
      <c r="W112" s="35" t="s">
        <v>67</v>
      </c>
      <c r="X112" s="615">
        <v>0</v>
      </c>
      <c r="Y112" s="61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19">
        <v>4680115887664</v>
      </c>
      <c r="E113" s="620"/>
      <c r="F113" s="614">
        <v>0.1</v>
      </c>
      <c r="G113" s="32">
        <v>10</v>
      </c>
      <c r="H113" s="614">
        <v>1</v>
      </c>
      <c r="I113" s="614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4"/>
      <c r="V113" s="34"/>
      <c r="W113" s="35" t="s">
        <v>67</v>
      </c>
      <c r="X113" s="615">
        <v>0</v>
      </c>
      <c r="Y113" s="616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19">
        <v>4680115887664</v>
      </c>
      <c r="E114" s="620"/>
      <c r="F114" s="614">
        <v>0.1</v>
      </c>
      <c r="G114" s="32">
        <v>8</v>
      </c>
      <c r="H114" s="614">
        <v>0.8</v>
      </c>
      <c r="I114" s="614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4"/>
      <c r="V114" s="34"/>
      <c r="W114" s="35" t="s">
        <v>67</v>
      </c>
      <c r="X114" s="615">
        <v>0</v>
      </c>
      <c r="Y114" s="616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19">
        <v>4680115882775</v>
      </c>
      <c r="E115" s="620"/>
      <c r="F115" s="614">
        <v>0.3</v>
      </c>
      <c r="G115" s="32">
        <v>8</v>
      </c>
      <c r="H115" s="614">
        <v>2.4</v>
      </c>
      <c r="I115" s="614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4"/>
      <c r="V115" s="34"/>
      <c r="W115" s="35" t="s">
        <v>67</v>
      </c>
      <c r="X115" s="615">
        <v>0</v>
      </c>
      <c r="Y115" s="616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19">
        <v>4680115880658</v>
      </c>
      <c r="E116" s="620"/>
      <c r="F116" s="614">
        <v>0.4</v>
      </c>
      <c r="G116" s="32">
        <v>6</v>
      </c>
      <c r="H116" s="614">
        <v>2.4</v>
      </c>
      <c r="I116" s="614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4"/>
      <c r="V116" s="34"/>
      <c r="W116" s="35" t="s">
        <v>67</v>
      </c>
      <c r="X116" s="615">
        <v>31</v>
      </c>
      <c r="Y116" s="616">
        <f>IFERROR(IF(X116="",0,CEILING((X116/$H116),1)*$H116),"")</f>
        <v>31.2</v>
      </c>
      <c r="Z116" s="36">
        <f>IFERROR(IF(Y116=0,"",ROUNDUP(Y116/H116,0)*0.00651),"")</f>
        <v>8.4629999999999997E-2</v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33.325000000000003</v>
      </c>
      <c r="BN116" s="64">
        <f>IFERROR(Y116*I116/H116,"0")</f>
        <v>33.54</v>
      </c>
      <c r="BO116" s="64">
        <f>IFERROR(1/J116*(X116/H116),"0")</f>
        <v>7.0970695970695982E-2</v>
      </c>
      <c r="BP116" s="64">
        <f>IFERROR(1/J116*(Y116/H116),"0")</f>
        <v>7.1428571428571438E-2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37" t="s">
        <v>73</v>
      </c>
      <c r="X117" s="617">
        <f>IFERROR(X112/H112,"0")+IFERROR(X113/H113,"0")+IFERROR(X114/H114,"0")+IFERROR(X115/H115,"0")+IFERROR(X116/H116,"0")</f>
        <v>12.916666666666668</v>
      </c>
      <c r="Y117" s="617">
        <f>IFERROR(Y112/H112,"0")+IFERROR(Y113/H113,"0")+IFERROR(Y114/H114,"0")+IFERROR(Y115/H115,"0")+IFERROR(Y116/H116,"0")</f>
        <v>13</v>
      </c>
      <c r="Z117" s="617">
        <f>IFERROR(IF(Z112="",0,Z112),"0")+IFERROR(IF(Z113="",0,Z113),"0")+IFERROR(IF(Z114="",0,Z114),"0")+IFERROR(IF(Z115="",0,Z115),"0")+IFERROR(IF(Z116="",0,Z116),"0")</f>
        <v>8.4629999999999997E-2</v>
      </c>
      <c r="AA117" s="618"/>
      <c r="AB117" s="618"/>
      <c r="AC117" s="618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37" t="s">
        <v>67</v>
      </c>
      <c r="X118" s="617">
        <f>IFERROR(SUM(X112:X116),"0")</f>
        <v>31</v>
      </c>
      <c r="Y118" s="617">
        <f>IFERROR(SUM(Y112:Y116),"0")</f>
        <v>31.2</v>
      </c>
      <c r="Z118" s="37"/>
      <c r="AA118" s="618"/>
      <c r="AB118" s="618"/>
      <c r="AC118" s="618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11"/>
      <c r="AB119" s="611"/>
      <c r="AC119" s="611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19">
        <v>4607091385168</v>
      </c>
      <c r="E120" s="620"/>
      <c r="F120" s="614">
        <v>1.35</v>
      </c>
      <c r="G120" s="32">
        <v>6</v>
      </c>
      <c r="H120" s="614">
        <v>8.1</v>
      </c>
      <c r="I120" s="614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4"/>
      <c r="V120" s="34"/>
      <c r="W120" s="35" t="s">
        <v>67</v>
      </c>
      <c r="X120" s="615">
        <v>108</v>
      </c>
      <c r="Y120" s="616">
        <f>IFERROR(IF(X120="",0,CEILING((X120/$H120),1)*$H120),"")</f>
        <v>113.39999999999999</v>
      </c>
      <c r="Z120" s="36">
        <f>IFERROR(IF(Y120=0,"",ROUNDUP(Y120/H120,0)*0.01898),"")</f>
        <v>0.26572000000000001</v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114.50666666666666</v>
      </c>
      <c r="BN120" s="64">
        <f>IFERROR(Y120*I120/H120,"0")</f>
        <v>120.23199999999999</v>
      </c>
      <c r="BO120" s="64">
        <f>IFERROR(1/J120*(X120/H120),"0")</f>
        <v>0.20833333333333334</v>
      </c>
      <c r="BP120" s="64">
        <f>IFERROR(1/J120*(Y120/H120),"0")</f>
        <v>0.21875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19">
        <v>4607091383256</v>
      </c>
      <c r="E121" s="620"/>
      <c r="F121" s="614">
        <v>0.33</v>
      </c>
      <c r="G121" s="32">
        <v>6</v>
      </c>
      <c r="H121" s="614">
        <v>1.98</v>
      </c>
      <c r="I121" s="614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4"/>
      <c r="V121" s="34"/>
      <c r="W121" s="35" t="s">
        <v>67</v>
      </c>
      <c r="X121" s="615">
        <v>0</v>
      </c>
      <c r="Y121" s="61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19">
        <v>4607091385748</v>
      </c>
      <c r="E122" s="620"/>
      <c r="F122" s="614">
        <v>0.45</v>
      </c>
      <c r="G122" s="32">
        <v>6</v>
      </c>
      <c r="H122" s="614">
        <v>2.7</v>
      </c>
      <c r="I122" s="614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4"/>
      <c r="V122" s="34"/>
      <c r="W122" s="35" t="s">
        <v>67</v>
      </c>
      <c r="X122" s="615">
        <v>85</v>
      </c>
      <c r="Y122" s="616">
        <f>IFERROR(IF(X122="",0,CEILING((X122/$H122),1)*$H122),"")</f>
        <v>86.4</v>
      </c>
      <c r="Z122" s="36">
        <f>IFERROR(IF(Y122=0,"",ROUNDUP(Y122/H122,0)*0.00651),"")</f>
        <v>0.20832000000000001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92.933333333333323</v>
      </c>
      <c r="BN122" s="64">
        <f>IFERROR(Y122*I122/H122,"0")</f>
        <v>94.463999999999999</v>
      </c>
      <c r="BO122" s="64">
        <f>IFERROR(1/J122*(X122/H122),"0")</f>
        <v>0.17297517297517298</v>
      </c>
      <c r="BP122" s="64">
        <f>IFERROR(1/J122*(Y122/H122),"0")</f>
        <v>0.17582417582417584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19">
        <v>4680115884533</v>
      </c>
      <c r="E123" s="620"/>
      <c r="F123" s="614">
        <v>0.3</v>
      </c>
      <c r="G123" s="32">
        <v>6</v>
      </c>
      <c r="H123" s="614">
        <v>1.8</v>
      </c>
      <c r="I123" s="614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4"/>
      <c r="V123" s="34"/>
      <c r="W123" s="35" t="s">
        <v>67</v>
      </c>
      <c r="X123" s="615">
        <v>0</v>
      </c>
      <c r="Y123" s="61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37" t="s">
        <v>73</v>
      </c>
      <c r="X124" s="617">
        <f>IFERROR(X120/H120,"0")+IFERROR(X121/H121,"0")+IFERROR(X122/H122,"0")+IFERROR(X123/H123,"0")</f>
        <v>44.814814814814817</v>
      </c>
      <c r="Y124" s="617">
        <f>IFERROR(Y120/H120,"0")+IFERROR(Y121/H121,"0")+IFERROR(Y122/H122,"0")+IFERROR(Y123/H123,"0")</f>
        <v>46</v>
      </c>
      <c r="Z124" s="617">
        <f>IFERROR(IF(Z120="",0,Z120),"0")+IFERROR(IF(Z121="",0,Z121),"0")+IFERROR(IF(Z122="",0,Z122),"0")+IFERROR(IF(Z123="",0,Z123),"0")</f>
        <v>0.47404000000000002</v>
      </c>
      <c r="AA124" s="618"/>
      <c r="AB124" s="618"/>
      <c r="AC124" s="618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37" t="s">
        <v>67</v>
      </c>
      <c r="X125" s="617">
        <f>IFERROR(SUM(X120:X123),"0")</f>
        <v>193</v>
      </c>
      <c r="Y125" s="617">
        <f>IFERROR(SUM(Y120:Y123),"0")</f>
        <v>199.8</v>
      </c>
      <c r="Z125" s="37"/>
      <c r="AA125" s="618"/>
      <c r="AB125" s="618"/>
      <c r="AC125" s="618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11"/>
      <c r="AB126" s="611"/>
      <c r="AC126" s="611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19">
        <v>4680115880238</v>
      </c>
      <c r="E127" s="620"/>
      <c r="F127" s="614">
        <v>0.33</v>
      </c>
      <c r="G127" s="32">
        <v>6</v>
      </c>
      <c r="H127" s="614">
        <v>1.98</v>
      </c>
      <c r="I127" s="614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4"/>
      <c r="V127" s="34"/>
      <c r="W127" s="35" t="s">
        <v>67</v>
      </c>
      <c r="X127" s="615">
        <v>0</v>
      </c>
      <c r="Y127" s="61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37" t="s">
        <v>73</v>
      </c>
      <c r="X128" s="617">
        <f>IFERROR(X127/H127,"0")</f>
        <v>0</v>
      </c>
      <c r="Y128" s="617">
        <f>IFERROR(Y127/H127,"0")</f>
        <v>0</v>
      </c>
      <c r="Z128" s="617">
        <f>IFERROR(IF(Z127="",0,Z127),"0")</f>
        <v>0</v>
      </c>
      <c r="AA128" s="618"/>
      <c r="AB128" s="618"/>
      <c r="AC128" s="618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37" t="s">
        <v>67</v>
      </c>
      <c r="X129" s="617">
        <f>IFERROR(SUM(X127:X127),"0")</f>
        <v>0</v>
      </c>
      <c r="Y129" s="617">
        <f>IFERROR(SUM(Y127:Y127),"0")</f>
        <v>0</v>
      </c>
      <c r="Z129" s="37"/>
      <c r="AA129" s="618"/>
      <c r="AB129" s="618"/>
      <c r="AC129" s="618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10"/>
      <c r="AB130" s="610"/>
      <c r="AC130" s="610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11"/>
      <c r="AB131" s="611"/>
      <c r="AC131" s="611"/>
    </row>
    <row r="132" spans="1:68" ht="27" customHeight="1" x14ac:dyDescent="0.25">
      <c r="A132" s="54" t="s">
        <v>238</v>
      </c>
      <c r="B132" s="54" t="s">
        <v>239</v>
      </c>
      <c r="C132" s="31">
        <v>4301011562</v>
      </c>
      <c r="D132" s="619">
        <v>4680115882577</v>
      </c>
      <c r="E132" s="620"/>
      <c r="F132" s="614">
        <v>0.4</v>
      </c>
      <c r="G132" s="32">
        <v>8</v>
      </c>
      <c r="H132" s="614">
        <v>3.2</v>
      </c>
      <c r="I132" s="614">
        <v>3.38</v>
      </c>
      <c r="J132" s="32">
        <v>182</v>
      </c>
      <c r="K132" s="32" t="s">
        <v>77</v>
      </c>
      <c r="L132" s="32"/>
      <c r="M132" s="33" t="s">
        <v>95</v>
      </c>
      <c r="N132" s="33"/>
      <c r="O132" s="32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4"/>
      <c r="V132" s="34"/>
      <c r="W132" s="35" t="s">
        <v>67</v>
      </c>
      <c r="X132" s="615">
        <v>2</v>
      </c>
      <c r="Y132" s="616">
        <f>IFERROR(IF(X132="",0,CEILING((X132/$H132),1)*$H132),"")</f>
        <v>3.2</v>
      </c>
      <c r="Z132" s="36">
        <f>IFERROR(IF(Y132=0,"",ROUNDUP(Y132/H132,0)*0.00651),"")</f>
        <v>6.5100000000000002E-3</v>
      </c>
      <c r="AA132" s="56"/>
      <c r="AB132" s="57"/>
      <c r="AC132" s="183" t="s">
        <v>240</v>
      </c>
      <c r="AG132" s="64"/>
      <c r="AJ132" s="68"/>
      <c r="AK132" s="68">
        <v>0</v>
      </c>
      <c r="BB132" s="184" t="s">
        <v>1</v>
      </c>
      <c r="BM132" s="64">
        <f>IFERROR(X132*I132/H132,"0")</f>
        <v>2.1124999999999998</v>
      </c>
      <c r="BN132" s="64">
        <f>IFERROR(Y132*I132/H132,"0")</f>
        <v>3.38</v>
      </c>
      <c r="BO132" s="64">
        <f>IFERROR(1/J132*(X132/H132),"0")</f>
        <v>3.4340659340659344E-3</v>
      </c>
      <c r="BP132" s="64">
        <f>IFERROR(1/J132*(Y132/H132),"0")</f>
        <v>5.4945054945054949E-3</v>
      </c>
    </row>
    <row r="133" spans="1:68" ht="27" customHeight="1" x14ac:dyDescent="0.25">
      <c r="A133" s="54" t="s">
        <v>238</v>
      </c>
      <c r="B133" s="54" t="s">
        <v>241</v>
      </c>
      <c r="C133" s="31">
        <v>4301011564</v>
      </c>
      <c r="D133" s="619">
        <v>4680115882577</v>
      </c>
      <c r="E133" s="620"/>
      <c r="F133" s="614">
        <v>0.4</v>
      </c>
      <c r="G133" s="32">
        <v>8</v>
      </c>
      <c r="H133" s="614">
        <v>3.2</v>
      </c>
      <c r="I133" s="614">
        <v>3.38</v>
      </c>
      <c r="J133" s="32">
        <v>182</v>
      </c>
      <c r="K133" s="32" t="s">
        <v>77</v>
      </c>
      <c r="L133" s="32"/>
      <c r="M133" s="33" t="s">
        <v>95</v>
      </c>
      <c r="N133" s="33"/>
      <c r="O133" s="32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4"/>
      <c r="V133" s="34"/>
      <c r="W133" s="35" t="s">
        <v>67</v>
      </c>
      <c r="X133" s="615">
        <v>0</v>
      </c>
      <c r="Y133" s="61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5" t="s">
        <v>240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37" t="s">
        <v>73</v>
      </c>
      <c r="X134" s="617">
        <f>IFERROR(X132/H132,"0")+IFERROR(X133/H133,"0")</f>
        <v>0.625</v>
      </c>
      <c r="Y134" s="617">
        <f>IFERROR(Y132/H132,"0")+IFERROR(Y133/H133,"0")</f>
        <v>1</v>
      </c>
      <c r="Z134" s="617">
        <f>IFERROR(IF(Z132="",0,Z132),"0")+IFERROR(IF(Z133="",0,Z133),"0")</f>
        <v>6.5100000000000002E-3</v>
      </c>
      <c r="AA134" s="618"/>
      <c r="AB134" s="618"/>
      <c r="AC134" s="618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37" t="s">
        <v>67</v>
      </c>
      <c r="X135" s="617">
        <f>IFERROR(SUM(X132:X133),"0")</f>
        <v>2</v>
      </c>
      <c r="Y135" s="617">
        <f>IFERROR(SUM(Y132:Y133),"0")</f>
        <v>3.2</v>
      </c>
      <c r="Z135" s="37"/>
      <c r="AA135" s="618"/>
      <c r="AB135" s="618"/>
      <c r="AC135" s="618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11"/>
      <c r="AB136" s="611"/>
      <c r="AC136" s="611"/>
    </row>
    <row r="137" spans="1:68" ht="27" customHeight="1" x14ac:dyDescent="0.25">
      <c r="A137" s="54" t="s">
        <v>242</v>
      </c>
      <c r="B137" s="54" t="s">
        <v>243</v>
      </c>
      <c r="C137" s="31">
        <v>4301031234</v>
      </c>
      <c r="D137" s="619">
        <v>4680115883444</v>
      </c>
      <c r="E137" s="620"/>
      <c r="F137" s="614">
        <v>0.35</v>
      </c>
      <c r="G137" s="32">
        <v>8</v>
      </c>
      <c r="H137" s="614">
        <v>2.8</v>
      </c>
      <c r="I137" s="614">
        <v>3.0680000000000001</v>
      </c>
      <c r="J137" s="32">
        <v>182</v>
      </c>
      <c r="K137" s="32" t="s">
        <v>77</v>
      </c>
      <c r="L137" s="32"/>
      <c r="M137" s="33" t="s">
        <v>95</v>
      </c>
      <c r="N137" s="33"/>
      <c r="O137" s="32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4"/>
      <c r="V137" s="34"/>
      <c r="W137" s="35" t="s">
        <v>67</v>
      </c>
      <c r="X137" s="615">
        <v>14</v>
      </c>
      <c r="Y137" s="616">
        <f>IFERROR(IF(X137="",0,CEILING((X137/$H137),1)*$H137),"")</f>
        <v>14</v>
      </c>
      <c r="Z137" s="36">
        <f>IFERROR(IF(Y137=0,"",ROUNDUP(Y137/H137,0)*0.00651),"")</f>
        <v>3.2550000000000003E-2</v>
      </c>
      <c r="AA137" s="56"/>
      <c r="AB137" s="57"/>
      <c r="AC137" s="187" t="s">
        <v>244</v>
      </c>
      <c r="AG137" s="64"/>
      <c r="AJ137" s="68"/>
      <c r="AK137" s="68">
        <v>0</v>
      </c>
      <c r="BB137" s="188" t="s">
        <v>1</v>
      </c>
      <c r="BM137" s="64">
        <f>IFERROR(X137*I137/H137,"0")</f>
        <v>15.34</v>
      </c>
      <c r="BN137" s="64">
        <f>IFERROR(Y137*I137/H137,"0")</f>
        <v>15.34</v>
      </c>
      <c r="BO137" s="64">
        <f>IFERROR(1/J137*(X137/H137),"0")</f>
        <v>2.7472527472527476E-2</v>
      </c>
      <c r="BP137" s="64">
        <f>IFERROR(1/J137*(Y137/H137),"0")</f>
        <v>2.7472527472527476E-2</v>
      </c>
    </row>
    <row r="138" spans="1:68" ht="27" customHeight="1" x14ac:dyDescent="0.25">
      <c r="A138" s="54" t="s">
        <v>242</v>
      </c>
      <c r="B138" s="54" t="s">
        <v>245</v>
      </c>
      <c r="C138" s="31">
        <v>4301031235</v>
      </c>
      <c r="D138" s="619">
        <v>4680115883444</v>
      </c>
      <c r="E138" s="620"/>
      <c r="F138" s="614">
        <v>0.35</v>
      </c>
      <c r="G138" s="32">
        <v>8</v>
      </c>
      <c r="H138" s="614">
        <v>2.8</v>
      </c>
      <c r="I138" s="614">
        <v>3.0680000000000001</v>
      </c>
      <c r="J138" s="32">
        <v>182</v>
      </c>
      <c r="K138" s="32" t="s">
        <v>77</v>
      </c>
      <c r="L138" s="32"/>
      <c r="M138" s="33" t="s">
        <v>95</v>
      </c>
      <c r="N138" s="33"/>
      <c r="O138" s="32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4"/>
      <c r="V138" s="34"/>
      <c r="W138" s="35" t="s">
        <v>67</v>
      </c>
      <c r="X138" s="615">
        <v>0</v>
      </c>
      <c r="Y138" s="61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9" t="s">
        <v>244</v>
      </c>
      <c r="AG138" s="64"/>
      <c r="AJ138" s="68"/>
      <c r="AK138" s="68">
        <v>0</v>
      </c>
      <c r="BB138" s="19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37" t="s">
        <v>73</v>
      </c>
      <c r="X139" s="617">
        <f>IFERROR(X137/H137,"0")+IFERROR(X138/H138,"0")</f>
        <v>5</v>
      </c>
      <c r="Y139" s="617">
        <f>IFERROR(Y137/H137,"0")+IFERROR(Y138/H138,"0")</f>
        <v>5</v>
      </c>
      <c r="Z139" s="617">
        <f>IFERROR(IF(Z137="",0,Z137),"0")+IFERROR(IF(Z138="",0,Z138),"0")</f>
        <v>3.2550000000000003E-2</v>
      </c>
      <c r="AA139" s="618"/>
      <c r="AB139" s="618"/>
      <c r="AC139" s="618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37" t="s">
        <v>67</v>
      </c>
      <c r="X140" s="617">
        <f>IFERROR(SUM(X137:X138),"0")</f>
        <v>14</v>
      </c>
      <c r="Y140" s="617">
        <f>IFERROR(SUM(Y137:Y138),"0")</f>
        <v>14</v>
      </c>
      <c r="Z140" s="37"/>
      <c r="AA140" s="618"/>
      <c r="AB140" s="618"/>
      <c r="AC140" s="618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11"/>
      <c r="AB141" s="611"/>
      <c r="AC141" s="611"/>
    </row>
    <row r="142" spans="1:68" ht="16.5" customHeight="1" x14ac:dyDescent="0.25">
      <c r="A142" s="54" t="s">
        <v>246</v>
      </c>
      <c r="B142" s="54" t="s">
        <v>247</v>
      </c>
      <c r="C142" s="31">
        <v>4301051476</v>
      </c>
      <c r="D142" s="619">
        <v>4680115882584</v>
      </c>
      <c r="E142" s="620"/>
      <c r="F142" s="614">
        <v>0.33</v>
      </c>
      <c r="G142" s="32">
        <v>8</v>
      </c>
      <c r="H142" s="614">
        <v>2.64</v>
      </c>
      <c r="I142" s="614">
        <v>2.9079999999999999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4"/>
      <c r="V142" s="34"/>
      <c r="W142" s="35" t="s">
        <v>67</v>
      </c>
      <c r="X142" s="615">
        <v>27</v>
      </c>
      <c r="Y142" s="616">
        <f>IFERROR(IF(X142="",0,CEILING((X142/$H142),1)*$H142),"")</f>
        <v>29.040000000000003</v>
      </c>
      <c r="Z142" s="36">
        <f>IFERROR(IF(Y142=0,"",ROUNDUP(Y142/H142,0)*0.00651),"")</f>
        <v>7.1610000000000007E-2</v>
      </c>
      <c r="AA142" s="56"/>
      <c r="AB142" s="57"/>
      <c r="AC142" s="191" t="s">
        <v>240</v>
      </c>
      <c r="AG142" s="64"/>
      <c r="AJ142" s="68"/>
      <c r="AK142" s="68">
        <v>0</v>
      </c>
      <c r="BB142" s="192" t="s">
        <v>1</v>
      </c>
      <c r="BM142" s="64">
        <f>IFERROR(X142*I142/H142,"0")</f>
        <v>29.740909090909085</v>
      </c>
      <c r="BN142" s="64">
        <f>IFERROR(Y142*I142/H142,"0")</f>
        <v>31.988000000000003</v>
      </c>
      <c r="BO142" s="64">
        <f>IFERROR(1/J142*(X142/H142),"0")</f>
        <v>5.6193806193806192E-2</v>
      </c>
      <c r="BP142" s="64">
        <f>IFERROR(1/J142*(Y142/H142),"0")</f>
        <v>6.0439560439560447E-2</v>
      </c>
    </row>
    <row r="143" spans="1:68" ht="16.5" customHeight="1" x14ac:dyDescent="0.25">
      <c r="A143" s="54" t="s">
        <v>246</v>
      </c>
      <c r="B143" s="54" t="s">
        <v>248</v>
      </c>
      <c r="C143" s="31">
        <v>4301051477</v>
      </c>
      <c r="D143" s="619">
        <v>4680115882584</v>
      </c>
      <c r="E143" s="620"/>
      <c r="F143" s="614">
        <v>0.33</v>
      </c>
      <c r="G143" s="32">
        <v>8</v>
      </c>
      <c r="H143" s="614">
        <v>2.64</v>
      </c>
      <c r="I143" s="614">
        <v>2.9079999999999999</v>
      </c>
      <c r="J143" s="32">
        <v>182</v>
      </c>
      <c r="K143" s="32" t="s">
        <v>77</v>
      </c>
      <c r="L143" s="32"/>
      <c r="M143" s="33" t="s">
        <v>95</v>
      </c>
      <c r="N143" s="33"/>
      <c r="O143" s="32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4"/>
      <c r="V143" s="34"/>
      <c r="W143" s="35" t="s">
        <v>67</v>
      </c>
      <c r="X143" s="615">
        <v>0</v>
      </c>
      <c r="Y143" s="61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3" t="s">
        <v>240</v>
      </c>
      <c r="AG143" s="64"/>
      <c r="AJ143" s="68"/>
      <c r="AK143" s="68">
        <v>0</v>
      </c>
      <c r="BB143" s="19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37" t="s">
        <v>73</v>
      </c>
      <c r="X144" s="617">
        <f>IFERROR(X142/H142,"0")+IFERROR(X143/H143,"0")</f>
        <v>10.227272727272727</v>
      </c>
      <c r="Y144" s="617">
        <f>IFERROR(Y142/H142,"0")+IFERROR(Y143/H143,"0")</f>
        <v>11</v>
      </c>
      <c r="Z144" s="617">
        <f>IFERROR(IF(Z142="",0,Z142),"0")+IFERROR(IF(Z143="",0,Z143),"0")</f>
        <v>7.1610000000000007E-2</v>
      </c>
      <c r="AA144" s="618"/>
      <c r="AB144" s="618"/>
      <c r="AC144" s="618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37" t="s">
        <v>67</v>
      </c>
      <c r="X145" s="617">
        <f>IFERROR(SUM(X142:X143),"0")</f>
        <v>27</v>
      </c>
      <c r="Y145" s="617">
        <f>IFERROR(SUM(Y142:Y143),"0")</f>
        <v>29.040000000000003</v>
      </c>
      <c r="Z145" s="37"/>
      <c r="AA145" s="618"/>
      <c r="AB145" s="618"/>
      <c r="AC145" s="618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10"/>
      <c r="AB146" s="610"/>
      <c r="AC146" s="610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11"/>
      <c r="AB147" s="611"/>
      <c r="AC147" s="611"/>
    </row>
    <row r="148" spans="1:68" ht="27" customHeight="1" x14ac:dyDescent="0.25">
      <c r="A148" s="54" t="s">
        <v>250</v>
      </c>
      <c r="B148" s="54" t="s">
        <v>251</v>
      </c>
      <c r="C148" s="31">
        <v>4301052174</v>
      </c>
      <c r="D148" s="619">
        <v>4680115888203</v>
      </c>
      <c r="E148" s="620"/>
      <c r="F148" s="614">
        <v>0.22</v>
      </c>
      <c r="G148" s="32">
        <v>9</v>
      </c>
      <c r="H148" s="614">
        <v>1.98</v>
      </c>
      <c r="I148" s="614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4"/>
      <c r="V148" s="34"/>
      <c r="W148" s="35" t="s">
        <v>67</v>
      </c>
      <c r="X148" s="615">
        <v>0</v>
      </c>
      <c r="Y148" s="61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95" t="s">
        <v>252</v>
      </c>
      <c r="AG148" s="64"/>
      <c r="AJ148" s="68"/>
      <c r="AK148" s="68">
        <v>0</v>
      </c>
      <c r="BB148" s="196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4301052172</v>
      </c>
      <c r="D149" s="619">
        <v>4680115888180</v>
      </c>
      <c r="E149" s="620"/>
      <c r="F149" s="614">
        <v>0.22</v>
      </c>
      <c r="G149" s="32">
        <v>9</v>
      </c>
      <c r="H149" s="614">
        <v>1.98</v>
      </c>
      <c r="I149" s="614">
        <v>2.2589999999999999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4"/>
      <c r="V149" s="34"/>
      <c r="W149" s="35" t="s">
        <v>67</v>
      </c>
      <c r="X149" s="615">
        <v>0</v>
      </c>
      <c r="Y149" s="616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197" t="s">
        <v>255</v>
      </c>
      <c r="AG149" s="64"/>
      <c r="AJ149" s="68"/>
      <c r="AK149" s="68">
        <v>0</v>
      </c>
      <c r="BB149" s="198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256</v>
      </c>
      <c r="B150" s="54" t="s">
        <v>257</v>
      </c>
      <c r="C150" s="31">
        <v>4301052173</v>
      </c>
      <c r="D150" s="619">
        <v>4680115888197</v>
      </c>
      <c r="E150" s="620"/>
      <c r="F150" s="614">
        <v>0.22</v>
      </c>
      <c r="G150" s="32">
        <v>9</v>
      </c>
      <c r="H150" s="614">
        <v>1.98</v>
      </c>
      <c r="I150" s="614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4"/>
      <c r="V150" s="34"/>
      <c r="W150" s="35" t="s">
        <v>67</v>
      </c>
      <c r="X150" s="615">
        <v>0</v>
      </c>
      <c r="Y150" s="61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9" t="s">
        <v>258</v>
      </c>
      <c r="AG150" s="64"/>
      <c r="AJ150" s="68"/>
      <c r="AK150" s="68">
        <v>0</v>
      </c>
      <c r="BB150" s="200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259</v>
      </c>
      <c r="B151" s="54" t="s">
        <v>260</v>
      </c>
      <c r="C151" s="31">
        <v>4301052175</v>
      </c>
      <c r="D151" s="619">
        <v>4680115888210</v>
      </c>
      <c r="E151" s="620"/>
      <c r="F151" s="614">
        <v>0.22</v>
      </c>
      <c r="G151" s="32">
        <v>9</v>
      </c>
      <c r="H151" s="614">
        <v>1.98</v>
      </c>
      <c r="I151" s="614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4"/>
      <c r="V151" s="34"/>
      <c r="W151" s="35" t="s">
        <v>67</v>
      </c>
      <c r="X151" s="615">
        <v>0</v>
      </c>
      <c r="Y151" s="616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201" t="s">
        <v>261</v>
      </c>
      <c r="AG151" s="64"/>
      <c r="AJ151" s="68"/>
      <c r="AK151" s="68">
        <v>0</v>
      </c>
      <c r="BB151" s="202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37" t="s">
        <v>73</v>
      </c>
      <c r="X152" s="617">
        <f>IFERROR(X148/H148,"0")+IFERROR(X149/H149,"0")+IFERROR(X150/H150,"0")+IFERROR(X151/H151,"0")</f>
        <v>0</v>
      </c>
      <c r="Y152" s="617">
        <f>IFERROR(Y148/H148,"0")+IFERROR(Y149/H149,"0")+IFERROR(Y150/H150,"0")+IFERROR(Y151/H151,"0")</f>
        <v>0</v>
      </c>
      <c r="Z152" s="617">
        <f>IFERROR(IF(Z148="",0,Z148),"0")+IFERROR(IF(Z149="",0,Z149),"0")+IFERROR(IF(Z150="",0,Z150),"0")+IFERROR(IF(Z151="",0,Z151),"0")</f>
        <v>0</v>
      </c>
      <c r="AA152" s="618"/>
      <c r="AB152" s="618"/>
      <c r="AC152" s="618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37" t="s">
        <v>67</v>
      </c>
      <c r="X153" s="617">
        <f>IFERROR(SUM(X148:X151),"0")</f>
        <v>0</v>
      </c>
      <c r="Y153" s="617">
        <f>IFERROR(SUM(Y148:Y151),"0")</f>
        <v>0</v>
      </c>
      <c r="Z153" s="37"/>
      <c r="AA153" s="618"/>
      <c r="AB153" s="618"/>
      <c r="AC153" s="618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10"/>
      <c r="AB154" s="610"/>
      <c r="AC154" s="610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11"/>
      <c r="AB155" s="611"/>
      <c r="AC155" s="611"/>
    </row>
    <row r="156" spans="1:68" ht="16.5" customHeight="1" x14ac:dyDescent="0.25">
      <c r="A156" s="54" t="s">
        <v>262</v>
      </c>
      <c r="B156" s="54" t="s">
        <v>263</v>
      </c>
      <c r="C156" s="31">
        <v>4301012344</v>
      </c>
      <c r="D156" s="619">
        <v>4680115888876</v>
      </c>
      <c r="E156" s="620"/>
      <c r="F156" s="614">
        <v>0.43</v>
      </c>
      <c r="G156" s="32">
        <v>6</v>
      </c>
      <c r="H156" s="614">
        <v>2.58</v>
      </c>
      <c r="I156" s="614">
        <v>2.76</v>
      </c>
      <c r="J156" s="32">
        <v>182</v>
      </c>
      <c r="K156" s="32" t="s">
        <v>77</v>
      </c>
      <c r="L156" s="32"/>
      <c r="M156" s="33" t="s">
        <v>78</v>
      </c>
      <c r="N156" s="33"/>
      <c r="O156" s="32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4"/>
      <c r="V156" s="34"/>
      <c r="W156" s="35" t="s">
        <v>67</v>
      </c>
      <c r="X156" s="615">
        <v>0</v>
      </c>
      <c r="Y156" s="616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 t="s">
        <v>264</v>
      </c>
      <c r="AC156" s="203" t="s">
        <v>265</v>
      </c>
      <c r="AG156" s="64"/>
      <c r="AJ156" s="68"/>
      <c r="AK156" s="68">
        <v>0</v>
      </c>
      <c r="BB156" s="204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266</v>
      </c>
      <c r="B157" s="54" t="s">
        <v>267</v>
      </c>
      <c r="C157" s="31">
        <v>4301012244</v>
      </c>
      <c r="D157" s="619">
        <v>4680115887374</v>
      </c>
      <c r="E157" s="620"/>
      <c r="F157" s="614">
        <v>1.6</v>
      </c>
      <c r="G157" s="32">
        <v>8</v>
      </c>
      <c r="H157" s="614">
        <v>12.8</v>
      </c>
      <c r="I157" s="614">
        <v>13.21</v>
      </c>
      <c r="J157" s="32">
        <v>64</v>
      </c>
      <c r="K157" s="32" t="s">
        <v>120</v>
      </c>
      <c r="L157" s="32"/>
      <c r="M157" s="33" t="s">
        <v>121</v>
      </c>
      <c r="N157" s="33"/>
      <c r="O157" s="32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4"/>
      <c r="V157" s="34"/>
      <c r="W157" s="35" t="s">
        <v>67</v>
      </c>
      <c r="X157" s="615">
        <v>0</v>
      </c>
      <c r="Y157" s="61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05" t="s">
        <v>268</v>
      </c>
      <c r="AG157" s="64"/>
      <c r="AJ157" s="68"/>
      <c r="AK157" s="68">
        <v>0</v>
      </c>
      <c r="BB157" s="206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269</v>
      </c>
      <c r="B158" s="54" t="s">
        <v>270</v>
      </c>
      <c r="C158" s="31">
        <v>4301011705</v>
      </c>
      <c r="D158" s="619">
        <v>4607091384604</v>
      </c>
      <c r="E158" s="620"/>
      <c r="F158" s="614">
        <v>0.4</v>
      </c>
      <c r="G158" s="32">
        <v>10</v>
      </c>
      <c r="H158" s="614">
        <v>4</v>
      </c>
      <c r="I158" s="614">
        <v>4.1900000000000004</v>
      </c>
      <c r="J158" s="32">
        <v>132</v>
      </c>
      <c r="K158" s="32" t="s">
        <v>129</v>
      </c>
      <c r="L158" s="32"/>
      <c r="M158" s="33" t="s">
        <v>121</v>
      </c>
      <c r="N158" s="33"/>
      <c r="O158" s="32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4"/>
      <c r="V158" s="34"/>
      <c r="W158" s="35" t="s">
        <v>67</v>
      </c>
      <c r="X158" s="615">
        <v>0</v>
      </c>
      <c r="Y158" s="616">
        <f>IFERROR(IF(X158="",0,CEILING((X158/$H158),1)*$H158),"")</f>
        <v>0</v>
      </c>
      <c r="Z158" s="36" t="str">
        <f>IFERROR(IF(Y158=0,"",ROUNDUP(Y158/H158,0)*0.00902),"")</f>
        <v/>
      </c>
      <c r="AA158" s="56"/>
      <c r="AB158" s="57"/>
      <c r="AC158" s="207" t="s">
        <v>271</v>
      </c>
      <c r="AG158" s="64"/>
      <c r="AJ158" s="68"/>
      <c r="AK158" s="68">
        <v>0</v>
      </c>
      <c r="BB158" s="208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37" t="s">
        <v>73</v>
      </c>
      <c r="X159" s="617">
        <f>IFERROR(X156/H156,"0")+IFERROR(X157/H157,"0")+IFERROR(X158/H158,"0")</f>
        <v>0</v>
      </c>
      <c r="Y159" s="617">
        <f>IFERROR(Y156/H156,"0")+IFERROR(Y157/H157,"0")+IFERROR(Y158/H158,"0")</f>
        <v>0</v>
      </c>
      <c r="Z159" s="617">
        <f>IFERROR(IF(Z156="",0,Z156),"0")+IFERROR(IF(Z157="",0,Z157),"0")+IFERROR(IF(Z158="",0,Z158),"0")</f>
        <v>0</v>
      </c>
      <c r="AA159" s="618"/>
      <c r="AB159" s="618"/>
      <c r="AC159" s="618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37" t="s">
        <v>67</v>
      </c>
      <c r="X160" s="617">
        <f>IFERROR(SUM(X156:X158),"0")</f>
        <v>0</v>
      </c>
      <c r="Y160" s="617">
        <f>IFERROR(SUM(Y156:Y158),"0")</f>
        <v>0</v>
      </c>
      <c r="Z160" s="37"/>
      <c r="AA160" s="618"/>
      <c r="AB160" s="618"/>
      <c r="AC160" s="618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11"/>
      <c r="AB161" s="611"/>
      <c r="AC161" s="611"/>
    </row>
    <row r="162" spans="1:68" ht="16.5" customHeight="1" x14ac:dyDescent="0.25">
      <c r="A162" s="54" t="s">
        <v>272</v>
      </c>
      <c r="B162" s="54" t="s">
        <v>273</v>
      </c>
      <c r="C162" s="31">
        <v>4301020410</v>
      </c>
      <c r="D162" s="619">
        <v>4680115887695</v>
      </c>
      <c r="E162" s="620"/>
      <c r="F162" s="614">
        <v>0.12</v>
      </c>
      <c r="G162" s="32">
        <v>6</v>
      </c>
      <c r="H162" s="614">
        <v>0.72</v>
      </c>
      <c r="I162" s="614">
        <v>0.85</v>
      </c>
      <c r="J162" s="32">
        <v>252</v>
      </c>
      <c r="K162" s="32" t="s">
        <v>65</v>
      </c>
      <c r="L162" s="32"/>
      <c r="M162" s="33" t="s">
        <v>66</v>
      </c>
      <c r="N162" s="33"/>
      <c r="O162" s="32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4"/>
      <c r="V162" s="34"/>
      <c r="W162" s="35" t="s">
        <v>67</v>
      </c>
      <c r="X162" s="615">
        <v>0</v>
      </c>
      <c r="Y162" s="616">
        <f>IFERROR(IF(X162="",0,CEILING((X162/$H162),1)*$H162),"")</f>
        <v>0</v>
      </c>
      <c r="Z162" s="36" t="str">
        <f>IFERROR(IF(Y162=0,"",ROUNDUP(Y162/H162,0)*0.00556),"")</f>
        <v/>
      </c>
      <c r="AA162" s="56"/>
      <c r="AB162" s="57"/>
      <c r="AC162" s="209" t="s">
        <v>274</v>
      </c>
      <c r="AG162" s="64"/>
      <c r="AJ162" s="68"/>
      <c r="AK162" s="68">
        <v>0</v>
      </c>
      <c r="BB162" s="21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37" t="s">
        <v>73</v>
      </c>
      <c r="X163" s="617">
        <f>IFERROR(X162/H162,"0")</f>
        <v>0</v>
      </c>
      <c r="Y163" s="617">
        <f>IFERROR(Y162/H162,"0")</f>
        <v>0</v>
      </c>
      <c r="Z163" s="617">
        <f>IFERROR(IF(Z162="",0,Z162),"0")</f>
        <v>0</v>
      </c>
      <c r="AA163" s="618"/>
      <c r="AB163" s="618"/>
      <c r="AC163" s="618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37" t="s">
        <v>67</v>
      </c>
      <c r="X164" s="617">
        <f>IFERROR(SUM(X162:X162),"0")</f>
        <v>0</v>
      </c>
      <c r="Y164" s="617">
        <f>IFERROR(SUM(Y162:Y162),"0")</f>
        <v>0</v>
      </c>
      <c r="Z164" s="37"/>
      <c r="AA164" s="618"/>
      <c r="AB164" s="618"/>
      <c r="AC164" s="618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11"/>
      <c r="AB165" s="611"/>
      <c r="AC165" s="611"/>
    </row>
    <row r="166" spans="1:68" ht="27" customHeight="1" x14ac:dyDescent="0.25">
      <c r="A166" s="54" t="s">
        <v>275</v>
      </c>
      <c r="B166" s="54" t="s">
        <v>276</v>
      </c>
      <c r="C166" s="31">
        <v>4301031496</v>
      </c>
      <c r="D166" s="619">
        <v>4680115887428</v>
      </c>
      <c r="E166" s="620"/>
      <c r="F166" s="614">
        <v>0.7</v>
      </c>
      <c r="G166" s="32">
        <v>5</v>
      </c>
      <c r="H166" s="614">
        <v>3.5</v>
      </c>
      <c r="I166" s="614">
        <v>3.69</v>
      </c>
      <c r="J166" s="32">
        <v>132</v>
      </c>
      <c r="K166" s="32" t="s">
        <v>129</v>
      </c>
      <c r="L166" s="32"/>
      <c r="M166" s="33" t="s">
        <v>66</v>
      </c>
      <c r="N166" s="33"/>
      <c r="O166" s="32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4"/>
      <c r="V166" s="34"/>
      <c r="W166" s="35" t="s">
        <v>67</v>
      </c>
      <c r="X166" s="615">
        <v>0</v>
      </c>
      <c r="Y166" s="616">
        <f t="shared" ref="Y166:Y177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1" t="s">
        <v>277</v>
      </c>
      <c r="AG166" s="64"/>
      <c r="AJ166" s="68"/>
      <c r="AK166" s="68">
        <v>0</v>
      </c>
      <c r="BB166" s="212" t="s">
        <v>1</v>
      </c>
      <c r="BM166" s="64">
        <f t="shared" ref="BM166:BM177" si="11">IFERROR(X166*I166/H166,"0")</f>
        <v>0</v>
      </c>
      <c r="BN166" s="64">
        <f t="shared" ref="BN166:BN177" si="12">IFERROR(Y166*I166/H166,"0")</f>
        <v>0</v>
      </c>
      <c r="BO166" s="64">
        <f t="shared" ref="BO166:BO177" si="13">IFERROR(1/J166*(X166/H166),"0")</f>
        <v>0</v>
      </c>
      <c r="BP166" s="64">
        <f t="shared" ref="BP166:BP177" si="14">IFERROR(1/J166*(Y166/H166),"0")</f>
        <v>0</v>
      </c>
    </row>
    <row r="167" spans="1:68" ht="27" customHeight="1" x14ac:dyDescent="0.25">
      <c r="A167" s="54" t="s">
        <v>278</v>
      </c>
      <c r="B167" s="54" t="s">
        <v>279</v>
      </c>
      <c r="C167" s="31">
        <v>4301030963</v>
      </c>
      <c r="D167" s="619">
        <v>4607091382426</v>
      </c>
      <c r="E167" s="620"/>
      <c r="F167" s="614">
        <v>0.9</v>
      </c>
      <c r="G167" s="32">
        <v>10</v>
      </c>
      <c r="H167" s="614">
        <v>9</v>
      </c>
      <c r="I167" s="614">
        <v>9.56</v>
      </c>
      <c r="J167" s="32">
        <v>64</v>
      </c>
      <c r="K167" s="32" t="s">
        <v>120</v>
      </c>
      <c r="L167" s="32"/>
      <c r="M167" s="33" t="s">
        <v>66</v>
      </c>
      <c r="N167" s="33"/>
      <c r="O167" s="32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4"/>
      <c r="V167" s="34"/>
      <c r="W167" s="35" t="s">
        <v>67</v>
      </c>
      <c r="X167" s="615">
        <v>0</v>
      </c>
      <c r="Y167" s="616">
        <f t="shared" si="10"/>
        <v>0</v>
      </c>
      <c r="Z167" s="36" t="str">
        <f>IFERROR(IF(Y167=0,"",ROUNDUP(Y167/H167,0)*0.01898),"")</f>
        <v/>
      </c>
      <c r="AA167" s="56"/>
      <c r="AB167" s="57"/>
      <c r="AC167" s="213" t="s">
        <v>280</v>
      </c>
      <c r="AG167" s="64"/>
      <c r="AJ167" s="68"/>
      <c r="AK167" s="68">
        <v>0</v>
      </c>
      <c r="BB167" s="21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281</v>
      </c>
      <c r="B168" s="54" t="s">
        <v>282</v>
      </c>
      <c r="C168" s="31">
        <v>4301031509</v>
      </c>
      <c r="D168" s="619">
        <v>4680115889170</v>
      </c>
      <c r="E168" s="620"/>
      <c r="F168" s="614">
        <v>0.7</v>
      </c>
      <c r="G168" s="32">
        <v>5</v>
      </c>
      <c r="H168" s="614">
        <v>3.5</v>
      </c>
      <c r="I168" s="614">
        <v>3.7650000000000001</v>
      </c>
      <c r="J168" s="32">
        <v>132</v>
      </c>
      <c r="K168" s="32" t="s">
        <v>129</v>
      </c>
      <c r="L168" s="32"/>
      <c r="M168" s="33" t="s">
        <v>66</v>
      </c>
      <c r="N168" s="33"/>
      <c r="O168" s="32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4"/>
      <c r="V168" s="34"/>
      <c r="W168" s="35" t="s">
        <v>67</v>
      </c>
      <c r="X168" s="615">
        <v>0</v>
      </c>
      <c r="Y168" s="616">
        <f t="shared" si="10"/>
        <v>0</v>
      </c>
      <c r="Z168" s="36" t="str">
        <f>IFERROR(IF(Y168=0,"",ROUNDUP(Y168/H168,0)*0.00902),"")</f>
        <v/>
      </c>
      <c r="AA168" s="56"/>
      <c r="AB168" s="57"/>
      <c r="AC168" s="215" t="s">
        <v>283</v>
      </c>
      <c r="AG168" s="64"/>
      <c r="AJ168" s="68"/>
      <c r="AK168" s="68">
        <v>0</v>
      </c>
      <c r="BB168" s="21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4301031498</v>
      </c>
      <c r="D169" s="619">
        <v>4680115887398</v>
      </c>
      <c r="E169" s="620"/>
      <c r="F169" s="614">
        <v>0.7</v>
      </c>
      <c r="G169" s="32">
        <v>5</v>
      </c>
      <c r="H169" s="614">
        <v>3.5</v>
      </c>
      <c r="I169" s="614">
        <v>3.69</v>
      </c>
      <c r="J169" s="32">
        <v>132</v>
      </c>
      <c r="K169" s="32" t="s">
        <v>129</v>
      </c>
      <c r="L169" s="32"/>
      <c r="M169" s="33" t="s">
        <v>66</v>
      </c>
      <c r="N169" s="33"/>
      <c r="O169" s="32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4"/>
      <c r="V169" s="34"/>
      <c r="W169" s="35" t="s">
        <v>67</v>
      </c>
      <c r="X169" s="615">
        <v>11</v>
      </c>
      <c r="Y169" s="616">
        <f t="shared" si="10"/>
        <v>14</v>
      </c>
      <c r="Z169" s="36">
        <f>IFERROR(IF(Y169=0,"",ROUNDUP(Y169/H169,0)*0.00902),"")</f>
        <v>3.6080000000000001E-2</v>
      </c>
      <c r="AA169" s="56"/>
      <c r="AB169" s="57"/>
      <c r="AC169" s="217" t="s">
        <v>286</v>
      </c>
      <c r="AG169" s="64"/>
      <c r="AJ169" s="68"/>
      <c r="AK169" s="68">
        <v>0</v>
      </c>
      <c r="BB169" s="218" t="s">
        <v>1</v>
      </c>
      <c r="BM169" s="64">
        <f t="shared" si="11"/>
        <v>11.597142857142856</v>
      </c>
      <c r="BN169" s="64">
        <f t="shared" si="12"/>
        <v>14.76</v>
      </c>
      <c r="BO169" s="64">
        <f t="shared" si="13"/>
        <v>2.3809523809523808E-2</v>
      </c>
      <c r="BP169" s="64">
        <f t="shared" si="14"/>
        <v>3.0303030303030304E-2</v>
      </c>
    </row>
    <row r="170" spans="1:68" ht="27" customHeight="1" x14ac:dyDescent="0.25">
      <c r="A170" s="54" t="s">
        <v>287</v>
      </c>
      <c r="B170" s="54" t="s">
        <v>288</v>
      </c>
      <c r="C170" s="31">
        <v>4301031497</v>
      </c>
      <c r="D170" s="619">
        <v>4680115887336</v>
      </c>
      <c r="E170" s="620"/>
      <c r="F170" s="614">
        <v>0.7</v>
      </c>
      <c r="G170" s="32">
        <v>5</v>
      </c>
      <c r="H170" s="614">
        <v>3.5</v>
      </c>
      <c r="I170" s="614">
        <v>3.69</v>
      </c>
      <c r="J170" s="32">
        <v>132</v>
      </c>
      <c r="K170" s="32" t="s">
        <v>129</v>
      </c>
      <c r="L170" s="32"/>
      <c r="M170" s="33" t="s">
        <v>66</v>
      </c>
      <c r="N170" s="33"/>
      <c r="O170" s="32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4"/>
      <c r="V170" s="34"/>
      <c r="W170" s="35" t="s">
        <v>67</v>
      </c>
      <c r="X170" s="615">
        <v>0</v>
      </c>
      <c r="Y170" s="616">
        <f t="shared" si="10"/>
        <v>0</v>
      </c>
      <c r="Z170" s="36" t="str">
        <f>IFERROR(IF(Y170=0,"",ROUNDUP(Y170/H170,0)*0.00902),"")</f>
        <v/>
      </c>
      <c r="AA170" s="56"/>
      <c r="AB170" s="57"/>
      <c r="AC170" s="219" t="s">
        <v>289</v>
      </c>
      <c r="AG170" s="64"/>
      <c r="AJ170" s="68"/>
      <c r="AK170" s="68">
        <v>0</v>
      </c>
      <c r="BB170" s="22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16.5" customHeight="1" x14ac:dyDescent="0.25">
      <c r="A171" s="54" t="s">
        <v>290</v>
      </c>
      <c r="B171" s="54" t="s">
        <v>291</v>
      </c>
      <c r="C171" s="31">
        <v>4301032049</v>
      </c>
      <c r="D171" s="619">
        <v>4680115887787</v>
      </c>
      <c r="E171" s="620"/>
      <c r="F171" s="614">
        <v>0.09</v>
      </c>
      <c r="G171" s="32">
        <v>10</v>
      </c>
      <c r="H171" s="614">
        <v>0.9</v>
      </c>
      <c r="I171" s="614">
        <v>1.1100000000000001</v>
      </c>
      <c r="J171" s="32">
        <v>336</v>
      </c>
      <c r="K171" s="32" t="s">
        <v>125</v>
      </c>
      <c r="L171" s="32"/>
      <c r="M171" s="33" t="s">
        <v>66</v>
      </c>
      <c r="N171" s="33"/>
      <c r="O171" s="32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4"/>
      <c r="V171" s="34"/>
      <c r="W171" s="35" t="s">
        <v>67</v>
      </c>
      <c r="X171" s="615">
        <v>0</v>
      </c>
      <c r="Y171" s="616">
        <f t="shared" si="10"/>
        <v>0</v>
      </c>
      <c r="Z171" s="36" t="str">
        <f>IFERROR(IF(Y171=0,"",ROUNDUP(Y171/H171,0)*0.00417),"")</f>
        <v/>
      </c>
      <c r="AA171" s="56"/>
      <c r="AB171" s="57"/>
      <c r="AC171" s="221" t="s">
        <v>292</v>
      </c>
      <c r="AG171" s="64"/>
      <c r="AJ171" s="68"/>
      <c r="AK171" s="68">
        <v>0</v>
      </c>
      <c r="BB171" s="22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4301031448</v>
      </c>
      <c r="D172" s="619">
        <v>4680115887503</v>
      </c>
      <c r="E172" s="620"/>
      <c r="F172" s="614">
        <v>0.28000000000000003</v>
      </c>
      <c r="G172" s="32">
        <v>6</v>
      </c>
      <c r="H172" s="614">
        <v>1.68</v>
      </c>
      <c r="I172" s="614">
        <v>1.78</v>
      </c>
      <c r="J172" s="32">
        <v>234</v>
      </c>
      <c r="K172" s="32" t="s">
        <v>65</v>
      </c>
      <c r="L172" s="32"/>
      <c r="M172" s="33" t="s">
        <v>66</v>
      </c>
      <c r="N172" s="33"/>
      <c r="O172" s="32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4"/>
      <c r="V172" s="34"/>
      <c r="W172" s="35" t="s">
        <v>67</v>
      </c>
      <c r="X172" s="615">
        <v>37</v>
      </c>
      <c r="Y172" s="616">
        <f t="shared" si="10"/>
        <v>38.64</v>
      </c>
      <c r="Z172" s="36">
        <f>IFERROR(IF(Y172=0,"",ROUNDUP(Y172/H172,0)*0.00502),"")</f>
        <v>0.11546000000000001</v>
      </c>
      <c r="AA172" s="56"/>
      <c r="AB172" s="57"/>
      <c r="AC172" s="223" t="s">
        <v>277</v>
      </c>
      <c r="AG172" s="64"/>
      <c r="AJ172" s="68"/>
      <c r="AK172" s="68">
        <v>0</v>
      </c>
      <c r="BB172" s="224" t="s">
        <v>1</v>
      </c>
      <c r="BM172" s="64">
        <f t="shared" si="11"/>
        <v>39.202380952380956</v>
      </c>
      <c r="BN172" s="64">
        <f t="shared" si="12"/>
        <v>40.940000000000005</v>
      </c>
      <c r="BO172" s="64">
        <f t="shared" si="13"/>
        <v>9.4118844118844136E-2</v>
      </c>
      <c r="BP172" s="64">
        <f t="shared" si="14"/>
        <v>9.8290598290598302E-2</v>
      </c>
    </row>
    <row r="173" spans="1:68" ht="27" customHeight="1" x14ac:dyDescent="0.25">
      <c r="A173" s="54" t="s">
        <v>295</v>
      </c>
      <c r="B173" s="54" t="s">
        <v>296</v>
      </c>
      <c r="C173" s="31">
        <v>4301031389</v>
      </c>
      <c r="D173" s="619">
        <v>4680115887763</v>
      </c>
      <c r="E173" s="620"/>
      <c r="F173" s="614">
        <v>0.09</v>
      </c>
      <c r="G173" s="32">
        <v>10</v>
      </c>
      <c r="H173" s="614">
        <v>0.9</v>
      </c>
      <c r="I173" s="614">
        <v>1.1100000000000001</v>
      </c>
      <c r="J173" s="32">
        <v>336</v>
      </c>
      <c r="K173" s="32" t="s">
        <v>125</v>
      </c>
      <c r="L173" s="32"/>
      <c r="M173" s="33" t="s">
        <v>66</v>
      </c>
      <c r="N173" s="33"/>
      <c r="O173" s="32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4"/>
      <c r="V173" s="34"/>
      <c r="W173" s="35" t="s">
        <v>67</v>
      </c>
      <c r="X173" s="615">
        <v>0</v>
      </c>
      <c r="Y173" s="616">
        <f t="shared" si="10"/>
        <v>0</v>
      </c>
      <c r="Z173" s="36" t="str">
        <f>IFERROR(IF(Y173=0,"",ROUNDUP(Y173/H173,0)*0.00417),"")</f>
        <v/>
      </c>
      <c r="AA173" s="56"/>
      <c r="AB173" s="57"/>
      <c r="AC173" s="225" t="s">
        <v>297</v>
      </c>
      <c r="AG173" s="64"/>
      <c r="AJ173" s="68"/>
      <c r="AK173" s="68">
        <v>0</v>
      </c>
      <c r="BB173" s="22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298</v>
      </c>
      <c r="C174" s="31">
        <v>4301031510</v>
      </c>
      <c r="D174" s="619">
        <v>4680115887763</v>
      </c>
      <c r="E174" s="620"/>
      <c r="F174" s="614">
        <v>0.09</v>
      </c>
      <c r="G174" s="32">
        <v>8</v>
      </c>
      <c r="H174" s="614">
        <v>0.72</v>
      </c>
      <c r="I174" s="614">
        <v>0.90800000000000003</v>
      </c>
      <c r="J174" s="32">
        <v>336</v>
      </c>
      <c r="K174" s="32" t="s">
        <v>125</v>
      </c>
      <c r="L174" s="32"/>
      <c r="M174" s="33" t="s">
        <v>66</v>
      </c>
      <c r="N174" s="33"/>
      <c r="O174" s="32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4"/>
      <c r="V174" s="34"/>
      <c r="W174" s="35" t="s">
        <v>67</v>
      </c>
      <c r="X174" s="615">
        <v>0</v>
      </c>
      <c r="Y174" s="616">
        <f t="shared" si="10"/>
        <v>0</v>
      </c>
      <c r="Z174" s="36" t="str">
        <f>IFERROR(IF(Y174=0,"",ROUNDUP(Y174/H174,0)*0.00417),"")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299</v>
      </c>
      <c r="B175" s="54" t="s">
        <v>300</v>
      </c>
      <c r="C175" s="31">
        <v>4301031454</v>
      </c>
      <c r="D175" s="619">
        <v>4680115887480</v>
      </c>
      <c r="E175" s="620"/>
      <c r="F175" s="614">
        <v>0.28000000000000003</v>
      </c>
      <c r="G175" s="32">
        <v>6</v>
      </c>
      <c r="H175" s="614">
        <v>1.68</v>
      </c>
      <c r="I175" s="614">
        <v>1.78</v>
      </c>
      <c r="J175" s="32">
        <v>234</v>
      </c>
      <c r="K175" s="32" t="s">
        <v>65</v>
      </c>
      <c r="L175" s="32"/>
      <c r="M175" s="33" t="s">
        <v>66</v>
      </c>
      <c r="N175" s="33"/>
      <c r="O175" s="32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4"/>
      <c r="V175" s="34"/>
      <c r="W175" s="35" t="s">
        <v>67</v>
      </c>
      <c r="X175" s="615">
        <v>0</v>
      </c>
      <c r="Y175" s="616">
        <f t="shared" si="10"/>
        <v>0</v>
      </c>
      <c r="Z175" s="36" t="str">
        <f>IFERROR(IF(Y175=0,"",ROUNDUP(Y175/H175,0)*0.00502),"")</f>
        <v/>
      </c>
      <c r="AA175" s="56"/>
      <c r="AB175" s="57"/>
      <c r="AC175" s="229" t="s">
        <v>286</v>
      </c>
      <c r="AG175" s="64"/>
      <c r="AJ175" s="68"/>
      <c r="AK175" s="68">
        <v>0</v>
      </c>
      <c r="BB175" s="23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301</v>
      </c>
      <c r="B176" s="54" t="s">
        <v>302</v>
      </c>
      <c r="C176" s="31">
        <v>4301031434</v>
      </c>
      <c r="D176" s="619">
        <v>4680115888067</v>
      </c>
      <c r="E176" s="620"/>
      <c r="F176" s="614">
        <v>0.09</v>
      </c>
      <c r="G176" s="32">
        <v>10</v>
      </c>
      <c r="H176" s="614">
        <v>0.9</v>
      </c>
      <c r="I176" s="614">
        <v>1</v>
      </c>
      <c r="J176" s="32">
        <v>336</v>
      </c>
      <c r="K176" s="32" t="s">
        <v>125</v>
      </c>
      <c r="L176" s="32"/>
      <c r="M176" s="33" t="s">
        <v>66</v>
      </c>
      <c r="N176" s="33"/>
      <c r="O176" s="32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4"/>
      <c r="V176" s="34"/>
      <c r="W176" s="35" t="s">
        <v>67</v>
      </c>
      <c r="X176" s="615">
        <v>0</v>
      </c>
      <c r="Y176" s="616">
        <f t="shared" si="10"/>
        <v>0</v>
      </c>
      <c r="Z176" s="36" t="str">
        <f>IFERROR(IF(Y176=0,"",ROUNDUP(Y176/H176,0)*0.00417),"")</f>
        <v/>
      </c>
      <c r="AA176" s="56"/>
      <c r="AB176" s="57"/>
      <c r="AC176" s="231" t="s">
        <v>303</v>
      </c>
      <c r="AG176" s="64"/>
      <c r="AJ176" s="68"/>
      <c r="AK176" s="68">
        <v>0</v>
      </c>
      <c r="BB176" s="23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304</v>
      </c>
      <c r="B177" s="54" t="s">
        <v>305</v>
      </c>
      <c r="C177" s="31">
        <v>4301031451</v>
      </c>
      <c r="D177" s="619">
        <v>4680115887435</v>
      </c>
      <c r="E177" s="620"/>
      <c r="F177" s="614">
        <v>0.28000000000000003</v>
      </c>
      <c r="G177" s="32">
        <v>6</v>
      </c>
      <c r="H177" s="614">
        <v>1.68</v>
      </c>
      <c r="I177" s="614">
        <v>1.78</v>
      </c>
      <c r="J177" s="32">
        <v>234</v>
      </c>
      <c r="K177" s="32" t="s">
        <v>65</v>
      </c>
      <c r="L177" s="32"/>
      <c r="M177" s="33" t="s">
        <v>66</v>
      </c>
      <c r="N177" s="33"/>
      <c r="O177" s="32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4"/>
      <c r="V177" s="34"/>
      <c r="W177" s="35" t="s">
        <v>67</v>
      </c>
      <c r="X177" s="615">
        <v>31</v>
      </c>
      <c r="Y177" s="616">
        <f t="shared" si="10"/>
        <v>31.919999999999998</v>
      </c>
      <c r="Z177" s="36">
        <f>IFERROR(IF(Y177=0,"",ROUNDUP(Y177/H177,0)*0.00502),"")</f>
        <v>9.5380000000000006E-2</v>
      </c>
      <c r="AA177" s="56"/>
      <c r="AB177" s="57"/>
      <c r="AC177" s="233" t="s">
        <v>289</v>
      </c>
      <c r="AG177" s="64"/>
      <c r="AJ177" s="68"/>
      <c r="AK177" s="68">
        <v>0</v>
      </c>
      <c r="BB177" s="234" t="s">
        <v>1</v>
      </c>
      <c r="BM177" s="64">
        <f t="shared" si="11"/>
        <v>32.845238095238095</v>
      </c>
      <c r="BN177" s="64">
        <f t="shared" si="12"/>
        <v>33.82</v>
      </c>
      <c r="BO177" s="64">
        <f t="shared" si="13"/>
        <v>7.8856328856328858E-2</v>
      </c>
      <c r="BP177" s="64">
        <f t="shared" si="14"/>
        <v>8.11965811965812E-2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37" t="s">
        <v>73</v>
      </c>
      <c r="X178" s="617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43.61904761904762</v>
      </c>
      <c r="Y178" s="617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46</v>
      </c>
      <c r="Z178" s="617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0.24692000000000003</v>
      </c>
      <c r="AA178" s="618"/>
      <c r="AB178" s="618"/>
      <c r="AC178" s="618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37" t="s">
        <v>67</v>
      </c>
      <c r="X179" s="617">
        <f>IFERROR(SUM(X166:X177),"0")</f>
        <v>79</v>
      </c>
      <c r="Y179" s="617">
        <f>IFERROR(SUM(Y166:Y177),"0")</f>
        <v>84.56</v>
      </c>
      <c r="Z179" s="37"/>
      <c r="AA179" s="618"/>
      <c r="AB179" s="618"/>
      <c r="AC179" s="618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11"/>
      <c r="AB180" s="611"/>
      <c r="AC180" s="611"/>
    </row>
    <row r="181" spans="1:68" ht="16.5" customHeight="1" x14ac:dyDescent="0.25">
      <c r="A181" s="54" t="s">
        <v>306</v>
      </c>
      <c r="B181" s="54" t="s">
        <v>307</v>
      </c>
      <c r="C181" s="31">
        <v>4301052193</v>
      </c>
      <c r="D181" s="619">
        <v>4680115888395</v>
      </c>
      <c r="E181" s="620"/>
      <c r="F181" s="614">
        <v>0.42</v>
      </c>
      <c r="G181" s="32">
        <v>6</v>
      </c>
      <c r="H181" s="614">
        <v>2.52</v>
      </c>
      <c r="I181" s="614">
        <v>2.766</v>
      </c>
      <c r="J181" s="32">
        <v>182</v>
      </c>
      <c r="K181" s="32" t="s">
        <v>77</v>
      </c>
      <c r="L181" s="32"/>
      <c r="M181" s="33" t="s">
        <v>84</v>
      </c>
      <c r="N181" s="33"/>
      <c r="O181" s="32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4"/>
      <c r="V181" s="34"/>
      <c r="W181" s="35" t="s">
        <v>67</v>
      </c>
      <c r="X181" s="615">
        <v>0</v>
      </c>
      <c r="Y181" s="616">
        <f>IFERROR(IF(X181="",0,CEILING((X181/$H181),1)*$H181),"")</f>
        <v>0</v>
      </c>
      <c r="Z181" s="36" t="str">
        <f>IFERROR(IF(Y181=0,"",ROUNDUP(Y181/H181,0)*0.00651),"")</f>
        <v/>
      </c>
      <c r="AA181" s="56"/>
      <c r="AB181" s="57"/>
      <c r="AC181" s="235" t="s">
        <v>308</v>
      </c>
      <c r="AG181" s="64"/>
      <c r="AJ181" s="68"/>
      <c r="AK181" s="68">
        <v>0</v>
      </c>
      <c r="BB181" s="23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16.5" customHeight="1" x14ac:dyDescent="0.25">
      <c r="A182" s="54" t="s">
        <v>309</v>
      </c>
      <c r="B182" s="54" t="s">
        <v>310</v>
      </c>
      <c r="C182" s="31">
        <v>4301052191</v>
      </c>
      <c r="D182" s="619">
        <v>4680115888371</v>
      </c>
      <c r="E182" s="620"/>
      <c r="F182" s="614">
        <v>0.42</v>
      </c>
      <c r="G182" s="32">
        <v>6</v>
      </c>
      <c r="H182" s="614">
        <v>2.52</v>
      </c>
      <c r="I182" s="614">
        <v>2.766</v>
      </c>
      <c r="J182" s="32">
        <v>182</v>
      </c>
      <c r="K182" s="32" t="s">
        <v>77</v>
      </c>
      <c r="L182" s="32"/>
      <c r="M182" s="33" t="s">
        <v>84</v>
      </c>
      <c r="N182" s="33"/>
      <c r="O182" s="32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4"/>
      <c r="V182" s="34"/>
      <c r="W182" s="35" t="s">
        <v>67</v>
      </c>
      <c r="X182" s="615">
        <v>0</v>
      </c>
      <c r="Y182" s="616">
        <f>IFERROR(IF(X182="",0,CEILING((X182/$H182),1)*$H182),"")</f>
        <v>0</v>
      </c>
      <c r="Z182" s="36" t="str">
        <f>IFERROR(IF(Y182=0,"",ROUNDUP(Y182/H182,0)*0.00651),"")</f>
        <v/>
      </c>
      <c r="AA182" s="56"/>
      <c r="AB182" s="57"/>
      <c r="AC182" s="237" t="s">
        <v>311</v>
      </c>
      <c r="AG182" s="64"/>
      <c r="AJ182" s="68"/>
      <c r="AK182" s="68">
        <v>0</v>
      </c>
      <c r="BB182" s="23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312</v>
      </c>
      <c r="B183" s="54" t="s">
        <v>313</v>
      </c>
      <c r="C183" s="31">
        <v>4301052064</v>
      </c>
      <c r="D183" s="619">
        <v>4680115887459</v>
      </c>
      <c r="E183" s="620"/>
      <c r="F183" s="614">
        <v>0.3</v>
      </c>
      <c r="G183" s="32">
        <v>6</v>
      </c>
      <c r="H183" s="614">
        <v>1.8</v>
      </c>
      <c r="I183" s="614">
        <v>2.0579999999999998</v>
      </c>
      <c r="J183" s="32">
        <v>182</v>
      </c>
      <c r="K183" s="32" t="s">
        <v>77</v>
      </c>
      <c r="L183" s="32"/>
      <c r="M183" s="33" t="s">
        <v>78</v>
      </c>
      <c r="N183" s="33"/>
      <c r="O183" s="32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4"/>
      <c r="V183" s="34"/>
      <c r="W183" s="35" t="s">
        <v>67</v>
      </c>
      <c r="X183" s="615">
        <v>0</v>
      </c>
      <c r="Y183" s="616">
        <f>IFERROR(IF(X183="",0,CEILING((X183/$H183),1)*$H183),"")</f>
        <v>0</v>
      </c>
      <c r="Z183" s="36" t="str">
        <f>IFERROR(IF(Y183=0,"",ROUNDUP(Y183/H183,0)*0.00651),"")</f>
        <v/>
      </c>
      <c r="AA183" s="56"/>
      <c r="AB183" s="57"/>
      <c r="AC183" s="239" t="s">
        <v>314</v>
      </c>
      <c r="AG183" s="64"/>
      <c r="AJ183" s="68"/>
      <c r="AK183" s="68">
        <v>0</v>
      </c>
      <c r="BB183" s="24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37" t="s">
        <v>73</v>
      </c>
      <c r="X184" s="617">
        <f>IFERROR(X181/H181,"0")+IFERROR(X182/H182,"0")+IFERROR(X183/H183,"0")</f>
        <v>0</v>
      </c>
      <c r="Y184" s="617">
        <f>IFERROR(Y181/H181,"0")+IFERROR(Y182/H182,"0")+IFERROR(Y183/H183,"0")</f>
        <v>0</v>
      </c>
      <c r="Z184" s="617">
        <f>IFERROR(IF(Z181="",0,Z181),"0")+IFERROR(IF(Z182="",0,Z182),"0")+IFERROR(IF(Z183="",0,Z183),"0")</f>
        <v>0</v>
      </c>
      <c r="AA184" s="618"/>
      <c r="AB184" s="618"/>
      <c r="AC184" s="618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37" t="s">
        <v>67</v>
      </c>
      <c r="X185" s="617">
        <f>IFERROR(SUM(X181:X183),"0")</f>
        <v>0</v>
      </c>
      <c r="Y185" s="617">
        <f>IFERROR(SUM(Y181:Y183),"0")</f>
        <v>0</v>
      </c>
      <c r="Z185" s="37"/>
      <c r="AA185" s="618"/>
      <c r="AB185" s="618"/>
      <c r="AC185" s="618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11"/>
      <c r="AB186" s="611"/>
      <c r="AC186" s="611"/>
    </row>
    <row r="187" spans="1:68" ht="16.5" customHeight="1" x14ac:dyDescent="0.25">
      <c r="A187" s="54" t="s">
        <v>315</v>
      </c>
      <c r="B187" s="54" t="s">
        <v>316</v>
      </c>
      <c r="C187" s="31">
        <v>4301032058</v>
      </c>
      <c r="D187" s="619">
        <v>4680115889026</v>
      </c>
      <c r="E187" s="620"/>
      <c r="F187" s="614">
        <v>0.06</v>
      </c>
      <c r="G187" s="32">
        <v>18</v>
      </c>
      <c r="H187" s="614">
        <v>1.08</v>
      </c>
      <c r="I187" s="614">
        <v>1.36</v>
      </c>
      <c r="J187" s="32">
        <v>216</v>
      </c>
      <c r="K187" s="32" t="s">
        <v>317</v>
      </c>
      <c r="L187" s="32"/>
      <c r="M187" s="33" t="s">
        <v>318</v>
      </c>
      <c r="N187" s="33"/>
      <c r="O187" s="32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4"/>
      <c r="V187" s="34"/>
      <c r="W187" s="35" t="s">
        <v>67</v>
      </c>
      <c r="X187" s="615">
        <v>0</v>
      </c>
      <c r="Y187" s="616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41" t="s">
        <v>319</v>
      </c>
      <c r="AG187" s="64"/>
      <c r="AJ187" s="68"/>
      <c r="AK187" s="68">
        <v>0</v>
      </c>
      <c r="BB187" s="24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27" customHeight="1" x14ac:dyDescent="0.25">
      <c r="A188" s="54" t="s">
        <v>320</v>
      </c>
      <c r="B188" s="54" t="s">
        <v>321</v>
      </c>
      <c r="C188" s="31">
        <v>4301032057</v>
      </c>
      <c r="D188" s="619">
        <v>4680115889088</v>
      </c>
      <c r="E188" s="620"/>
      <c r="F188" s="614">
        <v>0.06</v>
      </c>
      <c r="G188" s="32">
        <v>18</v>
      </c>
      <c r="H188" s="614">
        <v>1.08</v>
      </c>
      <c r="I188" s="614">
        <v>1.36</v>
      </c>
      <c r="J188" s="32">
        <v>216</v>
      </c>
      <c r="K188" s="32" t="s">
        <v>317</v>
      </c>
      <c r="L188" s="32"/>
      <c r="M188" s="33" t="s">
        <v>318</v>
      </c>
      <c r="N188" s="33"/>
      <c r="O188" s="32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4"/>
      <c r="V188" s="34"/>
      <c r="W188" s="35" t="s">
        <v>67</v>
      </c>
      <c r="X188" s="615">
        <v>0</v>
      </c>
      <c r="Y188" s="61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43" t="s">
        <v>322</v>
      </c>
      <c r="AG188" s="64"/>
      <c r="AJ188" s="68"/>
      <c r="AK188" s="68">
        <v>0</v>
      </c>
      <c r="BB188" s="24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37" t="s">
        <v>73</v>
      </c>
      <c r="X189" s="617">
        <f>IFERROR(X187/H187,"0")+IFERROR(X188/H188,"0")</f>
        <v>0</v>
      </c>
      <c r="Y189" s="617">
        <f>IFERROR(Y187/H187,"0")+IFERROR(Y188/H188,"0")</f>
        <v>0</v>
      </c>
      <c r="Z189" s="617">
        <f>IFERROR(IF(Z187="",0,Z187),"0")+IFERROR(IF(Z188="",0,Z188),"0")</f>
        <v>0</v>
      </c>
      <c r="AA189" s="618"/>
      <c r="AB189" s="618"/>
      <c r="AC189" s="618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37" t="s">
        <v>67</v>
      </c>
      <c r="X190" s="617">
        <f>IFERROR(SUM(X187:X188),"0")</f>
        <v>0</v>
      </c>
      <c r="Y190" s="617">
        <f>IFERROR(SUM(Y187:Y188),"0")</f>
        <v>0</v>
      </c>
      <c r="Z190" s="37"/>
      <c r="AA190" s="618"/>
      <c r="AB190" s="618"/>
      <c r="AC190" s="618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11"/>
      <c r="AB191" s="611"/>
      <c r="AC191" s="611"/>
    </row>
    <row r="192" spans="1:68" ht="27" customHeight="1" x14ac:dyDescent="0.25">
      <c r="A192" s="54" t="s">
        <v>324</v>
      </c>
      <c r="B192" s="54" t="s">
        <v>325</v>
      </c>
      <c r="C192" s="31">
        <v>4301041009</v>
      </c>
      <c r="D192" s="619">
        <v>4680115889033</v>
      </c>
      <c r="E192" s="620"/>
      <c r="F192" s="614">
        <v>0.11</v>
      </c>
      <c r="G192" s="32">
        <v>15</v>
      </c>
      <c r="H192" s="614">
        <v>1.65</v>
      </c>
      <c r="I192" s="614">
        <v>1.9</v>
      </c>
      <c r="J192" s="32">
        <v>216</v>
      </c>
      <c r="K192" s="32" t="s">
        <v>317</v>
      </c>
      <c r="L192" s="32"/>
      <c r="M192" s="33" t="s">
        <v>318</v>
      </c>
      <c r="N192" s="33"/>
      <c r="O192" s="32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4"/>
      <c r="V192" s="34"/>
      <c r="W192" s="35" t="s">
        <v>67</v>
      </c>
      <c r="X192" s="615">
        <v>0</v>
      </c>
      <c r="Y192" s="616">
        <f>IFERROR(IF(X192="",0,CEILING((X192/$H192),1)*$H192),"")</f>
        <v>0</v>
      </c>
      <c r="Z192" s="36" t="str">
        <f>IFERROR(IF(Y192=0,"",ROUNDUP(Y192/H192,0)*0.0059),"")</f>
        <v/>
      </c>
      <c r="AA192" s="56"/>
      <c r="AB192" s="57"/>
      <c r="AC192" s="245" t="s">
        <v>326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37" t="s">
        <v>73</v>
      </c>
      <c r="X193" s="617">
        <f>IFERROR(X192/H192,"0")</f>
        <v>0</v>
      </c>
      <c r="Y193" s="617">
        <f>IFERROR(Y192/H192,"0")</f>
        <v>0</v>
      </c>
      <c r="Z193" s="617">
        <f>IFERROR(IF(Z192="",0,Z192),"0")</f>
        <v>0</v>
      </c>
      <c r="AA193" s="618"/>
      <c r="AB193" s="618"/>
      <c r="AC193" s="618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37" t="s">
        <v>67</v>
      </c>
      <c r="X194" s="617">
        <f>IFERROR(SUM(X192:X192),"0")</f>
        <v>0</v>
      </c>
      <c r="Y194" s="617">
        <f>IFERROR(SUM(Y192:Y192),"0")</f>
        <v>0</v>
      </c>
      <c r="Z194" s="37"/>
      <c r="AA194" s="618"/>
      <c r="AB194" s="618"/>
      <c r="AC194" s="618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48"/>
      <c r="AB195" s="48"/>
      <c r="AC195" s="48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10"/>
      <c r="AB196" s="610"/>
      <c r="AC196" s="610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11"/>
      <c r="AB197" s="611"/>
      <c r="AC197" s="611"/>
    </row>
    <row r="198" spans="1:68" ht="27" customHeight="1" x14ac:dyDescent="0.25">
      <c r="A198" s="54" t="s">
        <v>329</v>
      </c>
      <c r="B198" s="54" t="s">
        <v>330</v>
      </c>
      <c r="C198" s="31">
        <v>4301011223</v>
      </c>
      <c r="D198" s="619">
        <v>4607091383423</v>
      </c>
      <c r="E198" s="620"/>
      <c r="F198" s="614">
        <v>1.35</v>
      </c>
      <c r="G198" s="32">
        <v>8</v>
      </c>
      <c r="H198" s="614">
        <v>10.8</v>
      </c>
      <c r="I198" s="614">
        <v>11.305999999999999</v>
      </c>
      <c r="J198" s="32">
        <v>64</v>
      </c>
      <c r="K198" s="32" t="s">
        <v>120</v>
      </c>
      <c r="L198" s="32"/>
      <c r="M198" s="33" t="s">
        <v>78</v>
      </c>
      <c r="N198" s="33"/>
      <c r="O198" s="32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4"/>
      <c r="V198" s="34"/>
      <c r="W198" s="35" t="s">
        <v>67</v>
      </c>
      <c r="X198" s="615">
        <v>0</v>
      </c>
      <c r="Y198" s="616">
        <f t="shared" ref="Y198:Y204" si="15">IFERROR(IF(X198="",0,CEILING((X198/$H198),1)*$H198),"")</f>
        <v>0</v>
      </c>
      <c r="Z198" s="36" t="str">
        <f t="shared" ref="Z198:Z204" si="16">IFERROR(IF(Y198=0,"",ROUNDUP(Y198/H198,0)*0.01898),"")</f>
        <v/>
      </c>
      <c r="AA198" s="56"/>
      <c r="AB198" s="57"/>
      <c r="AC198" s="247" t="s">
        <v>122</v>
      </c>
      <c r="AG198" s="64"/>
      <c r="AJ198" s="68"/>
      <c r="AK198" s="68">
        <v>0</v>
      </c>
      <c r="BB198" s="248" t="s">
        <v>1</v>
      </c>
      <c r="BM198" s="64">
        <f t="shared" ref="BM198:BM204" si="17">IFERROR(X198*I198/H198,"0")</f>
        <v>0</v>
      </c>
      <c r="BN198" s="64">
        <f t="shared" ref="BN198:BN204" si="18">IFERROR(Y198*I198/H198,"0")</f>
        <v>0</v>
      </c>
      <c r="BO198" s="64">
        <f t="shared" ref="BO198:BO204" si="19">IFERROR(1/J198*(X198/H198),"0")</f>
        <v>0</v>
      </c>
      <c r="BP198" s="64">
        <f t="shared" ref="BP198:BP204" si="20">IFERROR(1/J198*(Y198/H198),"0")</f>
        <v>0</v>
      </c>
    </row>
    <row r="199" spans="1:68" ht="27" customHeight="1" x14ac:dyDescent="0.25">
      <c r="A199" s="54" t="s">
        <v>331</v>
      </c>
      <c r="B199" s="54" t="s">
        <v>332</v>
      </c>
      <c r="C199" s="31">
        <v>4301012340</v>
      </c>
      <c r="D199" s="619">
        <v>4680115888760</v>
      </c>
      <c r="E199" s="620"/>
      <c r="F199" s="614">
        <v>1.4</v>
      </c>
      <c r="G199" s="32">
        <v>6</v>
      </c>
      <c r="H199" s="614">
        <v>8.4</v>
      </c>
      <c r="I199" s="614">
        <v>8.81</v>
      </c>
      <c r="J199" s="32">
        <v>64</v>
      </c>
      <c r="K199" s="32" t="s">
        <v>120</v>
      </c>
      <c r="L199" s="32"/>
      <c r="M199" s="33" t="s">
        <v>78</v>
      </c>
      <c r="N199" s="33"/>
      <c r="O199" s="32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4"/>
      <c r="V199" s="34"/>
      <c r="W199" s="35" t="s">
        <v>67</v>
      </c>
      <c r="X199" s="615">
        <v>0</v>
      </c>
      <c r="Y199" s="616">
        <f t="shared" si="15"/>
        <v>0</v>
      </c>
      <c r="Z199" s="36" t="str">
        <f t="shared" si="16"/>
        <v/>
      </c>
      <c r="AA199" s="56"/>
      <c r="AB199" s="57"/>
      <c r="AC199" s="249" t="s">
        <v>333</v>
      </c>
      <c r="AG199" s="64"/>
      <c r="AJ199" s="68"/>
      <c r="AK199" s="68">
        <v>0</v>
      </c>
      <c r="BB199" s="250" t="s">
        <v>1</v>
      </c>
      <c r="BM199" s="64">
        <f t="shared" si="17"/>
        <v>0</v>
      </c>
      <c r="BN199" s="64">
        <f t="shared" si="18"/>
        <v>0</v>
      </c>
      <c r="BO199" s="64">
        <f t="shared" si="19"/>
        <v>0</v>
      </c>
      <c r="BP199" s="64">
        <f t="shared" si="20"/>
        <v>0</v>
      </c>
    </row>
    <row r="200" spans="1:68" ht="27" customHeight="1" x14ac:dyDescent="0.25">
      <c r="A200" s="54" t="s">
        <v>334</v>
      </c>
      <c r="B200" s="54" t="s">
        <v>335</v>
      </c>
      <c r="C200" s="31">
        <v>4301012341</v>
      </c>
      <c r="D200" s="619">
        <v>4680115888807</v>
      </c>
      <c r="E200" s="620"/>
      <c r="F200" s="614">
        <v>1.4</v>
      </c>
      <c r="G200" s="32">
        <v>6</v>
      </c>
      <c r="H200" s="614">
        <v>8.4</v>
      </c>
      <c r="I200" s="614">
        <v>8.81</v>
      </c>
      <c r="J200" s="32">
        <v>64</v>
      </c>
      <c r="K200" s="32" t="s">
        <v>120</v>
      </c>
      <c r="L200" s="32"/>
      <c r="M200" s="33" t="s">
        <v>78</v>
      </c>
      <c r="N200" s="33"/>
      <c r="O200" s="32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4"/>
      <c r="V200" s="34"/>
      <c r="W200" s="35" t="s">
        <v>67</v>
      </c>
      <c r="X200" s="615">
        <v>0</v>
      </c>
      <c r="Y200" s="616">
        <f t="shared" si="15"/>
        <v>0</v>
      </c>
      <c r="Z200" s="36" t="str">
        <f t="shared" si="16"/>
        <v/>
      </c>
      <c r="AA200" s="56"/>
      <c r="AB200" s="57"/>
      <c r="AC200" s="251" t="s">
        <v>336</v>
      </c>
      <c r="AG200" s="64"/>
      <c r="AJ200" s="68"/>
      <c r="AK200" s="68">
        <v>0</v>
      </c>
      <c r="BB200" s="252" t="s">
        <v>1</v>
      </c>
      <c r="BM200" s="64">
        <f t="shared" si="17"/>
        <v>0</v>
      </c>
      <c r="BN200" s="64">
        <f t="shared" si="18"/>
        <v>0</v>
      </c>
      <c r="BO200" s="64">
        <f t="shared" si="19"/>
        <v>0</v>
      </c>
      <c r="BP200" s="64">
        <f t="shared" si="20"/>
        <v>0</v>
      </c>
    </row>
    <row r="201" spans="1:68" ht="27" customHeight="1" x14ac:dyDescent="0.25">
      <c r="A201" s="54" t="s">
        <v>337</v>
      </c>
      <c r="B201" s="54" t="s">
        <v>338</v>
      </c>
      <c r="C201" s="31">
        <v>4301012342</v>
      </c>
      <c r="D201" s="619">
        <v>4680115888852</v>
      </c>
      <c r="E201" s="620"/>
      <c r="F201" s="614">
        <v>0.9</v>
      </c>
      <c r="G201" s="32">
        <v>6</v>
      </c>
      <c r="H201" s="614">
        <v>5.4</v>
      </c>
      <c r="I201" s="614">
        <v>5.81</v>
      </c>
      <c r="J201" s="32">
        <v>64</v>
      </c>
      <c r="K201" s="32" t="s">
        <v>120</v>
      </c>
      <c r="L201" s="32"/>
      <c r="M201" s="33" t="s">
        <v>78</v>
      </c>
      <c r="N201" s="33"/>
      <c r="O201" s="32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4"/>
      <c r="V201" s="34"/>
      <c r="W201" s="35" t="s">
        <v>67</v>
      </c>
      <c r="X201" s="615">
        <v>0</v>
      </c>
      <c r="Y201" s="616">
        <f t="shared" si="15"/>
        <v>0</v>
      </c>
      <c r="Z201" s="36" t="str">
        <f t="shared" si="16"/>
        <v/>
      </c>
      <c r="AA201" s="56"/>
      <c r="AB201" s="57"/>
      <c r="AC201" s="253" t="s">
        <v>339</v>
      </c>
      <c r="AG201" s="64"/>
      <c r="AJ201" s="68"/>
      <c r="AK201" s="68">
        <v>0</v>
      </c>
      <c r="BB201" s="254" t="s">
        <v>1</v>
      </c>
      <c r="BM201" s="64">
        <f t="shared" si="17"/>
        <v>0</v>
      </c>
      <c r="BN201" s="64">
        <f t="shared" si="18"/>
        <v>0</v>
      </c>
      <c r="BO201" s="64">
        <f t="shared" si="19"/>
        <v>0</v>
      </c>
      <c r="BP201" s="64">
        <f t="shared" si="20"/>
        <v>0</v>
      </c>
    </row>
    <row r="202" spans="1:68" ht="37.5" customHeight="1" x14ac:dyDescent="0.25">
      <c r="A202" s="54" t="s">
        <v>340</v>
      </c>
      <c r="B202" s="54" t="s">
        <v>341</v>
      </c>
      <c r="C202" s="31">
        <v>4301012370</v>
      </c>
      <c r="D202" s="619">
        <v>4680115886957</v>
      </c>
      <c r="E202" s="620"/>
      <c r="F202" s="614">
        <v>1.35</v>
      </c>
      <c r="G202" s="32">
        <v>8</v>
      </c>
      <c r="H202" s="614">
        <v>10.8</v>
      </c>
      <c r="I202" s="614">
        <v>11.29</v>
      </c>
      <c r="J202" s="32">
        <v>64</v>
      </c>
      <c r="K202" s="32" t="s">
        <v>120</v>
      </c>
      <c r="L202" s="32"/>
      <c r="M202" s="33" t="s">
        <v>78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4"/>
      <c r="V202" s="34"/>
      <c r="W202" s="35" t="s">
        <v>67</v>
      </c>
      <c r="X202" s="615">
        <v>0</v>
      </c>
      <c r="Y202" s="616">
        <f t="shared" si="15"/>
        <v>0</v>
      </c>
      <c r="Z202" s="36" t="str">
        <f t="shared" si="16"/>
        <v/>
      </c>
      <c r="AA202" s="56"/>
      <c r="AB202" s="57"/>
      <c r="AC202" s="255" t="s">
        <v>342</v>
      </c>
      <c r="AG202" s="64"/>
      <c r="AJ202" s="68"/>
      <c r="AK202" s="68">
        <v>0</v>
      </c>
      <c r="BB202" s="256" t="s">
        <v>1</v>
      </c>
      <c r="BM202" s="64">
        <f t="shared" si="17"/>
        <v>0</v>
      </c>
      <c r="BN202" s="64">
        <f t="shared" si="18"/>
        <v>0</v>
      </c>
      <c r="BO202" s="64">
        <f t="shared" si="19"/>
        <v>0</v>
      </c>
      <c r="BP202" s="64">
        <f t="shared" si="20"/>
        <v>0</v>
      </c>
    </row>
    <row r="203" spans="1:68" ht="27" customHeight="1" x14ac:dyDescent="0.25">
      <c r="A203" s="54" t="s">
        <v>343</v>
      </c>
      <c r="B203" s="54" t="s">
        <v>344</v>
      </c>
      <c r="C203" s="31">
        <v>4301012098</v>
      </c>
      <c r="D203" s="619">
        <v>4680115885660</v>
      </c>
      <c r="E203" s="620"/>
      <c r="F203" s="614">
        <v>1.35</v>
      </c>
      <c r="G203" s="32">
        <v>8</v>
      </c>
      <c r="H203" s="614">
        <v>10.8</v>
      </c>
      <c r="I203" s="614">
        <v>11.21</v>
      </c>
      <c r="J203" s="32">
        <v>64</v>
      </c>
      <c r="K203" s="32" t="s">
        <v>120</v>
      </c>
      <c r="L203" s="32"/>
      <c r="M203" s="33" t="s">
        <v>78</v>
      </c>
      <c r="N203" s="33"/>
      <c r="O203" s="32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4"/>
      <c r="V203" s="34"/>
      <c r="W203" s="35" t="s">
        <v>67</v>
      </c>
      <c r="X203" s="615">
        <v>0</v>
      </c>
      <c r="Y203" s="616">
        <f t="shared" si="15"/>
        <v>0</v>
      </c>
      <c r="Z203" s="36" t="str">
        <f t="shared" si="16"/>
        <v/>
      </c>
      <c r="AA203" s="56"/>
      <c r="AB203" s="57"/>
      <c r="AC203" s="257" t="s">
        <v>345</v>
      </c>
      <c r="AG203" s="64"/>
      <c r="AJ203" s="68"/>
      <c r="AK203" s="68">
        <v>0</v>
      </c>
      <c r="BB203" s="258" t="s">
        <v>1</v>
      </c>
      <c r="BM203" s="64">
        <f t="shared" si="17"/>
        <v>0</v>
      </c>
      <c r="BN203" s="64">
        <f t="shared" si="18"/>
        <v>0</v>
      </c>
      <c r="BO203" s="64">
        <f t="shared" si="19"/>
        <v>0</v>
      </c>
      <c r="BP203" s="64">
        <f t="shared" si="20"/>
        <v>0</v>
      </c>
    </row>
    <row r="204" spans="1:68" ht="27" customHeight="1" x14ac:dyDescent="0.25">
      <c r="A204" s="54" t="s">
        <v>346</v>
      </c>
      <c r="B204" s="54" t="s">
        <v>347</v>
      </c>
      <c r="C204" s="31">
        <v>4301012369</v>
      </c>
      <c r="D204" s="619">
        <v>4680115886773</v>
      </c>
      <c r="E204" s="620"/>
      <c r="F204" s="614">
        <v>0.9</v>
      </c>
      <c r="G204" s="32">
        <v>10</v>
      </c>
      <c r="H204" s="614">
        <v>9</v>
      </c>
      <c r="I204" s="614">
        <v>9.51</v>
      </c>
      <c r="J204" s="32">
        <v>64</v>
      </c>
      <c r="K204" s="32" t="s">
        <v>120</v>
      </c>
      <c r="L204" s="32"/>
      <c r="M204" s="33" t="s">
        <v>78</v>
      </c>
      <c r="N204" s="33"/>
      <c r="O204" s="32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4"/>
      <c r="V204" s="34"/>
      <c r="W204" s="35" t="s">
        <v>67</v>
      </c>
      <c r="X204" s="615">
        <v>0</v>
      </c>
      <c r="Y204" s="616">
        <f t="shared" si="15"/>
        <v>0</v>
      </c>
      <c r="Z204" s="36" t="str">
        <f t="shared" si="16"/>
        <v/>
      </c>
      <c r="AA204" s="56"/>
      <c r="AB204" s="57"/>
      <c r="AC204" s="259" t="s">
        <v>348</v>
      </c>
      <c r="AG204" s="64"/>
      <c r="AJ204" s="68"/>
      <c r="AK204" s="68">
        <v>0</v>
      </c>
      <c r="BB204" s="260" t="s">
        <v>1</v>
      </c>
      <c r="BM204" s="64">
        <f t="shared" si="17"/>
        <v>0</v>
      </c>
      <c r="BN204" s="64">
        <f t="shared" si="18"/>
        <v>0</v>
      </c>
      <c r="BO204" s="64">
        <f t="shared" si="19"/>
        <v>0</v>
      </c>
      <c r="BP204" s="64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37" t="s">
        <v>73</v>
      </c>
      <c r="X205" s="617">
        <f>IFERROR(X198/H198,"0")+IFERROR(X199/H199,"0")+IFERROR(X200/H200,"0")+IFERROR(X201/H201,"0")+IFERROR(X202/H202,"0")+IFERROR(X203/H203,"0")+IFERROR(X204/H204,"0")</f>
        <v>0</v>
      </c>
      <c r="Y205" s="617">
        <f>IFERROR(Y198/H198,"0")+IFERROR(Y199/H199,"0")+IFERROR(Y200/H200,"0")+IFERROR(Y201/H201,"0")+IFERROR(Y202/H202,"0")+IFERROR(Y203/H203,"0")+IFERROR(Y204/H204,"0")</f>
        <v>0</v>
      </c>
      <c r="Z205" s="617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18"/>
      <c r="AB205" s="618"/>
      <c r="AC205" s="618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37" t="s">
        <v>67</v>
      </c>
      <c r="X206" s="617">
        <f>IFERROR(SUM(X198:X204),"0")</f>
        <v>0</v>
      </c>
      <c r="Y206" s="617">
        <f>IFERROR(SUM(Y198:Y204),"0")</f>
        <v>0</v>
      </c>
      <c r="Z206" s="37"/>
      <c r="AA206" s="618"/>
      <c r="AB206" s="618"/>
      <c r="AC206" s="618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10"/>
      <c r="AB207" s="610"/>
      <c r="AC207" s="610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11"/>
      <c r="AB208" s="611"/>
      <c r="AC208" s="611"/>
    </row>
    <row r="209" spans="1:68" ht="27" customHeight="1" x14ac:dyDescent="0.25">
      <c r="A209" s="54" t="s">
        <v>350</v>
      </c>
      <c r="B209" s="54" t="s">
        <v>351</v>
      </c>
      <c r="C209" s="31">
        <v>4301020323</v>
      </c>
      <c r="D209" s="619">
        <v>4680115886223</v>
      </c>
      <c r="E209" s="620"/>
      <c r="F209" s="614">
        <v>0.33</v>
      </c>
      <c r="G209" s="32">
        <v>6</v>
      </c>
      <c r="H209" s="614">
        <v>1.98</v>
      </c>
      <c r="I209" s="614">
        <v>2.08</v>
      </c>
      <c r="J209" s="32">
        <v>234</v>
      </c>
      <c r="K209" s="32" t="s">
        <v>65</v>
      </c>
      <c r="L209" s="32"/>
      <c r="M209" s="33" t="s">
        <v>66</v>
      </c>
      <c r="N209" s="33"/>
      <c r="O209" s="32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4"/>
      <c r="V209" s="34"/>
      <c r="W209" s="35" t="s">
        <v>67</v>
      </c>
      <c r="X209" s="615">
        <v>0</v>
      </c>
      <c r="Y209" s="616">
        <f>IFERROR(IF(X209="",0,CEILING((X209/$H209),1)*$H209),"")</f>
        <v>0</v>
      </c>
      <c r="Z209" s="36" t="str">
        <f>IFERROR(IF(Y209=0,"",ROUNDUP(Y209/H209,0)*0.00502),"")</f>
        <v/>
      </c>
      <c r="AA209" s="56"/>
      <c r="AB209" s="57"/>
      <c r="AC209" s="261" t="s">
        <v>352</v>
      </c>
      <c r="AG209" s="64"/>
      <c r="AJ209" s="68"/>
      <c r="AK209" s="68">
        <v>0</v>
      </c>
      <c r="BB209" s="262" t="s">
        <v>1</v>
      </c>
      <c r="BM209" s="64">
        <f>IFERROR(X209*I209/H209,"0")</f>
        <v>0</v>
      </c>
      <c r="BN209" s="64">
        <f>IFERROR(Y209*I209/H209,"0")</f>
        <v>0</v>
      </c>
      <c r="BO209" s="64">
        <f>IFERROR(1/J209*(X209/H209),"0")</f>
        <v>0</v>
      </c>
      <c r="BP209" s="64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37" t="s">
        <v>73</v>
      </c>
      <c r="X210" s="617">
        <f>IFERROR(X209/H209,"0")</f>
        <v>0</v>
      </c>
      <c r="Y210" s="617">
        <f>IFERROR(Y209/H209,"0")</f>
        <v>0</v>
      </c>
      <c r="Z210" s="617">
        <f>IFERROR(IF(Z209="",0,Z209),"0")</f>
        <v>0</v>
      </c>
      <c r="AA210" s="618"/>
      <c r="AB210" s="618"/>
      <c r="AC210" s="618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37" t="s">
        <v>67</v>
      </c>
      <c r="X211" s="617">
        <f>IFERROR(SUM(X209:X209),"0")</f>
        <v>0</v>
      </c>
      <c r="Y211" s="617">
        <f>IFERROR(SUM(Y209:Y209),"0")</f>
        <v>0</v>
      </c>
      <c r="Z211" s="37"/>
      <c r="AA211" s="618"/>
      <c r="AB211" s="618"/>
      <c r="AC211" s="618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11"/>
      <c r="AB212" s="611"/>
      <c r="AC212" s="611"/>
    </row>
    <row r="213" spans="1:68" ht="27" customHeight="1" x14ac:dyDescent="0.25">
      <c r="A213" s="54" t="s">
        <v>353</v>
      </c>
      <c r="B213" s="54" t="s">
        <v>354</v>
      </c>
      <c r="C213" s="31">
        <v>4301031191</v>
      </c>
      <c r="D213" s="619">
        <v>4680115880993</v>
      </c>
      <c r="E213" s="620"/>
      <c r="F213" s="614">
        <v>0.7</v>
      </c>
      <c r="G213" s="32">
        <v>6</v>
      </c>
      <c r="H213" s="614">
        <v>4.2</v>
      </c>
      <c r="I213" s="614">
        <v>4.45</v>
      </c>
      <c r="J213" s="32">
        <v>132</v>
      </c>
      <c r="K213" s="32" t="s">
        <v>129</v>
      </c>
      <c r="L213" s="32"/>
      <c r="M213" s="33" t="s">
        <v>66</v>
      </c>
      <c r="N213" s="33"/>
      <c r="O213" s="32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4"/>
      <c r="V213" s="34"/>
      <c r="W213" s="35" t="s">
        <v>67</v>
      </c>
      <c r="X213" s="615">
        <v>0</v>
      </c>
      <c r="Y213" s="616">
        <f t="shared" ref="Y213:Y226" si="21">IFERROR(IF(X213="",0,CEILING((X213/$H213),1)*$H213),"")</f>
        <v>0</v>
      </c>
      <c r="Z213" s="36" t="str">
        <f>IFERROR(IF(Y213=0,"",ROUNDUP(Y213/H213,0)*0.00902),"")</f>
        <v/>
      </c>
      <c r="AA213" s="56"/>
      <c r="AB213" s="57"/>
      <c r="AC213" s="263" t="s">
        <v>355</v>
      </c>
      <c r="AG213" s="64"/>
      <c r="AJ213" s="68"/>
      <c r="AK213" s="68">
        <v>0</v>
      </c>
      <c r="BB213" s="264" t="s">
        <v>1</v>
      </c>
      <c r="BM213" s="64">
        <f t="shared" ref="BM213:BM226" si="22">IFERROR(X213*I213/H213,"0")</f>
        <v>0</v>
      </c>
      <c r="BN213" s="64">
        <f t="shared" ref="BN213:BN226" si="23">IFERROR(Y213*I213/H213,"0")</f>
        <v>0</v>
      </c>
      <c r="BO213" s="64">
        <f t="shared" ref="BO213:BO226" si="24">IFERROR(1/J213*(X213/H213),"0")</f>
        <v>0</v>
      </c>
      <c r="BP213" s="64">
        <f t="shared" ref="BP213:BP226" si="25">IFERROR(1/J213*(Y213/H213),"0")</f>
        <v>0</v>
      </c>
    </row>
    <row r="214" spans="1:68" ht="27" customHeight="1" x14ac:dyDescent="0.25">
      <c r="A214" s="54" t="s">
        <v>356</v>
      </c>
      <c r="B214" s="54" t="s">
        <v>357</v>
      </c>
      <c r="C214" s="31">
        <v>4301031204</v>
      </c>
      <c r="D214" s="619">
        <v>4680115881761</v>
      </c>
      <c r="E214" s="620"/>
      <c r="F214" s="614">
        <v>0.7</v>
      </c>
      <c r="G214" s="32">
        <v>6</v>
      </c>
      <c r="H214" s="614">
        <v>4.2</v>
      </c>
      <c r="I214" s="614">
        <v>4.45</v>
      </c>
      <c r="J214" s="32">
        <v>132</v>
      </c>
      <c r="K214" s="32" t="s">
        <v>129</v>
      </c>
      <c r="L214" s="32"/>
      <c r="M214" s="33" t="s">
        <v>66</v>
      </c>
      <c r="N214" s="33"/>
      <c r="O214" s="32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4"/>
      <c r="V214" s="34"/>
      <c r="W214" s="35" t="s">
        <v>67</v>
      </c>
      <c r="X214" s="615">
        <v>0</v>
      </c>
      <c r="Y214" s="616">
        <f t="shared" si="21"/>
        <v>0</v>
      </c>
      <c r="Z214" s="36" t="str">
        <f>IFERROR(IF(Y214=0,"",ROUNDUP(Y214/H214,0)*0.00902),"")</f>
        <v/>
      </c>
      <c r="AA214" s="56"/>
      <c r="AB214" s="57"/>
      <c r="AC214" s="265" t="s">
        <v>358</v>
      </c>
      <c r="AG214" s="64"/>
      <c r="AJ214" s="68"/>
      <c r="AK214" s="68">
        <v>0</v>
      </c>
      <c r="BB214" s="266" t="s">
        <v>1</v>
      </c>
      <c r="BM214" s="64">
        <f t="shared" si="22"/>
        <v>0</v>
      </c>
      <c r="BN214" s="64">
        <f t="shared" si="23"/>
        <v>0</v>
      </c>
      <c r="BO214" s="64">
        <f t="shared" si="24"/>
        <v>0</v>
      </c>
      <c r="BP214" s="64">
        <f t="shared" si="25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4301031201</v>
      </c>
      <c r="D215" s="619">
        <v>4680115881563</v>
      </c>
      <c r="E215" s="620"/>
      <c r="F215" s="614">
        <v>0.7</v>
      </c>
      <c r="G215" s="32">
        <v>6</v>
      </c>
      <c r="H215" s="614">
        <v>4.2</v>
      </c>
      <c r="I215" s="614">
        <v>4.3899999999999997</v>
      </c>
      <c r="J215" s="32">
        <v>132</v>
      </c>
      <c r="K215" s="32" t="s">
        <v>129</v>
      </c>
      <c r="L215" s="32"/>
      <c r="M215" s="33" t="s">
        <v>66</v>
      </c>
      <c r="N215" s="33"/>
      <c r="O215" s="32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4"/>
      <c r="V215" s="34"/>
      <c r="W215" s="35" t="s">
        <v>67</v>
      </c>
      <c r="X215" s="615">
        <v>57</v>
      </c>
      <c r="Y215" s="616">
        <f t="shared" si="21"/>
        <v>58.800000000000004</v>
      </c>
      <c r="Z215" s="36">
        <f>IFERROR(IF(Y215=0,"",ROUNDUP(Y215/H215,0)*0.00902),"")</f>
        <v>0.12628</v>
      </c>
      <c r="AA215" s="56"/>
      <c r="AB215" s="57"/>
      <c r="AC215" s="267" t="s">
        <v>361</v>
      </c>
      <c r="AG215" s="64"/>
      <c r="AJ215" s="68"/>
      <c r="AK215" s="68">
        <v>0</v>
      </c>
      <c r="BB215" s="268" t="s">
        <v>1</v>
      </c>
      <c r="BM215" s="64">
        <f t="shared" si="22"/>
        <v>59.578571428571422</v>
      </c>
      <c r="BN215" s="64">
        <f t="shared" si="23"/>
        <v>61.46</v>
      </c>
      <c r="BO215" s="64">
        <f t="shared" si="24"/>
        <v>0.10281385281385282</v>
      </c>
      <c r="BP215" s="64">
        <f t="shared" si="25"/>
        <v>0.10606060606060606</v>
      </c>
    </row>
    <row r="216" spans="1:68" ht="37.5" customHeight="1" x14ac:dyDescent="0.25">
      <c r="A216" s="54" t="s">
        <v>362</v>
      </c>
      <c r="B216" s="54" t="s">
        <v>363</v>
      </c>
      <c r="C216" s="31">
        <v>4301031447</v>
      </c>
      <c r="D216" s="619">
        <v>4680115887565</v>
      </c>
      <c r="E216" s="620"/>
      <c r="F216" s="614">
        <v>0.08</v>
      </c>
      <c r="G216" s="32">
        <v>10</v>
      </c>
      <c r="H216" s="614">
        <v>0.8</v>
      </c>
      <c r="I216" s="614">
        <v>0.93</v>
      </c>
      <c r="J216" s="32">
        <v>252</v>
      </c>
      <c r="K216" s="32" t="s">
        <v>65</v>
      </c>
      <c r="L216" s="32"/>
      <c r="M216" s="33" t="s">
        <v>66</v>
      </c>
      <c r="N216" s="33"/>
      <c r="O216" s="32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4"/>
      <c r="V216" s="34"/>
      <c r="W216" s="35" t="s">
        <v>67</v>
      </c>
      <c r="X216" s="615">
        <v>0</v>
      </c>
      <c r="Y216" s="616">
        <f t="shared" si="21"/>
        <v>0</v>
      </c>
      <c r="Z216" s="36" t="str">
        <f>IFERROR(IF(Y216=0,"",ROUNDUP(Y216/H216,0)*0.00556),"")</f>
        <v/>
      </c>
      <c r="AA216" s="56"/>
      <c r="AB216" s="57"/>
      <c r="AC216" s="269" t="s">
        <v>364</v>
      </c>
      <c r="AG216" s="64"/>
      <c r="AJ216" s="68"/>
      <c r="AK216" s="68">
        <v>0</v>
      </c>
      <c r="BB216" s="270" t="s">
        <v>1</v>
      </c>
      <c r="BM216" s="64">
        <f t="shared" si="22"/>
        <v>0</v>
      </c>
      <c r="BN216" s="64">
        <f t="shared" si="23"/>
        <v>0</v>
      </c>
      <c r="BO216" s="64">
        <f t="shared" si="24"/>
        <v>0</v>
      </c>
      <c r="BP216" s="64">
        <f t="shared" si="2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4301031199</v>
      </c>
      <c r="D217" s="619">
        <v>4680115880986</v>
      </c>
      <c r="E217" s="620"/>
      <c r="F217" s="614">
        <v>0.35</v>
      </c>
      <c r="G217" s="32">
        <v>6</v>
      </c>
      <c r="H217" s="614">
        <v>2.1</v>
      </c>
      <c r="I217" s="614">
        <v>2.23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4"/>
      <c r="V217" s="34"/>
      <c r="W217" s="35" t="s">
        <v>67</v>
      </c>
      <c r="X217" s="615">
        <v>0</v>
      </c>
      <c r="Y217" s="616">
        <f t="shared" si="21"/>
        <v>0</v>
      </c>
      <c r="Z217" s="36" t="str">
        <f t="shared" ref="Z217:Z222" si="26">IFERROR(IF(Y217=0,"",ROUNDUP(Y217/H217,0)*0.00502),"")</f>
        <v/>
      </c>
      <c r="AA217" s="56"/>
      <c r="AB217" s="57"/>
      <c r="AC217" s="271" t="s">
        <v>355</v>
      </c>
      <c r="AG217" s="64"/>
      <c r="AJ217" s="68"/>
      <c r="AK217" s="68">
        <v>0</v>
      </c>
      <c r="BB217" s="272" t="s">
        <v>1</v>
      </c>
      <c r="BM217" s="64">
        <f t="shared" si="22"/>
        <v>0</v>
      </c>
      <c r="BN217" s="64">
        <f t="shared" si="23"/>
        <v>0</v>
      </c>
      <c r="BO217" s="64">
        <f t="shared" si="24"/>
        <v>0</v>
      </c>
      <c r="BP217" s="64">
        <f t="shared" si="25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4301031443</v>
      </c>
      <c r="D218" s="619">
        <v>4680115887213</v>
      </c>
      <c r="E218" s="620"/>
      <c r="F218" s="614">
        <v>0.3</v>
      </c>
      <c r="G218" s="32">
        <v>6</v>
      </c>
      <c r="H218" s="614">
        <v>1.8</v>
      </c>
      <c r="I218" s="614">
        <v>1.9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4"/>
      <c r="V218" s="34"/>
      <c r="W218" s="35" t="s">
        <v>67</v>
      </c>
      <c r="X218" s="615">
        <v>0</v>
      </c>
      <c r="Y218" s="616">
        <f t="shared" si="21"/>
        <v>0</v>
      </c>
      <c r="Z218" s="36" t="str">
        <f t="shared" si="26"/>
        <v/>
      </c>
      <c r="AA218" s="56"/>
      <c r="AB218" s="57"/>
      <c r="AC218" s="273" t="s">
        <v>369</v>
      </c>
      <c r="AG218" s="64"/>
      <c r="AJ218" s="68"/>
      <c r="AK218" s="68">
        <v>0</v>
      </c>
      <c r="BB218" s="274" t="s">
        <v>1</v>
      </c>
      <c r="BM218" s="64">
        <f t="shared" si="22"/>
        <v>0</v>
      </c>
      <c r="BN218" s="64">
        <f t="shared" si="23"/>
        <v>0</v>
      </c>
      <c r="BO218" s="64">
        <f t="shared" si="24"/>
        <v>0</v>
      </c>
      <c r="BP218" s="64">
        <f t="shared" si="25"/>
        <v>0</v>
      </c>
    </row>
    <row r="219" spans="1:68" ht="27" customHeight="1" x14ac:dyDescent="0.25">
      <c r="A219" s="54" t="s">
        <v>370</v>
      </c>
      <c r="B219" s="54" t="s">
        <v>371</v>
      </c>
      <c r="C219" s="31">
        <v>4301031205</v>
      </c>
      <c r="D219" s="619">
        <v>4680115881785</v>
      </c>
      <c r="E219" s="620"/>
      <c r="F219" s="614">
        <v>0.35</v>
      </c>
      <c r="G219" s="32">
        <v>6</v>
      </c>
      <c r="H219" s="614">
        <v>2.1</v>
      </c>
      <c r="I219" s="614">
        <v>2.23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4"/>
      <c r="V219" s="34"/>
      <c r="W219" s="35" t="s">
        <v>67</v>
      </c>
      <c r="X219" s="615">
        <v>0</v>
      </c>
      <c r="Y219" s="616">
        <f t="shared" si="21"/>
        <v>0</v>
      </c>
      <c r="Z219" s="36" t="str">
        <f t="shared" si="26"/>
        <v/>
      </c>
      <c r="AA219" s="56"/>
      <c r="AB219" s="57"/>
      <c r="AC219" s="275" t="s">
        <v>358</v>
      </c>
      <c r="AG219" s="64"/>
      <c r="AJ219" s="68"/>
      <c r="AK219" s="68">
        <v>0</v>
      </c>
      <c r="BB219" s="276" t="s">
        <v>1</v>
      </c>
      <c r="BM219" s="64">
        <f t="shared" si="22"/>
        <v>0</v>
      </c>
      <c r="BN219" s="64">
        <f t="shared" si="23"/>
        <v>0</v>
      </c>
      <c r="BO219" s="64">
        <f t="shared" si="24"/>
        <v>0</v>
      </c>
      <c r="BP219" s="64">
        <f t="shared" si="25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4301031499</v>
      </c>
      <c r="D220" s="619">
        <v>4680115888432</v>
      </c>
      <c r="E220" s="620"/>
      <c r="F220" s="614">
        <v>0.3</v>
      </c>
      <c r="G220" s="32">
        <v>6</v>
      </c>
      <c r="H220" s="614">
        <v>1.8</v>
      </c>
      <c r="I220" s="614">
        <v>1.93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4"/>
      <c r="V220" s="34"/>
      <c r="W220" s="35" t="s">
        <v>67</v>
      </c>
      <c r="X220" s="615">
        <v>0</v>
      </c>
      <c r="Y220" s="616">
        <f t="shared" si="21"/>
        <v>0</v>
      </c>
      <c r="Z220" s="36" t="str">
        <f t="shared" si="26"/>
        <v/>
      </c>
      <c r="AA220" s="56"/>
      <c r="AB220" s="57"/>
      <c r="AC220" s="277" t="s">
        <v>374</v>
      </c>
      <c r="AG220" s="64"/>
      <c r="AJ220" s="68"/>
      <c r="AK220" s="68">
        <v>0</v>
      </c>
      <c r="BB220" s="278" t="s">
        <v>1</v>
      </c>
      <c r="BM220" s="64">
        <f t="shared" si="22"/>
        <v>0</v>
      </c>
      <c r="BN220" s="64">
        <f t="shared" si="23"/>
        <v>0</v>
      </c>
      <c r="BO220" s="64">
        <f t="shared" si="24"/>
        <v>0</v>
      </c>
      <c r="BP220" s="64">
        <f t="shared" si="25"/>
        <v>0</v>
      </c>
    </row>
    <row r="221" spans="1:68" ht="27" customHeight="1" x14ac:dyDescent="0.25">
      <c r="A221" s="54" t="s">
        <v>375</v>
      </c>
      <c r="B221" s="54" t="s">
        <v>376</v>
      </c>
      <c r="C221" s="31">
        <v>4301031427</v>
      </c>
      <c r="D221" s="619">
        <v>4680115888104</v>
      </c>
      <c r="E221" s="620"/>
      <c r="F221" s="614">
        <v>0.35</v>
      </c>
      <c r="G221" s="32">
        <v>6</v>
      </c>
      <c r="H221" s="614">
        <v>2.1</v>
      </c>
      <c r="I221" s="614">
        <v>2.2000000000000002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4"/>
      <c r="V221" s="34"/>
      <c r="W221" s="35" t="s">
        <v>67</v>
      </c>
      <c r="X221" s="615">
        <v>0</v>
      </c>
      <c r="Y221" s="616">
        <f t="shared" si="21"/>
        <v>0</v>
      </c>
      <c r="Z221" s="36" t="str">
        <f t="shared" si="26"/>
        <v/>
      </c>
      <c r="AA221" s="56"/>
      <c r="AB221" s="57"/>
      <c r="AC221" s="279" t="s">
        <v>377</v>
      </c>
      <c r="AG221" s="64"/>
      <c r="AJ221" s="68"/>
      <c r="AK221" s="68">
        <v>0</v>
      </c>
      <c r="BB221" s="280" t="s">
        <v>1</v>
      </c>
      <c r="BM221" s="64">
        <f t="shared" si="22"/>
        <v>0</v>
      </c>
      <c r="BN221" s="64">
        <f t="shared" si="23"/>
        <v>0</v>
      </c>
      <c r="BO221" s="64">
        <f t="shared" si="24"/>
        <v>0</v>
      </c>
      <c r="BP221" s="64">
        <f t="shared" si="25"/>
        <v>0</v>
      </c>
    </row>
    <row r="222" spans="1:68" ht="27" customHeight="1" x14ac:dyDescent="0.25">
      <c r="A222" s="54" t="s">
        <v>378</v>
      </c>
      <c r="B222" s="54" t="s">
        <v>379</v>
      </c>
      <c r="C222" s="31">
        <v>4301031399</v>
      </c>
      <c r="D222" s="619">
        <v>4680115886537</v>
      </c>
      <c r="E222" s="620"/>
      <c r="F222" s="614">
        <v>0.3</v>
      </c>
      <c r="G222" s="32">
        <v>6</v>
      </c>
      <c r="H222" s="614">
        <v>1.8</v>
      </c>
      <c r="I222" s="614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4"/>
      <c r="V222" s="34"/>
      <c r="W222" s="35" t="s">
        <v>67</v>
      </c>
      <c r="X222" s="615">
        <v>0</v>
      </c>
      <c r="Y222" s="616">
        <f t="shared" si="21"/>
        <v>0</v>
      </c>
      <c r="Z222" s="36" t="str">
        <f t="shared" si="26"/>
        <v/>
      </c>
      <c r="AA222" s="56"/>
      <c r="AB222" s="57"/>
      <c r="AC222" s="281" t="s">
        <v>380</v>
      </c>
      <c r="AG222" s="64"/>
      <c r="AJ222" s="68"/>
      <c r="AK222" s="68">
        <v>0</v>
      </c>
      <c r="BB222" s="282" t="s">
        <v>1</v>
      </c>
      <c r="BM222" s="64">
        <f t="shared" si="22"/>
        <v>0</v>
      </c>
      <c r="BN222" s="64">
        <f t="shared" si="23"/>
        <v>0</v>
      </c>
      <c r="BO222" s="64">
        <f t="shared" si="24"/>
        <v>0</v>
      </c>
      <c r="BP222" s="64">
        <f t="shared" si="25"/>
        <v>0</v>
      </c>
    </row>
    <row r="223" spans="1:68" ht="27" customHeight="1" x14ac:dyDescent="0.25">
      <c r="A223" s="54" t="s">
        <v>381</v>
      </c>
      <c r="B223" s="54" t="s">
        <v>382</v>
      </c>
      <c r="C223" s="31">
        <v>4301031279</v>
      </c>
      <c r="D223" s="619">
        <v>4680115887596</v>
      </c>
      <c r="E223" s="620"/>
      <c r="F223" s="614">
        <v>0.08</v>
      </c>
      <c r="G223" s="32">
        <v>10</v>
      </c>
      <c r="H223" s="614">
        <v>0.8</v>
      </c>
      <c r="I223" s="614">
        <v>1.01</v>
      </c>
      <c r="J223" s="32">
        <v>336</v>
      </c>
      <c r="K223" s="32" t="s">
        <v>125</v>
      </c>
      <c r="L223" s="32"/>
      <c r="M223" s="33" t="s">
        <v>66</v>
      </c>
      <c r="N223" s="33"/>
      <c r="O223" s="32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4"/>
      <c r="V223" s="34"/>
      <c r="W223" s="35" t="s">
        <v>67</v>
      </c>
      <c r="X223" s="615">
        <v>0</v>
      </c>
      <c r="Y223" s="616">
        <f t="shared" si="21"/>
        <v>0</v>
      </c>
      <c r="Z223" s="36" t="str">
        <f>IFERROR(IF(Y223=0,"",ROUNDUP(Y223/H223,0)*0.00417),"")</f>
        <v/>
      </c>
      <c r="AA223" s="56"/>
      <c r="AB223" s="57"/>
      <c r="AC223" s="283" t="s">
        <v>383</v>
      </c>
      <c r="AG223" s="64"/>
      <c r="AJ223" s="68"/>
      <c r="AK223" s="68">
        <v>0</v>
      </c>
      <c r="BB223" s="284" t="s">
        <v>1</v>
      </c>
      <c r="BM223" s="64">
        <f t="shared" si="22"/>
        <v>0</v>
      </c>
      <c r="BN223" s="64">
        <f t="shared" si="23"/>
        <v>0</v>
      </c>
      <c r="BO223" s="64">
        <f t="shared" si="24"/>
        <v>0</v>
      </c>
      <c r="BP223" s="64">
        <f t="shared" si="25"/>
        <v>0</v>
      </c>
    </row>
    <row r="224" spans="1:68" ht="37.5" customHeight="1" x14ac:dyDescent="0.25">
      <c r="A224" s="54" t="s">
        <v>384</v>
      </c>
      <c r="B224" s="54" t="s">
        <v>385</v>
      </c>
      <c r="C224" s="31">
        <v>4301031202</v>
      </c>
      <c r="D224" s="619">
        <v>4680115881679</v>
      </c>
      <c r="E224" s="620"/>
      <c r="F224" s="614">
        <v>0.35</v>
      </c>
      <c r="G224" s="32">
        <v>6</v>
      </c>
      <c r="H224" s="614">
        <v>2.1</v>
      </c>
      <c r="I224" s="614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4"/>
      <c r="V224" s="34"/>
      <c r="W224" s="35" t="s">
        <v>67</v>
      </c>
      <c r="X224" s="615">
        <v>36</v>
      </c>
      <c r="Y224" s="616">
        <f t="shared" si="21"/>
        <v>37.800000000000004</v>
      </c>
      <c r="Z224" s="36">
        <f>IFERROR(IF(Y224=0,"",ROUNDUP(Y224/H224,0)*0.00502),"")</f>
        <v>9.0359999999999996E-2</v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2"/>
        <v>37.714285714285715</v>
      </c>
      <c r="BN224" s="64">
        <f t="shared" si="23"/>
        <v>39.6</v>
      </c>
      <c r="BO224" s="64">
        <f t="shared" si="24"/>
        <v>7.3260073260073263E-2</v>
      </c>
      <c r="BP224" s="64">
        <f t="shared" si="25"/>
        <v>7.6923076923076927E-2</v>
      </c>
    </row>
    <row r="225" spans="1:68" ht="27" customHeight="1" x14ac:dyDescent="0.25">
      <c r="A225" s="54" t="s">
        <v>386</v>
      </c>
      <c r="B225" s="54" t="s">
        <v>387</v>
      </c>
      <c r="C225" s="31">
        <v>4301031158</v>
      </c>
      <c r="D225" s="619">
        <v>4680115880191</v>
      </c>
      <c r="E225" s="620"/>
      <c r="F225" s="614">
        <v>0.4</v>
      </c>
      <c r="G225" s="32">
        <v>6</v>
      </c>
      <c r="H225" s="614">
        <v>2.4</v>
      </c>
      <c r="I225" s="614">
        <v>2.58</v>
      </c>
      <c r="J225" s="32">
        <v>182</v>
      </c>
      <c r="K225" s="32" t="s">
        <v>77</v>
      </c>
      <c r="L225" s="32"/>
      <c r="M225" s="33" t="s">
        <v>66</v>
      </c>
      <c r="N225" s="33"/>
      <c r="O225" s="32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4"/>
      <c r="V225" s="34"/>
      <c r="W225" s="35" t="s">
        <v>67</v>
      </c>
      <c r="X225" s="615">
        <v>0</v>
      </c>
      <c r="Y225" s="616">
        <f t="shared" si="21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388</v>
      </c>
      <c r="B226" s="54" t="s">
        <v>389</v>
      </c>
      <c r="C226" s="31">
        <v>4301031245</v>
      </c>
      <c r="D226" s="619">
        <v>4680115883963</v>
      </c>
      <c r="E226" s="620"/>
      <c r="F226" s="614">
        <v>0.28000000000000003</v>
      </c>
      <c r="G226" s="32">
        <v>6</v>
      </c>
      <c r="H226" s="614">
        <v>1.68</v>
      </c>
      <c r="I226" s="614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4"/>
      <c r="V226" s="34"/>
      <c r="W226" s="35" t="s">
        <v>67</v>
      </c>
      <c r="X226" s="615">
        <v>0</v>
      </c>
      <c r="Y226" s="616">
        <f t="shared" si="21"/>
        <v>0</v>
      </c>
      <c r="Z226" s="36" t="str">
        <f>IFERROR(IF(Y226=0,"",ROUNDUP(Y226/H226,0)*0.00502),"")</f>
        <v/>
      </c>
      <c r="AA226" s="56"/>
      <c r="AB226" s="57"/>
      <c r="AC226" s="289" t="s">
        <v>390</v>
      </c>
      <c r="AG226" s="64"/>
      <c r="AJ226" s="68"/>
      <c r="AK226" s="68">
        <v>0</v>
      </c>
      <c r="BB226" s="29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37" t="s">
        <v>73</v>
      </c>
      <c r="X227" s="617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30.714285714285715</v>
      </c>
      <c r="Y227" s="617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32</v>
      </c>
      <c r="Z227" s="617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0.21664</v>
      </c>
      <c r="AA227" s="618"/>
      <c r="AB227" s="618"/>
      <c r="AC227" s="618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37" t="s">
        <v>67</v>
      </c>
      <c r="X228" s="617">
        <f>IFERROR(SUM(X213:X226),"0")</f>
        <v>93</v>
      </c>
      <c r="Y228" s="617">
        <f>IFERROR(SUM(Y213:Y226),"0")</f>
        <v>96.600000000000009</v>
      </c>
      <c r="Z228" s="37"/>
      <c r="AA228" s="618"/>
      <c r="AB228" s="618"/>
      <c r="AC228" s="618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11"/>
      <c r="AB229" s="611"/>
      <c r="AC229" s="611"/>
    </row>
    <row r="230" spans="1:68" ht="27" customHeight="1" x14ac:dyDescent="0.25">
      <c r="A230" s="54" t="s">
        <v>391</v>
      </c>
      <c r="B230" s="54" t="s">
        <v>392</v>
      </c>
      <c r="C230" s="31">
        <v>4301052178</v>
      </c>
      <c r="D230" s="619">
        <v>4680115888975</v>
      </c>
      <c r="E230" s="620"/>
      <c r="F230" s="614">
        <v>0.32</v>
      </c>
      <c r="G230" s="32">
        <v>6</v>
      </c>
      <c r="H230" s="614">
        <v>1.92</v>
      </c>
      <c r="I230" s="614">
        <v>2.1819999999999999</v>
      </c>
      <c r="J230" s="32">
        <v>132</v>
      </c>
      <c r="K230" s="32" t="s">
        <v>129</v>
      </c>
      <c r="L230" s="32"/>
      <c r="M230" s="33" t="s">
        <v>84</v>
      </c>
      <c r="N230" s="33"/>
      <c r="O230" s="32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4"/>
      <c r="V230" s="34"/>
      <c r="W230" s="35" t="s">
        <v>67</v>
      </c>
      <c r="X230" s="615">
        <v>0</v>
      </c>
      <c r="Y230" s="616">
        <f>IFERROR(IF(X230="",0,CEILING((X230/$H230),1)*$H230),"")</f>
        <v>0</v>
      </c>
      <c r="Z230" s="36" t="str">
        <f>IFERROR(IF(Y230=0,"",ROUNDUP(Y230/H230,0)*0.00902),"")</f>
        <v/>
      </c>
      <c r="AA230" s="56"/>
      <c r="AB230" s="57" t="s">
        <v>264</v>
      </c>
      <c r="AC230" s="291" t="s">
        <v>393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16.5" customHeight="1" x14ac:dyDescent="0.25">
      <c r="A231" s="54" t="s">
        <v>394</v>
      </c>
      <c r="B231" s="54" t="s">
        <v>395</v>
      </c>
      <c r="C231" s="31">
        <v>4301052209</v>
      </c>
      <c r="D231" s="619">
        <v>4680115888692</v>
      </c>
      <c r="E231" s="620"/>
      <c r="F231" s="614">
        <v>0.8</v>
      </c>
      <c r="G231" s="32">
        <v>6</v>
      </c>
      <c r="H231" s="614">
        <v>4.8</v>
      </c>
      <c r="I231" s="614">
        <v>5.2220000000000004</v>
      </c>
      <c r="J231" s="32">
        <v>104</v>
      </c>
      <c r="K231" s="32" t="s">
        <v>120</v>
      </c>
      <c r="L231" s="32"/>
      <c r="M231" s="33" t="s">
        <v>84</v>
      </c>
      <c r="N231" s="33"/>
      <c r="O231" s="32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4"/>
      <c r="V231" s="34"/>
      <c r="W231" s="35" t="s">
        <v>67</v>
      </c>
      <c r="X231" s="615">
        <v>0</v>
      </c>
      <c r="Y231" s="616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396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customHeight="1" x14ac:dyDescent="0.25">
      <c r="A232" s="54" t="s">
        <v>397</v>
      </c>
      <c r="B232" s="54" t="s">
        <v>398</v>
      </c>
      <c r="C232" s="31">
        <v>4301052213</v>
      </c>
      <c r="D232" s="619">
        <v>4680115888722</v>
      </c>
      <c r="E232" s="620"/>
      <c r="F232" s="614">
        <v>0.8</v>
      </c>
      <c r="G232" s="32">
        <v>6</v>
      </c>
      <c r="H232" s="614">
        <v>4.8</v>
      </c>
      <c r="I232" s="614">
        <v>5.2220000000000004</v>
      </c>
      <c r="J232" s="32">
        <v>104</v>
      </c>
      <c r="K232" s="32" t="s">
        <v>120</v>
      </c>
      <c r="L232" s="32"/>
      <c r="M232" s="33" t="s">
        <v>84</v>
      </c>
      <c r="N232" s="33"/>
      <c r="O232" s="32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4"/>
      <c r="V232" s="34"/>
      <c r="W232" s="35" t="s">
        <v>67</v>
      </c>
      <c r="X232" s="615">
        <v>0</v>
      </c>
      <c r="Y232" s="616">
        <f>IFERROR(IF(X232="",0,CEILING((X232/$H232),1)*$H232),"")</f>
        <v>0</v>
      </c>
      <c r="Z232" s="36" t="str">
        <f>IFERROR(IF(Y232=0,"",ROUNDUP(Y232/H232,0)*0.01196),"")</f>
        <v/>
      </c>
      <c r="AA232" s="56"/>
      <c r="AB232" s="57"/>
      <c r="AC232" s="295" t="s">
        <v>399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customHeight="1" x14ac:dyDescent="0.25">
      <c r="A233" s="54" t="s">
        <v>400</v>
      </c>
      <c r="B233" s="54" t="s">
        <v>401</v>
      </c>
      <c r="C233" s="31">
        <v>4301052177</v>
      </c>
      <c r="D233" s="619">
        <v>4680115888951</v>
      </c>
      <c r="E233" s="620"/>
      <c r="F233" s="614">
        <v>0.36</v>
      </c>
      <c r="G233" s="32">
        <v>6</v>
      </c>
      <c r="H233" s="614">
        <v>2.16</v>
      </c>
      <c r="I233" s="614">
        <v>2.4220000000000002</v>
      </c>
      <c r="J233" s="32">
        <v>132</v>
      </c>
      <c r="K233" s="32" t="s">
        <v>129</v>
      </c>
      <c r="L233" s="32"/>
      <c r="M233" s="33" t="s">
        <v>84</v>
      </c>
      <c r="N233" s="33"/>
      <c r="O233" s="32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4"/>
      <c r="V233" s="34"/>
      <c r="W233" s="35" t="s">
        <v>67</v>
      </c>
      <c r="X233" s="615">
        <v>0</v>
      </c>
      <c r="Y233" s="616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402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customHeight="1" x14ac:dyDescent="0.25">
      <c r="A234" s="54" t="s">
        <v>403</v>
      </c>
      <c r="B234" s="54" t="s">
        <v>404</v>
      </c>
      <c r="C234" s="31">
        <v>4301052176</v>
      </c>
      <c r="D234" s="619">
        <v>4680115888982</v>
      </c>
      <c r="E234" s="620"/>
      <c r="F234" s="614">
        <v>0.36</v>
      </c>
      <c r="G234" s="32">
        <v>6</v>
      </c>
      <c r="H234" s="614">
        <v>2.16</v>
      </c>
      <c r="I234" s="614">
        <v>2.4220000000000002</v>
      </c>
      <c r="J234" s="32">
        <v>132</v>
      </c>
      <c r="K234" s="32" t="s">
        <v>129</v>
      </c>
      <c r="L234" s="32"/>
      <c r="M234" s="33" t="s">
        <v>84</v>
      </c>
      <c r="N234" s="33"/>
      <c r="O234" s="32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4"/>
      <c r="V234" s="34"/>
      <c r="W234" s="35" t="s">
        <v>67</v>
      </c>
      <c r="X234" s="615">
        <v>0</v>
      </c>
      <c r="Y234" s="616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399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37" t="s">
        <v>73</v>
      </c>
      <c r="X235" s="617">
        <f>IFERROR(X230/H230,"0")+IFERROR(X231/H231,"0")+IFERROR(X232/H232,"0")+IFERROR(X233/H233,"0")+IFERROR(X234/H234,"0")</f>
        <v>0</v>
      </c>
      <c r="Y235" s="617">
        <f>IFERROR(Y230/H230,"0")+IFERROR(Y231/H231,"0")+IFERROR(Y232/H232,"0")+IFERROR(Y233/H233,"0")+IFERROR(Y234/H234,"0")</f>
        <v>0</v>
      </c>
      <c r="Z235" s="617">
        <f>IFERROR(IF(Z230="",0,Z230),"0")+IFERROR(IF(Z231="",0,Z231),"0")+IFERROR(IF(Z232="",0,Z232),"0")+IFERROR(IF(Z233="",0,Z233),"0")+IFERROR(IF(Z234="",0,Z234),"0")</f>
        <v>0</v>
      </c>
      <c r="AA235" s="618"/>
      <c r="AB235" s="618"/>
      <c r="AC235" s="618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37" t="s">
        <v>67</v>
      </c>
      <c r="X236" s="617">
        <f>IFERROR(SUM(X230:X234),"0")</f>
        <v>0</v>
      </c>
      <c r="Y236" s="617">
        <f>IFERROR(SUM(Y230:Y234),"0")</f>
        <v>0</v>
      </c>
      <c r="Z236" s="37"/>
      <c r="AA236" s="618"/>
      <c r="AB236" s="618"/>
      <c r="AC236" s="618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11"/>
      <c r="AB237" s="611"/>
      <c r="AC237" s="611"/>
    </row>
    <row r="238" spans="1:68" ht="27" customHeight="1" x14ac:dyDescent="0.25">
      <c r="A238" s="54" t="s">
        <v>405</v>
      </c>
      <c r="B238" s="54" t="s">
        <v>406</v>
      </c>
      <c r="C238" s="31">
        <v>4301032053</v>
      </c>
      <c r="D238" s="619">
        <v>4680115886780</v>
      </c>
      <c r="E238" s="620"/>
      <c r="F238" s="614">
        <v>7.0000000000000007E-2</v>
      </c>
      <c r="G238" s="32">
        <v>18</v>
      </c>
      <c r="H238" s="614">
        <v>1.26</v>
      </c>
      <c r="I238" s="614">
        <v>1.45</v>
      </c>
      <c r="J238" s="32">
        <v>216</v>
      </c>
      <c r="K238" s="32" t="s">
        <v>317</v>
      </c>
      <c r="L238" s="32"/>
      <c r="M238" s="33" t="s">
        <v>318</v>
      </c>
      <c r="N238" s="33"/>
      <c r="O238" s="32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4"/>
      <c r="V238" s="34"/>
      <c r="W238" s="35" t="s">
        <v>67</v>
      </c>
      <c r="X238" s="615">
        <v>0</v>
      </c>
      <c r="Y238" s="616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407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customHeight="1" x14ac:dyDescent="0.25">
      <c r="A239" s="54" t="s">
        <v>408</v>
      </c>
      <c r="B239" s="54" t="s">
        <v>409</v>
      </c>
      <c r="C239" s="31">
        <v>4301032051</v>
      </c>
      <c r="D239" s="619">
        <v>4680115886742</v>
      </c>
      <c r="E239" s="620"/>
      <c r="F239" s="614">
        <v>7.0000000000000007E-2</v>
      </c>
      <c r="G239" s="32">
        <v>18</v>
      </c>
      <c r="H239" s="614">
        <v>1.26</v>
      </c>
      <c r="I239" s="614">
        <v>1.45</v>
      </c>
      <c r="J239" s="32">
        <v>216</v>
      </c>
      <c r="K239" s="32" t="s">
        <v>317</v>
      </c>
      <c r="L239" s="32"/>
      <c r="M239" s="33" t="s">
        <v>318</v>
      </c>
      <c r="N239" s="33"/>
      <c r="O239" s="32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4"/>
      <c r="V239" s="34"/>
      <c r="W239" s="35" t="s">
        <v>67</v>
      </c>
      <c r="X239" s="615">
        <v>0</v>
      </c>
      <c r="Y239" s="616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410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customHeight="1" x14ac:dyDescent="0.25">
      <c r="A240" s="54" t="s">
        <v>411</v>
      </c>
      <c r="B240" s="54" t="s">
        <v>412</v>
      </c>
      <c r="C240" s="31">
        <v>4301032052</v>
      </c>
      <c r="D240" s="619">
        <v>4680115886766</v>
      </c>
      <c r="E240" s="620"/>
      <c r="F240" s="614">
        <v>7.0000000000000007E-2</v>
      </c>
      <c r="G240" s="32">
        <v>18</v>
      </c>
      <c r="H240" s="614">
        <v>1.26</v>
      </c>
      <c r="I240" s="614">
        <v>1.45</v>
      </c>
      <c r="J240" s="32">
        <v>216</v>
      </c>
      <c r="K240" s="32" t="s">
        <v>317</v>
      </c>
      <c r="L240" s="32"/>
      <c r="M240" s="33" t="s">
        <v>318</v>
      </c>
      <c r="N240" s="33"/>
      <c r="O240" s="32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4"/>
      <c r="V240" s="34"/>
      <c r="W240" s="35" t="s">
        <v>67</v>
      </c>
      <c r="X240" s="615">
        <v>5</v>
      </c>
      <c r="Y240" s="616">
        <f>IFERROR(IF(X240="",0,CEILING((X240/$H240),1)*$H240),"")</f>
        <v>5.04</v>
      </c>
      <c r="Z240" s="36">
        <f>IFERROR(IF(Y240=0,"",ROUNDUP(Y240/H240,0)*0.0059),"")</f>
        <v>2.3599999999999999E-2</v>
      </c>
      <c r="AA240" s="56"/>
      <c r="AB240" s="57"/>
      <c r="AC240" s="305" t="s">
        <v>410</v>
      </c>
      <c r="AG240" s="64"/>
      <c r="AJ240" s="68"/>
      <c r="AK240" s="68">
        <v>0</v>
      </c>
      <c r="BB240" s="306" t="s">
        <v>1</v>
      </c>
      <c r="BM240" s="64">
        <f>IFERROR(X240*I240/H240,"0")</f>
        <v>5.753968253968254</v>
      </c>
      <c r="BN240" s="64">
        <f>IFERROR(Y240*I240/H240,"0")</f>
        <v>5.8</v>
      </c>
      <c r="BO240" s="64">
        <f>IFERROR(1/J240*(X240/H240),"0")</f>
        <v>1.8371546149323927E-2</v>
      </c>
      <c r="BP240" s="64">
        <f>IFERROR(1/J240*(Y240/H240),"0")</f>
        <v>1.8518518518518517E-2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37" t="s">
        <v>73</v>
      </c>
      <c r="X241" s="617">
        <f>IFERROR(X238/H238,"0")+IFERROR(X239/H239,"0")+IFERROR(X240/H240,"0")</f>
        <v>3.9682539682539684</v>
      </c>
      <c r="Y241" s="617">
        <f>IFERROR(Y238/H238,"0")+IFERROR(Y239/H239,"0")+IFERROR(Y240/H240,"0")</f>
        <v>4</v>
      </c>
      <c r="Z241" s="617">
        <f>IFERROR(IF(Z238="",0,Z238),"0")+IFERROR(IF(Z239="",0,Z239),"0")+IFERROR(IF(Z240="",0,Z240),"0")</f>
        <v>2.3599999999999999E-2</v>
      </c>
      <c r="AA241" s="618"/>
      <c r="AB241" s="618"/>
      <c r="AC241" s="618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37" t="s">
        <v>67</v>
      </c>
      <c r="X242" s="617">
        <f>IFERROR(SUM(X238:X240),"0")</f>
        <v>5</v>
      </c>
      <c r="Y242" s="617">
        <f>IFERROR(SUM(Y238:Y240),"0")</f>
        <v>5.04</v>
      </c>
      <c r="Z242" s="37"/>
      <c r="AA242" s="618"/>
      <c r="AB242" s="618"/>
      <c r="AC242" s="618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11"/>
      <c r="AB243" s="611"/>
      <c r="AC243" s="611"/>
    </row>
    <row r="244" spans="1:68" ht="27" customHeight="1" x14ac:dyDescent="0.25">
      <c r="A244" s="54" t="s">
        <v>414</v>
      </c>
      <c r="B244" s="54" t="s">
        <v>415</v>
      </c>
      <c r="C244" s="31">
        <v>4301170013</v>
      </c>
      <c r="D244" s="619">
        <v>4680115886797</v>
      </c>
      <c r="E244" s="620"/>
      <c r="F244" s="614">
        <v>7.0000000000000007E-2</v>
      </c>
      <c r="G244" s="32">
        <v>18</v>
      </c>
      <c r="H244" s="614">
        <v>1.26</v>
      </c>
      <c r="I244" s="614">
        <v>1.45</v>
      </c>
      <c r="J244" s="32">
        <v>216</v>
      </c>
      <c r="K244" s="32" t="s">
        <v>317</v>
      </c>
      <c r="L244" s="32"/>
      <c r="M244" s="33" t="s">
        <v>318</v>
      </c>
      <c r="N244" s="33"/>
      <c r="O244" s="32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4"/>
      <c r="V244" s="34"/>
      <c r="W244" s="35" t="s">
        <v>67</v>
      </c>
      <c r="X244" s="615">
        <v>2</v>
      </c>
      <c r="Y244" s="616">
        <f>IFERROR(IF(X244="",0,CEILING((X244/$H244),1)*$H244),"")</f>
        <v>2.52</v>
      </c>
      <c r="Z244" s="36">
        <f>IFERROR(IF(Y244=0,"",ROUNDUP(Y244/H244,0)*0.0059),"")</f>
        <v>1.18E-2</v>
      </c>
      <c r="AA244" s="56"/>
      <c r="AB244" s="57"/>
      <c r="AC244" s="307" t="s">
        <v>410</v>
      </c>
      <c r="AG244" s="64"/>
      <c r="AJ244" s="68"/>
      <c r="AK244" s="68">
        <v>0</v>
      </c>
      <c r="BB244" s="308" t="s">
        <v>1</v>
      </c>
      <c r="BM244" s="64">
        <f>IFERROR(X244*I244/H244,"0")</f>
        <v>2.3015873015873014</v>
      </c>
      <c r="BN244" s="64">
        <f>IFERROR(Y244*I244/H244,"0")</f>
        <v>2.9</v>
      </c>
      <c r="BO244" s="64">
        <f>IFERROR(1/J244*(X244/H244),"0")</f>
        <v>7.3486184597295699E-3</v>
      </c>
      <c r="BP244" s="64">
        <f>IFERROR(1/J244*(Y244/H244),"0")</f>
        <v>9.2592592592592587E-3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37" t="s">
        <v>73</v>
      </c>
      <c r="X245" s="617">
        <f>IFERROR(X244/H244,"0")</f>
        <v>1.5873015873015872</v>
      </c>
      <c r="Y245" s="617">
        <f>IFERROR(Y244/H244,"0")</f>
        <v>2</v>
      </c>
      <c r="Z245" s="617">
        <f>IFERROR(IF(Z244="",0,Z244),"0")</f>
        <v>1.18E-2</v>
      </c>
      <c r="AA245" s="618"/>
      <c r="AB245" s="618"/>
      <c r="AC245" s="618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37" t="s">
        <v>67</v>
      </c>
      <c r="X246" s="617">
        <f>IFERROR(SUM(X244:X244),"0")</f>
        <v>2</v>
      </c>
      <c r="Y246" s="617">
        <f>IFERROR(SUM(Y244:Y244),"0")</f>
        <v>2.52</v>
      </c>
      <c r="Z246" s="37"/>
      <c r="AA246" s="618"/>
      <c r="AB246" s="618"/>
      <c r="AC246" s="618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10"/>
      <c r="AB247" s="610"/>
      <c r="AC247" s="610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11"/>
      <c r="AB248" s="611"/>
      <c r="AC248" s="611"/>
    </row>
    <row r="249" spans="1:68" ht="27" customHeight="1" x14ac:dyDescent="0.25">
      <c r="A249" s="54" t="s">
        <v>417</v>
      </c>
      <c r="B249" s="54" t="s">
        <v>418</v>
      </c>
      <c r="C249" s="31">
        <v>4301011450</v>
      </c>
      <c r="D249" s="619">
        <v>4680115881402</v>
      </c>
      <c r="E249" s="620"/>
      <c r="F249" s="614">
        <v>1.35</v>
      </c>
      <c r="G249" s="32">
        <v>8</v>
      </c>
      <c r="H249" s="614">
        <v>10.8</v>
      </c>
      <c r="I249" s="614">
        <v>11.21</v>
      </c>
      <c r="J249" s="32">
        <v>64</v>
      </c>
      <c r="K249" s="32" t="s">
        <v>120</v>
      </c>
      <c r="L249" s="32"/>
      <c r="M249" s="33" t="s">
        <v>121</v>
      </c>
      <c r="N249" s="33"/>
      <c r="O249" s="32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4"/>
      <c r="V249" s="34"/>
      <c r="W249" s="35" t="s">
        <v>67</v>
      </c>
      <c r="X249" s="615">
        <v>0</v>
      </c>
      <c r="Y249" s="616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419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420</v>
      </c>
      <c r="B250" s="54" t="s">
        <v>421</v>
      </c>
      <c r="C250" s="31">
        <v>4301011768</v>
      </c>
      <c r="D250" s="619">
        <v>4680115881396</v>
      </c>
      <c r="E250" s="620"/>
      <c r="F250" s="614">
        <v>0.45</v>
      </c>
      <c r="G250" s="32">
        <v>6</v>
      </c>
      <c r="H250" s="614">
        <v>2.7</v>
      </c>
      <c r="I250" s="614">
        <v>2.88</v>
      </c>
      <c r="J250" s="32">
        <v>182</v>
      </c>
      <c r="K250" s="32" t="s">
        <v>77</v>
      </c>
      <c r="L250" s="32"/>
      <c r="M250" s="33" t="s">
        <v>121</v>
      </c>
      <c r="N250" s="33"/>
      <c r="O250" s="32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4"/>
      <c r="V250" s="34"/>
      <c r="W250" s="35" t="s">
        <v>67</v>
      </c>
      <c r="X250" s="615">
        <v>0</v>
      </c>
      <c r="Y250" s="616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419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37" t="s">
        <v>73</v>
      </c>
      <c r="X251" s="617">
        <f>IFERROR(X249/H249,"0")+IFERROR(X250/H250,"0")</f>
        <v>0</v>
      </c>
      <c r="Y251" s="617">
        <f>IFERROR(Y249/H249,"0")+IFERROR(Y250/H250,"0")</f>
        <v>0</v>
      </c>
      <c r="Z251" s="617">
        <f>IFERROR(IF(Z249="",0,Z249),"0")+IFERROR(IF(Z250="",0,Z250),"0")</f>
        <v>0</v>
      </c>
      <c r="AA251" s="618"/>
      <c r="AB251" s="618"/>
      <c r="AC251" s="618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37" t="s">
        <v>67</v>
      </c>
      <c r="X252" s="617">
        <f>IFERROR(SUM(X249:X250),"0")</f>
        <v>0</v>
      </c>
      <c r="Y252" s="617">
        <f>IFERROR(SUM(Y249:Y250),"0")</f>
        <v>0</v>
      </c>
      <c r="Z252" s="37"/>
      <c r="AA252" s="618"/>
      <c r="AB252" s="618"/>
      <c r="AC252" s="618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11"/>
      <c r="AB253" s="611"/>
      <c r="AC253" s="611"/>
    </row>
    <row r="254" spans="1:68" ht="16.5" customHeight="1" x14ac:dyDescent="0.25">
      <c r="A254" s="54" t="s">
        <v>422</v>
      </c>
      <c r="B254" s="54" t="s">
        <v>423</v>
      </c>
      <c r="C254" s="31">
        <v>4301020261</v>
      </c>
      <c r="D254" s="619">
        <v>4680115882935</v>
      </c>
      <c r="E254" s="620"/>
      <c r="F254" s="614">
        <v>1.35</v>
      </c>
      <c r="G254" s="32">
        <v>8</v>
      </c>
      <c r="H254" s="614">
        <v>10.8</v>
      </c>
      <c r="I254" s="614">
        <v>11.21</v>
      </c>
      <c r="J254" s="32">
        <v>64</v>
      </c>
      <c r="K254" s="32" t="s">
        <v>120</v>
      </c>
      <c r="L254" s="32"/>
      <c r="M254" s="33" t="s">
        <v>121</v>
      </c>
      <c r="N254" s="33"/>
      <c r="O254" s="32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4"/>
      <c r="V254" s="34"/>
      <c r="W254" s="35" t="s">
        <v>67</v>
      </c>
      <c r="X254" s="615">
        <v>0</v>
      </c>
      <c r="Y254" s="616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424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customHeight="1" x14ac:dyDescent="0.25">
      <c r="A255" s="54" t="s">
        <v>425</v>
      </c>
      <c r="B255" s="54" t="s">
        <v>426</v>
      </c>
      <c r="C255" s="31">
        <v>4301020220</v>
      </c>
      <c r="D255" s="619">
        <v>4680115880764</v>
      </c>
      <c r="E255" s="620"/>
      <c r="F255" s="614">
        <v>0.35</v>
      </c>
      <c r="G255" s="32">
        <v>6</v>
      </c>
      <c r="H255" s="614">
        <v>2.1</v>
      </c>
      <c r="I255" s="614">
        <v>2.2799999999999998</v>
      </c>
      <c r="J255" s="32">
        <v>182</v>
      </c>
      <c r="K255" s="32" t="s">
        <v>77</v>
      </c>
      <c r="L255" s="32"/>
      <c r="M255" s="33" t="s">
        <v>121</v>
      </c>
      <c r="N255" s="33"/>
      <c r="O255" s="32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4"/>
      <c r="V255" s="34"/>
      <c r="W255" s="35" t="s">
        <v>67</v>
      </c>
      <c r="X255" s="615">
        <v>0</v>
      </c>
      <c r="Y255" s="616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424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37" t="s">
        <v>73</v>
      </c>
      <c r="X256" s="617">
        <f>IFERROR(X254/H254,"0")+IFERROR(X255/H255,"0")</f>
        <v>0</v>
      </c>
      <c r="Y256" s="617">
        <f>IFERROR(Y254/H254,"0")+IFERROR(Y255/H255,"0")</f>
        <v>0</v>
      </c>
      <c r="Z256" s="617">
        <f>IFERROR(IF(Z254="",0,Z254),"0")+IFERROR(IF(Z255="",0,Z255),"0")</f>
        <v>0</v>
      </c>
      <c r="AA256" s="618"/>
      <c r="AB256" s="618"/>
      <c r="AC256" s="618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37" t="s">
        <v>67</v>
      </c>
      <c r="X257" s="617">
        <f>IFERROR(SUM(X254:X255),"0")</f>
        <v>0</v>
      </c>
      <c r="Y257" s="617">
        <f>IFERROR(SUM(Y254:Y255),"0")</f>
        <v>0</v>
      </c>
      <c r="Z257" s="37"/>
      <c r="AA257" s="618"/>
      <c r="AB257" s="618"/>
      <c r="AC257" s="618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11"/>
      <c r="AB258" s="611"/>
      <c r="AC258" s="611"/>
    </row>
    <row r="259" spans="1:68" ht="27" customHeight="1" x14ac:dyDescent="0.25">
      <c r="A259" s="54" t="s">
        <v>427</v>
      </c>
      <c r="B259" s="54" t="s">
        <v>428</v>
      </c>
      <c r="C259" s="31">
        <v>4301031224</v>
      </c>
      <c r="D259" s="619">
        <v>4680115882683</v>
      </c>
      <c r="E259" s="620"/>
      <c r="F259" s="614">
        <v>0.9</v>
      </c>
      <c r="G259" s="32">
        <v>6</v>
      </c>
      <c r="H259" s="614">
        <v>5.4</v>
      </c>
      <c r="I259" s="614">
        <v>5.59</v>
      </c>
      <c r="J259" s="32">
        <v>132</v>
      </c>
      <c r="K259" s="32" t="s">
        <v>129</v>
      </c>
      <c r="L259" s="32"/>
      <c r="M259" s="33" t="s">
        <v>66</v>
      </c>
      <c r="N259" s="33"/>
      <c r="O259" s="32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4"/>
      <c r="V259" s="34"/>
      <c r="W259" s="35" t="s">
        <v>67</v>
      </c>
      <c r="X259" s="615">
        <v>0</v>
      </c>
      <c r="Y259" s="616">
        <f t="shared" ref="Y259:Y266" si="27"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17" t="s">
        <v>429</v>
      </c>
      <c r="AG259" s="64"/>
      <c r="AJ259" s="68"/>
      <c r="AK259" s="68">
        <v>0</v>
      </c>
      <c r="BB259" s="318" t="s">
        <v>1</v>
      </c>
      <c r="BM259" s="64">
        <f t="shared" ref="BM259:BM266" si="28">IFERROR(X259*I259/H259,"0")</f>
        <v>0</v>
      </c>
      <c r="BN259" s="64">
        <f t="shared" ref="BN259:BN266" si="29">IFERROR(Y259*I259/H259,"0")</f>
        <v>0</v>
      </c>
      <c r="BO259" s="64">
        <f t="shared" ref="BO259:BO266" si="30">IFERROR(1/J259*(X259/H259),"0")</f>
        <v>0</v>
      </c>
      <c r="BP259" s="64">
        <f t="shared" ref="BP259:BP266" si="31">IFERROR(1/J259*(Y259/H259),"0")</f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4301031230</v>
      </c>
      <c r="D260" s="619">
        <v>4680115882690</v>
      </c>
      <c r="E260" s="620"/>
      <c r="F260" s="614">
        <v>0.9</v>
      </c>
      <c r="G260" s="32">
        <v>6</v>
      </c>
      <c r="H260" s="614">
        <v>5.4</v>
      </c>
      <c r="I260" s="614">
        <v>5.59</v>
      </c>
      <c r="J260" s="32">
        <v>132</v>
      </c>
      <c r="K260" s="32" t="s">
        <v>129</v>
      </c>
      <c r="L260" s="32"/>
      <c r="M260" s="33" t="s">
        <v>66</v>
      </c>
      <c r="N260" s="33"/>
      <c r="O260" s="32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4"/>
      <c r="V260" s="34"/>
      <c r="W260" s="35" t="s">
        <v>67</v>
      </c>
      <c r="X260" s="615">
        <v>75</v>
      </c>
      <c r="Y260" s="616">
        <f t="shared" si="27"/>
        <v>75.600000000000009</v>
      </c>
      <c r="Z260" s="36">
        <f>IFERROR(IF(Y260=0,"",ROUNDUP(Y260/H260,0)*0.00902),"")</f>
        <v>0.12628</v>
      </c>
      <c r="AA260" s="56"/>
      <c r="AB260" s="57"/>
      <c r="AC260" s="319" t="s">
        <v>432</v>
      </c>
      <c r="AG260" s="64"/>
      <c r="AJ260" s="68"/>
      <c r="AK260" s="68">
        <v>0</v>
      </c>
      <c r="BB260" s="320" t="s">
        <v>1</v>
      </c>
      <c r="BM260" s="64">
        <f t="shared" si="28"/>
        <v>77.638888888888886</v>
      </c>
      <c r="BN260" s="64">
        <f t="shared" si="29"/>
        <v>78.260000000000005</v>
      </c>
      <c r="BO260" s="64">
        <f t="shared" si="30"/>
        <v>0.10521885521885521</v>
      </c>
      <c r="BP260" s="64">
        <f t="shared" si="31"/>
        <v>0.10606060606060606</v>
      </c>
    </row>
    <row r="261" spans="1:68" ht="27" customHeight="1" x14ac:dyDescent="0.25">
      <c r="A261" s="54" t="s">
        <v>433</v>
      </c>
      <c r="B261" s="54" t="s">
        <v>434</v>
      </c>
      <c r="C261" s="31">
        <v>4301031220</v>
      </c>
      <c r="D261" s="619">
        <v>4680115882669</v>
      </c>
      <c r="E261" s="620"/>
      <c r="F261" s="614">
        <v>0.9</v>
      </c>
      <c r="G261" s="32">
        <v>6</v>
      </c>
      <c r="H261" s="614">
        <v>5.4</v>
      </c>
      <c r="I261" s="614">
        <v>5.59</v>
      </c>
      <c r="J261" s="32">
        <v>132</v>
      </c>
      <c r="K261" s="32" t="s">
        <v>129</v>
      </c>
      <c r="L261" s="32"/>
      <c r="M261" s="33" t="s">
        <v>66</v>
      </c>
      <c r="N261" s="33"/>
      <c r="O261" s="32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4"/>
      <c r="V261" s="34"/>
      <c r="W261" s="35" t="s">
        <v>67</v>
      </c>
      <c r="X261" s="615">
        <v>0</v>
      </c>
      <c r="Y261" s="616">
        <f t="shared" si="27"/>
        <v>0</v>
      </c>
      <c r="Z261" s="36" t="str">
        <f>IFERROR(IF(Y261=0,"",ROUNDUP(Y261/H261,0)*0.00902),"")</f>
        <v/>
      </c>
      <c r="AA261" s="56"/>
      <c r="AB261" s="57"/>
      <c r="AC261" s="321" t="s">
        <v>435</v>
      </c>
      <c r="AG261" s="64"/>
      <c r="AJ261" s="68"/>
      <c r="AK261" s="68">
        <v>0</v>
      </c>
      <c r="BB261" s="322" t="s">
        <v>1</v>
      </c>
      <c r="BM261" s="64">
        <f t="shared" si="28"/>
        <v>0</v>
      </c>
      <c r="BN261" s="64">
        <f t="shared" si="29"/>
        <v>0</v>
      </c>
      <c r="BO261" s="64">
        <f t="shared" si="30"/>
        <v>0</v>
      </c>
      <c r="BP261" s="64">
        <f t="shared" si="31"/>
        <v>0</v>
      </c>
    </row>
    <row r="262" spans="1:68" ht="27" customHeight="1" x14ac:dyDescent="0.25">
      <c r="A262" s="54" t="s">
        <v>436</v>
      </c>
      <c r="B262" s="54" t="s">
        <v>437</v>
      </c>
      <c r="C262" s="31">
        <v>4301031221</v>
      </c>
      <c r="D262" s="619">
        <v>4680115882676</v>
      </c>
      <c r="E262" s="620"/>
      <c r="F262" s="614">
        <v>0.9</v>
      </c>
      <c r="G262" s="32">
        <v>6</v>
      </c>
      <c r="H262" s="614">
        <v>5.4</v>
      </c>
      <c r="I262" s="614">
        <v>5.59</v>
      </c>
      <c r="J262" s="32">
        <v>132</v>
      </c>
      <c r="K262" s="32" t="s">
        <v>129</v>
      </c>
      <c r="L262" s="32"/>
      <c r="M262" s="33" t="s">
        <v>66</v>
      </c>
      <c r="N262" s="33"/>
      <c r="O262" s="32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4"/>
      <c r="V262" s="34"/>
      <c r="W262" s="35" t="s">
        <v>67</v>
      </c>
      <c r="X262" s="615">
        <v>207</v>
      </c>
      <c r="Y262" s="616">
        <f t="shared" si="27"/>
        <v>210.60000000000002</v>
      </c>
      <c r="Z262" s="36">
        <f>IFERROR(IF(Y262=0,"",ROUNDUP(Y262/H262,0)*0.00902),"")</f>
        <v>0.35177999999999998</v>
      </c>
      <c r="AA262" s="56"/>
      <c r="AB262" s="57"/>
      <c r="AC262" s="323" t="s">
        <v>438</v>
      </c>
      <c r="AG262" s="64"/>
      <c r="AJ262" s="68"/>
      <c r="AK262" s="68">
        <v>0</v>
      </c>
      <c r="BB262" s="324" t="s">
        <v>1</v>
      </c>
      <c r="BM262" s="64">
        <f t="shared" si="28"/>
        <v>214.2833333333333</v>
      </c>
      <c r="BN262" s="64">
        <f t="shared" si="29"/>
        <v>218.01000000000002</v>
      </c>
      <c r="BO262" s="64">
        <f t="shared" si="30"/>
        <v>0.29040404040404039</v>
      </c>
      <c r="BP262" s="64">
        <f t="shared" si="31"/>
        <v>0.29545454545454547</v>
      </c>
    </row>
    <row r="263" spans="1:68" ht="27" customHeight="1" x14ac:dyDescent="0.25">
      <c r="A263" s="54" t="s">
        <v>439</v>
      </c>
      <c r="B263" s="54" t="s">
        <v>440</v>
      </c>
      <c r="C263" s="31">
        <v>4301031223</v>
      </c>
      <c r="D263" s="619">
        <v>4680115884014</v>
      </c>
      <c r="E263" s="620"/>
      <c r="F263" s="614">
        <v>0.3</v>
      </c>
      <c r="G263" s="32">
        <v>6</v>
      </c>
      <c r="H263" s="614">
        <v>1.8</v>
      </c>
      <c r="I263" s="614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4"/>
      <c r="V263" s="34"/>
      <c r="W263" s="35" t="s">
        <v>67</v>
      </c>
      <c r="X263" s="615">
        <v>0</v>
      </c>
      <c r="Y263" s="616">
        <f t="shared" si="27"/>
        <v>0</v>
      </c>
      <c r="Z263" s="36" t="str">
        <f>IFERROR(IF(Y263=0,"",ROUNDUP(Y263/H263,0)*0.00502),"")</f>
        <v/>
      </c>
      <c r="AA263" s="56"/>
      <c r="AB263" s="57"/>
      <c r="AC263" s="325" t="s">
        <v>429</v>
      </c>
      <c r="AG263" s="64"/>
      <c r="AJ263" s="68"/>
      <c r="AK263" s="68">
        <v>0</v>
      </c>
      <c r="BB263" s="326" t="s">
        <v>1</v>
      </c>
      <c r="BM263" s="64">
        <f t="shared" si="28"/>
        <v>0</v>
      </c>
      <c r="BN263" s="64">
        <f t="shared" si="29"/>
        <v>0</v>
      </c>
      <c r="BO263" s="64">
        <f t="shared" si="30"/>
        <v>0</v>
      </c>
      <c r="BP263" s="64">
        <f t="shared" si="31"/>
        <v>0</v>
      </c>
    </row>
    <row r="264" spans="1:68" ht="27" customHeight="1" x14ac:dyDescent="0.25">
      <c r="A264" s="54" t="s">
        <v>441</v>
      </c>
      <c r="B264" s="54" t="s">
        <v>442</v>
      </c>
      <c r="C264" s="31">
        <v>4301031222</v>
      </c>
      <c r="D264" s="619">
        <v>4680115884007</v>
      </c>
      <c r="E264" s="620"/>
      <c r="F264" s="614">
        <v>0.3</v>
      </c>
      <c r="G264" s="32">
        <v>6</v>
      </c>
      <c r="H264" s="614">
        <v>1.8</v>
      </c>
      <c r="I264" s="614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4"/>
      <c r="V264" s="34"/>
      <c r="W264" s="35" t="s">
        <v>67</v>
      </c>
      <c r="X264" s="615">
        <v>0</v>
      </c>
      <c r="Y264" s="616">
        <f t="shared" si="27"/>
        <v>0</v>
      </c>
      <c r="Z264" s="36" t="str">
        <f>IFERROR(IF(Y264=0,"",ROUNDUP(Y264/H264,0)*0.00502),"")</f>
        <v/>
      </c>
      <c r="AA264" s="56"/>
      <c r="AB264" s="57"/>
      <c r="AC264" s="327" t="s">
        <v>432</v>
      </c>
      <c r="AG264" s="64"/>
      <c r="AJ264" s="68"/>
      <c r="AK264" s="68">
        <v>0</v>
      </c>
      <c r="BB264" s="328" t="s">
        <v>1</v>
      </c>
      <c r="BM264" s="64">
        <f t="shared" si="28"/>
        <v>0</v>
      </c>
      <c r="BN264" s="64">
        <f t="shared" si="29"/>
        <v>0</v>
      </c>
      <c r="BO264" s="64">
        <f t="shared" si="30"/>
        <v>0</v>
      </c>
      <c r="BP264" s="64">
        <f t="shared" si="31"/>
        <v>0</v>
      </c>
    </row>
    <row r="265" spans="1:68" ht="27" customHeight="1" x14ac:dyDescent="0.25">
      <c r="A265" s="54" t="s">
        <v>443</v>
      </c>
      <c r="B265" s="54" t="s">
        <v>444</v>
      </c>
      <c r="C265" s="31">
        <v>4301031229</v>
      </c>
      <c r="D265" s="619">
        <v>4680115884038</v>
      </c>
      <c r="E265" s="620"/>
      <c r="F265" s="614">
        <v>0.3</v>
      </c>
      <c r="G265" s="32">
        <v>6</v>
      </c>
      <c r="H265" s="614">
        <v>1.8</v>
      </c>
      <c r="I265" s="614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4"/>
      <c r="V265" s="34"/>
      <c r="W265" s="35" t="s">
        <v>67</v>
      </c>
      <c r="X265" s="615">
        <v>0</v>
      </c>
      <c r="Y265" s="616">
        <f t="shared" si="27"/>
        <v>0</v>
      </c>
      <c r="Z265" s="36" t="str">
        <f>IFERROR(IF(Y265=0,"",ROUNDUP(Y265/H265,0)*0.00502),"")</f>
        <v/>
      </c>
      <c r="AA265" s="56"/>
      <c r="AB265" s="57"/>
      <c r="AC265" s="329" t="s">
        <v>435</v>
      </c>
      <c r="AG265" s="64"/>
      <c r="AJ265" s="68"/>
      <c r="AK265" s="68">
        <v>0</v>
      </c>
      <c r="BB265" s="330" t="s">
        <v>1</v>
      </c>
      <c r="BM265" s="64">
        <f t="shared" si="28"/>
        <v>0</v>
      </c>
      <c r="BN265" s="64">
        <f t="shared" si="29"/>
        <v>0</v>
      </c>
      <c r="BO265" s="64">
        <f t="shared" si="30"/>
        <v>0</v>
      </c>
      <c r="BP265" s="64">
        <f t="shared" si="31"/>
        <v>0</v>
      </c>
    </row>
    <row r="266" spans="1:68" ht="27" customHeight="1" x14ac:dyDescent="0.25">
      <c r="A266" s="54" t="s">
        <v>445</v>
      </c>
      <c r="B266" s="54" t="s">
        <v>446</v>
      </c>
      <c r="C266" s="31">
        <v>4301031225</v>
      </c>
      <c r="D266" s="619">
        <v>4680115884021</v>
      </c>
      <c r="E266" s="620"/>
      <c r="F266" s="614">
        <v>0.3</v>
      </c>
      <c r="G266" s="32">
        <v>6</v>
      </c>
      <c r="H266" s="614">
        <v>1.8</v>
      </c>
      <c r="I266" s="614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4"/>
      <c r="V266" s="34"/>
      <c r="W266" s="35" t="s">
        <v>67</v>
      </c>
      <c r="X266" s="615">
        <v>0</v>
      </c>
      <c r="Y266" s="616">
        <f t="shared" si="27"/>
        <v>0</v>
      </c>
      <c r="Z266" s="36" t="str">
        <f>IFERROR(IF(Y266=0,"",ROUNDUP(Y266/H266,0)*0.00502),"")</f>
        <v/>
      </c>
      <c r="AA266" s="56"/>
      <c r="AB266" s="57"/>
      <c r="AC266" s="331" t="s">
        <v>438</v>
      </c>
      <c r="AG266" s="64"/>
      <c r="AJ266" s="68"/>
      <c r="AK266" s="68">
        <v>0</v>
      </c>
      <c r="BB266" s="332" t="s">
        <v>1</v>
      </c>
      <c r="BM266" s="64">
        <f t="shared" si="28"/>
        <v>0</v>
      </c>
      <c r="BN266" s="64">
        <f t="shared" si="29"/>
        <v>0</v>
      </c>
      <c r="BO266" s="64">
        <f t="shared" si="30"/>
        <v>0</v>
      </c>
      <c r="BP266" s="64">
        <f t="shared" si="31"/>
        <v>0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37" t="s">
        <v>73</v>
      </c>
      <c r="X267" s="617">
        <f>IFERROR(X259/H259,"0")+IFERROR(X260/H260,"0")+IFERROR(X261/H261,"0")+IFERROR(X262/H262,"0")+IFERROR(X263/H263,"0")+IFERROR(X264/H264,"0")+IFERROR(X265/H265,"0")+IFERROR(X266/H266,"0")</f>
        <v>52.222222222222214</v>
      </c>
      <c r="Y267" s="617">
        <f>IFERROR(Y259/H259,"0")+IFERROR(Y260/H260,"0")+IFERROR(Y261/H261,"0")+IFERROR(Y262/H262,"0")+IFERROR(Y263/H263,"0")+IFERROR(Y264/H264,"0")+IFERROR(Y265/H265,"0")+IFERROR(Y266/H266,"0")</f>
        <v>53</v>
      </c>
      <c r="Z267" s="617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0.47805999999999998</v>
      </c>
      <c r="AA267" s="618"/>
      <c r="AB267" s="618"/>
      <c r="AC267" s="618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37" t="s">
        <v>67</v>
      </c>
      <c r="X268" s="617">
        <f>IFERROR(SUM(X259:X266),"0")</f>
        <v>282</v>
      </c>
      <c r="Y268" s="617">
        <f>IFERROR(SUM(Y259:Y266),"0")</f>
        <v>286.20000000000005</v>
      </c>
      <c r="Z268" s="37"/>
      <c r="AA268" s="618"/>
      <c r="AB268" s="618"/>
      <c r="AC268" s="618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11"/>
      <c r="AB269" s="611"/>
      <c r="AC269" s="611"/>
    </row>
    <row r="270" spans="1:68" ht="27" customHeight="1" x14ac:dyDescent="0.25">
      <c r="A270" s="54" t="s">
        <v>447</v>
      </c>
      <c r="B270" s="54" t="s">
        <v>448</v>
      </c>
      <c r="C270" s="31">
        <v>4301051408</v>
      </c>
      <c r="D270" s="619">
        <v>4680115881594</v>
      </c>
      <c r="E270" s="620"/>
      <c r="F270" s="614">
        <v>1.35</v>
      </c>
      <c r="G270" s="32">
        <v>6</v>
      </c>
      <c r="H270" s="614">
        <v>8.1</v>
      </c>
      <c r="I270" s="614">
        <v>8.5939999999999994</v>
      </c>
      <c r="J270" s="32">
        <v>64</v>
      </c>
      <c r="K270" s="32" t="s">
        <v>120</v>
      </c>
      <c r="L270" s="32"/>
      <c r="M270" s="33" t="s">
        <v>78</v>
      </c>
      <c r="N270" s="33"/>
      <c r="O270" s="32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4"/>
      <c r="V270" s="34"/>
      <c r="W270" s="35" t="s">
        <v>67</v>
      </c>
      <c r="X270" s="615">
        <v>0</v>
      </c>
      <c r="Y270" s="616">
        <f t="shared" ref="Y270:Y281" si="32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449</v>
      </c>
      <c r="AG270" s="64"/>
      <c r="AJ270" s="68"/>
      <c r="AK270" s="68">
        <v>0</v>
      </c>
      <c r="BB270" s="334" t="s">
        <v>1</v>
      </c>
      <c r="BM270" s="64">
        <f t="shared" ref="BM270:BM281" si="33">IFERROR(X270*I270/H270,"0")</f>
        <v>0</v>
      </c>
      <c r="BN270" s="64">
        <f t="shared" ref="BN270:BN281" si="34">IFERROR(Y270*I270/H270,"0")</f>
        <v>0</v>
      </c>
      <c r="BO270" s="64">
        <f t="shared" ref="BO270:BO281" si="35">IFERROR(1/J270*(X270/H270),"0")</f>
        <v>0</v>
      </c>
      <c r="BP270" s="64">
        <f t="shared" ref="BP270:BP281" si="36">IFERROR(1/J270*(Y270/H270),"0")</f>
        <v>0</v>
      </c>
    </row>
    <row r="271" spans="1:68" ht="27" customHeight="1" x14ac:dyDescent="0.25">
      <c r="A271" s="54" t="s">
        <v>450</v>
      </c>
      <c r="B271" s="54" t="s">
        <v>451</v>
      </c>
      <c r="C271" s="31">
        <v>4301051411</v>
      </c>
      <c r="D271" s="619">
        <v>4680115881617</v>
      </c>
      <c r="E271" s="620"/>
      <c r="F271" s="614">
        <v>1.35</v>
      </c>
      <c r="G271" s="32">
        <v>6</v>
      </c>
      <c r="H271" s="614">
        <v>8.1</v>
      </c>
      <c r="I271" s="614">
        <v>8.5760000000000005</v>
      </c>
      <c r="J271" s="32">
        <v>64</v>
      </c>
      <c r="K271" s="32" t="s">
        <v>120</v>
      </c>
      <c r="L271" s="32"/>
      <c r="M271" s="33" t="s">
        <v>78</v>
      </c>
      <c r="N271" s="33"/>
      <c r="O271" s="32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4"/>
      <c r="V271" s="34"/>
      <c r="W271" s="35" t="s">
        <v>67</v>
      </c>
      <c r="X271" s="615">
        <v>40</v>
      </c>
      <c r="Y271" s="616">
        <f t="shared" si="32"/>
        <v>40.5</v>
      </c>
      <c r="Z271" s="36">
        <f>IFERROR(IF(Y271=0,"",ROUNDUP(Y271/H271,0)*0.01898),"")</f>
        <v>9.4899999999999998E-2</v>
      </c>
      <c r="AA271" s="56"/>
      <c r="AB271" s="57"/>
      <c r="AC271" s="335" t="s">
        <v>452</v>
      </c>
      <c r="AG271" s="64"/>
      <c r="AJ271" s="68"/>
      <c r="AK271" s="68">
        <v>0</v>
      </c>
      <c r="BB271" s="336" t="s">
        <v>1</v>
      </c>
      <c r="BM271" s="64">
        <f t="shared" si="33"/>
        <v>42.350617283950619</v>
      </c>
      <c r="BN271" s="64">
        <f t="shared" si="34"/>
        <v>42.88</v>
      </c>
      <c r="BO271" s="64">
        <f t="shared" si="35"/>
        <v>7.7160493827160503E-2</v>
      </c>
      <c r="BP271" s="64">
        <f t="shared" si="36"/>
        <v>7.8125E-2</v>
      </c>
    </row>
    <row r="272" spans="1:68" ht="27" customHeight="1" x14ac:dyDescent="0.25">
      <c r="A272" s="54" t="s">
        <v>453</v>
      </c>
      <c r="B272" s="54" t="s">
        <v>454</v>
      </c>
      <c r="C272" s="31">
        <v>4301051656</v>
      </c>
      <c r="D272" s="619">
        <v>4680115880573</v>
      </c>
      <c r="E272" s="620"/>
      <c r="F272" s="614">
        <v>1.45</v>
      </c>
      <c r="G272" s="32">
        <v>6</v>
      </c>
      <c r="H272" s="614">
        <v>8.6999999999999993</v>
      </c>
      <c r="I272" s="614">
        <v>9.1940000000000008</v>
      </c>
      <c r="J272" s="32">
        <v>64</v>
      </c>
      <c r="K272" s="32" t="s">
        <v>120</v>
      </c>
      <c r="L272" s="32"/>
      <c r="M272" s="33" t="s">
        <v>78</v>
      </c>
      <c r="N272" s="33"/>
      <c r="O272" s="32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4"/>
      <c r="V272" s="34"/>
      <c r="W272" s="35" t="s">
        <v>67</v>
      </c>
      <c r="X272" s="615">
        <v>0</v>
      </c>
      <c r="Y272" s="616">
        <f t="shared" si="32"/>
        <v>0</v>
      </c>
      <c r="Z272" s="36" t="str">
        <f>IFERROR(IF(Y272=0,"",ROUNDUP(Y272/H272,0)*0.01898),"")</f>
        <v/>
      </c>
      <c r="AA272" s="56"/>
      <c r="AB272" s="57"/>
      <c r="AC272" s="337" t="s">
        <v>455</v>
      </c>
      <c r="AG272" s="64"/>
      <c r="AJ272" s="68"/>
      <c r="AK272" s="68">
        <v>0</v>
      </c>
      <c r="BB272" s="338" t="s">
        <v>1</v>
      </c>
      <c r="BM272" s="64">
        <f t="shared" si="33"/>
        <v>0</v>
      </c>
      <c r="BN272" s="64">
        <f t="shared" si="34"/>
        <v>0</v>
      </c>
      <c r="BO272" s="64">
        <f t="shared" si="35"/>
        <v>0</v>
      </c>
      <c r="BP272" s="64">
        <f t="shared" si="36"/>
        <v>0</v>
      </c>
    </row>
    <row r="273" spans="1:68" ht="27" customHeight="1" x14ac:dyDescent="0.25">
      <c r="A273" s="54" t="s">
        <v>456</v>
      </c>
      <c r="B273" s="54" t="s">
        <v>457</v>
      </c>
      <c r="C273" s="31">
        <v>4301051407</v>
      </c>
      <c r="D273" s="619">
        <v>4680115882195</v>
      </c>
      <c r="E273" s="620"/>
      <c r="F273" s="614">
        <v>0.4</v>
      </c>
      <c r="G273" s="32">
        <v>6</v>
      </c>
      <c r="H273" s="614">
        <v>2.4</v>
      </c>
      <c r="I273" s="614">
        <v>2.67</v>
      </c>
      <c r="J273" s="32">
        <v>182</v>
      </c>
      <c r="K273" s="32" t="s">
        <v>77</v>
      </c>
      <c r="L273" s="32"/>
      <c r="M273" s="33" t="s">
        <v>78</v>
      </c>
      <c r="N273" s="33"/>
      <c r="O273" s="32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4"/>
      <c r="V273" s="34"/>
      <c r="W273" s="35" t="s">
        <v>67</v>
      </c>
      <c r="X273" s="615">
        <v>0</v>
      </c>
      <c r="Y273" s="616">
        <f t="shared" si="32"/>
        <v>0</v>
      </c>
      <c r="Z273" s="36" t="str">
        <f>IFERROR(IF(Y273=0,"",ROUNDUP(Y273/H273,0)*0.00651),"")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33"/>
        <v>0</v>
      </c>
      <c r="BN273" s="64">
        <f t="shared" si="34"/>
        <v>0</v>
      </c>
      <c r="BO273" s="64">
        <f t="shared" si="35"/>
        <v>0</v>
      </c>
      <c r="BP273" s="64">
        <f t="shared" si="36"/>
        <v>0</v>
      </c>
    </row>
    <row r="274" spans="1:68" ht="27" customHeight="1" x14ac:dyDescent="0.25">
      <c r="A274" s="54" t="s">
        <v>458</v>
      </c>
      <c r="B274" s="54" t="s">
        <v>459</v>
      </c>
      <c r="C274" s="31">
        <v>4301051752</v>
      </c>
      <c r="D274" s="619">
        <v>4680115882607</v>
      </c>
      <c r="E274" s="620"/>
      <c r="F274" s="614">
        <v>0.3</v>
      </c>
      <c r="G274" s="32">
        <v>6</v>
      </c>
      <c r="H274" s="614">
        <v>1.8</v>
      </c>
      <c r="I274" s="614">
        <v>2.052</v>
      </c>
      <c r="J274" s="32">
        <v>182</v>
      </c>
      <c r="K274" s="32" t="s">
        <v>77</v>
      </c>
      <c r="L274" s="32"/>
      <c r="M274" s="33" t="s">
        <v>84</v>
      </c>
      <c r="N274" s="33"/>
      <c r="O274" s="32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4"/>
      <c r="V274" s="34"/>
      <c r="W274" s="35" t="s">
        <v>67</v>
      </c>
      <c r="X274" s="615">
        <v>0</v>
      </c>
      <c r="Y274" s="616">
        <f t="shared" si="32"/>
        <v>0</v>
      </c>
      <c r="Z274" s="36" t="str">
        <f>IFERROR(IF(Y274=0,"",ROUNDUP(Y274/H274,0)*0.00651),"")</f>
        <v/>
      </c>
      <c r="AA274" s="56"/>
      <c r="AB274" s="57"/>
      <c r="AC274" s="341" t="s">
        <v>455</v>
      </c>
      <c r="AG274" s="64"/>
      <c r="AJ274" s="68"/>
      <c r="AK274" s="68">
        <v>0</v>
      </c>
      <c r="BB274" s="342" t="s">
        <v>1</v>
      </c>
      <c r="BM274" s="64">
        <f t="shared" si="33"/>
        <v>0</v>
      </c>
      <c r="BN274" s="64">
        <f t="shared" si="34"/>
        <v>0</v>
      </c>
      <c r="BO274" s="64">
        <f t="shared" si="35"/>
        <v>0</v>
      </c>
      <c r="BP274" s="64">
        <f t="shared" si="36"/>
        <v>0</v>
      </c>
    </row>
    <row r="275" spans="1:68" ht="27" customHeight="1" x14ac:dyDescent="0.25">
      <c r="A275" s="54" t="s">
        <v>460</v>
      </c>
      <c r="B275" s="54" t="s">
        <v>461</v>
      </c>
      <c r="C275" s="31">
        <v>4301052143</v>
      </c>
      <c r="D275" s="619">
        <v>4680115882607</v>
      </c>
      <c r="E275" s="620"/>
      <c r="F275" s="614">
        <v>0.3</v>
      </c>
      <c r="G275" s="32">
        <v>6</v>
      </c>
      <c r="H275" s="614">
        <v>1.8</v>
      </c>
      <c r="I275" s="614">
        <v>2.0619999999999998</v>
      </c>
      <c r="J275" s="32">
        <v>132</v>
      </c>
      <c r="K275" s="32" t="s">
        <v>129</v>
      </c>
      <c r="L275" s="32"/>
      <c r="M275" s="33" t="s">
        <v>78</v>
      </c>
      <c r="N275" s="33"/>
      <c r="O275" s="32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4"/>
      <c r="V275" s="34"/>
      <c r="W275" s="35" t="s">
        <v>67</v>
      </c>
      <c r="X275" s="615">
        <v>0</v>
      </c>
      <c r="Y275" s="616">
        <f t="shared" si="32"/>
        <v>0</v>
      </c>
      <c r="Z275" s="36" t="str">
        <f>IFERROR(IF(Y275=0,"",ROUNDUP(Y275/H275,0)*0.00902),"")</f>
        <v/>
      </c>
      <c r="AA275" s="56"/>
      <c r="AB275" s="57"/>
      <c r="AC275" s="343" t="s">
        <v>462</v>
      </c>
      <c r="AG275" s="64"/>
      <c r="AJ275" s="68"/>
      <c r="AK275" s="68">
        <v>0</v>
      </c>
      <c r="BB275" s="344" t="s">
        <v>1</v>
      </c>
      <c r="BM275" s="64">
        <f t="shared" si="33"/>
        <v>0</v>
      </c>
      <c r="BN275" s="64">
        <f t="shared" si="34"/>
        <v>0</v>
      </c>
      <c r="BO275" s="64">
        <f t="shared" si="35"/>
        <v>0</v>
      </c>
      <c r="BP275" s="64">
        <f t="shared" si="36"/>
        <v>0</v>
      </c>
    </row>
    <row r="276" spans="1:68" ht="27" customHeight="1" x14ac:dyDescent="0.25">
      <c r="A276" s="54" t="s">
        <v>463</v>
      </c>
      <c r="B276" s="54" t="s">
        <v>464</v>
      </c>
      <c r="C276" s="31">
        <v>4301051666</v>
      </c>
      <c r="D276" s="619">
        <v>4680115880092</v>
      </c>
      <c r="E276" s="620"/>
      <c r="F276" s="614">
        <v>0.4</v>
      </c>
      <c r="G276" s="32">
        <v>6</v>
      </c>
      <c r="H276" s="614">
        <v>2.4</v>
      </c>
      <c r="I276" s="614">
        <v>2.6520000000000001</v>
      </c>
      <c r="J276" s="32">
        <v>182</v>
      </c>
      <c r="K276" s="32" t="s">
        <v>77</v>
      </c>
      <c r="L276" s="32"/>
      <c r="M276" s="33" t="s">
        <v>78</v>
      </c>
      <c r="N276" s="33"/>
      <c r="O276" s="32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4"/>
      <c r="V276" s="34"/>
      <c r="W276" s="35" t="s">
        <v>67</v>
      </c>
      <c r="X276" s="615">
        <v>370</v>
      </c>
      <c r="Y276" s="616">
        <f t="shared" si="32"/>
        <v>372</v>
      </c>
      <c r="Z276" s="36">
        <f>IFERROR(IF(Y276=0,"",ROUNDUP(Y276/H276,0)*0.00651),"")</f>
        <v>1.00905</v>
      </c>
      <c r="AA276" s="56"/>
      <c r="AB276" s="57"/>
      <c r="AC276" s="345" t="s">
        <v>455</v>
      </c>
      <c r="AG276" s="64"/>
      <c r="AJ276" s="68"/>
      <c r="AK276" s="68">
        <v>0</v>
      </c>
      <c r="BB276" s="346" t="s">
        <v>1</v>
      </c>
      <c r="BM276" s="64">
        <f t="shared" si="33"/>
        <v>408.85</v>
      </c>
      <c r="BN276" s="64">
        <f t="shared" si="34"/>
        <v>411.06000000000006</v>
      </c>
      <c r="BO276" s="64">
        <f t="shared" si="35"/>
        <v>0.84706959706959728</v>
      </c>
      <c r="BP276" s="64">
        <f t="shared" si="36"/>
        <v>0.85164835164835173</v>
      </c>
    </row>
    <row r="277" spans="1:68" ht="27" customHeight="1" x14ac:dyDescent="0.25">
      <c r="A277" s="54" t="s">
        <v>465</v>
      </c>
      <c r="B277" s="54" t="s">
        <v>466</v>
      </c>
      <c r="C277" s="31">
        <v>4301052214</v>
      </c>
      <c r="D277" s="619">
        <v>4680115889064</v>
      </c>
      <c r="E277" s="620"/>
      <c r="F277" s="614">
        <v>0.7</v>
      </c>
      <c r="G277" s="32">
        <v>6</v>
      </c>
      <c r="H277" s="614">
        <v>4.2</v>
      </c>
      <c r="I277" s="614">
        <v>4.6159999999999997</v>
      </c>
      <c r="J277" s="32">
        <v>104</v>
      </c>
      <c r="K277" s="32" t="s">
        <v>120</v>
      </c>
      <c r="L277" s="32"/>
      <c r="M277" s="33" t="s">
        <v>78</v>
      </c>
      <c r="N277" s="33"/>
      <c r="O277" s="32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4"/>
      <c r="V277" s="34"/>
      <c r="W277" s="35" t="s">
        <v>67</v>
      </c>
      <c r="X277" s="615">
        <v>0</v>
      </c>
      <c r="Y277" s="616">
        <f t="shared" si="32"/>
        <v>0</v>
      </c>
      <c r="Z277" s="36" t="str">
        <f>IFERROR(IF(Y277=0,"",ROUNDUP(Y277/H277,0)*0.01196),"")</f>
        <v/>
      </c>
      <c r="AA277" s="56"/>
      <c r="AB277" s="57"/>
      <c r="AC277" s="347" t="s">
        <v>462</v>
      </c>
      <c r="AG277" s="64"/>
      <c r="AJ277" s="68"/>
      <c r="AK277" s="68">
        <v>0</v>
      </c>
      <c r="BB277" s="348" t="s">
        <v>1</v>
      </c>
      <c r="BM277" s="64">
        <f t="shared" si="33"/>
        <v>0</v>
      </c>
      <c r="BN277" s="64">
        <f t="shared" si="34"/>
        <v>0</v>
      </c>
      <c r="BO277" s="64">
        <f t="shared" si="35"/>
        <v>0</v>
      </c>
      <c r="BP277" s="64">
        <f t="shared" si="36"/>
        <v>0</v>
      </c>
    </row>
    <row r="278" spans="1:68" ht="27" customHeight="1" x14ac:dyDescent="0.25">
      <c r="A278" s="54" t="s">
        <v>467</v>
      </c>
      <c r="B278" s="54" t="s">
        <v>468</v>
      </c>
      <c r="C278" s="31">
        <v>4301051668</v>
      </c>
      <c r="D278" s="619">
        <v>4680115880221</v>
      </c>
      <c r="E278" s="620"/>
      <c r="F278" s="614">
        <v>0.4</v>
      </c>
      <c r="G278" s="32">
        <v>6</v>
      </c>
      <c r="H278" s="614">
        <v>2.4</v>
      </c>
      <c r="I278" s="614">
        <v>2.6520000000000001</v>
      </c>
      <c r="J278" s="32">
        <v>182</v>
      </c>
      <c r="K278" s="32" t="s">
        <v>77</v>
      </c>
      <c r="L278" s="32"/>
      <c r="M278" s="33" t="s">
        <v>78</v>
      </c>
      <c r="N278" s="33"/>
      <c r="O278" s="32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4"/>
      <c r="V278" s="34"/>
      <c r="W278" s="35" t="s">
        <v>67</v>
      </c>
      <c r="X278" s="615">
        <v>114</v>
      </c>
      <c r="Y278" s="616">
        <f t="shared" si="32"/>
        <v>115.19999999999999</v>
      </c>
      <c r="Z278" s="36">
        <f>IFERROR(IF(Y278=0,"",ROUNDUP(Y278/H278,0)*0.00651),"")</f>
        <v>0.31247999999999998</v>
      </c>
      <c r="AA278" s="56"/>
      <c r="AB278" s="57"/>
      <c r="AC278" s="349" t="s">
        <v>455</v>
      </c>
      <c r="AG278" s="64"/>
      <c r="AJ278" s="68"/>
      <c r="AK278" s="68">
        <v>0</v>
      </c>
      <c r="BB278" s="350" t="s">
        <v>1</v>
      </c>
      <c r="BM278" s="64">
        <f t="shared" si="33"/>
        <v>125.97000000000001</v>
      </c>
      <c r="BN278" s="64">
        <f t="shared" si="34"/>
        <v>127.29600000000001</v>
      </c>
      <c r="BO278" s="64">
        <f t="shared" si="35"/>
        <v>0.26098901098901101</v>
      </c>
      <c r="BP278" s="64">
        <f t="shared" si="36"/>
        <v>0.26373626373626374</v>
      </c>
    </row>
    <row r="279" spans="1:68" ht="27" customHeight="1" x14ac:dyDescent="0.25">
      <c r="A279" s="54" t="s">
        <v>469</v>
      </c>
      <c r="B279" s="54" t="s">
        <v>470</v>
      </c>
      <c r="C279" s="31">
        <v>4301051945</v>
      </c>
      <c r="D279" s="619">
        <v>4680115880504</v>
      </c>
      <c r="E279" s="620"/>
      <c r="F279" s="614">
        <v>0.4</v>
      </c>
      <c r="G279" s="32">
        <v>6</v>
      </c>
      <c r="H279" s="614">
        <v>2.4</v>
      </c>
      <c r="I279" s="614">
        <v>2.6520000000000001</v>
      </c>
      <c r="J279" s="32">
        <v>182</v>
      </c>
      <c r="K279" s="32" t="s">
        <v>77</v>
      </c>
      <c r="L279" s="32"/>
      <c r="M279" s="33" t="s">
        <v>84</v>
      </c>
      <c r="N279" s="33"/>
      <c r="O279" s="32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4"/>
      <c r="V279" s="34"/>
      <c r="W279" s="35" t="s">
        <v>67</v>
      </c>
      <c r="X279" s="615">
        <v>0</v>
      </c>
      <c r="Y279" s="616">
        <f t="shared" si="32"/>
        <v>0</v>
      </c>
      <c r="Z279" s="36" t="str">
        <f>IFERROR(IF(Y279=0,"",ROUNDUP(Y279/H279,0)*0.00651),"")</f>
        <v/>
      </c>
      <c r="AA279" s="56"/>
      <c r="AB279" s="57"/>
      <c r="AC279" s="351" t="s">
        <v>471</v>
      </c>
      <c r="AG279" s="64"/>
      <c r="AJ279" s="68"/>
      <c r="AK279" s="68">
        <v>0</v>
      </c>
      <c r="BB279" s="352" t="s">
        <v>1</v>
      </c>
      <c r="BM279" s="64">
        <f t="shared" si="33"/>
        <v>0</v>
      </c>
      <c r="BN279" s="64">
        <f t="shared" si="34"/>
        <v>0</v>
      </c>
      <c r="BO279" s="64">
        <f t="shared" si="35"/>
        <v>0</v>
      </c>
      <c r="BP279" s="64">
        <f t="shared" si="36"/>
        <v>0</v>
      </c>
    </row>
    <row r="280" spans="1:68" ht="27" customHeight="1" x14ac:dyDescent="0.25">
      <c r="A280" s="54" t="s">
        <v>472</v>
      </c>
      <c r="B280" s="54" t="s">
        <v>473</v>
      </c>
      <c r="C280" s="31">
        <v>4301051410</v>
      </c>
      <c r="D280" s="619">
        <v>4680115882164</v>
      </c>
      <c r="E280" s="620"/>
      <c r="F280" s="614">
        <v>0.4</v>
      </c>
      <c r="G280" s="32">
        <v>6</v>
      </c>
      <c r="H280" s="614">
        <v>2.4</v>
      </c>
      <c r="I280" s="614">
        <v>2.6579999999999999</v>
      </c>
      <c r="J280" s="32">
        <v>182</v>
      </c>
      <c r="K280" s="32" t="s">
        <v>77</v>
      </c>
      <c r="L280" s="32"/>
      <c r="M280" s="33" t="s">
        <v>78</v>
      </c>
      <c r="N280" s="33"/>
      <c r="O280" s="32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4"/>
      <c r="V280" s="34"/>
      <c r="W280" s="35" t="s">
        <v>67</v>
      </c>
      <c r="X280" s="615">
        <v>42</v>
      </c>
      <c r="Y280" s="616">
        <f t="shared" si="32"/>
        <v>43.199999999999996</v>
      </c>
      <c r="Z280" s="36">
        <f>IFERROR(IF(Y280=0,"",ROUNDUP(Y280/H280,0)*0.00651),"")</f>
        <v>0.11718000000000001</v>
      </c>
      <c r="AA280" s="56"/>
      <c r="AB280" s="57"/>
      <c r="AC280" s="353" t="s">
        <v>474</v>
      </c>
      <c r="AG280" s="64"/>
      <c r="AJ280" s="68"/>
      <c r="AK280" s="68">
        <v>0</v>
      </c>
      <c r="BB280" s="354" t="s">
        <v>1</v>
      </c>
      <c r="BM280" s="64">
        <f t="shared" si="33"/>
        <v>46.515000000000001</v>
      </c>
      <c r="BN280" s="64">
        <f t="shared" si="34"/>
        <v>47.843999999999994</v>
      </c>
      <c r="BO280" s="64">
        <f t="shared" si="35"/>
        <v>9.6153846153846159E-2</v>
      </c>
      <c r="BP280" s="64">
        <f t="shared" si="36"/>
        <v>9.8901098901098911E-2</v>
      </c>
    </row>
    <row r="281" spans="1:68" ht="27" customHeight="1" x14ac:dyDescent="0.25">
      <c r="A281" s="54" t="s">
        <v>475</v>
      </c>
      <c r="B281" s="54" t="s">
        <v>476</v>
      </c>
      <c r="C281" s="31">
        <v>4301052180</v>
      </c>
      <c r="D281" s="619">
        <v>4680115888340</v>
      </c>
      <c r="E281" s="620"/>
      <c r="F281" s="614">
        <v>0.4</v>
      </c>
      <c r="G281" s="32">
        <v>6</v>
      </c>
      <c r="H281" s="614">
        <v>2.4</v>
      </c>
      <c r="I281" s="614">
        <v>2.6520000000000001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4"/>
      <c r="V281" s="34"/>
      <c r="W281" s="35" t="s">
        <v>67</v>
      </c>
      <c r="X281" s="615">
        <v>0</v>
      </c>
      <c r="Y281" s="616">
        <f t="shared" si="32"/>
        <v>0</v>
      </c>
      <c r="Z281" s="36" t="str">
        <f>IFERROR(IF(Y281=0,"",ROUNDUP(Y281/H281,0)*0.00651),"")</f>
        <v/>
      </c>
      <c r="AA281" s="56"/>
      <c r="AB281" s="57"/>
      <c r="AC281" s="355" t="s">
        <v>477</v>
      </c>
      <c r="AG281" s="64"/>
      <c r="AJ281" s="68"/>
      <c r="AK281" s="68">
        <v>0</v>
      </c>
      <c r="BB281" s="356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37" t="s">
        <v>73</v>
      </c>
      <c r="X282" s="617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224.10493827160496</v>
      </c>
      <c r="Y282" s="617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226</v>
      </c>
      <c r="Z282" s="617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1.5336100000000001</v>
      </c>
      <c r="AA282" s="618"/>
      <c r="AB282" s="618"/>
      <c r="AC282" s="618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37" t="s">
        <v>67</v>
      </c>
      <c r="X283" s="617">
        <f>IFERROR(SUM(X270:X281),"0")</f>
        <v>566</v>
      </c>
      <c r="Y283" s="617">
        <f>IFERROR(SUM(Y270:Y281),"0")</f>
        <v>570.90000000000009</v>
      </c>
      <c r="Z283" s="37"/>
      <c r="AA283" s="618"/>
      <c r="AB283" s="618"/>
      <c r="AC283" s="618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11"/>
      <c r="AB284" s="611"/>
      <c r="AC284" s="611"/>
    </row>
    <row r="285" spans="1:68" ht="27" customHeight="1" x14ac:dyDescent="0.25">
      <c r="A285" s="54" t="s">
        <v>478</v>
      </c>
      <c r="B285" s="54" t="s">
        <v>479</v>
      </c>
      <c r="C285" s="31">
        <v>4301060463</v>
      </c>
      <c r="D285" s="619">
        <v>4680115880818</v>
      </c>
      <c r="E285" s="620"/>
      <c r="F285" s="614">
        <v>0.4</v>
      </c>
      <c r="G285" s="32">
        <v>6</v>
      </c>
      <c r="H285" s="614">
        <v>2.4</v>
      </c>
      <c r="I285" s="614">
        <v>2.6520000000000001</v>
      </c>
      <c r="J285" s="32">
        <v>182</v>
      </c>
      <c r="K285" s="32" t="s">
        <v>77</v>
      </c>
      <c r="L285" s="32"/>
      <c r="M285" s="33" t="s">
        <v>84</v>
      </c>
      <c r="N285" s="33"/>
      <c r="O285" s="32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4"/>
      <c r="V285" s="34"/>
      <c r="W285" s="35" t="s">
        <v>67</v>
      </c>
      <c r="X285" s="615">
        <v>0</v>
      </c>
      <c r="Y285" s="616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480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481</v>
      </c>
      <c r="B286" s="54" t="s">
        <v>482</v>
      </c>
      <c r="C286" s="31">
        <v>4301060389</v>
      </c>
      <c r="D286" s="619">
        <v>4680115880801</v>
      </c>
      <c r="E286" s="620"/>
      <c r="F286" s="614">
        <v>0.4</v>
      </c>
      <c r="G286" s="32">
        <v>6</v>
      </c>
      <c r="H286" s="614">
        <v>2.4</v>
      </c>
      <c r="I286" s="614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4"/>
      <c r="V286" s="34"/>
      <c r="W286" s="35" t="s">
        <v>67</v>
      </c>
      <c r="X286" s="615">
        <v>12</v>
      </c>
      <c r="Y286" s="616">
        <f>IFERROR(IF(X286="",0,CEILING((X286/$H286),1)*$H286),"")</f>
        <v>12</v>
      </c>
      <c r="Z286" s="36">
        <f>IFERROR(IF(Y286=0,"",ROUNDUP(Y286/H286,0)*0.00651),"")</f>
        <v>3.2550000000000003E-2</v>
      </c>
      <c r="AA286" s="56"/>
      <c r="AB286" s="57"/>
      <c r="AC286" s="359" t="s">
        <v>483</v>
      </c>
      <c r="AG286" s="64"/>
      <c r="AJ286" s="68"/>
      <c r="AK286" s="68">
        <v>0</v>
      </c>
      <c r="BB286" s="360" t="s">
        <v>1</v>
      </c>
      <c r="BM286" s="64">
        <f>IFERROR(X286*I286/H286,"0")</f>
        <v>13.260000000000002</v>
      </c>
      <c r="BN286" s="64">
        <f>IFERROR(Y286*I286/H286,"0")</f>
        <v>13.260000000000002</v>
      </c>
      <c r="BO286" s="64">
        <f>IFERROR(1/J286*(X286/H286),"0")</f>
        <v>2.7472527472527476E-2</v>
      </c>
      <c r="BP286" s="64">
        <f>IFERROR(1/J286*(Y286/H286),"0")</f>
        <v>2.7472527472527476E-2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37" t="s">
        <v>73</v>
      </c>
      <c r="X287" s="617">
        <f>IFERROR(X285/H285,"0")+IFERROR(X286/H286,"0")</f>
        <v>5</v>
      </c>
      <c r="Y287" s="617">
        <f>IFERROR(Y285/H285,"0")+IFERROR(Y286/H286,"0")</f>
        <v>5</v>
      </c>
      <c r="Z287" s="617">
        <f>IFERROR(IF(Z285="",0,Z285),"0")+IFERROR(IF(Z286="",0,Z286),"0")</f>
        <v>3.2550000000000003E-2</v>
      </c>
      <c r="AA287" s="618"/>
      <c r="AB287" s="618"/>
      <c r="AC287" s="618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37" t="s">
        <v>67</v>
      </c>
      <c r="X288" s="617">
        <f>IFERROR(SUM(X285:X286),"0")</f>
        <v>12</v>
      </c>
      <c r="Y288" s="617">
        <f>IFERROR(SUM(Y285:Y286),"0")</f>
        <v>12</v>
      </c>
      <c r="Z288" s="37"/>
      <c r="AA288" s="618"/>
      <c r="AB288" s="618"/>
      <c r="AC288" s="618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10"/>
      <c r="AB289" s="610"/>
      <c r="AC289" s="610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11"/>
      <c r="AB290" s="611"/>
      <c r="AC290" s="611"/>
    </row>
    <row r="291" spans="1:68" ht="27" customHeight="1" x14ac:dyDescent="0.25">
      <c r="A291" s="54" t="s">
        <v>485</v>
      </c>
      <c r="B291" s="54" t="s">
        <v>486</v>
      </c>
      <c r="C291" s="31">
        <v>4301011826</v>
      </c>
      <c r="D291" s="619">
        <v>4680115884137</v>
      </c>
      <c r="E291" s="620"/>
      <c r="F291" s="614">
        <v>1.45</v>
      </c>
      <c r="G291" s="32">
        <v>8</v>
      </c>
      <c r="H291" s="614">
        <v>11.6</v>
      </c>
      <c r="I291" s="614">
        <v>12.01</v>
      </c>
      <c r="J291" s="32">
        <v>64</v>
      </c>
      <c r="K291" s="32" t="s">
        <v>120</v>
      </c>
      <c r="L291" s="32"/>
      <c r="M291" s="33" t="s">
        <v>121</v>
      </c>
      <c r="N291" s="33"/>
      <c r="O291" s="32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4"/>
      <c r="V291" s="34"/>
      <c r="W291" s="35" t="s">
        <v>67</v>
      </c>
      <c r="X291" s="615">
        <v>0</v>
      </c>
      <c r="Y291" s="616">
        <f t="shared" ref="Y291:Y297" si="37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487</v>
      </c>
      <c r="AG291" s="64"/>
      <c r="AJ291" s="68"/>
      <c r="AK291" s="68">
        <v>0</v>
      </c>
      <c r="BB291" s="362" t="s">
        <v>1</v>
      </c>
      <c r="BM291" s="64">
        <f t="shared" ref="BM291:BM297" si="38">IFERROR(X291*I291/H291,"0")</f>
        <v>0</v>
      </c>
      <c r="BN291" s="64">
        <f t="shared" ref="BN291:BN297" si="39">IFERROR(Y291*I291/H291,"0")</f>
        <v>0</v>
      </c>
      <c r="BO291" s="64">
        <f t="shared" ref="BO291:BO297" si="40">IFERROR(1/J291*(X291/H291),"0")</f>
        <v>0</v>
      </c>
      <c r="BP291" s="64">
        <f t="shared" ref="BP291:BP297" si="41">IFERROR(1/J291*(Y291/H291),"0")</f>
        <v>0</v>
      </c>
    </row>
    <row r="292" spans="1:68" ht="27" customHeight="1" x14ac:dyDescent="0.25">
      <c r="A292" s="54" t="s">
        <v>488</v>
      </c>
      <c r="B292" s="54" t="s">
        <v>489</v>
      </c>
      <c r="C292" s="31">
        <v>4301011724</v>
      </c>
      <c r="D292" s="619">
        <v>4680115884236</v>
      </c>
      <c r="E292" s="620"/>
      <c r="F292" s="614">
        <v>1.45</v>
      </c>
      <c r="G292" s="32">
        <v>8</v>
      </c>
      <c r="H292" s="614">
        <v>11.6</v>
      </c>
      <c r="I292" s="614">
        <v>12.01</v>
      </c>
      <c r="J292" s="32">
        <v>64</v>
      </c>
      <c r="K292" s="32" t="s">
        <v>120</v>
      </c>
      <c r="L292" s="32"/>
      <c r="M292" s="33" t="s">
        <v>121</v>
      </c>
      <c r="N292" s="33"/>
      <c r="O292" s="32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4"/>
      <c r="V292" s="34"/>
      <c r="W292" s="35" t="s">
        <v>67</v>
      </c>
      <c r="X292" s="615">
        <v>0</v>
      </c>
      <c r="Y292" s="616">
        <f t="shared" si="37"/>
        <v>0</v>
      </c>
      <c r="Z292" s="36" t="str">
        <f>IFERROR(IF(Y292=0,"",ROUNDUP(Y292/H292,0)*0.01898),"")</f>
        <v/>
      </c>
      <c r="AA292" s="56"/>
      <c r="AB292" s="57"/>
      <c r="AC292" s="363" t="s">
        <v>490</v>
      </c>
      <c r="AG292" s="64"/>
      <c r="AJ292" s="68"/>
      <c r="AK292" s="68">
        <v>0</v>
      </c>
      <c r="BB292" s="364" t="s">
        <v>1</v>
      </c>
      <c r="BM292" s="64">
        <f t="shared" si="38"/>
        <v>0</v>
      </c>
      <c r="BN292" s="64">
        <f t="shared" si="39"/>
        <v>0</v>
      </c>
      <c r="BO292" s="64">
        <f t="shared" si="40"/>
        <v>0</v>
      </c>
      <c r="BP292" s="64">
        <f t="shared" si="41"/>
        <v>0</v>
      </c>
    </row>
    <row r="293" spans="1:68" ht="27" customHeight="1" x14ac:dyDescent="0.25">
      <c r="A293" s="54" t="s">
        <v>491</v>
      </c>
      <c r="B293" s="54" t="s">
        <v>492</v>
      </c>
      <c r="C293" s="31">
        <v>4301011721</v>
      </c>
      <c r="D293" s="619">
        <v>4680115884175</v>
      </c>
      <c r="E293" s="620"/>
      <c r="F293" s="614">
        <v>1.45</v>
      </c>
      <c r="G293" s="32">
        <v>8</v>
      </c>
      <c r="H293" s="614">
        <v>11.6</v>
      </c>
      <c r="I293" s="614">
        <v>12.01</v>
      </c>
      <c r="J293" s="32">
        <v>64</v>
      </c>
      <c r="K293" s="32" t="s">
        <v>120</v>
      </c>
      <c r="L293" s="32"/>
      <c r="M293" s="33" t="s">
        <v>121</v>
      </c>
      <c r="N293" s="33"/>
      <c r="O293" s="32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4"/>
      <c r="V293" s="34"/>
      <c r="W293" s="35" t="s">
        <v>67</v>
      </c>
      <c r="X293" s="615">
        <v>0</v>
      </c>
      <c r="Y293" s="616">
        <f t="shared" si="37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38"/>
        <v>0</v>
      </c>
      <c r="BN293" s="64">
        <f t="shared" si="39"/>
        <v>0</v>
      </c>
      <c r="BO293" s="64">
        <f t="shared" si="40"/>
        <v>0</v>
      </c>
      <c r="BP293" s="64">
        <f t="shared" si="41"/>
        <v>0</v>
      </c>
    </row>
    <row r="294" spans="1:68" ht="27" customHeight="1" x14ac:dyDescent="0.25">
      <c r="A294" s="54" t="s">
        <v>493</v>
      </c>
      <c r="B294" s="54" t="s">
        <v>494</v>
      </c>
      <c r="C294" s="31">
        <v>4301011824</v>
      </c>
      <c r="D294" s="619">
        <v>4680115884144</v>
      </c>
      <c r="E294" s="620"/>
      <c r="F294" s="614">
        <v>0.4</v>
      </c>
      <c r="G294" s="32">
        <v>10</v>
      </c>
      <c r="H294" s="614">
        <v>4</v>
      </c>
      <c r="I294" s="614">
        <v>4.1900000000000004</v>
      </c>
      <c r="J294" s="32">
        <v>132</v>
      </c>
      <c r="K294" s="32" t="s">
        <v>129</v>
      </c>
      <c r="L294" s="32"/>
      <c r="M294" s="33" t="s">
        <v>121</v>
      </c>
      <c r="N294" s="33"/>
      <c r="O294" s="32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4"/>
      <c r="V294" s="34"/>
      <c r="W294" s="35" t="s">
        <v>67</v>
      </c>
      <c r="X294" s="615">
        <v>0</v>
      </c>
      <c r="Y294" s="616">
        <f t="shared" si="37"/>
        <v>0</v>
      </c>
      <c r="Z294" s="36" t="str">
        <f>IFERROR(IF(Y294=0,"",ROUNDUP(Y294/H294,0)*0.00902),"")</f>
        <v/>
      </c>
      <c r="AA294" s="56"/>
      <c r="AB294" s="57"/>
      <c r="AC294" s="367" t="s">
        <v>487</v>
      </c>
      <c r="AG294" s="64"/>
      <c r="AJ294" s="68"/>
      <c r="AK294" s="68">
        <v>0</v>
      </c>
      <c r="BB294" s="368" t="s">
        <v>1</v>
      </c>
      <c r="BM294" s="64">
        <f t="shared" si="38"/>
        <v>0</v>
      </c>
      <c r="BN294" s="64">
        <f t="shared" si="39"/>
        <v>0</v>
      </c>
      <c r="BO294" s="64">
        <f t="shared" si="40"/>
        <v>0</v>
      </c>
      <c r="BP294" s="64">
        <f t="shared" si="41"/>
        <v>0</v>
      </c>
    </row>
    <row r="295" spans="1:68" ht="27" customHeight="1" x14ac:dyDescent="0.25">
      <c r="A295" s="54" t="s">
        <v>495</v>
      </c>
      <c r="B295" s="54" t="s">
        <v>496</v>
      </c>
      <c r="C295" s="31">
        <v>4301012149</v>
      </c>
      <c r="D295" s="619">
        <v>4680115886551</v>
      </c>
      <c r="E295" s="620"/>
      <c r="F295" s="614">
        <v>0.4</v>
      </c>
      <c r="G295" s="32">
        <v>10</v>
      </c>
      <c r="H295" s="614">
        <v>4</v>
      </c>
      <c r="I295" s="614">
        <v>4.1900000000000004</v>
      </c>
      <c r="J295" s="32">
        <v>132</v>
      </c>
      <c r="K295" s="32" t="s">
        <v>129</v>
      </c>
      <c r="L295" s="32"/>
      <c r="M295" s="33" t="s">
        <v>121</v>
      </c>
      <c r="N295" s="33"/>
      <c r="O295" s="32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4"/>
      <c r="V295" s="34"/>
      <c r="W295" s="35" t="s">
        <v>67</v>
      </c>
      <c r="X295" s="615">
        <v>0</v>
      </c>
      <c r="Y295" s="616">
        <f t="shared" si="37"/>
        <v>0</v>
      </c>
      <c r="Z295" s="36" t="str">
        <f>IFERROR(IF(Y295=0,"",ROUNDUP(Y295/H295,0)*0.00902),"")</f>
        <v/>
      </c>
      <c r="AA295" s="56"/>
      <c r="AB295" s="57"/>
      <c r="AC295" s="369" t="s">
        <v>497</v>
      </c>
      <c r="AG295" s="64"/>
      <c r="AJ295" s="68"/>
      <c r="AK295" s="68">
        <v>0</v>
      </c>
      <c r="BB295" s="370" t="s">
        <v>1</v>
      </c>
      <c r="BM295" s="64">
        <f t="shared" si="38"/>
        <v>0</v>
      </c>
      <c r="BN295" s="64">
        <f t="shared" si="39"/>
        <v>0</v>
      </c>
      <c r="BO295" s="64">
        <f t="shared" si="40"/>
        <v>0</v>
      </c>
      <c r="BP295" s="64">
        <f t="shared" si="41"/>
        <v>0</v>
      </c>
    </row>
    <row r="296" spans="1:68" ht="27" customHeight="1" x14ac:dyDescent="0.25">
      <c r="A296" s="54" t="s">
        <v>498</v>
      </c>
      <c r="B296" s="54" t="s">
        <v>499</v>
      </c>
      <c r="C296" s="31">
        <v>4301012228</v>
      </c>
      <c r="D296" s="619">
        <v>4680115887282</v>
      </c>
      <c r="E296" s="620"/>
      <c r="F296" s="614">
        <v>0.4</v>
      </c>
      <c r="G296" s="32">
        <v>6</v>
      </c>
      <c r="H296" s="614">
        <v>2.4</v>
      </c>
      <c r="I296" s="614">
        <v>2.58</v>
      </c>
      <c r="J296" s="32">
        <v>182</v>
      </c>
      <c r="K296" s="32" t="s">
        <v>77</v>
      </c>
      <c r="L296" s="32"/>
      <c r="M296" s="33" t="s">
        <v>121</v>
      </c>
      <c r="N296" s="33"/>
      <c r="O296" s="32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4"/>
      <c r="V296" s="34"/>
      <c r="W296" s="35" t="s">
        <v>67</v>
      </c>
      <c r="X296" s="615">
        <v>0</v>
      </c>
      <c r="Y296" s="616">
        <f t="shared" si="37"/>
        <v>0</v>
      </c>
      <c r="Z296" s="36" t="str">
        <f>IFERROR(IF(Y296=0,"",ROUNDUP(Y296/H296,0)*0.00651),"")</f>
        <v/>
      </c>
      <c r="AA296" s="56"/>
      <c r="AB296" s="57"/>
      <c r="AC296" s="371" t="s">
        <v>500</v>
      </c>
      <c r="AG296" s="64"/>
      <c r="AJ296" s="68"/>
      <c r="AK296" s="68">
        <v>0</v>
      </c>
      <c r="BB296" s="372" t="s">
        <v>1</v>
      </c>
      <c r="BM296" s="64">
        <f t="shared" si="38"/>
        <v>0</v>
      </c>
      <c r="BN296" s="64">
        <f t="shared" si="39"/>
        <v>0</v>
      </c>
      <c r="BO296" s="64">
        <f t="shared" si="40"/>
        <v>0</v>
      </c>
      <c r="BP296" s="64">
        <f t="shared" si="41"/>
        <v>0</v>
      </c>
    </row>
    <row r="297" spans="1:68" ht="27" customHeight="1" x14ac:dyDescent="0.25">
      <c r="A297" s="54" t="s">
        <v>501</v>
      </c>
      <c r="B297" s="54" t="s">
        <v>502</v>
      </c>
      <c r="C297" s="31">
        <v>4301011722</v>
      </c>
      <c r="D297" s="619">
        <v>4680115884205</v>
      </c>
      <c r="E297" s="620"/>
      <c r="F297" s="614">
        <v>0.4</v>
      </c>
      <c r="G297" s="32">
        <v>10</v>
      </c>
      <c r="H297" s="614">
        <v>4</v>
      </c>
      <c r="I297" s="614">
        <v>4.1900000000000004</v>
      </c>
      <c r="J297" s="32">
        <v>132</v>
      </c>
      <c r="K297" s="32" t="s">
        <v>129</v>
      </c>
      <c r="L297" s="32"/>
      <c r="M297" s="33" t="s">
        <v>121</v>
      </c>
      <c r="N297" s="33"/>
      <c r="O297" s="32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4"/>
      <c r="V297" s="34"/>
      <c r="W297" s="35" t="s">
        <v>67</v>
      </c>
      <c r="X297" s="615">
        <v>0</v>
      </c>
      <c r="Y297" s="616">
        <f t="shared" si="37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38"/>
        <v>0</v>
      </c>
      <c r="BN297" s="64">
        <f t="shared" si="39"/>
        <v>0</v>
      </c>
      <c r="BO297" s="64">
        <f t="shared" si="40"/>
        <v>0</v>
      </c>
      <c r="BP297" s="64">
        <f t="shared" si="41"/>
        <v>0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37" t="s">
        <v>73</v>
      </c>
      <c r="X298" s="617">
        <f>IFERROR(X291/H291,"0")+IFERROR(X292/H292,"0")+IFERROR(X293/H293,"0")+IFERROR(X294/H294,"0")+IFERROR(X295/H295,"0")+IFERROR(X296/H296,"0")+IFERROR(X297/H297,"0")</f>
        <v>0</v>
      </c>
      <c r="Y298" s="617">
        <f>IFERROR(Y291/H291,"0")+IFERROR(Y292/H292,"0")+IFERROR(Y293/H293,"0")+IFERROR(Y294/H294,"0")+IFERROR(Y295/H295,"0")+IFERROR(Y296/H296,"0")+IFERROR(Y297/H297,"0")</f>
        <v>0</v>
      </c>
      <c r="Z298" s="617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18"/>
      <c r="AB298" s="618"/>
      <c r="AC298" s="618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37" t="s">
        <v>67</v>
      </c>
      <c r="X299" s="617">
        <f>IFERROR(SUM(X291:X297),"0")</f>
        <v>0</v>
      </c>
      <c r="Y299" s="617">
        <f>IFERROR(SUM(Y291:Y297),"0")</f>
        <v>0</v>
      </c>
      <c r="Z299" s="37"/>
      <c r="AA299" s="618"/>
      <c r="AB299" s="618"/>
      <c r="AC299" s="618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11"/>
      <c r="AB300" s="611"/>
      <c r="AC300" s="611"/>
    </row>
    <row r="301" spans="1:68" ht="27" customHeight="1" x14ac:dyDescent="0.25">
      <c r="A301" s="54" t="s">
        <v>503</v>
      </c>
      <c r="B301" s="54" t="s">
        <v>504</v>
      </c>
      <c r="C301" s="31">
        <v>4301020377</v>
      </c>
      <c r="D301" s="619">
        <v>4680115885981</v>
      </c>
      <c r="E301" s="620"/>
      <c r="F301" s="614">
        <v>0.33</v>
      </c>
      <c r="G301" s="32">
        <v>6</v>
      </c>
      <c r="H301" s="614">
        <v>1.98</v>
      </c>
      <c r="I301" s="614">
        <v>2.08</v>
      </c>
      <c r="J301" s="32">
        <v>234</v>
      </c>
      <c r="K301" s="32" t="s">
        <v>65</v>
      </c>
      <c r="L301" s="32"/>
      <c r="M301" s="33" t="s">
        <v>78</v>
      </c>
      <c r="N301" s="33"/>
      <c r="O301" s="32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4"/>
      <c r="V301" s="34"/>
      <c r="W301" s="35" t="s">
        <v>67</v>
      </c>
      <c r="X301" s="615">
        <v>0</v>
      </c>
      <c r="Y301" s="616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505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37" t="s">
        <v>73</v>
      </c>
      <c r="X302" s="617">
        <f>IFERROR(X301/H301,"0")</f>
        <v>0</v>
      </c>
      <c r="Y302" s="617">
        <f>IFERROR(Y301/H301,"0")</f>
        <v>0</v>
      </c>
      <c r="Z302" s="617">
        <f>IFERROR(IF(Z301="",0,Z301),"0")</f>
        <v>0</v>
      </c>
      <c r="AA302" s="618"/>
      <c r="AB302" s="618"/>
      <c r="AC302" s="618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37" t="s">
        <v>67</v>
      </c>
      <c r="X303" s="617">
        <f>IFERROR(SUM(X301:X301),"0")</f>
        <v>0</v>
      </c>
      <c r="Y303" s="617">
        <f>IFERROR(SUM(Y301:Y301),"0")</f>
        <v>0</v>
      </c>
      <c r="Z303" s="37"/>
      <c r="AA303" s="618"/>
      <c r="AB303" s="618"/>
      <c r="AC303" s="618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11"/>
      <c r="AB304" s="611"/>
      <c r="AC304" s="611"/>
    </row>
    <row r="305" spans="1:68" ht="27" customHeight="1" x14ac:dyDescent="0.25">
      <c r="A305" s="54" t="s">
        <v>507</v>
      </c>
      <c r="B305" s="54" t="s">
        <v>508</v>
      </c>
      <c r="C305" s="31">
        <v>4301040362</v>
      </c>
      <c r="D305" s="619">
        <v>4680115886803</v>
      </c>
      <c r="E305" s="620"/>
      <c r="F305" s="614">
        <v>0.12</v>
      </c>
      <c r="G305" s="32">
        <v>15</v>
      </c>
      <c r="H305" s="614">
        <v>1.8</v>
      </c>
      <c r="I305" s="614">
        <v>1.9750000000000001</v>
      </c>
      <c r="J305" s="32">
        <v>216</v>
      </c>
      <c r="K305" s="32" t="s">
        <v>317</v>
      </c>
      <c r="L305" s="32"/>
      <c r="M305" s="33" t="s">
        <v>318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4"/>
      <c r="V305" s="34"/>
      <c r="W305" s="35" t="s">
        <v>67</v>
      </c>
      <c r="X305" s="615">
        <v>0</v>
      </c>
      <c r="Y305" s="616">
        <f>IFERROR(IF(X305="",0,CEILING((X305/$H305),1)*$H305),"")</f>
        <v>0</v>
      </c>
      <c r="Z305" s="36" t="str">
        <f>IFERROR(IF(Y305=0,"",ROUNDUP(Y305/H305,0)*0.0059),"")</f>
        <v/>
      </c>
      <c r="AA305" s="56"/>
      <c r="AB305" s="57"/>
      <c r="AC305" s="377" t="s">
        <v>509</v>
      </c>
      <c r="AG305" s="64"/>
      <c r="AJ305" s="68"/>
      <c r="AK305" s="68">
        <v>0</v>
      </c>
      <c r="BB305" s="378" t="s">
        <v>1</v>
      </c>
      <c r="BM305" s="64">
        <f>IFERROR(X305*I305/H305,"0")</f>
        <v>0</v>
      </c>
      <c r="BN305" s="64">
        <f>IFERROR(Y305*I305/H305,"0")</f>
        <v>0</v>
      </c>
      <c r="BO305" s="64">
        <f>IFERROR(1/J305*(X305/H305),"0")</f>
        <v>0</v>
      </c>
      <c r="BP305" s="64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37" t="s">
        <v>73</v>
      </c>
      <c r="X306" s="617">
        <f>IFERROR(X305/H305,"0")</f>
        <v>0</v>
      </c>
      <c r="Y306" s="617">
        <f>IFERROR(Y305/H305,"0")</f>
        <v>0</v>
      </c>
      <c r="Z306" s="617">
        <f>IFERROR(IF(Z305="",0,Z305),"0")</f>
        <v>0</v>
      </c>
      <c r="AA306" s="618"/>
      <c r="AB306" s="618"/>
      <c r="AC306" s="618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37" t="s">
        <v>67</v>
      </c>
      <c r="X307" s="617">
        <f>IFERROR(SUM(X305:X305),"0")</f>
        <v>0</v>
      </c>
      <c r="Y307" s="617">
        <f>IFERROR(SUM(Y305:Y305),"0")</f>
        <v>0</v>
      </c>
      <c r="Z307" s="37"/>
      <c r="AA307" s="618"/>
      <c r="AB307" s="618"/>
      <c r="AC307" s="618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11"/>
      <c r="AB308" s="611"/>
      <c r="AC308" s="611"/>
    </row>
    <row r="309" spans="1:68" ht="27" customHeight="1" x14ac:dyDescent="0.25">
      <c r="A309" s="54" t="s">
        <v>510</v>
      </c>
      <c r="B309" s="54" t="s">
        <v>511</v>
      </c>
      <c r="C309" s="31">
        <v>4301041004</v>
      </c>
      <c r="D309" s="619">
        <v>4680115886704</v>
      </c>
      <c r="E309" s="620"/>
      <c r="F309" s="614">
        <v>5.5E-2</v>
      </c>
      <c r="G309" s="32">
        <v>18</v>
      </c>
      <c r="H309" s="614">
        <v>0.99</v>
      </c>
      <c r="I309" s="614">
        <v>1.18</v>
      </c>
      <c r="J309" s="32">
        <v>216</v>
      </c>
      <c r="K309" s="32" t="s">
        <v>317</v>
      </c>
      <c r="L309" s="32"/>
      <c r="M309" s="33" t="s">
        <v>318</v>
      </c>
      <c r="N309" s="33"/>
      <c r="O309" s="32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4"/>
      <c r="V309" s="34"/>
      <c r="W309" s="35" t="s">
        <v>67</v>
      </c>
      <c r="X309" s="615">
        <v>0</v>
      </c>
      <c r="Y309" s="616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512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513</v>
      </c>
      <c r="B310" s="54" t="s">
        <v>514</v>
      </c>
      <c r="C310" s="31">
        <v>4301041008</v>
      </c>
      <c r="D310" s="619">
        <v>4680115886681</v>
      </c>
      <c r="E310" s="620"/>
      <c r="F310" s="614">
        <v>0.12</v>
      </c>
      <c r="G310" s="32">
        <v>15</v>
      </c>
      <c r="H310" s="614">
        <v>1.8</v>
      </c>
      <c r="I310" s="614">
        <v>1.9750000000000001</v>
      </c>
      <c r="J310" s="32">
        <v>216</v>
      </c>
      <c r="K310" s="32" t="s">
        <v>317</v>
      </c>
      <c r="L310" s="32"/>
      <c r="M310" s="33" t="s">
        <v>318</v>
      </c>
      <c r="N310" s="33"/>
      <c r="O310" s="32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4"/>
      <c r="V310" s="34"/>
      <c r="W310" s="35" t="s">
        <v>67</v>
      </c>
      <c r="X310" s="615">
        <v>0</v>
      </c>
      <c r="Y310" s="616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512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515</v>
      </c>
      <c r="B311" s="54" t="s">
        <v>516</v>
      </c>
      <c r="C311" s="31">
        <v>4301041007</v>
      </c>
      <c r="D311" s="619">
        <v>4680115886735</v>
      </c>
      <c r="E311" s="620"/>
      <c r="F311" s="614">
        <v>0.05</v>
      </c>
      <c r="G311" s="32">
        <v>18</v>
      </c>
      <c r="H311" s="614">
        <v>0.9</v>
      </c>
      <c r="I311" s="614">
        <v>1.0900000000000001</v>
      </c>
      <c r="J311" s="32">
        <v>216</v>
      </c>
      <c r="K311" s="32" t="s">
        <v>317</v>
      </c>
      <c r="L311" s="32"/>
      <c r="M311" s="33" t="s">
        <v>318</v>
      </c>
      <c r="N311" s="33"/>
      <c r="O311" s="32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4"/>
      <c r="V311" s="34"/>
      <c r="W311" s="35" t="s">
        <v>67</v>
      </c>
      <c r="X311" s="615">
        <v>0</v>
      </c>
      <c r="Y311" s="61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512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37" t="s">
        <v>73</v>
      </c>
      <c r="X312" s="617">
        <f>IFERROR(X309/H309,"0")+IFERROR(X310/H310,"0")+IFERROR(X311/H311,"0")</f>
        <v>0</v>
      </c>
      <c r="Y312" s="617">
        <f>IFERROR(Y309/H309,"0")+IFERROR(Y310/H310,"0")+IFERROR(Y311/H311,"0")</f>
        <v>0</v>
      </c>
      <c r="Z312" s="617">
        <f>IFERROR(IF(Z309="",0,Z309),"0")+IFERROR(IF(Z310="",0,Z310),"0")+IFERROR(IF(Z311="",0,Z311),"0")</f>
        <v>0</v>
      </c>
      <c r="AA312" s="618"/>
      <c r="AB312" s="618"/>
      <c r="AC312" s="618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37" t="s">
        <v>67</v>
      </c>
      <c r="X313" s="617">
        <f>IFERROR(SUM(X309:X311),"0")</f>
        <v>0</v>
      </c>
      <c r="Y313" s="617">
        <f>IFERROR(SUM(Y309:Y311),"0")</f>
        <v>0</v>
      </c>
      <c r="Z313" s="37"/>
      <c r="AA313" s="618"/>
      <c r="AB313" s="618"/>
      <c r="AC313" s="618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10"/>
      <c r="AB314" s="610"/>
      <c r="AC314" s="610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11"/>
      <c r="AB315" s="611"/>
      <c r="AC315" s="611"/>
    </row>
    <row r="316" spans="1:68" ht="27" customHeight="1" x14ac:dyDescent="0.25">
      <c r="A316" s="54" t="s">
        <v>518</v>
      </c>
      <c r="B316" s="54" t="s">
        <v>519</v>
      </c>
      <c r="C316" s="31">
        <v>4301011855</v>
      </c>
      <c r="D316" s="619">
        <v>4680115885837</v>
      </c>
      <c r="E316" s="620"/>
      <c r="F316" s="614">
        <v>1.35</v>
      </c>
      <c r="G316" s="32">
        <v>8</v>
      </c>
      <c r="H316" s="614">
        <v>10.8</v>
      </c>
      <c r="I316" s="614">
        <v>11.21</v>
      </c>
      <c r="J316" s="32">
        <v>64</v>
      </c>
      <c r="K316" s="32" t="s">
        <v>120</v>
      </c>
      <c r="L316" s="32"/>
      <c r="M316" s="33" t="s">
        <v>121</v>
      </c>
      <c r="N316" s="33"/>
      <c r="O316" s="32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4"/>
      <c r="V316" s="34"/>
      <c r="W316" s="35" t="s">
        <v>67</v>
      </c>
      <c r="X316" s="615">
        <v>0</v>
      </c>
      <c r="Y316" s="61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85" t="s">
        <v>520</v>
      </c>
      <c r="AG316" s="64"/>
      <c r="AJ316" s="68"/>
      <c r="AK316" s="68">
        <v>0</v>
      </c>
      <c r="BB316" s="386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37.5" customHeight="1" x14ac:dyDescent="0.25">
      <c r="A317" s="54" t="s">
        <v>521</v>
      </c>
      <c r="B317" s="54" t="s">
        <v>522</v>
      </c>
      <c r="C317" s="31">
        <v>4301012234</v>
      </c>
      <c r="D317" s="619">
        <v>4680115887237</v>
      </c>
      <c r="E317" s="620"/>
      <c r="F317" s="614">
        <v>1.35</v>
      </c>
      <c r="G317" s="32">
        <v>8</v>
      </c>
      <c r="H317" s="614">
        <v>10.8</v>
      </c>
      <c r="I317" s="614">
        <v>11.21</v>
      </c>
      <c r="J317" s="32">
        <v>64</v>
      </c>
      <c r="K317" s="32" t="s">
        <v>120</v>
      </c>
      <c r="L317" s="32"/>
      <c r="M317" s="33" t="s">
        <v>121</v>
      </c>
      <c r="N317" s="33"/>
      <c r="O317" s="32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4"/>
      <c r="V317" s="34"/>
      <c r="W317" s="35" t="s">
        <v>67</v>
      </c>
      <c r="X317" s="615">
        <v>0</v>
      </c>
      <c r="Y317" s="61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87" t="s">
        <v>523</v>
      </c>
      <c r="AG317" s="64"/>
      <c r="AJ317" s="68"/>
      <c r="AK317" s="68">
        <v>0</v>
      </c>
      <c r="BB317" s="388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524</v>
      </c>
      <c r="B318" s="54" t="s">
        <v>525</v>
      </c>
      <c r="C318" s="31">
        <v>4301011850</v>
      </c>
      <c r="D318" s="619">
        <v>4680115885806</v>
      </c>
      <c r="E318" s="620"/>
      <c r="F318" s="614">
        <v>1.35</v>
      </c>
      <c r="G318" s="32">
        <v>8</v>
      </c>
      <c r="H318" s="614">
        <v>10.8</v>
      </c>
      <c r="I318" s="614">
        <v>11.21</v>
      </c>
      <c r="J318" s="32">
        <v>64</v>
      </c>
      <c r="K318" s="32" t="s">
        <v>120</v>
      </c>
      <c r="L318" s="32"/>
      <c r="M318" s="33" t="s">
        <v>121</v>
      </c>
      <c r="N318" s="33"/>
      <c r="O318" s="32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4"/>
      <c r="V318" s="34"/>
      <c r="W318" s="35" t="s">
        <v>67</v>
      </c>
      <c r="X318" s="615">
        <v>0</v>
      </c>
      <c r="Y318" s="61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89" t="s">
        <v>526</v>
      </c>
      <c r="AG318" s="64"/>
      <c r="AJ318" s="68"/>
      <c r="AK318" s="68">
        <v>0</v>
      </c>
      <c r="BB318" s="390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527</v>
      </c>
      <c r="B319" s="54" t="s">
        <v>528</v>
      </c>
      <c r="C319" s="31">
        <v>4301011852</v>
      </c>
      <c r="D319" s="619">
        <v>4680115885844</v>
      </c>
      <c r="E319" s="620"/>
      <c r="F319" s="614">
        <v>0.4</v>
      </c>
      <c r="G319" s="32">
        <v>10</v>
      </c>
      <c r="H319" s="614">
        <v>4</v>
      </c>
      <c r="I319" s="614">
        <v>4.1900000000000004</v>
      </c>
      <c r="J319" s="32">
        <v>132</v>
      </c>
      <c r="K319" s="32" t="s">
        <v>129</v>
      </c>
      <c r="L319" s="32"/>
      <c r="M319" s="33" t="s">
        <v>121</v>
      </c>
      <c r="N319" s="33"/>
      <c r="O319" s="32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4"/>
      <c r="V319" s="34"/>
      <c r="W319" s="35" t="s">
        <v>67</v>
      </c>
      <c r="X319" s="615">
        <v>0</v>
      </c>
      <c r="Y319" s="616">
        <f>IFERROR(IF(X319="",0,CEILING((X319/$H319),1)*$H319),"")</f>
        <v>0</v>
      </c>
      <c r="Z319" s="36" t="str">
        <f>IFERROR(IF(Y319=0,"",ROUNDUP(Y319/H319,0)*0.00902),"")</f>
        <v/>
      </c>
      <c r="AA319" s="56"/>
      <c r="AB319" s="57"/>
      <c r="AC319" s="391" t="s">
        <v>529</v>
      </c>
      <c r="AG319" s="64"/>
      <c r="AJ319" s="68"/>
      <c r="AK319" s="68">
        <v>0</v>
      </c>
      <c r="BB319" s="392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37.5" customHeight="1" x14ac:dyDescent="0.25">
      <c r="A320" s="54" t="s">
        <v>530</v>
      </c>
      <c r="B320" s="54" t="s">
        <v>531</v>
      </c>
      <c r="C320" s="31">
        <v>4301011851</v>
      </c>
      <c r="D320" s="619">
        <v>4680115885820</v>
      </c>
      <c r="E320" s="620"/>
      <c r="F320" s="614">
        <v>0.4</v>
      </c>
      <c r="G320" s="32">
        <v>10</v>
      </c>
      <c r="H320" s="614">
        <v>4</v>
      </c>
      <c r="I320" s="614">
        <v>4.1900000000000004</v>
      </c>
      <c r="J320" s="32">
        <v>132</v>
      </c>
      <c r="K320" s="32" t="s">
        <v>129</v>
      </c>
      <c r="L320" s="32"/>
      <c r="M320" s="33" t="s">
        <v>121</v>
      </c>
      <c r="N320" s="33"/>
      <c r="O320" s="32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4"/>
      <c r="V320" s="34"/>
      <c r="W320" s="35" t="s">
        <v>67</v>
      </c>
      <c r="X320" s="615">
        <v>0</v>
      </c>
      <c r="Y320" s="616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93" t="s">
        <v>532</v>
      </c>
      <c r="AG320" s="64"/>
      <c r="AJ320" s="68"/>
      <c r="AK320" s="68">
        <v>0</v>
      </c>
      <c r="BB320" s="394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37" t="s">
        <v>73</v>
      </c>
      <c r="X321" s="617">
        <f>IFERROR(X316/H316,"0")+IFERROR(X317/H317,"0")+IFERROR(X318/H318,"0")+IFERROR(X319/H319,"0")+IFERROR(X320/H320,"0")</f>
        <v>0</v>
      </c>
      <c r="Y321" s="617">
        <f>IFERROR(Y316/H316,"0")+IFERROR(Y317/H317,"0")+IFERROR(Y318/H318,"0")+IFERROR(Y319/H319,"0")+IFERROR(Y320/H320,"0")</f>
        <v>0</v>
      </c>
      <c r="Z321" s="617">
        <f>IFERROR(IF(Z316="",0,Z316),"0")+IFERROR(IF(Z317="",0,Z317),"0")+IFERROR(IF(Z318="",0,Z318),"0")+IFERROR(IF(Z319="",0,Z319),"0")+IFERROR(IF(Z320="",0,Z320),"0")</f>
        <v>0</v>
      </c>
      <c r="AA321" s="618"/>
      <c r="AB321" s="618"/>
      <c r="AC321" s="618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37" t="s">
        <v>67</v>
      </c>
      <c r="X322" s="617">
        <f>IFERROR(SUM(X316:X320),"0")</f>
        <v>0</v>
      </c>
      <c r="Y322" s="617">
        <f>IFERROR(SUM(Y316:Y320),"0")</f>
        <v>0</v>
      </c>
      <c r="Z322" s="37"/>
      <c r="AA322" s="618"/>
      <c r="AB322" s="618"/>
      <c r="AC322" s="618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10"/>
      <c r="AB323" s="610"/>
      <c r="AC323" s="610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11"/>
      <c r="AB324" s="611"/>
      <c r="AC324" s="611"/>
    </row>
    <row r="325" spans="1:68" ht="27" customHeight="1" x14ac:dyDescent="0.25">
      <c r="A325" s="54" t="s">
        <v>534</v>
      </c>
      <c r="B325" s="54" t="s">
        <v>535</v>
      </c>
      <c r="C325" s="31">
        <v>4301051893</v>
      </c>
      <c r="D325" s="619">
        <v>4680115886186</v>
      </c>
      <c r="E325" s="620"/>
      <c r="F325" s="614">
        <v>0.3</v>
      </c>
      <c r="G325" s="32">
        <v>6</v>
      </c>
      <c r="H325" s="614">
        <v>1.8</v>
      </c>
      <c r="I325" s="614">
        <v>1.98</v>
      </c>
      <c r="J325" s="32">
        <v>182</v>
      </c>
      <c r="K325" s="32" t="s">
        <v>77</v>
      </c>
      <c r="L325" s="32"/>
      <c r="M325" s="33" t="s">
        <v>78</v>
      </c>
      <c r="N325" s="33"/>
      <c r="O325" s="32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4"/>
      <c r="V325" s="34"/>
      <c r="W325" s="35" t="s">
        <v>67</v>
      </c>
      <c r="X325" s="615">
        <v>0</v>
      </c>
      <c r="Y325" s="616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536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537</v>
      </c>
      <c r="B326" s="54" t="s">
        <v>538</v>
      </c>
      <c r="C326" s="31">
        <v>4301051795</v>
      </c>
      <c r="D326" s="619">
        <v>4680115881228</v>
      </c>
      <c r="E326" s="620"/>
      <c r="F326" s="614">
        <v>0.4</v>
      </c>
      <c r="G326" s="32">
        <v>6</v>
      </c>
      <c r="H326" s="614">
        <v>2.4</v>
      </c>
      <c r="I326" s="614">
        <v>2.6520000000000001</v>
      </c>
      <c r="J326" s="32">
        <v>182</v>
      </c>
      <c r="K326" s="32" t="s">
        <v>77</v>
      </c>
      <c r="L326" s="32"/>
      <c r="M326" s="33" t="s">
        <v>84</v>
      </c>
      <c r="N326" s="33"/>
      <c r="O326" s="32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4"/>
      <c r="V326" s="34"/>
      <c r="W326" s="35" t="s">
        <v>67</v>
      </c>
      <c r="X326" s="615">
        <v>0</v>
      </c>
      <c r="Y326" s="61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97" t="s">
        <v>539</v>
      </c>
      <c r="AG326" s="64"/>
      <c r="AJ326" s="68"/>
      <c r="AK326" s="68">
        <v>0</v>
      </c>
      <c r="BB326" s="398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540</v>
      </c>
      <c r="B327" s="54" t="s">
        <v>541</v>
      </c>
      <c r="C327" s="31">
        <v>4301051388</v>
      </c>
      <c r="D327" s="619">
        <v>4680115881211</v>
      </c>
      <c r="E327" s="620"/>
      <c r="F327" s="614">
        <v>0.4</v>
      </c>
      <c r="G327" s="32">
        <v>6</v>
      </c>
      <c r="H327" s="614">
        <v>2.4</v>
      </c>
      <c r="I327" s="614">
        <v>2.58</v>
      </c>
      <c r="J327" s="32">
        <v>182</v>
      </c>
      <c r="K327" s="32" t="s">
        <v>77</v>
      </c>
      <c r="L327" s="32"/>
      <c r="M327" s="33" t="s">
        <v>78</v>
      </c>
      <c r="N327" s="33"/>
      <c r="O327" s="32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4"/>
      <c r="V327" s="34"/>
      <c r="W327" s="35" t="s">
        <v>67</v>
      </c>
      <c r="X327" s="615">
        <v>110</v>
      </c>
      <c r="Y327" s="616">
        <f>IFERROR(IF(X327="",0,CEILING((X327/$H327),1)*$H327),"")</f>
        <v>110.39999999999999</v>
      </c>
      <c r="Z327" s="36">
        <f>IFERROR(IF(Y327=0,"",ROUNDUP(Y327/H327,0)*0.00651),"")</f>
        <v>0.29946</v>
      </c>
      <c r="AA327" s="56"/>
      <c r="AB327" s="57"/>
      <c r="AC327" s="399" t="s">
        <v>536</v>
      </c>
      <c r="AG327" s="64"/>
      <c r="AJ327" s="68"/>
      <c r="AK327" s="68">
        <v>0</v>
      </c>
      <c r="BB327" s="400" t="s">
        <v>1</v>
      </c>
      <c r="BM327" s="64">
        <f>IFERROR(X327*I327/H327,"0")</f>
        <v>118.25000000000001</v>
      </c>
      <c r="BN327" s="64">
        <f>IFERROR(Y327*I327/H327,"0")</f>
        <v>118.68</v>
      </c>
      <c r="BO327" s="64">
        <f>IFERROR(1/J327*(X327/H327),"0")</f>
        <v>0.25183150183150188</v>
      </c>
      <c r="BP327" s="64">
        <f>IFERROR(1/J327*(Y327/H327),"0")</f>
        <v>0.25274725274725279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37" t="s">
        <v>73</v>
      </c>
      <c r="X328" s="617">
        <f>IFERROR(X325/H325,"0")+IFERROR(X326/H326,"0")+IFERROR(X327/H327,"0")</f>
        <v>45.833333333333336</v>
      </c>
      <c r="Y328" s="617">
        <f>IFERROR(Y325/H325,"0")+IFERROR(Y326/H326,"0")+IFERROR(Y327/H327,"0")</f>
        <v>46</v>
      </c>
      <c r="Z328" s="617">
        <f>IFERROR(IF(Z325="",0,Z325),"0")+IFERROR(IF(Z326="",0,Z326),"0")+IFERROR(IF(Z327="",0,Z327),"0")</f>
        <v>0.29946</v>
      </c>
      <c r="AA328" s="618"/>
      <c r="AB328" s="618"/>
      <c r="AC328" s="618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37" t="s">
        <v>67</v>
      </c>
      <c r="X329" s="617">
        <f>IFERROR(SUM(X325:X327),"0")</f>
        <v>110</v>
      </c>
      <c r="Y329" s="617">
        <f>IFERROR(SUM(Y325:Y327),"0")</f>
        <v>110.39999999999999</v>
      </c>
      <c r="Z329" s="37"/>
      <c r="AA329" s="618"/>
      <c r="AB329" s="618"/>
      <c r="AC329" s="618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10"/>
      <c r="AB330" s="610"/>
      <c r="AC330" s="610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11"/>
      <c r="AB331" s="611"/>
      <c r="AC331" s="611"/>
    </row>
    <row r="332" spans="1:68" ht="27" customHeight="1" x14ac:dyDescent="0.25">
      <c r="A332" s="54" t="s">
        <v>543</v>
      </c>
      <c r="B332" s="54" t="s">
        <v>544</v>
      </c>
      <c r="C332" s="31">
        <v>4301031445</v>
      </c>
      <c r="D332" s="619">
        <v>4680115888319</v>
      </c>
      <c r="E332" s="620"/>
      <c r="F332" s="614">
        <v>0.35</v>
      </c>
      <c r="G332" s="32">
        <v>6</v>
      </c>
      <c r="H332" s="614">
        <v>2.1</v>
      </c>
      <c r="I332" s="614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4"/>
      <c r="V332" s="34"/>
      <c r="W332" s="35" t="s">
        <v>67</v>
      </c>
      <c r="X332" s="615">
        <v>0</v>
      </c>
      <c r="Y332" s="616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377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545</v>
      </c>
      <c r="B333" s="54" t="s">
        <v>546</v>
      </c>
      <c r="C333" s="31">
        <v>4301031502</v>
      </c>
      <c r="D333" s="619">
        <v>4680115884700</v>
      </c>
      <c r="E333" s="620"/>
      <c r="F333" s="614">
        <v>0.57999999999999996</v>
      </c>
      <c r="G333" s="32">
        <v>4</v>
      </c>
      <c r="H333" s="614">
        <v>2.3199999999999998</v>
      </c>
      <c r="I333" s="614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4"/>
      <c r="V333" s="34"/>
      <c r="W333" s="35" t="s">
        <v>67</v>
      </c>
      <c r="X333" s="615">
        <v>0</v>
      </c>
      <c r="Y333" s="616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547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548</v>
      </c>
      <c r="B334" s="54" t="s">
        <v>549</v>
      </c>
      <c r="C334" s="31">
        <v>4301031307</v>
      </c>
      <c r="D334" s="619">
        <v>4680115880344</v>
      </c>
      <c r="E334" s="620"/>
      <c r="F334" s="614">
        <v>0.28000000000000003</v>
      </c>
      <c r="G334" s="32">
        <v>6</v>
      </c>
      <c r="H334" s="614">
        <v>1.68</v>
      </c>
      <c r="I334" s="614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4"/>
      <c r="V334" s="34"/>
      <c r="W334" s="35" t="s">
        <v>67</v>
      </c>
      <c r="X334" s="615">
        <v>0</v>
      </c>
      <c r="Y334" s="616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550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551</v>
      </c>
      <c r="B335" s="54" t="s">
        <v>552</v>
      </c>
      <c r="C335" s="31">
        <v>4301031501</v>
      </c>
      <c r="D335" s="619">
        <v>4680115886919</v>
      </c>
      <c r="E335" s="620"/>
      <c r="F335" s="614">
        <v>0.4</v>
      </c>
      <c r="G335" s="32">
        <v>6</v>
      </c>
      <c r="H335" s="614">
        <v>2.4</v>
      </c>
      <c r="I335" s="614">
        <v>2.58</v>
      </c>
      <c r="J335" s="32">
        <v>182</v>
      </c>
      <c r="K335" s="32" t="s">
        <v>77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4"/>
      <c r="V335" s="34"/>
      <c r="W335" s="35" t="s">
        <v>67</v>
      </c>
      <c r="X335" s="615">
        <v>0</v>
      </c>
      <c r="Y335" s="616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553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554</v>
      </c>
      <c r="B336" s="54" t="s">
        <v>555</v>
      </c>
      <c r="C336" s="31">
        <v>4301031246</v>
      </c>
      <c r="D336" s="619">
        <v>4680115883970</v>
      </c>
      <c r="E336" s="620"/>
      <c r="F336" s="614">
        <v>0.28000000000000003</v>
      </c>
      <c r="G336" s="32">
        <v>6</v>
      </c>
      <c r="H336" s="614">
        <v>1.68</v>
      </c>
      <c r="I336" s="614">
        <v>2.5</v>
      </c>
      <c r="J336" s="32">
        <v>234</v>
      </c>
      <c r="K336" s="32" t="s">
        <v>65</v>
      </c>
      <c r="L336" s="32"/>
      <c r="M336" s="33" t="s">
        <v>66</v>
      </c>
      <c r="N336" s="33"/>
      <c r="O336" s="32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4"/>
      <c r="V336" s="34"/>
      <c r="W336" s="35" t="s">
        <v>67</v>
      </c>
      <c r="X336" s="615">
        <v>0</v>
      </c>
      <c r="Y336" s="616">
        <f>IFERROR(IF(X336="",0,CEILING((X336/$H336),1)*$H336),"")</f>
        <v>0</v>
      </c>
      <c r="Z336" s="36" t="str">
        <f>IFERROR(IF(Y336=0,"",ROUNDUP(Y336/H336,0)*0.00502),"")</f>
        <v/>
      </c>
      <c r="AA336" s="56"/>
      <c r="AB336" s="57"/>
      <c r="AC336" s="409" t="s">
        <v>556</v>
      </c>
      <c r="AG336" s="64"/>
      <c r="AJ336" s="68"/>
      <c r="AK336" s="68">
        <v>0</v>
      </c>
      <c r="BB336" s="41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37" t="s">
        <v>73</v>
      </c>
      <c r="X337" s="617">
        <f>IFERROR(X332/H332,"0")+IFERROR(X333/H333,"0")+IFERROR(X334/H334,"0")+IFERROR(X335/H335,"0")+IFERROR(X336/H336,"0")</f>
        <v>0</v>
      </c>
      <c r="Y337" s="617">
        <f>IFERROR(Y332/H332,"0")+IFERROR(Y333/H333,"0")+IFERROR(Y334/H334,"0")+IFERROR(Y335/H335,"0")+IFERROR(Y336/H336,"0")</f>
        <v>0</v>
      </c>
      <c r="Z337" s="617">
        <f>IFERROR(IF(Z332="",0,Z332),"0")+IFERROR(IF(Z333="",0,Z333),"0")+IFERROR(IF(Z334="",0,Z334),"0")+IFERROR(IF(Z335="",0,Z335),"0")+IFERROR(IF(Z336="",0,Z336),"0")</f>
        <v>0</v>
      </c>
      <c r="AA337" s="618"/>
      <c r="AB337" s="618"/>
      <c r="AC337" s="618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37" t="s">
        <v>67</v>
      </c>
      <c r="X338" s="617">
        <f>IFERROR(SUM(X332:X336),"0")</f>
        <v>0</v>
      </c>
      <c r="Y338" s="617">
        <f>IFERROR(SUM(Y332:Y336),"0")</f>
        <v>0</v>
      </c>
      <c r="Z338" s="37"/>
      <c r="AA338" s="618"/>
      <c r="AB338" s="618"/>
      <c r="AC338" s="618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11"/>
      <c r="AB339" s="611"/>
      <c r="AC339" s="611"/>
    </row>
    <row r="340" spans="1:68" ht="27" customHeight="1" x14ac:dyDescent="0.25">
      <c r="A340" s="54" t="s">
        <v>557</v>
      </c>
      <c r="B340" s="54" t="s">
        <v>558</v>
      </c>
      <c r="C340" s="31">
        <v>4301051782</v>
      </c>
      <c r="D340" s="619">
        <v>4680115884618</v>
      </c>
      <c r="E340" s="620"/>
      <c r="F340" s="614">
        <v>0.6</v>
      </c>
      <c r="G340" s="32">
        <v>6</v>
      </c>
      <c r="H340" s="614">
        <v>3.6</v>
      </c>
      <c r="I340" s="614">
        <v>3.79</v>
      </c>
      <c r="J340" s="32">
        <v>132</v>
      </c>
      <c r="K340" s="32" t="s">
        <v>129</v>
      </c>
      <c r="L340" s="32"/>
      <c r="M340" s="33" t="s">
        <v>78</v>
      </c>
      <c r="N340" s="33"/>
      <c r="O340" s="32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4"/>
      <c r="V340" s="34"/>
      <c r="W340" s="35" t="s">
        <v>67</v>
      </c>
      <c r="X340" s="615">
        <v>0</v>
      </c>
      <c r="Y340" s="616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559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560</v>
      </c>
      <c r="B341" s="54" t="s">
        <v>561</v>
      </c>
      <c r="C341" s="31">
        <v>4301052057</v>
      </c>
      <c r="D341" s="619">
        <v>4680115887114</v>
      </c>
      <c r="E341" s="620"/>
      <c r="F341" s="614">
        <v>0.55000000000000004</v>
      </c>
      <c r="G341" s="32">
        <v>6</v>
      </c>
      <c r="H341" s="614">
        <v>3.3</v>
      </c>
      <c r="I341" s="614">
        <v>3.49</v>
      </c>
      <c r="J341" s="32">
        <v>132</v>
      </c>
      <c r="K341" s="32" t="s">
        <v>129</v>
      </c>
      <c r="L341" s="32"/>
      <c r="M341" s="33" t="s">
        <v>78</v>
      </c>
      <c r="N341" s="33"/>
      <c r="O341" s="32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4"/>
      <c r="V341" s="34"/>
      <c r="W341" s="35" t="s">
        <v>67</v>
      </c>
      <c r="X341" s="615">
        <v>0</v>
      </c>
      <c r="Y341" s="616">
        <f>IFERROR(IF(X341="",0,CEILING((X341/$H341),1)*$H341),"")</f>
        <v>0</v>
      </c>
      <c r="Z341" s="36" t="str">
        <f>IFERROR(IF(Y341=0,"",ROUNDUP(Y341/H341,0)*0.00902),"")</f>
        <v/>
      </c>
      <c r="AA341" s="56"/>
      <c r="AB341" s="57"/>
      <c r="AC341" s="413" t="s">
        <v>562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37" t="s">
        <v>73</v>
      </c>
      <c r="X342" s="617">
        <f>IFERROR(X340/H340,"0")+IFERROR(X341/H341,"0")</f>
        <v>0</v>
      </c>
      <c r="Y342" s="617">
        <f>IFERROR(Y340/H340,"0")+IFERROR(Y341/H341,"0")</f>
        <v>0</v>
      </c>
      <c r="Z342" s="617">
        <f>IFERROR(IF(Z340="",0,Z340),"0")+IFERROR(IF(Z341="",0,Z341),"0")</f>
        <v>0</v>
      </c>
      <c r="AA342" s="618"/>
      <c r="AB342" s="618"/>
      <c r="AC342" s="618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37" t="s">
        <v>67</v>
      </c>
      <c r="X343" s="617">
        <f>IFERROR(SUM(X340:X341),"0")</f>
        <v>0</v>
      </c>
      <c r="Y343" s="617">
        <f>IFERROR(SUM(Y340:Y341),"0")</f>
        <v>0</v>
      </c>
      <c r="Z343" s="37"/>
      <c r="AA343" s="618"/>
      <c r="AB343" s="618"/>
      <c r="AC343" s="618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10"/>
      <c r="AB344" s="610"/>
      <c r="AC344" s="610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11"/>
      <c r="AB345" s="611"/>
      <c r="AC345" s="611"/>
    </row>
    <row r="346" spans="1:68" ht="27" customHeight="1" x14ac:dyDescent="0.25">
      <c r="A346" s="54" t="s">
        <v>564</v>
      </c>
      <c r="B346" s="54" t="s">
        <v>565</v>
      </c>
      <c r="C346" s="31">
        <v>4301012324</v>
      </c>
      <c r="D346" s="619">
        <v>4680115887947</v>
      </c>
      <c r="E346" s="620"/>
      <c r="F346" s="614">
        <v>1.3</v>
      </c>
      <c r="G346" s="32">
        <v>6</v>
      </c>
      <c r="H346" s="614">
        <v>7.8</v>
      </c>
      <c r="I346" s="614">
        <v>8.2100000000000009</v>
      </c>
      <c r="J346" s="32">
        <v>64</v>
      </c>
      <c r="K346" s="32" t="s">
        <v>120</v>
      </c>
      <c r="L346" s="32"/>
      <c r="M346" s="33" t="s">
        <v>78</v>
      </c>
      <c r="N346" s="33"/>
      <c r="O346" s="32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4"/>
      <c r="V346" s="34"/>
      <c r="W346" s="35" t="s">
        <v>67</v>
      </c>
      <c r="X346" s="615">
        <v>56</v>
      </c>
      <c r="Y346" s="616">
        <f>IFERROR(IF(X346="",0,CEILING((X346/$H346),1)*$H346),"")</f>
        <v>62.4</v>
      </c>
      <c r="Z346" s="36">
        <f>IFERROR(IF(Y346=0,"",ROUNDUP(Y346/H346,0)*0.01898),"")</f>
        <v>0.15184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58.943589743589754</v>
      </c>
      <c r="BN346" s="64">
        <f>IFERROR(Y346*I346/H346,"0")</f>
        <v>65.680000000000007</v>
      </c>
      <c r="BO346" s="64">
        <f>IFERROR(1/J346*(X346/H346),"0")</f>
        <v>0.11217948717948718</v>
      </c>
      <c r="BP346" s="64">
        <f>IFERROR(1/J346*(Y346/H346),"0")</f>
        <v>0.125</v>
      </c>
    </row>
    <row r="347" spans="1:68" ht="27" customHeight="1" x14ac:dyDescent="0.25">
      <c r="A347" s="54" t="s">
        <v>566</v>
      </c>
      <c r="B347" s="54" t="s">
        <v>567</v>
      </c>
      <c r="C347" s="31">
        <v>4301012325</v>
      </c>
      <c r="D347" s="619">
        <v>4680115887978</v>
      </c>
      <c r="E347" s="620"/>
      <c r="F347" s="614">
        <v>1.3</v>
      </c>
      <c r="G347" s="32">
        <v>6</v>
      </c>
      <c r="H347" s="614">
        <v>7.8</v>
      </c>
      <c r="I347" s="614">
        <v>8.2100000000000009</v>
      </c>
      <c r="J347" s="32">
        <v>64</v>
      </c>
      <c r="K347" s="32" t="s">
        <v>120</v>
      </c>
      <c r="L347" s="32"/>
      <c r="M347" s="33" t="s">
        <v>78</v>
      </c>
      <c r="N347" s="33"/>
      <c r="O347" s="32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4"/>
      <c r="V347" s="34"/>
      <c r="W347" s="35" t="s">
        <v>67</v>
      </c>
      <c r="X347" s="615">
        <v>23</v>
      </c>
      <c r="Y347" s="616">
        <f>IFERROR(IF(X347="",0,CEILING((X347/$H347),1)*$H347),"")</f>
        <v>23.4</v>
      </c>
      <c r="Z347" s="36">
        <f>IFERROR(IF(Y347=0,"",ROUNDUP(Y347/H347,0)*0.01898),"")</f>
        <v>5.6940000000000004E-2</v>
      </c>
      <c r="AA347" s="56"/>
      <c r="AB347" s="57"/>
      <c r="AC347" s="417" t="s">
        <v>568</v>
      </c>
      <c r="AG347" s="64"/>
      <c r="AJ347" s="68"/>
      <c r="AK347" s="68">
        <v>0</v>
      </c>
      <c r="BB347" s="418" t="s">
        <v>1</v>
      </c>
      <c r="BM347" s="64">
        <f>IFERROR(X347*I347/H347,"0")</f>
        <v>24.208974358974363</v>
      </c>
      <c r="BN347" s="64">
        <f>IFERROR(Y347*I347/H347,"0")</f>
        <v>24.630000000000003</v>
      </c>
      <c r="BO347" s="64">
        <f>IFERROR(1/J347*(X347/H347),"0")</f>
        <v>4.6073717948717952E-2</v>
      </c>
      <c r="BP347" s="64">
        <f>IFERROR(1/J347*(Y347/H347),"0")</f>
        <v>4.6875E-2</v>
      </c>
    </row>
    <row r="348" spans="1:68" ht="27" customHeight="1" x14ac:dyDescent="0.25">
      <c r="A348" s="54" t="s">
        <v>569</v>
      </c>
      <c r="B348" s="54" t="s">
        <v>570</v>
      </c>
      <c r="C348" s="31">
        <v>4301012327</v>
      </c>
      <c r="D348" s="619">
        <v>4680115887992</v>
      </c>
      <c r="E348" s="620"/>
      <c r="F348" s="614">
        <v>1.3</v>
      </c>
      <c r="G348" s="32">
        <v>6</v>
      </c>
      <c r="H348" s="614">
        <v>7.8</v>
      </c>
      <c r="I348" s="614">
        <v>8.2100000000000009</v>
      </c>
      <c r="J348" s="32">
        <v>64</v>
      </c>
      <c r="K348" s="32" t="s">
        <v>120</v>
      </c>
      <c r="L348" s="32"/>
      <c r="M348" s="33" t="s">
        <v>78</v>
      </c>
      <c r="N348" s="33"/>
      <c r="O348" s="32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4"/>
      <c r="V348" s="34"/>
      <c r="W348" s="35" t="s">
        <v>67</v>
      </c>
      <c r="X348" s="615">
        <v>0</v>
      </c>
      <c r="Y348" s="616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571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37" t="s">
        <v>73</v>
      </c>
      <c r="X349" s="617">
        <f>IFERROR(X346/H346,"0")+IFERROR(X347/H347,"0")+IFERROR(X348/H348,"0")</f>
        <v>10.128205128205128</v>
      </c>
      <c r="Y349" s="617">
        <f>IFERROR(Y346/H346,"0")+IFERROR(Y347/H347,"0")+IFERROR(Y348/H348,"0")</f>
        <v>11</v>
      </c>
      <c r="Z349" s="617">
        <f>IFERROR(IF(Z346="",0,Z346),"0")+IFERROR(IF(Z347="",0,Z347),"0")+IFERROR(IF(Z348="",0,Z348),"0")</f>
        <v>0.20878000000000002</v>
      </c>
      <c r="AA349" s="618"/>
      <c r="AB349" s="618"/>
      <c r="AC349" s="618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37" t="s">
        <v>67</v>
      </c>
      <c r="X350" s="617">
        <f>IFERROR(SUM(X346:X348),"0")</f>
        <v>79</v>
      </c>
      <c r="Y350" s="617">
        <f>IFERROR(SUM(Y346:Y348),"0")</f>
        <v>85.8</v>
      </c>
      <c r="Z350" s="37"/>
      <c r="AA350" s="618"/>
      <c r="AB350" s="618"/>
      <c r="AC350" s="618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10"/>
      <c r="AB351" s="610"/>
      <c r="AC351" s="610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11"/>
      <c r="AB352" s="611"/>
      <c r="AC352" s="611"/>
    </row>
    <row r="353" spans="1:68" ht="27" customHeight="1" x14ac:dyDescent="0.25">
      <c r="A353" s="54" t="s">
        <v>573</v>
      </c>
      <c r="B353" s="54" t="s">
        <v>574</v>
      </c>
      <c r="C353" s="31">
        <v>4301012235</v>
      </c>
      <c r="D353" s="619">
        <v>4680115887190</v>
      </c>
      <c r="E353" s="620"/>
      <c r="F353" s="614">
        <v>1.35</v>
      </c>
      <c r="G353" s="32">
        <v>8</v>
      </c>
      <c r="H353" s="614">
        <v>10.8</v>
      </c>
      <c r="I353" s="614">
        <v>11.21</v>
      </c>
      <c r="J353" s="32">
        <v>64</v>
      </c>
      <c r="K353" s="32" t="s">
        <v>120</v>
      </c>
      <c r="L353" s="32"/>
      <c r="M353" s="33" t="s">
        <v>121</v>
      </c>
      <c r="N353" s="33"/>
      <c r="O353" s="32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4"/>
      <c r="V353" s="34"/>
      <c r="W353" s="35" t="s">
        <v>67</v>
      </c>
      <c r="X353" s="615">
        <v>0</v>
      </c>
      <c r="Y353" s="616">
        <f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575</v>
      </c>
      <c r="AG353" s="64"/>
      <c r="AJ353" s="68"/>
      <c r="AK353" s="68">
        <v>0</v>
      </c>
      <c r="BB353" s="422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37.5" customHeight="1" x14ac:dyDescent="0.25">
      <c r="A354" s="54" t="s">
        <v>576</v>
      </c>
      <c r="B354" s="54" t="s">
        <v>577</v>
      </c>
      <c r="C354" s="31">
        <v>4301012233</v>
      </c>
      <c r="D354" s="619">
        <v>4680115887138</v>
      </c>
      <c r="E354" s="620"/>
      <c r="F354" s="614">
        <v>1.35</v>
      </c>
      <c r="G354" s="32">
        <v>8</v>
      </c>
      <c r="H354" s="614">
        <v>10.8</v>
      </c>
      <c r="I354" s="614">
        <v>11.21</v>
      </c>
      <c r="J354" s="32">
        <v>64</v>
      </c>
      <c r="K354" s="32" t="s">
        <v>120</v>
      </c>
      <c r="L354" s="32"/>
      <c r="M354" s="33" t="s">
        <v>121</v>
      </c>
      <c r="N354" s="33"/>
      <c r="O354" s="32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4"/>
      <c r="V354" s="34"/>
      <c r="W354" s="35" t="s">
        <v>67</v>
      </c>
      <c r="X354" s="615">
        <v>0</v>
      </c>
      <c r="Y354" s="616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23" t="s">
        <v>578</v>
      </c>
      <c r="AG354" s="64"/>
      <c r="AJ354" s="68"/>
      <c r="AK354" s="68">
        <v>0</v>
      </c>
      <c r="BB354" s="424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customHeight="1" x14ac:dyDescent="0.25">
      <c r="A355" s="54" t="s">
        <v>579</v>
      </c>
      <c r="B355" s="54" t="s">
        <v>580</v>
      </c>
      <c r="C355" s="31">
        <v>4301012016</v>
      </c>
      <c r="D355" s="619">
        <v>4680115885554</v>
      </c>
      <c r="E355" s="620"/>
      <c r="F355" s="614">
        <v>1.35</v>
      </c>
      <c r="G355" s="32">
        <v>8</v>
      </c>
      <c r="H355" s="614">
        <v>10.8</v>
      </c>
      <c r="I355" s="614">
        <v>11.21</v>
      </c>
      <c r="J355" s="32">
        <v>64</v>
      </c>
      <c r="K355" s="32" t="s">
        <v>120</v>
      </c>
      <c r="L355" s="32"/>
      <c r="M355" s="33" t="s">
        <v>78</v>
      </c>
      <c r="N355" s="33"/>
      <c r="O355" s="32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4"/>
      <c r="V355" s="34"/>
      <c r="W355" s="35" t="s">
        <v>67</v>
      </c>
      <c r="X355" s="615">
        <v>0</v>
      </c>
      <c r="Y355" s="616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25" t="s">
        <v>581</v>
      </c>
      <c r="AG355" s="64"/>
      <c r="AJ355" s="68"/>
      <c r="AK355" s="68">
        <v>0</v>
      </c>
      <c r="BB355" s="426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customHeight="1" x14ac:dyDescent="0.25">
      <c r="A356" s="54" t="s">
        <v>582</v>
      </c>
      <c r="B356" s="54" t="s">
        <v>583</v>
      </c>
      <c r="C356" s="31">
        <v>4301012236</v>
      </c>
      <c r="D356" s="619">
        <v>4680115887220</v>
      </c>
      <c r="E356" s="620"/>
      <c r="F356" s="614">
        <v>0.4</v>
      </c>
      <c r="G356" s="32">
        <v>10</v>
      </c>
      <c r="H356" s="614">
        <v>4</v>
      </c>
      <c r="I356" s="614">
        <v>4.1900000000000004</v>
      </c>
      <c r="J356" s="32">
        <v>132</v>
      </c>
      <c r="K356" s="32" t="s">
        <v>129</v>
      </c>
      <c r="L356" s="32"/>
      <c r="M356" s="33" t="s">
        <v>121</v>
      </c>
      <c r="N356" s="33"/>
      <c r="O356" s="32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4"/>
      <c r="V356" s="34"/>
      <c r="W356" s="35" t="s">
        <v>67</v>
      </c>
      <c r="X356" s="615">
        <v>0</v>
      </c>
      <c r="Y356" s="616">
        <f>IFERROR(IF(X356="",0,CEILING((X356/$H356),1)*$H356),"")</f>
        <v>0</v>
      </c>
      <c r="Z356" s="36" t="str">
        <f>IFERROR(IF(Y356=0,"",ROUNDUP(Y356/H356,0)*0.00902),"")</f>
        <v/>
      </c>
      <c r="AA356" s="56"/>
      <c r="AB356" s="57"/>
      <c r="AC356" s="427" t="s">
        <v>575</v>
      </c>
      <c r="AG356" s="64"/>
      <c r="AJ356" s="68"/>
      <c r="AK356" s="68">
        <v>0</v>
      </c>
      <c r="BB356" s="428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584</v>
      </c>
      <c r="B357" s="54" t="s">
        <v>585</v>
      </c>
      <c r="C357" s="31">
        <v>4301011859</v>
      </c>
      <c r="D357" s="619">
        <v>4680115885608</v>
      </c>
      <c r="E357" s="620"/>
      <c r="F357" s="614">
        <v>0.4</v>
      </c>
      <c r="G357" s="32">
        <v>10</v>
      </c>
      <c r="H357" s="614">
        <v>4</v>
      </c>
      <c r="I357" s="614">
        <v>4.1900000000000004</v>
      </c>
      <c r="J357" s="32">
        <v>132</v>
      </c>
      <c r="K357" s="32" t="s">
        <v>129</v>
      </c>
      <c r="L357" s="32"/>
      <c r="M357" s="33" t="s">
        <v>121</v>
      </c>
      <c r="N357" s="33"/>
      <c r="O357" s="32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4"/>
      <c r="V357" s="34"/>
      <c r="W357" s="35" t="s">
        <v>67</v>
      </c>
      <c r="X357" s="615">
        <v>0</v>
      </c>
      <c r="Y357" s="61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29" t="s">
        <v>586</v>
      </c>
      <c r="AG357" s="64"/>
      <c r="AJ357" s="68"/>
      <c r="AK357" s="68">
        <v>0</v>
      </c>
      <c r="BB357" s="430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37" t="s">
        <v>73</v>
      </c>
      <c r="X358" s="617">
        <f>IFERROR(X353/H353,"0")+IFERROR(X354/H354,"0")+IFERROR(X355/H355,"0")+IFERROR(X356/H356,"0")+IFERROR(X357/H357,"0")</f>
        <v>0</v>
      </c>
      <c r="Y358" s="617">
        <f>IFERROR(Y353/H353,"0")+IFERROR(Y354/H354,"0")+IFERROR(Y355/H355,"0")+IFERROR(Y356/H356,"0")+IFERROR(Y357/H357,"0")</f>
        <v>0</v>
      </c>
      <c r="Z358" s="617">
        <f>IFERROR(IF(Z353="",0,Z353),"0")+IFERROR(IF(Z354="",0,Z354),"0")+IFERROR(IF(Z355="",0,Z355),"0")+IFERROR(IF(Z356="",0,Z356),"0")+IFERROR(IF(Z357="",0,Z357),"0")</f>
        <v>0</v>
      </c>
      <c r="AA358" s="618"/>
      <c r="AB358" s="618"/>
      <c r="AC358" s="618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37" t="s">
        <v>67</v>
      </c>
      <c r="X359" s="617">
        <f>IFERROR(SUM(X353:X357),"0")</f>
        <v>0</v>
      </c>
      <c r="Y359" s="617">
        <f>IFERROR(SUM(Y353:Y357),"0")</f>
        <v>0</v>
      </c>
      <c r="Z359" s="37"/>
      <c r="AA359" s="618"/>
      <c r="AB359" s="618"/>
      <c r="AC359" s="618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11"/>
      <c r="AB360" s="611"/>
      <c r="AC360" s="611"/>
    </row>
    <row r="361" spans="1:68" ht="27" customHeight="1" x14ac:dyDescent="0.25">
      <c r="A361" s="54" t="s">
        <v>587</v>
      </c>
      <c r="B361" s="54" t="s">
        <v>588</v>
      </c>
      <c r="C361" s="31">
        <v>4301030878</v>
      </c>
      <c r="D361" s="619">
        <v>4607091387193</v>
      </c>
      <c r="E361" s="620"/>
      <c r="F361" s="614">
        <v>0.7</v>
      </c>
      <c r="G361" s="32">
        <v>6</v>
      </c>
      <c r="H361" s="614">
        <v>4.2</v>
      </c>
      <c r="I361" s="614">
        <v>4.45</v>
      </c>
      <c r="J361" s="32">
        <v>132</v>
      </c>
      <c r="K361" s="32" t="s">
        <v>129</v>
      </c>
      <c r="L361" s="32"/>
      <c r="M361" s="33" t="s">
        <v>66</v>
      </c>
      <c r="N361" s="33"/>
      <c r="O361" s="32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4"/>
      <c r="V361" s="34"/>
      <c r="W361" s="35" t="s">
        <v>67</v>
      </c>
      <c r="X361" s="615">
        <v>0</v>
      </c>
      <c r="Y361" s="616">
        <f t="shared" ref="Y361:Y367" si="42"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31" t="s">
        <v>589</v>
      </c>
      <c r="AG361" s="64"/>
      <c r="AJ361" s="68"/>
      <c r="AK361" s="68">
        <v>0</v>
      </c>
      <c r="BB361" s="432" t="s">
        <v>1</v>
      </c>
      <c r="BM361" s="64">
        <f t="shared" ref="BM361:BM367" si="43">IFERROR(X361*I361/H361,"0")</f>
        <v>0</v>
      </c>
      <c r="BN361" s="64">
        <f t="shared" ref="BN361:BN367" si="44">IFERROR(Y361*I361/H361,"0")</f>
        <v>0</v>
      </c>
      <c r="BO361" s="64">
        <f t="shared" ref="BO361:BO367" si="45">IFERROR(1/J361*(X361/H361),"0")</f>
        <v>0</v>
      </c>
      <c r="BP361" s="64">
        <f t="shared" ref="BP361:BP367" si="46">IFERROR(1/J361*(Y361/H361),"0")</f>
        <v>0</v>
      </c>
    </row>
    <row r="362" spans="1:68" ht="27" customHeight="1" x14ac:dyDescent="0.25">
      <c r="A362" s="54" t="s">
        <v>590</v>
      </c>
      <c r="B362" s="54" t="s">
        <v>591</v>
      </c>
      <c r="C362" s="31">
        <v>4301031153</v>
      </c>
      <c r="D362" s="619">
        <v>4607091387230</v>
      </c>
      <c r="E362" s="620"/>
      <c r="F362" s="614">
        <v>0.7</v>
      </c>
      <c r="G362" s="32">
        <v>6</v>
      </c>
      <c r="H362" s="614">
        <v>4.2</v>
      </c>
      <c r="I362" s="614">
        <v>4.45</v>
      </c>
      <c r="J362" s="32">
        <v>132</v>
      </c>
      <c r="K362" s="32" t="s">
        <v>129</v>
      </c>
      <c r="L362" s="32"/>
      <c r="M362" s="33" t="s">
        <v>66</v>
      </c>
      <c r="N362" s="33"/>
      <c r="O362" s="32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4"/>
      <c r="V362" s="34"/>
      <c r="W362" s="35" t="s">
        <v>67</v>
      </c>
      <c r="X362" s="615">
        <v>0</v>
      </c>
      <c r="Y362" s="616">
        <f t="shared" si="42"/>
        <v>0</v>
      </c>
      <c r="Z362" s="36" t="str">
        <f>IFERROR(IF(Y362=0,"",ROUNDUP(Y362/H362,0)*0.00902),"")</f>
        <v/>
      </c>
      <c r="AA362" s="56"/>
      <c r="AB362" s="57"/>
      <c r="AC362" s="433" t="s">
        <v>592</v>
      </c>
      <c r="AG362" s="64"/>
      <c r="AJ362" s="68"/>
      <c r="AK362" s="68">
        <v>0</v>
      </c>
      <c r="BB362" s="434" t="s">
        <v>1</v>
      </c>
      <c r="BM362" s="64">
        <f t="shared" si="43"/>
        <v>0</v>
      </c>
      <c r="BN362" s="64">
        <f t="shared" si="44"/>
        <v>0</v>
      </c>
      <c r="BO362" s="64">
        <f t="shared" si="45"/>
        <v>0</v>
      </c>
      <c r="BP362" s="64">
        <f t="shared" si="46"/>
        <v>0</v>
      </c>
    </row>
    <row r="363" spans="1:68" ht="27" customHeight="1" x14ac:dyDescent="0.25">
      <c r="A363" s="54" t="s">
        <v>593</v>
      </c>
      <c r="B363" s="54" t="s">
        <v>594</v>
      </c>
      <c r="C363" s="31">
        <v>4301031154</v>
      </c>
      <c r="D363" s="619">
        <v>4607091387292</v>
      </c>
      <c r="E363" s="620"/>
      <c r="F363" s="614">
        <v>0.73</v>
      </c>
      <c r="G363" s="32">
        <v>6</v>
      </c>
      <c r="H363" s="614">
        <v>4.38</v>
      </c>
      <c r="I363" s="614">
        <v>4.63</v>
      </c>
      <c r="J363" s="32">
        <v>132</v>
      </c>
      <c r="K363" s="32" t="s">
        <v>129</v>
      </c>
      <c r="L363" s="32"/>
      <c r="M363" s="33" t="s">
        <v>66</v>
      </c>
      <c r="N363" s="33"/>
      <c r="O363" s="32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4"/>
      <c r="V363" s="34"/>
      <c r="W363" s="35" t="s">
        <v>67</v>
      </c>
      <c r="X363" s="615">
        <v>0</v>
      </c>
      <c r="Y363" s="616">
        <f t="shared" si="42"/>
        <v>0</v>
      </c>
      <c r="Z363" s="36" t="str">
        <f>IFERROR(IF(Y363=0,"",ROUNDUP(Y363/H363,0)*0.00902),"")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 t="shared" si="43"/>
        <v>0</v>
      </c>
      <c r="BN363" s="64">
        <f t="shared" si="44"/>
        <v>0</v>
      </c>
      <c r="BO363" s="64">
        <f t="shared" si="45"/>
        <v>0</v>
      </c>
      <c r="BP363" s="64">
        <f t="shared" si="46"/>
        <v>0</v>
      </c>
    </row>
    <row r="364" spans="1:68" ht="27" customHeight="1" x14ac:dyDescent="0.25">
      <c r="A364" s="54" t="s">
        <v>596</v>
      </c>
      <c r="B364" s="54" t="s">
        <v>597</v>
      </c>
      <c r="C364" s="31">
        <v>4301031152</v>
      </c>
      <c r="D364" s="619">
        <v>4607091387285</v>
      </c>
      <c r="E364" s="620"/>
      <c r="F364" s="614">
        <v>0.35</v>
      </c>
      <c r="G364" s="32">
        <v>6</v>
      </c>
      <c r="H364" s="614">
        <v>2.1</v>
      </c>
      <c r="I364" s="614">
        <v>2.23</v>
      </c>
      <c r="J364" s="32">
        <v>234</v>
      </c>
      <c r="K364" s="32" t="s">
        <v>65</v>
      </c>
      <c r="L364" s="32"/>
      <c r="M364" s="33" t="s">
        <v>66</v>
      </c>
      <c r="N364" s="33"/>
      <c r="O364" s="32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4"/>
      <c r="V364" s="34"/>
      <c r="W364" s="35" t="s">
        <v>67</v>
      </c>
      <c r="X364" s="615">
        <v>0</v>
      </c>
      <c r="Y364" s="616">
        <f t="shared" si="42"/>
        <v>0</v>
      </c>
      <c r="Z364" s="36" t="str">
        <f>IFERROR(IF(Y364=0,"",ROUNDUP(Y364/H364,0)*0.00502),"")</f>
        <v/>
      </c>
      <c r="AA364" s="56"/>
      <c r="AB364" s="57"/>
      <c r="AC364" s="437" t="s">
        <v>592</v>
      </c>
      <c r="AG364" s="64"/>
      <c r="AJ364" s="68"/>
      <c r="AK364" s="68">
        <v>0</v>
      </c>
      <c r="BB364" s="438" t="s">
        <v>1</v>
      </c>
      <c r="BM364" s="64">
        <f t="shared" si="43"/>
        <v>0</v>
      </c>
      <c r="BN364" s="64">
        <f t="shared" si="44"/>
        <v>0</v>
      </c>
      <c r="BO364" s="64">
        <f t="shared" si="45"/>
        <v>0</v>
      </c>
      <c r="BP364" s="64">
        <f t="shared" si="46"/>
        <v>0</v>
      </c>
    </row>
    <row r="365" spans="1:68" ht="27" customHeight="1" x14ac:dyDescent="0.25">
      <c r="A365" s="54" t="s">
        <v>598</v>
      </c>
      <c r="B365" s="54" t="s">
        <v>599</v>
      </c>
      <c r="C365" s="31">
        <v>4301031305</v>
      </c>
      <c r="D365" s="619">
        <v>4607091389845</v>
      </c>
      <c r="E365" s="620"/>
      <c r="F365" s="614">
        <v>0.35</v>
      </c>
      <c r="G365" s="32">
        <v>6</v>
      </c>
      <c r="H365" s="614">
        <v>2.1</v>
      </c>
      <c r="I365" s="614">
        <v>2.2000000000000002</v>
      </c>
      <c r="J365" s="32">
        <v>234</v>
      </c>
      <c r="K365" s="32" t="s">
        <v>65</v>
      </c>
      <c r="L365" s="32"/>
      <c r="M365" s="33" t="s">
        <v>66</v>
      </c>
      <c r="N365" s="33"/>
      <c r="O365" s="32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4"/>
      <c r="V365" s="34"/>
      <c r="W365" s="35" t="s">
        <v>67</v>
      </c>
      <c r="X365" s="615">
        <v>0</v>
      </c>
      <c r="Y365" s="616">
        <f t="shared" si="42"/>
        <v>0</v>
      </c>
      <c r="Z365" s="36" t="str">
        <f>IFERROR(IF(Y365=0,"",ROUNDUP(Y365/H365,0)*0.00502),"")</f>
        <v/>
      </c>
      <c r="AA365" s="56"/>
      <c r="AB365" s="57"/>
      <c r="AC365" s="439" t="s">
        <v>600</v>
      </c>
      <c r="AG365" s="64"/>
      <c r="AJ365" s="68"/>
      <c r="AK365" s="68">
        <v>0</v>
      </c>
      <c r="BB365" s="440" t="s">
        <v>1</v>
      </c>
      <c r="BM365" s="64">
        <f t="shared" si="43"/>
        <v>0</v>
      </c>
      <c r="BN365" s="64">
        <f t="shared" si="44"/>
        <v>0</v>
      </c>
      <c r="BO365" s="64">
        <f t="shared" si="45"/>
        <v>0</v>
      </c>
      <c r="BP365" s="64">
        <f t="shared" si="46"/>
        <v>0</v>
      </c>
    </row>
    <row r="366" spans="1:68" ht="27" customHeight="1" x14ac:dyDescent="0.25">
      <c r="A366" s="54" t="s">
        <v>601</v>
      </c>
      <c r="B366" s="54" t="s">
        <v>602</v>
      </c>
      <c r="C366" s="31">
        <v>4301031460</v>
      </c>
      <c r="D366" s="619">
        <v>4680115887442</v>
      </c>
      <c r="E366" s="620"/>
      <c r="F366" s="614">
        <v>0.73</v>
      </c>
      <c r="G366" s="32">
        <v>6</v>
      </c>
      <c r="H366" s="614">
        <v>4.38</v>
      </c>
      <c r="I366" s="614">
        <v>4.63</v>
      </c>
      <c r="J366" s="32">
        <v>132</v>
      </c>
      <c r="K366" s="32" t="s">
        <v>129</v>
      </c>
      <c r="L366" s="32"/>
      <c r="M366" s="33" t="s">
        <v>66</v>
      </c>
      <c r="N366" s="33"/>
      <c r="O366" s="32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4"/>
      <c r="V366" s="34"/>
      <c r="W366" s="35" t="s">
        <v>67</v>
      </c>
      <c r="X366" s="615">
        <v>0</v>
      </c>
      <c r="Y366" s="616">
        <f t="shared" si="42"/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43"/>
        <v>0</v>
      </c>
      <c r="BN366" s="64">
        <f t="shared" si="44"/>
        <v>0</v>
      </c>
      <c r="BO366" s="64">
        <f t="shared" si="45"/>
        <v>0</v>
      </c>
      <c r="BP366" s="64">
        <f t="shared" si="46"/>
        <v>0</v>
      </c>
    </row>
    <row r="367" spans="1:68" ht="27" customHeight="1" x14ac:dyDescent="0.25">
      <c r="A367" s="54" t="s">
        <v>603</v>
      </c>
      <c r="B367" s="54" t="s">
        <v>604</v>
      </c>
      <c r="C367" s="31">
        <v>4301031066</v>
      </c>
      <c r="D367" s="619">
        <v>4607091383836</v>
      </c>
      <c r="E367" s="620"/>
      <c r="F367" s="614">
        <v>0.3</v>
      </c>
      <c r="G367" s="32">
        <v>6</v>
      </c>
      <c r="H367" s="614">
        <v>1.8</v>
      </c>
      <c r="I367" s="614">
        <v>2.028</v>
      </c>
      <c r="J367" s="32">
        <v>182</v>
      </c>
      <c r="K367" s="32" t="s">
        <v>77</v>
      </c>
      <c r="L367" s="32"/>
      <c r="M367" s="33" t="s">
        <v>66</v>
      </c>
      <c r="N367" s="33"/>
      <c r="O367" s="32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4"/>
      <c r="V367" s="34"/>
      <c r="W367" s="35" t="s">
        <v>67</v>
      </c>
      <c r="X367" s="615">
        <v>12</v>
      </c>
      <c r="Y367" s="616">
        <f t="shared" si="42"/>
        <v>12.6</v>
      </c>
      <c r="Z367" s="36">
        <f>IFERROR(IF(Y367=0,"",ROUNDUP(Y367/H367,0)*0.00651),"")</f>
        <v>4.5569999999999999E-2</v>
      </c>
      <c r="AA367" s="56"/>
      <c r="AB367" s="57"/>
      <c r="AC367" s="443" t="s">
        <v>605</v>
      </c>
      <c r="AG367" s="64"/>
      <c r="AJ367" s="68"/>
      <c r="AK367" s="68">
        <v>0</v>
      </c>
      <c r="BB367" s="444" t="s">
        <v>1</v>
      </c>
      <c r="BM367" s="64">
        <f t="shared" si="43"/>
        <v>13.52</v>
      </c>
      <c r="BN367" s="64">
        <f t="shared" si="44"/>
        <v>14.196</v>
      </c>
      <c r="BO367" s="64">
        <f t="shared" si="45"/>
        <v>3.6630036630036632E-2</v>
      </c>
      <c r="BP367" s="64">
        <f t="shared" si="46"/>
        <v>3.8461538461538464E-2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37" t="s">
        <v>73</v>
      </c>
      <c r="X368" s="617">
        <f>IFERROR(X361/H361,"0")+IFERROR(X362/H362,"0")+IFERROR(X363/H363,"0")+IFERROR(X364/H364,"0")+IFERROR(X365/H365,"0")+IFERROR(X366/H366,"0")+IFERROR(X367/H367,"0")</f>
        <v>6.6666666666666661</v>
      </c>
      <c r="Y368" s="617">
        <f>IFERROR(Y361/H361,"0")+IFERROR(Y362/H362,"0")+IFERROR(Y363/H363,"0")+IFERROR(Y364/H364,"0")+IFERROR(Y365/H365,"0")+IFERROR(Y366/H366,"0")+IFERROR(Y367/H367,"0")</f>
        <v>7</v>
      </c>
      <c r="Z368" s="617">
        <f>IFERROR(IF(Z361="",0,Z361),"0")+IFERROR(IF(Z362="",0,Z362),"0")+IFERROR(IF(Z363="",0,Z363),"0")+IFERROR(IF(Z364="",0,Z364),"0")+IFERROR(IF(Z365="",0,Z365),"0")+IFERROR(IF(Z366="",0,Z366),"0")+IFERROR(IF(Z367="",0,Z367),"0")</f>
        <v>4.5569999999999999E-2</v>
      </c>
      <c r="AA368" s="618"/>
      <c r="AB368" s="618"/>
      <c r="AC368" s="618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37" t="s">
        <v>67</v>
      </c>
      <c r="X369" s="617">
        <f>IFERROR(SUM(X361:X367),"0")</f>
        <v>12</v>
      </c>
      <c r="Y369" s="617">
        <f>IFERROR(SUM(Y361:Y367),"0")</f>
        <v>12.6</v>
      </c>
      <c r="Z369" s="37"/>
      <c r="AA369" s="618"/>
      <c r="AB369" s="618"/>
      <c r="AC369" s="618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11"/>
      <c r="AB370" s="611"/>
      <c r="AC370" s="611"/>
    </row>
    <row r="371" spans="1:68" ht="27" customHeight="1" x14ac:dyDescent="0.25">
      <c r="A371" s="54" t="s">
        <v>606</v>
      </c>
      <c r="B371" s="54" t="s">
        <v>607</v>
      </c>
      <c r="C371" s="31">
        <v>4301051100</v>
      </c>
      <c r="D371" s="619">
        <v>4607091387766</v>
      </c>
      <c r="E371" s="620"/>
      <c r="F371" s="614">
        <v>1.3</v>
      </c>
      <c r="G371" s="32">
        <v>6</v>
      </c>
      <c r="H371" s="614">
        <v>7.8</v>
      </c>
      <c r="I371" s="614">
        <v>8.2880000000000003</v>
      </c>
      <c r="J371" s="32">
        <v>64</v>
      </c>
      <c r="K371" s="32" t="s">
        <v>120</v>
      </c>
      <c r="L371" s="32"/>
      <c r="M371" s="33" t="s">
        <v>78</v>
      </c>
      <c r="N371" s="33"/>
      <c r="O371" s="32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4"/>
      <c r="V371" s="34"/>
      <c r="W371" s="35" t="s">
        <v>67</v>
      </c>
      <c r="X371" s="615">
        <v>0</v>
      </c>
      <c r="Y371" s="61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45" t="s">
        <v>608</v>
      </c>
      <c r="AG371" s="64"/>
      <c r="AJ371" s="68"/>
      <c r="AK371" s="68">
        <v>0</v>
      </c>
      <c r="BB371" s="446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27" customHeight="1" x14ac:dyDescent="0.25">
      <c r="A372" s="54" t="s">
        <v>609</v>
      </c>
      <c r="B372" s="54" t="s">
        <v>610</v>
      </c>
      <c r="C372" s="31">
        <v>4301051818</v>
      </c>
      <c r="D372" s="619">
        <v>4607091387957</v>
      </c>
      <c r="E372" s="620"/>
      <c r="F372" s="614">
        <v>1.3</v>
      </c>
      <c r="G372" s="32">
        <v>6</v>
      </c>
      <c r="H372" s="614">
        <v>7.8</v>
      </c>
      <c r="I372" s="614">
        <v>8.2940000000000005</v>
      </c>
      <c r="J372" s="32">
        <v>64</v>
      </c>
      <c r="K372" s="32" t="s">
        <v>120</v>
      </c>
      <c r="L372" s="32"/>
      <c r="M372" s="33" t="s">
        <v>78</v>
      </c>
      <c r="N372" s="33"/>
      <c r="O372" s="32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4"/>
      <c r="V372" s="34"/>
      <c r="W372" s="35" t="s">
        <v>67</v>
      </c>
      <c r="X372" s="615">
        <v>0</v>
      </c>
      <c r="Y372" s="616">
        <f>IFERROR(IF(X372="",0,CEILING((X372/$H372),1)*$H372),"")</f>
        <v>0</v>
      </c>
      <c r="Z372" s="36" t="str">
        <f>IFERROR(IF(Y372=0,"",ROUNDUP(Y372/H372,0)*0.01898),"")</f>
        <v/>
      </c>
      <c r="AA372" s="56"/>
      <c r="AB372" s="57"/>
      <c r="AC372" s="447" t="s">
        <v>611</v>
      </c>
      <c r="AG372" s="64"/>
      <c r="AJ372" s="68"/>
      <c r="AK372" s="68">
        <v>0</v>
      </c>
      <c r="BB372" s="44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612</v>
      </c>
      <c r="B373" s="54" t="s">
        <v>613</v>
      </c>
      <c r="C373" s="31">
        <v>4301051819</v>
      </c>
      <c r="D373" s="619">
        <v>4607091387964</v>
      </c>
      <c r="E373" s="620"/>
      <c r="F373" s="614">
        <v>1.35</v>
      </c>
      <c r="G373" s="32">
        <v>6</v>
      </c>
      <c r="H373" s="614">
        <v>8.1</v>
      </c>
      <c r="I373" s="614">
        <v>8.5760000000000005</v>
      </c>
      <c r="J373" s="32">
        <v>64</v>
      </c>
      <c r="K373" s="32" t="s">
        <v>120</v>
      </c>
      <c r="L373" s="32"/>
      <c r="M373" s="33" t="s">
        <v>78</v>
      </c>
      <c r="N373" s="33"/>
      <c r="O373" s="32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4"/>
      <c r="V373" s="34"/>
      <c r="W373" s="35" t="s">
        <v>67</v>
      </c>
      <c r="X373" s="615">
        <v>0</v>
      </c>
      <c r="Y373" s="61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614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615</v>
      </c>
      <c r="B374" s="54" t="s">
        <v>616</v>
      </c>
      <c r="C374" s="31">
        <v>4301051734</v>
      </c>
      <c r="D374" s="619">
        <v>4680115884588</v>
      </c>
      <c r="E374" s="620"/>
      <c r="F374" s="614">
        <v>0.5</v>
      </c>
      <c r="G374" s="32">
        <v>6</v>
      </c>
      <c r="H374" s="614">
        <v>3</v>
      </c>
      <c r="I374" s="614">
        <v>3.246</v>
      </c>
      <c r="J374" s="32">
        <v>182</v>
      </c>
      <c r="K374" s="32" t="s">
        <v>77</v>
      </c>
      <c r="L374" s="32"/>
      <c r="M374" s="33" t="s">
        <v>78</v>
      </c>
      <c r="N374" s="33"/>
      <c r="O374" s="32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4"/>
      <c r="V374" s="34"/>
      <c r="W374" s="35" t="s">
        <v>67</v>
      </c>
      <c r="X374" s="615">
        <v>0</v>
      </c>
      <c r="Y374" s="616">
        <f>IFERROR(IF(X374="",0,CEILING((X374/$H374),1)*$H374),"")</f>
        <v>0</v>
      </c>
      <c r="Z374" s="36" t="str">
        <f>IFERROR(IF(Y374=0,"",ROUNDUP(Y374/H374,0)*0.00651),"")</f>
        <v/>
      </c>
      <c r="AA374" s="56"/>
      <c r="AB374" s="57"/>
      <c r="AC374" s="451" t="s">
        <v>608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37" t="s">
        <v>73</v>
      </c>
      <c r="X375" s="617">
        <f>IFERROR(X371/H371,"0")+IFERROR(X372/H372,"0")+IFERROR(X373/H373,"0")+IFERROR(X374/H374,"0")</f>
        <v>0</v>
      </c>
      <c r="Y375" s="617">
        <f>IFERROR(Y371/H371,"0")+IFERROR(Y372/H372,"0")+IFERROR(Y373/H373,"0")+IFERROR(Y374/H374,"0")</f>
        <v>0</v>
      </c>
      <c r="Z375" s="617">
        <f>IFERROR(IF(Z371="",0,Z371),"0")+IFERROR(IF(Z372="",0,Z372),"0")+IFERROR(IF(Z373="",0,Z373),"0")+IFERROR(IF(Z374="",0,Z374),"0")</f>
        <v>0</v>
      </c>
      <c r="AA375" s="618"/>
      <c r="AB375" s="618"/>
      <c r="AC375" s="618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37" t="s">
        <v>67</v>
      </c>
      <c r="X376" s="617">
        <f>IFERROR(SUM(X371:X374),"0")</f>
        <v>0</v>
      </c>
      <c r="Y376" s="617">
        <f>IFERROR(SUM(Y371:Y374),"0")</f>
        <v>0</v>
      </c>
      <c r="Z376" s="37"/>
      <c r="AA376" s="618"/>
      <c r="AB376" s="618"/>
      <c r="AC376" s="618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11"/>
      <c r="AB377" s="611"/>
      <c r="AC377" s="611"/>
    </row>
    <row r="378" spans="1:68" ht="27" customHeight="1" x14ac:dyDescent="0.25">
      <c r="A378" s="54" t="s">
        <v>617</v>
      </c>
      <c r="B378" s="54" t="s">
        <v>618</v>
      </c>
      <c r="C378" s="31">
        <v>4301060387</v>
      </c>
      <c r="D378" s="619">
        <v>4607091380880</v>
      </c>
      <c r="E378" s="620"/>
      <c r="F378" s="614">
        <v>1.4</v>
      </c>
      <c r="G378" s="32">
        <v>6</v>
      </c>
      <c r="H378" s="614">
        <v>8.4</v>
      </c>
      <c r="I378" s="614">
        <v>8.8940000000000001</v>
      </c>
      <c r="J378" s="32">
        <v>64</v>
      </c>
      <c r="K378" s="32" t="s">
        <v>120</v>
      </c>
      <c r="L378" s="32"/>
      <c r="M378" s="33" t="s">
        <v>78</v>
      </c>
      <c r="N378" s="33"/>
      <c r="O378" s="32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4"/>
      <c r="V378" s="34"/>
      <c r="W378" s="35" t="s">
        <v>67</v>
      </c>
      <c r="X378" s="615">
        <v>150</v>
      </c>
      <c r="Y378" s="616">
        <f>IFERROR(IF(X378="",0,CEILING((X378/$H378),1)*$H378),"")</f>
        <v>151.20000000000002</v>
      </c>
      <c r="Z378" s="36">
        <f>IFERROR(IF(Y378=0,"",ROUNDUP(Y378/H378,0)*0.01898),"")</f>
        <v>0.34164</v>
      </c>
      <c r="AA378" s="56"/>
      <c r="AB378" s="57"/>
      <c r="AC378" s="453" t="s">
        <v>619</v>
      </c>
      <c r="AG378" s="64"/>
      <c r="AJ378" s="68"/>
      <c r="AK378" s="68">
        <v>0</v>
      </c>
      <c r="BB378" s="454" t="s">
        <v>1</v>
      </c>
      <c r="BM378" s="64">
        <f>IFERROR(X378*I378/H378,"0")</f>
        <v>158.82142857142856</v>
      </c>
      <c r="BN378" s="64">
        <f>IFERROR(Y378*I378/H378,"0")</f>
        <v>160.09200000000001</v>
      </c>
      <c r="BO378" s="64">
        <f>IFERROR(1/J378*(X378/H378),"0")</f>
        <v>0.27901785714285715</v>
      </c>
      <c r="BP378" s="64">
        <f>IFERROR(1/J378*(Y378/H378),"0")</f>
        <v>0.28125</v>
      </c>
    </row>
    <row r="379" spans="1:68" ht="27" customHeight="1" x14ac:dyDescent="0.25">
      <c r="A379" s="54" t="s">
        <v>620</v>
      </c>
      <c r="B379" s="54" t="s">
        <v>621</v>
      </c>
      <c r="C379" s="31">
        <v>4301060406</v>
      </c>
      <c r="D379" s="619">
        <v>4607091384482</v>
      </c>
      <c r="E379" s="620"/>
      <c r="F379" s="614">
        <v>1.3</v>
      </c>
      <c r="G379" s="32">
        <v>6</v>
      </c>
      <c r="H379" s="614">
        <v>7.8</v>
      </c>
      <c r="I379" s="614">
        <v>8.2940000000000005</v>
      </c>
      <c r="J379" s="32">
        <v>64</v>
      </c>
      <c r="K379" s="32" t="s">
        <v>120</v>
      </c>
      <c r="L379" s="32"/>
      <c r="M379" s="33" t="s">
        <v>78</v>
      </c>
      <c r="N379" s="33"/>
      <c r="O379" s="32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4"/>
      <c r="V379" s="34"/>
      <c r="W379" s="35" t="s">
        <v>67</v>
      </c>
      <c r="X379" s="615">
        <v>0</v>
      </c>
      <c r="Y379" s="616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55" t="s">
        <v>622</v>
      </c>
      <c r="AG379" s="64"/>
      <c r="AJ379" s="68"/>
      <c r="AK379" s="68">
        <v>0</v>
      </c>
      <c r="BB379" s="45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16.5" customHeight="1" x14ac:dyDescent="0.25">
      <c r="A380" s="54" t="s">
        <v>623</v>
      </c>
      <c r="B380" s="54" t="s">
        <v>624</v>
      </c>
      <c r="C380" s="31">
        <v>4301060484</v>
      </c>
      <c r="D380" s="619">
        <v>4607091380897</v>
      </c>
      <c r="E380" s="620"/>
      <c r="F380" s="614">
        <v>1.4</v>
      </c>
      <c r="G380" s="32">
        <v>6</v>
      </c>
      <c r="H380" s="614">
        <v>8.4</v>
      </c>
      <c r="I380" s="614">
        <v>8.8940000000000001</v>
      </c>
      <c r="J380" s="32">
        <v>64</v>
      </c>
      <c r="K380" s="32" t="s">
        <v>120</v>
      </c>
      <c r="L380" s="32"/>
      <c r="M380" s="33" t="s">
        <v>84</v>
      </c>
      <c r="N380" s="33"/>
      <c r="O380" s="32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4"/>
      <c r="V380" s="34"/>
      <c r="W380" s="35" t="s">
        <v>67</v>
      </c>
      <c r="X380" s="615">
        <v>21</v>
      </c>
      <c r="Y380" s="616">
        <f>IFERROR(IF(X380="",0,CEILING((X380/$H380),1)*$H380),"")</f>
        <v>25.200000000000003</v>
      </c>
      <c r="Z380" s="36">
        <f>IFERROR(IF(Y380=0,"",ROUNDUP(Y380/H380,0)*0.01898),"")</f>
        <v>5.6940000000000004E-2</v>
      </c>
      <c r="AA380" s="56"/>
      <c r="AB380" s="57"/>
      <c r="AC380" s="457" t="s">
        <v>625</v>
      </c>
      <c r="AG380" s="64"/>
      <c r="AJ380" s="68"/>
      <c r="AK380" s="68">
        <v>0</v>
      </c>
      <c r="BB380" s="458" t="s">
        <v>1</v>
      </c>
      <c r="BM380" s="64">
        <f>IFERROR(X380*I380/H380,"0")</f>
        <v>22.234999999999999</v>
      </c>
      <c r="BN380" s="64">
        <f>IFERROR(Y380*I380/H380,"0")</f>
        <v>26.682000000000002</v>
      </c>
      <c r="BO380" s="64">
        <f>IFERROR(1/J380*(X380/H380),"0")</f>
        <v>3.90625E-2</v>
      </c>
      <c r="BP380" s="64">
        <f>IFERROR(1/J380*(Y380/H380),"0")</f>
        <v>4.6875E-2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37" t="s">
        <v>73</v>
      </c>
      <c r="X381" s="617">
        <f>IFERROR(X378/H378,"0")+IFERROR(X379/H379,"0")+IFERROR(X380/H380,"0")</f>
        <v>20.357142857142858</v>
      </c>
      <c r="Y381" s="617">
        <f>IFERROR(Y378/H378,"0")+IFERROR(Y379/H379,"0")+IFERROR(Y380/H380,"0")</f>
        <v>21</v>
      </c>
      <c r="Z381" s="617">
        <f>IFERROR(IF(Z378="",0,Z378),"0")+IFERROR(IF(Z379="",0,Z379),"0")+IFERROR(IF(Z380="",0,Z380),"0")</f>
        <v>0.39857999999999999</v>
      </c>
      <c r="AA381" s="618"/>
      <c r="AB381" s="618"/>
      <c r="AC381" s="618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37" t="s">
        <v>67</v>
      </c>
      <c r="X382" s="617">
        <f>IFERROR(SUM(X378:X380),"0")</f>
        <v>171</v>
      </c>
      <c r="Y382" s="617">
        <f>IFERROR(SUM(Y378:Y380),"0")</f>
        <v>176.40000000000003</v>
      </c>
      <c r="Z382" s="37"/>
      <c r="AA382" s="618"/>
      <c r="AB382" s="618"/>
      <c r="AC382" s="618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11"/>
      <c r="AB383" s="611"/>
      <c r="AC383" s="611"/>
    </row>
    <row r="384" spans="1:68" ht="27" customHeight="1" x14ac:dyDescent="0.25">
      <c r="A384" s="54" t="s">
        <v>626</v>
      </c>
      <c r="B384" s="54" t="s">
        <v>627</v>
      </c>
      <c r="C384" s="31">
        <v>4301030235</v>
      </c>
      <c r="D384" s="619">
        <v>4607091388381</v>
      </c>
      <c r="E384" s="620"/>
      <c r="F384" s="614">
        <v>0.38</v>
      </c>
      <c r="G384" s="32">
        <v>8</v>
      </c>
      <c r="H384" s="614">
        <v>3.04</v>
      </c>
      <c r="I384" s="614">
        <v>3.31</v>
      </c>
      <c r="J384" s="32">
        <v>132</v>
      </c>
      <c r="K384" s="32" t="s">
        <v>129</v>
      </c>
      <c r="L384" s="32"/>
      <c r="M384" s="33" t="s">
        <v>95</v>
      </c>
      <c r="N384" s="33"/>
      <c r="O384" s="32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4"/>
      <c r="V384" s="34"/>
      <c r="W384" s="35" t="s">
        <v>67</v>
      </c>
      <c r="X384" s="615">
        <v>0</v>
      </c>
      <c r="Y384" s="616">
        <f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59" t="s">
        <v>628</v>
      </c>
      <c r="AG384" s="64"/>
      <c r="AJ384" s="68"/>
      <c r="AK384" s="68">
        <v>0</v>
      </c>
      <c r="BB384" s="460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629</v>
      </c>
      <c r="B385" s="54" t="s">
        <v>630</v>
      </c>
      <c r="C385" s="31">
        <v>4301030232</v>
      </c>
      <c r="D385" s="619">
        <v>4607091388374</v>
      </c>
      <c r="E385" s="620"/>
      <c r="F385" s="614">
        <v>0.38</v>
      </c>
      <c r="G385" s="32">
        <v>8</v>
      </c>
      <c r="H385" s="614">
        <v>3.04</v>
      </c>
      <c r="I385" s="614">
        <v>3.27</v>
      </c>
      <c r="J385" s="32">
        <v>132</v>
      </c>
      <c r="K385" s="32" t="s">
        <v>129</v>
      </c>
      <c r="L385" s="32"/>
      <c r="M385" s="33" t="s">
        <v>95</v>
      </c>
      <c r="N385" s="33"/>
      <c r="O385" s="32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4"/>
      <c r="V385" s="34"/>
      <c r="W385" s="35" t="s">
        <v>67</v>
      </c>
      <c r="X385" s="615">
        <v>0</v>
      </c>
      <c r="Y385" s="616">
        <f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61" t="s">
        <v>628</v>
      </c>
      <c r="AG385" s="64"/>
      <c r="AJ385" s="68"/>
      <c r="AK385" s="68">
        <v>0</v>
      </c>
      <c r="BB385" s="462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631</v>
      </c>
      <c r="B386" s="54" t="s">
        <v>632</v>
      </c>
      <c r="C386" s="31">
        <v>4301032015</v>
      </c>
      <c r="D386" s="619">
        <v>4607091383102</v>
      </c>
      <c r="E386" s="620"/>
      <c r="F386" s="614">
        <v>0.17</v>
      </c>
      <c r="G386" s="32">
        <v>15</v>
      </c>
      <c r="H386" s="614">
        <v>2.5499999999999998</v>
      </c>
      <c r="I386" s="614">
        <v>2.9550000000000001</v>
      </c>
      <c r="J386" s="32">
        <v>182</v>
      </c>
      <c r="K386" s="32" t="s">
        <v>77</v>
      </c>
      <c r="L386" s="32"/>
      <c r="M386" s="33" t="s">
        <v>95</v>
      </c>
      <c r="N386" s="33"/>
      <c r="O386" s="32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4"/>
      <c r="V386" s="34"/>
      <c r="W386" s="35" t="s">
        <v>67</v>
      </c>
      <c r="X386" s="615">
        <v>0</v>
      </c>
      <c r="Y386" s="616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63" t="s">
        <v>628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633</v>
      </c>
      <c r="B387" s="54" t="s">
        <v>634</v>
      </c>
      <c r="C387" s="31">
        <v>4301030233</v>
      </c>
      <c r="D387" s="619">
        <v>4607091388404</v>
      </c>
      <c r="E387" s="620"/>
      <c r="F387" s="614">
        <v>0.17</v>
      </c>
      <c r="G387" s="32">
        <v>15</v>
      </c>
      <c r="H387" s="614">
        <v>2.5499999999999998</v>
      </c>
      <c r="I387" s="614">
        <v>2.88</v>
      </c>
      <c r="J387" s="32">
        <v>182</v>
      </c>
      <c r="K387" s="32" t="s">
        <v>77</v>
      </c>
      <c r="L387" s="32"/>
      <c r="M387" s="33" t="s">
        <v>95</v>
      </c>
      <c r="N387" s="33"/>
      <c r="O387" s="32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4"/>
      <c r="V387" s="34"/>
      <c r="W387" s="35" t="s">
        <v>67</v>
      </c>
      <c r="X387" s="615">
        <v>0</v>
      </c>
      <c r="Y387" s="616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65" t="s">
        <v>628</v>
      </c>
      <c r="AG387" s="64"/>
      <c r="AJ387" s="68"/>
      <c r="AK387" s="68">
        <v>0</v>
      </c>
      <c r="BB387" s="466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37" t="s">
        <v>73</v>
      </c>
      <c r="X388" s="617">
        <f>IFERROR(X384/H384,"0")+IFERROR(X385/H385,"0")+IFERROR(X386/H386,"0")+IFERROR(X387/H387,"0")</f>
        <v>0</v>
      </c>
      <c r="Y388" s="617">
        <f>IFERROR(Y384/H384,"0")+IFERROR(Y385/H385,"0")+IFERROR(Y386/H386,"0")+IFERROR(Y387/H387,"0")</f>
        <v>0</v>
      </c>
      <c r="Z388" s="617">
        <f>IFERROR(IF(Z384="",0,Z384),"0")+IFERROR(IF(Z385="",0,Z385),"0")+IFERROR(IF(Z386="",0,Z386),"0")+IFERROR(IF(Z387="",0,Z387),"0")</f>
        <v>0</v>
      </c>
      <c r="AA388" s="618"/>
      <c r="AB388" s="618"/>
      <c r="AC388" s="618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37" t="s">
        <v>67</v>
      </c>
      <c r="X389" s="617">
        <f>IFERROR(SUM(X384:X387),"0")</f>
        <v>0</v>
      </c>
      <c r="Y389" s="617">
        <f>IFERROR(SUM(Y384:Y387),"0")</f>
        <v>0</v>
      </c>
      <c r="Z389" s="37"/>
      <c r="AA389" s="618"/>
      <c r="AB389" s="618"/>
      <c r="AC389" s="618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11"/>
      <c r="AB390" s="611"/>
      <c r="AC390" s="611"/>
    </row>
    <row r="391" spans="1:68" ht="16.5" customHeight="1" x14ac:dyDescent="0.25">
      <c r="A391" s="54" t="s">
        <v>636</v>
      </c>
      <c r="B391" s="54" t="s">
        <v>637</v>
      </c>
      <c r="C391" s="31">
        <v>4301180007</v>
      </c>
      <c r="D391" s="619">
        <v>4680115881808</v>
      </c>
      <c r="E391" s="620"/>
      <c r="F391" s="614">
        <v>0.1</v>
      </c>
      <c r="G391" s="32">
        <v>20</v>
      </c>
      <c r="H391" s="614">
        <v>2</v>
      </c>
      <c r="I391" s="614">
        <v>2.2400000000000002</v>
      </c>
      <c r="J391" s="32">
        <v>238</v>
      </c>
      <c r="K391" s="32" t="s">
        <v>77</v>
      </c>
      <c r="L391" s="32"/>
      <c r="M391" s="33" t="s">
        <v>638</v>
      </c>
      <c r="N391" s="33"/>
      <c r="O391" s="32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4"/>
      <c r="V391" s="34"/>
      <c r="W391" s="35" t="s">
        <v>67</v>
      </c>
      <c r="X391" s="615">
        <v>0</v>
      </c>
      <c r="Y391" s="616">
        <f>IFERROR(IF(X391="",0,CEILING((X391/$H391),1)*$H391),"")</f>
        <v>0</v>
      </c>
      <c r="Z391" s="36" t="str">
        <f>IFERROR(IF(Y391=0,"",ROUNDUP(Y391/H391,0)*0.00474),"")</f>
        <v/>
      </c>
      <c r="AA391" s="56"/>
      <c r="AB391" s="57"/>
      <c r="AC391" s="467" t="s">
        <v>639</v>
      </c>
      <c r="AG391" s="64"/>
      <c r="AJ391" s="68"/>
      <c r="AK391" s="68">
        <v>0</v>
      </c>
      <c r="BB391" s="468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customHeight="1" x14ac:dyDescent="0.25">
      <c r="A392" s="54" t="s">
        <v>640</v>
      </c>
      <c r="B392" s="54" t="s">
        <v>641</v>
      </c>
      <c r="C392" s="31">
        <v>4301180006</v>
      </c>
      <c r="D392" s="619">
        <v>4680115881822</v>
      </c>
      <c r="E392" s="620"/>
      <c r="F392" s="614">
        <v>0.1</v>
      </c>
      <c r="G392" s="32">
        <v>20</v>
      </c>
      <c r="H392" s="614">
        <v>2</v>
      </c>
      <c r="I392" s="614">
        <v>2.2400000000000002</v>
      </c>
      <c r="J392" s="32">
        <v>238</v>
      </c>
      <c r="K392" s="32" t="s">
        <v>77</v>
      </c>
      <c r="L392" s="32"/>
      <c r="M392" s="33" t="s">
        <v>638</v>
      </c>
      <c r="N392" s="33"/>
      <c r="O392" s="32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4"/>
      <c r="V392" s="34"/>
      <c r="W392" s="35" t="s">
        <v>67</v>
      </c>
      <c r="X392" s="615">
        <v>0</v>
      </c>
      <c r="Y392" s="616">
        <f>IFERROR(IF(X392="",0,CEILING((X392/$H392),1)*$H392),"")</f>
        <v>0</v>
      </c>
      <c r="Z392" s="36" t="str">
        <f>IFERROR(IF(Y392=0,"",ROUNDUP(Y392/H392,0)*0.00474),"")</f>
        <v/>
      </c>
      <c r="AA392" s="56"/>
      <c r="AB392" s="57"/>
      <c r="AC392" s="469" t="s">
        <v>639</v>
      </c>
      <c r="AG392" s="64"/>
      <c r="AJ392" s="68"/>
      <c r="AK392" s="68">
        <v>0</v>
      </c>
      <c r="BB392" s="47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642</v>
      </c>
      <c r="B393" s="54" t="s">
        <v>643</v>
      </c>
      <c r="C393" s="31">
        <v>4301180001</v>
      </c>
      <c r="D393" s="619">
        <v>4680115880016</v>
      </c>
      <c r="E393" s="620"/>
      <c r="F393" s="614">
        <v>0.1</v>
      </c>
      <c r="G393" s="32">
        <v>20</v>
      </c>
      <c r="H393" s="614">
        <v>2</v>
      </c>
      <c r="I393" s="614">
        <v>2.2400000000000002</v>
      </c>
      <c r="J393" s="32">
        <v>238</v>
      </c>
      <c r="K393" s="32" t="s">
        <v>77</v>
      </c>
      <c r="L393" s="32"/>
      <c r="M393" s="33" t="s">
        <v>638</v>
      </c>
      <c r="N393" s="33"/>
      <c r="O393" s="32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4"/>
      <c r="V393" s="34"/>
      <c r="W393" s="35" t="s">
        <v>67</v>
      </c>
      <c r="X393" s="615">
        <v>12</v>
      </c>
      <c r="Y393" s="616">
        <f>IFERROR(IF(X393="",0,CEILING((X393/$H393),1)*$H393),"")</f>
        <v>12</v>
      </c>
      <c r="Z393" s="36">
        <f>IFERROR(IF(Y393=0,"",ROUNDUP(Y393/H393,0)*0.00474),"")</f>
        <v>2.844E-2</v>
      </c>
      <c r="AA393" s="56"/>
      <c r="AB393" s="57"/>
      <c r="AC393" s="471" t="s">
        <v>639</v>
      </c>
      <c r="AG393" s="64"/>
      <c r="AJ393" s="68"/>
      <c r="AK393" s="68">
        <v>0</v>
      </c>
      <c r="BB393" s="472" t="s">
        <v>1</v>
      </c>
      <c r="BM393" s="64">
        <f>IFERROR(X393*I393/H393,"0")</f>
        <v>13.440000000000001</v>
      </c>
      <c r="BN393" s="64">
        <f>IFERROR(Y393*I393/H393,"0")</f>
        <v>13.440000000000001</v>
      </c>
      <c r="BO393" s="64">
        <f>IFERROR(1/J393*(X393/H393),"0")</f>
        <v>2.5210084033613446E-2</v>
      </c>
      <c r="BP393" s="64">
        <f>IFERROR(1/J393*(Y393/H393),"0")</f>
        <v>2.5210084033613446E-2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37" t="s">
        <v>73</v>
      </c>
      <c r="X394" s="617">
        <f>IFERROR(X391/H391,"0")+IFERROR(X392/H392,"0")+IFERROR(X393/H393,"0")</f>
        <v>6</v>
      </c>
      <c r="Y394" s="617">
        <f>IFERROR(Y391/H391,"0")+IFERROR(Y392/H392,"0")+IFERROR(Y393/H393,"0")</f>
        <v>6</v>
      </c>
      <c r="Z394" s="617">
        <f>IFERROR(IF(Z391="",0,Z391),"0")+IFERROR(IF(Z392="",0,Z392),"0")+IFERROR(IF(Z393="",0,Z393),"0")</f>
        <v>2.844E-2</v>
      </c>
      <c r="AA394" s="618"/>
      <c r="AB394" s="618"/>
      <c r="AC394" s="618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37" t="s">
        <v>67</v>
      </c>
      <c r="X395" s="617">
        <f>IFERROR(SUM(X391:X393),"0")</f>
        <v>12</v>
      </c>
      <c r="Y395" s="617">
        <f>IFERROR(SUM(Y391:Y393),"0")</f>
        <v>12</v>
      </c>
      <c r="Z395" s="37"/>
      <c r="AA395" s="618"/>
      <c r="AB395" s="618"/>
      <c r="AC395" s="618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11"/>
      <c r="AB396" s="611"/>
      <c r="AC396" s="611"/>
    </row>
    <row r="397" spans="1:68" ht="27" customHeight="1" x14ac:dyDescent="0.25">
      <c r="A397" s="54" t="s">
        <v>645</v>
      </c>
      <c r="B397" s="54" t="s">
        <v>646</v>
      </c>
      <c r="C397" s="31">
        <v>4301220003</v>
      </c>
      <c r="D397" s="619">
        <v>4680115888678</v>
      </c>
      <c r="E397" s="620"/>
      <c r="F397" s="614">
        <v>0.25</v>
      </c>
      <c r="G397" s="32">
        <v>12</v>
      </c>
      <c r="H397" s="614">
        <v>3</v>
      </c>
      <c r="I397" s="614">
        <v>3.22</v>
      </c>
      <c r="J397" s="32">
        <v>224</v>
      </c>
      <c r="K397" s="32" t="s">
        <v>77</v>
      </c>
      <c r="L397" s="32"/>
      <c r="M397" s="33" t="s">
        <v>638</v>
      </c>
      <c r="N397" s="33"/>
      <c r="O397" s="32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4"/>
      <c r="V397" s="34"/>
      <c r="W397" s="35" t="s">
        <v>67</v>
      </c>
      <c r="X397" s="615">
        <v>50</v>
      </c>
      <c r="Y397" s="616">
        <f>IFERROR(IF(X397="",0,CEILING((X397/$H397),1)*$H397),"")</f>
        <v>51</v>
      </c>
      <c r="Z397" s="36">
        <f>IFERROR(IF(Y397=0,"",ROUNDUP(Y397/H397,0)*0.0045),"")</f>
        <v>7.6499999999999999E-2</v>
      </c>
      <c r="AA397" s="56"/>
      <c r="AB397" s="57" t="s">
        <v>264</v>
      </c>
      <c r="AC397" s="473" t="s">
        <v>647</v>
      </c>
      <c r="AG397" s="64"/>
      <c r="AJ397" s="68"/>
      <c r="AK397" s="68">
        <v>0</v>
      </c>
      <c r="BB397" s="474" t="s">
        <v>1</v>
      </c>
      <c r="BM397" s="64">
        <f>IFERROR(X397*I397/H397,"0")</f>
        <v>53.666666666666664</v>
      </c>
      <c r="BN397" s="64">
        <f>IFERROR(Y397*I397/H397,"0")</f>
        <v>54.74</v>
      </c>
      <c r="BO397" s="64">
        <f>IFERROR(1/J397*(X397/H397),"0")</f>
        <v>7.4404761904761904E-2</v>
      </c>
      <c r="BP397" s="64">
        <f>IFERROR(1/J397*(Y397/H397),"0")</f>
        <v>7.5892857142857137E-2</v>
      </c>
    </row>
    <row r="398" spans="1:68" ht="27" customHeight="1" x14ac:dyDescent="0.25">
      <c r="A398" s="54" t="s">
        <v>648</v>
      </c>
      <c r="B398" s="54" t="s">
        <v>649</v>
      </c>
      <c r="C398" s="31">
        <v>4301220001</v>
      </c>
      <c r="D398" s="619">
        <v>4680115888654</v>
      </c>
      <c r="E398" s="620"/>
      <c r="F398" s="614">
        <v>0.32500000000000001</v>
      </c>
      <c r="G398" s="32">
        <v>12</v>
      </c>
      <c r="H398" s="614">
        <v>3.9</v>
      </c>
      <c r="I398" s="614">
        <v>4.17</v>
      </c>
      <c r="J398" s="32">
        <v>144</v>
      </c>
      <c r="K398" s="32" t="s">
        <v>129</v>
      </c>
      <c r="L398" s="32"/>
      <c r="M398" s="33" t="s">
        <v>638</v>
      </c>
      <c r="N398" s="33"/>
      <c r="O398" s="32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4"/>
      <c r="V398" s="34"/>
      <c r="W398" s="35" t="s">
        <v>67</v>
      </c>
      <c r="X398" s="615">
        <v>65</v>
      </c>
      <c r="Y398" s="616">
        <f>IFERROR(IF(X398="",0,CEILING((X398/$H398),1)*$H398),"")</f>
        <v>66.3</v>
      </c>
      <c r="Z398" s="36">
        <f>IFERROR(IF(Y398=0,"",ROUNDUP(Y398/H398,0)*0.006),"")</f>
        <v>0.10200000000000001</v>
      </c>
      <c r="AA398" s="56"/>
      <c r="AB398" s="57" t="s">
        <v>264</v>
      </c>
      <c r="AC398" s="475" t="s">
        <v>650</v>
      </c>
      <c r="AG398" s="64"/>
      <c r="AJ398" s="68"/>
      <c r="AK398" s="68">
        <v>0</v>
      </c>
      <c r="BB398" s="476" t="s">
        <v>1</v>
      </c>
      <c r="BM398" s="64">
        <f>IFERROR(X398*I398/H398,"0")</f>
        <v>69.5</v>
      </c>
      <c r="BN398" s="64">
        <f>IFERROR(Y398*I398/H398,"0")</f>
        <v>70.89</v>
      </c>
      <c r="BO398" s="64">
        <f>IFERROR(1/J398*(X398/H398),"0")</f>
        <v>0.11574074074074074</v>
      </c>
      <c r="BP398" s="64">
        <f>IFERROR(1/J398*(Y398/H398),"0")</f>
        <v>0.11805555555555555</v>
      </c>
    </row>
    <row r="399" spans="1:68" ht="27" customHeight="1" x14ac:dyDescent="0.25">
      <c r="A399" s="54" t="s">
        <v>651</v>
      </c>
      <c r="B399" s="54" t="s">
        <v>652</v>
      </c>
      <c r="C399" s="31">
        <v>4301220002</v>
      </c>
      <c r="D399" s="619">
        <v>4680115888753</v>
      </c>
      <c r="E399" s="620"/>
      <c r="F399" s="614">
        <v>0.25</v>
      </c>
      <c r="G399" s="32">
        <v>12</v>
      </c>
      <c r="H399" s="614">
        <v>3</v>
      </c>
      <c r="I399" s="614">
        <v>3.22</v>
      </c>
      <c r="J399" s="32">
        <v>224</v>
      </c>
      <c r="K399" s="32" t="s">
        <v>77</v>
      </c>
      <c r="L399" s="32"/>
      <c r="M399" s="33" t="s">
        <v>638</v>
      </c>
      <c r="N399" s="33"/>
      <c r="O399" s="32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4"/>
      <c r="V399" s="34"/>
      <c r="W399" s="35" t="s">
        <v>67</v>
      </c>
      <c r="X399" s="615">
        <v>50</v>
      </c>
      <c r="Y399" s="616">
        <f>IFERROR(IF(X399="",0,CEILING((X399/$H399),1)*$H399),"")</f>
        <v>51</v>
      </c>
      <c r="Z399" s="36">
        <f>IFERROR(IF(Y399=0,"",ROUNDUP(Y399/H399,0)*0.0045),"")</f>
        <v>7.6499999999999999E-2</v>
      </c>
      <c r="AA399" s="56"/>
      <c r="AB399" s="57" t="s">
        <v>264</v>
      </c>
      <c r="AC399" s="477" t="s">
        <v>647</v>
      </c>
      <c r="AG399" s="64"/>
      <c r="AJ399" s="68"/>
      <c r="AK399" s="68">
        <v>0</v>
      </c>
      <c r="BB399" s="478" t="s">
        <v>1</v>
      </c>
      <c r="BM399" s="64">
        <f>IFERROR(X399*I399/H399,"0")</f>
        <v>53.666666666666664</v>
      </c>
      <c r="BN399" s="64">
        <f>IFERROR(Y399*I399/H399,"0")</f>
        <v>54.74</v>
      </c>
      <c r="BO399" s="64">
        <f>IFERROR(1/J399*(X399/H399),"0")</f>
        <v>7.4404761904761904E-2</v>
      </c>
      <c r="BP399" s="64">
        <f>IFERROR(1/J399*(Y399/H399),"0")</f>
        <v>7.5892857142857137E-2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37" t="s">
        <v>73</v>
      </c>
      <c r="X400" s="617">
        <f>IFERROR(X397/H397,"0")+IFERROR(X398/H398,"0")+IFERROR(X399/H399,"0")</f>
        <v>50</v>
      </c>
      <c r="Y400" s="617">
        <f>IFERROR(Y397/H397,"0")+IFERROR(Y398/H398,"0")+IFERROR(Y399/H399,"0")</f>
        <v>51</v>
      </c>
      <c r="Z400" s="617">
        <f>IFERROR(IF(Z397="",0,Z397),"0")+IFERROR(IF(Z398="",0,Z398),"0")+IFERROR(IF(Z399="",0,Z399),"0")</f>
        <v>0.255</v>
      </c>
      <c r="AA400" s="618"/>
      <c r="AB400" s="618"/>
      <c r="AC400" s="618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37" t="s">
        <v>67</v>
      </c>
      <c r="X401" s="617">
        <f>IFERROR(SUM(X397:X399),"0")</f>
        <v>165</v>
      </c>
      <c r="Y401" s="617">
        <f>IFERROR(SUM(Y397:Y399),"0")</f>
        <v>168.3</v>
      </c>
      <c r="Z401" s="37"/>
      <c r="AA401" s="618"/>
      <c r="AB401" s="618"/>
      <c r="AC401" s="618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10"/>
      <c r="AB402" s="610"/>
      <c r="AC402" s="610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11"/>
      <c r="AB403" s="611"/>
      <c r="AC403" s="611"/>
    </row>
    <row r="404" spans="1:68" ht="27" customHeight="1" x14ac:dyDescent="0.25">
      <c r="A404" s="54" t="s">
        <v>654</v>
      </c>
      <c r="B404" s="54" t="s">
        <v>655</v>
      </c>
      <c r="C404" s="31">
        <v>4301051489</v>
      </c>
      <c r="D404" s="619">
        <v>4607091387919</v>
      </c>
      <c r="E404" s="620"/>
      <c r="F404" s="614">
        <v>1.35</v>
      </c>
      <c r="G404" s="32">
        <v>6</v>
      </c>
      <c r="H404" s="614">
        <v>8.1</v>
      </c>
      <c r="I404" s="614">
        <v>8.5939999999999994</v>
      </c>
      <c r="J404" s="32">
        <v>64</v>
      </c>
      <c r="K404" s="32" t="s">
        <v>120</v>
      </c>
      <c r="L404" s="32"/>
      <c r="M404" s="33" t="s">
        <v>84</v>
      </c>
      <c r="N404" s="33"/>
      <c r="O404" s="32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4"/>
      <c r="V404" s="34"/>
      <c r="W404" s="35" t="s">
        <v>67</v>
      </c>
      <c r="X404" s="615">
        <v>0</v>
      </c>
      <c r="Y404" s="61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657</v>
      </c>
      <c r="B405" s="54" t="s">
        <v>658</v>
      </c>
      <c r="C405" s="31">
        <v>4301051461</v>
      </c>
      <c r="D405" s="619">
        <v>4680115883604</v>
      </c>
      <c r="E405" s="620"/>
      <c r="F405" s="614">
        <v>0.35</v>
      </c>
      <c r="G405" s="32">
        <v>6</v>
      </c>
      <c r="H405" s="614">
        <v>2.1</v>
      </c>
      <c r="I405" s="614">
        <v>2.3519999999999999</v>
      </c>
      <c r="J405" s="32">
        <v>182</v>
      </c>
      <c r="K405" s="32" t="s">
        <v>77</v>
      </c>
      <c r="L405" s="32"/>
      <c r="M405" s="33" t="s">
        <v>78</v>
      </c>
      <c r="N405" s="33"/>
      <c r="O405" s="32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4"/>
      <c r="V405" s="34"/>
      <c r="W405" s="35" t="s">
        <v>67</v>
      </c>
      <c r="X405" s="615">
        <v>54</v>
      </c>
      <c r="Y405" s="616">
        <f>IFERROR(IF(X405="",0,CEILING((X405/$H405),1)*$H405),"")</f>
        <v>54.6</v>
      </c>
      <c r="Z405" s="36">
        <f>IFERROR(IF(Y405=0,"",ROUNDUP(Y405/H405,0)*0.00651),"")</f>
        <v>0.16925999999999999</v>
      </c>
      <c r="AA405" s="56"/>
      <c r="AB405" s="57"/>
      <c r="AC405" s="481" t="s">
        <v>659</v>
      </c>
      <c r="AG405" s="64"/>
      <c r="AJ405" s="68"/>
      <c r="AK405" s="68">
        <v>0</v>
      </c>
      <c r="BB405" s="482" t="s">
        <v>1</v>
      </c>
      <c r="BM405" s="64">
        <f>IFERROR(X405*I405/H405,"0")</f>
        <v>60.48</v>
      </c>
      <c r="BN405" s="64">
        <f>IFERROR(Y405*I405/H405,"0")</f>
        <v>61.151999999999994</v>
      </c>
      <c r="BO405" s="64">
        <f>IFERROR(1/J405*(X405/H405),"0")</f>
        <v>0.14128728414442701</v>
      </c>
      <c r="BP405" s="64">
        <f>IFERROR(1/J405*(Y405/H405),"0")</f>
        <v>0.14285714285714288</v>
      </c>
    </row>
    <row r="406" spans="1:68" ht="27" customHeight="1" x14ac:dyDescent="0.25">
      <c r="A406" s="54" t="s">
        <v>660</v>
      </c>
      <c r="B406" s="54" t="s">
        <v>661</v>
      </c>
      <c r="C406" s="31">
        <v>4301051864</v>
      </c>
      <c r="D406" s="619">
        <v>4680115883567</v>
      </c>
      <c r="E406" s="620"/>
      <c r="F406" s="614">
        <v>0.35</v>
      </c>
      <c r="G406" s="32">
        <v>6</v>
      </c>
      <c r="H406" s="614">
        <v>2.1</v>
      </c>
      <c r="I406" s="614">
        <v>2.34</v>
      </c>
      <c r="J406" s="32">
        <v>182</v>
      </c>
      <c r="K406" s="32" t="s">
        <v>77</v>
      </c>
      <c r="L406" s="32"/>
      <c r="M406" s="33" t="s">
        <v>84</v>
      </c>
      <c r="N406" s="33"/>
      <c r="O406" s="32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4"/>
      <c r="V406" s="34"/>
      <c r="W406" s="35" t="s">
        <v>67</v>
      </c>
      <c r="X406" s="615">
        <v>0</v>
      </c>
      <c r="Y406" s="61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662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37" t="s">
        <v>73</v>
      </c>
      <c r="X407" s="617">
        <f>IFERROR(X404/H404,"0")+IFERROR(X405/H405,"0")+IFERROR(X406/H406,"0")</f>
        <v>25.714285714285712</v>
      </c>
      <c r="Y407" s="617">
        <f>IFERROR(Y404/H404,"0")+IFERROR(Y405/H405,"0")+IFERROR(Y406/H406,"0")</f>
        <v>26</v>
      </c>
      <c r="Z407" s="617">
        <f>IFERROR(IF(Z404="",0,Z404),"0")+IFERROR(IF(Z405="",0,Z405),"0")+IFERROR(IF(Z406="",0,Z406),"0")</f>
        <v>0.16925999999999999</v>
      </c>
      <c r="AA407" s="618"/>
      <c r="AB407" s="618"/>
      <c r="AC407" s="618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37" t="s">
        <v>67</v>
      </c>
      <c r="X408" s="617">
        <f>IFERROR(SUM(X404:X406),"0")</f>
        <v>54</v>
      </c>
      <c r="Y408" s="617">
        <f>IFERROR(SUM(Y404:Y406),"0")</f>
        <v>54.6</v>
      </c>
      <c r="Z408" s="37"/>
      <c r="AA408" s="618"/>
      <c r="AB408" s="618"/>
      <c r="AC408" s="618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48"/>
      <c r="AB409" s="48"/>
      <c r="AC409" s="48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10"/>
      <c r="AB410" s="610"/>
      <c r="AC410" s="610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11"/>
      <c r="AB411" s="611"/>
      <c r="AC411" s="611"/>
    </row>
    <row r="412" spans="1:68" ht="27" customHeight="1" x14ac:dyDescent="0.25">
      <c r="A412" s="54" t="s">
        <v>665</v>
      </c>
      <c r="B412" s="54" t="s">
        <v>666</v>
      </c>
      <c r="C412" s="31">
        <v>4301012332</v>
      </c>
      <c r="D412" s="619">
        <v>4680115888401</v>
      </c>
      <c r="E412" s="620"/>
      <c r="F412" s="614">
        <v>2.5</v>
      </c>
      <c r="G412" s="32">
        <v>6</v>
      </c>
      <c r="H412" s="614">
        <v>15</v>
      </c>
      <c r="I412" s="614">
        <v>15.47</v>
      </c>
      <c r="J412" s="32">
        <v>48</v>
      </c>
      <c r="K412" s="32" t="s">
        <v>120</v>
      </c>
      <c r="L412" s="32"/>
      <c r="M412" s="33" t="s">
        <v>84</v>
      </c>
      <c r="N412" s="33"/>
      <c r="O412" s="32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4"/>
      <c r="V412" s="34"/>
      <c r="W412" s="35" t="s">
        <v>67</v>
      </c>
      <c r="X412" s="615">
        <v>132</v>
      </c>
      <c r="Y412" s="616">
        <f t="shared" ref="Y412:Y419" si="47">IFERROR(IF(X412="",0,CEILING((X412/$H412),1)*$H412),"")</f>
        <v>135</v>
      </c>
      <c r="Z412" s="36">
        <f>IFERROR(IF(Y412=0,"",ROUNDUP(Y412/H412,0)*0.02175),"")</f>
        <v>0.19574999999999998</v>
      </c>
      <c r="AA412" s="56"/>
      <c r="AB412" s="57"/>
      <c r="AC412" s="485" t="s">
        <v>667</v>
      </c>
      <c r="AG412" s="64"/>
      <c r="AJ412" s="68"/>
      <c r="AK412" s="68">
        <v>0</v>
      </c>
      <c r="BB412" s="486" t="s">
        <v>1</v>
      </c>
      <c r="BM412" s="64">
        <f t="shared" ref="BM412:BM419" si="48">IFERROR(X412*I412/H412,"0")</f>
        <v>136.13600000000002</v>
      </c>
      <c r="BN412" s="64">
        <f t="shared" ref="BN412:BN419" si="49">IFERROR(Y412*I412/H412,"0")</f>
        <v>139.23000000000002</v>
      </c>
      <c r="BO412" s="64">
        <f t="shared" ref="BO412:BO419" si="50">IFERROR(1/J412*(X412/H412),"0")</f>
        <v>0.18333333333333335</v>
      </c>
      <c r="BP412" s="64">
        <f t="shared" ref="BP412:BP419" si="51">IFERROR(1/J412*(Y412/H412),"0")</f>
        <v>0.1875</v>
      </c>
    </row>
    <row r="413" spans="1:68" ht="37.5" customHeight="1" x14ac:dyDescent="0.25">
      <c r="A413" s="54" t="s">
        <v>668</v>
      </c>
      <c r="B413" s="54" t="s">
        <v>669</v>
      </c>
      <c r="C413" s="31">
        <v>4301011869</v>
      </c>
      <c r="D413" s="619">
        <v>4680115884847</v>
      </c>
      <c r="E413" s="620"/>
      <c r="F413" s="614">
        <v>2.5</v>
      </c>
      <c r="G413" s="32">
        <v>6</v>
      </c>
      <c r="H413" s="614">
        <v>15</v>
      </c>
      <c r="I413" s="614">
        <v>15.47</v>
      </c>
      <c r="J413" s="32">
        <v>48</v>
      </c>
      <c r="K413" s="32" t="s">
        <v>120</v>
      </c>
      <c r="L413" s="32"/>
      <c r="M413" s="33" t="s">
        <v>66</v>
      </c>
      <c r="N413" s="33"/>
      <c r="O413" s="32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4"/>
      <c r="V413" s="34"/>
      <c r="W413" s="35" t="s">
        <v>67</v>
      </c>
      <c r="X413" s="615">
        <v>370</v>
      </c>
      <c r="Y413" s="616">
        <f t="shared" si="47"/>
        <v>375</v>
      </c>
      <c r="Z413" s="36">
        <f>IFERROR(IF(Y413=0,"",ROUNDUP(Y413/H413,0)*0.02175),"")</f>
        <v>0.54374999999999996</v>
      </c>
      <c r="AA413" s="56"/>
      <c r="AB413" s="57"/>
      <c r="AC413" s="487" t="s">
        <v>670</v>
      </c>
      <c r="AG413" s="64"/>
      <c r="AJ413" s="68"/>
      <c r="AK413" s="68">
        <v>0</v>
      </c>
      <c r="BB413" s="488" t="s">
        <v>1</v>
      </c>
      <c r="BM413" s="64">
        <f t="shared" si="48"/>
        <v>381.59333333333336</v>
      </c>
      <c r="BN413" s="64">
        <f t="shared" si="49"/>
        <v>386.75</v>
      </c>
      <c r="BO413" s="64">
        <f t="shared" si="50"/>
        <v>0.51388888888888884</v>
      </c>
      <c r="BP413" s="64">
        <f t="shared" si="51"/>
        <v>0.52083333333333326</v>
      </c>
    </row>
    <row r="414" spans="1:68" ht="27" customHeight="1" x14ac:dyDescent="0.25">
      <c r="A414" s="54" t="s">
        <v>671</v>
      </c>
      <c r="B414" s="54" t="s">
        <v>672</v>
      </c>
      <c r="C414" s="31">
        <v>4301012083</v>
      </c>
      <c r="D414" s="619">
        <v>4680115884854</v>
      </c>
      <c r="E414" s="620"/>
      <c r="F414" s="614">
        <v>2.5</v>
      </c>
      <c r="G414" s="32">
        <v>6</v>
      </c>
      <c r="H414" s="614">
        <v>15</v>
      </c>
      <c r="I414" s="614">
        <v>15.47</v>
      </c>
      <c r="J414" s="32">
        <v>48</v>
      </c>
      <c r="K414" s="32" t="s">
        <v>120</v>
      </c>
      <c r="L414" s="32"/>
      <c r="M414" s="33" t="s">
        <v>121</v>
      </c>
      <c r="N414" s="33"/>
      <c r="O414" s="32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4"/>
      <c r="V414" s="34"/>
      <c r="W414" s="35" t="s">
        <v>67</v>
      </c>
      <c r="X414" s="615">
        <v>1233</v>
      </c>
      <c r="Y414" s="616">
        <f t="shared" si="47"/>
        <v>1245</v>
      </c>
      <c r="Z414" s="36">
        <f>IFERROR(IF(Y414=0,"",ROUNDUP(Y414/H414,0)*0.02175),"")</f>
        <v>1.8052499999999998</v>
      </c>
      <c r="AA414" s="56"/>
      <c r="AB414" s="57"/>
      <c r="AC414" s="489" t="s">
        <v>673</v>
      </c>
      <c r="AG414" s="64"/>
      <c r="AJ414" s="68"/>
      <c r="AK414" s="68">
        <v>0</v>
      </c>
      <c r="BB414" s="490" t="s">
        <v>1</v>
      </c>
      <c r="BM414" s="64">
        <f t="shared" si="48"/>
        <v>1271.6340000000002</v>
      </c>
      <c r="BN414" s="64">
        <f t="shared" si="49"/>
        <v>1284.01</v>
      </c>
      <c r="BO414" s="64">
        <f t="shared" si="50"/>
        <v>1.7124999999999999</v>
      </c>
      <c r="BP414" s="64">
        <f t="shared" si="51"/>
        <v>1.7291666666666665</v>
      </c>
    </row>
    <row r="415" spans="1:68" ht="27" customHeight="1" x14ac:dyDescent="0.25">
      <c r="A415" s="54" t="s">
        <v>674</v>
      </c>
      <c r="B415" s="54" t="s">
        <v>675</v>
      </c>
      <c r="C415" s="31">
        <v>4301011867</v>
      </c>
      <c r="D415" s="619">
        <v>4680115884830</v>
      </c>
      <c r="E415" s="620"/>
      <c r="F415" s="614">
        <v>2.5</v>
      </c>
      <c r="G415" s="32">
        <v>6</v>
      </c>
      <c r="H415" s="614">
        <v>15</v>
      </c>
      <c r="I415" s="614">
        <v>15.47</v>
      </c>
      <c r="J415" s="32">
        <v>48</v>
      </c>
      <c r="K415" s="32" t="s">
        <v>120</v>
      </c>
      <c r="L415" s="32"/>
      <c r="M415" s="33" t="s">
        <v>66</v>
      </c>
      <c r="N415" s="33"/>
      <c r="O415" s="32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4"/>
      <c r="V415" s="34"/>
      <c r="W415" s="35" t="s">
        <v>67</v>
      </c>
      <c r="X415" s="615">
        <v>793</v>
      </c>
      <c r="Y415" s="616">
        <f t="shared" si="47"/>
        <v>795</v>
      </c>
      <c r="Z415" s="36">
        <f>IFERROR(IF(Y415=0,"",ROUNDUP(Y415/H415,0)*0.02175),"")</f>
        <v>1.1527499999999999</v>
      </c>
      <c r="AA415" s="56"/>
      <c r="AB415" s="57"/>
      <c r="AC415" s="491" t="s">
        <v>676</v>
      </c>
      <c r="AG415" s="64"/>
      <c r="AJ415" s="68"/>
      <c r="AK415" s="68">
        <v>0</v>
      </c>
      <c r="BB415" s="492" t="s">
        <v>1</v>
      </c>
      <c r="BM415" s="64">
        <f t="shared" si="48"/>
        <v>817.84733333333338</v>
      </c>
      <c r="BN415" s="64">
        <f t="shared" si="49"/>
        <v>819.91</v>
      </c>
      <c r="BO415" s="64">
        <f t="shared" si="50"/>
        <v>1.1013888888888888</v>
      </c>
      <c r="BP415" s="64">
        <f t="shared" si="51"/>
        <v>1.1041666666666665</v>
      </c>
    </row>
    <row r="416" spans="1:68" ht="27" customHeight="1" x14ac:dyDescent="0.25">
      <c r="A416" s="54" t="s">
        <v>677</v>
      </c>
      <c r="B416" s="54" t="s">
        <v>678</v>
      </c>
      <c r="C416" s="31">
        <v>4301012356</v>
      </c>
      <c r="D416" s="619">
        <v>4680115889231</v>
      </c>
      <c r="E416" s="620"/>
      <c r="F416" s="614">
        <v>2.5</v>
      </c>
      <c r="G416" s="32">
        <v>6</v>
      </c>
      <c r="H416" s="614">
        <v>15</v>
      </c>
      <c r="I416" s="614">
        <v>15.47</v>
      </c>
      <c r="J416" s="32">
        <v>48</v>
      </c>
      <c r="K416" s="32" t="s">
        <v>120</v>
      </c>
      <c r="L416" s="32"/>
      <c r="M416" s="33" t="s">
        <v>84</v>
      </c>
      <c r="N416" s="33"/>
      <c r="O416" s="32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4"/>
      <c r="V416" s="34"/>
      <c r="W416" s="35" t="s">
        <v>67</v>
      </c>
      <c r="X416" s="615">
        <v>551</v>
      </c>
      <c r="Y416" s="616">
        <f t="shared" si="47"/>
        <v>555</v>
      </c>
      <c r="Z416" s="36">
        <f>IFERROR(IF(Y416=0,"",ROUNDUP(Y416/H416,0)*0.02175),"")</f>
        <v>0.80474999999999997</v>
      </c>
      <c r="AA416" s="56"/>
      <c r="AB416" s="57"/>
      <c r="AC416" s="493" t="s">
        <v>679</v>
      </c>
      <c r="AG416" s="64"/>
      <c r="AJ416" s="68"/>
      <c r="AK416" s="68">
        <v>0</v>
      </c>
      <c r="BB416" s="494" t="s">
        <v>1</v>
      </c>
      <c r="BM416" s="64">
        <f t="shared" si="48"/>
        <v>568.2646666666667</v>
      </c>
      <c r="BN416" s="64">
        <f t="shared" si="49"/>
        <v>572.39</v>
      </c>
      <c r="BO416" s="64">
        <f t="shared" si="50"/>
        <v>0.76527777777777772</v>
      </c>
      <c r="BP416" s="64">
        <f t="shared" si="51"/>
        <v>0.77083333333333326</v>
      </c>
    </row>
    <row r="417" spans="1:68" ht="27" customHeight="1" x14ac:dyDescent="0.25">
      <c r="A417" s="54" t="s">
        <v>680</v>
      </c>
      <c r="B417" s="54" t="s">
        <v>681</v>
      </c>
      <c r="C417" s="31">
        <v>4301011433</v>
      </c>
      <c r="D417" s="619">
        <v>4680115882638</v>
      </c>
      <c r="E417" s="620"/>
      <c r="F417" s="614">
        <v>0.4</v>
      </c>
      <c r="G417" s="32">
        <v>10</v>
      </c>
      <c r="H417" s="614">
        <v>4</v>
      </c>
      <c r="I417" s="614">
        <v>4.1900000000000004</v>
      </c>
      <c r="J417" s="32">
        <v>132</v>
      </c>
      <c r="K417" s="32" t="s">
        <v>129</v>
      </c>
      <c r="L417" s="32"/>
      <c r="M417" s="33" t="s">
        <v>121</v>
      </c>
      <c r="N417" s="33"/>
      <c r="O417" s="32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4"/>
      <c r="V417" s="34"/>
      <c r="W417" s="35" t="s">
        <v>67</v>
      </c>
      <c r="X417" s="615">
        <v>0</v>
      </c>
      <c r="Y417" s="616">
        <f t="shared" si="47"/>
        <v>0</v>
      </c>
      <c r="Z417" s="36" t="str">
        <f>IFERROR(IF(Y417=0,"",ROUNDUP(Y417/H417,0)*0.00902),"")</f>
        <v/>
      </c>
      <c r="AA417" s="56"/>
      <c r="AB417" s="57"/>
      <c r="AC417" s="495" t="s">
        <v>682</v>
      </c>
      <c r="AG417" s="64"/>
      <c r="AJ417" s="68"/>
      <c r="AK417" s="68">
        <v>0</v>
      </c>
      <c r="BB417" s="496" t="s">
        <v>1</v>
      </c>
      <c r="BM417" s="64">
        <f t="shared" si="48"/>
        <v>0</v>
      </c>
      <c r="BN417" s="64">
        <f t="shared" si="49"/>
        <v>0</v>
      </c>
      <c r="BO417" s="64">
        <f t="shared" si="50"/>
        <v>0</v>
      </c>
      <c r="BP417" s="64">
        <f t="shared" si="51"/>
        <v>0</v>
      </c>
    </row>
    <row r="418" spans="1:68" ht="27" customHeight="1" x14ac:dyDescent="0.25">
      <c r="A418" s="54" t="s">
        <v>683</v>
      </c>
      <c r="B418" s="54" t="s">
        <v>684</v>
      </c>
      <c r="C418" s="31">
        <v>4301011952</v>
      </c>
      <c r="D418" s="619">
        <v>4680115884922</v>
      </c>
      <c r="E418" s="620"/>
      <c r="F418" s="614">
        <v>0.5</v>
      </c>
      <c r="G418" s="32">
        <v>10</v>
      </c>
      <c r="H418" s="614">
        <v>5</v>
      </c>
      <c r="I418" s="614">
        <v>5.19</v>
      </c>
      <c r="J418" s="32">
        <v>132</v>
      </c>
      <c r="K418" s="32" t="s">
        <v>129</v>
      </c>
      <c r="L418" s="32"/>
      <c r="M418" s="33" t="s">
        <v>66</v>
      </c>
      <c r="N418" s="33"/>
      <c r="O418" s="32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4"/>
      <c r="V418" s="34"/>
      <c r="W418" s="35" t="s">
        <v>67</v>
      </c>
      <c r="X418" s="615">
        <v>0</v>
      </c>
      <c r="Y418" s="616">
        <f t="shared" si="47"/>
        <v>0</v>
      </c>
      <c r="Z418" s="36" t="str">
        <f>IFERROR(IF(Y418=0,"",ROUNDUP(Y418/H418,0)*0.00902),"")</f>
        <v/>
      </c>
      <c r="AA418" s="56"/>
      <c r="AB418" s="57"/>
      <c r="AC418" s="497" t="s">
        <v>685</v>
      </c>
      <c r="AG418" s="64"/>
      <c r="AJ418" s="68"/>
      <c r="AK418" s="68">
        <v>0</v>
      </c>
      <c r="BB418" s="498" t="s">
        <v>1</v>
      </c>
      <c r="BM418" s="64">
        <f t="shared" si="48"/>
        <v>0</v>
      </c>
      <c r="BN418" s="64">
        <f t="shared" si="49"/>
        <v>0</v>
      </c>
      <c r="BO418" s="64">
        <f t="shared" si="50"/>
        <v>0</v>
      </c>
      <c r="BP418" s="64">
        <f t="shared" si="51"/>
        <v>0</v>
      </c>
    </row>
    <row r="419" spans="1:68" ht="37.5" customHeight="1" x14ac:dyDescent="0.25">
      <c r="A419" s="54" t="s">
        <v>686</v>
      </c>
      <c r="B419" s="54" t="s">
        <v>687</v>
      </c>
      <c r="C419" s="31">
        <v>4301011868</v>
      </c>
      <c r="D419" s="619">
        <v>4680115884861</v>
      </c>
      <c r="E419" s="620"/>
      <c r="F419" s="614">
        <v>0.5</v>
      </c>
      <c r="G419" s="32">
        <v>10</v>
      </c>
      <c r="H419" s="614">
        <v>5</v>
      </c>
      <c r="I419" s="614">
        <v>5.19</v>
      </c>
      <c r="J419" s="32">
        <v>132</v>
      </c>
      <c r="K419" s="32" t="s">
        <v>129</v>
      </c>
      <c r="L419" s="32"/>
      <c r="M419" s="33" t="s">
        <v>66</v>
      </c>
      <c r="N419" s="33"/>
      <c r="O419" s="32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4"/>
      <c r="V419" s="34"/>
      <c r="W419" s="35" t="s">
        <v>67</v>
      </c>
      <c r="X419" s="615">
        <v>0</v>
      </c>
      <c r="Y419" s="616">
        <f t="shared" si="47"/>
        <v>0</v>
      </c>
      <c r="Z419" s="36" t="str">
        <f>IFERROR(IF(Y419=0,"",ROUNDUP(Y419/H419,0)*0.00902),"")</f>
        <v/>
      </c>
      <c r="AA419" s="56"/>
      <c r="AB419" s="57"/>
      <c r="AC419" s="499" t="s">
        <v>688</v>
      </c>
      <c r="AG419" s="64"/>
      <c r="AJ419" s="68"/>
      <c r="AK419" s="68">
        <v>0</v>
      </c>
      <c r="BB419" s="500" t="s">
        <v>1</v>
      </c>
      <c r="BM419" s="64">
        <f t="shared" si="48"/>
        <v>0</v>
      </c>
      <c r="BN419" s="64">
        <f t="shared" si="49"/>
        <v>0</v>
      </c>
      <c r="BO419" s="64">
        <f t="shared" si="50"/>
        <v>0</v>
      </c>
      <c r="BP419" s="64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37" t="s">
        <v>73</v>
      </c>
      <c r="X420" s="617">
        <f>IFERROR(X412/H412,"0")+IFERROR(X413/H413,"0")+IFERROR(X414/H414,"0")+IFERROR(X415/H415,"0")+IFERROR(X416/H416,"0")+IFERROR(X417/H417,"0")+IFERROR(X418/H418,"0")+IFERROR(X419/H419,"0")</f>
        <v>205.26666666666665</v>
      </c>
      <c r="Y420" s="617">
        <f>IFERROR(Y412/H412,"0")+IFERROR(Y413/H413,"0")+IFERROR(Y414/H414,"0")+IFERROR(Y415/H415,"0")+IFERROR(Y416/H416,"0")+IFERROR(Y417/H417,"0")+IFERROR(Y418/H418,"0")+IFERROR(Y419/H419,"0")</f>
        <v>207</v>
      </c>
      <c r="Z420" s="617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4.5022500000000001</v>
      </c>
      <c r="AA420" s="618"/>
      <c r="AB420" s="618"/>
      <c r="AC420" s="618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37" t="s">
        <v>67</v>
      </c>
      <c r="X421" s="617">
        <f>IFERROR(SUM(X412:X419),"0")</f>
        <v>3079</v>
      </c>
      <c r="Y421" s="617">
        <f>IFERROR(SUM(Y412:Y419),"0")</f>
        <v>3105</v>
      </c>
      <c r="Z421" s="37"/>
      <c r="AA421" s="618"/>
      <c r="AB421" s="618"/>
      <c r="AC421" s="618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11"/>
      <c r="AB422" s="611"/>
      <c r="AC422" s="611"/>
    </row>
    <row r="423" spans="1:68" ht="27" customHeight="1" x14ac:dyDescent="0.25">
      <c r="A423" s="54" t="s">
        <v>689</v>
      </c>
      <c r="B423" s="54" t="s">
        <v>690</v>
      </c>
      <c r="C423" s="31">
        <v>4301020178</v>
      </c>
      <c r="D423" s="619">
        <v>4607091383980</v>
      </c>
      <c r="E423" s="620"/>
      <c r="F423" s="614">
        <v>2.5</v>
      </c>
      <c r="G423" s="32">
        <v>6</v>
      </c>
      <c r="H423" s="614">
        <v>15</v>
      </c>
      <c r="I423" s="614">
        <v>15.47</v>
      </c>
      <c r="J423" s="32">
        <v>48</v>
      </c>
      <c r="K423" s="32" t="s">
        <v>120</v>
      </c>
      <c r="L423" s="32"/>
      <c r="M423" s="33" t="s">
        <v>121</v>
      </c>
      <c r="N423" s="33"/>
      <c r="O423" s="32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4"/>
      <c r="V423" s="34"/>
      <c r="W423" s="35" t="s">
        <v>67</v>
      </c>
      <c r="X423" s="615">
        <v>1721</v>
      </c>
      <c r="Y423" s="616">
        <f>IFERROR(IF(X423="",0,CEILING((X423/$H423),1)*$H423),"")</f>
        <v>1725</v>
      </c>
      <c r="Z423" s="36">
        <f>IFERROR(IF(Y423=0,"",ROUNDUP(Y423/H423,0)*0.02175),"")</f>
        <v>2.5012499999999998</v>
      </c>
      <c r="AA423" s="56"/>
      <c r="AB423" s="57"/>
      <c r="AC423" s="501" t="s">
        <v>691</v>
      </c>
      <c r="AG423" s="64"/>
      <c r="AJ423" s="68"/>
      <c r="AK423" s="68">
        <v>0</v>
      </c>
      <c r="BB423" s="502" t="s">
        <v>1</v>
      </c>
      <c r="BM423" s="64">
        <f>IFERROR(X423*I423/H423,"0")</f>
        <v>1774.9246666666668</v>
      </c>
      <c r="BN423" s="64">
        <f>IFERROR(Y423*I423/H423,"0")</f>
        <v>1779.05</v>
      </c>
      <c r="BO423" s="64">
        <f>IFERROR(1/J423*(X423/H423),"0")</f>
        <v>2.3902777777777775</v>
      </c>
      <c r="BP423" s="64">
        <f>IFERROR(1/J423*(Y423/H423),"0")</f>
        <v>2.395833333333333</v>
      </c>
    </row>
    <row r="424" spans="1:68" ht="27" customHeight="1" x14ac:dyDescent="0.25">
      <c r="A424" s="54" t="s">
        <v>692</v>
      </c>
      <c r="B424" s="54" t="s">
        <v>693</v>
      </c>
      <c r="C424" s="31">
        <v>4301020355</v>
      </c>
      <c r="D424" s="619">
        <v>4680115888425</v>
      </c>
      <c r="E424" s="620"/>
      <c r="F424" s="614">
        <v>2.5</v>
      </c>
      <c r="G424" s="32">
        <v>6</v>
      </c>
      <c r="H424" s="614">
        <v>15</v>
      </c>
      <c r="I424" s="614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4"/>
      <c r="V424" s="34"/>
      <c r="W424" s="35" t="s">
        <v>67</v>
      </c>
      <c r="X424" s="615">
        <v>97</v>
      </c>
      <c r="Y424" s="616">
        <f>IFERROR(IF(X424="",0,CEILING((X424/$H424),1)*$H424),"")</f>
        <v>105</v>
      </c>
      <c r="Z424" s="36">
        <f>IFERROR(IF(Y424=0,"",ROUNDUP(Y424/H424,0)*0.02175),"")</f>
        <v>0.15225</v>
      </c>
      <c r="AA424" s="56"/>
      <c r="AB424" s="57"/>
      <c r="AC424" s="503" t="s">
        <v>694</v>
      </c>
      <c r="AG424" s="64"/>
      <c r="AJ424" s="68"/>
      <c r="AK424" s="68">
        <v>0</v>
      </c>
      <c r="BB424" s="504" t="s">
        <v>1</v>
      </c>
      <c r="BM424" s="64">
        <f>IFERROR(X424*I424/H424,"0")</f>
        <v>100.03933333333335</v>
      </c>
      <c r="BN424" s="64">
        <f>IFERROR(Y424*I424/H424,"0")</f>
        <v>108.29</v>
      </c>
      <c r="BO424" s="64">
        <f>IFERROR(1/J424*(X424/H424),"0")</f>
        <v>0.13472222222222222</v>
      </c>
      <c r="BP424" s="64">
        <f>IFERROR(1/J424*(Y424/H424),"0")</f>
        <v>0.14583333333333331</v>
      </c>
    </row>
    <row r="425" spans="1:68" ht="27" customHeight="1" x14ac:dyDescent="0.25">
      <c r="A425" s="54" t="s">
        <v>695</v>
      </c>
      <c r="B425" s="54" t="s">
        <v>696</v>
      </c>
      <c r="C425" s="31">
        <v>4301020179</v>
      </c>
      <c r="D425" s="619">
        <v>4607091384178</v>
      </c>
      <c r="E425" s="620"/>
      <c r="F425" s="614">
        <v>0.4</v>
      </c>
      <c r="G425" s="32">
        <v>10</v>
      </c>
      <c r="H425" s="614">
        <v>4</v>
      </c>
      <c r="I425" s="614">
        <v>4.1900000000000004</v>
      </c>
      <c r="J425" s="32">
        <v>132</v>
      </c>
      <c r="K425" s="32" t="s">
        <v>129</v>
      </c>
      <c r="L425" s="32"/>
      <c r="M425" s="33" t="s">
        <v>121</v>
      </c>
      <c r="N425" s="33"/>
      <c r="O425" s="32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4"/>
      <c r="V425" s="34"/>
      <c r="W425" s="35" t="s">
        <v>67</v>
      </c>
      <c r="X425" s="615">
        <v>0</v>
      </c>
      <c r="Y425" s="616">
        <f>IFERROR(IF(X425="",0,CEILING((X425/$H425),1)*$H425),"")</f>
        <v>0</v>
      </c>
      <c r="Z425" s="36" t="str">
        <f>IFERROR(IF(Y425=0,"",ROUNDUP(Y425/H425,0)*0.00902),"")</f>
        <v/>
      </c>
      <c r="AA425" s="56"/>
      <c r="AB425" s="57"/>
      <c r="AC425" s="505" t="s">
        <v>697</v>
      </c>
      <c r="AG425" s="64"/>
      <c r="AJ425" s="68"/>
      <c r="AK425" s="68">
        <v>0</v>
      </c>
      <c r="BB425" s="506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37" t="s">
        <v>73</v>
      </c>
      <c r="X426" s="617">
        <f>IFERROR(X423/H423,"0")+IFERROR(X424/H424,"0")+IFERROR(X425/H425,"0")</f>
        <v>121.2</v>
      </c>
      <c r="Y426" s="617">
        <f>IFERROR(Y423/H423,"0")+IFERROR(Y424/H424,"0")+IFERROR(Y425/H425,"0")</f>
        <v>122</v>
      </c>
      <c r="Z426" s="617">
        <f>IFERROR(IF(Z423="",0,Z423),"0")+IFERROR(IF(Z424="",0,Z424),"0")+IFERROR(IF(Z425="",0,Z425),"0")</f>
        <v>2.6534999999999997</v>
      </c>
      <c r="AA426" s="618"/>
      <c r="AB426" s="618"/>
      <c r="AC426" s="618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37" t="s">
        <v>67</v>
      </c>
      <c r="X427" s="617">
        <f>IFERROR(SUM(X423:X425),"0")</f>
        <v>1818</v>
      </c>
      <c r="Y427" s="617">
        <f>IFERROR(SUM(Y423:Y425),"0")</f>
        <v>1830</v>
      </c>
      <c r="Z427" s="37"/>
      <c r="AA427" s="618"/>
      <c r="AB427" s="618"/>
      <c r="AC427" s="618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11"/>
      <c r="AB428" s="611"/>
      <c r="AC428" s="611"/>
    </row>
    <row r="429" spans="1:68" ht="16.5" customHeight="1" x14ac:dyDescent="0.25">
      <c r="A429" s="54" t="s">
        <v>698</v>
      </c>
      <c r="B429" s="54" t="s">
        <v>699</v>
      </c>
      <c r="C429" s="31">
        <v>4301052220</v>
      </c>
      <c r="D429" s="619">
        <v>4680115889538</v>
      </c>
      <c r="E429" s="620"/>
      <c r="F429" s="614">
        <v>0.8</v>
      </c>
      <c r="G429" s="32">
        <v>6</v>
      </c>
      <c r="H429" s="614">
        <v>4.8</v>
      </c>
      <c r="I429" s="614">
        <v>5.2160000000000002</v>
      </c>
      <c r="J429" s="32">
        <v>104</v>
      </c>
      <c r="K429" s="32" t="s">
        <v>120</v>
      </c>
      <c r="L429" s="32"/>
      <c r="M429" s="33" t="s">
        <v>78</v>
      </c>
      <c r="N429" s="33"/>
      <c r="O429" s="32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4"/>
      <c r="V429" s="34"/>
      <c r="W429" s="35" t="s">
        <v>67</v>
      </c>
      <c r="X429" s="615">
        <v>0</v>
      </c>
      <c r="Y429" s="616">
        <f>IFERROR(IF(X429="",0,CEILING((X429/$H429),1)*$H429),"")</f>
        <v>0</v>
      </c>
      <c r="Z429" s="36" t="str">
        <f>IFERROR(IF(Y429=0,"",ROUNDUP(Y429/H429,0)*0.01196),"")</f>
        <v/>
      </c>
      <c r="AA429" s="56"/>
      <c r="AB429" s="57" t="s">
        <v>264</v>
      </c>
      <c r="AC429" s="507" t="s">
        <v>700</v>
      </c>
      <c r="AG429" s="64"/>
      <c r="AJ429" s="68"/>
      <c r="AK429" s="68">
        <v>0</v>
      </c>
      <c r="BB429" s="508" t="s">
        <v>1</v>
      </c>
      <c r="BM429" s="64">
        <f>IFERROR(X429*I429/H429,"0")</f>
        <v>0</v>
      </c>
      <c r="BN429" s="64">
        <f>IFERROR(Y429*I429/H429,"0")</f>
        <v>0</v>
      </c>
      <c r="BO429" s="64">
        <f>IFERROR(1/J429*(X429/H429),"0")</f>
        <v>0</v>
      </c>
      <c r="BP429" s="64">
        <f>IFERROR(1/J429*(Y429/H429),"0")</f>
        <v>0</v>
      </c>
    </row>
    <row r="430" spans="1:68" ht="27" customHeight="1" x14ac:dyDescent="0.25">
      <c r="A430" s="54" t="s">
        <v>701</v>
      </c>
      <c r="B430" s="54" t="s">
        <v>702</v>
      </c>
      <c r="C430" s="31">
        <v>4301051903</v>
      </c>
      <c r="D430" s="619">
        <v>4607091383928</v>
      </c>
      <c r="E430" s="620"/>
      <c r="F430" s="614">
        <v>1.5</v>
      </c>
      <c r="G430" s="32">
        <v>6</v>
      </c>
      <c r="H430" s="614">
        <v>9</v>
      </c>
      <c r="I430" s="614">
        <v>9.5</v>
      </c>
      <c r="J430" s="32">
        <v>64</v>
      </c>
      <c r="K430" s="32" t="s">
        <v>120</v>
      </c>
      <c r="L430" s="32"/>
      <c r="M430" s="33" t="s">
        <v>78</v>
      </c>
      <c r="N430" s="33"/>
      <c r="O430" s="32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4"/>
      <c r="V430" s="34"/>
      <c r="W430" s="35" t="s">
        <v>67</v>
      </c>
      <c r="X430" s="615">
        <v>0</v>
      </c>
      <c r="Y430" s="616">
        <f>IFERROR(IF(X430="",0,CEILING((X430/$H430),1)*$H430),"")</f>
        <v>0</v>
      </c>
      <c r="Z430" s="36" t="str">
        <f>IFERROR(IF(Y430=0,"",ROUNDUP(Y430/H430,0)*0.01898),"")</f>
        <v/>
      </c>
      <c r="AA430" s="56"/>
      <c r="AB430" s="57"/>
      <c r="AC430" s="509" t="s">
        <v>703</v>
      </c>
      <c r="AG430" s="64"/>
      <c r="AJ430" s="68"/>
      <c r="AK430" s="68">
        <v>0</v>
      </c>
      <c r="BB430" s="510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704</v>
      </c>
      <c r="B431" s="54" t="s">
        <v>705</v>
      </c>
      <c r="C431" s="31">
        <v>4301051897</v>
      </c>
      <c r="D431" s="619">
        <v>4607091384260</v>
      </c>
      <c r="E431" s="620"/>
      <c r="F431" s="614">
        <v>1.5</v>
      </c>
      <c r="G431" s="32">
        <v>6</v>
      </c>
      <c r="H431" s="614">
        <v>9</v>
      </c>
      <c r="I431" s="614">
        <v>9.4939999999999998</v>
      </c>
      <c r="J431" s="32">
        <v>64</v>
      </c>
      <c r="K431" s="32" t="s">
        <v>120</v>
      </c>
      <c r="L431" s="32"/>
      <c r="M431" s="33" t="s">
        <v>78</v>
      </c>
      <c r="N431" s="33"/>
      <c r="O431" s="32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4"/>
      <c r="V431" s="34"/>
      <c r="W431" s="35" t="s">
        <v>67</v>
      </c>
      <c r="X431" s="615">
        <v>35</v>
      </c>
      <c r="Y431" s="616">
        <f>IFERROR(IF(X431="",0,CEILING((X431/$H431),1)*$H431),"")</f>
        <v>36</v>
      </c>
      <c r="Z431" s="36">
        <f>IFERROR(IF(Y431=0,"",ROUNDUP(Y431/H431,0)*0.01898),"")</f>
        <v>7.5920000000000001E-2</v>
      </c>
      <c r="AA431" s="56"/>
      <c r="AB431" s="57"/>
      <c r="AC431" s="511" t="s">
        <v>706</v>
      </c>
      <c r="AG431" s="64"/>
      <c r="AJ431" s="68"/>
      <c r="AK431" s="68">
        <v>0</v>
      </c>
      <c r="BB431" s="512" t="s">
        <v>1</v>
      </c>
      <c r="BM431" s="64">
        <f>IFERROR(X431*I431/H431,"0")</f>
        <v>36.921111111111109</v>
      </c>
      <c r="BN431" s="64">
        <f>IFERROR(Y431*I431/H431,"0")</f>
        <v>37.975999999999999</v>
      </c>
      <c r="BO431" s="64">
        <f>IFERROR(1/J431*(X431/H431),"0")</f>
        <v>6.0763888888888888E-2</v>
      </c>
      <c r="BP431" s="64">
        <f>IFERROR(1/J431*(Y431/H431),"0")</f>
        <v>6.25E-2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37" t="s">
        <v>73</v>
      </c>
      <c r="X432" s="617">
        <f>IFERROR(X429/H429,"0")+IFERROR(X430/H430,"0")+IFERROR(X431/H431,"0")</f>
        <v>3.8888888888888888</v>
      </c>
      <c r="Y432" s="617">
        <f>IFERROR(Y429/H429,"0")+IFERROR(Y430/H430,"0")+IFERROR(Y431/H431,"0")</f>
        <v>4</v>
      </c>
      <c r="Z432" s="617">
        <f>IFERROR(IF(Z429="",0,Z429),"0")+IFERROR(IF(Z430="",0,Z430),"0")+IFERROR(IF(Z431="",0,Z431),"0")</f>
        <v>7.5920000000000001E-2</v>
      </c>
      <c r="AA432" s="618"/>
      <c r="AB432" s="618"/>
      <c r="AC432" s="618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37" t="s">
        <v>67</v>
      </c>
      <c r="X433" s="617">
        <f>IFERROR(SUM(X429:X431),"0")</f>
        <v>35</v>
      </c>
      <c r="Y433" s="617">
        <f>IFERROR(SUM(Y429:Y431),"0")</f>
        <v>36</v>
      </c>
      <c r="Z433" s="37"/>
      <c r="AA433" s="618"/>
      <c r="AB433" s="618"/>
      <c r="AC433" s="618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11"/>
      <c r="AB434" s="611"/>
      <c r="AC434" s="611"/>
    </row>
    <row r="435" spans="1:68" ht="27" customHeight="1" x14ac:dyDescent="0.25">
      <c r="A435" s="54" t="s">
        <v>707</v>
      </c>
      <c r="B435" s="54" t="s">
        <v>708</v>
      </c>
      <c r="C435" s="31">
        <v>4301060537</v>
      </c>
      <c r="D435" s="619">
        <v>4680115889545</v>
      </c>
      <c r="E435" s="620"/>
      <c r="F435" s="614">
        <v>0.7</v>
      </c>
      <c r="G435" s="32">
        <v>6</v>
      </c>
      <c r="H435" s="614">
        <v>4.2</v>
      </c>
      <c r="I435" s="614">
        <v>4.6159999999999997</v>
      </c>
      <c r="J435" s="32">
        <v>104</v>
      </c>
      <c r="K435" s="32" t="s">
        <v>120</v>
      </c>
      <c r="L435" s="32"/>
      <c r="M435" s="33" t="s">
        <v>78</v>
      </c>
      <c r="N435" s="33"/>
      <c r="O435" s="32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4"/>
      <c r="V435" s="34"/>
      <c r="W435" s="35" t="s">
        <v>67</v>
      </c>
      <c r="X435" s="615">
        <v>0</v>
      </c>
      <c r="Y435" s="616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 t="s">
        <v>264</v>
      </c>
      <c r="AC435" s="513" t="s">
        <v>709</v>
      </c>
      <c r="AG435" s="64"/>
      <c r="AJ435" s="68"/>
      <c r="AK435" s="68">
        <v>0</v>
      </c>
      <c r="BB435" s="51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710</v>
      </c>
      <c r="B436" s="54" t="s">
        <v>711</v>
      </c>
      <c r="C436" s="31">
        <v>4301060524</v>
      </c>
      <c r="D436" s="619">
        <v>4607091384673</v>
      </c>
      <c r="E436" s="620"/>
      <c r="F436" s="614">
        <v>1.5</v>
      </c>
      <c r="G436" s="32">
        <v>6</v>
      </c>
      <c r="H436" s="614">
        <v>9</v>
      </c>
      <c r="I436" s="614">
        <v>9.4939999999999998</v>
      </c>
      <c r="J436" s="32">
        <v>64</v>
      </c>
      <c r="K436" s="32" t="s">
        <v>120</v>
      </c>
      <c r="L436" s="32"/>
      <c r="M436" s="33" t="s">
        <v>78</v>
      </c>
      <c r="N436" s="33"/>
      <c r="O436" s="32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4"/>
      <c r="V436" s="34"/>
      <c r="W436" s="35" t="s">
        <v>67</v>
      </c>
      <c r="X436" s="615">
        <v>0</v>
      </c>
      <c r="Y436" s="616">
        <f>IFERROR(IF(X436="",0,CEILING((X436/$H436),1)*$H436),"")</f>
        <v>0</v>
      </c>
      <c r="Z436" s="36" t="str">
        <f>IFERROR(IF(Y436=0,"",ROUNDUP(Y436/H436,0)*0.01898),"")</f>
        <v/>
      </c>
      <c r="AA436" s="56"/>
      <c r="AB436" s="57"/>
      <c r="AC436" s="515" t="s">
        <v>712</v>
      </c>
      <c r="AG436" s="64"/>
      <c r="AJ436" s="68"/>
      <c r="AK436" s="68">
        <v>0</v>
      </c>
      <c r="BB436" s="51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37" t="s">
        <v>73</v>
      </c>
      <c r="X437" s="617">
        <f>IFERROR(X435/H435,"0")+IFERROR(X436/H436,"0")</f>
        <v>0</v>
      </c>
      <c r="Y437" s="617">
        <f>IFERROR(Y435/H435,"0")+IFERROR(Y436/H436,"0")</f>
        <v>0</v>
      </c>
      <c r="Z437" s="617">
        <f>IFERROR(IF(Z435="",0,Z435),"0")+IFERROR(IF(Z436="",0,Z436),"0")</f>
        <v>0</v>
      </c>
      <c r="AA437" s="618"/>
      <c r="AB437" s="618"/>
      <c r="AC437" s="618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37" t="s">
        <v>67</v>
      </c>
      <c r="X438" s="617">
        <f>IFERROR(SUM(X435:X436),"0")</f>
        <v>0</v>
      </c>
      <c r="Y438" s="617">
        <f>IFERROR(SUM(Y435:Y436),"0")</f>
        <v>0</v>
      </c>
      <c r="Z438" s="37"/>
      <c r="AA438" s="618"/>
      <c r="AB438" s="618"/>
      <c r="AC438" s="618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10"/>
      <c r="AB439" s="610"/>
      <c r="AC439" s="610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11"/>
      <c r="AB440" s="611"/>
      <c r="AC440" s="611"/>
    </row>
    <row r="441" spans="1:68" ht="27" customHeight="1" x14ac:dyDescent="0.25">
      <c r="A441" s="54" t="s">
        <v>714</v>
      </c>
      <c r="B441" s="54" t="s">
        <v>715</v>
      </c>
      <c r="C441" s="31">
        <v>4301011875</v>
      </c>
      <c r="D441" s="619">
        <v>4680115884885</v>
      </c>
      <c r="E441" s="620"/>
      <c r="F441" s="614">
        <v>0.8</v>
      </c>
      <c r="G441" s="32">
        <v>15</v>
      </c>
      <c r="H441" s="614">
        <v>12</v>
      </c>
      <c r="I441" s="614">
        <v>12.41</v>
      </c>
      <c r="J441" s="32">
        <v>64</v>
      </c>
      <c r="K441" s="32" t="s">
        <v>120</v>
      </c>
      <c r="L441" s="32"/>
      <c r="M441" s="33" t="s">
        <v>66</v>
      </c>
      <c r="N441" s="33"/>
      <c r="O441" s="32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4"/>
      <c r="V441" s="34"/>
      <c r="W441" s="35" t="s">
        <v>67</v>
      </c>
      <c r="X441" s="615">
        <v>0</v>
      </c>
      <c r="Y441" s="616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17" t="s">
        <v>716</v>
      </c>
      <c r="AG441" s="64"/>
      <c r="AJ441" s="68"/>
      <c r="AK441" s="68">
        <v>0</v>
      </c>
      <c r="BB441" s="518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37.5" customHeight="1" x14ac:dyDescent="0.25">
      <c r="A442" s="54" t="s">
        <v>717</v>
      </c>
      <c r="B442" s="54" t="s">
        <v>718</v>
      </c>
      <c r="C442" s="31">
        <v>4301011871</v>
      </c>
      <c r="D442" s="619">
        <v>4680115884908</v>
      </c>
      <c r="E442" s="620"/>
      <c r="F442" s="614">
        <v>0.4</v>
      </c>
      <c r="G442" s="32">
        <v>10</v>
      </c>
      <c r="H442" s="614">
        <v>4</v>
      </c>
      <c r="I442" s="614">
        <v>4.1900000000000004</v>
      </c>
      <c r="J442" s="32">
        <v>132</v>
      </c>
      <c r="K442" s="32" t="s">
        <v>129</v>
      </c>
      <c r="L442" s="32"/>
      <c r="M442" s="33" t="s">
        <v>66</v>
      </c>
      <c r="N442" s="33"/>
      <c r="O442" s="32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4"/>
      <c r="V442" s="34"/>
      <c r="W442" s="35" t="s">
        <v>67</v>
      </c>
      <c r="X442" s="615">
        <v>0</v>
      </c>
      <c r="Y442" s="61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19" t="s">
        <v>716</v>
      </c>
      <c r="AG442" s="64"/>
      <c r="AJ442" s="68"/>
      <c r="AK442" s="68">
        <v>0</v>
      </c>
      <c r="BB442" s="520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37" t="s">
        <v>73</v>
      </c>
      <c r="X443" s="617">
        <f>IFERROR(X441/H441,"0")+IFERROR(X442/H442,"0")</f>
        <v>0</v>
      </c>
      <c r="Y443" s="617">
        <f>IFERROR(Y441/H441,"0")+IFERROR(Y442/H442,"0")</f>
        <v>0</v>
      </c>
      <c r="Z443" s="617">
        <f>IFERROR(IF(Z441="",0,Z441),"0")+IFERROR(IF(Z442="",0,Z442),"0")</f>
        <v>0</v>
      </c>
      <c r="AA443" s="618"/>
      <c r="AB443" s="618"/>
      <c r="AC443" s="618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37" t="s">
        <v>67</v>
      </c>
      <c r="X444" s="617">
        <f>IFERROR(SUM(X441:X442),"0")</f>
        <v>0</v>
      </c>
      <c r="Y444" s="617">
        <f>IFERROR(SUM(Y441:Y442),"0")</f>
        <v>0</v>
      </c>
      <c r="Z444" s="37"/>
      <c r="AA444" s="618"/>
      <c r="AB444" s="618"/>
      <c r="AC444" s="618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11"/>
      <c r="AB445" s="611"/>
      <c r="AC445" s="611"/>
    </row>
    <row r="446" spans="1:68" ht="27" customHeight="1" x14ac:dyDescent="0.25">
      <c r="A446" s="54" t="s">
        <v>719</v>
      </c>
      <c r="B446" s="54" t="s">
        <v>720</v>
      </c>
      <c r="C446" s="31">
        <v>4301031457</v>
      </c>
      <c r="D446" s="619">
        <v>4607091384802</v>
      </c>
      <c r="E446" s="620"/>
      <c r="F446" s="614">
        <v>0.7</v>
      </c>
      <c r="G446" s="32">
        <v>6</v>
      </c>
      <c r="H446" s="614">
        <v>4.2</v>
      </c>
      <c r="I446" s="614">
        <v>4.45</v>
      </c>
      <c r="J446" s="32">
        <v>132</v>
      </c>
      <c r="K446" s="32" t="s">
        <v>129</v>
      </c>
      <c r="L446" s="32"/>
      <c r="M446" s="33" t="s">
        <v>66</v>
      </c>
      <c r="N446" s="33"/>
      <c r="O446" s="32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4"/>
      <c r="V446" s="34"/>
      <c r="W446" s="35" t="s">
        <v>67</v>
      </c>
      <c r="X446" s="615">
        <v>0</v>
      </c>
      <c r="Y446" s="61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21" t="s">
        <v>721</v>
      </c>
      <c r="AG446" s="64"/>
      <c r="AJ446" s="68"/>
      <c r="AK446" s="68">
        <v>0</v>
      </c>
      <c r="BB446" s="522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37" t="s">
        <v>73</v>
      </c>
      <c r="X447" s="617">
        <f>IFERROR(X446/H446,"0")</f>
        <v>0</v>
      </c>
      <c r="Y447" s="617">
        <f>IFERROR(Y446/H446,"0")</f>
        <v>0</v>
      </c>
      <c r="Z447" s="617">
        <f>IFERROR(IF(Z446="",0,Z446),"0")</f>
        <v>0</v>
      </c>
      <c r="AA447" s="618"/>
      <c r="AB447" s="618"/>
      <c r="AC447" s="618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37" t="s">
        <v>67</v>
      </c>
      <c r="X448" s="617">
        <f>IFERROR(SUM(X446:X446),"0")</f>
        <v>0</v>
      </c>
      <c r="Y448" s="617">
        <f>IFERROR(SUM(Y446:Y446),"0")</f>
        <v>0</v>
      </c>
      <c r="Z448" s="37"/>
      <c r="AA448" s="618"/>
      <c r="AB448" s="618"/>
      <c r="AC448" s="618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11"/>
      <c r="AB449" s="611"/>
      <c r="AC449" s="611"/>
    </row>
    <row r="450" spans="1:68" ht="27" customHeight="1" x14ac:dyDescent="0.25">
      <c r="A450" s="54" t="s">
        <v>722</v>
      </c>
      <c r="B450" s="54" t="s">
        <v>723</v>
      </c>
      <c r="C450" s="31">
        <v>4301051899</v>
      </c>
      <c r="D450" s="619">
        <v>4607091384246</v>
      </c>
      <c r="E450" s="620"/>
      <c r="F450" s="614">
        <v>1.5</v>
      </c>
      <c r="G450" s="32">
        <v>6</v>
      </c>
      <c r="H450" s="614">
        <v>9</v>
      </c>
      <c r="I450" s="614">
        <v>9.4939999999999998</v>
      </c>
      <c r="J450" s="32">
        <v>64</v>
      </c>
      <c r="K450" s="32" t="s">
        <v>120</v>
      </c>
      <c r="L450" s="32"/>
      <c r="M450" s="33" t="s">
        <v>78</v>
      </c>
      <c r="N450" s="33"/>
      <c r="O450" s="32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4"/>
      <c r="V450" s="34"/>
      <c r="W450" s="35" t="s">
        <v>67</v>
      </c>
      <c r="X450" s="615">
        <v>1095</v>
      </c>
      <c r="Y450" s="616">
        <f>IFERROR(IF(X450="",0,CEILING((X450/$H450),1)*$H450),"")</f>
        <v>1098</v>
      </c>
      <c r="Z450" s="36">
        <f>IFERROR(IF(Y450=0,"",ROUNDUP(Y450/H450,0)*0.01898),"")</f>
        <v>2.3155600000000001</v>
      </c>
      <c r="AA450" s="56"/>
      <c r="AB450" s="57"/>
      <c r="AC450" s="523" t="s">
        <v>724</v>
      </c>
      <c r="AG450" s="64"/>
      <c r="AJ450" s="68"/>
      <c r="AK450" s="68">
        <v>0</v>
      </c>
      <c r="BB450" s="524" t="s">
        <v>1</v>
      </c>
      <c r="BM450" s="64">
        <f>IFERROR(X450*I450/H450,"0")</f>
        <v>1155.1033333333335</v>
      </c>
      <c r="BN450" s="64">
        <f>IFERROR(Y450*I450/H450,"0")</f>
        <v>1158.268</v>
      </c>
      <c r="BO450" s="64">
        <f>IFERROR(1/J450*(X450/H450),"0")</f>
        <v>1.9010416666666667</v>
      </c>
      <c r="BP450" s="64">
        <f>IFERROR(1/J450*(Y450/H450),"0")</f>
        <v>1.90625</v>
      </c>
    </row>
    <row r="451" spans="1:68" ht="27" customHeight="1" x14ac:dyDescent="0.25">
      <c r="A451" s="54" t="s">
        <v>725</v>
      </c>
      <c r="B451" s="54" t="s">
        <v>726</v>
      </c>
      <c r="C451" s="31">
        <v>4301051660</v>
      </c>
      <c r="D451" s="619">
        <v>4607091384253</v>
      </c>
      <c r="E451" s="620"/>
      <c r="F451" s="614">
        <v>0.4</v>
      </c>
      <c r="G451" s="32">
        <v>6</v>
      </c>
      <c r="H451" s="614">
        <v>2.4</v>
      </c>
      <c r="I451" s="614">
        <v>2.6640000000000001</v>
      </c>
      <c r="J451" s="32">
        <v>182</v>
      </c>
      <c r="K451" s="32" t="s">
        <v>77</v>
      </c>
      <c r="L451" s="32"/>
      <c r="M451" s="33" t="s">
        <v>78</v>
      </c>
      <c r="N451" s="33"/>
      <c r="O451" s="32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4"/>
      <c r="V451" s="34"/>
      <c r="W451" s="35" t="s">
        <v>67</v>
      </c>
      <c r="X451" s="615">
        <v>0</v>
      </c>
      <c r="Y451" s="61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25" t="s">
        <v>724</v>
      </c>
      <c r="AG451" s="64"/>
      <c r="AJ451" s="68"/>
      <c r="AK451" s="68">
        <v>0</v>
      </c>
      <c r="BB451" s="526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725</v>
      </c>
      <c r="B452" s="54" t="s">
        <v>727</v>
      </c>
      <c r="C452" s="31">
        <v>4301052069</v>
      </c>
      <c r="D452" s="619">
        <v>4607091384253</v>
      </c>
      <c r="E452" s="620"/>
      <c r="F452" s="614">
        <v>0.4</v>
      </c>
      <c r="G452" s="32">
        <v>6</v>
      </c>
      <c r="H452" s="614">
        <v>2.4</v>
      </c>
      <c r="I452" s="614">
        <v>2.6640000000000001</v>
      </c>
      <c r="J452" s="32">
        <v>182</v>
      </c>
      <c r="K452" s="32" t="s">
        <v>77</v>
      </c>
      <c r="L452" s="32"/>
      <c r="M452" s="33" t="s">
        <v>78</v>
      </c>
      <c r="N452" s="33"/>
      <c r="O452" s="32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4"/>
      <c r="V452" s="34"/>
      <c r="W452" s="35" t="s">
        <v>67</v>
      </c>
      <c r="X452" s="615">
        <v>0</v>
      </c>
      <c r="Y452" s="61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27" t="s">
        <v>728</v>
      </c>
      <c r="AG452" s="64"/>
      <c r="AJ452" s="68"/>
      <c r="AK452" s="68">
        <v>0</v>
      </c>
      <c r="BB452" s="528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37" t="s">
        <v>73</v>
      </c>
      <c r="X453" s="617">
        <f>IFERROR(X450/H450,"0")+IFERROR(X451/H451,"0")+IFERROR(X452/H452,"0")</f>
        <v>121.66666666666667</v>
      </c>
      <c r="Y453" s="617">
        <f>IFERROR(Y450/H450,"0")+IFERROR(Y451/H451,"0")+IFERROR(Y452/H452,"0")</f>
        <v>122</v>
      </c>
      <c r="Z453" s="617">
        <f>IFERROR(IF(Z450="",0,Z450),"0")+IFERROR(IF(Z451="",0,Z451),"0")+IFERROR(IF(Z452="",0,Z452),"0")</f>
        <v>2.3155600000000001</v>
      </c>
      <c r="AA453" s="618"/>
      <c r="AB453" s="618"/>
      <c r="AC453" s="618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37" t="s">
        <v>67</v>
      </c>
      <c r="X454" s="617">
        <f>IFERROR(SUM(X450:X452),"0")</f>
        <v>1095</v>
      </c>
      <c r="Y454" s="617">
        <f>IFERROR(SUM(Y450:Y452),"0")</f>
        <v>1098</v>
      </c>
      <c r="Z454" s="37"/>
      <c r="AA454" s="618"/>
      <c r="AB454" s="618"/>
      <c r="AC454" s="618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48"/>
      <c r="AB455" s="48"/>
      <c r="AC455" s="48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10"/>
      <c r="AB456" s="610"/>
      <c r="AC456" s="610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11"/>
      <c r="AB457" s="611"/>
      <c r="AC457" s="611"/>
    </row>
    <row r="458" spans="1:68" ht="27" customHeight="1" x14ac:dyDescent="0.25">
      <c r="A458" s="54" t="s">
        <v>731</v>
      </c>
      <c r="B458" s="54" t="s">
        <v>732</v>
      </c>
      <c r="C458" s="31">
        <v>4301031405</v>
      </c>
      <c r="D458" s="619">
        <v>4680115886100</v>
      </c>
      <c r="E458" s="620"/>
      <c r="F458" s="614">
        <v>0.9</v>
      </c>
      <c r="G458" s="32">
        <v>6</v>
      </c>
      <c r="H458" s="614">
        <v>5.4</v>
      </c>
      <c r="I458" s="614">
        <v>5.59</v>
      </c>
      <c r="J458" s="32">
        <v>132</v>
      </c>
      <c r="K458" s="32" t="s">
        <v>129</v>
      </c>
      <c r="L458" s="32"/>
      <c r="M458" s="33" t="s">
        <v>66</v>
      </c>
      <c r="N458" s="33"/>
      <c r="O458" s="32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4"/>
      <c r="V458" s="34"/>
      <c r="W458" s="35" t="s">
        <v>67</v>
      </c>
      <c r="X458" s="615">
        <v>0</v>
      </c>
      <c r="Y458" s="616">
        <f t="shared" ref="Y458:Y463" si="52"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29" t="s">
        <v>733</v>
      </c>
      <c r="AG458" s="64"/>
      <c r="AJ458" s="68"/>
      <c r="AK458" s="68">
        <v>0</v>
      </c>
      <c r="BB458" s="530" t="s">
        <v>1</v>
      </c>
      <c r="BM458" s="64">
        <f t="shared" ref="BM458:BM463" si="53">IFERROR(X458*I458/H458,"0")</f>
        <v>0</v>
      </c>
      <c r="BN458" s="64">
        <f t="shared" ref="BN458:BN463" si="54">IFERROR(Y458*I458/H458,"0")</f>
        <v>0</v>
      </c>
      <c r="BO458" s="64">
        <f t="shared" ref="BO458:BO463" si="55">IFERROR(1/J458*(X458/H458),"0")</f>
        <v>0</v>
      </c>
      <c r="BP458" s="64">
        <f t="shared" ref="BP458:BP463" si="56">IFERROR(1/J458*(Y458/H458),"0")</f>
        <v>0</v>
      </c>
    </row>
    <row r="459" spans="1:68" ht="27" customHeight="1" x14ac:dyDescent="0.25">
      <c r="A459" s="54" t="s">
        <v>734</v>
      </c>
      <c r="B459" s="54" t="s">
        <v>735</v>
      </c>
      <c r="C459" s="31">
        <v>4301031402</v>
      </c>
      <c r="D459" s="619">
        <v>4680115886124</v>
      </c>
      <c r="E459" s="620"/>
      <c r="F459" s="614">
        <v>0.9</v>
      </c>
      <c r="G459" s="32">
        <v>6</v>
      </c>
      <c r="H459" s="614">
        <v>5.4</v>
      </c>
      <c r="I459" s="614">
        <v>5.59</v>
      </c>
      <c r="J459" s="32">
        <v>132</v>
      </c>
      <c r="K459" s="32" t="s">
        <v>129</v>
      </c>
      <c r="L459" s="32"/>
      <c r="M459" s="33" t="s">
        <v>66</v>
      </c>
      <c r="N459" s="33"/>
      <c r="O459" s="32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4"/>
      <c r="V459" s="34"/>
      <c r="W459" s="35" t="s">
        <v>67</v>
      </c>
      <c r="X459" s="615">
        <v>0</v>
      </c>
      <c r="Y459" s="616">
        <f t="shared" si="52"/>
        <v>0</v>
      </c>
      <c r="Z459" s="36" t="str">
        <f>IFERROR(IF(Y459=0,"",ROUNDUP(Y459/H459,0)*0.00902),"")</f>
        <v/>
      </c>
      <c r="AA459" s="56"/>
      <c r="AB459" s="57"/>
      <c r="AC459" s="531" t="s">
        <v>736</v>
      </c>
      <c r="AG459" s="64"/>
      <c r="AJ459" s="68"/>
      <c r="AK459" s="68">
        <v>0</v>
      </c>
      <c r="BB459" s="532" t="s">
        <v>1</v>
      </c>
      <c r="BM459" s="64">
        <f t="shared" si="53"/>
        <v>0</v>
      </c>
      <c r="BN459" s="64">
        <f t="shared" si="54"/>
        <v>0</v>
      </c>
      <c r="BO459" s="64">
        <f t="shared" si="55"/>
        <v>0</v>
      </c>
      <c r="BP459" s="64">
        <f t="shared" si="56"/>
        <v>0</v>
      </c>
    </row>
    <row r="460" spans="1:68" ht="27" customHeight="1" x14ac:dyDescent="0.25">
      <c r="A460" s="54" t="s">
        <v>737</v>
      </c>
      <c r="B460" s="54" t="s">
        <v>738</v>
      </c>
      <c r="C460" s="31">
        <v>4301031362</v>
      </c>
      <c r="D460" s="619">
        <v>4607091384338</v>
      </c>
      <c r="E460" s="620"/>
      <c r="F460" s="614">
        <v>0.35</v>
      </c>
      <c r="G460" s="32">
        <v>6</v>
      </c>
      <c r="H460" s="614">
        <v>2.1</v>
      </c>
      <c r="I460" s="614">
        <v>2.23</v>
      </c>
      <c r="J460" s="32">
        <v>234</v>
      </c>
      <c r="K460" s="32" t="s">
        <v>65</v>
      </c>
      <c r="L460" s="32"/>
      <c r="M460" s="33" t="s">
        <v>66</v>
      </c>
      <c r="N460" s="33"/>
      <c r="O460" s="32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4"/>
      <c r="V460" s="34"/>
      <c r="W460" s="35" t="s">
        <v>67</v>
      </c>
      <c r="X460" s="615">
        <v>0</v>
      </c>
      <c r="Y460" s="616">
        <f t="shared" si="52"/>
        <v>0</v>
      </c>
      <c r="Z460" s="36" t="str">
        <f>IFERROR(IF(Y460=0,"",ROUNDUP(Y460/H460,0)*0.00502),"")</f>
        <v/>
      </c>
      <c r="AA460" s="56"/>
      <c r="AB460" s="57"/>
      <c r="AC460" s="533" t="s">
        <v>733</v>
      </c>
      <c r="AG460" s="64"/>
      <c r="AJ460" s="68"/>
      <c r="AK460" s="68">
        <v>0</v>
      </c>
      <c r="BB460" s="534" t="s">
        <v>1</v>
      </c>
      <c r="BM460" s="64">
        <f t="shared" si="53"/>
        <v>0</v>
      </c>
      <c r="BN460" s="64">
        <f t="shared" si="54"/>
        <v>0</v>
      </c>
      <c r="BO460" s="64">
        <f t="shared" si="55"/>
        <v>0</v>
      </c>
      <c r="BP460" s="64">
        <f t="shared" si="56"/>
        <v>0</v>
      </c>
    </row>
    <row r="461" spans="1:68" ht="27" customHeight="1" x14ac:dyDescent="0.25">
      <c r="A461" s="54" t="s">
        <v>739</v>
      </c>
      <c r="B461" s="54" t="s">
        <v>740</v>
      </c>
      <c r="C461" s="31">
        <v>4301031364</v>
      </c>
      <c r="D461" s="619">
        <v>4680115883161</v>
      </c>
      <c r="E461" s="620"/>
      <c r="F461" s="614">
        <v>0.28000000000000003</v>
      </c>
      <c r="G461" s="32">
        <v>6</v>
      </c>
      <c r="H461" s="614">
        <v>1.68</v>
      </c>
      <c r="I461" s="614">
        <v>1.81</v>
      </c>
      <c r="J461" s="32">
        <v>234</v>
      </c>
      <c r="K461" s="32" t="s">
        <v>65</v>
      </c>
      <c r="L461" s="32"/>
      <c r="M461" s="33" t="s">
        <v>66</v>
      </c>
      <c r="N461" s="33"/>
      <c r="O461" s="32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4"/>
      <c r="V461" s="34"/>
      <c r="W461" s="35" t="s">
        <v>67</v>
      </c>
      <c r="X461" s="615">
        <v>0</v>
      </c>
      <c r="Y461" s="616">
        <f t="shared" si="52"/>
        <v>0</v>
      </c>
      <c r="Z461" s="36" t="str">
        <f>IFERROR(IF(Y461=0,"",ROUNDUP(Y461/H461,0)*0.00502),"")</f>
        <v/>
      </c>
      <c r="AA461" s="56"/>
      <c r="AB461" s="57"/>
      <c r="AC461" s="535" t="s">
        <v>741</v>
      </c>
      <c r="AG461" s="64"/>
      <c r="AJ461" s="68"/>
      <c r="AK461" s="68">
        <v>0</v>
      </c>
      <c r="BB461" s="536" t="s">
        <v>1</v>
      </c>
      <c r="BM461" s="64">
        <f t="shared" si="53"/>
        <v>0</v>
      </c>
      <c r="BN461" s="64">
        <f t="shared" si="54"/>
        <v>0</v>
      </c>
      <c r="BO461" s="64">
        <f t="shared" si="55"/>
        <v>0</v>
      </c>
      <c r="BP461" s="64">
        <f t="shared" si="56"/>
        <v>0</v>
      </c>
    </row>
    <row r="462" spans="1:68" ht="27" customHeight="1" x14ac:dyDescent="0.25">
      <c r="A462" s="54" t="s">
        <v>742</v>
      </c>
      <c r="B462" s="54" t="s">
        <v>743</v>
      </c>
      <c r="C462" s="31">
        <v>4301031358</v>
      </c>
      <c r="D462" s="619">
        <v>4607091389531</v>
      </c>
      <c r="E462" s="620"/>
      <c r="F462" s="614">
        <v>0.35</v>
      </c>
      <c r="G462" s="32">
        <v>6</v>
      </c>
      <c r="H462" s="614">
        <v>2.1</v>
      </c>
      <c r="I462" s="614">
        <v>2.23</v>
      </c>
      <c r="J462" s="32">
        <v>234</v>
      </c>
      <c r="K462" s="32" t="s">
        <v>65</v>
      </c>
      <c r="L462" s="32"/>
      <c r="M462" s="33" t="s">
        <v>66</v>
      </c>
      <c r="N462" s="33"/>
      <c r="O462" s="32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4"/>
      <c r="V462" s="34"/>
      <c r="W462" s="35" t="s">
        <v>67</v>
      </c>
      <c r="X462" s="615">
        <v>0</v>
      </c>
      <c r="Y462" s="616">
        <f t="shared" si="52"/>
        <v>0</v>
      </c>
      <c r="Z462" s="36" t="str">
        <f>IFERROR(IF(Y462=0,"",ROUNDUP(Y462/H462,0)*0.00502),"")</f>
        <v/>
      </c>
      <c r="AA462" s="56"/>
      <c r="AB462" s="57"/>
      <c r="AC462" s="537" t="s">
        <v>744</v>
      </c>
      <c r="AG462" s="64"/>
      <c r="AJ462" s="68"/>
      <c r="AK462" s="68">
        <v>0</v>
      </c>
      <c r="BB462" s="538" t="s">
        <v>1</v>
      </c>
      <c r="BM462" s="64">
        <f t="shared" si="53"/>
        <v>0</v>
      </c>
      <c r="BN462" s="64">
        <f t="shared" si="54"/>
        <v>0</v>
      </c>
      <c r="BO462" s="64">
        <f t="shared" si="55"/>
        <v>0</v>
      </c>
      <c r="BP462" s="64">
        <f t="shared" si="56"/>
        <v>0</v>
      </c>
    </row>
    <row r="463" spans="1:68" ht="37.5" customHeight="1" x14ac:dyDescent="0.25">
      <c r="A463" s="54" t="s">
        <v>745</v>
      </c>
      <c r="B463" s="54" t="s">
        <v>746</v>
      </c>
      <c r="C463" s="31">
        <v>4301031360</v>
      </c>
      <c r="D463" s="619">
        <v>4607091384345</v>
      </c>
      <c r="E463" s="620"/>
      <c r="F463" s="614">
        <v>0.35</v>
      </c>
      <c r="G463" s="32">
        <v>6</v>
      </c>
      <c r="H463" s="614">
        <v>2.1</v>
      </c>
      <c r="I463" s="614">
        <v>2.23</v>
      </c>
      <c r="J463" s="32">
        <v>234</v>
      </c>
      <c r="K463" s="32" t="s">
        <v>65</v>
      </c>
      <c r="L463" s="32"/>
      <c r="M463" s="33" t="s">
        <v>66</v>
      </c>
      <c r="N463" s="33"/>
      <c r="O463" s="32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4"/>
      <c r="V463" s="34"/>
      <c r="W463" s="35" t="s">
        <v>67</v>
      </c>
      <c r="X463" s="615">
        <v>0</v>
      </c>
      <c r="Y463" s="616">
        <f t="shared" si="52"/>
        <v>0</v>
      </c>
      <c r="Z463" s="36" t="str">
        <f>IFERROR(IF(Y463=0,"",ROUNDUP(Y463/H463,0)*0.00502),"")</f>
        <v/>
      </c>
      <c r="AA463" s="56"/>
      <c r="AB463" s="57"/>
      <c r="AC463" s="539" t="s">
        <v>741</v>
      </c>
      <c r="AG463" s="64"/>
      <c r="AJ463" s="68"/>
      <c r="AK463" s="68">
        <v>0</v>
      </c>
      <c r="BB463" s="540" t="s">
        <v>1</v>
      </c>
      <c r="BM463" s="64">
        <f t="shared" si="53"/>
        <v>0</v>
      </c>
      <c r="BN463" s="64">
        <f t="shared" si="54"/>
        <v>0</v>
      </c>
      <c r="BO463" s="64">
        <f t="shared" si="55"/>
        <v>0</v>
      </c>
      <c r="BP463" s="64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37" t="s">
        <v>73</v>
      </c>
      <c r="X464" s="617">
        <f>IFERROR(X458/H458,"0")+IFERROR(X459/H459,"0")+IFERROR(X460/H460,"0")+IFERROR(X461/H461,"0")+IFERROR(X462/H462,"0")+IFERROR(X463/H463,"0")</f>
        <v>0</v>
      </c>
      <c r="Y464" s="617">
        <f>IFERROR(Y458/H458,"0")+IFERROR(Y459/H459,"0")+IFERROR(Y460/H460,"0")+IFERROR(Y461/H461,"0")+IFERROR(Y462/H462,"0")+IFERROR(Y463/H463,"0")</f>
        <v>0</v>
      </c>
      <c r="Z464" s="617">
        <f>IFERROR(IF(Z458="",0,Z458),"0")+IFERROR(IF(Z459="",0,Z459),"0")+IFERROR(IF(Z460="",0,Z460),"0")+IFERROR(IF(Z461="",0,Z461),"0")+IFERROR(IF(Z462="",0,Z462),"0")+IFERROR(IF(Z463="",0,Z463),"0")</f>
        <v>0</v>
      </c>
      <c r="AA464" s="618"/>
      <c r="AB464" s="618"/>
      <c r="AC464" s="618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37" t="s">
        <v>67</v>
      </c>
      <c r="X465" s="617">
        <f>IFERROR(SUM(X458:X463),"0")</f>
        <v>0</v>
      </c>
      <c r="Y465" s="617">
        <f>IFERROR(SUM(Y458:Y463),"0")</f>
        <v>0</v>
      </c>
      <c r="Z465" s="37"/>
      <c r="AA465" s="618"/>
      <c r="AB465" s="618"/>
      <c r="AC465" s="618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11"/>
      <c r="AB466" s="611"/>
      <c r="AC466" s="611"/>
    </row>
    <row r="467" spans="1:68" ht="27" customHeight="1" x14ac:dyDescent="0.25">
      <c r="A467" s="54" t="s">
        <v>747</v>
      </c>
      <c r="B467" s="54" t="s">
        <v>748</v>
      </c>
      <c r="C467" s="31">
        <v>4301051284</v>
      </c>
      <c r="D467" s="619">
        <v>4607091384352</v>
      </c>
      <c r="E467" s="620"/>
      <c r="F467" s="614">
        <v>0.6</v>
      </c>
      <c r="G467" s="32">
        <v>4</v>
      </c>
      <c r="H467" s="614">
        <v>2.4</v>
      </c>
      <c r="I467" s="614">
        <v>2.6259999999999999</v>
      </c>
      <c r="J467" s="32">
        <v>132</v>
      </c>
      <c r="K467" s="32" t="s">
        <v>129</v>
      </c>
      <c r="L467" s="32"/>
      <c r="M467" s="33" t="s">
        <v>78</v>
      </c>
      <c r="N467" s="33"/>
      <c r="O467" s="32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4"/>
      <c r="V467" s="34"/>
      <c r="W467" s="35" t="s">
        <v>67</v>
      </c>
      <c r="X467" s="615">
        <v>0</v>
      </c>
      <c r="Y467" s="616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41" t="s">
        <v>749</v>
      </c>
      <c r="AG467" s="64"/>
      <c r="AJ467" s="68"/>
      <c r="AK467" s="68">
        <v>0</v>
      </c>
      <c r="BB467" s="542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750</v>
      </c>
      <c r="B468" s="54" t="s">
        <v>751</v>
      </c>
      <c r="C468" s="31">
        <v>4301051431</v>
      </c>
      <c r="D468" s="619">
        <v>4607091389654</v>
      </c>
      <c r="E468" s="620"/>
      <c r="F468" s="614">
        <v>0.33</v>
      </c>
      <c r="G468" s="32">
        <v>6</v>
      </c>
      <c r="H468" s="614">
        <v>1.98</v>
      </c>
      <c r="I468" s="614">
        <v>2.238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4"/>
      <c r="V468" s="34"/>
      <c r="W468" s="35" t="s">
        <v>67</v>
      </c>
      <c r="X468" s="615">
        <v>0</v>
      </c>
      <c r="Y468" s="616">
        <f>IFERROR(IF(X468="",0,CEILING((X468/$H468),1)*$H468),"")</f>
        <v>0</v>
      </c>
      <c r="Z468" s="36" t="str">
        <f>IFERROR(IF(Y468=0,"",ROUNDUP(Y468/H468,0)*0.00651),"")</f>
        <v/>
      </c>
      <c r="AA468" s="56"/>
      <c r="AB468" s="57"/>
      <c r="AC468" s="543" t="s">
        <v>752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37" t="s">
        <v>73</v>
      </c>
      <c r="X469" s="617">
        <f>IFERROR(X467/H467,"0")+IFERROR(X468/H468,"0")</f>
        <v>0</v>
      </c>
      <c r="Y469" s="617">
        <f>IFERROR(Y467/H467,"0")+IFERROR(Y468/H468,"0")</f>
        <v>0</v>
      </c>
      <c r="Z469" s="617">
        <f>IFERROR(IF(Z467="",0,Z467),"0")+IFERROR(IF(Z468="",0,Z468),"0")</f>
        <v>0</v>
      </c>
      <c r="AA469" s="618"/>
      <c r="AB469" s="618"/>
      <c r="AC469" s="618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37" t="s">
        <v>67</v>
      </c>
      <c r="X470" s="617">
        <f>IFERROR(SUM(X467:X468),"0")</f>
        <v>0</v>
      </c>
      <c r="Y470" s="617">
        <f>IFERROR(SUM(Y467:Y468),"0")</f>
        <v>0</v>
      </c>
      <c r="Z470" s="37"/>
      <c r="AA470" s="618"/>
      <c r="AB470" s="618"/>
      <c r="AC470" s="618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10"/>
      <c r="AB471" s="610"/>
      <c r="AC471" s="610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11"/>
      <c r="AB472" s="611"/>
      <c r="AC472" s="611"/>
    </row>
    <row r="473" spans="1:68" ht="27" customHeight="1" x14ac:dyDescent="0.25">
      <c r="A473" s="54" t="s">
        <v>754</v>
      </c>
      <c r="B473" s="54" t="s">
        <v>755</v>
      </c>
      <c r="C473" s="31">
        <v>4301020416</v>
      </c>
      <c r="D473" s="619">
        <v>4680115885240</v>
      </c>
      <c r="E473" s="620"/>
      <c r="F473" s="614">
        <v>0.35</v>
      </c>
      <c r="G473" s="32">
        <v>6</v>
      </c>
      <c r="H473" s="614">
        <v>2.1</v>
      </c>
      <c r="I473" s="614">
        <v>2.31</v>
      </c>
      <c r="J473" s="32">
        <v>182</v>
      </c>
      <c r="K473" s="32" t="s">
        <v>77</v>
      </c>
      <c r="L473" s="32"/>
      <c r="M473" s="33" t="s">
        <v>66</v>
      </c>
      <c r="N473" s="33"/>
      <c r="O473" s="32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4"/>
      <c r="V473" s="34"/>
      <c r="W473" s="35" t="s">
        <v>67</v>
      </c>
      <c r="X473" s="615">
        <v>0</v>
      </c>
      <c r="Y473" s="616">
        <f>IFERROR(IF(X473="",0,CEILING((X473/$H473),1)*$H473),"")</f>
        <v>0</v>
      </c>
      <c r="Z473" s="36" t="str">
        <f>IFERROR(IF(Y473=0,"",ROUNDUP(Y473/H473,0)*0.00651),"")</f>
        <v/>
      </c>
      <c r="AA473" s="56"/>
      <c r="AB473" s="57"/>
      <c r="AC473" s="545" t="s">
        <v>756</v>
      </c>
      <c r="AG473" s="64"/>
      <c r="AJ473" s="68"/>
      <c r="AK473" s="68">
        <v>0</v>
      </c>
      <c r="BB473" s="54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37" t="s">
        <v>73</v>
      </c>
      <c r="X474" s="617">
        <f>IFERROR(X473/H473,"0")</f>
        <v>0</v>
      </c>
      <c r="Y474" s="617">
        <f>IFERROR(Y473/H473,"0")</f>
        <v>0</v>
      </c>
      <c r="Z474" s="617">
        <f>IFERROR(IF(Z473="",0,Z473),"0")</f>
        <v>0</v>
      </c>
      <c r="AA474" s="618"/>
      <c r="AB474" s="618"/>
      <c r="AC474" s="618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37" t="s">
        <v>67</v>
      </c>
      <c r="X475" s="617">
        <f>IFERROR(SUM(X473:X473),"0")</f>
        <v>0</v>
      </c>
      <c r="Y475" s="617">
        <f>IFERROR(SUM(Y473:Y473),"0")</f>
        <v>0</v>
      </c>
      <c r="Z475" s="37"/>
      <c r="AA475" s="618"/>
      <c r="AB475" s="618"/>
      <c r="AC475" s="618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11"/>
      <c r="AB476" s="611"/>
      <c r="AC476" s="611"/>
    </row>
    <row r="477" spans="1:68" ht="27" customHeight="1" x14ac:dyDescent="0.25">
      <c r="A477" s="54" t="s">
        <v>757</v>
      </c>
      <c r="B477" s="54" t="s">
        <v>758</v>
      </c>
      <c r="C477" s="31">
        <v>4301031407</v>
      </c>
      <c r="D477" s="619">
        <v>4680115886094</v>
      </c>
      <c r="E477" s="620"/>
      <c r="F477" s="614">
        <v>0.9</v>
      </c>
      <c r="G477" s="32">
        <v>6</v>
      </c>
      <c r="H477" s="614">
        <v>5.4</v>
      </c>
      <c r="I477" s="614">
        <v>5.59</v>
      </c>
      <c r="J477" s="32">
        <v>132</v>
      </c>
      <c r="K477" s="32" t="s">
        <v>129</v>
      </c>
      <c r="L477" s="32"/>
      <c r="M477" s="33" t="s">
        <v>66</v>
      </c>
      <c r="N477" s="33"/>
      <c r="O477" s="32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4"/>
      <c r="V477" s="34"/>
      <c r="W477" s="35" t="s">
        <v>67</v>
      </c>
      <c r="X477" s="615">
        <v>101</v>
      </c>
      <c r="Y477" s="616">
        <f>IFERROR(IF(X477="",0,CEILING((X477/$H477),1)*$H477),"")</f>
        <v>102.60000000000001</v>
      </c>
      <c r="Z477" s="36">
        <f>IFERROR(IF(Y477=0,"",ROUNDUP(Y477/H477,0)*0.00902),"")</f>
        <v>0.17138</v>
      </c>
      <c r="AA477" s="56"/>
      <c r="AB477" s="57"/>
      <c r="AC477" s="547" t="s">
        <v>759</v>
      </c>
      <c r="AG477" s="64"/>
      <c r="AJ477" s="68"/>
      <c r="AK477" s="68">
        <v>0</v>
      </c>
      <c r="BB477" s="548" t="s">
        <v>1</v>
      </c>
      <c r="BM477" s="64">
        <f>IFERROR(X477*I477/H477,"0")</f>
        <v>104.5537037037037</v>
      </c>
      <c r="BN477" s="64">
        <f>IFERROR(Y477*I477/H477,"0")</f>
        <v>106.21</v>
      </c>
      <c r="BO477" s="64">
        <f>IFERROR(1/J477*(X477/H477),"0")</f>
        <v>0.14169472502805835</v>
      </c>
      <c r="BP477" s="64">
        <f>IFERROR(1/J477*(Y477/H477),"0")</f>
        <v>0.14393939393939395</v>
      </c>
    </row>
    <row r="478" spans="1:68" ht="27" customHeight="1" x14ac:dyDescent="0.25">
      <c r="A478" s="54" t="s">
        <v>760</v>
      </c>
      <c r="B478" s="54" t="s">
        <v>761</v>
      </c>
      <c r="C478" s="31">
        <v>4301031373</v>
      </c>
      <c r="D478" s="619">
        <v>4680115880771</v>
      </c>
      <c r="E478" s="620"/>
      <c r="F478" s="614">
        <v>0.28000000000000003</v>
      </c>
      <c r="G478" s="32">
        <v>6</v>
      </c>
      <c r="H478" s="614">
        <v>1.68</v>
      </c>
      <c r="I478" s="614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4"/>
      <c r="V478" s="34"/>
      <c r="W478" s="35" t="s">
        <v>67</v>
      </c>
      <c r="X478" s="615">
        <v>0</v>
      </c>
      <c r="Y478" s="616">
        <f>IFERROR(IF(X478="",0,CEILING((X478/$H478),1)*$H478),"")</f>
        <v>0</v>
      </c>
      <c r="Z478" s="36" t="str">
        <f>IFERROR(IF(Y478=0,"",ROUNDUP(Y478/H478,0)*0.00502),"")</f>
        <v/>
      </c>
      <c r="AA478" s="56"/>
      <c r="AB478" s="57"/>
      <c r="AC478" s="549" t="s">
        <v>762</v>
      </c>
      <c r="AG478" s="64"/>
      <c r="AJ478" s="68"/>
      <c r="AK478" s="68">
        <v>0</v>
      </c>
      <c r="BB478" s="55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customHeight="1" x14ac:dyDescent="0.25">
      <c r="A479" s="54" t="s">
        <v>763</v>
      </c>
      <c r="B479" s="54" t="s">
        <v>764</v>
      </c>
      <c r="C479" s="31">
        <v>4301031359</v>
      </c>
      <c r="D479" s="619">
        <v>4607091389500</v>
      </c>
      <c r="E479" s="620"/>
      <c r="F479" s="614">
        <v>0.35</v>
      </c>
      <c r="G479" s="32">
        <v>6</v>
      </c>
      <c r="H479" s="614">
        <v>2.1</v>
      </c>
      <c r="I479" s="614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4"/>
      <c r="V479" s="34"/>
      <c r="W479" s="35" t="s">
        <v>67</v>
      </c>
      <c r="X479" s="615">
        <v>0</v>
      </c>
      <c r="Y479" s="616">
        <f>IFERROR(IF(X479="",0,CEILING((X479/$H479),1)*$H479),"")</f>
        <v>0</v>
      </c>
      <c r="Z479" s="36" t="str">
        <f>IFERROR(IF(Y479=0,"",ROUNDUP(Y479/H479,0)*0.00502),"")</f>
        <v/>
      </c>
      <c r="AA479" s="56"/>
      <c r="AB479" s="57"/>
      <c r="AC479" s="551" t="s">
        <v>762</v>
      </c>
      <c r="AG479" s="64"/>
      <c r="AJ479" s="68"/>
      <c r="AK479" s="68">
        <v>0</v>
      </c>
      <c r="BB479" s="55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37" t="s">
        <v>73</v>
      </c>
      <c r="X480" s="617">
        <f>IFERROR(X477/H477,"0")+IFERROR(X478/H478,"0")+IFERROR(X479/H479,"0")</f>
        <v>18.703703703703702</v>
      </c>
      <c r="Y480" s="617">
        <f>IFERROR(Y477/H477,"0")+IFERROR(Y478/H478,"0")+IFERROR(Y479/H479,"0")</f>
        <v>19</v>
      </c>
      <c r="Z480" s="617">
        <f>IFERROR(IF(Z477="",0,Z477),"0")+IFERROR(IF(Z478="",0,Z478),"0")+IFERROR(IF(Z479="",0,Z479),"0")</f>
        <v>0.17138</v>
      </c>
      <c r="AA480" s="618"/>
      <c r="AB480" s="618"/>
      <c r="AC480" s="618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37" t="s">
        <v>67</v>
      </c>
      <c r="X481" s="617">
        <f>IFERROR(SUM(X477:X479),"0")</f>
        <v>101</v>
      </c>
      <c r="Y481" s="617">
        <f>IFERROR(SUM(Y477:Y479),"0")</f>
        <v>102.60000000000001</v>
      </c>
      <c r="Z481" s="37"/>
      <c r="AA481" s="618"/>
      <c r="AB481" s="618"/>
      <c r="AC481" s="618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48"/>
      <c r="AB482" s="48"/>
      <c r="AC482" s="48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10"/>
      <c r="AB483" s="610"/>
      <c r="AC483" s="610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11"/>
      <c r="AB484" s="611"/>
      <c r="AC484" s="611"/>
    </row>
    <row r="485" spans="1:68" ht="27" customHeight="1" x14ac:dyDescent="0.25">
      <c r="A485" s="54" t="s">
        <v>766</v>
      </c>
      <c r="B485" s="54" t="s">
        <v>767</v>
      </c>
      <c r="C485" s="31">
        <v>4301011769</v>
      </c>
      <c r="D485" s="619">
        <v>4607091389067</v>
      </c>
      <c r="E485" s="620"/>
      <c r="F485" s="614">
        <v>0.88</v>
      </c>
      <c r="G485" s="32">
        <v>6</v>
      </c>
      <c r="H485" s="614">
        <v>5.28</v>
      </c>
      <c r="I485" s="614">
        <v>5.63</v>
      </c>
      <c r="J485" s="32">
        <v>104</v>
      </c>
      <c r="K485" s="32" t="s">
        <v>120</v>
      </c>
      <c r="L485" s="32"/>
      <c r="M485" s="33" t="s">
        <v>78</v>
      </c>
      <c r="N485" s="33"/>
      <c r="O485" s="32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4"/>
      <c r="V485" s="34"/>
      <c r="W485" s="35" t="s">
        <v>67</v>
      </c>
      <c r="X485" s="615">
        <v>0</v>
      </c>
      <c r="Y485" s="616">
        <f t="shared" ref="Y485:Y493" si="57">IFERROR(IF(X485="",0,CEILING((X485/$H485),1)*$H485),"")</f>
        <v>0</v>
      </c>
      <c r="Z485" s="36" t="str">
        <f t="shared" ref="Z485:Z490" si="58">IFERROR(IF(Y485=0,"",ROUNDUP(Y485/H485,0)*0.01196),"")</f>
        <v/>
      </c>
      <c r="AA485" s="56"/>
      <c r="AB485" s="57"/>
      <c r="AC485" s="553" t="s">
        <v>122</v>
      </c>
      <c r="AG485" s="64"/>
      <c r="AJ485" s="68"/>
      <c r="AK485" s="68">
        <v>0</v>
      </c>
      <c r="BB485" s="554" t="s">
        <v>1</v>
      </c>
      <c r="BM485" s="64">
        <f t="shared" ref="BM485:BM493" si="59">IFERROR(X485*I485/H485,"0")</f>
        <v>0</v>
      </c>
      <c r="BN485" s="64">
        <f t="shared" ref="BN485:BN493" si="60">IFERROR(Y485*I485/H485,"0")</f>
        <v>0</v>
      </c>
      <c r="BO485" s="64">
        <f t="shared" ref="BO485:BO493" si="61">IFERROR(1/J485*(X485/H485),"0")</f>
        <v>0</v>
      </c>
      <c r="BP485" s="64">
        <f t="shared" ref="BP485:BP493" si="62">IFERROR(1/J485*(Y485/H485),"0")</f>
        <v>0</v>
      </c>
    </row>
    <row r="486" spans="1:68" ht="16.5" customHeight="1" x14ac:dyDescent="0.25">
      <c r="A486" s="54" t="s">
        <v>768</v>
      </c>
      <c r="B486" s="54" t="s">
        <v>769</v>
      </c>
      <c r="C486" s="31">
        <v>4301012380</v>
      </c>
      <c r="D486" s="619">
        <v>4680115889576</v>
      </c>
      <c r="E486" s="620"/>
      <c r="F486" s="614">
        <v>0.88</v>
      </c>
      <c r="G486" s="32">
        <v>6</v>
      </c>
      <c r="H486" s="614">
        <v>5.28</v>
      </c>
      <c r="I486" s="614">
        <v>5.63</v>
      </c>
      <c r="J486" s="32">
        <v>104</v>
      </c>
      <c r="K486" s="32" t="s">
        <v>120</v>
      </c>
      <c r="L486" s="32"/>
      <c r="M486" s="33" t="s">
        <v>121</v>
      </c>
      <c r="N486" s="33"/>
      <c r="O486" s="32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4"/>
      <c r="V486" s="34"/>
      <c r="W486" s="35" t="s">
        <v>67</v>
      </c>
      <c r="X486" s="615">
        <v>0</v>
      </c>
      <c r="Y486" s="616">
        <f t="shared" si="57"/>
        <v>0</v>
      </c>
      <c r="Z486" s="36" t="str">
        <f t="shared" si="58"/>
        <v/>
      </c>
      <c r="AA486" s="56"/>
      <c r="AB486" s="57"/>
      <c r="AC486" s="555" t="s">
        <v>770</v>
      </c>
      <c r="AG486" s="64"/>
      <c r="AJ486" s="68"/>
      <c r="AK486" s="68">
        <v>0</v>
      </c>
      <c r="BB486" s="556" t="s">
        <v>1</v>
      </c>
      <c r="BM486" s="64">
        <f t="shared" si="59"/>
        <v>0</v>
      </c>
      <c r="BN486" s="64">
        <f t="shared" si="60"/>
        <v>0</v>
      </c>
      <c r="BO486" s="64">
        <f t="shared" si="61"/>
        <v>0</v>
      </c>
      <c r="BP486" s="64">
        <f t="shared" si="62"/>
        <v>0</v>
      </c>
    </row>
    <row r="487" spans="1:68" ht="27" customHeight="1" x14ac:dyDescent="0.25">
      <c r="A487" s="54" t="s">
        <v>771</v>
      </c>
      <c r="B487" s="54" t="s">
        <v>772</v>
      </c>
      <c r="C487" s="31">
        <v>4301011961</v>
      </c>
      <c r="D487" s="619">
        <v>4680115885271</v>
      </c>
      <c r="E487" s="620"/>
      <c r="F487" s="614">
        <v>0.88</v>
      </c>
      <c r="G487" s="32">
        <v>6</v>
      </c>
      <c r="H487" s="614">
        <v>5.28</v>
      </c>
      <c r="I487" s="614">
        <v>5.63</v>
      </c>
      <c r="J487" s="32">
        <v>104</v>
      </c>
      <c r="K487" s="32" t="s">
        <v>120</v>
      </c>
      <c r="L487" s="32"/>
      <c r="M487" s="33" t="s">
        <v>121</v>
      </c>
      <c r="N487" s="33"/>
      <c r="O487" s="32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4"/>
      <c r="V487" s="34"/>
      <c r="W487" s="35" t="s">
        <v>67</v>
      </c>
      <c r="X487" s="615">
        <v>0</v>
      </c>
      <c r="Y487" s="616">
        <f t="shared" si="57"/>
        <v>0</v>
      </c>
      <c r="Z487" s="36" t="str">
        <f t="shared" si="58"/>
        <v/>
      </c>
      <c r="AA487" s="56"/>
      <c r="AB487" s="57"/>
      <c r="AC487" s="557" t="s">
        <v>773</v>
      </c>
      <c r="AG487" s="64"/>
      <c r="AJ487" s="68"/>
      <c r="AK487" s="68">
        <v>0</v>
      </c>
      <c r="BB487" s="558" t="s">
        <v>1</v>
      </c>
      <c r="BM487" s="64">
        <f t="shared" si="59"/>
        <v>0</v>
      </c>
      <c r="BN487" s="64">
        <f t="shared" si="60"/>
        <v>0</v>
      </c>
      <c r="BO487" s="64">
        <f t="shared" si="61"/>
        <v>0</v>
      </c>
      <c r="BP487" s="64">
        <f t="shared" si="62"/>
        <v>0</v>
      </c>
    </row>
    <row r="488" spans="1:68" ht="27" customHeight="1" x14ac:dyDescent="0.25">
      <c r="A488" s="54" t="s">
        <v>774</v>
      </c>
      <c r="B488" s="54" t="s">
        <v>775</v>
      </c>
      <c r="C488" s="31">
        <v>4301011369</v>
      </c>
      <c r="D488" s="619">
        <v>4680115885226</v>
      </c>
      <c r="E488" s="620"/>
      <c r="F488" s="614">
        <v>0.88</v>
      </c>
      <c r="G488" s="32">
        <v>6</v>
      </c>
      <c r="H488" s="614">
        <v>5.28</v>
      </c>
      <c r="I488" s="614">
        <v>5.63</v>
      </c>
      <c r="J488" s="32">
        <v>104</v>
      </c>
      <c r="K488" s="32" t="s">
        <v>120</v>
      </c>
      <c r="L488" s="32"/>
      <c r="M488" s="33" t="s">
        <v>121</v>
      </c>
      <c r="N488" s="33"/>
      <c r="O488" s="32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4"/>
      <c r="V488" s="34"/>
      <c r="W488" s="35" t="s">
        <v>67</v>
      </c>
      <c r="X488" s="615">
        <v>93</v>
      </c>
      <c r="Y488" s="616">
        <f t="shared" si="57"/>
        <v>95.04</v>
      </c>
      <c r="Z488" s="36">
        <f t="shared" si="58"/>
        <v>0.21528</v>
      </c>
      <c r="AA488" s="56"/>
      <c r="AB488" s="57"/>
      <c r="AC488" s="559" t="s">
        <v>776</v>
      </c>
      <c r="AG488" s="64"/>
      <c r="AJ488" s="68"/>
      <c r="AK488" s="68">
        <v>0</v>
      </c>
      <c r="BB488" s="560" t="s">
        <v>1</v>
      </c>
      <c r="BM488" s="64">
        <f t="shared" si="59"/>
        <v>99.164772727272734</v>
      </c>
      <c r="BN488" s="64">
        <f t="shared" si="60"/>
        <v>101.33999999999999</v>
      </c>
      <c r="BO488" s="64">
        <f t="shared" si="61"/>
        <v>0.16936188811188813</v>
      </c>
      <c r="BP488" s="64">
        <f t="shared" si="62"/>
        <v>0.17307692307692307</v>
      </c>
    </row>
    <row r="489" spans="1:68" ht="16.5" customHeight="1" x14ac:dyDescent="0.25">
      <c r="A489" s="54" t="s">
        <v>777</v>
      </c>
      <c r="B489" s="54" t="s">
        <v>778</v>
      </c>
      <c r="C489" s="31">
        <v>4301011797</v>
      </c>
      <c r="D489" s="619">
        <v>4680115884502</v>
      </c>
      <c r="E489" s="620"/>
      <c r="F489" s="614">
        <v>0.88</v>
      </c>
      <c r="G489" s="32">
        <v>6</v>
      </c>
      <c r="H489" s="614">
        <v>5.28</v>
      </c>
      <c r="I489" s="614">
        <v>5.63</v>
      </c>
      <c r="J489" s="32">
        <v>104</v>
      </c>
      <c r="K489" s="32" t="s">
        <v>120</v>
      </c>
      <c r="L489" s="32"/>
      <c r="M489" s="33" t="s">
        <v>78</v>
      </c>
      <c r="N489" s="33"/>
      <c r="O489" s="32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4"/>
      <c r="V489" s="34"/>
      <c r="W489" s="35" t="s">
        <v>67</v>
      </c>
      <c r="X489" s="615">
        <v>0</v>
      </c>
      <c r="Y489" s="616">
        <f t="shared" si="57"/>
        <v>0</v>
      </c>
      <c r="Z489" s="36" t="str">
        <f t="shared" si="58"/>
        <v/>
      </c>
      <c r="AA489" s="56"/>
      <c r="AB489" s="57"/>
      <c r="AC489" s="561" t="s">
        <v>779</v>
      </c>
      <c r="AG489" s="64"/>
      <c r="AJ489" s="68"/>
      <c r="AK489" s="68">
        <v>0</v>
      </c>
      <c r="BB489" s="562" t="s">
        <v>1</v>
      </c>
      <c r="BM489" s="64">
        <f t="shared" si="59"/>
        <v>0</v>
      </c>
      <c r="BN489" s="64">
        <f t="shared" si="60"/>
        <v>0</v>
      </c>
      <c r="BO489" s="64">
        <f t="shared" si="61"/>
        <v>0</v>
      </c>
      <c r="BP489" s="64">
        <f t="shared" si="62"/>
        <v>0</v>
      </c>
    </row>
    <row r="490" spans="1:68" ht="27" customHeight="1" x14ac:dyDescent="0.25">
      <c r="A490" s="54" t="s">
        <v>780</v>
      </c>
      <c r="B490" s="54" t="s">
        <v>781</v>
      </c>
      <c r="C490" s="31">
        <v>4301011771</v>
      </c>
      <c r="D490" s="619">
        <v>4607091389104</v>
      </c>
      <c r="E490" s="620"/>
      <c r="F490" s="614">
        <v>0.88</v>
      </c>
      <c r="G490" s="32">
        <v>6</v>
      </c>
      <c r="H490" s="614">
        <v>5.28</v>
      </c>
      <c r="I490" s="614">
        <v>5.63</v>
      </c>
      <c r="J490" s="32">
        <v>104</v>
      </c>
      <c r="K490" s="32" t="s">
        <v>120</v>
      </c>
      <c r="L490" s="32"/>
      <c r="M490" s="33" t="s">
        <v>121</v>
      </c>
      <c r="N490" s="33"/>
      <c r="O490" s="32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4"/>
      <c r="V490" s="34"/>
      <c r="W490" s="35" t="s">
        <v>67</v>
      </c>
      <c r="X490" s="615">
        <v>199</v>
      </c>
      <c r="Y490" s="616">
        <f t="shared" si="57"/>
        <v>200.64000000000001</v>
      </c>
      <c r="Z490" s="36">
        <f t="shared" si="58"/>
        <v>0.45448</v>
      </c>
      <c r="AA490" s="56"/>
      <c r="AB490" s="57"/>
      <c r="AC490" s="563" t="s">
        <v>782</v>
      </c>
      <c r="AG490" s="64"/>
      <c r="AJ490" s="68"/>
      <c r="AK490" s="68">
        <v>0</v>
      </c>
      <c r="BB490" s="564" t="s">
        <v>1</v>
      </c>
      <c r="BM490" s="64">
        <f t="shared" si="59"/>
        <v>212.19128787878785</v>
      </c>
      <c r="BN490" s="64">
        <f t="shared" si="60"/>
        <v>213.94</v>
      </c>
      <c r="BO490" s="64">
        <f t="shared" si="61"/>
        <v>0.36239801864801863</v>
      </c>
      <c r="BP490" s="64">
        <f t="shared" si="62"/>
        <v>0.36538461538461542</v>
      </c>
    </row>
    <row r="491" spans="1:68" ht="27" customHeight="1" x14ac:dyDescent="0.25">
      <c r="A491" s="54" t="s">
        <v>783</v>
      </c>
      <c r="B491" s="54" t="s">
        <v>784</v>
      </c>
      <c r="C491" s="31">
        <v>4301012125</v>
      </c>
      <c r="D491" s="619">
        <v>4680115886391</v>
      </c>
      <c r="E491" s="620"/>
      <c r="F491" s="614">
        <v>0.4</v>
      </c>
      <c r="G491" s="32">
        <v>6</v>
      </c>
      <c r="H491" s="614">
        <v>2.4</v>
      </c>
      <c r="I491" s="614">
        <v>2.58</v>
      </c>
      <c r="J491" s="32">
        <v>182</v>
      </c>
      <c r="K491" s="32" t="s">
        <v>77</v>
      </c>
      <c r="L491" s="32"/>
      <c r="M491" s="33" t="s">
        <v>78</v>
      </c>
      <c r="N491" s="33"/>
      <c r="O491" s="32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4"/>
      <c r="V491" s="34"/>
      <c r="W491" s="35" t="s">
        <v>67</v>
      </c>
      <c r="X491" s="615">
        <v>0</v>
      </c>
      <c r="Y491" s="616">
        <f t="shared" si="57"/>
        <v>0</v>
      </c>
      <c r="Z491" s="36" t="str">
        <f>IFERROR(IF(Y491=0,"",ROUNDUP(Y491/H491,0)*0.00651),"")</f>
        <v/>
      </c>
      <c r="AA491" s="56"/>
      <c r="AB491" s="57"/>
      <c r="AC491" s="565" t="s">
        <v>122</v>
      </c>
      <c r="AG491" s="64"/>
      <c r="AJ491" s="68"/>
      <c r="AK491" s="68">
        <v>0</v>
      </c>
      <c r="BB491" s="566" t="s">
        <v>1</v>
      </c>
      <c r="BM491" s="64">
        <f t="shared" si="59"/>
        <v>0</v>
      </c>
      <c r="BN491" s="64">
        <f t="shared" si="60"/>
        <v>0</v>
      </c>
      <c r="BO491" s="64">
        <f t="shared" si="61"/>
        <v>0</v>
      </c>
      <c r="BP491" s="64">
        <f t="shared" si="62"/>
        <v>0</v>
      </c>
    </row>
    <row r="492" spans="1:68" ht="27" customHeight="1" x14ac:dyDescent="0.25">
      <c r="A492" s="54" t="s">
        <v>785</v>
      </c>
      <c r="B492" s="54" t="s">
        <v>786</v>
      </c>
      <c r="C492" s="31">
        <v>4301012048</v>
      </c>
      <c r="D492" s="619">
        <v>4680115880603</v>
      </c>
      <c r="E492" s="620"/>
      <c r="F492" s="614">
        <v>0.6</v>
      </c>
      <c r="G492" s="32">
        <v>8</v>
      </c>
      <c r="H492" s="614">
        <v>4.8</v>
      </c>
      <c r="I492" s="614">
        <v>6.91</v>
      </c>
      <c r="J492" s="32">
        <v>132</v>
      </c>
      <c r="K492" s="32" t="s">
        <v>129</v>
      </c>
      <c r="L492" s="32"/>
      <c r="M492" s="33" t="s">
        <v>78</v>
      </c>
      <c r="N492" s="33"/>
      <c r="O492" s="32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4"/>
      <c r="V492" s="34"/>
      <c r="W492" s="35" t="s">
        <v>67</v>
      </c>
      <c r="X492" s="615">
        <v>0</v>
      </c>
      <c r="Y492" s="616">
        <f t="shared" si="57"/>
        <v>0</v>
      </c>
      <c r="Z492" s="36" t="str">
        <f>IFERROR(IF(Y492=0,"",ROUNDUP(Y492/H492,0)*0.00902),"")</f>
        <v/>
      </c>
      <c r="AA492" s="56"/>
      <c r="AB492" s="57"/>
      <c r="AC492" s="567" t="s">
        <v>122</v>
      </c>
      <c r="AG492" s="64"/>
      <c r="AJ492" s="68"/>
      <c r="AK492" s="68">
        <v>0</v>
      </c>
      <c r="BB492" s="568" t="s">
        <v>1</v>
      </c>
      <c r="BM492" s="64">
        <f t="shared" si="59"/>
        <v>0</v>
      </c>
      <c r="BN492" s="64">
        <f t="shared" si="60"/>
        <v>0</v>
      </c>
      <c r="BO492" s="64">
        <f t="shared" si="61"/>
        <v>0</v>
      </c>
      <c r="BP492" s="64">
        <f t="shared" si="62"/>
        <v>0</v>
      </c>
    </row>
    <row r="493" spans="1:68" ht="27" customHeight="1" x14ac:dyDescent="0.25">
      <c r="A493" s="54" t="s">
        <v>787</v>
      </c>
      <c r="B493" s="54" t="s">
        <v>788</v>
      </c>
      <c r="C493" s="31">
        <v>4301012034</v>
      </c>
      <c r="D493" s="619">
        <v>4607091389982</v>
      </c>
      <c r="E493" s="620"/>
      <c r="F493" s="614">
        <v>0.6</v>
      </c>
      <c r="G493" s="32">
        <v>8</v>
      </c>
      <c r="H493" s="614">
        <v>4.8</v>
      </c>
      <c r="I493" s="614">
        <v>6.91</v>
      </c>
      <c r="J493" s="32">
        <v>132</v>
      </c>
      <c r="K493" s="32" t="s">
        <v>129</v>
      </c>
      <c r="L493" s="32"/>
      <c r="M493" s="33" t="s">
        <v>121</v>
      </c>
      <c r="N493" s="33"/>
      <c r="O493" s="32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4"/>
      <c r="V493" s="34"/>
      <c r="W493" s="35" t="s">
        <v>67</v>
      </c>
      <c r="X493" s="615">
        <v>0</v>
      </c>
      <c r="Y493" s="616">
        <f t="shared" si="57"/>
        <v>0</v>
      </c>
      <c r="Z493" s="36" t="str">
        <f>IFERROR(IF(Y493=0,"",ROUNDUP(Y493/H493,0)*0.00902),"")</f>
        <v/>
      </c>
      <c r="AA493" s="56"/>
      <c r="AB493" s="57"/>
      <c r="AC493" s="569" t="s">
        <v>782</v>
      </c>
      <c r="AG493" s="64"/>
      <c r="AJ493" s="68"/>
      <c r="AK493" s="68">
        <v>0</v>
      </c>
      <c r="BB493" s="570" t="s">
        <v>1</v>
      </c>
      <c r="BM493" s="64">
        <f t="shared" si="59"/>
        <v>0</v>
      </c>
      <c r="BN493" s="64">
        <f t="shared" si="60"/>
        <v>0</v>
      </c>
      <c r="BO493" s="64">
        <f t="shared" si="61"/>
        <v>0</v>
      </c>
      <c r="BP493" s="64">
        <f t="shared" si="62"/>
        <v>0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37" t="s">
        <v>73</v>
      </c>
      <c r="X494" s="617">
        <f>IFERROR(X485/H485,"0")+IFERROR(X486/H486,"0")+IFERROR(X487/H487,"0")+IFERROR(X488/H488,"0")+IFERROR(X489/H489,"0")+IFERROR(X490/H490,"0")+IFERROR(X491/H491,"0")+IFERROR(X492/H492,"0")+IFERROR(X493/H493,"0")</f>
        <v>55.303030303030297</v>
      </c>
      <c r="Y494" s="617">
        <f>IFERROR(Y485/H485,"0")+IFERROR(Y486/H486,"0")+IFERROR(Y487/H487,"0")+IFERROR(Y488/H488,"0")+IFERROR(Y489/H489,"0")+IFERROR(Y490/H490,"0")+IFERROR(Y491/H491,"0")+IFERROR(Y492/H492,"0")+IFERROR(Y493/H493,"0")</f>
        <v>56</v>
      </c>
      <c r="Z494" s="617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0.66976000000000002</v>
      </c>
      <c r="AA494" s="618"/>
      <c r="AB494" s="618"/>
      <c r="AC494" s="618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37" t="s">
        <v>67</v>
      </c>
      <c r="X495" s="617">
        <f>IFERROR(SUM(X485:X493),"0")</f>
        <v>292</v>
      </c>
      <c r="Y495" s="617">
        <f>IFERROR(SUM(Y485:Y493),"0")</f>
        <v>295.68</v>
      </c>
      <c r="Z495" s="37"/>
      <c r="AA495" s="618"/>
      <c r="AB495" s="618"/>
      <c r="AC495" s="618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11"/>
      <c r="AB496" s="611"/>
      <c r="AC496" s="611"/>
    </row>
    <row r="497" spans="1:68" ht="16.5" customHeight="1" x14ac:dyDescent="0.25">
      <c r="A497" s="54" t="s">
        <v>789</v>
      </c>
      <c r="B497" s="54" t="s">
        <v>790</v>
      </c>
      <c r="C497" s="31">
        <v>4301020334</v>
      </c>
      <c r="D497" s="619">
        <v>4607091388930</v>
      </c>
      <c r="E497" s="620"/>
      <c r="F497" s="614">
        <v>0.88</v>
      </c>
      <c r="G497" s="32">
        <v>6</v>
      </c>
      <c r="H497" s="614">
        <v>5.28</v>
      </c>
      <c r="I497" s="614">
        <v>5.63</v>
      </c>
      <c r="J497" s="32">
        <v>104</v>
      </c>
      <c r="K497" s="32" t="s">
        <v>120</v>
      </c>
      <c r="L497" s="32"/>
      <c r="M497" s="33" t="s">
        <v>78</v>
      </c>
      <c r="N497" s="33"/>
      <c r="O497" s="32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4"/>
      <c r="V497" s="34"/>
      <c r="W497" s="35" t="s">
        <v>67</v>
      </c>
      <c r="X497" s="615">
        <v>316</v>
      </c>
      <c r="Y497" s="616">
        <f>IFERROR(IF(X497="",0,CEILING((X497/$H497),1)*$H497),"")</f>
        <v>316.8</v>
      </c>
      <c r="Z497" s="36">
        <f>IFERROR(IF(Y497=0,"",ROUNDUP(Y497/H497,0)*0.01196),"")</f>
        <v>0.71760000000000002</v>
      </c>
      <c r="AA497" s="56"/>
      <c r="AB497" s="57"/>
      <c r="AC497" s="571" t="s">
        <v>791</v>
      </c>
      <c r="AG497" s="64"/>
      <c r="AJ497" s="68"/>
      <c r="AK497" s="68">
        <v>0</v>
      </c>
      <c r="BB497" s="572" t="s">
        <v>1</v>
      </c>
      <c r="BM497" s="64">
        <f>IFERROR(X497*I497/H497,"0")</f>
        <v>336.94696969696969</v>
      </c>
      <c r="BN497" s="64">
        <f>IFERROR(Y497*I497/H497,"0")</f>
        <v>337.8</v>
      </c>
      <c r="BO497" s="64">
        <f>IFERROR(1/J497*(X497/H497),"0")</f>
        <v>0.57546620046620045</v>
      </c>
      <c r="BP497" s="64">
        <f>IFERROR(1/J497*(Y497/H497),"0")</f>
        <v>0.57692307692307698</v>
      </c>
    </row>
    <row r="498" spans="1:68" ht="16.5" customHeight="1" x14ac:dyDescent="0.25">
      <c r="A498" s="54" t="s">
        <v>792</v>
      </c>
      <c r="B498" s="54" t="s">
        <v>793</v>
      </c>
      <c r="C498" s="31">
        <v>4301020374</v>
      </c>
      <c r="D498" s="619">
        <v>4680115886407</v>
      </c>
      <c r="E498" s="620"/>
      <c r="F498" s="614">
        <v>0.4</v>
      </c>
      <c r="G498" s="32">
        <v>6</v>
      </c>
      <c r="H498" s="614">
        <v>2.4</v>
      </c>
      <c r="I498" s="614">
        <v>2.58</v>
      </c>
      <c r="J498" s="32">
        <v>182</v>
      </c>
      <c r="K498" s="32" t="s">
        <v>77</v>
      </c>
      <c r="L498" s="32"/>
      <c r="M498" s="33" t="s">
        <v>121</v>
      </c>
      <c r="N498" s="33"/>
      <c r="O498" s="32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4"/>
      <c r="V498" s="34"/>
      <c r="W498" s="35" t="s">
        <v>67</v>
      </c>
      <c r="X498" s="615">
        <v>0</v>
      </c>
      <c r="Y498" s="616">
        <f>IFERROR(IF(X498="",0,CEILING((X498/$H498),1)*$H498),"")</f>
        <v>0</v>
      </c>
      <c r="Z498" s="36" t="str">
        <f>IFERROR(IF(Y498=0,"",ROUNDUP(Y498/H498,0)*0.00651),"")</f>
        <v/>
      </c>
      <c r="AA498" s="56"/>
      <c r="AB498" s="57"/>
      <c r="AC498" s="573" t="s">
        <v>791</v>
      </c>
      <c r="AG498" s="64"/>
      <c r="AJ498" s="68"/>
      <c r="AK498" s="68">
        <v>0</v>
      </c>
      <c r="BB498" s="574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16.5" customHeight="1" x14ac:dyDescent="0.25">
      <c r="A499" s="54" t="s">
        <v>794</v>
      </c>
      <c r="B499" s="54" t="s">
        <v>795</v>
      </c>
      <c r="C499" s="31">
        <v>4301020385</v>
      </c>
      <c r="D499" s="619">
        <v>4680115880054</v>
      </c>
      <c r="E499" s="620"/>
      <c r="F499" s="614">
        <v>0.6</v>
      </c>
      <c r="G499" s="32">
        <v>8</v>
      </c>
      <c r="H499" s="614">
        <v>4.8</v>
      </c>
      <c r="I499" s="614">
        <v>6.91</v>
      </c>
      <c r="J499" s="32">
        <v>132</v>
      </c>
      <c r="K499" s="32" t="s">
        <v>129</v>
      </c>
      <c r="L499" s="32"/>
      <c r="M499" s="33" t="s">
        <v>121</v>
      </c>
      <c r="N499" s="33"/>
      <c r="O499" s="32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4"/>
      <c r="V499" s="34"/>
      <c r="W499" s="35" t="s">
        <v>67</v>
      </c>
      <c r="X499" s="615">
        <v>19</v>
      </c>
      <c r="Y499" s="616">
        <f>IFERROR(IF(X499="",0,CEILING((X499/$H499),1)*$H499),"")</f>
        <v>19.2</v>
      </c>
      <c r="Z499" s="36">
        <f>IFERROR(IF(Y499=0,"",ROUNDUP(Y499/H499,0)*0.00902),"")</f>
        <v>3.6080000000000001E-2</v>
      </c>
      <c r="AA499" s="56"/>
      <c r="AB499" s="57"/>
      <c r="AC499" s="575" t="s">
        <v>791</v>
      </c>
      <c r="AG499" s="64"/>
      <c r="AJ499" s="68"/>
      <c r="AK499" s="68">
        <v>0</v>
      </c>
      <c r="BB499" s="576" t="s">
        <v>1</v>
      </c>
      <c r="BM499" s="64">
        <f>IFERROR(X499*I499/H499,"0")</f>
        <v>27.352083333333333</v>
      </c>
      <c r="BN499" s="64">
        <f>IFERROR(Y499*I499/H499,"0")</f>
        <v>27.64</v>
      </c>
      <c r="BO499" s="64">
        <f>IFERROR(1/J499*(X499/H499),"0")</f>
        <v>2.998737373737374E-2</v>
      </c>
      <c r="BP499" s="64">
        <f>IFERROR(1/J499*(Y499/H499),"0")</f>
        <v>3.0303030303030304E-2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37" t="s">
        <v>73</v>
      </c>
      <c r="X500" s="617">
        <f>IFERROR(X497/H497,"0")+IFERROR(X498/H498,"0")+IFERROR(X499/H499,"0")</f>
        <v>63.80681818181818</v>
      </c>
      <c r="Y500" s="617">
        <f>IFERROR(Y497/H497,"0")+IFERROR(Y498/H498,"0")+IFERROR(Y499/H499,"0")</f>
        <v>64</v>
      </c>
      <c r="Z500" s="617">
        <f>IFERROR(IF(Z497="",0,Z497),"0")+IFERROR(IF(Z498="",0,Z498),"0")+IFERROR(IF(Z499="",0,Z499),"0")</f>
        <v>0.75368000000000002</v>
      </c>
      <c r="AA500" s="618"/>
      <c r="AB500" s="618"/>
      <c r="AC500" s="618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37" t="s">
        <v>67</v>
      </c>
      <c r="X501" s="617">
        <f>IFERROR(SUM(X497:X499),"0")</f>
        <v>335</v>
      </c>
      <c r="Y501" s="617">
        <f>IFERROR(SUM(Y497:Y499),"0")</f>
        <v>336</v>
      </c>
      <c r="Z501" s="37"/>
      <c r="AA501" s="618"/>
      <c r="AB501" s="618"/>
      <c r="AC501" s="618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11"/>
      <c r="AB502" s="611"/>
      <c r="AC502" s="611"/>
    </row>
    <row r="503" spans="1:68" ht="27" customHeight="1" x14ac:dyDescent="0.25">
      <c r="A503" s="54" t="s">
        <v>796</v>
      </c>
      <c r="B503" s="54" t="s">
        <v>797</v>
      </c>
      <c r="C503" s="31">
        <v>4301031349</v>
      </c>
      <c r="D503" s="619">
        <v>4680115883116</v>
      </c>
      <c r="E503" s="620"/>
      <c r="F503" s="614">
        <v>0.88</v>
      </c>
      <c r="G503" s="32">
        <v>6</v>
      </c>
      <c r="H503" s="614">
        <v>5.28</v>
      </c>
      <c r="I503" s="614">
        <v>5.63</v>
      </c>
      <c r="J503" s="32">
        <v>104</v>
      </c>
      <c r="K503" s="32" t="s">
        <v>120</v>
      </c>
      <c r="L503" s="32"/>
      <c r="M503" s="33" t="s">
        <v>121</v>
      </c>
      <c r="N503" s="33"/>
      <c r="O503" s="32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4"/>
      <c r="V503" s="34"/>
      <c r="W503" s="35" t="s">
        <v>67</v>
      </c>
      <c r="X503" s="615">
        <v>49</v>
      </c>
      <c r="Y503" s="616">
        <f t="shared" ref="Y503:Y509" si="63">IFERROR(IF(X503="",0,CEILING((X503/$H503),1)*$H503),"")</f>
        <v>52.800000000000004</v>
      </c>
      <c r="Z503" s="36">
        <f>IFERROR(IF(Y503=0,"",ROUNDUP(Y503/H503,0)*0.01196),"")</f>
        <v>0.1196</v>
      </c>
      <c r="AA503" s="56"/>
      <c r="AB503" s="57"/>
      <c r="AC503" s="577" t="s">
        <v>798</v>
      </c>
      <c r="AG503" s="64"/>
      <c r="AJ503" s="68"/>
      <c r="AK503" s="68">
        <v>0</v>
      </c>
      <c r="BB503" s="578" t="s">
        <v>1</v>
      </c>
      <c r="BM503" s="64">
        <f t="shared" ref="BM503:BM509" si="64">IFERROR(X503*I503/H503,"0")</f>
        <v>52.248106060606062</v>
      </c>
      <c r="BN503" s="64">
        <f t="shared" ref="BN503:BN509" si="65">IFERROR(Y503*I503/H503,"0")</f>
        <v>56.3</v>
      </c>
      <c r="BO503" s="64">
        <f t="shared" ref="BO503:BO509" si="66">IFERROR(1/J503*(X503/H503),"0")</f>
        <v>8.9233682983682977E-2</v>
      </c>
      <c r="BP503" s="64">
        <f t="shared" ref="BP503:BP509" si="67">IFERROR(1/J503*(Y503/H503),"0")</f>
        <v>9.6153846153846159E-2</v>
      </c>
    </row>
    <row r="504" spans="1:68" ht="27" customHeight="1" x14ac:dyDescent="0.25">
      <c r="A504" s="54" t="s">
        <v>799</v>
      </c>
      <c r="B504" s="54" t="s">
        <v>800</v>
      </c>
      <c r="C504" s="31">
        <v>4301031350</v>
      </c>
      <c r="D504" s="619">
        <v>4680115883093</v>
      </c>
      <c r="E504" s="620"/>
      <c r="F504" s="614">
        <v>0.88</v>
      </c>
      <c r="G504" s="32">
        <v>6</v>
      </c>
      <c r="H504" s="614">
        <v>5.28</v>
      </c>
      <c r="I504" s="614">
        <v>5.63</v>
      </c>
      <c r="J504" s="32">
        <v>104</v>
      </c>
      <c r="K504" s="32" t="s">
        <v>120</v>
      </c>
      <c r="L504" s="32"/>
      <c r="M504" s="33" t="s">
        <v>66</v>
      </c>
      <c r="N504" s="33"/>
      <c r="O504" s="32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4"/>
      <c r="V504" s="34"/>
      <c r="W504" s="35" t="s">
        <v>67</v>
      </c>
      <c r="X504" s="615">
        <v>76</v>
      </c>
      <c r="Y504" s="616">
        <f t="shared" si="63"/>
        <v>79.2</v>
      </c>
      <c r="Z504" s="36">
        <f>IFERROR(IF(Y504=0,"",ROUNDUP(Y504/H504,0)*0.01196),"")</f>
        <v>0.1794</v>
      </c>
      <c r="AA504" s="56"/>
      <c r="AB504" s="57"/>
      <c r="AC504" s="579" t="s">
        <v>801</v>
      </c>
      <c r="AG504" s="64"/>
      <c r="AJ504" s="68"/>
      <c r="AK504" s="68">
        <v>0</v>
      </c>
      <c r="BB504" s="580" t="s">
        <v>1</v>
      </c>
      <c r="BM504" s="64">
        <f t="shared" si="64"/>
        <v>81.037878787878782</v>
      </c>
      <c r="BN504" s="64">
        <f t="shared" si="65"/>
        <v>84.45</v>
      </c>
      <c r="BO504" s="64">
        <f t="shared" si="66"/>
        <v>0.13840326340326339</v>
      </c>
      <c r="BP504" s="64">
        <f t="shared" si="67"/>
        <v>0.14423076923076925</v>
      </c>
    </row>
    <row r="505" spans="1:68" ht="27" customHeight="1" x14ac:dyDescent="0.25">
      <c r="A505" s="54" t="s">
        <v>802</v>
      </c>
      <c r="B505" s="54" t="s">
        <v>803</v>
      </c>
      <c r="C505" s="31">
        <v>4301031353</v>
      </c>
      <c r="D505" s="619">
        <v>4680115883109</v>
      </c>
      <c r="E505" s="620"/>
      <c r="F505" s="614">
        <v>0.88</v>
      </c>
      <c r="G505" s="32">
        <v>6</v>
      </c>
      <c r="H505" s="614">
        <v>5.28</v>
      </c>
      <c r="I505" s="614">
        <v>5.63</v>
      </c>
      <c r="J505" s="32">
        <v>104</v>
      </c>
      <c r="K505" s="32" t="s">
        <v>120</v>
      </c>
      <c r="L505" s="32"/>
      <c r="M505" s="33" t="s">
        <v>66</v>
      </c>
      <c r="N505" s="33"/>
      <c r="O505" s="32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4"/>
      <c r="V505" s="34"/>
      <c r="W505" s="35" t="s">
        <v>67</v>
      </c>
      <c r="X505" s="615">
        <v>0</v>
      </c>
      <c r="Y505" s="616">
        <f t="shared" si="63"/>
        <v>0</v>
      </c>
      <c r="Z505" s="36" t="str">
        <f>IFERROR(IF(Y505=0,"",ROUNDUP(Y505/H505,0)*0.01196),"")</f>
        <v/>
      </c>
      <c r="AA505" s="56"/>
      <c r="AB505" s="57"/>
      <c r="AC505" s="581" t="s">
        <v>804</v>
      </c>
      <c r="AG505" s="64"/>
      <c r="AJ505" s="68"/>
      <c r="AK505" s="68">
        <v>0</v>
      </c>
      <c r="BB505" s="582" t="s">
        <v>1</v>
      </c>
      <c r="BM505" s="64">
        <f t="shared" si="64"/>
        <v>0</v>
      </c>
      <c r="BN505" s="64">
        <f t="shared" si="65"/>
        <v>0</v>
      </c>
      <c r="BO505" s="64">
        <f t="shared" si="66"/>
        <v>0</v>
      </c>
      <c r="BP505" s="64">
        <f t="shared" si="67"/>
        <v>0</v>
      </c>
    </row>
    <row r="506" spans="1:68" ht="27" customHeight="1" x14ac:dyDescent="0.25">
      <c r="A506" s="54" t="s">
        <v>805</v>
      </c>
      <c r="B506" s="54" t="s">
        <v>806</v>
      </c>
      <c r="C506" s="31">
        <v>4301031419</v>
      </c>
      <c r="D506" s="619">
        <v>4680115882072</v>
      </c>
      <c r="E506" s="620"/>
      <c r="F506" s="614">
        <v>0.6</v>
      </c>
      <c r="G506" s="32">
        <v>8</v>
      </c>
      <c r="H506" s="614">
        <v>4.8</v>
      </c>
      <c r="I506" s="614">
        <v>6.91</v>
      </c>
      <c r="J506" s="32">
        <v>132</v>
      </c>
      <c r="K506" s="32" t="s">
        <v>129</v>
      </c>
      <c r="L506" s="32"/>
      <c r="M506" s="33" t="s">
        <v>121</v>
      </c>
      <c r="N506" s="33"/>
      <c r="O506" s="32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4"/>
      <c r="V506" s="34"/>
      <c r="W506" s="35" t="s">
        <v>67</v>
      </c>
      <c r="X506" s="615">
        <v>0</v>
      </c>
      <c r="Y506" s="616">
        <f t="shared" si="63"/>
        <v>0</v>
      </c>
      <c r="Z506" s="36" t="str">
        <f>IFERROR(IF(Y506=0,"",ROUNDUP(Y506/H506,0)*0.00902),"")</f>
        <v/>
      </c>
      <c r="AA506" s="56"/>
      <c r="AB506" s="57"/>
      <c r="AC506" s="583" t="s">
        <v>798</v>
      </c>
      <c r="AG506" s="64"/>
      <c r="AJ506" s="68"/>
      <c r="AK506" s="68">
        <v>0</v>
      </c>
      <c r="BB506" s="584" t="s">
        <v>1</v>
      </c>
      <c r="BM506" s="64">
        <f t="shared" si="64"/>
        <v>0</v>
      </c>
      <c r="BN506" s="64">
        <f t="shared" si="65"/>
        <v>0</v>
      </c>
      <c r="BO506" s="64">
        <f t="shared" si="66"/>
        <v>0</v>
      </c>
      <c r="BP506" s="64">
        <f t="shared" si="67"/>
        <v>0</v>
      </c>
    </row>
    <row r="507" spans="1:68" ht="27" customHeight="1" x14ac:dyDescent="0.25">
      <c r="A507" s="54" t="s">
        <v>807</v>
      </c>
      <c r="B507" s="54" t="s">
        <v>808</v>
      </c>
      <c r="C507" s="31">
        <v>4301031352</v>
      </c>
      <c r="D507" s="619">
        <v>4680115882102</v>
      </c>
      <c r="E507" s="620"/>
      <c r="F507" s="614">
        <v>0.6</v>
      </c>
      <c r="G507" s="32">
        <v>6</v>
      </c>
      <c r="H507" s="614">
        <v>3.6</v>
      </c>
      <c r="I507" s="614">
        <v>3.79</v>
      </c>
      <c r="J507" s="32">
        <v>132</v>
      </c>
      <c r="K507" s="32" t="s">
        <v>129</v>
      </c>
      <c r="L507" s="32"/>
      <c r="M507" s="33" t="s">
        <v>66</v>
      </c>
      <c r="N507" s="33"/>
      <c r="O507" s="32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4"/>
      <c r="V507" s="34"/>
      <c r="W507" s="35" t="s">
        <v>67</v>
      </c>
      <c r="X507" s="615">
        <v>0</v>
      </c>
      <c r="Y507" s="616">
        <f t="shared" si="63"/>
        <v>0</v>
      </c>
      <c r="Z507" s="36" t="str">
        <f>IFERROR(IF(Y507=0,"",ROUNDUP(Y507/H507,0)*0.00902),"")</f>
        <v/>
      </c>
      <c r="AA507" s="56"/>
      <c r="AB507" s="57"/>
      <c r="AC507" s="585" t="s">
        <v>801</v>
      </c>
      <c r="AG507" s="64"/>
      <c r="AJ507" s="68"/>
      <c r="AK507" s="68">
        <v>0</v>
      </c>
      <c r="BB507" s="586" t="s">
        <v>1</v>
      </c>
      <c r="BM507" s="64">
        <f t="shared" si="64"/>
        <v>0</v>
      </c>
      <c r="BN507" s="64">
        <f t="shared" si="65"/>
        <v>0</v>
      </c>
      <c r="BO507" s="64">
        <f t="shared" si="66"/>
        <v>0</v>
      </c>
      <c r="BP507" s="64">
        <f t="shared" si="67"/>
        <v>0</v>
      </c>
    </row>
    <row r="508" spans="1:68" ht="27" customHeight="1" x14ac:dyDescent="0.25">
      <c r="A508" s="54" t="s">
        <v>807</v>
      </c>
      <c r="B508" s="54" t="s">
        <v>809</v>
      </c>
      <c r="C508" s="31">
        <v>4301031418</v>
      </c>
      <c r="D508" s="619">
        <v>4680115882102</v>
      </c>
      <c r="E508" s="620"/>
      <c r="F508" s="614">
        <v>0.6</v>
      </c>
      <c r="G508" s="32">
        <v>8</v>
      </c>
      <c r="H508" s="614">
        <v>4.8</v>
      </c>
      <c r="I508" s="614">
        <v>6.67</v>
      </c>
      <c r="J508" s="32">
        <v>132</v>
      </c>
      <c r="K508" s="32" t="s">
        <v>129</v>
      </c>
      <c r="L508" s="32"/>
      <c r="M508" s="33" t="s">
        <v>66</v>
      </c>
      <c r="N508" s="33"/>
      <c r="O508" s="32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4"/>
      <c r="V508" s="34"/>
      <c r="W508" s="35" t="s">
        <v>67</v>
      </c>
      <c r="X508" s="615">
        <v>0</v>
      </c>
      <c r="Y508" s="616">
        <f t="shared" si="63"/>
        <v>0</v>
      </c>
      <c r="Z508" s="36" t="str">
        <f>IFERROR(IF(Y508=0,"",ROUNDUP(Y508/H508,0)*0.00902),"")</f>
        <v/>
      </c>
      <c r="AA508" s="56"/>
      <c r="AB508" s="57"/>
      <c r="AC508" s="587" t="s">
        <v>801</v>
      </c>
      <c r="AG508" s="64"/>
      <c r="AJ508" s="68"/>
      <c r="AK508" s="68">
        <v>0</v>
      </c>
      <c r="BB508" s="588" t="s">
        <v>1</v>
      </c>
      <c r="BM508" s="64">
        <f t="shared" si="64"/>
        <v>0</v>
      </c>
      <c r="BN508" s="64">
        <f t="shared" si="65"/>
        <v>0</v>
      </c>
      <c r="BO508" s="64">
        <f t="shared" si="66"/>
        <v>0</v>
      </c>
      <c r="BP508" s="64">
        <f t="shared" si="67"/>
        <v>0</v>
      </c>
    </row>
    <row r="509" spans="1:68" ht="27" customHeight="1" x14ac:dyDescent="0.25">
      <c r="A509" s="54" t="s">
        <v>810</v>
      </c>
      <c r="B509" s="54" t="s">
        <v>811</v>
      </c>
      <c r="C509" s="31">
        <v>4301031417</v>
      </c>
      <c r="D509" s="619">
        <v>4680115882096</v>
      </c>
      <c r="E509" s="620"/>
      <c r="F509" s="614">
        <v>0.6</v>
      </c>
      <c r="G509" s="32">
        <v>8</v>
      </c>
      <c r="H509" s="614">
        <v>4.8</v>
      </c>
      <c r="I509" s="614">
        <v>6.67</v>
      </c>
      <c r="J509" s="32">
        <v>132</v>
      </c>
      <c r="K509" s="32" t="s">
        <v>129</v>
      </c>
      <c r="L509" s="32"/>
      <c r="M509" s="33" t="s">
        <v>66</v>
      </c>
      <c r="N509" s="33"/>
      <c r="O509" s="32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4"/>
      <c r="V509" s="34"/>
      <c r="W509" s="35" t="s">
        <v>67</v>
      </c>
      <c r="X509" s="615">
        <v>0</v>
      </c>
      <c r="Y509" s="616">
        <f t="shared" si="63"/>
        <v>0</v>
      </c>
      <c r="Z509" s="36" t="str">
        <f>IFERROR(IF(Y509=0,"",ROUNDUP(Y509/H509,0)*0.00902),"")</f>
        <v/>
      </c>
      <c r="AA509" s="56"/>
      <c r="AB509" s="57"/>
      <c r="AC509" s="589" t="s">
        <v>804</v>
      </c>
      <c r="AG509" s="64"/>
      <c r="AJ509" s="68"/>
      <c r="AK509" s="68">
        <v>0</v>
      </c>
      <c r="BB509" s="590" t="s">
        <v>1</v>
      </c>
      <c r="BM509" s="64">
        <f t="shared" si="64"/>
        <v>0</v>
      </c>
      <c r="BN509" s="64">
        <f t="shared" si="65"/>
        <v>0</v>
      </c>
      <c r="BO509" s="64">
        <f t="shared" si="66"/>
        <v>0</v>
      </c>
      <c r="BP509" s="64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37" t="s">
        <v>73</v>
      </c>
      <c r="X510" s="617">
        <f>IFERROR(X503/H503,"0")+IFERROR(X504/H504,"0")+IFERROR(X505/H505,"0")+IFERROR(X506/H506,"0")+IFERROR(X507/H507,"0")+IFERROR(X508/H508,"0")+IFERROR(X509/H509,"0")</f>
        <v>23.674242424242422</v>
      </c>
      <c r="Y510" s="617">
        <f>IFERROR(Y503/H503,"0")+IFERROR(Y504/H504,"0")+IFERROR(Y505/H505,"0")+IFERROR(Y506/H506,"0")+IFERROR(Y507/H507,"0")+IFERROR(Y508/H508,"0")+IFERROR(Y509/H509,"0")</f>
        <v>25</v>
      </c>
      <c r="Z510" s="617">
        <f>IFERROR(IF(Z503="",0,Z503),"0")+IFERROR(IF(Z504="",0,Z504),"0")+IFERROR(IF(Z505="",0,Z505),"0")+IFERROR(IF(Z506="",0,Z506),"0")+IFERROR(IF(Z507="",0,Z507),"0")+IFERROR(IF(Z508="",0,Z508),"0")+IFERROR(IF(Z509="",0,Z509),"0")</f>
        <v>0.29899999999999999</v>
      </c>
      <c r="AA510" s="618"/>
      <c r="AB510" s="618"/>
      <c r="AC510" s="618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37" t="s">
        <v>67</v>
      </c>
      <c r="X511" s="617">
        <f>IFERROR(SUM(X503:X509),"0")</f>
        <v>125</v>
      </c>
      <c r="Y511" s="617">
        <f>IFERROR(SUM(Y503:Y509),"0")</f>
        <v>132</v>
      </c>
      <c r="Z511" s="37"/>
      <c r="AA511" s="618"/>
      <c r="AB511" s="618"/>
      <c r="AC511" s="618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48"/>
      <c r="AB512" s="48"/>
      <c r="AC512" s="48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10"/>
      <c r="AB513" s="610"/>
      <c r="AC513" s="610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11"/>
      <c r="AB514" s="611"/>
      <c r="AC514" s="611"/>
    </row>
    <row r="515" spans="1:68" ht="27" customHeight="1" x14ac:dyDescent="0.25">
      <c r="A515" s="54" t="s">
        <v>813</v>
      </c>
      <c r="B515" s="54" t="s">
        <v>814</v>
      </c>
      <c r="C515" s="31">
        <v>4301011584</v>
      </c>
      <c r="D515" s="619">
        <v>4640242180564</v>
      </c>
      <c r="E515" s="620"/>
      <c r="F515" s="614">
        <v>1.5</v>
      </c>
      <c r="G515" s="32">
        <v>8</v>
      </c>
      <c r="H515" s="614">
        <v>12</v>
      </c>
      <c r="I515" s="614">
        <v>12.41</v>
      </c>
      <c r="J515" s="32">
        <v>64</v>
      </c>
      <c r="K515" s="32" t="s">
        <v>120</v>
      </c>
      <c r="L515" s="32"/>
      <c r="M515" s="33" t="s">
        <v>121</v>
      </c>
      <c r="N515" s="33"/>
      <c r="O515" s="32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4"/>
      <c r="V515" s="34"/>
      <c r="W515" s="35" t="s">
        <v>67</v>
      </c>
      <c r="X515" s="615">
        <v>0</v>
      </c>
      <c r="Y515" s="616">
        <f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91" t="s">
        <v>815</v>
      </c>
      <c r="AG515" s="64"/>
      <c r="AJ515" s="68"/>
      <c r="AK515" s="68">
        <v>0</v>
      </c>
      <c r="BB515" s="592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37" t="s">
        <v>73</v>
      </c>
      <c r="X516" s="617">
        <f>IFERROR(X515/H515,"0")</f>
        <v>0</v>
      </c>
      <c r="Y516" s="617">
        <f>IFERROR(Y515/H515,"0")</f>
        <v>0</v>
      </c>
      <c r="Z516" s="617">
        <f>IFERROR(IF(Z515="",0,Z515),"0")</f>
        <v>0</v>
      </c>
      <c r="AA516" s="618"/>
      <c r="AB516" s="618"/>
      <c r="AC516" s="618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37" t="s">
        <v>67</v>
      </c>
      <c r="X517" s="617">
        <f>IFERROR(SUM(X515:X515),"0")</f>
        <v>0</v>
      </c>
      <c r="Y517" s="617">
        <f>IFERROR(SUM(Y515:Y515),"0")</f>
        <v>0</v>
      </c>
      <c r="Z517" s="37"/>
      <c r="AA517" s="618"/>
      <c r="AB517" s="618"/>
      <c r="AC517" s="618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11"/>
      <c r="AB518" s="611"/>
      <c r="AC518" s="611"/>
    </row>
    <row r="519" spans="1:68" ht="27" customHeight="1" x14ac:dyDescent="0.25">
      <c r="A519" s="54" t="s">
        <v>816</v>
      </c>
      <c r="B519" s="54" t="s">
        <v>817</v>
      </c>
      <c r="C519" s="31">
        <v>4301020400</v>
      </c>
      <c r="D519" s="619">
        <v>4640242180519</v>
      </c>
      <c r="E519" s="620"/>
      <c r="F519" s="614">
        <v>1.5</v>
      </c>
      <c r="G519" s="32">
        <v>8</v>
      </c>
      <c r="H519" s="614">
        <v>12</v>
      </c>
      <c r="I519" s="614">
        <v>12.41</v>
      </c>
      <c r="J519" s="32">
        <v>64</v>
      </c>
      <c r="K519" s="32" t="s">
        <v>120</v>
      </c>
      <c r="L519" s="32"/>
      <c r="M519" s="33" t="s">
        <v>121</v>
      </c>
      <c r="N519" s="33"/>
      <c r="O519" s="32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4"/>
      <c r="V519" s="34"/>
      <c r="W519" s="35" t="s">
        <v>67</v>
      </c>
      <c r="X519" s="615">
        <v>0</v>
      </c>
      <c r="Y519" s="616">
        <f>IFERROR(IF(X519="",0,CEILING((X519/$H519),1)*$H519),"")</f>
        <v>0</v>
      </c>
      <c r="Z519" s="36" t="str">
        <f>IFERROR(IF(Y519=0,"",ROUNDUP(Y519/H519,0)*0.01898),"")</f>
        <v/>
      </c>
      <c r="AA519" s="56"/>
      <c r="AB519" s="57"/>
      <c r="AC519" s="593" t="s">
        <v>818</v>
      </c>
      <c r="AG519" s="64"/>
      <c r="AJ519" s="68"/>
      <c r="AK519" s="68">
        <v>0</v>
      </c>
      <c r="BB519" s="594" t="s">
        <v>1</v>
      </c>
      <c r="BM519" s="64">
        <f>IFERROR(X519*I519/H519,"0")</f>
        <v>0</v>
      </c>
      <c r="BN519" s="64">
        <f>IFERROR(Y519*I519/H519,"0")</f>
        <v>0</v>
      </c>
      <c r="BO519" s="64">
        <f>IFERROR(1/J519*(X519/H519),"0")</f>
        <v>0</v>
      </c>
      <c r="BP519" s="64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37" t="s">
        <v>73</v>
      </c>
      <c r="X520" s="617">
        <f>IFERROR(X519/H519,"0")</f>
        <v>0</v>
      </c>
      <c r="Y520" s="617">
        <f>IFERROR(Y519/H519,"0")</f>
        <v>0</v>
      </c>
      <c r="Z520" s="617">
        <f>IFERROR(IF(Z519="",0,Z519),"0")</f>
        <v>0</v>
      </c>
      <c r="AA520" s="618"/>
      <c r="AB520" s="618"/>
      <c r="AC520" s="618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37" t="s">
        <v>67</v>
      </c>
      <c r="X521" s="617">
        <f>IFERROR(SUM(X519:X519),"0")</f>
        <v>0</v>
      </c>
      <c r="Y521" s="617">
        <f>IFERROR(SUM(Y519:Y519),"0")</f>
        <v>0</v>
      </c>
      <c r="Z521" s="37"/>
      <c r="AA521" s="618"/>
      <c r="AB521" s="618"/>
      <c r="AC521" s="618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11"/>
      <c r="AB522" s="611"/>
      <c r="AC522" s="611"/>
    </row>
    <row r="523" spans="1:68" ht="27" customHeight="1" x14ac:dyDescent="0.25">
      <c r="A523" s="54" t="s">
        <v>819</v>
      </c>
      <c r="B523" s="54" t="s">
        <v>820</v>
      </c>
      <c r="C523" s="31">
        <v>4301031467</v>
      </c>
      <c r="D523" s="619">
        <v>4640242180595</v>
      </c>
      <c r="E523" s="620"/>
      <c r="F523" s="614">
        <v>0.8</v>
      </c>
      <c r="G523" s="32">
        <v>6</v>
      </c>
      <c r="H523" s="614">
        <v>4.8</v>
      </c>
      <c r="I523" s="614">
        <v>5.05</v>
      </c>
      <c r="J523" s="32">
        <v>132</v>
      </c>
      <c r="K523" s="32" t="s">
        <v>129</v>
      </c>
      <c r="L523" s="32"/>
      <c r="M523" s="33" t="s">
        <v>66</v>
      </c>
      <c r="N523" s="33"/>
      <c r="O523" s="32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4"/>
      <c r="V523" s="34"/>
      <c r="W523" s="35" t="s">
        <v>67</v>
      </c>
      <c r="X523" s="615">
        <v>0</v>
      </c>
      <c r="Y523" s="616">
        <f>IFERROR(IF(X523="",0,CEILING((X523/$H523),1)*$H523),"")</f>
        <v>0</v>
      </c>
      <c r="Z523" s="36" t="str">
        <f>IFERROR(IF(Y523=0,"",ROUNDUP(Y523/H523,0)*0.00902),"")</f>
        <v/>
      </c>
      <c r="AA523" s="56"/>
      <c r="AB523" s="57"/>
      <c r="AC523" s="595" t="s">
        <v>821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27" customHeight="1" x14ac:dyDescent="0.25">
      <c r="A524" s="54" t="s">
        <v>819</v>
      </c>
      <c r="B524" s="54" t="s">
        <v>822</v>
      </c>
      <c r="C524" s="31">
        <v>4301031500</v>
      </c>
      <c r="D524" s="619">
        <v>4640242180595</v>
      </c>
      <c r="E524" s="620"/>
      <c r="F524" s="614">
        <v>0.7</v>
      </c>
      <c r="G524" s="32">
        <v>6</v>
      </c>
      <c r="H524" s="614">
        <v>4.2</v>
      </c>
      <c r="I524" s="614">
        <v>4.45</v>
      </c>
      <c r="J524" s="32">
        <v>132</v>
      </c>
      <c r="K524" s="32" t="s">
        <v>129</v>
      </c>
      <c r="L524" s="32"/>
      <c r="M524" s="33" t="s">
        <v>66</v>
      </c>
      <c r="N524" s="33"/>
      <c r="O524" s="32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4"/>
      <c r="V524" s="34"/>
      <c r="W524" s="35" t="s">
        <v>67</v>
      </c>
      <c r="X524" s="615">
        <v>0</v>
      </c>
      <c r="Y524" s="61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823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37" t="s">
        <v>73</v>
      </c>
      <c r="X525" s="617">
        <f>IFERROR(X523/H523,"0")+IFERROR(X524/H524,"0")</f>
        <v>0</v>
      </c>
      <c r="Y525" s="617">
        <f>IFERROR(Y523/H523,"0")+IFERROR(Y524/H524,"0")</f>
        <v>0</v>
      </c>
      <c r="Z525" s="617">
        <f>IFERROR(IF(Z523="",0,Z523),"0")+IFERROR(IF(Z524="",0,Z524),"0")</f>
        <v>0</v>
      </c>
      <c r="AA525" s="618"/>
      <c r="AB525" s="618"/>
      <c r="AC525" s="618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37" t="s">
        <v>67</v>
      </c>
      <c r="X526" s="617">
        <f>IFERROR(SUM(X523:X524),"0")</f>
        <v>0</v>
      </c>
      <c r="Y526" s="617">
        <f>IFERROR(SUM(Y523:Y524),"0")</f>
        <v>0</v>
      </c>
      <c r="Z526" s="37"/>
      <c r="AA526" s="618"/>
      <c r="AB526" s="618"/>
      <c r="AC526" s="618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11"/>
      <c r="AB527" s="611"/>
      <c r="AC527" s="611"/>
    </row>
    <row r="528" spans="1:68" ht="27" customHeight="1" x14ac:dyDescent="0.25">
      <c r="A528" s="54" t="s">
        <v>824</v>
      </c>
      <c r="B528" s="54" t="s">
        <v>825</v>
      </c>
      <c r="C528" s="31">
        <v>4301052043</v>
      </c>
      <c r="D528" s="619">
        <v>4640242180533</v>
      </c>
      <c r="E528" s="620"/>
      <c r="F528" s="614">
        <v>1.5</v>
      </c>
      <c r="G528" s="32">
        <v>6</v>
      </c>
      <c r="H528" s="614">
        <v>9</v>
      </c>
      <c r="I528" s="614">
        <v>9.4939999999999998</v>
      </c>
      <c r="J528" s="32">
        <v>64</v>
      </c>
      <c r="K528" s="32" t="s">
        <v>120</v>
      </c>
      <c r="L528" s="32"/>
      <c r="M528" s="33" t="s">
        <v>78</v>
      </c>
      <c r="N528" s="33"/>
      <c r="O528" s="32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4"/>
      <c r="V528" s="34"/>
      <c r="W528" s="35" t="s">
        <v>67</v>
      </c>
      <c r="X528" s="615">
        <v>209</v>
      </c>
      <c r="Y528" s="616">
        <f>IFERROR(IF(X528="",0,CEILING((X528/$H528),1)*$H528),"")</f>
        <v>216</v>
      </c>
      <c r="Z528" s="36">
        <f>IFERROR(IF(Y528=0,"",ROUNDUP(Y528/H528,0)*0.01898),"")</f>
        <v>0.45552000000000004</v>
      </c>
      <c r="AA528" s="56"/>
      <c r="AB528" s="57"/>
      <c r="AC528" s="599" t="s">
        <v>826</v>
      </c>
      <c r="AG528" s="64"/>
      <c r="AJ528" s="68"/>
      <c r="AK528" s="68">
        <v>0</v>
      </c>
      <c r="BB528" s="600" t="s">
        <v>1</v>
      </c>
      <c r="BM528" s="64">
        <f>IFERROR(X528*I528/H528,"0")</f>
        <v>220.47177777777776</v>
      </c>
      <c r="BN528" s="64">
        <f>IFERROR(Y528*I528/H528,"0")</f>
        <v>227.85599999999997</v>
      </c>
      <c r="BO528" s="64">
        <f>IFERROR(1/J528*(X528/H528),"0")</f>
        <v>0.36284722222222221</v>
      </c>
      <c r="BP528" s="64">
        <f>IFERROR(1/J528*(Y528/H528),"0")</f>
        <v>0.375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37" t="s">
        <v>73</v>
      </c>
      <c r="X529" s="617">
        <f>IFERROR(X528/H528,"0")</f>
        <v>23.222222222222221</v>
      </c>
      <c r="Y529" s="617">
        <f>IFERROR(Y528/H528,"0")</f>
        <v>24</v>
      </c>
      <c r="Z529" s="617">
        <f>IFERROR(IF(Z528="",0,Z528),"0")</f>
        <v>0.45552000000000004</v>
      </c>
      <c r="AA529" s="618"/>
      <c r="AB529" s="618"/>
      <c r="AC529" s="618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37" t="s">
        <v>67</v>
      </c>
      <c r="X530" s="617">
        <f>IFERROR(SUM(X528:X528),"0")</f>
        <v>209</v>
      </c>
      <c r="Y530" s="617">
        <f>IFERROR(SUM(Y528:Y528),"0")</f>
        <v>216</v>
      </c>
      <c r="Z530" s="37"/>
      <c r="AA530" s="618"/>
      <c r="AB530" s="618"/>
      <c r="AC530" s="618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11"/>
      <c r="AB531" s="611"/>
      <c r="AC531" s="611"/>
    </row>
    <row r="532" spans="1:68" ht="27" customHeight="1" x14ac:dyDescent="0.25">
      <c r="A532" s="54" t="s">
        <v>827</v>
      </c>
      <c r="B532" s="54" t="s">
        <v>828</v>
      </c>
      <c r="C532" s="31">
        <v>4301060535</v>
      </c>
      <c r="D532" s="619">
        <v>4640242180120</v>
      </c>
      <c r="E532" s="620"/>
      <c r="F532" s="614">
        <v>1.5</v>
      </c>
      <c r="G532" s="32">
        <v>6</v>
      </c>
      <c r="H532" s="614">
        <v>9</v>
      </c>
      <c r="I532" s="614">
        <v>9.41</v>
      </c>
      <c r="J532" s="32">
        <v>64</v>
      </c>
      <c r="K532" s="32" t="s">
        <v>120</v>
      </c>
      <c r="L532" s="32"/>
      <c r="M532" s="33" t="s">
        <v>78</v>
      </c>
      <c r="N532" s="33"/>
      <c r="O532" s="32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4"/>
      <c r="V532" s="34"/>
      <c r="W532" s="35" t="s">
        <v>67</v>
      </c>
      <c r="X532" s="615">
        <v>0</v>
      </c>
      <c r="Y532" s="616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01" t="s">
        <v>829</v>
      </c>
      <c r="AG532" s="64"/>
      <c r="AJ532" s="68"/>
      <c r="AK532" s="68">
        <v>0</v>
      </c>
      <c r="BB532" s="602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t="27" customHeight="1" x14ac:dyDescent="0.25">
      <c r="A533" s="54" t="s">
        <v>830</v>
      </c>
      <c r="B533" s="54" t="s">
        <v>831</v>
      </c>
      <c r="C533" s="31">
        <v>4301060536</v>
      </c>
      <c r="D533" s="619">
        <v>4640242180137</v>
      </c>
      <c r="E533" s="620"/>
      <c r="F533" s="614">
        <v>1.5</v>
      </c>
      <c r="G533" s="32">
        <v>6</v>
      </c>
      <c r="H533" s="614">
        <v>9</v>
      </c>
      <c r="I533" s="614">
        <v>9.41</v>
      </c>
      <c r="J533" s="32">
        <v>64</v>
      </c>
      <c r="K533" s="32" t="s">
        <v>120</v>
      </c>
      <c r="L533" s="32"/>
      <c r="M533" s="33" t="s">
        <v>78</v>
      </c>
      <c r="N533" s="33"/>
      <c r="O533" s="32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4"/>
      <c r="V533" s="34"/>
      <c r="W533" s="35" t="s">
        <v>67</v>
      </c>
      <c r="X533" s="615">
        <v>0</v>
      </c>
      <c r="Y533" s="616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03" t="s">
        <v>832</v>
      </c>
      <c r="AG533" s="64"/>
      <c r="AJ533" s="68"/>
      <c r="AK533" s="68">
        <v>0</v>
      </c>
      <c r="BB533" s="60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37" t="s">
        <v>73</v>
      </c>
      <c r="X534" s="617">
        <f>IFERROR(X532/H532,"0")+IFERROR(X533/H533,"0")</f>
        <v>0</v>
      </c>
      <c r="Y534" s="617">
        <f>IFERROR(Y532/H532,"0")+IFERROR(Y533/H533,"0")</f>
        <v>0</v>
      </c>
      <c r="Z534" s="617">
        <f>IFERROR(IF(Z532="",0,Z532),"0")+IFERROR(IF(Z533="",0,Z533),"0")</f>
        <v>0</v>
      </c>
      <c r="AA534" s="618"/>
      <c r="AB534" s="618"/>
      <c r="AC534" s="618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37" t="s">
        <v>67</v>
      </c>
      <c r="X535" s="617">
        <f>IFERROR(SUM(X532:X533),"0")</f>
        <v>0</v>
      </c>
      <c r="Y535" s="617">
        <f>IFERROR(SUM(Y532:Y533),"0")</f>
        <v>0</v>
      </c>
      <c r="Z535" s="37"/>
      <c r="AA535" s="618"/>
      <c r="AB535" s="618"/>
      <c r="AC535" s="618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10"/>
      <c r="AB536" s="610"/>
      <c r="AC536" s="610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11"/>
      <c r="AB537" s="611"/>
      <c r="AC537" s="611"/>
    </row>
    <row r="538" spans="1:68" ht="27" customHeight="1" x14ac:dyDescent="0.25">
      <c r="A538" s="54" t="s">
        <v>834</v>
      </c>
      <c r="B538" s="54" t="s">
        <v>835</v>
      </c>
      <c r="C538" s="31">
        <v>4301020428</v>
      </c>
      <c r="D538" s="619">
        <v>4640242180090</v>
      </c>
      <c r="E538" s="620"/>
      <c r="F538" s="614">
        <v>1.5</v>
      </c>
      <c r="G538" s="32">
        <v>8</v>
      </c>
      <c r="H538" s="614">
        <v>12</v>
      </c>
      <c r="I538" s="614">
        <v>12.41</v>
      </c>
      <c r="J538" s="32">
        <v>64</v>
      </c>
      <c r="K538" s="32" t="s">
        <v>120</v>
      </c>
      <c r="L538" s="32"/>
      <c r="M538" s="33" t="s">
        <v>121</v>
      </c>
      <c r="N538" s="33"/>
      <c r="O538" s="32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4"/>
      <c r="V538" s="34"/>
      <c r="W538" s="35" t="s">
        <v>67</v>
      </c>
      <c r="X538" s="615">
        <v>0</v>
      </c>
      <c r="Y538" s="616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836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37" t="s">
        <v>73</v>
      </c>
      <c r="X539" s="617">
        <f>IFERROR(X538/H538,"0")</f>
        <v>0</v>
      </c>
      <c r="Y539" s="617">
        <f>IFERROR(Y538/H538,"0")</f>
        <v>0</v>
      </c>
      <c r="Z539" s="617">
        <f>IFERROR(IF(Z538="",0,Z538),"0")</f>
        <v>0</v>
      </c>
      <c r="AA539" s="618"/>
      <c r="AB539" s="618"/>
      <c r="AC539" s="618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37" t="s">
        <v>67</v>
      </c>
      <c r="X540" s="617">
        <f>IFERROR(SUM(X538:X538),"0")</f>
        <v>0</v>
      </c>
      <c r="Y540" s="617">
        <f>IFERROR(SUM(Y538:Y538),"0")</f>
        <v>0</v>
      </c>
      <c r="Z540" s="37"/>
      <c r="AA540" s="618"/>
      <c r="AB540" s="618"/>
      <c r="AC540" s="618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37" t="s">
        <v>67</v>
      </c>
      <c r="X541" s="617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9683</v>
      </c>
      <c r="Y541" s="617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9815.5400000000009</v>
      </c>
      <c r="Z541" s="37"/>
      <c r="AA541" s="618"/>
      <c r="AB541" s="618"/>
      <c r="AC541" s="618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37" t="s">
        <v>67</v>
      </c>
      <c r="X542" s="617">
        <f>IFERROR(SUM(BM22:BM538),"0")</f>
        <v>10157.327006126587</v>
      </c>
      <c r="Y542" s="617">
        <f>IFERROR(SUM(BN22:BN538),"0")</f>
        <v>10296.709999999997</v>
      </c>
      <c r="Z542" s="37"/>
      <c r="AA542" s="618"/>
      <c r="AB542" s="618"/>
      <c r="AC542" s="618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37" t="s">
        <v>840</v>
      </c>
      <c r="X543" s="38">
        <f>ROUNDUP(SUM(BO22:BO538),0)</f>
        <v>16</v>
      </c>
      <c r="Y543" s="38">
        <f>ROUNDUP(SUM(BP22:BP538),0)</f>
        <v>16</v>
      </c>
      <c r="Z543" s="37"/>
      <c r="AA543" s="618"/>
      <c r="AB543" s="618"/>
      <c r="AC543" s="618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37" t="s">
        <v>67</v>
      </c>
      <c r="X544" s="617">
        <f>GrossWeightTotal+PalletQtyTotal*25</f>
        <v>10557.327006126587</v>
      </c>
      <c r="Y544" s="617">
        <f>GrossWeightTotalR+PalletQtyTotalR*25</f>
        <v>10696.709999999997</v>
      </c>
      <c r="Z544" s="37"/>
      <c r="AA544" s="618"/>
      <c r="AB544" s="618"/>
      <c r="AC544" s="618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37" t="s">
        <v>840</v>
      </c>
      <c r="X545" s="617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1397.9525850692517</v>
      </c>
      <c r="Y545" s="617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1420</v>
      </c>
      <c r="Z545" s="37"/>
      <c r="AA545" s="618"/>
      <c r="AB545" s="618"/>
      <c r="AC545" s="618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39" t="s">
        <v>844</v>
      </c>
      <c r="X546" s="37"/>
      <c r="Y546" s="37"/>
      <c r="Z546" s="37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18.074209999999997</v>
      </c>
      <c r="AA546" s="618"/>
      <c r="AB546" s="618"/>
      <c r="AC546" s="618"/>
    </row>
    <row r="547" spans="1:32" ht="13.5" customHeight="1" thickBot="1" x14ac:dyDescent="0.25"/>
    <row r="548" spans="1:32" ht="27" customHeight="1" thickTop="1" thickBot="1" x14ac:dyDescent="0.25">
      <c r="A548" s="40" t="s">
        <v>845</v>
      </c>
      <c r="B548" s="612" t="s">
        <v>61</v>
      </c>
      <c r="C548" s="612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612" t="s">
        <v>765</v>
      </c>
      <c r="AA548" s="651" t="s">
        <v>812</v>
      </c>
      <c r="AB548" s="702"/>
      <c r="AC548" s="52"/>
      <c r="AF548" s="613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613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52"/>
      <c r="AF549" s="613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613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52"/>
      <c r="AF550" s="613"/>
    </row>
    <row r="551" spans="1:32" ht="18" customHeight="1" thickTop="1" thickBot="1" x14ac:dyDescent="0.25">
      <c r="A551" s="40" t="s">
        <v>847</v>
      </c>
      <c r="B551" s="46">
        <f>IFERROR(Y22*1,"0")+IFERROR(Y23*1,"0")+IFERROR(Y27*1,"0")+IFERROR(Y28*1,"0")+IFERROR(Y29*1,"0")+IFERROR(Y30*1,"0")+IFERROR(Y31*1,"0")+IFERROR(Y35*1,"0")</f>
        <v>0</v>
      </c>
      <c r="C551" s="46">
        <f>IFERROR(Y41*1,"0")+IFERROR(Y42*1,"0")+IFERROR(Y43*1,"0")+IFERROR(Y44*1,"0")+IFERROR(Y45*1,"0")</f>
        <v>0</v>
      </c>
      <c r="D551" s="46">
        <f>IFERROR(Y51*1,"0")+IFERROR(Y52*1,"0")+IFERROR(Y53*1,"0")+IFERROR(Y54*1,"0")</f>
        <v>21.6</v>
      </c>
      <c r="E551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151.6</v>
      </c>
      <c r="F551" s="46">
        <f>IFERROR(Y88*1,"0")+IFERROR(Y89*1,"0")+IFERROR(Y90*1,"0")+IFERROR(Y91*1,"0")+IFERROR(Y95*1,"0")+IFERROR(Y96*1,"0")+IFERROR(Y97*1,"0")+IFERROR(Y98*1,"0")</f>
        <v>261.90000000000003</v>
      </c>
      <c r="G551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505</v>
      </c>
      <c r="H551" s="46">
        <f>IFERROR(Y132*1,"0")+IFERROR(Y133*1,"0")+IFERROR(Y137*1,"0")+IFERROR(Y138*1,"0")+IFERROR(Y142*1,"0")+IFERROR(Y143*1,"0")</f>
        <v>46.24</v>
      </c>
      <c r="I551" s="46">
        <f>IFERROR(Y148*1,"0")+IFERROR(Y149*1,"0")+IFERROR(Y150*1,"0")+IFERROR(Y151*1,"0")</f>
        <v>0</v>
      </c>
      <c r="J551" s="46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84.56</v>
      </c>
      <c r="K551" s="46">
        <f>IFERROR(Y198*1,"0")+IFERROR(Y199*1,"0")+IFERROR(Y200*1,"0")+IFERROR(Y201*1,"0")+IFERROR(Y202*1,"0")+IFERROR(Y203*1,"0")+IFERROR(Y204*1,"0")</f>
        <v>0</v>
      </c>
      <c r="L551" s="46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104.16000000000001</v>
      </c>
      <c r="M551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869.10000000000014</v>
      </c>
      <c r="N551" s="613"/>
      <c r="O551" s="46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46">
        <f>IFERROR(Y316*1,"0")+IFERROR(Y317*1,"0")+IFERROR(Y318*1,"0")+IFERROR(Y319*1,"0")+IFERROR(Y320*1,"0")</f>
        <v>0</v>
      </c>
      <c r="Q551" s="46">
        <f>IFERROR(Y325*1,"0")+IFERROR(Y326*1,"0")+IFERROR(Y327*1,"0")</f>
        <v>110.39999999999999</v>
      </c>
      <c r="R551" s="46">
        <f>IFERROR(Y332*1,"0")+IFERROR(Y333*1,"0")+IFERROR(Y334*1,"0")+IFERROR(Y335*1,"0")+IFERROR(Y336*1,"0")+IFERROR(Y340*1,"0")+IFERROR(Y341*1,"0")</f>
        <v>0</v>
      </c>
      <c r="S551" s="46">
        <f>IFERROR(Y346*1,"0")+IFERROR(Y347*1,"0")+IFERROR(Y348*1,"0")</f>
        <v>85.8</v>
      </c>
      <c r="T551" s="46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369.3</v>
      </c>
      <c r="U551" s="46">
        <f>IFERROR(Y404*1,"0")+IFERROR(Y405*1,"0")+IFERROR(Y406*1,"0")</f>
        <v>54.6</v>
      </c>
      <c r="V551" s="46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4971</v>
      </c>
      <c r="W551" s="46">
        <f>IFERROR(Y441*1,"0")+IFERROR(Y442*1,"0")+IFERROR(Y446*1,"0")+IFERROR(Y450*1,"0")+IFERROR(Y451*1,"0")+IFERROR(Y452*1,"0")</f>
        <v>1098</v>
      </c>
      <c r="X551" s="46">
        <f>IFERROR(Y458*1,"0")+IFERROR(Y459*1,"0")+IFERROR(Y460*1,"0")+IFERROR(Y461*1,"0")+IFERROR(Y462*1,"0")+IFERROR(Y463*1,"0")+IFERROR(Y467*1,"0")+IFERROR(Y468*1,"0")</f>
        <v>0</v>
      </c>
      <c r="Y551" s="46">
        <f>IFERROR(Y473*1,"0")+IFERROR(Y477*1,"0")+IFERROR(Y478*1,"0")+IFERROR(Y479*1,"0")</f>
        <v>102.60000000000001</v>
      </c>
      <c r="Z551" s="46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763.68000000000006</v>
      </c>
      <c r="AA551" s="46">
        <f>IFERROR(Y515*1,"0")+IFERROR(Y519*1,"0")+IFERROR(Y523*1,"0")+IFERROR(Y524*1,"0")+IFERROR(Y528*1,"0")+IFERROR(Y532*1,"0")+IFERROR(Y533*1,"0")</f>
        <v>216</v>
      </c>
      <c r="AB551" s="46">
        <f>IFERROR(Y538*1,"0")</f>
        <v>0</v>
      </c>
      <c r="AC551" s="52"/>
      <c r="AF551" s="613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52"/>
    </row>
    <row r="3" spans="2:8" x14ac:dyDescent="0.2">
      <c r="B3" s="47" t="s">
        <v>849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850</v>
      </c>
      <c r="C6" s="47" t="s">
        <v>851</v>
      </c>
      <c r="D6" s="47" t="s">
        <v>852</v>
      </c>
      <c r="E6" s="47"/>
    </row>
    <row r="7" spans="2:8" x14ac:dyDescent="0.2">
      <c r="B7" s="47" t="s">
        <v>853</v>
      </c>
      <c r="C7" s="47" t="s">
        <v>854</v>
      </c>
      <c r="D7" s="47" t="s">
        <v>855</v>
      </c>
      <c r="E7" s="47"/>
    </row>
    <row r="8" spans="2:8" x14ac:dyDescent="0.2">
      <c r="B8" s="47" t="s">
        <v>856</v>
      </c>
      <c r="C8" s="47" t="s">
        <v>857</v>
      </c>
      <c r="D8" s="47" t="s">
        <v>858</v>
      </c>
      <c r="E8" s="47"/>
    </row>
    <row r="9" spans="2:8" x14ac:dyDescent="0.2">
      <c r="B9" s="47" t="s">
        <v>859</v>
      </c>
      <c r="C9" s="47" t="s">
        <v>860</v>
      </c>
      <c r="D9" s="47" t="s">
        <v>861</v>
      </c>
      <c r="E9" s="47"/>
    </row>
    <row r="10" spans="2:8" x14ac:dyDescent="0.2">
      <c r="B10" s="47" t="s">
        <v>862</v>
      </c>
      <c r="C10" s="47" t="s">
        <v>863</v>
      </c>
      <c r="D10" s="47" t="s">
        <v>864</v>
      </c>
      <c r="E10" s="47"/>
    </row>
    <row r="11" spans="2:8" x14ac:dyDescent="0.2">
      <c r="B11" s="47" t="s">
        <v>865</v>
      </c>
      <c r="C11" s="47" t="s">
        <v>866</v>
      </c>
      <c r="D11" s="47" t="s">
        <v>867</v>
      </c>
      <c r="E11" s="47"/>
    </row>
    <row r="12" spans="2:8" x14ac:dyDescent="0.2">
      <c r="B12" s="47" t="s">
        <v>868</v>
      </c>
      <c r="C12" s="47" t="s">
        <v>869</v>
      </c>
      <c r="D12" s="47" t="s">
        <v>870</v>
      </c>
      <c r="E12" s="47"/>
    </row>
    <row r="14" spans="2:8" x14ac:dyDescent="0.2">
      <c r="B14" s="47" t="s">
        <v>871</v>
      </c>
      <c r="C14" s="47" t="s">
        <v>851</v>
      </c>
      <c r="D14" s="47"/>
      <c r="E14" s="47"/>
    </row>
    <row r="16" spans="2:8" x14ac:dyDescent="0.2">
      <c r="B16" s="47" t="s">
        <v>872</v>
      </c>
      <c r="C16" s="47" t="s">
        <v>854</v>
      </c>
      <c r="D16" s="47"/>
      <c r="E16" s="47"/>
    </row>
    <row r="18" spans="2:5" x14ac:dyDescent="0.2">
      <c r="B18" s="47" t="s">
        <v>873</v>
      </c>
      <c r="C18" s="47" t="s">
        <v>857</v>
      </c>
      <c r="D18" s="47"/>
      <c r="E18" s="47"/>
    </row>
    <row r="20" spans="2:5" x14ac:dyDescent="0.2">
      <c r="B20" s="47" t="s">
        <v>874</v>
      </c>
      <c r="C20" s="47" t="s">
        <v>860</v>
      </c>
      <c r="D20" s="47"/>
      <c r="E20" s="47"/>
    </row>
    <row r="22" spans="2:5" x14ac:dyDescent="0.2">
      <c r="B22" s="47" t="s">
        <v>875</v>
      </c>
      <c r="C22" s="47" t="s">
        <v>863</v>
      </c>
      <c r="D22" s="47"/>
      <c r="E22" s="47"/>
    </row>
    <row r="24" spans="2:5" x14ac:dyDescent="0.2">
      <c r="B24" s="47" t="s">
        <v>876</v>
      </c>
      <c r="C24" s="47" t="s">
        <v>866</v>
      </c>
      <c r="D24" s="47"/>
      <c r="E24" s="47"/>
    </row>
    <row r="26" spans="2:5" x14ac:dyDescent="0.2">
      <c r="B26" s="47" t="s">
        <v>877</v>
      </c>
      <c r="C26" s="47" t="s">
        <v>869</v>
      </c>
      <c r="D26" s="47"/>
      <c r="E26" s="47"/>
    </row>
    <row r="28" spans="2:5" x14ac:dyDescent="0.2">
      <c r="B28" s="47" t="s">
        <v>878</v>
      </c>
      <c r="C28" s="47"/>
      <c r="D28" s="47"/>
      <c r="E28" s="47"/>
    </row>
    <row r="29" spans="2:5" x14ac:dyDescent="0.2">
      <c r="B29" s="47" t="s">
        <v>879</v>
      </c>
      <c r="C29" s="47"/>
      <c r="D29" s="47"/>
      <c r="E29" s="47"/>
    </row>
    <row r="30" spans="2:5" x14ac:dyDescent="0.2">
      <c r="B30" s="47" t="s">
        <v>880</v>
      </c>
      <c r="C30" s="47"/>
      <c r="D30" s="47"/>
      <c r="E30" s="47"/>
    </row>
    <row r="31" spans="2:5" x14ac:dyDescent="0.2">
      <c r="B31" s="47" t="s">
        <v>881</v>
      </c>
      <c r="C31" s="47"/>
      <c r="D31" s="47"/>
      <c r="E31" s="47"/>
    </row>
    <row r="32" spans="2:5" x14ac:dyDescent="0.2">
      <c r="B32" s="47" t="s">
        <v>882</v>
      </c>
      <c r="C32" s="47"/>
      <c r="D32" s="47"/>
      <c r="E32" s="47"/>
    </row>
    <row r="33" spans="2:5" x14ac:dyDescent="0.2">
      <c r="B33" s="47" t="s">
        <v>883</v>
      </c>
      <c r="C33" s="47"/>
      <c r="D33" s="47"/>
      <c r="E33" s="47"/>
    </row>
    <row r="34" spans="2:5" x14ac:dyDescent="0.2">
      <c r="B34" s="47" t="s">
        <v>884</v>
      </c>
      <c r="C34" s="47"/>
      <c r="D34" s="47"/>
      <c r="E34" s="47"/>
    </row>
    <row r="35" spans="2:5" x14ac:dyDescent="0.2">
      <c r="B35" s="47" t="s">
        <v>885</v>
      </c>
      <c r="C35" s="47"/>
      <c r="D35" s="47"/>
      <c r="E35" s="47"/>
    </row>
    <row r="36" spans="2:5" x14ac:dyDescent="0.2">
      <c r="B36" s="47" t="s">
        <v>886</v>
      </c>
      <c r="C36" s="47"/>
      <c r="D36" s="47"/>
      <c r="E36" s="47"/>
    </row>
    <row r="37" spans="2:5" x14ac:dyDescent="0.2">
      <c r="B37" s="47" t="s">
        <v>887</v>
      </c>
      <c r="C37" s="47"/>
      <c r="D37" s="47"/>
      <c r="E37" s="47"/>
    </row>
    <row r="38" spans="2:5" x14ac:dyDescent="0.2">
      <c r="B38" s="47" t="s">
        <v>888</v>
      </c>
      <c r="C38" s="47"/>
      <c r="D38" s="47"/>
      <c r="E38" s="47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2026-07-22T09:39:10Z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