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22,07,26 Пушкарный дозаказ ближ\"/>
    </mc:Choice>
  </mc:AlternateContent>
  <xr:revisionPtr revIDLastSave="0" documentId="13_ncr:1_{99E9F243-71CD-45E3-A249-134CD089E69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BP525" i="2" s="1"/>
  <c r="P525" i="2"/>
  <c r="BO524" i="2"/>
  <c r="BM524" i="2"/>
  <c r="Y524" i="2"/>
  <c r="BN524" i="2" s="1"/>
  <c r="P524" i="2"/>
  <c r="X522" i="2"/>
  <c r="X521" i="2"/>
  <c r="BO520" i="2"/>
  <c r="BM520" i="2"/>
  <c r="Y520" i="2"/>
  <c r="P520" i="2"/>
  <c r="X518" i="2"/>
  <c r="X517" i="2"/>
  <c r="BO516" i="2"/>
  <c r="BM516" i="2"/>
  <c r="Y516" i="2"/>
  <c r="P516" i="2"/>
  <c r="X512" i="2"/>
  <c r="X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N505" i="2" s="1"/>
  <c r="P505" i="2"/>
  <c r="BO504" i="2"/>
  <c r="BM504" i="2"/>
  <c r="Y504" i="2"/>
  <c r="P504" i="2"/>
  <c r="X502" i="2"/>
  <c r="X501" i="2"/>
  <c r="BO500" i="2"/>
  <c r="BM500" i="2"/>
  <c r="Y500" i="2"/>
  <c r="P500" i="2"/>
  <c r="BO499" i="2"/>
  <c r="BM499" i="2"/>
  <c r="Y499" i="2"/>
  <c r="Y501" i="2" s="1"/>
  <c r="P499" i="2"/>
  <c r="BP498" i="2"/>
  <c r="BO498" i="2"/>
  <c r="BN498" i="2"/>
  <c r="BM498" i="2"/>
  <c r="Z498" i="2"/>
  <c r="Y498" i="2"/>
  <c r="P498" i="2"/>
  <c r="X496" i="2"/>
  <c r="X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P490" i="2"/>
  <c r="BO489" i="2"/>
  <c r="BM489" i="2"/>
  <c r="Y489" i="2"/>
  <c r="BP489" i="2" s="1"/>
  <c r="P489" i="2"/>
  <c r="BP488" i="2"/>
  <c r="BO488" i="2"/>
  <c r="BN488" i="2"/>
  <c r="BM488" i="2"/>
  <c r="Z488" i="2"/>
  <c r="Y488" i="2"/>
  <c r="P488" i="2"/>
  <c r="BO487" i="2"/>
  <c r="BM487" i="2"/>
  <c r="Y487" i="2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BP479" i="2" s="1"/>
  <c r="P479" i="2"/>
  <c r="BP478" i="2"/>
  <c r="BO478" i="2"/>
  <c r="BM478" i="2"/>
  <c r="Y478" i="2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BP469" i="2" s="1"/>
  <c r="P469" i="2"/>
  <c r="BO468" i="2"/>
  <c r="BM468" i="2"/>
  <c r="Y468" i="2"/>
  <c r="Z468" i="2" s="1"/>
  <c r="P468" i="2"/>
  <c r="X466" i="2"/>
  <c r="X465" i="2"/>
  <c r="BO464" i="2"/>
  <c r="BM464" i="2"/>
  <c r="Y464" i="2"/>
  <c r="BP464" i="2" s="1"/>
  <c r="P464" i="2"/>
  <c r="BO463" i="2"/>
  <c r="BM463" i="2"/>
  <c r="Y463" i="2"/>
  <c r="BP463" i="2" s="1"/>
  <c r="P463" i="2"/>
  <c r="BO462" i="2"/>
  <c r="BM462" i="2"/>
  <c r="Y462" i="2"/>
  <c r="P462" i="2"/>
  <c r="BO461" i="2"/>
  <c r="BM461" i="2"/>
  <c r="Y461" i="2"/>
  <c r="BP461" i="2" s="1"/>
  <c r="P461" i="2"/>
  <c r="BO460" i="2"/>
  <c r="BM460" i="2"/>
  <c r="Y460" i="2"/>
  <c r="BP460" i="2" s="1"/>
  <c r="P460" i="2"/>
  <c r="BO459" i="2"/>
  <c r="BM459" i="2"/>
  <c r="Y459" i="2"/>
  <c r="P459" i="2"/>
  <c r="X455" i="2"/>
  <c r="X454" i="2"/>
  <c r="BP453" i="2"/>
  <c r="BO453" i="2"/>
  <c r="BM453" i="2"/>
  <c r="Y453" i="2"/>
  <c r="BN453" i="2" s="1"/>
  <c r="P453" i="2"/>
  <c r="BO452" i="2"/>
  <c r="BM452" i="2"/>
  <c r="Y452" i="2"/>
  <c r="P452" i="2"/>
  <c r="BO451" i="2"/>
  <c r="BM451" i="2"/>
  <c r="Y451" i="2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P443" i="2"/>
  <c r="BO442" i="2"/>
  <c r="BM442" i="2"/>
  <c r="Y442" i="2"/>
  <c r="Y444" i="2" s="1"/>
  <c r="P442" i="2"/>
  <c r="X439" i="2"/>
  <c r="X438" i="2"/>
  <c r="BO437" i="2"/>
  <c r="BM437" i="2"/>
  <c r="Y437" i="2"/>
  <c r="Z437" i="2" s="1"/>
  <c r="P437" i="2"/>
  <c r="BO436" i="2"/>
  <c r="BM436" i="2"/>
  <c r="Y436" i="2"/>
  <c r="Y439" i="2" s="1"/>
  <c r="P436" i="2"/>
  <c r="X434" i="2"/>
  <c r="X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Y433" i="2" s="1"/>
  <c r="P430" i="2"/>
  <c r="X428" i="2"/>
  <c r="X427" i="2"/>
  <c r="BO426" i="2"/>
  <c r="BM426" i="2"/>
  <c r="Y426" i="2"/>
  <c r="Z426" i="2" s="1"/>
  <c r="P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P420" i="2" s="1"/>
  <c r="P420" i="2"/>
  <c r="BO419" i="2"/>
  <c r="BM419" i="2"/>
  <c r="Y419" i="2"/>
  <c r="BP419" i="2" s="1"/>
  <c r="P419" i="2"/>
  <c r="BO418" i="2"/>
  <c r="BM418" i="2"/>
  <c r="Y418" i="2"/>
  <c r="BP418" i="2" s="1"/>
  <c r="P418" i="2"/>
  <c r="BO417" i="2"/>
  <c r="BM417" i="2"/>
  <c r="Y417" i="2"/>
  <c r="BN417" i="2" s="1"/>
  <c r="P417" i="2"/>
  <c r="BO416" i="2"/>
  <c r="BM416" i="2"/>
  <c r="Y416" i="2"/>
  <c r="Z416" i="2" s="1"/>
  <c r="P416" i="2"/>
  <c r="BO415" i="2"/>
  <c r="BM415" i="2"/>
  <c r="Y415" i="2"/>
  <c r="BP415" i="2" s="1"/>
  <c r="P415" i="2"/>
  <c r="BO414" i="2"/>
  <c r="BM414" i="2"/>
  <c r="Y414" i="2"/>
  <c r="BP414" i="2" s="1"/>
  <c r="P414" i="2"/>
  <c r="BO413" i="2"/>
  <c r="BM413" i="2"/>
  <c r="Y413" i="2"/>
  <c r="P413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Y409" i="2" s="1"/>
  <c r="P405" i="2"/>
  <c r="X402" i="2"/>
  <c r="X401" i="2"/>
  <c r="BO400" i="2"/>
  <c r="BM400" i="2"/>
  <c r="Y400" i="2"/>
  <c r="P400" i="2"/>
  <c r="BO399" i="2"/>
  <c r="BM399" i="2"/>
  <c r="Y399" i="2"/>
  <c r="BP399" i="2" s="1"/>
  <c r="P399" i="2"/>
  <c r="BO398" i="2"/>
  <c r="BM398" i="2"/>
  <c r="Y398" i="2"/>
  <c r="Z398" i="2" s="1"/>
  <c r="P398" i="2"/>
  <c r="X396" i="2"/>
  <c r="X395" i="2"/>
  <c r="BO394" i="2"/>
  <c r="BM394" i="2"/>
  <c r="Y394" i="2"/>
  <c r="BP394" i="2" s="1"/>
  <c r="P394" i="2"/>
  <c r="BO393" i="2"/>
  <c r="BM393" i="2"/>
  <c r="Z393" i="2"/>
  <c r="Y393" i="2"/>
  <c r="BN393" i="2" s="1"/>
  <c r="P393" i="2"/>
  <c r="BO392" i="2"/>
  <c r="BM392" i="2"/>
  <c r="Y392" i="2"/>
  <c r="P392" i="2"/>
  <c r="X390" i="2"/>
  <c r="X389" i="2"/>
  <c r="BO388" i="2"/>
  <c r="BM388" i="2"/>
  <c r="Y388" i="2"/>
  <c r="BN388" i="2" s="1"/>
  <c r="P388" i="2"/>
  <c r="BO387" i="2"/>
  <c r="BM387" i="2"/>
  <c r="Y387" i="2"/>
  <c r="BP387" i="2" s="1"/>
  <c r="P387" i="2"/>
  <c r="BO386" i="2"/>
  <c r="BM386" i="2"/>
  <c r="Y386" i="2"/>
  <c r="BN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Z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X360" i="2"/>
  <c r="X359" i="2"/>
  <c r="BO358" i="2"/>
  <c r="BM358" i="2"/>
  <c r="Y358" i="2"/>
  <c r="BN358" i="2" s="1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BN341" i="2" s="1"/>
  <c r="P341" i="2"/>
  <c r="BO340" i="2"/>
  <c r="BM340" i="2"/>
  <c r="Y340" i="2"/>
  <c r="P340" i="2"/>
  <c r="X338" i="2"/>
  <c r="X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BP334" i="2" s="1"/>
  <c r="P334" i="2"/>
  <c r="BO333" i="2"/>
  <c r="BM333" i="2"/>
  <c r="Y333" i="2"/>
  <c r="BP333" i="2" s="1"/>
  <c r="P333" i="2"/>
  <c r="BP332" i="2"/>
  <c r="BO332" i="2"/>
  <c r="BN332" i="2"/>
  <c r="BM332" i="2"/>
  <c r="Z332" i="2"/>
  <c r="Y332" i="2"/>
  <c r="P332" i="2"/>
  <c r="X329" i="2"/>
  <c r="X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Z320" i="2" s="1"/>
  <c r="P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BP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Z309" i="2" s="1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BP301" i="2" s="1"/>
  <c r="P301" i="2"/>
  <c r="X299" i="2"/>
  <c r="X298" i="2"/>
  <c r="BO297" i="2"/>
  <c r="BM297" i="2"/>
  <c r="Y297" i="2"/>
  <c r="Z297" i="2" s="1"/>
  <c r="P297" i="2"/>
  <c r="BO296" i="2"/>
  <c r="BM296" i="2"/>
  <c r="Y296" i="2"/>
  <c r="BP296" i="2" s="1"/>
  <c r="P296" i="2"/>
  <c r="BO295" i="2"/>
  <c r="BM295" i="2"/>
  <c r="Y295" i="2"/>
  <c r="BP295" i="2" s="1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X288" i="2"/>
  <c r="X287" i="2"/>
  <c r="BO286" i="2"/>
  <c r="BM286" i="2"/>
  <c r="Y286" i="2"/>
  <c r="Z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Z277" i="2"/>
  <c r="Y277" i="2"/>
  <c r="BP277" i="2" s="1"/>
  <c r="P277" i="2"/>
  <c r="BO276" i="2"/>
  <c r="BM276" i="2"/>
  <c r="Y276" i="2"/>
  <c r="Z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Z271" i="2" s="1"/>
  <c r="P271" i="2"/>
  <c r="BO270" i="2"/>
  <c r="BM270" i="2"/>
  <c r="Y270" i="2"/>
  <c r="BP270" i="2" s="1"/>
  <c r="P270" i="2"/>
  <c r="X268" i="2"/>
  <c r="X267" i="2"/>
  <c r="BO266" i="2"/>
  <c r="BM266" i="2"/>
  <c r="Y266" i="2"/>
  <c r="Z266" i="2" s="1"/>
  <c r="P266" i="2"/>
  <c r="BO265" i="2"/>
  <c r="BM265" i="2"/>
  <c r="Y265" i="2"/>
  <c r="BN265" i="2" s="1"/>
  <c r="P265" i="2"/>
  <c r="BO264" i="2"/>
  <c r="BM264" i="2"/>
  <c r="Y264" i="2"/>
  <c r="BP264" i="2" s="1"/>
  <c r="P264" i="2"/>
  <c r="BO263" i="2"/>
  <c r="BM263" i="2"/>
  <c r="Y263" i="2"/>
  <c r="BP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N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Y252" i="2" s="1"/>
  <c r="P249" i="2"/>
  <c r="X246" i="2"/>
  <c r="X245" i="2"/>
  <c r="BO244" i="2"/>
  <c r="BM244" i="2"/>
  <c r="Y244" i="2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P238" i="2"/>
  <c r="X236" i="2"/>
  <c r="X235" i="2"/>
  <c r="BP234" i="2"/>
  <c r="BO234" i="2"/>
  <c r="BN234" i="2"/>
  <c r="BM234" i="2"/>
  <c r="Z234" i="2"/>
  <c r="Y234" i="2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Z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Z217" i="2" s="1"/>
  <c r="P217" i="2"/>
  <c r="BO216" i="2"/>
  <c r="BM216" i="2"/>
  <c r="Y216" i="2"/>
  <c r="P216" i="2"/>
  <c r="BO215" i="2"/>
  <c r="BM215" i="2"/>
  <c r="Z215" i="2"/>
  <c r="Y215" i="2"/>
  <c r="BN215" i="2" s="1"/>
  <c r="P215" i="2"/>
  <c r="BO214" i="2"/>
  <c r="BM214" i="2"/>
  <c r="Y214" i="2"/>
  <c r="BP214" i="2" s="1"/>
  <c r="P214" i="2"/>
  <c r="BO213" i="2"/>
  <c r="BM213" i="2"/>
  <c r="Y213" i="2"/>
  <c r="P213" i="2"/>
  <c r="X211" i="2"/>
  <c r="X210" i="2"/>
  <c r="BO209" i="2"/>
  <c r="BM209" i="2"/>
  <c r="Y209" i="2"/>
  <c r="Y210" i="2" s="1"/>
  <c r="P209" i="2"/>
  <c r="X206" i="2"/>
  <c r="X205" i="2"/>
  <c r="BO204" i="2"/>
  <c r="BM204" i="2"/>
  <c r="Y204" i="2"/>
  <c r="P204" i="2"/>
  <c r="BP203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BP199" i="2" s="1"/>
  <c r="P199" i="2"/>
  <c r="BO198" i="2"/>
  <c r="BM198" i="2"/>
  <c r="Y198" i="2"/>
  <c r="BP198" i="2" s="1"/>
  <c r="P198" i="2"/>
  <c r="X194" i="2"/>
  <c r="X193" i="2"/>
  <c r="BO192" i="2"/>
  <c r="BM192" i="2"/>
  <c r="Y192" i="2"/>
  <c r="BP192" i="2" s="1"/>
  <c r="P192" i="2"/>
  <c r="X190" i="2"/>
  <c r="X189" i="2"/>
  <c r="BO188" i="2"/>
  <c r="BM188" i="2"/>
  <c r="Y188" i="2"/>
  <c r="BN188" i="2" s="1"/>
  <c r="P188" i="2"/>
  <c r="BO187" i="2"/>
  <c r="BM187" i="2"/>
  <c r="Y187" i="2"/>
  <c r="BN187" i="2" s="1"/>
  <c r="P187" i="2"/>
  <c r="X185" i="2"/>
  <c r="X184" i="2"/>
  <c r="BO183" i="2"/>
  <c r="BM183" i="2"/>
  <c r="Y183" i="2"/>
  <c r="Z183" i="2" s="1"/>
  <c r="P183" i="2"/>
  <c r="BO182" i="2"/>
  <c r="BM182" i="2"/>
  <c r="Y182" i="2"/>
  <c r="BN182" i="2" s="1"/>
  <c r="P182" i="2"/>
  <c r="BO181" i="2"/>
  <c r="BM181" i="2"/>
  <c r="Y181" i="2"/>
  <c r="P181" i="2"/>
  <c r="X179" i="2"/>
  <c r="X178" i="2"/>
  <c r="BO177" i="2"/>
  <c r="BM177" i="2"/>
  <c r="Z177" i="2"/>
  <c r="Y177" i="2"/>
  <c r="BN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P166" i="2"/>
  <c r="Y164" i="2"/>
  <c r="X164" i="2"/>
  <c r="Y163" i="2"/>
  <c r="X163" i="2"/>
  <c r="BP162" i="2"/>
  <c r="BO162" i="2"/>
  <c r="BM162" i="2"/>
  <c r="Y162" i="2"/>
  <c r="BN162" i="2" s="1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Y160" i="2" s="1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BN149" i="2" s="1"/>
  <c r="P149" i="2"/>
  <c r="BO148" i="2"/>
  <c r="BM148" i="2"/>
  <c r="Y148" i="2"/>
  <c r="I552" i="2" s="1"/>
  <c r="P148" i="2"/>
  <c r="X145" i="2"/>
  <c r="X144" i="2"/>
  <c r="BO143" i="2"/>
  <c r="BM143" i="2"/>
  <c r="Y143" i="2"/>
  <c r="BN143" i="2" s="1"/>
  <c r="P143" i="2"/>
  <c r="BO142" i="2"/>
  <c r="BM142" i="2"/>
  <c r="Y142" i="2"/>
  <c r="Y144" i="2" s="1"/>
  <c r="P142" i="2"/>
  <c r="X140" i="2"/>
  <c r="X139" i="2"/>
  <c r="BO138" i="2"/>
  <c r="BM138" i="2"/>
  <c r="Y138" i="2"/>
  <c r="BN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BN133" i="2" s="1"/>
  <c r="P133" i="2"/>
  <c r="BO132" i="2"/>
  <c r="BM132" i="2"/>
  <c r="Y132" i="2"/>
  <c r="Y135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P123" i="2"/>
  <c r="BO122" i="2"/>
  <c r="BM122" i="2"/>
  <c r="Z122" i="2"/>
  <c r="Y122" i="2"/>
  <c r="BP122" i="2" s="1"/>
  <c r="P122" i="2"/>
  <c r="BO121" i="2"/>
  <c r="BM121" i="2"/>
  <c r="Y121" i="2"/>
  <c r="BN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N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X100" i="2"/>
  <c r="X99" i="2"/>
  <c r="BO98" i="2"/>
  <c r="BM98" i="2"/>
  <c r="Y98" i="2"/>
  <c r="Z98" i="2" s="1"/>
  <c r="P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Z95" i="2" s="1"/>
  <c r="P95" i="2"/>
  <c r="X93" i="2"/>
  <c r="X92" i="2"/>
  <c r="BO91" i="2"/>
  <c r="BM91" i="2"/>
  <c r="Y91" i="2"/>
  <c r="BN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Y85" i="2" s="1"/>
  <c r="P82" i="2"/>
  <c r="X80" i="2"/>
  <c r="X79" i="2"/>
  <c r="BO78" i="2"/>
  <c r="BM78" i="2"/>
  <c r="Y78" i="2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P71" i="2"/>
  <c r="BO71" i="2"/>
  <c r="BM71" i="2"/>
  <c r="Y71" i="2"/>
  <c r="BN71" i="2" s="1"/>
  <c r="P71" i="2"/>
  <c r="BO70" i="2"/>
  <c r="BM70" i="2"/>
  <c r="Y70" i="2"/>
  <c r="P70" i="2"/>
  <c r="X68" i="2"/>
  <c r="X67" i="2"/>
  <c r="BO66" i="2"/>
  <c r="BM66" i="2"/>
  <c r="Y66" i="2"/>
  <c r="P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BN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P43" i="2"/>
  <c r="BO42" i="2"/>
  <c r="BM42" i="2"/>
  <c r="Y42" i="2"/>
  <c r="P42" i="2"/>
  <c r="BO41" i="2"/>
  <c r="BM41" i="2"/>
  <c r="Y41" i="2"/>
  <c r="BP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P31" i="2" s="1"/>
  <c r="P31" i="2"/>
  <c r="BO30" i="2"/>
  <c r="BM30" i="2"/>
  <c r="Z30" i="2"/>
  <c r="Y30" i="2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P23" i="2"/>
  <c r="BO22" i="2"/>
  <c r="BM22" i="2"/>
  <c r="Y22" i="2"/>
  <c r="P22" i="2"/>
  <c r="H10" i="2"/>
  <c r="A9" i="2"/>
  <c r="H9" i="2" s="1"/>
  <c r="D7" i="2"/>
  <c r="Q6" i="2"/>
  <c r="P2" i="2"/>
  <c r="Y190" i="2" l="1"/>
  <c r="B552" i="2"/>
  <c r="Z31" i="2"/>
  <c r="Z103" i="2"/>
  <c r="BN103" i="2"/>
  <c r="Z133" i="2"/>
  <c r="Z149" i="2"/>
  <c r="Z169" i="2"/>
  <c r="Z188" i="2"/>
  <c r="Y211" i="2"/>
  <c r="Z225" i="2"/>
  <c r="BN225" i="2"/>
  <c r="Z255" i="2"/>
  <c r="Z281" i="2"/>
  <c r="Z388" i="2"/>
  <c r="Z417" i="2"/>
  <c r="Z463" i="2"/>
  <c r="BN463" i="2"/>
  <c r="Z552" i="2"/>
  <c r="Z491" i="2"/>
  <c r="BN491" i="2"/>
  <c r="Z506" i="2"/>
  <c r="BN62" i="2"/>
  <c r="BN72" i="2"/>
  <c r="Y75" i="2"/>
  <c r="Y79" i="2"/>
  <c r="Y80" i="2"/>
  <c r="Z77" i="2"/>
  <c r="BP112" i="2"/>
  <c r="Z112" i="2"/>
  <c r="BP166" i="2"/>
  <c r="Z166" i="2"/>
  <c r="BN201" i="2"/>
  <c r="Z201" i="2"/>
  <c r="BP204" i="2"/>
  <c r="BN204" i="2"/>
  <c r="Z204" i="2"/>
  <c r="BP222" i="2"/>
  <c r="BN222" i="2"/>
  <c r="Z222" i="2"/>
  <c r="Y245" i="2"/>
  <c r="Z244" i="2"/>
  <c r="Z245" i="2" s="1"/>
  <c r="BN271" i="2"/>
  <c r="BN278" i="2"/>
  <c r="BN285" i="2"/>
  <c r="BP310" i="2"/>
  <c r="Z310" i="2"/>
  <c r="BP357" i="2"/>
  <c r="Z357" i="2"/>
  <c r="BN373" i="2"/>
  <c r="BN400" i="2"/>
  <c r="Z400" i="2"/>
  <c r="BN431" i="2"/>
  <c r="BN462" i="2"/>
  <c r="BP462" i="2"/>
  <c r="BN487" i="2"/>
  <c r="BP487" i="2"/>
  <c r="BN493" i="2"/>
  <c r="BN500" i="2"/>
  <c r="BP500" i="2"/>
  <c r="X544" i="2"/>
  <c r="BN30" i="2"/>
  <c r="BP30" i="2"/>
  <c r="BN43" i="2"/>
  <c r="Z43" i="2"/>
  <c r="BN53" i="2"/>
  <c r="BN66" i="2"/>
  <c r="Z66" i="2"/>
  <c r="BP77" i="2"/>
  <c r="BP78" i="2"/>
  <c r="BN78" i="2"/>
  <c r="Z78" i="2"/>
  <c r="BN97" i="2"/>
  <c r="BN106" i="2"/>
  <c r="BP123" i="2"/>
  <c r="BN123" i="2"/>
  <c r="Z123" i="2"/>
  <c r="Y139" i="2"/>
  <c r="BP170" i="2"/>
  <c r="BN170" i="2"/>
  <c r="Z170" i="2"/>
  <c r="BN175" i="2"/>
  <c r="Y193" i="2"/>
  <c r="Y194" i="2"/>
  <c r="Z192" i="2"/>
  <c r="Z193" i="2" s="1"/>
  <c r="BP201" i="2"/>
  <c r="BN203" i="2"/>
  <c r="Z203" i="2"/>
  <c r="BP213" i="2"/>
  <c r="BN213" i="2"/>
  <c r="Z213" i="2"/>
  <c r="BN230" i="2"/>
  <c r="Z238" i="2"/>
  <c r="Y241" i="2"/>
  <c r="BN238" i="2"/>
  <c r="BN261" i="2"/>
  <c r="BN296" i="2"/>
  <c r="BN334" i="2"/>
  <c r="BN381" i="2"/>
  <c r="BP400" i="2"/>
  <c r="V552" i="2"/>
  <c r="BN415" i="2"/>
  <c r="BN420" i="2"/>
  <c r="BP443" i="2"/>
  <c r="BN443" i="2"/>
  <c r="Z443" i="2"/>
  <c r="Y455" i="2"/>
  <c r="BP451" i="2"/>
  <c r="BN451" i="2"/>
  <c r="Z451" i="2"/>
  <c r="BN474" i="2"/>
  <c r="BN479" i="2"/>
  <c r="Z479" i="2"/>
  <c r="BN490" i="2"/>
  <c r="BP490" i="2"/>
  <c r="Z520" i="2"/>
  <c r="Z521" i="2" s="1"/>
  <c r="BP520" i="2"/>
  <c r="BP529" i="2"/>
  <c r="Y530" i="2"/>
  <c r="Z529" i="2"/>
  <c r="Z530" i="2" s="1"/>
  <c r="BN534" i="2"/>
  <c r="BN51" i="2"/>
  <c r="BN64" i="2"/>
  <c r="F552" i="2"/>
  <c r="BN95" i="2"/>
  <c r="BN108" i="2"/>
  <c r="H552" i="2"/>
  <c r="BP133" i="2"/>
  <c r="BP149" i="2"/>
  <c r="BN173" i="2"/>
  <c r="BP177" i="2"/>
  <c r="BP188" i="2"/>
  <c r="BN199" i="2"/>
  <c r="BP215" i="2"/>
  <c r="BN217" i="2"/>
  <c r="BP255" i="2"/>
  <c r="BN260" i="2"/>
  <c r="BN270" i="2"/>
  <c r="BN291" i="2"/>
  <c r="BN301" i="2"/>
  <c r="BN326" i="2"/>
  <c r="Y329" i="2"/>
  <c r="Y337" i="2"/>
  <c r="Y350" i="2"/>
  <c r="BN347" i="2"/>
  <c r="BN365" i="2"/>
  <c r="Y383" i="2"/>
  <c r="BN380" i="2"/>
  <c r="BP388" i="2"/>
  <c r="Y396" i="2"/>
  <c r="BN425" i="2"/>
  <c r="BN437" i="2"/>
  <c r="Y454" i="2"/>
  <c r="BN460" i="2"/>
  <c r="Y511" i="2"/>
  <c r="BN525" i="2"/>
  <c r="Y128" i="2"/>
  <c r="Z22" i="2"/>
  <c r="BP22" i="2"/>
  <c r="BP29" i="2"/>
  <c r="BN31" i="2"/>
  <c r="Y47" i="2"/>
  <c r="BP43" i="2"/>
  <c r="E552" i="2"/>
  <c r="Y67" i="2"/>
  <c r="Y74" i="2"/>
  <c r="BN77" i="2"/>
  <c r="Z89" i="2"/>
  <c r="BP89" i="2"/>
  <c r="G552" i="2"/>
  <c r="BN112" i="2"/>
  <c r="Z113" i="2"/>
  <c r="BP113" i="2"/>
  <c r="Z121" i="2"/>
  <c r="BP121" i="2"/>
  <c r="BP138" i="2"/>
  <c r="Y140" i="2"/>
  <c r="Y145" i="2"/>
  <c r="Z157" i="2"/>
  <c r="BP157" i="2"/>
  <c r="Z168" i="2"/>
  <c r="BP168" i="2"/>
  <c r="BP182" i="2"/>
  <c r="BN183" i="2"/>
  <c r="BP187" i="2"/>
  <c r="BN192" i="2"/>
  <c r="Y228" i="2"/>
  <c r="Z214" i="2"/>
  <c r="Y227" i="2"/>
  <c r="BP217" i="2"/>
  <c r="BN218" i="2"/>
  <c r="Z224" i="2"/>
  <c r="BP224" i="2"/>
  <c r="BN232" i="2"/>
  <c r="BN240" i="2"/>
  <c r="Z249" i="2"/>
  <c r="Y268" i="2"/>
  <c r="BN263" i="2"/>
  <c r="Z265" i="2"/>
  <c r="BP265" i="2"/>
  <c r="BN273" i="2"/>
  <c r="Z275" i="2"/>
  <c r="BP275" i="2"/>
  <c r="Z279" i="2"/>
  <c r="BP281" i="2"/>
  <c r="BN292" i="2"/>
  <c r="Y303" i="2"/>
  <c r="BN311" i="2"/>
  <c r="BN317" i="2"/>
  <c r="Z319" i="2"/>
  <c r="BP319" i="2"/>
  <c r="Z346" i="2"/>
  <c r="Z348" i="2"/>
  <c r="BN353" i="2"/>
  <c r="Z355" i="2"/>
  <c r="BP355" i="2"/>
  <c r="Z358" i="2"/>
  <c r="BP358" i="2"/>
  <c r="BN368" i="2"/>
  <c r="Z375" i="2"/>
  <c r="BP375" i="2"/>
  <c r="Z386" i="2"/>
  <c r="BP386" i="2"/>
  <c r="BP392" i="2"/>
  <c r="Z405" i="2"/>
  <c r="Z413" i="2"/>
  <c r="BP413" i="2"/>
  <c r="Z486" i="2"/>
  <c r="Z505" i="2"/>
  <c r="Z508" i="2"/>
  <c r="BP508" i="2"/>
  <c r="Y536" i="2"/>
  <c r="Y124" i="2"/>
  <c r="Y342" i="2"/>
  <c r="BP416" i="2"/>
  <c r="Y421" i="2"/>
  <c r="BP426" i="2"/>
  <c r="Y434" i="2"/>
  <c r="BP505" i="2"/>
  <c r="Y526" i="2"/>
  <c r="X543" i="2"/>
  <c r="X546" i="2"/>
  <c r="Z27" i="2"/>
  <c r="BN41" i="2"/>
  <c r="Z59" i="2"/>
  <c r="BP59" i="2"/>
  <c r="BP115" i="2"/>
  <c r="BN116" i="2"/>
  <c r="BP120" i="2"/>
  <c r="BN122" i="2"/>
  <c r="Y125" i="2"/>
  <c r="Y134" i="2"/>
  <c r="BP143" i="2"/>
  <c r="Y152" i="2"/>
  <c r="BP167" i="2"/>
  <c r="BN169" i="2"/>
  <c r="Y178" i="2"/>
  <c r="Y185" i="2"/>
  <c r="Y189" i="2"/>
  <c r="BN220" i="2"/>
  <c r="BN244" i="2"/>
  <c r="Y246" i="2"/>
  <c r="Y256" i="2"/>
  <c r="BN277" i="2"/>
  <c r="Z278" i="2"/>
  <c r="Z285" i="2"/>
  <c r="Z287" i="2" s="1"/>
  <c r="BN294" i="2"/>
  <c r="Z296" i="2"/>
  <c r="R552" i="2"/>
  <c r="Z334" i="2"/>
  <c r="BN336" i="2"/>
  <c r="Y338" i="2"/>
  <c r="Y343" i="2"/>
  <c r="Z347" i="2"/>
  <c r="Z367" i="2"/>
  <c r="BP385" i="2"/>
  <c r="Y389" i="2"/>
  <c r="BN416" i="2"/>
  <c r="BP417" i="2"/>
  <c r="BN418" i="2"/>
  <c r="Z420" i="2"/>
  <c r="BN426" i="2"/>
  <c r="Z431" i="2"/>
  <c r="X552" i="2"/>
  <c r="Z461" i="2"/>
  <c r="BP474" i="2"/>
  <c r="Y481" i="2"/>
  <c r="Y482" i="2"/>
  <c r="Z493" i="2"/>
  <c r="BP507" i="2"/>
  <c r="BP510" i="2"/>
  <c r="AA552" i="2"/>
  <c r="BN520" i="2"/>
  <c r="Z525" i="2"/>
  <c r="Z533" i="2"/>
  <c r="Y179" i="2"/>
  <c r="BN22" i="2"/>
  <c r="Y25" i="2"/>
  <c r="X542" i="2"/>
  <c r="BP61" i="2"/>
  <c r="BP66" i="2"/>
  <c r="Y68" i="2"/>
  <c r="BP105" i="2"/>
  <c r="Y109" i="2"/>
  <c r="BP172" i="2"/>
  <c r="BN214" i="2"/>
  <c r="Z226" i="2"/>
  <c r="Z232" i="2"/>
  <c r="Y302" i="2"/>
  <c r="Z311" i="2"/>
  <c r="Z312" i="2" s="1"/>
  <c r="BN325" i="2"/>
  <c r="BP341" i="2"/>
  <c r="BN363" i="2"/>
  <c r="Z365" i="2"/>
  <c r="Z368" i="2"/>
  <c r="Y376" i="2"/>
  <c r="BP381" i="2"/>
  <c r="BN392" i="2"/>
  <c r="BP393" i="2"/>
  <c r="BN406" i="2"/>
  <c r="BN413" i="2"/>
  <c r="Y428" i="2"/>
  <c r="BP430" i="2"/>
  <c r="Z436" i="2"/>
  <c r="Z438" i="2" s="1"/>
  <c r="BP437" i="2"/>
  <c r="W552" i="2"/>
  <c r="Z460" i="2"/>
  <c r="BP524" i="2"/>
  <c r="Y531" i="2"/>
  <c r="Y535" i="2"/>
  <c r="X545" i="2"/>
  <c r="BN90" i="2"/>
  <c r="BN202" i="2"/>
  <c r="Y205" i="2"/>
  <c r="BN223" i="2"/>
  <c r="BN233" i="2"/>
  <c r="Y257" i="2"/>
  <c r="BN266" i="2"/>
  <c r="BN276" i="2"/>
  <c r="BN286" i="2"/>
  <c r="BN297" i="2"/>
  <c r="BN309" i="2"/>
  <c r="Y312" i="2"/>
  <c r="BN320" i="2"/>
  <c r="BN356" i="2"/>
  <c r="Y359" i="2"/>
  <c r="BN366" i="2"/>
  <c r="Y369" i="2"/>
  <c r="Y377" i="2"/>
  <c r="BN398" i="2"/>
  <c r="Y401" i="2"/>
  <c r="Y422" i="2"/>
  <c r="Y445" i="2"/>
  <c r="BN468" i="2"/>
  <c r="J552" i="2"/>
  <c r="K552" i="2"/>
  <c r="Z176" i="2"/>
  <c r="Z200" i="2"/>
  <c r="BP202" i="2"/>
  <c r="Z221" i="2"/>
  <c r="BP223" i="2"/>
  <c r="Z231" i="2"/>
  <c r="BP233" i="2"/>
  <c r="Z254" i="2"/>
  <c r="Z256" i="2" s="1"/>
  <c r="Z264" i="2"/>
  <c r="BP266" i="2"/>
  <c r="Z274" i="2"/>
  <c r="BP276" i="2"/>
  <c r="BP286" i="2"/>
  <c r="Z295" i="2"/>
  <c r="BP297" i="2"/>
  <c r="BP309" i="2"/>
  <c r="Z318" i="2"/>
  <c r="BP320" i="2"/>
  <c r="Z354" i="2"/>
  <c r="BP356" i="2"/>
  <c r="Z364" i="2"/>
  <c r="BP366" i="2"/>
  <c r="Z374" i="2"/>
  <c r="BP398" i="2"/>
  <c r="Z407" i="2"/>
  <c r="Z419" i="2"/>
  <c r="Z442" i="2"/>
  <c r="BP468" i="2"/>
  <c r="Y502" i="2"/>
  <c r="Y512" i="2"/>
  <c r="L552" i="2"/>
  <c r="BN150" i="2"/>
  <c r="Z171" i="2"/>
  <c r="BP173" i="2"/>
  <c r="Z181" i="2"/>
  <c r="BP183" i="2"/>
  <c r="Y206" i="2"/>
  <c r="Z216" i="2"/>
  <c r="BP218" i="2"/>
  <c r="BN226" i="2"/>
  <c r="BP238" i="2"/>
  <c r="BN249" i="2"/>
  <c r="Z259" i="2"/>
  <c r="BP261" i="2"/>
  <c r="BP271" i="2"/>
  <c r="BN279" i="2"/>
  <c r="Y282" i="2"/>
  <c r="BP292" i="2"/>
  <c r="Y313" i="2"/>
  <c r="BP326" i="2"/>
  <c r="Z335" i="2"/>
  <c r="BN348" i="2"/>
  <c r="Y360" i="2"/>
  <c r="Y370" i="2"/>
  <c r="Z379" i="2"/>
  <c r="Y402" i="2"/>
  <c r="Z414" i="2"/>
  <c r="Z424" i="2"/>
  <c r="BN436" i="2"/>
  <c r="Z447" i="2"/>
  <c r="Z448" i="2" s="1"/>
  <c r="BN461" i="2"/>
  <c r="BN486" i="2"/>
  <c r="Z494" i="2"/>
  <c r="BN506" i="2"/>
  <c r="M552" i="2"/>
  <c r="BN176" i="2"/>
  <c r="BN200" i="2"/>
  <c r="BN221" i="2"/>
  <c r="BN231" i="2"/>
  <c r="Y242" i="2"/>
  <c r="BN254" i="2"/>
  <c r="BN264" i="2"/>
  <c r="Y267" i="2"/>
  <c r="BN274" i="2"/>
  <c r="Y287" i="2"/>
  <c r="BN295" i="2"/>
  <c r="Y298" i="2"/>
  <c r="Z305" i="2"/>
  <c r="Z306" i="2" s="1"/>
  <c r="BN318" i="2"/>
  <c r="Y321" i="2"/>
  <c r="Z340" i="2"/>
  <c r="BN354" i="2"/>
  <c r="BN364" i="2"/>
  <c r="BN374" i="2"/>
  <c r="Z394" i="2"/>
  <c r="BN407" i="2"/>
  <c r="BN419" i="2"/>
  <c r="BN442" i="2"/>
  <c r="Z452" i="2"/>
  <c r="Z464" i="2"/>
  <c r="Z489" i="2"/>
  <c r="Z499" i="2"/>
  <c r="Z509" i="2"/>
  <c r="O552" i="2"/>
  <c r="BP62" i="2"/>
  <c r="BP106" i="2"/>
  <c r="Z137" i="2"/>
  <c r="BN132" i="2"/>
  <c r="Z142" i="2"/>
  <c r="BN156" i="2"/>
  <c r="Y159" i="2"/>
  <c r="BP35" i="2"/>
  <c r="Z45" i="2"/>
  <c r="BN70" i="2"/>
  <c r="BP82" i="2"/>
  <c r="BN104" i="2"/>
  <c r="Y117" i="2"/>
  <c r="BN137" i="2"/>
  <c r="Z148" i="2"/>
  <c r="BP150" i="2"/>
  <c r="BN171" i="2"/>
  <c r="BN181" i="2"/>
  <c r="Y184" i="2"/>
  <c r="BN216" i="2"/>
  <c r="BP249" i="2"/>
  <c r="BN259" i="2"/>
  <c r="BN335" i="2"/>
  <c r="BN379" i="2"/>
  <c r="Y382" i="2"/>
  <c r="Y390" i="2"/>
  <c r="Z399" i="2"/>
  <c r="BN414" i="2"/>
  <c r="BN424" i="2"/>
  <c r="Y427" i="2"/>
  <c r="BP436" i="2"/>
  <c r="BN447" i="2"/>
  <c r="Z459" i="2"/>
  <c r="Z469" i="2"/>
  <c r="Z470" i="2" s="1"/>
  <c r="Y475" i="2"/>
  <c r="BP486" i="2"/>
  <c r="BN494" i="2"/>
  <c r="Z504" i="2"/>
  <c r="Z516" i="2"/>
  <c r="Z517" i="2" s="1"/>
  <c r="Y521" i="2"/>
  <c r="P552" i="2"/>
  <c r="Z35" i="2"/>
  <c r="Z36" i="2" s="1"/>
  <c r="Z54" i="2"/>
  <c r="BN23" i="2"/>
  <c r="BN60" i="2"/>
  <c r="Z91" i="2"/>
  <c r="BN114" i="2"/>
  <c r="F9" i="2"/>
  <c r="BN28" i="2"/>
  <c r="BP42" i="2"/>
  <c r="Z52" i="2"/>
  <c r="BP54" i="2"/>
  <c r="Z63" i="2"/>
  <c r="BP65" i="2"/>
  <c r="Z73" i="2"/>
  <c r="BP88" i="2"/>
  <c r="Z96" i="2"/>
  <c r="BP98" i="2"/>
  <c r="Z107" i="2"/>
  <c r="BP132" i="2"/>
  <c r="BN142" i="2"/>
  <c r="BP156" i="2"/>
  <c r="BN166" i="2"/>
  <c r="Z174" i="2"/>
  <c r="Z198" i="2"/>
  <c r="Z209" i="2"/>
  <c r="Z210" i="2" s="1"/>
  <c r="Z219" i="2"/>
  <c r="Z239" i="2"/>
  <c r="Z262" i="2"/>
  <c r="Z272" i="2"/>
  <c r="Y283" i="2"/>
  <c r="Z293" i="2"/>
  <c r="BN305" i="2"/>
  <c r="Z316" i="2"/>
  <c r="Z327" i="2"/>
  <c r="BN340" i="2"/>
  <c r="Z362" i="2"/>
  <c r="Z372" i="2"/>
  <c r="BN394" i="2"/>
  <c r="BP442" i="2"/>
  <c r="BN452" i="2"/>
  <c r="BN464" i="2"/>
  <c r="BN489" i="2"/>
  <c r="BN499" i="2"/>
  <c r="BN509" i="2"/>
  <c r="Q552" i="2"/>
  <c r="BN44" i="2"/>
  <c r="BN158" i="2"/>
  <c r="Z150" i="2"/>
  <c r="Y288" i="2"/>
  <c r="Y299" i="2"/>
  <c r="BN310" i="2"/>
  <c r="Y322" i="2"/>
  <c r="Z333" i="2"/>
  <c r="BP335" i="2"/>
  <c r="BN346" i="2"/>
  <c r="Y349" i="2"/>
  <c r="BN357" i="2"/>
  <c r="BN367" i="2"/>
  <c r="BP379" i="2"/>
  <c r="Z387" i="2"/>
  <c r="BN399" i="2"/>
  <c r="BP424" i="2"/>
  <c r="Z432" i="2"/>
  <c r="BP447" i="2"/>
  <c r="BN459" i="2"/>
  <c r="BN469" i="2"/>
  <c r="Z480" i="2"/>
  <c r="Z492" i="2"/>
  <c r="BN504" i="2"/>
  <c r="BN516" i="2"/>
  <c r="Z539" i="2"/>
  <c r="Z540" i="2" s="1"/>
  <c r="BP27" i="2"/>
  <c r="BP181" i="2"/>
  <c r="BP216" i="2"/>
  <c r="BP259" i="2"/>
  <c r="J9" i="2"/>
  <c r="BP28" i="2"/>
  <c r="BN52" i="2"/>
  <c r="Y55" i="2"/>
  <c r="BN63" i="2"/>
  <c r="BN73" i="2"/>
  <c r="Z83" i="2"/>
  <c r="BN96" i="2"/>
  <c r="Y99" i="2"/>
  <c r="BN107" i="2"/>
  <c r="Y118" i="2"/>
  <c r="Z127" i="2"/>
  <c r="Z128" i="2" s="1"/>
  <c r="BP142" i="2"/>
  <c r="Z151" i="2"/>
  <c r="BN174" i="2"/>
  <c r="BN198" i="2"/>
  <c r="BN209" i="2"/>
  <c r="BN219" i="2"/>
  <c r="BN239" i="2"/>
  <c r="Z250" i="2"/>
  <c r="BN262" i="2"/>
  <c r="BN272" i="2"/>
  <c r="Z280" i="2"/>
  <c r="BN293" i="2"/>
  <c r="BP305" i="2"/>
  <c r="BN316" i="2"/>
  <c r="BN327" i="2"/>
  <c r="BP340" i="2"/>
  <c r="BN362" i="2"/>
  <c r="BN372" i="2"/>
  <c r="Z392" i="2"/>
  <c r="Z395" i="2" s="1"/>
  <c r="BN405" i="2"/>
  <c r="Y408" i="2"/>
  <c r="BP452" i="2"/>
  <c r="Z462" i="2"/>
  <c r="Y476" i="2"/>
  <c r="Z487" i="2"/>
  <c r="BP499" i="2"/>
  <c r="Z507" i="2"/>
  <c r="Y522" i="2"/>
  <c r="BN533" i="2"/>
  <c r="S552" i="2"/>
  <c r="BP44" i="2"/>
  <c r="Z156" i="2"/>
  <c r="Z159" i="2" s="1"/>
  <c r="BP51" i="2"/>
  <c r="BP95" i="2"/>
  <c r="Z114" i="2"/>
  <c r="Y110" i="2"/>
  <c r="BP23" i="2"/>
  <c r="Y24" i="2"/>
  <c r="BP148" i="2"/>
  <c r="BN333" i="2"/>
  <c r="BP346" i="2"/>
  <c r="BN387" i="2"/>
  <c r="BN432" i="2"/>
  <c r="Y448" i="2"/>
  <c r="BP459" i="2"/>
  <c r="BN480" i="2"/>
  <c r="BN492" i="2"/>
  <c r="Y495" i="2"/>
  <c r="BP504" i="2"/>
  <c r="BP516" i="2"/>
  <c r="Y527" i="2"/>
  <c r="BN539" i="2"/>
  <c r="T552" i="2"/>
  <c r="Y36" i="2"/>
  <c r="A10" i="2"/>
  <c r="BP91" i="2"/>
  <c r="F10" i="2"/>
  <c r="Y37" i="2"/>
  <c r="Z61" i="2"/>
  <c r="Z71" i="2"/>
  <c r="BN83" i="2"/>
  <c r="Z105" i="2"/>
  <c r="Z115" i="2"/>
  <c r="BN127" i="2"/>
  <c r="Z138" i="2"/>
  <c r="BN151" i="2"/>
  <c r="Z162" i="2"/>
  <c r="Z163" i="2" s="1"/>
  <c r="Z172" i="2"/>
  <c r="Z182" i="2"/>
  <c r="BP209" i="2"/>
  <c r="BN250" i="2"/>
  <c r="Z260" i="2"/>
  <c r="Z270" i="2"/>
  <c r="BN280" i="2"/>
  <c r="Z291" i="2"/>
  <c r="Z301" i="2"/>
  <c r="Z302" i="2" s="1"/>
  <c r="Y306" i="2"/>
  <c r="Z325" i="2"/>
  <c r="Z336" i="2"/>
  <c r="Z380" i="2"/>
  <c r="Y395" i="2"/>
  <c r="BP405" i="2"/>
  <c r="Z415" i="2"/>
  <c r="Z425" i="2"/>
  <c r="Y465" i="2"/>
  <c r="U552" i="2"/>
  <c r="Z42" i="2"/>
  <c r="Z23" i="2"/>
  <c r="Z24" i="2" s="1"/>
  <c r="BP72" i="2"/>
  <c r="BN82" i="2"/>
  <c r="Z104" i="2"/>
  <c r="BP116" i="2"/>
  <c r="BN88" i="2"/>
  <c r="BN98" i="2"/>
  <c r="BN45" i="2"/>
  <c r="Z29" i="2"/>
  <c r="Y46" i="2"/>
  <c r="Y56" i="2"/>
  <c r="Y92" i="2"/>
  <c r="Y100" i="2"/>
  <c r="Z120" i="2"/>
  <c r="Z143" i="2"/>
  <c r="Z167" i="2"/>
  <c r="Z187" i="2"/>
  <c r="Z189" i="2" s="1"/>
  <c r="Y235" i="2"/>
  <c r="BP244" i="2"/>
  <c r="Z341" i="2"/>
  <c r="Z385" i="2"/>
  <c r="Z430" i="2"/>
  <c r="BP432" i="2"/>
  <c r="Z453" i="2"/>
  <c r="Y470" i="2"/>
  <c r="Z478" i="2"/>
  <c r="BP480" i="2"/>
  <c r="Z490" i="2"/>
  <c r="Z500" i="2"/>
  <c r="Z510" i="2"/>
  <c r="Y517" i="2"/>
  <c r="Z524" i="2"/>
  <c r="BP539" i="2"/>
  <c r="C552" i="2"/>
  <c r="Z88" i="2"/>
  <c r="BP90" i="2"/>
  <c r="Z132" i="2"/>
  <c r="Z134" i="2" s="1"/>
  <c r="BP158" i="2"/>
  <c r="Z60" i="2"/>
  <c r="Z70" i="2"/>
  <c r="BN42" i="2"/>
  <c r="BN65" i="2"/>
  <c r="BP70" i="2"/>
  <c r="BN148" i="2"/>
  <c r="BP127" i="2"/>
  <c r="Y328" i="2"/>
  <c r="Y496" i="2"/>
  <c r="D552" i="2"/>
  <c r="Z82" i="2"/>
  <c r="Y32" i="2"/>
  <c r="Z41" i="2"/>
  <c r="Z53" i="2"/>
  <c r="Z64" i="2"/>
  <c r="Z97" i="2"/>
  <c r="Z108" i="2"/>
  <c r="Z175" i="2"/>
  <c r="Z199" i="2"/>
  <c r="Z220" i="2"/>
  <c r="Z230" i="2"/>
  <c r="Z235" i="2" s="1"/>
  <c r="Z240" i="2"/>
  <c r="Z263" i="2"/>
  <c r="Z273" i="2"/>
  <c r="Z294" i="2"/>
  <c r="Z317" i="2"/>
  <c r="Z353" i="2"/>
  <c r="Z363" i="2"/>
  <c r="Z373" i="2"/>
  <c r="Z406" i="2"/>
  <c r="Z408" i="2" s="1"/>
  <c r="Z418" i="2"/>
  <c r="BN430" i="2"/>
  <c r="Y466" i="2"/>
  <c r="BN478" i="2"/>
  <c r="Z534" i="2"/>
  <c r="Y540" i="2"/>
  <c r="Y84" i="2"/>
  <c r="Y93" i="2"/>
  <c r="Y236" i="2"/>
  <c r="Y251" i="2"/>
  <c r="Y438" i="2"/>
  <c r="Y471" i="2"/>
  <c r="Y518" i="2"/>
  <c r="BN529" i="2"/>
  <c r="Y552" i="2"/>
  <c r="Y541" i="2"/>
  <c r="Y33" i="2"/>
  <c r="Y153" i="2"/>
  <c r="Z79" i="2" l="1"/>
  <c r="Z241" i="2"/>
  <c r="Z227" i="2"/>
  <c r="Z74" i="2"/>
  <c r="Z526" i="2"/>
  <c r="Z454" i="2"/>
  <c r="Z433" i="2"/>
  <c r="Z124" i="2"/>
  <c r="Z109" i="2"/>
  <c r="Z298" i="2"/>
  <c r="Z495" i="2"/>
  <c r="Z465" i="2"/>
  <c r="Z401" i="2"/>
  <c r="Z144" i="2"/>
  <c r="Z444" i="2"/>
  <c r="Z369" i="2"/>
  <c r="Z535" i="2"/>
  <c r="Z359" i="2"/>
  <c r="Z389" i="2"/>
  <c r="Z32" i="2"/>
  <c r="Z251" i="2"/>
  <c r="Y543" i="2"/>
  <c r="Z282" i="2"/>
  <c r="Y544" i="2"/>
  <c r="Z99" i="2"/>
  <c r="Z117" i="2"/>
  <c r="Z55" i="2"/>
  <c r="Z139" i="2"/>
  <c r="Z421" i="2"/>
  <c r="Z67" i="2"/>
  <c r="Z92" i="2"/>
  <c r="Y542" i="2"/>
  <c r="Z337" i="2"/>
  <c r="Z376" i="2"/>
  <c r="Z321" i="2"/>
  <c r="Z501" i="2"/>
  <c r="Z349" i="2"/>
  <c r="Y545" i="2"/>
  <c r="Z342" i="2"/>
  <c r="Z267" i="2"/>
  <c r="Z511" i="2"/>
  <c r="Z427" i="2"/>
  <c r="Z152" i="2"/>
  <c r="Z382" i="2"/>
  <c r="Z46" i="2"/>
  <c r="Z184" i="2"/>
  <c r="Z178" i="2"/>
  <c r="Z84" i="2"/>
  <c r="Z205" i="2"/>
  <c r="Y546" i="2"/>
  <c r="Z328" i="2"/>
  <c r="Z481" i="2"/>
  <c r="Z547" i="2" l="1"/>
</calcChain>
</file>

<file path=xl/sharedStrings.xml><?xml version="1.0" encoding="utf-8"?>
<sst xmlns="http://schemas.openxmlformats.org/spreadsheetml/2006/main" count="4117" uniqueCount="877">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</sst>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52"/>
  <sheetViews>
    <sheetView showGridLines="0" tabSelected="1" topLeftCell="A519" zoomScaleNormal="100" zoomScaleSheetLayoutView="100" workbookViewId="0">
      <selection activeCell="AA548" sqref="AA54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6" t="s">
        <v>26</v>
      </c>
      <c r="E1" s="626"/>
      <c r="F1" s="626"/>
      <c r="G1" s="14" t="s">
        <v>67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68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30" t="s">
        <v>8</v>
      </c>
      <c r="B5" s="630"/>
      <c r="C5" s="630"/>
      <c r="D5" s="631"/>
      <c r="E5" s="631"/>
      <c r="F5" s="632" t="s">
        <v>14</v>
      </c>
      <c r="G5" s="632"/>
      <c r="H5" s="631"/>
      <c r="I5" s="631"/>
      <c r="J5" s="631"/>
      <c r="K5" s="631"/>
      <c r="L5" s="631"/>
      <c r="M5" s="631"/>
      <c r="N5" s="72"/>
      <c r="P5" s="27" t="s">
        <v>4</v>
      </c>
      <c r="Q5" s="633">
        <v>46226</v>
      </c>
      <c r="R5" s="633"/>
      <c r="T5" s="634" t="s">
        <v>3</v>
      </c>
      <c r="U5" s="635"/>
      <c r="V5" s="636" t="s">
        <v>853</v>
      </c>
      <c r="W5" s="637"/>
      <c r="AB5" s="59"/>
      <c r="AC5" s="59"/>
      <c r="AD5" s="59"/>
      <c r="AE5" s="59"/>
    </row>
    <row r="6" spans="1:32" s="17" customFormat="1" ht="24" customHeight="1" x14ac:dyDescent="0.2">
      <c r="A6" s="630" t="s">
        <v>1</v>
      </c>
      <c r="B6" s="630"/>
      <c r="C6" s="630"/>
      <c r="D6" s="638" t="s">
        <v>860</v>
      </c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Четверг</v>
      </c>
      <c r="R6" s="639"/>
      <c r="T6" s="640" t="s">
        <v>5</v>
      </c>
      <c r="U6" s="641"/>
      <c r="V6" s="642" t="s">
        <v>70</v>
      </c>
      <c r="W6" s="6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8" t="str">
        <f>IFERROR(VLOOKUP(DeliveryAddress,Table,3,0),1)</f>
        <v>3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 x14ac:dyDescent="0.2">
      <c r="A8" s="651" t="s">
        <v>58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0.41666666666666669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 x14ac:dyDescent="0.2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71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55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5" t="s">
        <v>72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 x14ac:dyDescent="0.2">
      <c r="A13" s="665" t="s">
        <v>73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5" t="s">
        <v>74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7" t="s">
        <v>75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61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2" t="s">
        <v>59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66</v>
      </c>
      <c r="L17" s="672" t="s">
        <v>64</v>
      </c>
      <c r="M17" s="672" t="s">
        <v>2</v>
      </c>
      <c r="N17" s="672" t="s">
        <v>63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56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60</v>
      </c>
      <c r="AB17" s="686" t="s">
        <v>19</v>
      </c>
      <c r="AC17" s="686" t="s">
        <v>65</v>
      </c>
      <c r="AD17" s="688" t="s">
        <v>57</v>
      </c>
      <c r="AE17" s="689"/>
      <c r="AF17" s="690"/>
      <c r="AG17" s="82"/>
      <c r="BD17" s="81" t="s">
        <v>62</v>
      </c>
    </row>
    <row r="18" spans="1:68" ht="14.25" customHeight="1" x14ac:dyDescent="0.2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customHeight="1" x14ac:dyDescent="0.2">
      <c r="A19" s="694" t="s">
        <v>76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customHeight="1" x14ac:dyDescent="0.25">
      <c r="A20" s="695" t="s">
        <v>76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customHeight="1" x14ac:dyDescent="0.25">
      <c r="A21" s="696" t="s">
        <v>77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97">
        <v>4680115886643</v>
      </c>
      <c r="E22" s="69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97">
        <v>4680115889071</v>
      </c>
      <c r="E23" s="69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0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9"/>
      <c r="R23" s="699"/>
      <c r="S23" s="699"/>
      <c r="T23" s="70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05"/>
      <c r="B24" s="705"/>
      <c r="C24" s="705"/>
      <c r="D24" s="705"/>
      <c r="E24" s="705"/>
      <c r="F24" s="705"/>
      <c r="G24" s="705"/>
      <c r="H24" s="705"/>
      <c r="I24" s="705"/>
      <c r="J24" s="705"/>
      <c r="K24" s="705"/>
      <c r="L24" s="705"/>
      <c r="M24" s="705"/>
      <c r="N24" s="705"/>
      <c r="O24" s="706"/>
      <c r="P24" s="702" t="s">
        <v>40</v>
      </c>
      <c r="Q24" s="703"/>
      <c r="R24" s="703"/>
      <c r="S24" s="703"/>
      <c r="T24" s="703"/>
      <c r="U24" s="703"/>
      <c r="V24" s="70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05"/>
      <c r="B25" s="705"/>
      <c r="C25" s="705"/>
      <c r="D25" s="705"/>
      <c r="E25" s="705"/>
      <c r="F25" s="705"/>
      <c r="G25" s="705"/>
      <c r="H25" s="705"/>
      <c r="I25" s="705"/>
      <c r="J25" s="705"/>
      <c r="K25" s="705"/>
      <c r="L25" s="705"/>
      <c r="M25" s="705"/>
      <c r="N25" s="705"/>
      <c r="O25" s="706"/>
      <c r="P25" s="702" t="s">
        <v>40</v>
      </c>
      <c r="Q25" s="703"/>
      <c r="R25" s="703"/>
      <c r="S25" s="703"/>
      <c r="T25" s="703"/>
      <c r="U25" s="703"/>
      <c r="V25" s="70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96" t="s">
        <v>86</v>
      </c>
      <c r="B26" s="696"/>
      <c r="C26" s="696"/>
      <c r="D26" s="696"/>
      <c r="E26" s="696"/>
      <c r="F26" s="696"/>
      <c r="G26" s="696"/>
      <c r="H26" s="696"/>
      <c r="I26" s="696"/>
      <c r="J26" s="696"/>
      <c r="K26" s="696"/>
      <c r="L26" s="696"/>
      <c r="M26" s="696"/>
      <c r="N26" s="696"/>
      <c r="O26" s="696"/>
      <c r="P26" s="696"/>
      <c r="Q26" s="696"/>
      <c r="R26" s="696"/>
      <c r="S26" s="696"/>
      <c r="T26" s="696"/>
      <c r="U26" s="696"/>
      <c r="V26" s="696"/>
      <c r="W26" s="696"/>
      <c r="X26" s="696"/>
      <c r="Y26" s="696"/>
      <c r="Z26" s="696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97">
        <v>4680115885912</v>
      </c>
      <c r="E27" s="69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0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97">
        <v>4607091388237</v>
      </c>
      <c r="E28" s="69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97">
        <v>4680115887350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97">
        <v>4680115885905</v>
      </c>
      <c r="E30" s="69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1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97">
        <v>4680115887619</v>
      </c>
      <c r="E31" s="69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1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9"/>
      <c r="R31" s="699"/>
      <c r="S31" s="699"/>
      <c r="T31" s="70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05"/>
      <c r="B32" s="705"/>
      <c r="C32" s="705"/>
      <c r="D32" s="705"/>
      <c r="E32" s="705"/>
      <c r="F32" s="705"/>
      <c r="G32" s="705"/>
      <c r="H32" s="705"/>
      <c r="I32" s="705"/>
      <c r="J32" s="705"/>
      <c r="K32" s="705"/>
      <c r="L32" s="705"/>
      <c r="M32" s="705"/>
      <c r="N32" s="705"/>
      <c r="O32" s="706"/>
      <c r="P32" s="702" t="s">
        <v>40</v>
      </c>
      <c r="Q32" s="703"/>
      <c r="R32" s="703"/>
      <c r="S32" s="703"/>
      <c r="T32" s="703"/>
      <c r="U32" s="703"/>
      <c r="V32" s="70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05"/>
      <c r="B33" s="705"/>
      <c r="C33" s="705"/>
      <c r="D33" s="705"/>
      <c r="E33" s="705"/>
      <c r="F33" s="705"/>
      <c r="G33" s="705"/>
      <c r="H33" s="705"/>
      <c r="I33" s="705"/>
      <c r="J33" s="705"/>
      <c r="K33" s="705"/>
      <c r="L33" s="705"/>
      <c r="M33" s="705"/>
      <c r="N33" s="705"/>
      <c r="O33" s="706"/>
      <c r="P33" s="702" t="s">
        <v>40</v>
      </c>
      <c r="Q33" s="703"/>
      <c r="R33" s="703"/>
      <c r="S33" s="703"/>
      <c r="T33" s="703"/>
      <c r="U33" s="703"/>
      <c r="V33" s="70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96" t="s">
        <v>104</v>
      </c>
      <c r="B34" s="696"/>
      <c r="C34" s="696"/>
      <c r="D34" s="696"/>
      <c r="E34" s="696"/>
      <c r="F34" s="696"/>
      <c r="G34" s="696"/>
      <c r="H34" s="696"/>
      <c r="I34" s="696"/>
      <c r="J34" s="696"/>
      <c r="K34" s="696"/>
      <c r="L34" s="696"/>
      <c r="M34" s="696"/>
      <c r="N34" s="696"/>
      <c r="O34" s="696"/>
      <c r="P34" s="696"/>
      <c r="Q34" s="696"/>
      <c r="R34" s="696"/>
      <c r="S34" s="696"/>
      <c r="T34" s="696"/>
      <c r="U34" s="696"/>
      <c r="V34" s="696"/>
      <c r="W34" s="696"/>
      <c r="X34" s="696"/>
      <c r="Y34" s="696"/>
      <c r="Z34" s="696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97">
        <v>4607091388503</v>
      </c>
      <c r="E35" s="69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9"/>
      <c r="R35" s="699"/>
      <c r="S35" s="699"/>
      <c r="T35" s="70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705"/>
      <c r="B36" s="705"/>
      <c r="C36" s="705"/>
      <c r="D36" s="705"/>
      <c r="E36" s="705"/>
      <c r="F36" s="705"/>
      <c r="G36" s="705"/>
      <c r="H36" s="705"/>
      <c r="I36" s="705"/>
      <c r="J36" s="705"/>
      <c r="K36" s="705"/>
      <c r="L36" s="705"/>
      <c r="M36" s="705"/>
      <c r="N36" s="705"/>
      <c r="O36" s="706"/>
      <c r="P36" s="702" t="s">
        <v>40</v>
      </c>
      <c r="Q36" s="703"/>
      <c r="R36" s="703"/>
      <c r="S36" s="703"/>
      <c r="T36" s="703"/>
      <c r="U36" s="703"/>
      <c r="V36" s="70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705"/>
      <c r="B37" s="705"/>
      <c r="C37" s="705"/>
      <c r="D37" s="705"/>
      <c r="E37" s="705"/>
      <c r="F37" s="705"/>
      <c r="G37" s="705"/>
      <c r="H37" s="705"/>
      <c r="I37" s="705"/>
      <c r="J37" s="705"/>
      <c r="K37" s="705"/>
      <c r="L37" s="705"/>
      <c r="M37" s="705"/>
      <c r="N37" s="705"/>
      <c r="O37" s="706"/>
      <c r="P37" s="702" t="s">
        <v>40</v>
      </c>
      <c r="Q37" s="703"/>
      <c r="R37" s="703"/>
      <c r="S37" s="703"/>
      <c r="T37" s="703"/>
      <c r="U37" s="703"/>
      <c r="V37" s="70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94" t="s">
        <v>45</v>
      </c>
      <c r="B38" s="694"/>
      <c r="C38" s="694"/>
      <c r="D38" s="694"/>
      <c r="E38" s="694"/>
      <c r="F38" s="694"/>
      <c r="G38" s="694"/>
      <c r="H38" s="694"/>
      <c r="I38" s="694"/>
      <c r="J38" s="694"/>
      <c r="K38" s="694"/>
      <c r="L38" s="694"/>
      <c r="M38" s="694"/>
      <c r="N38" s="694"/>
      <c r="O38" s="694"/>
      <c r="P38" s="694"/>
      <c r="Q38" s="694"/>
      <c r="R38" s="694"/>
      <c r="S38" s="694"/>
      <c r="T38" s="694"/>
      <c r="U38" s="694"/>
      <c r="V38" s="694"/>
      <c r="W38" s="694"/>
      <c r="X38" s="694"/>
      <c r="Y38" s="694"/>
      <c r="Z38" s="694"/>
      <c r="AA38" s="54"/>
      <c r="AB38" s="54"/>
      <c r="AC38" s="54"/>
    </row>
    <row r="39" spans="1:68" ht="16.5" customHeight="1" x14ac:dyDescent="0.25">
      <c r="A39" s="695" t="s">
        <v>110</v>
      </c>
      <c r="B39" s="695"/>
      <c r="C39" s="695"/>
      <c r="D39" s="695"/>
      <c r="E39" s="695"/>
      <c r="F39" s="695"/>
      <c r="G39" s="695"/>
      <c r="H39" s="695"/>
      <c r="I39" s="695"/>
      <c r="J39" s="695"/>
      <c r="K39" s="695"/>
      <c r="L39" s="695"/>
      <c r="M39" s="695"/>
      <c r="N39" s="695"/>
      <c r="O39" s="695"/>
      <c r="P39" s="695"/>
      <c r="Q39" s="695"/>
      <c r="R39" s="695"/>
      <c r="S39" s="695"/>
      <c r="T39" s="695"/>
      <c r="U39" s="695"/>
      <c r="V39" s="695"/>
      <c r="W39" s="695"/>
      <c r="X39" s="695"/>
      <c r="Y39" s="695"/>
      <c r="Z39" s="695"/>
      <c r="AA39" s="65"/>
      <c r="AB39" s="65"/>
      <c r="AC39" s="79"/>
    </row>
    <row r="40" spans="1:68" ht="14.25" customHeight="1" x14ac:dyDescent="0.25">
      <c r="A40" s="696" t="s">
        <v>86</v>
      </c>
      <c r="B40" s="696"/>
      <c r="C40" s="696"/>
      <c r="D40" s="696"/>
      <c r="E40" s="696"/>
      <c r="F40" s="696"/>
      <c r="G40" s="696"/>
      <c r="H40" s="696"/>
      <c r="I40" s="696"/>
      <c r="J40" s="696"/>
      <c r="K40" s="696"/>
      <c r="L40" s="696"/>
      <c r="M40" s="696"/>
      <c r="N40" s="696"/>
      <c r="O40" s="696"/>
      <c r="P40" s="696"/>
      <c r="Q40" s="696"/>
      <c r="R40" s="696"/>
      <c r="S40" s="696"/>
      <c r="T40" s="696"/>
      <c r="U40" s="696"/>
      <c r="V40" s="696"/>
      <c r="W40" s="696"/>
      <c r="X40" s="696"/>
      <c r="Y40" s="696"/>
      <c r="Z40" s="696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97">
        <v>4680115889354</v>
      </c>
      <c r="E41" s="69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1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9"/>
      <c r="R41" s="699"/>
      <c r="S41" s="699"/>
      <c r="T41" s="70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97">
        <v>4680115888463</v>
      </c>
      <c r="E42" s="69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1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9"/>
      <c r="R42" s="699"/>
      <c r="S42" s="699"/>
      <c r="T42" s="70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97">
        <v>4680115888494</v>
      </c>
      <c r="E43" s="69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1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9"/>
      <c r="R43" s="699"/>
      <c r="S43" s="699"/>
      <c r="T43" s="70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97">
        <v>4680115888272</v>
      </c>
      <c r="E44" s="69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1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9"/>
      <c r="R44" s="699"/>
      <c r="S44" s="699"/>
      <c r="T44" s="70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97">
        <v>4680115888364</v>
      </c>
      <c r="E45" s="69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1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9"/>
      <c r="R45" s="699"/>
      <c r="S45" s="699"/>
      <c r="T45" s="70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05"/>
      <c r="B46" s="705"/>
      <c r="C46" s="705"/>
      <c r="D46" s="705"/>
      <c r="E46" s="705"/>
      <c r="F46" s="705"/>
      <c r="G46" s="705"/>
      <c r="H46" s="705"/>
      <c r="I46" s="705"/>
      <c r="J46" s="705"/>
      <c r="K46" s="705"/>
      <c r="L46" s="705"/>
      <c r="M46" s="705"/>
      <c r="N46" s="705"/>
      <c r="O46" s="706"/>
      <c r="P46" s="702" t="s">
        <v>40</v>
      </c>
      <c r="Q46" s="703"/>
      <c r="R46" s="703"/>
      <c r="S46" s="703"/>
      <c r="T46" s="703"/>
      <c r="U46" s="703"/>
      <c r="V46" s="70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705"/>
      <c r="B47" s="705"/>
      <c r="C47" s="705"/>
      <c r="D47" s="705"/>
      <c r="E47" s="705"/>
      <c r="F47" s="705"/>
      <c r="G47" s="705"/>
      <c r="H47" s="705"/>
      <c r="I47" s="705"/>
      <c r="J47" s="705"/>
      <c r="K47" s="705"/>
      <c r="L47" s="705"/>
      <c r="M47" s="705"/>
      <c r="N47" s="705"/>
      <c r="O47" s="706"/>
      <c r="P47" s="702" t="s">
        <v>40</v>
      </c>
      <c r="Q47" s="703"/>
      <c r="R47" s="703"/>
      <c r="S47" s="703"/>
      <c r="T47" s="703"/>
      <c r="U47" s="703"/>
      <c r="V47" s="70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94" t="s">
        <v>126</v>
      </c>
      <c r="B48" s="694"/>
      <c r="C48" s="694"/>
      <c r="D48" s="694"/>
      <c r="E48" s="694"/>
      <c r="F48" s="694"/>
      <c r="G48" s="694"/>
      <c r="H48" s="694"/>
      <c r="I48" s="694"/>
      <c r="J48" s="694"/>
      <c r="K48" s="694"/>
      <c r="L48" s="694"/>
      <c r="M48" s="694"/>
      <c r="N48" s="694"/>
      <c r="O48" s="694"/>
      <c r="P48" s="694"/>
      <c r="Q48" s="694"/>
      <c r="R48" s="694"/>
      <c r="S48" s="694"/>
      <c r="T48" s="694"/>
      <c r="U48" s="694"/>
      <c r="V48" s="694"/>
      <c r="W48" s="694"/>
      <c r="X48" s="694"/>
      <c r="Y48" s="694"/>
      <c r="Z48" s="694"/>
      <c r="AA48" s="54"/>
      <c r="AB48" s="54"/>
      <c r="AC48" s="54"/>
    </row>
    <row r="49" spans="1:68" ht="16.5" customHeight="1" x14ac:dyDescent="0.25">
      <c r="A49" s="695" t="s">
        <v>127</v>
      </c>
      <c r="B49" s="695"/>
      <c r="C49" s="695"/>
      <c r="D49" s="695"/>
      <c r="E49" s="695"/>
      <c r="F49" s="695"/>
      <c r="G49" s="695"/>
      <c r="H49" s="695"/>
      <c r="I49" s="695"/>
      <c r="J49" s="695"/>
      <c r="K49" s="695"/>
      <c r="L49" s="695"/>
      <c r="M49" s="695"/>
      <c r="N49" s="695"/>
      <c r="O49" s="695"/>
      <c r="P49" s="695"/>
      <c r="Q49" s="695"/>
      <c r="R49" s="695"/>
      <c r="S49" s="695"/>
      <c r="T49" s="695"/>
      <c r="U49" s="695"/>
      <c r="V49" s="695"/>
      <c r="W49" s="695"/>
      <c r="X49" s="695"/>
      <c r="Y49" s="695"/>
      <c r="Z49" s="695"/>
      <c r="AA49" s="65"/>
      <c r="AB49" s="65"/>
      <c r="AC49" s="79"/>
    </row>
    <row r="50" spans="1:68" ht="14.25" customHeight="1" x14ac:dyDescent="0.25">
      <c r="A50" s="696" t="s">
        <v>128</v>
      </c>
      <c r="B50" s="696"/>
      <c r="C50" s="696"/>
      <c r="D50" s="696"/>
      <c r="E50" s="696"/>
      <c r="F50" s="696"/>
      <c r="G50" s="696"/>
      <c r="H50" s="696"/>
      <c r="I50" s="696"/>
      <c r="J50" s="696"/>
      <c r="K50" s="696"/>
      <c r="L50" s="696"/>
      <c r="M50" s="696"/>
      <c r="N50" s="696"/>
      <c r="O50" s="696"/>
      <c r="P50" s="696"/>
      <c r="Q50" s="696"/>
      <c r="R50" s="696"/>
      <c r="S50" s="696"/>
      <c r="T50" s="696"/>
      <c r="U50" s="696"/>
      <c r="V50" s="696"/>
      <c r="W50" s="696"/>
      <c r="X50" s="696"/>
      <c r="Y50" s="696"/>
      <c r="Z50" s="696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97">
        <v>4607091385670</v>
      </c>
      <c r="E51" s="69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9"/>
      <c r="R51" s="699"/>
      <c r="S51" s="699"/>
      <c r="T51" s="700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697">
        <v>4680115887725</v>
      </c>
      <c r="E52" s="69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1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9"/>
      <c r="R52" s="699"/>
      <c r="S52" s="699"/>
      <c r="T52" s="70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97">
        <v>4607091385687</v>
      </c>
      <c r="E53" s="69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2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9"/>
      <c r="R53" s="699"/>
      <c r="S53" s="699"/>
      <c r="T53" s="70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697">
        <v>4680115882539</v>
      </c>
      <c r="E54" s="69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05"/>
      <c r="B55" s="705"/>
      <c r="C55" s="705"/>
      <c r="D55" s="705"/>
      <c r="E55" s="705"/>
      <c r="F55" s="705"/>
      <c r="G55" s="705"/>
      <c r="H55" s="705"/>
      <c r="I55" s="705"/>
      <c r="J55" s="705"/>
      <c r="K55" s="705"/>
      <c r="L55" s="705"/>
      <c r="M55" s="705"/>
      <c r="N55" s="705"/>
      <c r="O55" s="706"/>
      <c r="P55" s="702" t="s">
        <v>40</v>
      </c>
      <c r="Q55" s="703"/>
      <c r="R55" s="703"/>
      <c r="S55" s="703"/>
      <c r="T55" s="703"/>
      <c r="U55" s="703"/>
      <c r="V55" s="70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705"/>
      <c r="B56" s="705"/>
      <c r="C56" s="705"/>
      <c r="D56" s="705"/>
      <c r="E56" s="705"/>
      <c r="F56" s="705"/>
      <c r="G56" s="705"/>
      <c r="H56" s="705"/>
      <c r="I56" s="705"/>
      <c r="J56" s="705"/>
      <c r="K56" s="705"/>
      <c r="L56" s="705"/>
      <c r="M56" s="705"/>
      <c r="N56" s="705"/>
      <c r="O56" s="706"/>
      <c r="P56" s="702" t="s">
        <v>40</v>
      </c>
      <c r="Q56" s="703"/>
      <c r="R56" s="703"/>
      <c r="S56" s="703"/>
      <c r="T56" s="703"/>
      <c r="U56" s="703"/>
      <c r="V56" s="70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95" t="s">
        <v>143</v>
      </c>
      <c r="B57" s="695"/>
      <c r="C57" s="695"/>
      <c r="D57" s="695"/>
      <c r="E57" s="695"/>
      <c r="F57" s="695"/>
      <c r="G57" s="695"/>
      <c r="H57" s="695"/>
      <c r="I57" s="695"/>
      <c r="J57" s="695"/>
      <c r="K57" s="695"/>
      <c r="L57" s="695"/>
      <c r="M57" s="695"/>
      <c r="N57" s="695"/>
      <c r="O57" s="695"/>
      <c r="P57" s="695"/>
      <c r="Q57" s="695"/>
      <c r="R57" s="695"/>
      <c r="S57" s="695"/>
      <c r="T57" s="695"/>
      <c r="U57" s="695"/>
      <c r="V57" s="695"/>
      <c r="W57" s="695"/>
      <c r="X57" s="695"/>
      <c r="Y57" s="695"/>
      <c r="Z57" s="695"/>
      <c r="AA57" s="65"/>
      <c r="AB57" s="65"/>
      <c r="AC57" s="79"/>
    </row>
    <row r="58" spans="1:68" ht="14.25" customHeight="1" x14ac:dyDescent="0.25">
      <c r="A58" s="696" t="s">
        <v>128</v>
      </c>
      <c r="B58" s="696"/>
      <c r="C58" s="696"/>
      <c r="D58" s="696"/>
      <c r="E58" s="696"/>
      <c r="F58" s="696"/>
      <c r="G58" s="696"/>
      <c r="H58" s="696"/>
      <c r="I58" s="696"/>
      <c r="J58" s="696"/>
      <c r="K58" s="696"/>
      <c r="L58" s="696"/>
      <c r="M58" s="696"/>
      <c r="N58" s="696"/>
      <c r="O58" s="696"/>
      <c r="P58" s="696"/>
      <c r="Q58" s="696"/>
      <c r="R58" s="696"/>
      <c r="S58" s="696"/>
      <c r="T58" s="696"/>
      <c r="U58" s="696"/>
      <c r="V58" s="696"/>
      <c r="W58" s="696"/>
      <c r="X58" s="696"/>
      <c r="Y58" s="696"/>
      <c r="Z58" s="696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97">
        <v>4680115885882</v>
      </c>
      <c r="E59" s="69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2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697">
        <v>4680115885882</v>
      </c>
      <c r="E60" s="69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97">
        <v>4680115881426</v>
      </c>
      <c r="E61" s="69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2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97">
        <v>4680115880283</v>
      </c>
      <c r="E62" s="69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2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9"/>
      <c r="R62" s="699"/>
      <c r="S62" s="699"/>
      <c r="T62" s="70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697">
        <v>4680115880283</v>
      </c>
      <c r="E63" s="69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2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9"/>
      <c r="R63" s="699"/>
      <c r="S63" s="699"/>
      <c r="T63" s="70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697">
        <v>4680115881525</v>
      </c>
      <c r="E64" s="69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9"/>
      <c r="R64" s="699"/>
      <c r="S64" s="699"/>
      <c r="T64" s="70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697">
        <v>4680115885899</v>
      </c>
      <c r="E65" s="69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2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97">
        <v>4680115881419</v>
      </c>
      <c r="E66" s="69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05"/>
      <c r="B67" s="705"/>
      <c r="C67" s="705"/>
      <c r="D67" s="705"/>
      <c r="E67" s="705"/>
      <c r="F67" s="705"/>
      <c r="G67" s="705"/>
      <c r="H67" s="705"/>
      <c r="I67" s="705"/>
      <c r="J67" s="705"/>
      <c r="K67" s="705"/>
      <c r="L67" s="705"/>
      <c r="M67" s="705"/>
      <c r="N67" s="705"/>
      <c r="O67" s="706"/>
      <c r="P67" s="702" t="s">
        <v>40</v>
      </c>
      <c r="Q67" s="703"/>
      <c r="R67" s="703"/>
      <c r="S67" s="703"/>
      <c r="T67" s="703"/>
      <c r="U67" s="703"/>
      <c r="V67" s="70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705"/>
      <c r="B68" s="705"/>
      <c r="C68" s="705"/>
      <c r="D68" s="705"/>
      <c r="E68" s="705"/>
      <c r="F68" s="705"/>
      <c r="G68" s="705"/>
      <c r="H68" s="705"/>
      <c r="I68" s="705"/>
      <c r="J68" s="705"/>
      <c r="K68" s="705"/>
      <c r="L68" s="705"/>
      <c r="M68" s="705"/>
      <c r="N68" s="705"/>
      <c r="O68" s="706"/>
      <c r="P68" s="702" t="s">
        <v>40</v>
      </c>
      <c r="Q68" s="703"/>
      <c r="R68" s="703"/>
      <c r="S68" s="703"/>
      <c r="T68" s="703"/>
      <c r="U68" s="703"/>
      <c r="V68" s="70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696" t="s">
        <v>164</v>
      </c>
      <c r="B69" s="696"/>
      <c r="C69" s="696"/>
      <c r="D69" s="696"/>
      <c r="E69" s="696"/>
      <c r="F69" s="696"/>
      <c r="G69" s="696"/>
      <c r="H69" s="696"/>
      <c r="I69" s="696"/>
      <c r="J69" s="696"/>
      <c r="K69" s="696"/>
      <c r="L69" s="696"/>
      <c r="M69" s="696"/>
      <c r="N69" s="696"/>
      <c r="O69" s="696"/>
      <c r="P69" s="696"/>
      <c r="Q69" s="696"/>
      <c r="R69" s="696"/>
      <c r="S69" s="696"/>
      <c r="T69" s="696"/>
      <c r="U69" s="696"/>
      <c r="V69" s="696"/>
      <c r="W69" s="696"/>
      <c r="X69" s="696"/>
      <c r="Y69" s="696"/>
      <c r="Z69" s="696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97">
        <v>4680115881440</v>
      </c>
      <c r="E70" s="69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3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9"/>
      <c r="R70" s="699"/>
      <c r="S70" s="699"/>
      <c r="T70" s="70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697">
        <v>4680115885950</v>
      </c>
      <c r="E71" s="69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3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9"/>
      <c r="R71" s="699"/>
      <c r="S71" s="699"/>
      <c r="T71" s="70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697">
        <v>4680115887688</v>
      </c>
      <c r="E72" s="69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3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97">
        <v>4680115881433</v>
      </c>
      <c r="E73" s="69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3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05"/>
      <c r="B74" s="705"/>
      <c r="C74" s="705"/>
      <c r="D74" s="705"/>
      <c r="E74" s="705"/>
      <c r="F74" s="705"/>
      <c r="G74" s="705"/>
      <c r="H74" s="705"/>
      <c r="I74" s="705"/>
      <c r="J74" s="705"/>
      <c r="K74" s="705"/>
      <c r="L74" s="705"/>
      <c r="M74" s="705"/>
      <c r="N74" s="705"/>
      <c r="O74" s="706"/>
      <c r="P74" s="702" t="s">
        <v>40</v>
      </c>
      <c r="Q74" s="703"/>
      <c r="R74" s="703"/>
      <c r="S74" s="703"/>
      <c r="T74" s="703"/>
      <c r="U74" s="703"/>
      <c r="V74" s="70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705"/>
      <c r="B75" s="705"/>
      <c r="C75" s="705"/>
      <c r="D75" s="705"/>
      <c r="E75" s="705"/>
      <c r="F75" s="705"/>
      <c r="G75" s="705"/>
      <c r="H75" s="705"/>
      <c r="I75" s="705"/>
      <c r="J75" s="705"/>
      <c r="K75" s="705"/>
      <c r="L75" s="705"/>
      <c r="M75" s="705"/>
      <c r="N75" s="705"/>
      <c r="O75" s="706"/>
      <c r="P75" s="702" t="s">
        <v>40</v>
      </c>
      <c r="Q75" s="703"/>
      <c r="R75" s="703"/>
      <c r="S75" s="703"/>
      <c r="T75" s="703"/>
      <c r="U75" s="703"/>
      <c r="V75" s="70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96" t="s">
        <v>86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697">
        <v>4680115884311</v>
      </c>
      <c r="E77" s="69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697">
        <v>4680115884403</v>
      </c>
      <c r="E78" s="69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05"/>
      <c r="B79" s="705"/>
      <c r="C79" s="705"/>
      <c r="D79" s="705"/>
      <c r="E79" s="705"/>
      <c r="F79" s="705"/>
      <c r="G79" s="705"/>
      <c r="H79" s="705"/>
      <c r="I79" s="705"/>
      <c r="J79" s="705"/>
      <c r="K79" s="705"/>
      <c r="L79" s="705"/>
      <c r="M79" s="705"/>
      <c r="N79" s="705"/>
      <c r="O79" s="706"/>
      <c r="P79" s="702" t="s">
        <v>40</v>
      </c>
      <c r="Q79" s="703"/>
      <c r="R79" s="703"/>
      <c r="S79" s="703"/>
      <c r="T79" s="703"/>
      <c r="U79" s="703"/>
      <c r="V79" s="70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705"/>
      <c r="B80" s="705"/>
      <c r="C80" s="705"/>
      <c r="D80" s="705"/>
      <c r="E80" s="705"/>
      <c r="F80" s="705"/>
      <c r="G80" s="705"/>
      <c r="H80" s="705"/>
      <c r="I80" s="705"/>
      <c r="J80" s="705"/>
      <c r="K80" s="705"/>
      <c r="L80" s="705"/>
      <c r="M80" s="705"/>
      <c r="N80" s="705"/>
      <c r="O80" s="706"/>
      <c r="P80" s="702" t="s">
        <v>40</v>
      </c>
      <c r="Q80" s="703"/>
      <c r="R80" s="703"/>
      <c r="S80" s="703"/>
      <c r="T80" s="703"/>
      <c r="U80" s="703"/>
      <c r="V80" s="70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96" t="s">
        <v>181</v>
      </c>
      <c r="B81" s="696"/>
      <c r="C81" s="696"/>
      <c r="D81" s="696"/>
      <c r="E81" s="696"/>
      <c r="F81" s="696"/>
      <c r="G81" s="696"/>
      <c r="H81" s="696"/>
      <c r="I81" s="696"/>
      <c r="J81" s="696"/>
      <c r="K81" s="696"/>
      <c r="L81" s="696"/>
      <c r="M81" s="696"/>
      <c r="N81" s="696"/>
      <c r="O81" s="696"/>
      <c r="P81" s="696"/>
      <c r="Q81" s="696"/>
      <c r="R81" s="696"/>
      <c r="S81" s="696"/>
      <c r="T81" s="696"/>
      <c r="U81" s="696"/>
      <c r="V81" s="696"/>
      <c r="W81" s="696"/>
      <c r="X81" s="696"/>
      <c r="Y81" s="696"/>
      <c r="Z81" s="696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697">
        <v>4680115881532</v>
      </c>
      <c r="E82" s="69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9"/>
      <c r="R82" s="699"/>
      <c r="S82" s="699"/>
      <c r="T82" s="70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697">
        <v>4680115881464</v>
      </c>
      <c r="E83" s="69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9"/>
      <c r="R83" s="699"/>
      <c r="S83" s="699"/>
      <c r="T83" s="70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05"/>
      <c r="B84" s="705"/>
      <c r="C84" s="705"/>
      <c r="D84" s="705"/>
      <c r="E84" s="705"/>
      <c r="F84" s="705"/>
      <c r="G84" s="705"/>
      <c r="H84" s="705"/>
      <c r="I84" s="705"/>
      <c r="J84" s="705"/>
      <c r="K84" s="705"/>
      <c r="L84" s="705"/>
      <c r="M84" s="705"/>
      <c r="N84" s="705"/>
      <c r="O84" s="706"/>
      <c r="P84" s="702" t="s">
        <v>40</v>
      </c>
      <c r="Q84" s="703"/>
      <c r="R84" s="703"/>
      <c r="S84" s="703"/>
      <c r="T84" s="703"/>
      <c r="U84" s="703"/>
      <c r="V84" s="70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705"/>
      <c r="B85" s="705"/>
      <c r="C85" s="705"/>
      <c r="D85" s="705"/>
      <c r="E85" s="705"/>
      <c r="F85" s="705"/>
      <c r="G85" s="705"/>
      <c r="H85" s="705"/>
      <c r="I85" s="705"/>
      <c r="J85" s="705"/>
      <c r="K85" s="705"/>
      <c r="L85" s="705"/>
      <c r="M85" s="705"/>
      <c r="N85" s="705"/>
      <c r="O85" s="706"/>
      <c r="P85" s="702" t="s">
        <v>40</v>
      </c>
      <c r="Q85" s="703"/>
      <c r="R85" s="703"/>
      <c r="S85" s="703"/>
      <c r="T85" s="703"/>
      <c r="U85" s="703"/>
      <c r="V85" s="70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95" t="s">
        <v>188</v>
      </c>
      <c r="B86" s="695"/>
      <c r="C86" s="695"/>
      <c r="D86" s="695"/>
      <c r="E86" s="695"/>
      <c r="F86" s="695"/>
      <c r="G86" s="695"/>
      <c r="H86" s="695"/>
      <c r="I86" s="695"/>
      <c r="J86" s="695"/>
      <c r="K86" s="695"/>
      <c r="L86" s="695"/>
      <c r="M86" s="695"/>
      <c r="N86" s="695"/>
      <c r="O86" s="695"/>
      <c r="P86" s="695"/>
      <c r="Q86" s="695"/>
      <c r="R86" s="695"/>
      <c r="S86" s="695"/>
      <c r="T86" s="695"/>
      <c r="U86" s="695"/>
      <c r="V86" s="695"/>
      <c r="W86" s="695"/>
      <c r="X86" s="695"/>
      <c r="Y86" s="695"/>
      <c r="Z86" s="695"/>
      <c r="AA86" s="65"/>
      <c r="AB86" s="65"/>
      <c r="AC86" s="79"/>
    </row>
    <row r="87" spans="1:68" ht="14.25" customHeight="1" x14ac:dyDescent="0.25">
      <c r="A87" s="696" t="s">
        <v>128</v>
      </c>
      <c r="B87" s="696"/>
      <c r="C87" s="696"/>
      <c r="D87" s="696"/>
      <c r="E87" s="696"/>
      <c r="F87" s="696"/>
      <c r="G87" s="696"/>
      <c r="H87" s="696"/>
      <c r="I87" s="696"/>
      <c r="J87" s="696"/>
      <c r="K87" s="696"/>
      <c r="L87" s="696"/>
      <c r="M87" s="696"/>
      <c r="N87" s="696"/>
      <c r="O87" s="696"/>
      <c r="P87" s="696"/>
      <c r="Q87" s="696"/>
      <c r="R87" s="696"/>
      <c r="S87" s="696"/>
      <c r="T87" s="696"/>
      <c r="U87" s="696"/>
      <c r="V87" s="696"/>
      <c r="W87" s="696"/>
      <c r="X87" s="696"/>
      <c r="Y87" s="696"/>
      <c r="Z87" s="696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97">
        <v>4680115881327</v>
      </c>
      <c r="E88" s="69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697">
        <v>4680115887732</v>
      </c>
      <c r="E89" s="69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3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697">
        <v>4680115881518</v>
      </c>
      <c r="E90" s="69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9"/>
      <c r="R90" s="699"/>
      <c r="S90" s="699"/>
      <c r="T90" s="70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97">
        <v>4680115881303</v>
      </c>
      <c r="E91" s="69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9"/>
      <c r="R91" s="699"/>
      <c r="S91" s="699"/>
      <c r="T91" s="70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05"/>
      <c r="B92" s="705"/>
      <c r="C92" s="705"/>
      <c r="D92" s="705"/>
      <c r="E92" s="705"/>
      <c r="F92" s="705"/>
      <c r="G92" s="705"/>
      <c r="H92" s="705"/>
      <c r="I92" s="705"/>
      <c r="J92" s="705"/>
      <c r="K92" s="705"/>
      <c r="L92" s="705"/>
      <c r="M92" s="705"/>
      <c r="N92" s="705"/>
      <c r="O92" s="706"/>
      <c r="P92" s="702" t="s">
        <v>40</v>
      </c>
      <c r="Q92" s="703"/>
      <c r="R92" s="703"/>
      <c r="S92" s="703"/>
      <c r="T92" s="703"/>
      <c r="U92" s="703"/>
      <c r="V92" s="70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705"/>
      <c r="B93" s="705"/>
      <c r="C93" s="705"/>
      <c r="D93" s="705"/>
      <c r="E93" s="705"/>
      <c r="F93" s="705"/>
      <c r="G93" s="705"/>
      <c r="H93" s="705"/>
      <c r="I93" s="705"/>
      <c r="J93" s="705"/>
      <c r="K93" s="705"/>
      <c r="L93" s="705"/>
      <c r="M93" s="705"/>
      <c r="N93" s="705"/>
      <c r="O93" s="706"/>
      <c r="P93" s="702" t="s">
        <v>40</v>
      </c>
      <c r="Q93" s="703"/>
      <c r="R93" s="703"/>
      <c r="S93" s="703"/>
      <c r="T93" s="703"/>
      <c r="U93" s="703"/>
      <c r="V93" s="70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696" t="s">
        <v>86</v>
      </c>
      <c r="B94" s="696"/>
      <c r="C94" s="696"/>
      <c r="D94" s="696"/>
      <c r="E94" s="696"/>
      <c r="F94" s="696"/>
      <c r="G94" s="696"/>
      <c r="H94" s="696"/>
      <c r="I94" s="696"/>
      <c r="J94" s="696"/>
      <c r="K94" s="696"/>
      <c r="L94" s="696"/>
      <c r="M94" s="696"/>
      <c r="N94" s="696"/>
      <c r="O94" s="696"/>
      <c r="P94" s="696"/>
      <c r="Q94" s="696"/>
      <c r="R94" s="696"/>
      <c r="S94" s="696"/>
      <c r="T94" s="696"/>
      <c r="U94" s="696"/>
      <c r="V94" s="696"/>
      <c r="W94" s="696"/>
      <c r="X94" s="696"/>
      <c r="Y94" s="696"/>
      <c r="Z94" s="696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97">
        <v>4607091386967</v>
      </c>
      <c r="E95" s="69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4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697">
        <v>4680115884953</v>
      </c>
      <c r="E96" s="69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4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697">
        <v>4607091385731</v>
      </c>
      <c r="E97" s="69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4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9"/>
      <c r="R97" s="699"/>
      <c r="S97" s="699"/>
      <c r="T97" s="70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697">
        <v>4680115880894</v>
      </c>
      <c r="E98" s="69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4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9"/>
      <c r="R98" s="699"/>
      <c r="S98" s="699"/>
      <c r="T98" s="70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05"/>
      <c r="B99" s="705"/>
      <c r="C99" s="705"/>
      <c r="D99" s="705"/>
      <c r="E99" s="705"/>
      <c r="F99" s="705"/>
      <c r="G99" s="705"/>
      <c r="H99" s="705"/>
      <c r="I99" s="705"/>
      <c r="J99" s="705"/>
      <c r="K99" s="705"/>
      <c r="L99" s="705"/>
      <c r="M99" s="705"/>
      <c r="N99" s="705"/>
      <c r="O99" s="706"/>
      <c r="P99" s="702" t="s">
        <v>40</v>
      </c>
      <c r="Q99" s="703"/>
      <c r="R99" s="703"/>
      <c r="S99" s="703"/>
      <c r="T99" s="703"/>
      <c r="U99" s="703"/>
      <c r="V99" s="70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705"/>
      <c r="B100" s="705"/>
      <c r="C100" s="705"/>
      <c r="D100" s="705"/>
      <c r="E100" s="705"/>
      <c r="F100" s="705"/>
      <c r="G100" s="705"/>
      <c r="H100" s="705"/>
      <c r="I100" s="705"/>
      <c r="J100" s="705"/>
      <c r="K100" s="705"/>
      <c r="L100" s="705"/>
      <c r="M100" s="705"/>
      <c r="N100" s="705"/>
      <c r="O100" s="706"/>
      <c r="P100" s="702" t="s">
        <v>40</v>
      </c>
      <c r="Q100" s="703"/>
      <c r="R100" s="703"/>
      <c r="S100" s="703"/>
      <c r="T100" s="703"/>
      <c r="U100" s="703"/>
      <c r="V100" s="70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95" t="s">
        <v>209</v>
      </c>
      <c r="B101" s="695"/>
      <c r="C101" s="695"/>
      <c r="D101" s="695"/>
      <c r="E101" s="695"/>
      <c r="F101" s="695"/>
      <c r="G101" s="695"/>
      <c r="H101" s="695"/>
      <c r="I101" s="695"/>
      <c r="J101" s="695"/>
      <c r="K101" s="695"/>
      <c r="L101" s="695"/>
      <c r="M101" s="695"/>
      <c r="N101" s="695"/>
      <c r="O101" s="695"/>
      <c r="P101" s="695"/>
      <c r="Q101" s="695"/>
      <c r="R101" s="695"/>
      <c r="S101" s="695"/>
      <c r="T101" s="695"/>
      <c r="U101" s="695"/>
      <c r="V101" s="695"/>
      <c r="W101" s="695"/>
      <c r="X101" s="695"/>
      <c r="Y101" s="695"/>
      <c r="Z101" s="695"/>
      <c r="AA101" s="65"/>
      <c r="AB101" s="65"/>
      <c r="AC101" s="79"/>
    </row>
    <row r="102" spans="1:68" ht="14.25" customHeight="1" x14ac:dyDescent="0.25">
      <c r="A102" s="696" t="s">
        <v>128</v>
      </c>
      <c r="B102" s="696"/>
      <c r="C102" s="696"/>
      <c r="D102" s="696"/>
      <c r="E102" s="696"/>
      <c r="F102" s="696"/>
      <c r="G102" s="696"/>
      <c r="H102" s="696"/>
      <c r="I102" s="696"/>
      <c r="J102" s="696"/>
      <c r="K102" s="696"/>
      <c r="L102" s="696"/>
      <c r="M102" s="696"/>
      <c r="N102" s="696"/>
      <c r="O102" s="696"/>
      <c r="P102" s="696"/>
      <c r="Q102" s="696"/>
      <c r="R102" s="696"/>
      <c r="S102" s="696"/>
      <c r="T102" s="696"/>
      <c r="U102" s="696"/>
      <c r="V102" s="696"/>
      <c r="W102" s="696"/>
      <c r="X102" s="696"/>
      <c r="Y102" s="696"/>
      <c r="Z102" s="696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97">
        <v>4680115882133</v>
      </c>
      <c r="E103" s="69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4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697">
        <v>4680115887718</v>
      </c>
      <c r="E104" s="69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4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697">
        <v>4680115887718</v>
      </c>
      <c r="E105" s="69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4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697">
        <v>4680115880269</v>
      </c>
      <c r="E106" s="69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4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697">
        <v>4680115880429</v>
      </c>
      <c r="E107" s="69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697">
        <v>4680115881457</v>
      </c>
      <c r="E108" s="69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9"/>
      <c r="R108" s="699"/>
      <c r="S108" s="699"/>
      <c r="T108" s="70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05"/>
      <c r="B109" s="705"/>
      <c r="C109" s="705"/>
      <c r="D109" s="705"/>
      <c r="E109" s="705"/>
      <c r="F109" s="705"/>
      <c r="G109" s="705"/>
      <c r="H109" s="705"/>
      <c r="I109" s="705"/>
      <c r="J109" s="705"/>
      <c r="K109" s="705"/>
      <c r="L109" s="705"/>
      <c r="M109" s="705"/>
      <c r="N109" s="705"/>
      <c r="O109" s="706"/>
      <c r="P109" s="702" t="s">
        <v>40</v>
      </c>
      <c r="Q109" s="703"/>
      <c r="R109" s="703"/>
      <c r="S109" s="703"/>
      <c r="T109" s="703"/>
      <c r="U109" s="703"/>
      <c r="V109" s="70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705"/>
      <c r="B110" s="705"/>
      <c r="C110" s="705"/>
      <c r="D110" s="705"/>
      <c r="E110" s="705"/>
      <c r="F110" s="705"/>
      <c r="G110" s="705"/>
      <c r="H110" s="705"/>
      <c r="I110" s="705"/>
      <c r="J110" s="705"/>
      <c r="K110" s="705"/>
      <c r="L110" s="705"/>
      <c r="M110" s="705"/>
      <c r="N110" s="705"/>
      <c r="O110" s="706"/>
      <c r="P110" s="702" t="s">
        <v>40</v>
      </c>
      <c r="Q110" s="703"/>
      <c r="R110" s="703"/>
      <c r="S110" s="703"/>
      <c r="T110" s="703"/>
      <c r="U110" s="703"/>
      <c r="V110" s="70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696" t="s">
        <v>164</v>
      </c>
      <c r="B111" s="696"/>
      <c r="C111" s="696"/>
      <c r="D111" s="696"/>
      <c r="E111" s="696"/>
      <c r="F111" s="696"/>
      <c r="G111" s="696"/>
      <c r="H111" s="696"/>
      <c r="I111" s="696"/>
      <c r="J111" s="696"/>
      <c r="K111" s="696"/>
      <c r="L111" s="696"/>
      <c r="M111" s="696"/>
      <c r="N111" s="696"/>
      <c r="O111" s="696"/>
      <c r="P111" s="696"/>
      <c r="Q111" s="696"/>
      <c r="R111" s="696"/>
      <c r="S111" s="696"/>
      <c r="T111" s="696"/>
      <c r="U111" s="696"/>
      <c r="V111" s="696"/>
      <c r="W111" s="696"/>
      <c r="X111" s="696"/>
      <c r="Y111" s="696"/>
      <c r="Z111" s="696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697">
        <v>4680115881488</v>
      </c>
      <c r="E112" s="69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5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99"/>
      <c r="R112" s="699"/>
      <c r="S112" s="699"/>
      <c r="T112" s="70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697">
        <v>4680115887664</v>
      </c>
      <c r="E113" s="697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697">
        <v>4680115887664</v>
      </c>
      <c r="E114" s="697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5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697">
        <v>4680115882775</v>
      </c>
      <c r="E115" s="697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697">
        <v>4680115880658</v>
      </c>
      <c r="E116" s="697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5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99"/>
      <c r="R116" s="699"/>
      <c r="S116" s="699"/>
      <c r="T116" s="70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705"/>
      <c r="B117" s="705"/>
      <c r="C117" s="705"/>
      <c r="D117" s="705"/>
      <c r="E117" s="705"/>
      <c r="F117" s="705"/>
      <c r="G117" s="705"/>
      <c r="H117" s="705"/>
      <c r="I117" s="705"/>
      <c r="J117" s="705"/>
      <c r="K117" s="705"/>
      <c r="L117" s="705"/>
      <c r="M117" s="705"/>
      <c r="N117" s="705"/>
      <c r="O117" s="706"/>
      <c r="P117" s="702" t="s">
        <v>40</v>
      </c>
      <c r="Q117" s="703"/>
      <c r="R117" s="703"/>
      <c r="S117" s="703"/>
      <c r="T117" s="703"/>
      <c r="U117" s="703"/>
      <c r="V117" s="70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705"/>
      <c r="B118" s="705"/>
      <c r="C118" s="705"/>
      <c r="D118" s="705"/>
      <c r="E118" s="705"/>
      <c r="F118" s="705"/>
      <c r="G118" s="705"/>
      <c r="H118" s="705"/>
      <c r="I118" s="705"/>
      <c r="J118" s="705"/>
      <c r="K118" s="705"/>
      <c r="L118" s="705"/>
      <c r="M118" s="705"/>
      <c r="N118" s="705"/>
      <c r="O118" s="706"/>
      <c r="P118" s="702" t="s">
        <v>40</v>
      </c>
      <c r="Q118" s="703"/>
      <c r="R118" s="703"/>
      <c r="S118" s="703"/>
      <c r="T118" s="703"/>
      <c r="U118" s="703"/>
      <c r="V118" s="70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696" t="s">
        <v>86</v>
      </c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6"/>
      <c r="P119" s="696"/>
      <c r="Q119" s="696"/>
      <c r="R119" s="696"/>
      <c r="S119" s="696"/>
      <c r="T119" s="696"/>
      <c r="U119" s="696"/>
      <c r="V119" s="696"/>
      <c r="W119" s="696"/>
      <c r="X119" s="696"/>
      <c r="Y119" s="696"/>
      <c r="Z119" s="696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97">
        <v>4607091385168</v>
      </c>
      <c r="E120" s="697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5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697">
        <v>4607091383256</v>
      </c>
      <c r="E121" s="697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5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97">
        <v>4607091385748</v>
      </c>
      <c r="E122" s="697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5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97">
        <v>4680115884533</v>
      </c>
      <c r="E123" s="697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99"/>
      <c r="R123" s="699"/>
      <c r="S123" s="699"/>
      <c r="T123" s="70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05"/>
      <c r="B124" s="705"/>
      <c r="C124" s="705"/>
      <c r="D124" s="705"/>
      <c r="E124" s="705"/>
      <c r="F124" s="705"/>
      <c r="G124" s="705"/>
      <c r="H124" s="705"/>
      <c r="I124" s="705"/>
      <c r="J124" s="705"/>
      <c r="K124" s="705"/>
      <c r="L124" s="705"/>
      <c r="M124" s="705"/>
      <c r="N124" s="705"/>
      <c r="O124" s="706"/>
      <c r="P124" s="702" t="s">
        <v>40</v>
      </c>
      <c r="Q124" s="703"/>
      <c r="R124" s="703"/>
      <c r="S124" s="703"/>
      <c r="T124" s="703"/>
      <c r="U124" s="703"/>
      <c r="V124" s="70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x14ac:dyDescent="0.2">
      <c r="A125" s="705"/>
      <c r="B125" s="705"/>
      <c r="C125" s="705"/>
      <c r="D125" s="705"/>
      <c r="E125" s="705"/>
      <c r="F125" s="705"/>
      <c r="G125" s="705"/>
      <c r="H125" s="705"/>
      <c r="I125" s="705"/>
      <c r="J125" s="705"/>
      <c r="K125" s="705"/>
      <c r="L125" s="705"/>
      <c r="M125" s="705"/>
      <c r="N125" s="705"/>
      <c r="O125" s="706"/>
      <c r="P125" s="702" t="s">
        <v>40</v>
      </c>
      <c r="Q125" s="703"/>
      <c r="R125" s="703"/>
      <c r="S125" s="703"/>
      <c r="T125" s="703"/>
      <c r="U125" s="703"/>
      <c r="V125" s="70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customHeight="1" x14ac:dyDescent="0.25">
      <c r="A126" s="696" t="s">
        <v>181</v>
      </c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6"/>
      <c r="P126" s="696"/>
      <c r="Q126" s="696"/>
      <c r="R126" s="696"/>
      <c r="S126" s="696"/>
      <c r="T126" s="696"/>
      <c r="U126" s="696"/>
      <c r="V126" s="696"/>
      <c r="W126" s="696"/>
      <c r="X126" s="696"/>
      <c r="Y126" s="696"/>
      <c r="Z126" s="696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697">
        <v>4680115880238</v>
      </c>
      <c r="E127" s="697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99"/>
      <c r="R127" s="699"/>
      <c r="S127" s="699"/>
      <c r="T127" s="700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705"/>
      <c r="B128" s="705"/>
      <c r="C128" s="705"/>
      <c r="D128" s="705"/>
      <c r="E128" s="705"/>
      <c r="F128" s="705"/>
      <c r="G128" s="705"/>
      <c r="H128" s="705"/>
      <c r="I128" s="705"/>
      <c r="J128" s="705"/>
      <c r="K128" s="705"/>
      <c r="L128" s="705"/>
      <c r="M128" s="705"/>
      <c r="N128" s="705"/>
      <c r="O128" s="706"/>
      <c r="P128" s="702" t="s">
        <v>40</v>
      </c>
      <c r="Q128" s="703"/>
      <c r="R128" s="703"/>
      <c r="S128" s="703"/>
      <c r="T128" s="703"/>
      <c r="U128" s="703"/>
      <c r="V128" s="70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705"/>
      <c r="B129" s="705"/>
      <c r="C129" s="705"/>
      <c r="D129" s="705"/>
      <c r="E129" s="705"/>
      <c r="F129" s="705"/>
      <c r="G129" s="705"/>
      <c r="H129" s="705"/>
      <c r="I129" s="705"/>
      <c r="J129" s="705"/>
      <c r="K129" s="705"/>
      <c r="L129" s="705"/>
      <c r="M129" s="705"/>
      <c r="N129" s="705"/>
      <c r="O129" s="706"/>
      <c r="P129" s="702" t="s">
        <v>40</v>
      </c>
      <c r="Q129" s="703"/>
      <c r="R129" s="703"/>
      <c r="S129" s="703"/>
      <c r="T129" s="703"/>
      <c r="U129" s="703"/>
      <c r="V129" s="70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695" t="s">
        <v>248</v>
      </c>
      <c r="B130" s="695"/>
      <c r="C130" s="695"/>
      <c r="D130" s="695"/>
      <c r="E130" s="695"/>
      <c r="F130" s="695"/>
      <c r="G130" s="695"/>
      <c r="H130" s="695"/>
      <c r="I130" s="695"/>
      <c r="J130" s="695"/>
      <c r="K130" s="695"/>
      <c r="L130" s="695"/>
      <c r="M130" s="695"/>
      <c r="N130" s="695"/>
      <c r="O130" s="695"/>
      <c r="P130" s="695"/>
      <c r="Q130" s="695"/>
      <c r="R130" s="695"/>
      <c r="S130" s="695"/>
      <c r="T130" s="695"/>
      <c r="U130" s="695"/>
      <c r="V130" s="695"/>
      <c r="W130" s="695"/>
      <c r="X130" s="695"/>
      <c r="Y130" s="695"/>
      <c r="Z130" s="695"/>
      <c r="AA130" s="65"/>
      <c r="AB130" s="65"/>
      <c r="AC130" s="79"/>
    </row>
    <row r="131" spans="1:68" ht="14.25" customHeight="1" x14ac:dyDescent="0.25">
      <c r="A131" s="696" t="s">
        <v>128</v>
      </c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6"/>
      <c r="P131" s="696"/>
      <c r="Q131" s="696"/>
      <c r="R131" s="696"/>
      <c r="S131" s="696"/>
      <c r="T131" s="696"/>
      <c r="U131" s="696"/>
      <c r="V131" s="696"/>
      <c r="W131" s="696"/>
      <c r="X131" s="696"/>
      <c r="Y131" s="696"/>
      <c r="Z131" s="696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4301011562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109</v>
      </c>
      <c r="N132" s="38"/>
      <c r="O132" s="37">
        <v>90</v>
      </c>
      <c r="P132" s="7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249</v>
      </c>
      <c r="B133" s="63" t="s">
        <v>252</v>
      </c>
      <c r="C133" s="36">
        <v>4301011564</v>
      </c>
      <c r="D133" s="697">
        <v>4680115882577</v>
      </c>
      <c r="E133" s="697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109</v>
      </c>
      <c r="N133" s="38"/>
      <c r="O133" s="37">
        <v>90</v>
      </c>
      <c r="P133" s="7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99"/>
      <c r="R133" s="699"/>
      <c r="S133" s="699"/>
      <c r="T133" s="700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705"/>
      <c r="B134" s="705"/>
      <c r="C134" s="705"/>
      <c r="D134" s="705"/>
      <c r="E134" s="705"/>
      <c r="F134" s="705"/>
      <c r="G134" s="705"/>
      <c r="H134" s="705"/>
      <c r="I134" s="705"/>
      <c r="J134" s="705"/>
      <c r="K134" s="705"/>
      <c r="L134" s="705"/>
      <c r="M134" s="705"/>
      <c r="N134" s="705"/>
      <c r="O134" s="706"/>
      <c r="P134" s="702" t="s">
        <v>40</v>
      </c>
      <c r="Q134" s="703"/>
      <c r="R134" s="703"/>
      <c r="S134" s="703"/>
      <c r="T134" s="703"/>
      <c r="U134" s="703"/>
      <c r="V134" s="704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705"/>
      <c r="B135" s="705"/>
      <c r="C135" s="705"/>
      <c r="D135" s="705"/>
      <c r="E135" s="705"/>
      <c r="F135" s="705"/>
      <c r="G135" s="705"/>
      <c r="H135" s="705"/>
      <c r="I135" s="705"/>
      <c r="J135" s="705"/>
      <c r="K135" s="705"/>
      <c r="L135" s="705"/>
      <c r="M135" s="705"/>
      <c r="N135" s="705"/>
      <c r="O135" s="706"/>
      <c r="P135" s="702" t="s">
        <v>40</v>
      </c>
      <c r="Q135" s="703"/>
      <c r="R135" s="703"/>
      <c r="S135" s="703"/>
      <c r="T135" s="703"/>
      <c r="U135" s="703"/>
      <c r="V135" s="704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96" t="s">
        <v>77</v>
      </c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6"/>
      <c r="P136" s="696"/>
      <c r="Q136" s="696"/>
      <c r="R136" s="696"/>
      <c r="S136" s="696"/>
      <c r="T136" s="696"/>
      <c r="U136" s="696"/>
      <c r="V136" s="696"/>
      <c r="W136" s="696"/>
      <c r="X136" s="696"/>
      <c r="Y136" s="696"/>
      <c r="Z136" s="696"/>
      <c r="AA136" s="66"/>
      <c r="AB136" s="66"/>
      <c r="AC136" s="80"/>
    </row>
    <row r="137" spans="1:68" ht="27" customHeight="1" x14ac:dyDescent="0.25">
      <c r="A137" s="63" t="s">
        <v>253</v>
      </c>
      <c r="B137" s="63" t="s">
        <v>254</v>
      </c>
      <c r="C137" s="36">
        <v>4301031234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109</v>
      </c>
      <c r="N137" s="38"/>
      <c r="O137" s="37">
        <v>90</v>
      </c>
      <c r="P137" s="7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04" t="s">
        <v>255</v>
      </c>
      <c r="AG137" s="78"/>
      <c r="AJ137" s="84" t="s">
        <v>46</v>
      </c>
      <c r="AK137" s="84">
        <v>0</v>
      </c>
      <c r="BB137" s="205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customHeight="1" x14ac:dyDescent="0.25">
      <c r="A138" s="63" t="s">
        <v>253</v>
      </c>
      <c r="B138" s="63" t="s">
        <v>256</v>
      </c>
      <c r="C138" s="36">
        <v>4301031235</v>
      </c>
      <c r="D138" s="697">
        <v>4680115883444</v>
      </c>
      <c r="E138" s="697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109</v>
      </c>
      <c r="N138" s="38"/>
      <c r="O138" s="37">
        <v>90</v>
      </c>
      <c r="P138" s="76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99"/>
      <c r="R138" s="699"/>
      <c r="S138" s="699"/>
      <c r="T138" s="70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255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705"/>
      <c r="B139" s="705"/>
      <c r="C139" s="705"/>
      <c r="D139" s="705"/>
      <c r="E139" s="705"/>
      <c r="F139" s="705"/>
      <c r="G139" s="705"/>
      <c r="H139" s="705"/>
      <c r="I139" s="705"/>
      <c r="J139" s="705"/>
      <c r="K139" s="705"/>
      <c r="L139" s="705"/>
      <c r="M139" s="705"/>
      <c r="N139" s="705"/>
      <c r="O139" s="706"/>
      <c r="P139" s="702" t="s">
        <v>40</v>
      </c>
      <c r="Q139" s="703"/>
      <c r="R139" s="703"/>
      <c r="S139" s="703"/>
      <c r="T139" s="703"/>
      <c r="U139" s="703"/>
      <c r="V139" s="704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705"/>
      <c r="B140" s="705"/>
      <c r="C140" s="705"/>
      <c r="D140" s="705"/>
      <c r="E140" s="705"/>
      <c r="F140" s="705"/>
      <c r="G140" s="705"/>
      <c r="H140" s="705"/>
      <c r="I140" s="705"/>
      <c r="J140" s="705"/>
      <c r="K140" s="705"/>
      <c r="L140" s="705"/>
      <c r="M140" s="705"/>
      <c r="N140" s="705"/>
      <c r="O140" s="706"/>
      <c r="P140" s="702" t="s">
        <v>40</v>
      </c>
      <c r="Q140" s="703"/>
      <c r="R140" s="703"/>
      <c r="S140" s="703"/>
      <c r="T140" s="703"/>
      <c r="U140" s="703"/>
      <c r="V140" s="704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customHeight="1" x14ac:dyDescent="0.25">
      <c r="A141" s="696" t="s">
        <v>86</v>
      </c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6"/>
      <c r="P141" s="696"/>
      <c r="Q141" s="696"/>
      <c r="R141" s="696"/>
      <c r="S141" s="696"/>
      <c r="T141" s="696"/>
      <c r="U141" s="696"/>
      <c r="V141" s="696"/>
      <c r="W141" s="696"/>
      <c r="X141" s="696"/>
      <c r="Y141" s="696"/>
      <c r="Z141" s="696"/>
      <c r="AA141" s="66"/>
      <c r="AB141" s="66"/>
      <c r="AC141" s="80"/>
    </row>
    <row r="142" spans="1:68" ht="16.5" customHeight="1" x14ac:dyDescent="0.25">
      <c r="A142" s="63" t="s">
        <v>257</v>
      </c>
      <c r="B142" s="63" t="s">
        <v>258</v>
      </c>
      <c r="C142" s="36">
        <v>4301051476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60</v>
      </c>
      <c r="P142" s="76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08" t="s">
        <v>251</v>
      </c>
      <c r="AG142" s="78"/>
      <c r="AJ142" s="84" t="s">
        <v>46</v>
      </c>
      <c r="AK142" s="84">
        <v>0</v>
      </c>
      <c r="BB142" s="209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257</v>
      </c>
      <c r="B143" s="63" t="s">
        <v>259</v>
      </c>
      <c r="C143" s="36">
        <v>4301051477</v>
      </c>
      <c r="D143" s="697">
        <v>4680115882584</v>
      </c>
      <c r="E143" s="69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109</v>
      </c>
      <c r="N143" s="38"/>
      <c r="O143" s="37">
        <v>60</v>
      </c>
      <c r="P143" s="7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99"/>
      <c r="R143" s="699"/>
      <c r="S143" s="699"/>
      <c r="T143" s="70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251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705"/>
      <c r="B144" s="705"/>
      <c r="C144" s="705"/>
      <c r="D144" s="705"/>
      <c r="E144" s="705"/>
      <c r="F144" s="705"/>
      <c r="G144" s="705"/>
      <c r="H144" s="705"/>
      <c r="I144" s="705"/>
      <c r="J144" s="705"/>
      <c r="K144" s="705"/>
      <c r="L144" s="705"/>
      <c r="M144" s="705"/>
      <c r="N144" s="705"/>
      <c r="O144" s="706"/>
      <c r="P144" s="702" t="s">
        <v>40</v>
      </c>
      <c r="Q144" s="703"/>
      <c r="R144" s="703"/>
      <c r="S144" s="703"/>
      <c r="T144" s="703"/>
      <c r="U144" s="703"/>
      <c r="V144" s="704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705"/>
      <c r="B145" s="705"/>
      <c r="C145" s="705"/>
      <c r="D145" s="705"/>
      <c r="E145" s="705"/>
      <c r="F145" s="705"/>
      <c r="G145" s="705"/>
      <c r="H145" s="705"/>
      <c r="I145" s="705"/>
      <c r="J145" s="705"/>
      <c r="K145" s="705"/>
      <c r="L145" s="705"/>
      <c r="M145" s="705"/>
      <c r="N145" s="705"/>
      <c r="O145" s="706"/>
      <c r="P145" s="702" t="s">
        <v>40</v>
      </c>
      <c r="Q145" s="703"/>
      <c r="R145" s="703"/>
      <c r="S145" s="703"/>
      <c r="T145" s="703"/>
      <c r="U145" s="703"/>
      <c r="V145" s="704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customHeight="1" x14ac:dyDescent="0.25">
      <c r="A146" s="695" t="s">
        <v>260</v>
      </c>
      <c r="B146" s="695"/>
      <c r="C146" s="695"/>
      <c r="D146" s="695"/>
      <c r="E146" s="695"/>
      <c r="F146" s="695"/>
      <c r="G146" s="695"/>
      <c r="H146" s="695"/>
      <c r="I146" s="695"/>
      <c r="J146" s="695"/>
      <c r="K146" s="695"/>
      <c r="L146" s="695"/>
      <c r="M146" s="695"/>
      <c r="N146" s="695"/>
      <c r="O146" s="695"/>
      <c r="P146" s="695"/>
      <c r="Q146" s="695"/>
      <c r="R146" s="695"/>
      <c r="S146" s="695"/>
      <c r="T146" s="695"/>
      <c r="U146" s="695"/>
      <c r="V146" s="695"/>
      <c r="W146" s="695"/>
      <c r="X146" s="695"/>
      <c r="Y146" s="695"/>
      <c r="Z146" s="695"/>
      <c r="AA146" s="65"/>
      <c r="AB146" s="65"/>
      <c r="AC146" s="79"/>
    </row>
    <row r="147" spans="1:68" ht="14.25" customHeight="1" x14ac:dyDescent="0.25">
      <c r="A147" s="696" t="s">
        <v>86</v>
      </c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6"/>
      <c r="P147" s="696"/>
      <c r="Q147" s="696"/>
      <c r="R147" s="696"/>
      <c r="S147" s="696"/>
      <c r="T147" s="696"/>
      <c r="U147" s="696"/>
      <c r="V147" s="696"/>
      <c r="W147" s="696"/>
      <c r="X147" s="696"/>
      <c r="Y147" s="696"/>
      <c r="Z147" s="696"/>
      <c r="AA147" s="66"/>
      <c r="AB147" s="66"/>
      <c r="AC147" s="80"/>
    </row>
    <row r="148" spans="1:68" ht="27" customHeight="1" x14ac:dyDescent="0.25">
      <c r="A148" s="63" t="s">
        <v>261</v>
      </c>
      <c r="B148" s="63" t="s">
        <v>262</v>
      </c>
      <c r="C148" s="36">
        <v>4301052174</v>
      </c>
      <c r="D148" s="697">
        <v>4680115888203</v>
      </c>
      <c r="E148" s="697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6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263</v>
      </c>
      <c r="AG148" s="78"/>
      <c r="AJ148" s="84" t="s">
        <v>46</v>
      </c>
      <c r="AK148" s="84">
        <v>0</v>
      </c>
      <c r="BB148" s="213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264</v>
      </c>
      <c r="B149" s="63" t="s">
        <v>265</v>
      </c>
      <c r="C149" s="36">
        <v>4301052172</v>
      </c>
      <c r="D149" s="697">
        <v>4680115888180</v>
      </c>
      <c r="E149" s="697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267</v>
      </c>
      <c r="B150" s="63" t="s">
        <v>268</v>
      </c>
      <c r="C150" s="36">
        <v>4301052173</v>
      </c>
      <c r="D150" s="697">
        <v>4680115888197</v>
      </c>
      <c r="E150" s="69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270</v>
      </c>
      <c r="B151" s="63" t="s">
        <v>271</v>
      </c>
      <c r="C151" s="36">
        <v>4301052175</v>
      </c>
      <c r="D151" s="697">
        <v>4680115888210</v>
      </c>
      <c r="E151" s="69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7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99"/>
      <c r="R151" s="699"/>
      <c r="S151" s="699"/>
      <c r="T151" s="70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705"/>
      <c r="B152" s="705"/>
      <c r="C152" s="705"/>
      <c r="D152" s="705"/>
      <c r="E152" s="705"/>
      <c r="F152" s="705"/>
      <c r="G152" s="705"/>
      <c r="H152" s="705"/>
      <c r="I152" s="705"/>
      <c r="J152" s="705"/>
      <c r="K152" s="705"/>
      <c r="L152" s="705"/>
      <c r="M152" s="705"/>
      <c r="N152" s="705"/>
      <c r="O152" s="706"/>
      <c r="P152" s="702" t="s">
        <v>40</v>
      </c>
      <c r="Q152" s="703"/>
      <c r="R152" s="703"/>
      <c r="S152" s="703"/>
      <c r="T152" s="703"/>
      <c r="U152" s="703"/>
      <c r="V152" s="704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x14ac:dyDescent="0.2">
      <c r="A153" s="705"/>
      <c r="B153" s="705"/>
      <c r="C153" s="705"/>
      <c r="D153" s="705"/>
      <c r="E153" s="705"/>
      <c r="F153" s="705"/>
      <c r="G153" s="705"/>
      <c r="H153" s="705"/>
      <c r="I153" s="705"/>
      <c r="J153" s="705"/>
      <c r="K153" s="705"/>
      <c r="L153" s="705"/>
      <c r="M153" s="705"/>
      <c r="N153" s="705"/>
      <c r="O153" s="706"/>
      <c r="P153" s="702" t="s">
        <v>40</v>
      </c>
      <c r="Q153" s="703"/>
      <c r="R153" s="703"/>
      <c r="S153" s="703"/>
      <c r="T153" s="703"/>
      <c r="U153" s="703"/>
      <c r="V153" s="704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customHeight="1" x14ac:dyDescent="0.25">
      <c r="A154" s="695" t="s">
        <v>126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65"/>
      <c r="AB154" s="65"/>
      <c r="AC154" s="79"/>
    </row>
    <row r="155" spans="1:68" ht="14.25" customHeight="1" x14ac:dyDescent="0.25">
      <c r="A155" s="696" t="s">
        <v>128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66"/>
      <c r="AB155" s="66"/>
      <c r="AC155" s="80"/>
    </row>
    <row r="156" spans="1:68" ht="16.5" customHeight="1" x14ac:dyDescent="0.25">
      <c r="A156" s="63" t="s">
        <v>273</v>
      </c>
      <c r="B156" s="63" t="s">
        <v>274</v>
      </c>
      <c r="C156" s="36">
        <v>4301012344</v>
      </c>
      <c r="D156" s="697">
        <v>4680115888876</v>
      </c>
      <c r="E156" s="697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91</v>
      </c>
      <c r="L156" s="37" t="s">
        <v>46</v>
      </c>
      <c r="M156" s="38" t="s">
        <v>90</v>
      </c>
      <c r="N156" s="38"/>
      <c r="O156" s="37">
        <v>55</v>
      </c>
      <c r="P156" s="7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99"/>
      <c r="R156" s="699"/>
      <c r="S156" s="699"/>
      <c r="T156" s="700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276</v>
      </c>
      <c r="AC156" s="220" t="s">
        <v>275</v>
      </c>
      <c r="AG156" s="78"/>
      <c r="AJ156" s="84" t="s">
        <v>46</v>
      </c>
      <c r="AK156" s="84">
        <v>0</v>
      </c>
      <c r="BB156" s="221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277</v>
      </c>
      <c r="B157" s="63" t="s">
        <v>278</v>
      </c>
      <c r="C157" s="36">
        <v>4301012244</v>
      </c>
      <c r="D157" s="697">
        <v>4680115887374</v>
      </c>
      <c r="E157" s="697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77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99"/>
      <c r="R157" s="699"/>
      <c r="S157" s="699"/>
      <c r="T157" s="700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279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customHeight="1" x14ac:dyDescent="0.25">
      <c r="A158" s="63" t="s">
        <v>280</v>
      </c>
      <c r="B158" s="63" t="s">
        <v>281</v>
      </c>
      <c r="C158" s="36">
        <v>4301011705</v>
      </c>
      <c r="D158" s="697">
        <v>4607091384604</v>
      </c>
      <c r="E158" s="697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7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99"/>
      <c r="R158" s="699"/>
      <c r="S158" s="699"/>
      <c r="T158" s="700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705"/>
      <c r="B159" s="705"/>
      <c r="C159" s="705"/>
      <c r="D159" s="705"/>
      <c r="E159" s="705"/>
      <c r="F159" s="705"/>
      <c r="G159" s="705"/>
      <c r="H159" s="705"/>
      <c r="I159" s="705"/>
      <c r="J159" s="705"/>
      <c r="K159" s="705"/>
      <c r="L159" s="705"/>
      <c r="M159" s="705"/>
      <c r="N159" s="705"/>
      <c r="O159" s="706"/>
      <c r="P159" s="702" t="s">
        <v>40</v>
      </c>
      <c r="Q159" s="703"/>
      <c r="R159" s="703"/>
      <c r="S159" s="703"/>
      <c r="T159" s="703"/>
      <c r="U159" s="703"/>
      <c r="V159" s="704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 x14ac:dyDescent="0.2">
      <c r="A160" s="705"/>
      <c r="B160" s="705"/>
      <c r="C160" s="705"/>
      <c r="D160" s="705"/>
      <c r="E160" s="705"/>
      <c r="F160" s="705"/>
      <c r="G160" s="705"/>
      <c r="H160" s="705"/>
      <c r="I160" s="705"/>
      <c r="J160" s="705"/>
      <c r="K160" s="705"/>
      <c r="L160" s="705"/>
      <c r="M160" s="705"/>
      <c r="N160" s="705"/>
      <c r="O160" s="706"/>
      <c r="P160" s="702" t="s">
        <v>40</v>
      </c>
      <c r="Q160" s="703"/>
      <c r="R160" s="703"/>
      <c r="S160" s="703"/>
      <c r="T160" s="703"/>
      <c r="U160" s="703"/>
      <c r="V160" s="704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customHeight="1" x14ac:dyDescent="0.25">
      <c r="A161" s="696" t="s">
        <v>164</v>
      </c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6"/>
      <c r="P161" s="696"/>
      <c r="Q161" s="696"/>
      <c r="R161" s="696"/>
      <c r="S161" s="696"/>
      <c r="T161" s="696"/>
      <c r="U161" s="696"/>
      <c r="V161" s="696"/>
      <c r="W161" s="696"/>
      <c r="X161" s="696"/>
      <c r="Y161" s="696"/>
      <c r="Z161" s="696"/>
      <c r="AA161" s="66"/>
      <c r="AB161" s="66"/>
      <c r="AC161" s="80"/>
    </row>
    <row r="162" spans="1:68" ht="16.5" customHeight="1" x14ac:dyDescent="0.25">
      <c r="A162" s="63" t="s">
        <v>283</v>
      </c>
      <c r="B162" s="63" t="s">
        <v>284</v>
      </c>
      <c r="C162" s="36">
        <v>4301020410</v>
      </c>
      <c r="D162" s="697">
        <v>4680115887695</v>
      </c>
      <c r="E162" s="697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77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285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x14ac:dyDescent="0.2">
      <c r="A163" s="705"/>
      <c r="B163" s="705"/>
      <c r="C163" s="705"/>
      <c r="D163" s="705"/>
      <c r="E163" s="705"/>
      <c r="F163" s="705"/>
      <c r="G163" s="705"/>
      <c r="H163" s="705"/>
      <c r="I163" s="705"/>
      <c r="J163" s="705"/>
      <c r="K163" s="705"/>
      <c r="L163" s="705"/>
      <c r="M163" s="705"/>
      <c r="N163" s="705"/>
      <c r="O163" s="706"/>
      <c r="P163" s="702" t="s">
        <v>40</v>
      </c>
      <c r="Q163" s="703"/>
      <c r="R163" s="703"/>
      <c r="S163" s="703"/>
      <c r="T163" s="703"/>
      <c r="U163" s="703"/>
      <c r="V163" s="704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705"/>
      <c r="B164" s="705"/>
      <c r="C164" s="705"/>
      <c r="D164" s="705"/>
      <c r="E164" s="705"/>
      <c r="F164" s="705"/>
      <c r="G164" s="705"/>
      <c r="H164" s="705"/>
      <c r="I164" s="705"/>
      <c r="J164" s="705"/>
      <c r="K164" s="705"/>
      <c r="L164" s="705"/>
      <c r="M164" s="705"/>
      <c r="N164" s="705"/>
      <c r="O164" s="706"/>
      <c r="P164" s="702" t="s">
        <v>40</v>
      </c>
      <c r="Q164" s="703"/>
      <c r="R164" s="703"/>
      <c r="S164" s="703"/>
      <c r="T164" s="703"/>
      <c r="U164" s="703"/>
      <c r="V164" s="704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customHeight="1" x14ac:dyDescent="0.25">
      <c r="A165" s="696" t="s">
        <v>77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27" customHeight="1" x14ac:dyDescent="0.25">
      <c r="A166" s="63" t="s">
        <v>286</v>
      </c>
      <c r="B166" s="63" t="s">
        <v>287</v>
      </c>
      <c r="C166" s="36">
        <v>4301031496</v>
      </c>
      <c r="D166" s="697">
        <v>4680115887428</v>
      </c>
      <c r="E166" s="697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77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0</v>
      </c>
      <c r="Y166" s="55">
        <f t="shared" ref="Y166:Y177" si="10"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28" t="s">
        <v>288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7" si="11">IFERROR(X166*I166/H166,"0")</f>
        <v>0</v>
      </c>
      <c r="BN166" s="78">
        <f t="shared" ref="BN166:BN177" si="12">IFERROR(Y166*I166/H166,"0")</f>
        <v>0</v>
      </c>
      <c r="BO166" s="78">
        <f t="shared" ref="BO166:BO177" si="13">IFERROR(1/J166*(X166/H166),"0")</f>
        <v>0</v>
      </c>
      <c r="BP166" s="78">
        <f t="shared" ref="BP166:BP177" si="14">IFERROR(1/J166*(Y166/H166),"0")</f>
        <v>0</v>
      </c>
    </row>
    <row r="167" spans="1:68" ht="27" customHeight="1" x14ac:dyDescent="0.25">
      <c r="A167" s="63" t="s">
        <v>289</v>
      </c>
      <c r="B167" s="63" t="s">
        <v>290</v>
      </c>
      <c r="C167" s="36">
        <v>4301030963</v>
      </c>
      <c r="D167" s="697">
        <v>4607091382426</v>
      </c>
      <c r="E167" s="697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7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291</v>
      </c>
      <c r="AG167" s="78"/>
      <c r="AJ167" s="84" t="s">
        <v>46</v>
      </c>
      <c r="AK167" s="84">
        <v>0</v>
      </c>
      <c r="BB167" s="231" t="s">
        <v>67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customHeight="1" x14ac:dyDescent="0.25">
      <c r="A168" s="63" t="s">
        <v>292</v>
      </c>
      <c r="B168" s="63" t="s">
        <v>293</v>
      </c>
      <c r="C168" s="36">
        <v>4301031509</v>
      </c>
      <c r="D168" s="697">
        <v>4680115889170</v>
      </c>
      <c r="E168" s="697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45</v>
      </c>
      <c r="P168" s="77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99"/>
      <c r="R168" s="699"/>
      <c r="S168" s="699"/>
      <c r="T168" s="70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294</v>
      </c>
      <c r="AG168" s="78"/>
      <c r="AJ168" s="84" t="s">
        <v>46</v>
      </c>
      <c r="AK168" s="84">
        <v>0</v>
      </c>
      <c r="BB168" s="233" t="s">
        <v>67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295</v>
      </c>
      <c r="B169" s="63" t="s">
        <v>296</v>
      </c>
      <c r="C169" s="36">
        <v>4301031498</v>
      </c>
      <c r="D169" s="697">
        <v>4680115887398</v>
      </c>
      <c r="E169" s="697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77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9"/>
      <c r="R169" s="699"/>
      <c r="S169" s="699"/>
      <c r="T169" s="700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 x14ac:dyDescent="0.25">
      <c r="A170" s="63" t="s">
        <v>298</v>
      </c>
      <c r="B170" s="63" t="s">
        <v>299</v>
      </c>
      <c r="C170" s="36">
        <v>4301031497</v>
      </c>
      <c r="D170" s="697">
        <v>4680115887336</v>
      </c>
      <c r="E170" s="69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78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9"/>
      <c r="R170" s="699"/>
      <c r="S170" s="699"/>
      <c r="T170" s="700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16.5" customHeight="1" x14ac:dyDescent="0.25">
      <c r="A171" s="63" t="s">
        <v>301</v>
      </c>
      <c r="B171" s="63" t="s">
        <v>302</v>
      </c>
      <c r="C171" s="36">
        <v>4301032049</v>
      </c>
      <c r="D171" s="697">
        <v>4680115887787</v>
      </c>
      <c r="E171" s="697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78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4301031448</v>
      </c>
      <c r="D172" s="697">
        <v>4680115887503</v>
      </c>
      <c r="E172" s="697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8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306</v>
      </c>
      <c r="B173" s="63" t="s">
        <v>307</v>
      </c>
      <c r="C173" s="36">
        <v>4301031389</v>
      </c>
      <c r="D173" s="697">
        <v>4680115887763</v>
      </c>
      <c r="E173" s="697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78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67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306</v>
      </c>
      <c r="B174" s="63" t="s">
        <v>309</v>
      </c>
      <c r="C174" s="36">
        <v>4301031510</v>
      </c>
      <c r="D174" s="697">
        <v>4680115887763</v>
      </c>
      <c r="E174" s="697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78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310</v>
      </c>
      <c r="B175" s="63" t="s">
        <v>311</v>
      </c>
      <c r="C175" s="36">
        <v>4301031454</v>
      </c>
      <c r="D175" s="697">
        <v>4680115887480</v>
      </c>
      <c r="E175" s="697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8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297</v>
      </c>
      <c r="AG175" s="78"/>
      <c r="AJ175" s="84" t="s">
        <v>46</v>
      </c>
      <c r="AK175" s="84">
        <v>0</v>
      </c>
      <c r="BB175" s="247" t="s">
        <v>67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 x14ac:dyDescent="0.25">
      <c r="A176" s="63" t="s">
        <v>312</v>
      </c>
      <c r="B176" s="63" t="s">
        <v>313</v>
      </c>
      <c r="C176" s="36">
        <v>4301031434</v>
      </c>
      <c r="D176" s="697">
        <v>4680115888067</v>
      </c>
      <c r="E176" s="697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78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314</v>
      </c>
      <c r="AG176" s="78"/>
      <c r="AJ176" s="84" t="s">
        <v>46</v>
      </c>
      <c r="AK176" s="84">
        <v>0</v>
      </c>
      <c r="BB176" s="249" t="s">
        <v>67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 x14ac:dyDescent="0.25">
      <c r="A177" s="63" t="s">
        <v>315</v>
      </c>
      <c r="B177" s="63" t="s">
        <v>316</v>
      </c>
      <c r="C177" s="36">
        <v>4301031451</v>
      </c>
      <c r="D177" s="697">
        <v>4680115887435</v>
      </c>
      <c r="E177" s="697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8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300</v>
      </c>
      <c r="AG177" s="78"/>
      <c r="AJ177" s="84" t="s">
        <v>46</v>
      </c>
      <c r="AK177" s="84">
        <v>0</v>
      </c>
      <c r="BB177" s="251" t="s">
        <v>67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x14ac:dyDescent="0.2">
      <c r="A178" s="705"/>
      <c r="B178" s="705"/>
      <c r="C178" s="705"/>
      <c r="D178" s="705"/>
      <c r="E178" s="705"/>
      <c r="F178" s="705"/>
      <c r="G178" s="705"/>
      <c r="H178" s="705"/>
      <c r="I178" s="705"/>
      <c r="J178" s="705"/>
      <c r="K178" s="705"/>
      <c r="L178" s="705"/>
      <c r="M178" s="705"/>
      <c r="N178" s="705"/>
      <c r="O178" s="706"/>
      <c r="P178" s="702" t="s">
        <v>40</v>
      </c>
      <c r="Q178" s="703"/>
      <c r="R178" s="703"/>
      <c r="S178" s="703"/>
      <c r="T178" s="703"/>
      <c r="U178" s="703"/>
      <c r="V178" s="704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705"/>
      <c r="B179" s="705"/>
      <c r="C179" s="705"/>
      <c r="D179" s="705"/>
      <c r="E179" s="705"/>
      <c r="F179" s="705"/>
      <c r="G179" s="705"/>
      <c r="H179" s="705"/>
      <c r="I179" s="705"/>
      <c r="J179" s="705"/>
      <c r="K179" s="705"/>
      <c r="L179" s="705"/>
      <c r="M179" s="705"/>
      <c r="N179" s="705"/>
      <c r="O179" s="706"/>
      <c r="P179" s="702" t="s">
        <v>40</v>
      </c>
      <c r="Q179" s="703"/>
      <c r="R179" s="703"/>
      <c r="S179" s="703"/>
      <c r="T179" s="703"/>
      <c r="U179" s="703"/>
      <c r="V179" s="704"/>
      <c r="W179" s="42" t="s">
        <v>0</v>
      </c>
      <c r="X179" s="43">
        <f>IFERROR(SUM(X166:X177),"0")</f>
        <v>0</v>
      </c>
      <c r="Y179" s="43">
        <f>IFERROR(SUM(Y166:Y177),"0")</f>
        <v>0</v>
      </c>
      <c r="Z179" s="42"/>
      <c r="AA179" s="67"/>
      <c r="AB179" s="67"/>
      <c r="AC179" s="67"/>
    </row>
    <row r="180" spans="1:68" ht="14.25" customHeight="1" x14ac:dyDescent="0.25">
      <c r="A180" s="696" t="s">
        <v>86</v>
      </c>
      <c r="B180" s="696"/>
      <c r="C180" s="696"/>
      <c r="D180" s="696"/>
      <c r="E180" s="696"/>
      <c r="F180" s="696"/>
      <c r="G180" s="696"/>
      <c r="H180" s="696"/>
      <c r="I180" s="696"/>
      <c r="J180" s="696"/>
      <c r="K180" s="696"/>
      <c r="L180" s="696"/>
      <c r="M180" s="696"/>
      <c r="N180" s="696"/>
      <c r="O180" s="696"/>
      <c r="P180" s="696"/>
      <c r="Q180" s="696"/>
      <c r="R180" s="696"/>
      <c r="S180" s="696"/>
      <c r="T180" s="696"/>
      <c r="U180" s="696"/>
      <c r="V180" s="696"/>
      <c r="W180" s="696"/>
      <c r="X180" s="696"/>
      <c r="Y180" s="696"/>
      <c r="Z180" s="696"/>
      <c r="AA180" s="66"/>
      <c r="AB180" s="66"/>
      <c r="AC180" s="80"/>
    </row>
    <row r="181" spans="1:68" ht="16.5" customHeight="1" x14ac:dyDescent="0.25">
      <c r="A181" s="63" t="s">
        <v>317</v>
      </c>
      <c r="B181" s="63" t="s">
        <v>318</v>
      </c>
      <c r="C181" s="36">
        <v>4301052193</v>
      </c>
      <c r="D181" s="697">
        <v>4680115888395</v>
      </c>
      <c r="E181" s="697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8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9"/>
      <c r="R181" s="699"/>
      <c r="S181" s="699"/>
      <c r="T181" s="700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319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 x14ac:dyDescent="0.25">
      <c r="A182" s="63" t="s">
        <v>320</v>
      </c>
      <c r="B182" s="63" t="s">
        <v>321</v>
      </c>
      <c r="C182" s="36">
        <v>4301052191</v>
      </c>
      <c r="D182" s="697">
        <v>4680115888371</v>
      </c>
      <c r="E182" s="69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9"/>
      <c r="R182" s="699"/>
      <c r="S182" s="699"/>
      <c r="T182" s="70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322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323</v>
      </c>
      <c r="B183" s="63" t="s">
        <v>324</v>
      </c>
      <c r="C183" s="36">
        <v>4301052064</v>
      </c>
      <c r="D183" s="697">
        <v>4680115887459</v>
      </c>
      <c r="E183" s="697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9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9"/>
      <c r="R183" s="699"/>
      <c r="S183" s="699"/>
      <c r="T183" s="70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705"/>
      <c r="B184" s="705"/>
      <c r="C184" s="705"/>
      <c r="D184" s="705"/>
      <c r="E184" s="705"/>
      <c r="F184" s="705"/>
      <c r="G184" s="705"/>
      <c r="H184" s="705"/>
      <c r="I184" s="705"/>
      <c r="J184" s="705"/>
      <c r="K184" s="705"/>
      <c r="L184" s="705"/>
      <c r="M184" s="705"/>
      <c r="N184" s="705"/>
      <c r="O184" s="706"/>
      <c r="P184" s="702" t="s">
        <v>40</v>
      </c>
      <c r="Q184" s="703"/>
      <c r="R184" s="703"/>
      <c r="S184" s="703"/>
      <c r="T184" s="703"/>
      <c r="U184" s="703"/>
      <c r="V184" s="704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705"/>
      <c r="B185" s="705"/>
      <c r="C185" s="705"/>
      <c r="D185" s="705"/>
      <c r="E185" s="705"/>
      <c r="F185" s="705"/>
      <c r="G185" s="705"/>
      <c r="H185" s="705"/>
      <c r="I185" s="705"/>
      <c r="J185" s="705"/>
      <c r="K185" s="705"/>
      <c r="L185" s="705"/>
      <c r="M185" s="705"/>
      <c r="N185" s="705"/>
      <c r="O185" s="706"/>
      <c r="P185" s="702" t="s">
        <v>40</v>
      </c>
      <c r="Q185" s="703"/>
      <c r="R185" s="703"/>
      <c r="S185" s="703"/>
      <c r="T185" s="703"/>
      <c r="U185" s="703"/>
      <c r="V185" s="704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96" t="s">
        <v>104</v>
      </c>
      <c r="B186" s="696"/>
      <c r="C186" s="696"/>
      <c r="D186" s="696"/>
      <c r="E186" s="696"/>
      <c r="F186" s="696"/>
      <c r="G186" s="696"/>
      <c r="H186" s="696"/>
      <c r="I186" s="696"/>
      <c r="J186" s="696"/>
      <c r="K186" s="696"/>
      <c r="L186" s="696"/>
      <c r="M186" s="696"/>
      <c r="N186" s="696"/>
      <c r="O186" s="696"/>
      <c r="P186" s="696"/>
      <c r="Q186" s="696"/>
      <c r="R186" s="696"/>
      <c r="S186" s="696"/>
      <c r="T186" s="696"/>
      <c r="U186" s="696"/>
      <c r="V186" s="696"/>
      <c r="W186" s="696"/>
      <c r="X186" s="696"/>
      <c r="Y186" s="696"/>
      <c r="Z186" s="696"/>
      <c r="AA186" s="66"/>
      <c r="AB186" s="66"/>
      <c r="AC186" s="80"/>
    </row>
    <row r="187" spans="1:68" ht="16.5" customHeight="1" x14ac:dyDescent="0.25">
      <c r="A187" s="63" t="s">
        <v>326</v>
      </c>
      <c r="B187" s="63" t="s">
        <v>327</v>
      </c>
      <c r="C187" s="36">
        <v>4301032058</v>
      </c>
      <c r="D187" s="697">
        <v>4680115889026</v>
      </c>
      <c r="E187" s="697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330</v>
      </c>
      <c r="L187" s="37" t="s">
        <v>46</v>
      </c>
      <c r="M187" s="38" t="s">
        <v>329</v>
      </c>
      <c r="N187" s="38"/>
      <c r="O187" s="37">
        <v>60</v>
      </c>
      <c r="P187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9"/>
      <c r="R187" s="699"/>
      <c r="S187" s="699"/>
      <c r="T187" s="700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328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 x14ac:dyDescent="0.25">
      <c r="A188" s="63" t="s">
        <v>331</v>
      </c>
      <c r="B188" s="63" t="s">
        <v>332</v>
      </c>
      <c r="C188" s="36">
        <v>4301032057</v>
      </c>
      <c r="D188" s="697">
        <v>4680115889088</v>
      </c>
      <c r="E188" s="69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330</v>
      </c>
      <c r="L188" s="37" t="s">
        <v>46</v>
      </c>
      <c r="M188" s="38" t="s">
        <v>329</v>
      </c>
      <c r="N188" s="38"/>
      <c r="O188" s="37">
        <v>45</v>
      </c>
      <c r="P188" s="79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9"/>
      <c r="R188" s="699"/>
      <c r="S188" s="699"/>
      <c r="T188" s="70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333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705"/>
      <c r="B189" s="705"/>
      <c r="C189" s="705"/>
      <c r="D189" s="705"/>
      <c r="E189" s="705"/>
      <c r="F189" s="705"/>
      <c r="G189" s="705"/>
      <c r="H189" s="705"/>
      <c r="I189" s="705"/>
      <c r="J189" s="705"/>
      <c r="K189" s="705"/>
      <c r="L189" s="705"/>
      <c r="M189" s="705"/>
      <c r="N189" s="705"/>
      <c r="O189" s="706"/>
      <c r="P189" s="702" t="s">
        <v>40</v>
      </c>
      <c r="Q189" s="703"/>
      <c r="R189" s="703"/>
      <c r="S189" s="703"/>
      <c r="T189" s="703"/>
      <c r="U189" s="703"/>
      <c r="V189" s="704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705"/>
      <c r="B190" s="705"/>
      <c r="C190" s="705"/>
      <c r="D190" s="705"/>
      <c r="E190" s="705"/>
      <c r="F190" s="705"/>
      <c r="G190" s="705"/>
      <c r="H190" s="705"/>
      <c r="I190" s="705"/>
      <c r="J190" s="705"/>
      <c r="K190" s="705"/>
      <c r="L190" s="705"/>
      <c r="M190" s="705"/>
      <c r="N190" s="705"/>
      <c r="O190" s="706"/>
      <c r="P190" s="702" t="s">
        <v>40</v>
      </c>
      <c r="Q190" s="703"/>
      <c r="R190" s="703"/>
      <c r="S190" s="703"/>
      <c r="T190" s="703"/>
      <c r="U190" s="703"/>
      <c r="V190" s="704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 x14ac:dyDescent="0.25">
      <c r="A191" s="696" t="s">
        <v>334</v>
      </c>
      <c r="B191" s="696"/>
      <c r="C191" s="696"/>
      <c r="D191" s="696"/>
      <c r="E191" s="696"/>
      <c r="F191" s="696"/>
      <c r="G191" s="696"/>
      <c r="H191" s="696"/>
      <c r="I191" s="696"/>
      <c r="J191" s="696"/>
      <c r="K191" s="696"/>
      <c r="L191" s="696"/>
      <c r="M191" s="696"/>
      <c r="N191" s="696"/>
      <c r="O191" s="696"/>
      <c r="P191" s="696"/>
      <c r="Q191" s="696"/>
      <c r="R191" s="696"/>
      <c r="S191" s="696"/>
      <c r="T191" s="696"/>
      <c r="U191" s="696"/>
      <c r="V191" s="696"/>
      <c r="W191" s="696"/>
      <c r="X191" s="696"/>
      <c r="Y191" s="696"/>
      <c r="Z191" s="696"/>
      <c r="AA191" s="66"/>
      <c r="AB191" s="66"/>
      <c r="AC191" s="80"/>
    </row>
    <row r="192" spans="1:68" ht="27" customHeight="1" x14ac:dyDescent="0.25">
      <c r="A192" s="63" t="s">
        <v>335</v>
      </c>
      <c r="B192" s="63" t="s">
        <v>336</v>
      </c>
      <c r="C192" s="36">
        <v>4301041009</v>
      </c>
      <c r="D192" s="697">
        <v>4680115889033</v>
      </c>
      <c r="E192" s="697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330</v>
      </c>
      <c r="L192" s="37" t="s">
        <v>46</v>
      </c>
      <c r="M192" s="38" t="s">
        <v>329</v>
      </c>
      <c r="N192" s="38"/>
      <c r="O192" s="37">
        <v>60</v>
      </c>
      <c r="P192" s="79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9"/>
      <c r="R192" s="699"/>
      <c r="S192" s="699"/>
      <c r="T192" s="70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337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705"/>
      <c r="B193" s="705"/>
      <c r="C193" s="705"/>
      <c r="D193" s="705"/>
      <c r="E193" s="705"/>
      <c r="F193" s="705"/>
      <c r="G193" s="705"/>
      <c r="H193" s="705"/>
      <c r="I193" s="705"/>
      <c r="J193" s="705"/>
      <c r="K193" s="705"/>
      <c r="L193" s="705"/>
      <c r="M193" s="705"/>
      <c r="N193" s="705"/>
      <c r="O193" s="706"/>
      <c r="P193" s="702" t="s">
        <v>40</v>
      </c>
      <c r="Q193" s="703"/>
      <c r="R193" s="703"/>
      <c r="S193" s="703"/>
      <c r="T193" s="703"/>
      <c r="U193" s="703"/>
      <c r="V193" s="704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705"/>
      <c r="B194" s="705"/>
      <c r="C194" s="705"/>
      <c r="D194" s="705"/>
      <c r="E194" s="705"/>
      <c r="F194" s="705"/>
      <c r="G194" s="705"/>
      <c r="H194" s="705"/>
      <c r="I194" s="705"/>
      <c r="J194" s="705"/>
      <c r="K194" s="705"/>
      <c r="L194" s="705"/>
      <c r="M194" s="705"/>
      <c r="N194" s="705"/>
      <c r="O194" s="706"/>
      <c r="P194" s="702" t="s">
        <v>40</v>
      </c>
      <c r="Q194" s="703"/>
      <c r="R194" s="703"/>
      <c r="S194" s="703"/>
      <c r="T194" s="703"/>
      <c r="U194" s="703"/>
      <c r="V194" s="704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 x14ac:dyDescent="0.2">
      <c r="A195" s="694" t="s">
        <v>338</v>
      </c>
      <c r="B195" s="694"/>
      <c r="C195" s="694"/>
      <c r="D195" s="694"/>
      <c r="E195" s="694"/>
      <c r="F195" s="694"/>
      <c r="G195" s="694"/>
      <c r="H195" s="694"/>
      <c r="I195" s="694"/>
      <c r="J195" s="694"/>
      <c r="K195" s="694"/>
      <c r="L195" s="694"/>
      <c r="M195" s="694"/>
      <c r="N195" s="694"/>
      <c r="O195" s="694"/>
      <c r="P195" s="694"/>
      <c r="Q195" s="694"/>
      <c r="R195" s="694"/>
      <c r="S195" s="694"/>
      <c r="T195" s="694"/>
      <c r="U195" s="694"/>
      <c r="V195" s="694"/>
      <c r="W195" s="694"/>
      <c r="X195" s="694"/>
      <c r="Y195" s="694"/>
      <c r="Z195" s="694"/>
      <c r="AA195" s="54"/>
      <c r="AB195" s="54"/>
      <c r="AC195" s="54"/>
    </row>
    <row r="196" spans="1:68" ht="16.5" customHeight="1" x14ac:dyDescent="0.25">
      <c r="A196" s="695" t="s">
        <v>339</v>
      </c>
      <c r="B196" s="695"/>
      <c r="C196" s="695"/>
      <c r="D196" s="695"/>
      <c r="E196" s="695"/>
      <c r="F196" s="695"/>
      <c r="G196" s="695"/>
      <c r="H196" s="695"/>
      <c r="I196" s="695"/>
      <c r="J196" s="695"/>
      <c r="K196" s="695"/>
      <c r="L196" s="695"/>
      <c r="M196" s="695"/>
      <c r="N196" s="695"/>
      <c r="O196" s="695"/>
      <c r="P196" s="695"/>
      <c r="Q196" s="695"/>
      <c r="R196" s="695"/>
      <c r="S196" s="695"/>
      <c r="T196" s="695"/>
      <c r="U196" s="695"/>
      <c r="V196" s="695"/>
      <c r="W196" s="695"/>
      <c r="X196" s="695"/>
      <c r="Y196" s="695"/>
      <c r="Z196" s="695"/>
      <c r="AA196" s="65"/>
      <c r="AB196" s="65"/>
      <c r="AC196" s="79"/>
    </row>
    <row r="197" spans="1:68" ht="14.25" customHeight="1" x14ac:dyDescent="0.25">
      <c r="A197" s="696" t="s">
        <v>128</v>
      </c>
      <c r="B197" s="696"/>
      <c r="C197" s="696"/>
      <c r="D197" s="696"/>
      <c r="E197" s="696"/>
      <c r="F197" s="696"/>
      <c r="G197" s="696"/>
      <c r="H197" s="696"/>
      <c r="I197" s="696"/>
      <c r="J197" s="696"/>
      <c r="K197" s="696"/>
      <c r="L197" s="696"/>
      <c r="M197" s="696"/>
      <c r="N197" s="696"/>
      <c r="O197" s="696"/>
      <c r="P197" s="696"/>
      <c r="Q197" s="696"/>
      <c r="R197" s="696"/>
      <c r="S197" s="696"/>
      <c r="T197" s="696"/>
      <c r="U197" s="696"/>
      <c r="V197" s="696"/>
      <c r="W197" s="696"/>
      <c r="X197" s="696"/>
      <c r="Y197" s="696"/>
      <c r="Z197" s="696"/>
      <c r="AA197" s="66"/>
      <c r="AB197" s="66"/>
      <c r="AC197" s="80"/>
    </row>
    <row r="198" spans="1:68" ht="27" customHeight="1" x14ac:dyDescent="0.25">
      <c r="A198" s="63" t="s">
        <v>340</v>
      </c>
      <c r="B198" s="63" t="s">
        <v>341</v>
      </c>
      <c r="C198" s="36">
        <v>4301011223</v>
      </c>
      <c r="D198" s="697">
        <v>4607091383423</v>
      </c>
      <c r="E198" s="697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9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99"/>
      <c r="R198" s="699"/>
      <c r="S198" s="699"/>
      <c r="T198" s="700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customHeight="1" x14ac:dyDescent="0.25">
      <c r="A199" s="63" t="s">
        <v>342</v>
      </c>
      <c r="B199" s="63" t="s">
        <v>343</v>
      </c>
      <c r="C199" s="36">
        <v>4301012340</v>
      </c>
      <c r="D199" s="697">
        <v>4680115888760</v>
      </c>
      <c r="E199" s="69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344</v>
      </c>
      <c r="AG199" s="78"/>
      <c r="AJ199" s="84" t="s">
        <v>46</v>
      </c>
      <c r="AK199" s="84">
        <v>0</v>
      </c>
      <c r="BB199" s="267" t="s">
        <v>67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customHeight="1" x14ac:dyDescent="0.25">
      <c r="A200" s="63" t="s">
        <v>345</v>
      </c>
      <c r="B200" s="63" t="s">
        <v>346</v>
      </c>
      <c r="C200" s="36">
        <v>4301012341</v>
      </c>
      <c r="D200" s="697">
        <v>4680115888807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347</v>
      </c>
      <c r="AG200" s="78"/>
      <c r="AJ200" s="84" t="s">
        <v>46</v>
      </c>
      <c r="AK200" s="84">
        <v>0</v>
      </c>
      <c r="BB200" s="269" t="s">
        <v>67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customHeight="1" x14ac:dyDescent="0.25">
      <c r="A201" s="63" t="s">
        <v>348</v>
      </c>
      <c r="B201" s="63" t="s">
        <v>349</v>
      </c>
      <c r="C201" s="36">
        <v>4301012342</v>
      </c>
      <c r="D201" s="697">
        <v>4680115888852</v>
      </c>
      <c r="E201" s="697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350</v>
      </c>
      <c r="AG201" s="78"/>
      <c r="AJ201" s="84" t="s">
        <v>46</v>
      </c>
      <c r="AK201" s="84">
        <v>0</v>
      </c>
      <c r="BB201" s="271" t="s">
        <v>67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customHeight="1" x14ac:dyDescent="0.25">
      <c r="A202" s="63" t="s">
        <v>351</v>
      </c>
      <c r="B202" s="63" t="s">
        <v>352</v>
      </c>
      <c r="C202" s="36">
        <v>4301012370</v>
      </c>
      <c r="D202" s="697">
        <v>4680115886957</v>
      </c>
      <c r="E202" s="697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133</v>
      </c>
      <c r="L202" s="37" t="s">
        <v>46</v>
      </c>
      <c r="M202" s="38" t="s">
        <v>90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353</v>
      </c>
      <c r="AG202" s="78"/>
      <c r="AJ202" s="84" t="s">
        <v>46</v>
      </c>
      <c r="AK202" s="84">
        <v>0</v>
      </c>
      <c r="BB202" s="273" t="s">
        <v>67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customHeight="1" x14ac:dyDescent="0.25">
      <c r="A203" s="63" t="s">
        <v>354</v>
      </c>
      <c r="B203" s="63" t="s">
        <v>355</v>
      </c>
      <c r="C203" s="36">
        <v>4301012098</v>
      </c>
      <c r="D203" s="697">
        <v>4680115885660</v>
      </c>
      <c r="E203" s="697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133</v>
      </c>
      <c r="L203" s="37" t="s">
        <v>46</v>
      </c>
      <c r="M203" s="38" t="s">
        <v>90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356</v>
      </c>
      <c r="AG203" s="78"/>
      <c r="AJ203" s="84" t="s">
        <v>46</v>
      </c>
      <c r="AK203" s="84">
        <v>0</v>
      </c>
      <c r="BB203" s="275" t="s">
        <v>67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customHeight="1" x14ac:dyDescent="0.25">
      <c r="A204" s="63" t="s">
        <v>357</v>
      </c>
      <c r="B204" s="63" t="s">
        <v>358</v>
      </c>
      <c r="C204" s="36">
        <v>4301012369</v>
      </c>
      <c r="D204" s="697">
        <v>4680115886773</v>
      </c>
      <c r="E204" s="697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133</v>
      </c>
      <c r="L204" s="37" t="s">
        <v>46</v>
      </c>
      <c r="M204" s="38" t="s">
        <v>90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359</v>
      </c>
      <c r="AG204" s="78"/>
      <c r="AJ204" s="84" t="s">
        <v>46</v>
      </c>
      <c r="AK204" s="84">
        <v>0</v>
      </c>
      <c r="BB204" s="277" t="s">
        <v>67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 x14ac:dyDescent="0.2">
      <c r="A205" s="705"/>
      <c r="B205" s="705"/>
      <c r="C205" s="705"/>
      <c r="D205" s="705"/>
      <c r="E205" s="705"/>
      <c r="F205" s="705"/>
      <c r="G205" s="705"/>
      <c r="H205" s="705"/>
      <c r="I205" s="705"/>
      <c r="J205" s="705"/>
      <c r="K205" s="705"/>
      <c r="L205" s="705"/>
      <c r="M205" s="705"/>
      <c r="N205" s="705"/>
      <c r="O205" s="706"/>
      <c r="P205" s="702" t="s">
        <v>40</v>
      </c>
      <c r="Q205" s="703"/>
      <c r="R205" s="703"/>
      <c r="S205" s="703"/>
      <c r="T205" s="703"/>
      <c r="U205" s="703"/>
      <c r="V205" s="704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705"/>
      <c r="B206" s="705"/>
      <c r="C206" s="705"/>
      <c r="D206" s="705"/>
      <c r="E206" s="705"/>
      <c r="F206" s="705"/>
      <c r="G206" s="705"/>
      <c r="H206" s="705"/>
      <c r="I206" s="705"/>
      <c r="J206" s="705"/>
      <c r="K206" s="705"/>
      <c r="L206" s="705"/>
      <c r="M206" s="705"/>
      <c r="N206" s="705"/>
      <c r="O206" s="706"/>
      <c r="P206" s="702" t="s">
        <v>40</v>
      </c>
      <c r="Q206" s="703"/>
      <c r="R206" s="703"/>
      <c r="S206" s="703"/>
      <c r="T206" s="703"/>
      <c r="U206" s="703"/>
      <c r="V206" s="704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 x14ac:dyDescent="0.25">
      <c r="A207" s="695" t="s">
        <v>360</v>
      </c>
      <c r="B207" s="695"/>
      <c r="C207" s="695"/>
      <c r="D207" s="695"/>
      <c r="E207" s="695"/>
      <c r="F207" s="695"/>
      <c r="G207" s="695"/>
      <c r="H207" s="695"/>
      <c r="I207" s="695"/>
      <c r="J207" s="695"/>
      <c r="K207" s="695"/>
      <c r="L207" s="695"/>
      <c r="M207" s="695"/>
      <c r="N207" s="695"/>
      <c r="O207" s="695"/>
      <c r="P207" s="695"/>
      <c r="Q207" s="695"/>
      <c r="R207" s="695"/>
      <c r="S207" s="695"/>
      <c r="T207" s="695"/>
      <c r="U207" s="695"/>
      <c r="V207" s="695"/>
      <c r="W207" s="695"/>
      <c r="X207" s="695"/>
      <c r="Y207" s="695"/>
      <c r="Z207" s="695"/>
      <c r="AA207" s="65"/>
      <c r="AB207" s="65"/>
      <c r="AC207" s="79"/>
    </row>
    <row r="208" spans="1:68" ht="14.25" customHeight="1" x14ac:dyDescent="0.25">
      <c r="A208" s="696" t="s">
        <v>164</v>
      </c>
      <c r="B208" s="696"/>
      <c r="C208" s="696"/>
      <c r="D208" s="696"/>
      <c r="E208" s="696"/>
      <c r="F208" s="696"/>
      <c r="G208" s="696"/>
      <c r="H208" s="696"/>
      <c r="I208" s="696"/>
      <c r="J208" s="696"/>
      <c r="K208" s="696"/>
      <c r="L208" s="696"/>
      <c r="M208" s="696"/>
      <c r="N208" s="696"/>
      <c r="O208" s="696"/>
      <c r="P208" s="696"/>
      <c r="Q208" s="696"/>
      <c r="R208" s="696"/>
      <c r="S208" s="696"/>
      <c r="T208" s="696"/>
      <c r="U208" s="696"/>
      <c r="V208" s="696"/>
      <c r="W208" s="696"/>
      <c r="X208" s="696"/>
      <c r="Y208" s="696"/>
      <c r="Z208" s="696"/>
      <c r="AA208" s="66"/>
      <c r="AB208" s="66"/>
      <c r="AC208" s="80"/>
    </row>
    <row r="209" spans="1:68" ht="27" customHeight="1" x14ac:dyDescent="0.25">
      <c r="A209" s="63" t="s">
        <v>361</v>
      </c>
      <c r="B209" s="63" t="s">
        <v>362</v>
      </c>
      <c r="C209" s="36">
        <v>4301020323</v>
      </c>
      <c r="D209" s="697">
        <v>4680115886223</v>
      </c>
      <c r="E209" s="697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0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9"/>
      <c r="R209" s="699"/>
      <c r="S209" s="699"/>
      <c r="T209" s="700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363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705"/>
      <c r="B210" s="705"/>
      <c r="C210" s="705"/>
      <c r="D210" s="705"/>
      <c r="E210" s="705"/>
      <c r="F210" s="705"/>
      <c r="G210" s="705"/>
      <c r="H210" s="705"/>
      <c r="I210" s="705"/>
      <c r="J210" s="705"/>
      <c r="K210" s="705"/>
      <c r="L210" s="705"/>
      <c r="M210" s="705"/>
      <c r="N210" s="705"/>
      <c r="O210" s="706"/>
      <c r="P210" s="702" t="s">
        <v>40</v>
      </c>
      <c r="Q210" s="703"/>
      <c r="R210" s="703"/>
      <c r="S210" s="703"/>
      <c r="T210" s="703"/>
      <c r="U210" s="703"/>
      <c r="V210" s="704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705"/>
      <c r="B211" s="705"/>
      <c r="C211" s="705"/>
      <c r="D211" s="705"/>
      <c r="E211" s="705"/>
      <c r="F211" s="705"/>
      <c r="G211" s="705"/>
      <c r="H211" s="705"/>
      <c r="I211" s="705"/>
      <c r="J211" s="705"/>
      <c r="K211" s="705"/>
      <c r="L211" s="705"/>
      <c r="M211" s="705"/>
      <c r="N211" s="705"/>
      <c r="O211" s="706"/>
      <c r="P211" s="702" t="s">
        <v>40</v>
      </c>
      <c r="Q211" s="703"/>
      <c r="R211" s="703"/>
      <c r="S211" s="703"/>
      <c r="T211" s="703"/>
      <c r="U211" s="703"/>
      <c r="V211" s="704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customHeight="1" x14ac:dyDescent="0.25">
      <c r="A212" s="696" t="s">
        <v>77</v>
      </c>
      <c r="B212" s="696"/>
      <c r="C212" s="696"/>
      <c r="D212" s="696"/>
      <c r="E212" s="696"/>
      <c r="F212" s="696"/>
      <c r="G212" s="696"/>
      <c r="H212" s="696"/>
      <c r="I212" s="696"/>
      <c r="J212" s="696"/>
      <c r="K212" s="696"/>
      <c r="L212" s="696"/>
      <c r="M212" s="696"/>
      <c r="N212" s="696"/>
      <c r="O212" s="696"/>
      <c r="P212" s="696"/>
      <c r="Q212" s="696"/>
      <c r="R212" s="696"/>
      <c r="S212" s="696"/>
      <c r="T212" s="696"/>
      <c r="U212" s="696"/>
      <c r="V212" s="696"/>
      <c r="W212" s="696"/>
      <c r="X212" s="696"/>
      <c r="Y212" s="696"/>
      <c r="Z212" s="696"/>
      <c r="AA212" s="66"/>
      <c r="AB212" s="66"/>
      <c r="AC212" s="80"/>
    </row>
    <row r="213" spans="1:68" ht="27" customHeight="1" x14ac:dyDescent="0.25">
      <c r="A213" s="63" t="s">
        <v>364</v>
      </c>
      <c r="B213" s="63" t="s">
        <v>365</v>
      </c>
      <c r="C213" s="36">
        <v>4301031191</v>
      </c>
      <c r="D213" s="697">
        <v>4680115880993</v>
      </c>
      <c r="E213" s="697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140</v>
      </c>
      <c r="L213" s="37" t="s">
        <v>46</v>
      </c>
      <c r="M213" s="38" t="s">
        <v>81</v>
      </c>
      <c r="N213" s="38"/>
      <c r="O213" s="37">
        <v>40</v>
      </c>
      <c r="P213" s="8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9"/>
      <c r="R213" s="699"/>
      <c r="S213" s="699"/>
      <c r="T213" s="70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1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2">IFERROR(X213*I213/H213,"0")</f>
        <v>0</v>
      </c>
      <c r="BN213" s="78">
        <f t="shared" ref="BN213:BN226" si="23">IFERROR(Y213*I213/H213,"0")</f>
        <v>0</v>
      </c>
      <c r="BO213" s="78">
        <f t="shared" ref="BO213:BO226" si="24">IFERROR(1/J213*(X213/H213),"0")</f>
        <v>0</v>
      </c>
      <c r="BP213" s="78">
        <f t="shared" ref="BP213:BP226" si="25">IFERROR(1/J213*(Y213/H213),"0")</f>
        <v>0</v>
      </c>
    </row>
    <row r="214" spans="1:68" ht="27" customHeight="1" x14ac:dyDescent="0.25">
      <c r="A214" s="63" t="s">
        <v>367</v>
      </c>
      <c r="B214" s="63" t="s">
        <v>368</v>
      </c>
      <c r="C214" s="36">
        <v>4301031204</v>
      </c>
      <c r="D214" s="697">
        <v>4680115881761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140</v>
      </c>
      <c r="L214" s="37" t="s">
        <v>46</v>
      </c>
      <c r="M214" s="38" t="s">
        <v>81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369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customHeight="1" x14ac:dyDescent="0.25">
      <c r="A215" s="63" t="s">
        <v>370</v>
      </c>
      <c r="B215" s="63" t="s">
        <v>371</v>
      </c>
      <c r="C215" s="36">
        <v>4301031201</v>
      </c>
      <c r="D215" s="697">
        <v>4680115881563</v>
      </c>
      <c r="E215" s="697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140</v>
      </c>
      <c r="L215" s="37" t="s">
        <v>46</v>
      </c>
      <c r="M215" s="38" t="s">
        <v>81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372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37.5" customHeight="1" x14ac:dyDescent="0.25">
      <c r="A216" s="63" t="s">
        <v>373</v>
      </c>
      <c r="B216" s="63" t="s">
        <v>374</v>
      </c>
      <c r="C216" s="36">
        <v>4301031447</v>
      </c>
      <c r="D216" s="697">
        <v>4680115887565</v>
      </c>
      <c r="E216" s="697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80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375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customHeight="1" x14ac:dyDescent="0.25">
      <c r="A217" s="63" t="s">
        <v>376</v>
      </c>
      <c r="B217" s="63" t="s">
        <v>377</v>
      </c>
      <c r="C217" s="36">
        <v>4301031199</v>
      </c>
      <c r="D217" s="697">
        <v>4680115880986</v>
      </c>
      <c r="E217" s="697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ref="Z217:Z222" si="26">IFERROR(IF(Y217=0,"",ROUNDUP(Y217/H217,0)*0.00502),"")</f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customHeight="1" x14ac:dyDescent="0.25">
      <c r="A218" s="63" t="s">
        <v>378</v>
      </c>
      <c r="B218" s="63" t="s">
        <v>379</v>
      </c>
      <c r="C218" s="36">
        <v>4301031443</v>
      </c>
      <c r="D218" s="697">
        <v>4680115887213</v>
      </c>
      <c r="E218" s="697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381</v>
      </c>
      <c r="B219" s="63" t="s">
        <v>382</v>
      </c>
      <c r="C219" s="36">
        <v>4301031205</v>
      </c>
      <c r="D219" s="697">
        <v>4680115881785</v>
      </c>
      <c r="E219" s="697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369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customHeight="1" x14ac:dyDescent="0.25">
      <c r="A220" s="63" t="s">
        <v>383</v>
      </c>
      <c r="B220" s="63" t="s">
        <v>384</v>
      </c>
      <c r="C220" s="36">
        <v>4301031499</v>
      </c>
      <c r="D220" s="697">
        <v>4680115888432</v>
      </c>
      <c r="E220" s="697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385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386</v>
      </c>
      <c r="B221" s="63" t="s">
        <v>387</v>
      </c>
      <c r="C221" s="36">
        <v>4301031427</v>
      </c>
      <c r="D221" s="697">
        <v>4680115888104</v>
      </c>
      <c r="E221" s="697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388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customHeight="1" x14ac:dyDescent="0.25">
      <c r="A222" s="63" t="s">
        <v>389</v>
      </c>
      <c r="B222" s="63" t="s">
        <v>390</v>
      </c>
      <c r="C222" s="36">
        <v>4301031399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1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391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392</v>
      </c>
      <c r="B223" s="63" t="s">
        <v>393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137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394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37.5" customHeight="1" x14ac:dyDescent="0.25">
      <c r="A224" s="63" t="s">
        <v>395</v>
      </c>
      <c r="B224" s="63" t="s">
        <v>396</v>
      </c>
      <c r="C224" s="36">
        <v>4301031202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1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397</v>
      </c>
      <c r="B225" s="63" t="s">
        <v>398</v>
      </c>
      <c r="C225" s="36">
        <v>4301031158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399</v>
      </c>
      <c r="B226" s="63" t="s">
        <v>400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401</v>
      </c>
      <c r="AG226" s="78"/>
      <c r="AJ226" s="84" t="s">
        <v>46</v>
      </c>
      <c r="AK226" s="84">
        <v>0</v>
      </c>
      <c r="BB226" s="307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x14ac:dyDescent="0.2">
      <c r="A227" s="705"/>
      <c r="B227" s="705"/>
      <c r="C227" s="705"/>
      <c r="D227" s="705"/>
      <c r="E227" s="705"/>
      <c r="F227" s="705"/>
      <c r="G227" s="705"/>
      <c r="H227" s="705"/>
      <c r="I227" s="705"/>
      <c r="J227" s="705"/>
      <c r="K227" s="705"/>
      <c r="L227" s="705"/>
      <c r="M227" s="705"/>
      <c r="N227" s="705"/>
      <c r="O227" s="706"/>
      <c r="P227" s="702" t="s">
        <v>40</v>
      </c>
      <c r="Q227" s="703"/>
      <c r="R227" s="703"/>
      <c r="S227" s="703"/>
      <c r="T227" s="703"/>
      <c r="U227" s="703"/>
      <c r="V227" s="704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x14ac:dyDescent="0.2">
      <c r="A228" s="705"/>
      <c r="B228" s="705"/>
      <c r="C228" s="705"/>
      <c r="D228" s="705"/>
      <c r="E228" s="705"/>
      <c r="F228" s="705"/>
      <c r="G228" s="705"/>
      <c r="H228" s="705"/>
      <c r="I228" s="705"/>
      <c r="J228" s="705"/>
      <c r="K228" s="705"/>
      <c r="L228" s="705"/>
      <c r="M228" s="705"/>
      <c r="N228" s="705"/>
      <c r="O228" s="706"/>
      <c r="P228" s="702" t="s">
        <v>40</v>
      </c>
      <c r="Q228" s="703"/>
      <c r="R228" s="703"/>
      <c r="S228" s="703"/>
      <c r="T228" s="703"/>
      <c r="U228" s="703"/>
      <c r="V228" s="704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customHeight="1" x14ac:dyDescent="0.25">
      <c r="A229" s="696" t="s">
        <v>86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27" customHeight="1" x14ac:dyDescent="0.25">
      <c r="A230" s="63" t="s">
        <v>402</v>
      </c>
      <c r="B230" s="63" t="s">
        <v>403</v>
      </c>
      <c r="C230" s="36">
        <v>4301052178</v>
      </c>
      <c r="D230" s="697">
        <v>4680115888975</v>
      </c>
      <c r="E230" s="697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276</v>
      </c>
      <c r="AC230" s="308" t="s">
        <v>404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customHeight="1" x14ac:dyDescent="0.25">
      <c r="A231" s="63" t="s">
        <v>405</v>
      </c>
      <c r="B231" s="63" t="s">
        <v>406</v>
      </c>
      <c r="C231" s="36">
        <v>4301052209</v>
      </c>
      <c r="D231" s="697">
        <v>4680115888692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133</v>
      </c>
      <c r="L231" s="37" t="s">
        <v>46</v>
      </c>
      <c r="M231" s="38" t="s">
        <v>97</v>
      </c>
      <c r="N231" s="38"/>
      <c r="O231" s="37">
        <v>35</v>
      </c>
      <c r="P231" s="81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408</v>
      </c>
      <c r="B232" s="63" t="s">
        <v>409</v>
      </c>
      <c r="C232" s="36">
        <v>4301052213</v>
      </c>
      <c r="D232" s="697">
        <v>4680115888722</v>
      </c>
      <c r="E232" s="69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133</v>
      </c>
      <c r="L232" s="37" t="s">
        <v>46</v>
      </c>
      <c r="M232" s="38" t="s">
        <v>97</v>
      </c>
      <c r="N232" s="38"/>
      <c r="O232" s="37">
        <v>35</v>
      </c>
      <c r="P232" s="8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411</v>
      </c>
      <c r="B233" s="63" t="s">
        <v>412</v>
      </c>
      <c r="C233" s="36">
        <v>4301052177</v>
      </c>
      <c r="D233" s="697">
        <v>4680115888951</v>
      </c>
      <c r="E233" s="69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140</v>
      </c>
      <c r="L233" s="37" t="s">
        <v>46</v>
      </c>
      <c r="M233" s="38" t="s">
        <v>97</v>
      </c>
      <c r="N233" s="38"/>
      <c r="O233" s="37">
        <v>35</v>
      </c>
      <c r="P233" s="81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414</v>
      </c>
      <c r="B234" s="63" t="s">
        <v>415</v>
      </c>
      <c r="C234" s="36">
        <v>4301052176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140</v>
      </c>
      <c r="L234" s="37" t="s">
        <v>46</v>
      </c>
      <c r="M234" s="38" t="s">
        <v>97</v>
      </c>
      <c r="N234" s="38"/>
      <c r="O234" s="37">
        <v>35</v>
      </c>
      <c r="P234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410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705"/>
      <c r="B235" s="705"/>
      <c r="C235" s="705"/>
      <c r="D235" s="705"/>
      <c r="E235" s="705"/>
      <c r="F235" s="705"/>
      <c r="G235" s="705"/>
      <c r="H235" s="705"/>
      <c r="I235" s="705"/>
      <c r="J235" s="705"/>
      <c r="K235" s="705"/>
      <c r="L235" s="705"/>
      <c r="M235" s="705"/>
      <c r="N235" s="705"/>
      <c r="O235" s="706"/>
      <c r="P235" s="702" t="s">
        <v>40</v>
      </c>
      <c r="Q235" s="703"/>
      <c r="R235" s="703"/>
      <c r="S235" s="703"/>
      <c r="T235" s="703"/>
      <c r="U235" s="703"/>
      <c r="V235" s="704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705"/>
      <c r="B236" s="705"/>
      <c r="C236" s="705"/>
      <c r="D236" s="705"/>
      <c r="E236" s="705"/>
      <c r="F236" s="705"/>
      <c r="G236" s="705"/>
      <c r="H236" s="705"/>
      <c r="I236" s="705"/>
      <c r="J236" s="705"/>
      <c r="K236" s="705"/>
      <c r="L236" s="705"/>
      <c r="M236" s="705"/>
      <c r="N236" s="705"/>
      <c r="O236" s="706"/>
      <c r="P236" s="702" t="s">
        <v>40</v>
      </c>
      <c r="Q236" s="703"/>
      <c r="R236" s="703"/>
      <c r="S236" s="703"/>
      <c r="T236" s="703"/>
      <c r="U236" s="703"/>
      <c r="V236" s="704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 x14ac:dyDescent="0.25">
      <c r="A237" s="696" t="s">
        <v>104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customHeight="1" x14ac:dyDescent="0.25">
      <c r="A238" s="63" t="s">
        <v>416</v>
      </c>
      <c r="B238" s="63" t="s">
        <v>417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330</v>
      </c>
      <c r="L238" s="37" t="s">
        <v>46</v>
      </c>
      <c r="M238" s="38" t="s">
        <v>329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418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419</v>
      </c>
      <c r="B239" s="63" t="s">
        <v>420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330</v>
      </c>
      <c r="L239" s="37" t="s">
        <v>46</v>
      </c>
      <c r="M239" s="38" t="s">
        <v>329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421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422</v>
      </c>
      <c r="B240" s="63" t="s">
        <v>423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330</v>
      </c>
      <c r="L240" s="37" t="s">
        <v>46</v>
      </c>
      <c r="M240" s="38" t="s">
        <v>329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421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705"/>
      <c r="B241" s="705"/>
      <c r="C241" s="705"/>
      <c r="D241" s="705"/>
      <c r="E241" s="705"/>
      <c r="F241" s="705"/>
      <c r="G241" s="705"/>
      <c r="H241" s="705"/>
      <c r="I241" s="705"/>
      <c r="J241" s="705"/>
      <c r="K241" s="705"/>
      <c r="L241" s="705"/>
      <c r="M241" s="705"/>
      <c r="N241" s="705"/>
      <c r="O241" s="706"/>
      <c r="P241" s="702" t="s">
        <v>40</v>
      </c>
      <c r="Q241" s="703"/>
      <c r="R241" s="703"/>
      <c r="S241" s="703"/>
      <c r="T241" s="703"/>
      <c r="U241" s="703"/>
      <c r="V241" s="704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705"/>
      <c r="B242" s="705"/>
      <c r="C242" s="705"/>
      <c r="D242" s="705"/>
      <c r="E242" s="705"/>
      <c r="F242" s="705"/>
      <c r="G242" s="705"/>
      <c r="H242" s="705"/>
      <c r="I242" s="705"/>
      <c r="J242" s="705"/>
      <c r="K242" s="705"/>
      <c r="L242" s="705"/>
      <c r="M242" s="705"/>
      <c r="N242" s="705"/>
      <c r="O242" s="706"/>
      <c r="P242" s="702" t="s">
        <v>40</v>
      </c>
      <c r="Q242" s="703"/>
      <c r="R242" s="703"/>
      <c r="S242" s="703"/>
      <c r="T242" s="703"/>
      <c r="U242" s="703"/>
      <c r="V242" s="704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96" t="s">
        <v>424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customHeight="1" x14ac:dyDescent="0.25">
      <c r="A244" s="63" t="s">
        <v>425</v>
      </c>
      <c r="B244" s="63" t="s">
        <v>426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330</v>
      </c>
      <c r="L244" s="37" t="s">
        <v>46</v>
      </c>
      <c r="M244" s="38" t="s">
        <v>329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421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705"/>
      <c r="B245" s="705"/>
      <c r="C245" s="705"/>
      <c r="D245" s="705"/>
      <c r="E245" s="705"/>
      <c r="F245" s="705"/>
      <c r="G245" s="705"/>
      <c r="H245" s="705"/>
      <c r="I245" s="705"/>
      <c r="J245" s="705"/>
      <c r="K245" s="705"/>
      <c r="L245" s="705"/>
      <c r="M245" s="705"/>
      <c r="N245" s="705"/>
      <c r="O245" s="706"/>
      <c r="P245" s="702" t="s">
        <v>40</v>
      </c>
      <c r="Q245" s="703"/>
      <c r="R245" s="703"/>
      <c r="S245" s="703"/>
      <c r="T245" s="703"/>
      <c r="U245" s="703"/>
      <c r="V245" s="70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705"/>
      <c r="B246" s="705"/>
      <c r="C246" s="705"/>
      <c r="D246" s="705"/>
      <c r="E246" s="705"/>
      <c r="F246" s="705"/>
      <c r="G246" s="705"/>
      <c r="H246" s="705"/>
      <c r="I246" s="705"/>
      <c r="J246" s="705"/>
      <c r="K246" s="705"/>
      <c r="L246" s="705"/>
      <c r="M246" s="705"/>
      <c r="N246" s="705"/>
      <c r="O246" s="706"/>
      <c r="P246" s="702" t="s">
        <v>40</v>
      </c>
      <c r="Q246" s="703"/>
      <c r="R246" s="703"/>
      <c r="S246" s="703"/>
      <c r="T246" s="703"/>
      <c r="U246" s="703"/>
      <c r="V246" s="70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95" t="s">
        <v>427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customHeight="1" x14ac:dyDescent="0.25">
      <c r="A248" s="696" t="s">
        <v>128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customHeight="1" x14ac:dyDescent="0.25">
      <c r="A249" s="63" t="s">
        <v>428</v>
      </c>
      <c r="B249" s="63" t="s">
        <v>429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133</v>
      </c>
      <c r="L249" s="37" t="s">
        <v>46</v>
      </c>
      <c r="M249" s="38" t="s">
        <v>132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430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431</v>
      </c>
      <c r="B250" s="63" t="s">
        <v>432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132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430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05"/>
      <c r="B251" s="705"/>
      <c r="C251" s="705"/>
      <c r="D251" s="705"/>
      <c r="E251" s="705"/>
      <c r="F251" s="705"/>
      <c r="G251" s="705"/>
      <c r="H251" s="705"/>
      <c r="I251" s="705"/>
      <c r="J251" s="705"/>
      <c r="K251" s="705"/>
      <c r="L251" s="705"/>
      <c r="M251" s="705"/>
      <c r="N251" s="705"/>
      <c r="O251" s="706"/>
      <c r="P251" s="702" t="s">
        <v>40</v>
      </c>
      <c r="Q251" s="703"/>
      <c r="R251" s="703"/>
      <c r="S251" s="703"/>
      <c r="T251" s="703"/>
      <c r="U251" s="703"/>
      <c r="V251" s="70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705"/>
      <c r="B252" s="705"/>
      <c r="C252" s="705"/>
      <c r="D252" s="705"/>
      <c r="E252" s="705"/>
      <c r="F252" s="705"/>
      <c r="G252" s="705"/>
      <c r="H252" s="705"/>
      <c r="I252" s="705"/>
      <c r="J252" s="705"/>
      <c r="K252" s="705"/>
      <c r="L252" s="705"/>
      <c r="M252" s="705"/>
      <c r="N252" s="705"/>
      <c r="O252" s="706"/>
      <c r="P252" s="702" t="s">
        <v>40</v>
      </c>
      <c r="Q252" s="703"/>
      <c r="R252" s="703"/>
      <c r="S252" s="703"/>
      <c r="T252" s="703"/>
      <c r="U252" s="703"/>
      <c r="V252" s="70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96" t="s">
        <v>164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customHeight="1" x14ac:dyDescent="0.25">
      <c r="A254" s="63" t="s">
        <v>433</v>
      </c>
      <c r="B254" s="63" t="s">
        <v>434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133</v>
      </c>
      <c r="L254" s="37" t="s">
        <v>46</v>
      </c>
      <c r="M254" s="38" t="s">
        <v>132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435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436</v>
      </c>
      <c r="B255" s="63" t="s">
        <v>437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132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705"/>
      <c r="B256" s="705"/>
      <c r="C256" s="705"/>
      <c r="D256" s="705"/>
      <c r="E256" s="705"/>
      <c r="F256" s="705"/>
      <c r="G256" s="705"/>
      <c r="H256" s="705"/>
      <c r="I256" s="705"/>
      <c r="J256" s="705"/>
      <c r="K256" s="705"/>
      <c r="L256" s="705"/>
      <c r="M256" s="705"/>
      <c r="N256" s="705"/>
      <c r="O256" s="706"/>
      <c r="P256" s="702" t="s">
        <v>40</v>
      </c>
      <c r="Q256" s="703"/>
      <c r="R256" s="703"/>
      <c r="S256" s="703"/>
      <c r="T256" s="703"/>
      <c r="U256" s="703"/>
      <c r="V256" s="70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705"/>
      <c r="B257" s="705"/>
      <c r="C257" s="705"/>
      <c r="D257" s="705"/>
      <c r="E257" s="705"/>
      <c r="F257" s="705"/>
      <c r="G257" s="705"/>
      <c r="H257" s="705"/>
      <c r="I257" s="705"/>
      <c r="J257" s="705"/>
      <c r="K257" s="705"/>
      <c r="L257" s="705"/>
      <c r="M257" s="705"/>
      <c r="N257" s="705"/>
      <c r="O257" s="706"/>
      <c r="P257" s="702" t="s">
        <v>40</v>
      </c>
      <c r="Q257" s="703"/>
      <c r="R257" s="703"/>
      <c r="S257" s="703"/>
      <c r="T257" s="703"/>
      <c r="U257" s="703"/>
      <c r="V257" s="70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96" t="s">
        <v>77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customHeight="1" x14ac:dyDescent="0.25">
      <c r="A259" s="63" t="s">
        <v>438</v>
      </c>
      <c r="B259" s="63" t="s">
        <v>439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140</v>
      </c>
      <c r="L259" s="37" t="s">
        <v>46</v>
      </c>
      <c r="M259" s="38" t="s">
        <v>81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27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440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28">IFERROR(X259*I259/H259,"0")</f>
        <v>0</v>
      </c>
      <c r="BN259" s="78">
        <f t="shared" ref="BN259:BN266" si="29">IFERROR(Y259*I259/H259,"0")</f>
        <v>0</v>
      </c>
      <c r="BO259" s="78">
        <f t="shared" ref="BO259:BO266" si="30">IFERROR(1/J259*(X259/H259),"0")</f>
        <v>0</v>
      </c>
      <c r="BP259" s="78">
        <f t="shared" ref="BP259:BP266" si="31">IFERROR(1/J259*(Y259/H259),"0")</f>
        <v>0</v>
      </c>
    </row>
    <row r="260" spans="1:68" ht="27" customHeight="1" x14ac:dyDescent="0.25">
      <c r="A260" s="63" t="s">
        <v>441</v>
      </c>
      <c r="B260" s="63" t="s">
        <v>442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140</v>
      </c>
      <c r="L260" s="37" t="s">
        <v>46</v>
      </c>
      <c r="M260" s="38" t="s">
        <v>81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27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443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0</v>
      </c>
      <c r="BN260" s="78">
        <f t="shared" si="29"/>
        <v>0</v>
      </c>
      <c r="BO260" s="78">
        <f t="shared" si="30"/>
        <v>0</v>
      </c>
      <c r="BP260" s="78">
        <f t="shared" si="31"/>
        <v>0</v>
      </c>
    </row>
    <row r="261" spans="1:68" ht="27" customHeight="1" x14ac:dyDescent="0.25">
      <c r="A261" s="63" t="s">
        <v>444</v>
      </c>
      <c r="B261" s="63" t="s">
        <v>445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140</v>
      </c>
      <c r="L261" s="37" t="s">
        <v>46</v>
      </c>
      <c r="M261" s="38" t="s">
        <v>81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27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446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0</v>
      </c>
      <c r="BN261" s="78">
        <f t="shared" si="29"/>
        <v>0</v>
      </c>
      <c r="BO261" s="78">
        <f t="shared" si="30"/>
        <v>0</v>
      </c>
      <c r="BP261" s="78">
        <f t="shared" si="31"/>
        <v>0</v>
      </c>
    </row>
    <row r="262" spans="1:68" ht="27" customHeight="1" x14ac:dyDescent="0.25">
      <c r="A262" s="63" t="s">
        <v>447</v>
      </c>
      <c r="B262" s="63" t="s">
        <v>448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140</v>
      </c>
      <c r="L262" s="37" t="s">
        <v>46</v>
      </c>
      <c r="M262" s="38" t="s">
        <v>81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27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449</v>
      </c>
      <c r="AG262" s="78"/>
      <c r="AJ262" s="84" t="s">
        <v>46</v>
      </c>
      <c r="AK262" s="84">
        <v>0</v>
      </c>
      <c r="BB262" s="341" t="s">
        <v>67</v>
      </c>
      <c r="BM262" s="78">
        <f t="shared" si="28"/>
        <v>0</v>
      </c>
      <c r="BN262" s="78">
        <f t="shared" si="29"/>
        <v>0</v>
      </c>
      <c r="BO262" s="78">
        <f t="shared" si="30"/>
        <v>0</v>
      </c>
      <c r="BP262" s="78">
        <f t="shared" si="31"/>
        <v>0</v>
      </c>
    </row>
    <row r="263" spans="1:68" ht="27" customHeight="1" x14ac:dyDescent="0.25">
      <c r="A263" s="63" t="s">
        <v>450</v>
      </c>
      <c r="B263" s="63" t="s">
        <v>451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27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440</v>
      </c>
      <c r="AG263" s="78"/>
      <c r="AJ263" s="84" t="s">
        <v>46</v>
      </c>
      <c r="AK263" s="84">
        <v>0</v>
      </c>
      <c r="BB263" s="343" t="s">
        <v>67</v>
      </c>
      <c r="BM263" s="78">
        <f t="shared" si="28"/>
        <v>0</v>
      </c>
      <c r="BN263" s="78">
        <f t="shared" si="29"/>
        <v>0</v>
      </c>
      <c r="BO263" s="78">
        <f t="shared" si="30"/>
        <v>0</v>
      </c>
      <c r="BP263" s="78">
        <f t="shared" si="31"/>
        <v>0</v>
      </c>
    </row>
    <row r="264" spans="1:68" ht="27" customHeight="1" x14ac:dyDescent="0.25">
      <c r="A264" s="63" t="s">
        <v>452</v>
      </c>
      <c r="B264" s="63" t="s">
        <v>453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27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443</v>
      </c>
      <c r="AG264" s="78"/>
      <c r="AJ264" s="84" t="s">
        <v>46</v>
      </c>
      <c r="AK264" s="84">
        <v>0</v>
      </c>
      <c r="BB264" s="345" t="s">
        <v>67</v>
      </c>
      <c r="BM264" s="78">
        <f t="shared" si="28"/>
        <v>0</v>
      </c>
      <c r="BN264" s="78">
        <f t="shared" si="29"/>
        <v>0</v>
      </c>
      <c r="BO264" s="78">
        <f t="shared" si="30"/>
        <v>0</v>
      </c>
      <c r="BP264" s="78">
        <f t="shared" si="31"/>
        <v>0</v>
      </c>
    </row>
    <row r="265" spans="1:68" ht="27" customHeight="1" x14ac:dyDescent="0.25">
      <c r="A265" s="63" t="s">
        <v>454</v>
      </c>
      <c r="B265" s="63" t="s">
        <v>455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27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446</v>
      </c>
      <c r="AG265" s="78"/>
      <c r="AJ265" s="84" t="s">
        <v>46</v>
      </c>
      <c r="AK265" s="84">
        <v>0</v>
      </c>
      <c r="BB265" s="347" t="s">
        <v>67</v>
      </c>
      <c r="BM265" s="78">
        <f t="shared" si="28"/>
        <v>0</v>
      </c>
      <c r="BN265" s="78">
        <f t="shared" si="29"/>
        <v>0</v>
      </c>
      <c r="BO265" s="78">
        <f t="shared" si="30"/>
        <v>0</v>
      </c>
      <c r="BP265" s="78">
        <f t="shared" si="31"/>
        <v>0</v>
      </c>
    </row>
    <row r="266" spans="1:68" ht="27" customHeight="1" x14ac:dyDescent="0.25">
      <c r="A266" s="63" t="s">
        <v>456</v>
      </c>
      <c r="B266" s="63" t="s">
        <v>457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27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449</v>
      </c>
      <c r="AG266" s="78"/>
      <c r="AJ266" s="84" t="s">
        <v>46</v>
      </c>
      <c r="AK266" s="84">
        <v>0</v>
      </c>
      <c r="BB266" s="349" t="s">
        <v>67</v>
      </c>
      <c r="BM266" s="78">
        <f t="shared" si="28"/>
        <v>0</v>
      </c>
      <c r="BN266" s="78">
        <f t="shared" si="29"/>
        <v>0</v>
      </c>
      <c r="BO266" s="78">
        <f t="shared" si="30"/>
        <v>0</v>
      </c>
      <c r="BP266" s="78">
        <f t="shared" si="31"/>
        <v>0</v>
      </c>
    </row>
    <row r="267" spans="1:68" x14ac:dyDescent="0.2">
      <c r="A267" s="705"/>
      <c r="B267" s="705"/>
      <c r="C267" s="705"/>
      <c r="D267" s="705"/>
      <c r="E267" s="705"/>
      <c r="F267" s="705"/>
      <c r="G267" s="705"/>
      <c r="H267" s="705"/>
      <c r="I267" s="705"/>
      <c r="J267" s="705"/>
      <c r="K267" s="705"/>
      <c r="L267" s="705"/>
      <c r="M267" s="705"/>
      <c r="N267" s="705"/>
      <c r="O267" s="706"/>
      <c r="P267" s="702" t="s">
        <v>40</v>
      </c>
      <c r="Q267" s="703"/>
      <c r="R267" s="703"/>
      <c r="S267" s="703"/>
      <c r="T267" s="703"/>
      <c r="U267" s="703"/>
      <c r="V267" s="70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705"/>
      <c r="B268" s="705"/>
      <c r="C268" s="705"/>
      <c r="D268" s="705"/>
      <c r="E268" s="705"/>
      <c r="F268" s="705"/>
      <c r="G268" s="705"/>
      <c r="H268" s="705"/>
      <c r="I268" s="705"/>
      <c r="J268" s="705"/>
      <c r="K268" s="705"/>
      <c r="L268" s="705"/>
      <c r="M268" s="705"/>
      <c r="N268" s="705"/>
      <c r="O268" s="706"/>
      <c r="P268" s="702" t="s">
        <v>40</v>
      </c>
      <c r="Q268" s="703"/>
      <c r="R268" s="703"/>
      <c r="S268" s="703"/>
      <c r="T268" s="703"/>
      <c r="U268" s="703"/>
      <c r="V268" s="704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customHeight="1" x14ac:dyDescent="0.25">
      <c r="A269" s="696" t="s">
        <v>86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customHeight="1" x14ac:dyDescent="0.25">
      <c r="A270" s="63" t="s">
        <v>458</v>
      </c>
      <c r="B270" s="63" t="s">
        <v>459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133</v>
      </c>
      <c r="L270" s="37" t="s">
        <v>46</v>
      </c>
      <c r="M270" s="38" t="s">
        <v>90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2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460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3">IFERROR(X270*I270/H270,"0")</f>
        <v>0</v>
      </c>
      <c r="BN270" s="78">
        <f t="shared" ref="BN270:BN281" si="34">IFERROR(Y270*I270/H270,"0")</f>
        <v>0</v>
      </c>
      <c r="BO270" s="78">
        <f t="shared" ref="BO270:BO281" si="35">IFERROR(1/J270*(X270/H270),"0")</f>
        <v>0</v>
      </c>
      <c r="BP270" s="78">
        <f t="shared" ref="BP270:BP281" si="36">IFERROR(1/J270*(Y270/H270),"0")</f>
        <v>0</v>
      </c>
    </row>
    <row r="271" spans="1:68" ht="27" customHeight="1" x14ac:dyDescent="0.25">
      <c r="A271" s="63" t="s">
        <v>461</v>
      </c>
      <c r="B271" s="63" t="s">
        <v>462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133</v>
      </c>
      <c r="L271" s="37" t="s">
        <v>46</v>
      </c>
      <c r="M271" s="38" t="s">
        <v>90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463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customHeight="1" x14ac:dyDescent="0.25">
      <c r="A272" s="63" t="s">
        <v>464</v>
      </c>
      <c r="B272" s="63" t="s">
        <v>465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133</v>
      </c>
      <c r="L272" s="37" t="s">
        <v>46</v>
      </c>
      <c r="M272" s="38" t="s">
        <v>90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2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466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0</v>
      </c>
      <c r="BN272" s="78">
        <f t="shared" si="34"/>
        <v>0</v>
      </c>
      <c r="BO272" s="78">
        <f t="shared" si="35"/>
        <v>0</v>
      </c>
      <c r="BP272" s="78">
        <f t="shared" si="36"/>
        <v>0</v>
      </c>
    </row>
    <row r="273" spans="1:68" ht="27" customHeight="1" x14ac:dyDescent="0.25">
      <c r="A273" s="63" t="s">
        <v>467</v>
      </c>
      <c r="B273" s="63" t="s">
        <v>468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2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0</v>
      </c>
      <c r="BN273" s="78">
        <f t="shared" si="34"/>
        <v>0</v>
      </c>
      <c r="BO273" s="78">
        <f t="shared" si="35"/>
        <v>0</v>
      </c>
      <c r="BP273" s="78">
        <f t="shared" si="36"/>
        <v>0</v>
      </c>
    </row>
    <row r="274" spans="1:68" ht="27" customHeight="1" x14ac:dyDescent="0.25">
      <c r="A274" s="63" t="s">
        <v>469</v>
      </c>
      <c r="B274" s="63" t="s">
        <v>470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466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customHeight="1" x14ac:dyDescent="0.25">
      <c r="A275" s="63" t="s">
        <v>471</v>
      </c>
      <c r="B275" s="63" t="s">
        <v>472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140</v>
      </c>
      <c r="L275" s="37" t="s">
        <v>46</v>
      </c>
      <c r="M275" s="38" t="s">
        <v>90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473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customHeight="1" x14ac:dyDescent="0.25">
      <c r="A276" s="63" t="s">
        <v>474</v>
      </c>
      <c r="B276" s="63" t="s">
        <v>475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466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ht="27" customHeight="1" x14ac:dyDescent="0.25">
      <c r="A277" s="63" t="s">
        <v>476</v>
      </c>
      <c r="B277" s="63" t="s">
        <v>477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133</v>
      </c>
      <c r="L277" s="37" t="s">
        <v>46</v>
      </c>
      <c r="M277" s="38" t="s">
        <v>90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473</v>
      </c>
      <c r="AG277" s="78"/>
      <c r="AJ277" s="84" t="s">
        <v>46</v>
      </c>
      <c r="AK277" s="84">
        <v>0</v>
      </c>
      <c r="BB277" s="365" t="s">
        <v>67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customHeight="1" x14ac:dyDescent="0.25">
      <c r="A278" s="63" t="s">
        <v>478</v>
      </c>
      <c r="B278" s="63" t="s">
        <v>479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2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466</v>
      </c>
      <c r="AG278" s="78"/>
      <c r="AJ278" s="84" t="s">
        <v>46</v>
      </c>
      <c r="AK278" s="84">
        <v>0</v>
      </c>
      <c r="BB278" s="367" t="s">
        <v>67</v>
      </c>
      <c r="BM278" s="78">
        <f t="shared" si="33"/>
        <v>0</v>
      </c>
      <c r="BN278" s="78">
        <f t="shared" si="34"/>
        <v>0</v>
      </c>
      <c r="BO278" s="78">
        <f t="shared" si="35"/>
        <v>0</v>
      </c>
      <c r="BP278" s="78">
        <f t="shared" si="36"/>
        <v>0</v>
      </c>
    </row>
    <row r="279" spans="1:68" ht="27" customHeight="1" x14ac:dyDescent="0.25">
      <c r="A279" s="63" t="s">
        <v>480</v>
      </c>
      <c r="B279" s="63" t="s">
        <v>481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2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482</v>
      </c>
      <c r="AG279" s="78"/>
      <c r="AJ279" s="84" t="s">
        <v>46</v>
      </c>
      <c r="AK279" s="84">
        <v>0</v>
      </c>
      <c r="BB279" s="369" t="s">
        <v>67</v>
      </c>
      <c r="BM279" s="78">
        <f t="shared" si="33"/>
        <v>0</v>
      </c>
      <c r="BN279" s="78">
        <f t="shared" si="34"/>
        <v>0</v>
      </c>
      <c r="BO279" s="78">
        <f t="shared" si="35"/>
        <v>0</v>
      </c>
      <c r="BP279" s="78">
        <f t="shared" si="36"/>
        <v>0</v>
      </c>
    </row>
    <row r="280" spans="1:68" ht="27" customHeight="1" x14ac:dyDescent="0.25">
      <c r="A280" s="63" t="s">
        <v>483</v>
      </c>
      <c r="B280" s="63" t="s">
        <v>484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2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485</v>
      </c>
      <c r="AG280" s="78"/>
      <c r="AJ280" s="84" t="s">
        <v>46</v>
      </c>
      <c r="AK280" s="84">
        <v>0</v>
      </c>
      <c r="BB280" s="371" t="s">
        <v>67</v>
      </c>
      <c r="BM280" s="78">
        <f t="shared" si="33"/>
        <v>0</v>
      </c>
      <c r="BN280" s="78">
        <f t="shared" si="34"/>
        <v>0</v>
      </c>
      <c r="BO280" s="78">
        <f t="shared" si="35"/>
        <v>0</v>
      </c>
      <c r="BP280" s="78">
        <f t="shared" si="36"/>
        <v>0</v>
      </c>
    </row>
    <row r="281" spans="1:68" ht="27" customHeight="1" x14ac:dyDescent="0.25">
      <c r="A281" s="63" t="s">
        <v>486</v>
      </c>
      <c r="B281" s="63" t="s">
        <v>487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488</v>
      </c>
      <c r="AG281" s="78"/>
      <c r="AJ281" s="84" t="s">
        <v>46</v>
      </c>
      <c r="AK281" s="84">
        <v>0</v>
      </c>
      <c r="BB281" s="373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x14ac:dyDescent="0.2">
      <c r="A282" s="705"/>
      <c r="B282" s="705"/>
      <c r="C282" s="705"/>
      <c r="D282" s="705"/>
      <c r="E282" s="705"/>
      <c r="F282" s="705"/>
      <c r="G282" s="705"/>
      <c r="H282" s="705"/>
      <c r="I282" s="705"/>
      <c r="J282" s="705"/>
      <c r="K282" s="705"/>
      <c r="L282" s="705"/>
      <c r="M282" s="705"/>
      <c r="N282" s="705"/>
      <c r="O282" s="706"/>
      <c r="P282" s="702" t="s">
        <v>40</v>
      </c>
      <c r="Q282" s="703"/>
      <c r="R282" s="703"/>
      <c r="S282" s="703"/>
      <c r="T282" s="703"/>
      <c r="U282" s="703"/>
      <c r="V282" s="70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705"/>
      <c r="B283" s="705"/>
      <c r="C283" s="705"/>
      <c r="D283" s="705"/>
      <c r="E283" s="705"/>
      <c r="F283" s="705"/>
      <c r="G283" s="705"/>
      <c r="H283" s="705"/>
      <c r="I283" s="705"/>
      <c r="J283" s="705"/>
      <c r="K283" s="705"/>
      <c r="L283" s="705"/>
      <c r="M283" s="705"/>
      <c r="N283" s="705"/>
      <c r="O283" s="706"/>
      <c r="P283" s="702" t="s">
        <v>40</v>
      </c>
      <c r="Q283" s="703"/>
      <c r="R283" s="703"/>
      <c r="S283" s="703"/>
      <c r="T283" s="703"/>
      <c r="U283" s="703"/>
      <c r="V283" s="704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customHeight="1" x14ac:dyDescent="0.25">
      <c r="A284" s="696" t="s">
        <v>181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customHeight="1" x14ac:dyDescent="0.25">
      <c r="A285" s="63" t="s">
        <v>489</v>
      </c>
      <c r="B285" s="63" t="s">
        <v>490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491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492</v>
      </c>
      <c r="B286" s="63" t="s">
        <v>493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494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705"/>
      <c r="B287" s="705"/>
      <c r="C287" s="705"/>
      <c r="D287" s="705"/>
      <c r="E287" s="705"/>
      <c r="F287" s="705"/>
      <c r="G287" s="705"/>
      <c r="H287" s="705"/>
      <c r="I287" s="705"/>
      <c r="J287" s="705"/>
      <c r="K287" s="705"/>
      <c r="L287" s="705"/>
      <c r="M287" s="705"/>
      <c r="N287" s="705"/>
      <c r="O287" s="706"/>
      <c r="P287" s="702" t="s">
        <v>40</v>
      </c>
      <c r="Q287" s="703"/>
      <c r="R287" s="703"/>
      <c r="S287" s="703"/>
      <c r="T287" s="703"/>
      <c r="U287" s="703"/>
      <c r="V287" s="70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705"/>
      <c r="B288" s="705"/>
      <c r="C288" s="705"/>
      <c r="D288" s="705"/>
      <c r="E288" s="705"/>
      <c r="F288" s="705"/>
      <c r="G288" s="705"/>
      <c r="H288" s="705"/>
      <c r="I288" s="705"/>
      <c r="J288" s="705"/>
      <c r="K288" s="705"/>
      <c r="L288" s="705"/>
      <c r="M288" s="705"/>
      <c r="N288" s="705"/>
      <c r="O288" s="706"/>
      <c r="P288" s="702" t="s">
        <v>40</v>
      </c>
      <c r="Q288" s="703"/>
      <c r="R288" s="703"/>
      <c r="S288" s="703"/>
      <c r="T288" s="703"/>
      <c r="U288" s="703"/>
      <c r="V288" s="70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95" t="s">
        <v>495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customHeight="1" x14ac:dyDescent="0.25">
      <c r="A290" s="696" t="s">
        <v>128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customHeight="1" x14ac:dyDescent="0.25">
      <c r="A291" s="63" t="s">
        <v>496</v>
      </c>
      <c r="B291" s="63" t="s">
        <v>497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133</v>
      </c>
      <c r="L291" s="37" t="s">
        <v>46</v>
      </c>
      <c r="M291" s="38" t="s">
        <v>132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37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498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38">IFERROR(X291*I291/H291,"0")</f>
        <v>0</v>
      </c>
      <c r="BN291" s="78">
        <f t="shared" ref="BN291:BN297" si="39">IFERROR(Y291*I291/H291,"0")</f>
        <v>0</v>
      </c>
      <c r="BO291" s="78">
        <f t="shared" ref="BO291:BO297" si="40">IFERROR(1/J291*(X291/H291),"0")</f>
        <v>0</v>
      </c>
      <c r="BP291" s="78">
        <f t="shared" ref="BP291:BP297" si="41">IFERROR(1/J291*(Y291/H291),"0")</f>
        <v>0</v>
      </c>
    </row>
    <row r="292" spans="1:68" ht="27" customHeight="1" x14ac:dyDescent="0.25">
      <c r="A292" s="63" t="s">
        <v>499</v>
      </c>
      <c r="B292" s="63" t="s">
        <v>500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133</v>
      </c>
      <c r="L292" s="37" t="s">
        <v>46</v>
      </c>
      <c r="M292" s="38" t="s">
        <v>132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501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customHeight="1" x14ac:dyDescent="0.25">
      <c r="A293" s="63" t="s">
        <v>502</v>
      </c>
      <c r="B293" s="63" t="s">
        <v>503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133</v>
      </c>
      <c r="L293" s="37" t="s">
        <v>46</v>
      </c>
      <c r="M293" s="38" t="s">
        <v>132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37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38"/>
        <v>0</v>
      </c>
      <c r="BN293" s="78">
        <f t="shared" si="39"/>
        <v>0</v>
      </c>
      <c r="BO293" s="78">
        <f t="shared" si="40"/>
        <v>0</v>
      </c>
      <c r="BP293" s="78">
        <f t="shared" si="41"/>
        <v>0</v>
      </c>
    </row>
    <row r="294" spans="1:68" ht="27" customHeight="1" x14ac:dyDescent="0.25">
      <c r="A294" s="63" t="s">
        <v>504</v>
      </c>
      <c r="B294" s="63" t="s">
        <v>505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140</v>
      </c>
      <c r="L294" s="37" t="s">
        <v>46</v>
      </c>
      <c r="M294" s="38" t="s">
        <v>132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37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498</v>
      </c>
      <c r="AG294" s="78"/>
      <c r="AJ294" s="84" t="s">
        <v>46</v>
      </c>
      <c r="AK294" s="84">
        <v>0</v>
      </c>
      <c r="BB294" s="385" t="s">
        <v>67</v>
      </c>
      <c r="BM294" s="78">
        <f t="shared" si="38"/>
        <v>0</v>
      </c>
      <c r="BN294" s="78">
        <f t="shared" si="39"/>
        <v>0</v>
      </c>
      <c r="BO294" s="78">
        <f t="shared" si="40"/>
        <v>0</v>
      </c>
      <c r="BP294" s="78">
        <f t="shared" si="41"/>
        <v>0</v>
      </c>
    </row>
    <row r="295" spans="1:68" ht="27" customHeight="1" x14ac:dyDescent="0.25">
      <c r="A295" s="63" t="s">
        <v>506</v>
      </c>
      <c r="B295" s="63" t="s">
        <v>507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140</v>
      </c>
      <c r="L295" s="37" t="s">
        <v>46</v>
      </c>
      <c r="M295" s="38" t="s">
        <v>132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508</v>
      </c>
      <c r="AG295" s="78"/>
      <c r="AJ295" s="84" t="s">
        <v>46</v>
      </c>
      <c r="AK295" s="84">
        <v>0</v>
      </c>
      <c r="BB295" s="387" t="s">
        <v>67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customHeight="1" x14ac:dyDescent="0.25">
      <c r="A296" s="63" t="s">
        <v>509</v>
      </c>
      <c r="B296" s="63" t="s">
        <v>510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132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511</v>
      </c>
      <c r="AG296" s="78"/>
      <c r="AJ296" s="84" t="s">
        <v>46</v>
      </c>
      <c r="AK296" s="84">
        <v>0</v>
      </c>
      <c r="BB296" s="389" t="s">
        <v>67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customHeight="1" x14ac:dyDescent="0.25">
      <c r="A297" s="63" t="s">
        <v>512</v>
      </c>
      <c r="B297" s="63" t="s">
        <v>513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140</v>
      </c>
      <c r="L297" s="37" t="s">
        <v>46</v>
      </c>
      <c r="M297" s="38" t="s">
        <v>132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37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38"/>
        <v>0</v>
      </c>
      <c r="BN297" s="78">
        <f t="shared" si="39"/>
        <v>0</v>
      </c>
      <c r="BO297" s="78">
        <f t="shared" si="40"/>
        <v>0</v>
      </c>
      <c r="BP297" s="78">
        <f t="shared" si="41"/>
        <v>0</v>
      </c>
    </row>
    <row r="298" spans="1:68" x14ac:dyDescent="0.2">
      <c r="A298" s="705"/>
      <c r="B298" s="705"/>
      <c r="C298" s="705"/>
      <c r="D298" s="705"/>
      <c r="E298" s="705"/>
      <c r="F298" s="705"/>
      <c r="G298" s="705"/>
      <c r="H298" s="705"/>
      <c r="I298" s="705"/>
      <c r="J298" s="705"/>
      <c r="K298" s="705"/>
      <c r="L298" s="705"/>
      <c r="M298" s="705"/>
      <c r="N298" s="705"/>
      <c r="O298" s="706"/>
      <c r="P298" s="702" t="s">
        <v>40</v>
      </c>
      <c r="Q298" s="703"/>
      <c r="R298" s="703"/>
      <c r="S298" s="703"/>
      <c r="T298" s="703"/>
      <c r="U298" s="703"/>
      <c r="V298" s="704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705"/>
      <c r="B299" s="705"/>
      <c r="C299" s="705"/>
      <c r="D299" s="705"/>
      <c r="E299" s="705"/>
      <c r="F299" s="705"/>
      <c r="G299" s="705"/>
      <c r="H299" s="705"/>
      <c r="I299" s="705"/>
      <c r="J299" s="705"/>
      <c r="K299" s="705"/>
      <c r="L299" s="705"/>
      <c r="M299" s="705"/>
      <c r="N299" s="705"/>
      <c r="O299" s="706"/>
      <c r="P299" s="702" t="s">
        <v>40</v>
      </c>
      <c r="Q299" s="703"/>
      <c r="R299" s="703"/>
      <c r="S299" s="703"/>
      <c r="T299" s="703"/>
      <c r="U299" s="703"/>
      <c r="V299" s="704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96" t="s">
        <v>164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customHeight="1" x14ac:dyDescent="0.25">
      <c r="A301" s="63" t="s">
        <v>514</v>
      </c>
      <c r="B301" s="63" t="s">
        <v>515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516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705"/>
      <c r="B302" s="705"/>
      <c r="C302" s="705"/>
      <c r="D302" s="705"/>
      <c r="E302" s="705"/>
      <c r="F302" s="705"/>
      <c r="G302" s="705"/>
      <c r="H302" s="705"/>
      <c r="I302" s="705"/>
      <c r="J302" s="705"/>
      <c r="K302" s="705"/>
      <c r="L302" s="705"/>
      <c r="M302" s="705"/>
      <c r="N302" s="705"/>
      <c r="O302" s="706"/>
      <c r="P302" s="702" t="s">
        <v>40</v>
      </c>
      <c r="Q302" s="703"/>
      <c r="R302" s="703"/>
      <c r="S302" s="703"/>
      <c r="T302" s="703"/>
      <c r="U302" s="703"/>
      <c r="V302" s="70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705"/>
      <c r="B303" s="705"/>
      <c r="C303" s="705"/>
      <c r="D303" s="705"/>
      <c r="E303" s="705"/>
      <c r="F303" s="705"/>
      <c r="G303" s="705"/>
      <c r="H303" s="705"/>
      <c r="I303" s="705"/>
      <c r="J303" s="705"/>
      <c r="K303" s="705"/>
      <c r="L303" s="705"/>
      <c r="M303" s="705"/>
      <c r="N303" s="705"/>
      <c r="O303" s="706"/>
      <c r="P303" s="702" t="s">
        <v>40</v>
      </c>
      <c r="Q303" s="703"/>
      <c r="R303" s="703"/>
      <c r="S303" s="703"/>
      <c r="T303" s="703"/>
      <c r="U303" s="703"/>
      <c r="V303" s="70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96" t="s">
        <v>517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customHeight="1" x14ac:dyDescent="0.25">
      <c r="A305" s="63" t="s">
        <v>518</v>
      </c>
      <c r="B305" s="63" t="s">
        <v>519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330</v>
      </c>
      <c r="L305" s="37" t="s">
        <v>46</v>
      </c>
      <c r="M305" s="38" t="s">
        <v>329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520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705"/>
      <c r="B306" s="705"/>
      <c r="C306" s="705"/>
      <c r="D306" s="705"/>
      <c r="E306" s="705"/>
      <c r="F306" s="705"/>
      <c r="G306" s="705"/>
      <c r="H306" s="705"/>
      <c r="I306" s="705"/>
      <c r="J306" s="705"/>
      <c r="K306" s="705"/>
      <c r="L306" s="705"/>
      <c r="M306" s="705"/>
      <c r="N306" s="705"/>
      <c r="O306" s="706"/>
      <c r="P306" s="702" t="s">
        <v>40</v>
      </c>
      <c r="Q306" s="703"/>
      <c r="R306" s="703"/>
      <c r="S306" s="703"/>
      <c r="T306" s="703"/>
      <c r="U306" s="703"/>
      <c r="V306" s="704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705"/>
      <c r="B307" s="705"/>
      <c r="C307" s="705"/>
      <c r="D307" s="705"/>
      <c r="E307" s="705"/>
      <c r="F307" s="705"/>
      <c r="G307" s="705"/>
      <c r="H307" s="705"/>
      <c r="I307" s="705"/>
      <c r="J307" s="705"/>
      <c r="K307" s="705"/>
      <c r="L307" s="705"/>
      <c r="M307" s="705"/>
      <c r="N307" s="705"/>
      <c r="O307" s="706"/>
      <c r="P307" s="702" t="s">
        <v>40</v>
      </c>
      <c r="Q307" s="703"/>
      <c r="R307" s="703"/>
      <c r="S307" s="703"/>
      <c r="T307" s="703"/>
      <c r="U307" s="703"/>
      <c r="V307" s="704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96" t="s">
        <v>334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customHeight="1" x14ac:dyDescent="0.25">
      <c r="A309" s="63" t="s">
        <v>521</v>
      </c>
      <c r="B309" s="63" t="s">
        <v>522</v>
      </c>
      <c r="C309" s="36">
        <v>4301041004</v>
      </c>
      <c r="D309" s="697">
        <v>4680115886704</v>
      </c>
      <c r="E309" s="69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330</v>
      </c>
      <c r="L309" s="37" t="s">
        <v>46</v>
      </c>
      <c r="M309" s="38" t="s">
        <v>329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523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524</v>
      </c>
      <c r="B310" s="63" t="s">
        <v>525</v>
      </c>
      <c r="C310" s="36">
        <v>4301041008</v>
      </c>
      <c r="D310" s="697">
        <v>4680115886681</v>
      </c>
      <c r="E310" s="69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330</v>
      </c>
      <c r="L310" s="37" t="s">
        <v>46</v>
      </c>
      <c r="M310" s="38" t="s">
        <v>329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523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526</v>
      </c>
      <c r="B311" s="63" t="s">
        <v>527</v>
      </c>
      <c r="C311" s="36">
        <v>4301041007</v>
      </c>
      <c r="D311" s="697">
        <v>4680115886735</v>
      </c>
      <c r="E311" s="69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330</v>
      </c>
      <c r="L311" s="37" t="s">
        <v>46</v>
      </c>
      <c r="M311" s="38" t="s">
        <v>329</v>
      </c>
      <c r="N311" s="38"/>
      <c r="O311" s="37">
        <v>90</v>
      </c>
      <c r="P311" s="8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9"/>
      <c r="R311" s="699"/>
      <c r="S311" s="699"/>
      <c r="T311" s="70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523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05"/>
      <c r="B312" s="705"/>
      <c r="C312" s="705"/>
      <c r="D312" s="705"/>
      <c r="E312" s="705"/>
      <c r="F312" s="705"/>
      <c r="G312" s="705"/>
      <c r="H312" s="705"/>
      <c r="I312" s="705"/>
      <c r="J312" s="705"/>
      <c r="K312" s="705"/>
      <c r="L312" s="705"/>
      <c r="M312" s="705"/>
      <c r="N312" s="705"/>
      <c r="O312" s="706"/>
      <c r="P312" s="702" t="s">
        <v>40</v>
      </c>
      <c r="Q312" s="703"/>
      <c r="R312" s="703"/>
      <c r="S312" s="703"/>
      <c r="T312" s="703"/>
      <c r="U312" s="703"/>
      <c r="V312" s="704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705"/>
      <c r="B313" s="705"/>
      <c r="C313" s="705"/>
      <c r="D313" s="705"/>
      <c r="E313" s="705"/>
      <c r="F313" s="705"/>
      <c r="G313" s="705"/>
      <c r="H313" s="705"/>
      <c r="I313" s="705"/>
      <c r="J313" s="705"/>
      <c r="K313" s="705"/>
      <c r="L313" s="705"/>
      <c r="M313" s="705"/>
      <c r="N313" s="705"/>
      <c r="O313" s="706"/>
      <c r="P313" s="702" t="s">
        <v>40</v>
      </c>
      <c r="Q313" s="703"/>
      <c r="R313" s="703"/>
      <c r="S313" s="703"/>
      <c r="T313" s="703"/>
      <c r="U313" s="703"/>
      <c r="V313" s="704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95" t="s">
        <v>528</v>
      </c>
      <c r="B314" s="695"/>
      <c r="C314" s="695"/>
      <c r="D314" s="695"/>
      <c r="E314" s="695"/>
      <c r="F314" s="695"/>
      <c r="G314" s="695"/>
      <c r="H314" s="695"/>
      <c r="I314" s="695"/>
      <c r="J314" s="695"/>
      <c r="K314" s="695"/>
      <c r="L314" s="695"/>
      <c r="M314" s="695"/>
      <c r="N314" s="695"/>
      <c r="O314" s="695"/>
      <c r="P314" s="695"/>
      <c r="Q314" s="695"/>
      <c r="R314" s="695"/>
      <c r="S314" s="695"/>
      <c r="T314" s="695"/>
      <c r="U314" s="695"/>
      <c r="V314" s="695"/>
      <c r="W314" s="695"/>
      <c r="X314" s="695"/>
      <c r="Y314" s="695"/>
      <c r="Z314" s="695"/>
      <c r="AA314" s="65"/>
      <c r="AB314" s="65"/>
      <c r="AC314" s="79"/>
    </row>
    <row r="315" spans="1:68" ht="14.25" customHeight="1" x14ac:dyDescent="0.25">
      <c r="A315" s="696" t="s">
        <v>128</v>
      </c>
      <c r="B315" s="696"/>
      <c r="C315" s="696"/>
      <c r="D315" s="696"/>
      <c r="E315" s="696"/>
      <c r="F315" s="696"/>
      <c r="G315" s="696"/>
      <c r="H315" s="696"/>
      <c r="I315" s="696"/>
      <c r="J315" s="696"/>
      <c r="K315" s="696"/>
      <c r="L315" s="696"/>
      <c r="M315" s="696"/>
      <c r="N315" s="696"/>
      <c r="O315" s="696"/>
      <c r="P315" s="696"/>
      <c r="Q315" s="696"/>
      <c r="R315" s="696"/>
      <c r="S315" s="696"/>
      <c r="T315" s="696"/>
      <c r="U315" s="696"/>
      <c r="V315" s="696"/>
      <c r="W315" s="696"/>
      <c r="X315" s="696"/>
      <c r="Y315" s="696"/>
      <c r="Z315" s="696"/>
      <c r="AA315" s="66"/>
      <c r="AB315" s="66"/>
      <c r="AC315" s="80"/>
    </row>
    <row r="316" spans="1:68" ht="27" customHeight="1" x14ac:dyDescent="0.25">
      <c r="A316" s="63" t="s">
        <v>529</v>
      </c>
      <c r="B316" s="63" t="s">
        <v>530</v>
      </c>
      <c r="C316" s="36">
        <v>4301011855</v>
      </c>
      <c r="D316" s="697">
        <v>4680115885837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133</v>
      </c>
      <c r="L316" s="37" t="s">
        <v>46</v>
      </c>
      <c r="M316" s="38" t="s">
        <v>132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532</v>
      </c>
      <c r="B317" s="63" t="s">
        <v>533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133</v>
      </c>
      <c r="L317" s="37" t="s">
        <v>46</v>
      </c>
      <c r="M317" s="38" t="s">
        <v>132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534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535</v>
      </c>
      <c r="B318" s="63" t="s">
        <v>536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133</v>
      </c>
      <c r="L318" s="37" t="s">
        <v>46</v>
      </c>
      <c r="M318" s="38" t="s">
        <v>132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537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538</v>
      </c>
      <c r="B319" s="63" t="s">
        <v>539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140</v>
      </c>
      <c r="L319" s="37" t="s">
        <v>46</v>
      </c>
      <c r="M319" s="38" t="s">
        <v>132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540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541</v>
      </c>
      <c r="B320" s="63" t="s">
        <v>542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140</v>
      </c>
      <c r="L320" s="37" t="s">
        <v>46</v>
      </c>
      <c r="M320" s="38" t="s">
        <v>132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543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705"/>
      <c r="B321" s="705"/>
      <c r="C321" s="705"/>
      <c r="D321" s="705"/>
      <c r="E321" s="705"/>
      <c r="F321" s="705"/>
      <c r="G321" s="705"/>
      <c r="H321" s="705"/>
      <c r="I321" s="705"/>
      <c r="J321" s="705"/>
      <c r="K321" s="705"/>
      <c r="L321" s="705"/>
      <c r="M321" s="705"/>
      <c r="N321" s="705"/>
      <c r="O321" s="706"/>
      <c r="P321" s="702" t="s">
        <v>40</v>
      </c>
      <c r="Q321" s="703"/>
      <c r="R321" s="703"/>
      <c r="S321" s="703"/>
      <c r="T321" s="703"/>
      <c r="U321" s="703"/>
      <c r="V321" s="704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705"/>
      <c r="B322" s="705"/>
      <c r="C322" s="705"/>
      <c r="D322" s="705"/>
      <c r="E322" s="705"/>
      <c r="F322" s="705"/>
      <c r="G322" s="705"/>
      <c r="H322" s="705"/>
      <c r="I322" s="705"/>
      <c r="J322" s="705"/>
      <c r="K322" s="705"/>
      <c r="L322" s="705"/>
      <c r="M322" s="705"/>
      <c r="N322" s="705"/>
      <c r="O322" s="706"/>
      <c r="P322" s="702" t="s">
        <v>40</v>
      </c>
      <c r="Q322" s="703"/>
      <c r="R322" s="703"/>
      <c r="S322" s="703"/>
      <c r="T322" s="703"/>
      <c r="U322" s="703"/>
      <c r="V322" s="704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customHeight="1" x14ac:dyDescent="0.25">
      <c r="A323" s="695" t="s">
        <v>544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customHeight="1" x14ac:dyDescent="0.25">
      <c r="A324" s="696" t="s">
        <v>86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customHeight="1" x14ac:dyDescent="0.25">
      <c r="A325" s="63" t="s">
        <v>545</v>
      </c>
      <c r="B325" s="63" t="s">
        <v>546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547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548</v>
      </c>
      <c r="B326" s="63" t="s">
        <v>549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550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551</v>
      </c>
      <c r="B327" s="63" t="s">
        <v>552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547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705"/>
      <c r="B328" s="705"/>
      <c r="C328" s="705"/>
      <c r="D328" s="705"/>
      <c r="E328" s="705"/>
      <c r="F328" s="705"/>
      <c r="G328" s="705"/>
      <c r="H328" s="705"/>
      <c r="I328" s="705"/>
      <c r="J328" s="705"/>
      <c r="K328" s="705"/>
      <c r="L328" s="705"/>
      <c r="M328" s="705"/>
      <c r="N328" s="705"/>
      <c r="O328" s="706"/>
      <c r="P328" s="702" t="s">
        <v>40</v>
      </c>
      <c r="Q328" s="703"/>
      <c r="R328" s="703"/>
      <c r="S328" s="703"/>
      <c r="T328" s="703"/>
      <c r="U328" s="703"/>
      <c r="V328" s="704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705"/>
      <c r="B329" s="705"/>
      <c r="C329" s="705"/>
      <c r="D329" s="705"/>
      <c r="E329" s="705"/>
      <c r="F329" s="705"/>
      <c r="G329" s="705"/>
      <c r="H329" s="705"/>
      <c r="I329" s="705"/>
      <c r="J329" s="705"/>
      <c r="K329" s="705"/>
      <c r="L329" s="705"/>
      <c r="M329" s="705"/>
      <c r="N329" s="705"/>
      <c r="O329" s="706"/>
      <c r="P329" s="702" t="s">
        <v>40</v>
      </c>
      <c r="Q329" s="703"/>
      <c r="R329" s="703"/>
      <c r="S329" s="703"/>
      <c r="T329" s="703"/>
      <c r="U329" s="703"/>
      <c r="V329" s="704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95" t="s">
        <v>553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customHeight="1" x14ac:dyDescent="0.25">
      <c r="A331" s="696" t="s">
        <v>77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customHeight="1" x14ac:dyDescent="0.25">
      <c r="A332" s="63" t="s">
        <v>554</v>
      </c>
      <c r="B332" s="63" t="s">
        <v>555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388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556</v>
      </c>
      <c r="B333" s="63" t="s">
        <v>557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558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559</v>
      </c>
      <c r="B334" s="63" t="s">
        <v>560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561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562</v>
      </c>
      <c r="B335" s="63" t="s">
        <v>563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564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565</v>
      </c>
      <c r="B336" s="63" t="s">
        <v>566</v>
      </c>
      <c r="C336" s="36">
        <v>4301031246</v>
      </c>
      <c r="D336" s="697">
        <v>4680115883970</v>
      </c>
      <c r="E336" s="69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9"/>
      <c r="R336" s="699"/>
      <c r="S336" s="699"/>
      <c r="T336" s="70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567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705"/>
      <c r="B337" s="705"/>
      <c r="C337" s="705"/>
      <c r="D337" s="705"/>
      <c r="E337" s="705"/>
      <c r="F337" s="705"/>
      <c r="G337" s="705"/>
      <c r="H337" s="705"/>
      <c r="I337" s="705"/>
      <c r="J337" s="705"/>
      <c r="K337" s="705"/>
      <c r="L337" s="705"/>
      <c r="M337" s="705"/>
      <c r="N337" s="705"/>
      <c r="O337" s="706"/>
      <c r="P337" s="702" t="s">
        <v>40</v>
      </c>
      <c r="Q337" s="703"/>
      <c r="R337" s="703"/>
      <c r="S337" s="703"/>
      <c r="T337" s="703"/>
      <c r="U337" s="703"/>
      <c r="V337" s="70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705"/>
      <c r="B338" s="705"/>
      <c r="C338" s="705"/>
      <c r="D338" s="705"/>
      <c r="E338" s="705"/>
      <c r="F338" s="705"/>
      <c r="G338" s="705"/>
      <c r="H338" s="705"/>
      <c r="I338" s="705"/>
      <c r="J338" s="705"/>
      <c r="K338" s="705"/>
      <c r="L338" s="705"/>
      <c r="M338" s="705"/>
      <c r="N338" s="705"/>
      <c r="O338" s="706"/>
      <c r="P338" s="702" t="s">
        <v>40</v>
      </c>
      <c r="Q338" s="703"/>
      <c r="R338" s="703"/>
      <c r="S338" s="703"/>
      <c r="T338" s="703"/>
      <c r="U338" s="703"/>
      <c r="V338" s="70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96" t="s">
        <v>86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66"/>
      <c r="AB339" s="66"/>
      <c r="AC339" s="80"/>
    </row>
    <row r="340" spans="1:68" ht="27" customHeight="1" x14ac:dyDescent="0.25">
      <c r="A340" s="63" t="s">
        <v>568</v>
      </c>
      <c r="B340" s="63" t="s">
        <v>569</v>
      </c>
      <c r="C340" s="36">
        <v>4301051782</v>
      </c>
      <c r="D340" s="697">
        <v>4680115884618</v>
      </c>
      <c r="E340" s="69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140</v>
      </c>
      <c r="L340" s="37" t="s">
        <v>46</v>
      </c>
      <c r="M340" s="38" t="s">
        <v>90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570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571</v>
      </c>
      <c r="B341" s="63" t="s">
        <v>572</v>
      </c>
      <c r="C341" s="36">
        <v>4301052057</v>
      </c>
      <c r="D341" s="697">
        <v>4680115887114</v>
      </c>
      <c r="E341" s="69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140</v>
      </c>
      <c r="L341" s="37" t="s">
        <v>46</v>
      </c>
      <c r="M341" s="38" t="s">
        <v>90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573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705"/>
      <c r="B342" s="705"/>
      <c r="C342" s="705"/>
      <c r="D342" s="705"/>
      <c r="E342" s="705"/>
      <c r="F342" s="705"/>
      <c r="G342" s="705"/>
      <c r="H342" s="705"/>
      <c r="I342" s="705"/>
      <c r="J342" s="705"/>
      <c r="K342" s="705"/>
      <c r="L342" s="705"/>
      <c r="M342" s="705"/>
      <c r="N342" s="705"/>
      <c r="O342" s="706"/>
      <c r="P342" s="702" t="s">
        <v>40</v>
      </c>
      <c r="Q342" s="703"/>
      <c r="R342" s="703"/>
      <c r="S342" s="703"/>
      <c r="T342" s="703"/>
      <c r="U342" s="703"/>
      <c r="V342" s="704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x14ac:dyDescent="0.2">
      <c r="A343" s="705"/>
      <c r="B343" s="705"/>
      <c r="C343" s="705"/>
      <c r="D343" s="705"/>
      <c r="E343" s="705"/>
      <c r="F343" s="705"/>
      <c r="G343" s="705"/>
      <c r="H343" s="705"/>
      <c r="I343" s="705"/>
      <c r="J343" s="705"/>
      <c r="K343" s="705"/>
      <c r="L343" s="705"/>
      <c r="M343" s="705"/>
      <c r="N343" s="705"/>
      <c r="O343" s="706"/>
      <c r="P343" s="702" t="s">
        <v>40</v>
      </c>
      <c r="Q343" s="703"/>
      <c r="R343" s="703"/>
      <c r="S343" s="703"/>
      <c r="T343" s="703"/>
      <c r="U343" s="703"/>
      <c r="V343" s="704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 x14ac:dyDescent="0.25">
      <c r="A344" s="695" t="s">
        <v>574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customHeight="1" x14ac:dyDescent="0.25">
      <c r="A345" s="696" t="s">
        <v>128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customHeight="1" x14ac:dyDescent="0.25">
      <c r="A346" s="63" t="s">
        <v>575</v>
      </c>
      <c r="B346" s="63" t="s">
        <v>576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133</v>
      </c>
      <c r="L346" s="37" t="s">
        <v>46</v>
      </c>
      <c r="M346" s="38" t="s">
        <v>90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577</v>
      </c>
      <c r="B347" s="63" t="s">
        <v>578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133</v>
      </c>
      <c r="L347" s="37" t="s">
        <v>46</v>
      </c>
      <c r="M347" s="38" t="s">
        <v>90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579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580</v>
      </c>
      <c r="B348" s="63" t="s">
        <v>581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133</v>
      </c>
      <c r="L348" s="37" t="s">
        <v>46</v>
      </c>
      <c r="M348" s="38" t="s">
        <v>90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582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705"/>
      <c r="B349" s="705"/>
      <c r="C349" s="705"/>
      <c r="D349" s="705"/>
      <c r="E349" s="705"/>
      <c r="F349" s="705"/>
      <c r="G349" s="705"/>
      <c r="H349" s="705"/>
      <c r="I349" s="705"/>
      <c r="J349" s="705"/>
      <c r="K349" s="705"/>
      <c r="L349" s="705"/>
      <c r="M349" s="705"/>
      <c r="N349" s="705"/>
      <c r="O349" s="706"/>
      <c r="P349" s="702" t="s">
        <v>40</v>
      </c>
      <c r="Q349" s="703"/>
      <c r="R349" s="703"/>
      <c r="S349" s="703"/>
      <c r="T349" s="703"/>
      <c r="U349" s="703"/>
      <c r="V349" s="704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705"/>
      <c r="B350" s="705"/>
      <c r="C350" s="705"/>
      <c r="D350" s="705"/>
      <c r="E350" s="705"/>
      <c r="F350" s="705"/>
      <c r="G350" s="705"/>
      <c r="H350" s="705"/>
      <c r="I350" s="705"/>
      <c r="J350" s="705"/>
      <c r="K350" s="705"/>
      <c r="L350" s="705"/>
      <c r="M350" s="705"/>
      <c r="N350" s="705"/>
      <c r="O350" s="706"/>
      <c r="P350" s="702" t="s">
        <v>40</v>
      </c>
      <c r="Q350" s="703"/>
      <c r="R350" s="703"/>
      <c r="S350" s="703"/>
      <c r="T350" s="703"/>
      <c r="U350" s="703"/>
      <c r="V350" s="704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95" t="s">
        <v>583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customHeight="1" x14ac:dyDescent="0.25">
      <c r="A352" s="696" t="s">
        <v>128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customHeight="1" x14ac:dyDescent="0.25">
      <c r="A353" s="63" t="s">
        <v>584</v>
      </c>
      <c r="B353" s="63" t="s">
        <v>585</v>
      </c>
      <c r="C353" s="36">
        <v>4301012126</v>
      </c>
      <c r="D353" s="697">
        <v>4607091386004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133</v>
      </c>
      <c r="L353" s="37" t="s">
        <v>46</v>
      </c>
      <c r="M353" s="38" t="s">
        <v>132</v>
      </c>
      <c r="N353" s="38"/>
      <c r="O353" s="37">
        <v>55</v>
      </c>
      <c r="P353" s="88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2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586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3">IFERROR(X353*I353/H353,"0")</f>
        <v>0</v>
      </c>
      <c r="BN353" s="78">
        <f t="shared" ref="BN353:BN358" si="44">IFERROR(Y353*I353/H353,"0")</f>
        <v>0</v>
      </c>
      <c r="BO353" s="78">
        <f t="shared" ref="BO353:BO358" si="45">IFERROR(1/J353*(X353/H353),"0")</f>
        <v>0</v>
      </c>
      <c r="BP353" s="78">
        <f t="shared" ref="BP353:BP358" si="46">IFERROR(1/J353*(Y353/H353),"0")</f>
        <v>0</v>
      </c>
    </row>
    <row r="354" spans="1:68" ht="27" customHeight="1" x14ac:dyDescent="0.25">
      <c r="A354" s="63" t="s">
        <v>587</v>
      </c>
      <c r="B354" s="63" t="s">
        <v>588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133</v>
      </c>
      <c r="L354" s="37" t="s">
        <v>46</v>
      </c>
      <c r="M354" s="38" t="s">
        <v>132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37.5" customHeight="1" x14ac:dyDescent="0.25">
      <c r="A355" s="63" t="s">
        <v>590</v>
      </c>
      <c r="B355" s="63" t="s">
        <v>591</v>
      </c>
      <c r="C355" s="36">
        <v>4301012233</v>
      </c>
      <c r="D355" s="697">
        <v>4680115887138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133</v>
      </c>
      <c r="L355" s="37" t="s">
        <v>46</v>
      </c>
      <c r="M355" s="38" t="s">
        <v>132</v>
      </c>
      <c r="N355" s="38"/>
      <c r="O355" s="37">
        <v>55</v>
      </c>
      <c r="P355" s="88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2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592</v>
      </c>
      <c r="AG355" s="78"/>
      <c r="AJ355" s="84" t="s">
        <v>46</v>
      </c>
      <c r="AK355" s="84">
        <v>0</v>
      </c>
      <c r="BB355" s="443" t="s">
        <v>67</v>
      </c>
      <c r="BM355" s="78">
        <f t="shared" si="43"/>
        <v>0</v>
      </c>
      <c r="BN355" s="78">
        <f t="shared" si="44"/>
        <v>0</v>
      </c>
      <c r="BO355" s="78">
        <f t="shared" si="45"/>
        <v>0</v>
      </c>
      <c r="BP355" s="78">
        <f t="shared" si="46"/>
        <v>0</v>
      </c>
    </row>
    <row r="356" spans="1:68" ht="27" customHeight="1" x14ac:dyDescent="0.25">
      <c r="A356" s="63" t="s">
        <v>593</v>
      </c>
      <c r="B356" s="63" t="s">
        <v>594</v>
      </c>
      <c r="C356" s="36">
        <v>4301012016</v>
      </c>
      <c r="D356" s="697">
        <v>4680115885554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55</v>
      </c>
      <c r="P356" s="88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2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595</v>
      </c>
      <c r="AG356" s="78"/>
      <c r="AJ356" s="84" t="s">
        <v>46</v>
      </c>
      <c r="AK356" s="84">
        <v>0</v>
      </c>
      <c r="BB356" s="445" t="s">
        <v>67</v>
      </c>
      <c r="BM356" s="78">
        <f t="shared" si="43"/>
        <v>0</v>
      </c>
      <c r="BN356" s="78">
        <f t="shared" si="44"/>
        <v>0</v>
      </c>
      <c r="BO356" s="78">
        <f t="shared" si="45"/>
        <v>0</v>
      </c>
      <c r="BP356" s="78">
        <f t="shared" si="46"/>
        <v>0</v>
      </c>
    </row>
    <row r="357" spans="1:68" ht="27" customHeight="1" x14ac:dyDescent="0.25">
      <c r="A357" s="63" t="s">
        <v>596</v>
      </c>
      <c r="B357" s="63" t="s">
        <v>597</v>
      </c>
      <c r="C357" s="36">
        <v>4301012236</v>
      </c>
      <c r="D357" s="697">
        <v>4680115887220</v>
      </c>
      <c r="E357" s="69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140</v>
      </c>
      <c r="L357" s="37" t="s">
        <v>46</v>
      </c>
      <c r="M357" s="38" t="s">
        <v>132</v>
      </c>
      <c r="N357" s="38"/>
      <c r="O357" s="37">
        <v>55</v>
      </c>
      <c r="P357" s="88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2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589</v>
      </c>
      <c r="AG357" s="78"/>
      <c r="AJ357" s="84" t="s">
        <v>46</v>
      </c>
      <c r="AK357" s="84">
        <v>0</v>
      </c>
      <c r="BB357" s="447" t="s">
        <v>67</v>
      </c>
      <c r="BM357" s="78">
        <f t="shared" si="43"/>
        <v>0</v>
      </c>
      <c r="BN357" s="78">
        <f t="shared" si="44"/>
        <v>0</v>
      </c>
      <c r="BO357" s="78">
        <f t="shared" si="45"/>
        <v>0</v>
      </c>
      <c r="BP357" s="78">
        <f t="shared" si="46"/>
        <v>0</v>
      </c>
    </row>
    <row r="358" spans="1:68" ht="27" customHeight="1" x14ac:dyDescent="0.25">
      <c r="A358" s="63" t="s">
        <v>598</v>
      </c>
      <c r="B358" s="63" t="s">
        <v>599</v>
      </c>
      <c r="C358" s="36">
        <v>4301011859</v>
      </c>
      <c r="D358" s="697">
        <v>4680115885608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140</v>
      </c>
      <c r="L358" s="37" t="s">
        <v>46</v>
      </c>
      <c r="M358" s="38" t="s">
        <v>132</v>
      </c>
      <c r="N358" s="38"/>
      <c r="O358" s="37">
        <v>55</v>
      </c>
      <c r="P358" s="8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2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600</v>
      </c>
      <c r="AG358" s="78"/>
      <c r="AJ358" s="84" t="s">
        <v>46</v>
      </c>
      <c r="AK358" s="84">
        <v>0</v>
      </c>
      <c r="BB358" s="449" t="s">
        <v>67</v>
      </c>
      <c r="BM358" s="78">
        <f t="shared" si="43"/>
        <v>0</v>
      </c>
      <c r="BN358" s="78">
        <f t="shared" si="44"/>
        <v>0</v>
      </c>
      <c r="BO358" s="78">
        <f t="shared" si="45"/>
        <v>0</v>
      </c>
      <c r="BP358" s="78">
        <f t="shared" si="46"/>
        <v>0</v>
      </c>
    </row>
    <row r="359" spans="1:68" x14ac:dyDescent="0.2">
      <c r="A359" s="705"/>
      <c r="B359" s="705"/>
      <c r="C359" s="705"/>
      <c r="D359" s="705"/>
      <c r="E359" s="705"/>
      <c r="F359" s="705"/>
      <c r="G359" s="705"/>
      <c r="H359" s="705"/>
      <c r="I359" s="705"/>
      <c r="J359" s="705"/>
      <c r="K359" s="705"/>
      <c r="L359" s="705"/>
      <c r="M359" s="705"/>
      <c r="N359" s="705"/>
      <c r="O359" s="706"/>
      <c r="P359" s="702" t="s">
        <v>40</v>
      </c>
      <c r="Q359" s="703"/>
      <c r="R359" s="703"/>
      <c r="S359" s="703"/>
      <c r="T359" s="703"/>
      <c r="U359" s="703"/>
      <c r="V359" s="704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705"/>
      <c r="B360" s="705"/>
      <c r="C360" s="705"/>
      <c r="D360" s="705"/>
      <c r="E360" s="705"/>
      <c r="F360" s="705"/>
      <c r="G360" s="705"/>
      <c r="H360" s="705"/>
      <c r="I360" s="705"/>
      <c r="J360" s="705"/>
      <c r="K360" s="705"/>
      <c r="L360" s="705"/>
      <c r="M360" s="705"/>
      <c r="N360" s="705"/>
      <c r="O360" s="706"/>
      <c r="P360" s="702" t="s">
        <v>40</v>
      </c>
      <c r="Q360" s="703"/>
      <c r="R360" s="703"/>
      <c r="S360" s="703"/>
      <c r="T360" s="703"/>
      <c r="U360" s="703"/>
      <c r="V360" s="704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customHeight="1" x14ac:dyDescent="0.25">
      <c r="A361" s="696" t="s">
        <v>77</v>
      </c>
      <c r="B361" s="696"/>
      <c r="C361" s="696"/>
      <c r="D361" s="696"/>
      <c r="E361" s="696"/>
      <c r="F361" s="696"/>
      <c r="G361" s="696"/>
      <c r="H361" s="696"/>
      <c r="I361" s="696"/>
      <c r="J361" s="696"/>
      <c r="K361" s="696"/>
      <c r="L361" s="696"/>
      <c r="M361" s="696"/>
      <c r="N361" s="696"/>
      <c r="O361" s="696"/>
      <c r="P361" s="696"/>
      <c r="Q361" s="696"/>
      <c r="R361" s="696"/>
      <c r="S361" s="696"/>
      <c r="T361" s="696"/>
      <c r="U361" s="696"/>
      <c r="V361" s="696"/>
      <c r="W361" s="696"/>
      <c r="X361" s="696"/>
      <c r="Y361" s="696"/>
      <c r="Z361" s="696"/>
      <c r="AA361" s="66"/>
      <c r="AB361" s="66"/>
      <c r="AC361" s="80"/>
    </row>
    <row r="362" spans="1:68" ht="27" customHeight="1" x14ac:dyDescent="0.25">
      <c r="A362" s="63" t="s">
        <v>601</v>
      </c>
      <c r="B362" s="63" t="s">
        <v>602</v>
      </c>
      <c r="C362" s="36">
        <v>4301030878</v>
      </c>
      <c r="D362" s="697">
        <v>4607091387193</v>
      </c>
      <c r="E362" s="69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140</v>
      </c>
      <c r="L362" s="37" t="s">
        <v>46</v>
      </c>
      <c r="M362" s="38" t="s">
        <v>81</v>
      </c>
      <c r="N362" s="38"/>
      <c r="O362" s="37">
        <v>35</v>
      </c>
      <c r="P362" s="88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9"/>
      <c r="R362" s="699"/>
      <c r="S362" s="699"/>
      <c r="T362" s="70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47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48">IFERROR(X362*I362/H362,"0")</f>
        <v>0</v>
      </c>
      <c r="BN362" s="78">
        <f t="shared" ref="BN362:BN368" si="49">IFERROR(Y362*I362/H362,"0")</f>
        <v>0</v>
      </c>
      <c r="BO362" s="78">
        <f t="shared" ref="BO362:BO368" si="50">IFERROR(1/J362*(X362/H362),"0")</f>
        <v>0</v>
      </c>
      <c r="BP362" s="78">
        <f t="shared" ref="BP362:BP368" si="51">IFERROR(1/J362*(Y362/H362),"0")</f>
        <v>0</v>
      </c>
    </row>
    <row r="363" spans="1:68" ht="27" customHeight="1" x14ac:dyDescent="0.25">
      <c r="A363" s="63" t="s">
        <v>604</v>
      </c>
      <c r="B363" s="63" t="s">
        <v>605</v>
      </c>
      <c r="C363" s="36">
        <v>4301031153</v>
      </c>
      <c r="D363" s="697">
        <v>4607091387230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40</v>
      </c>
      <c r="P363" s="88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7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0</v>
      </c>
      <c r="BN363" s="78">
        <f t="shared" si="49"/>
        <v>0</v>
      </c>
      <c r="BO363" s="78">
        <f t="shared" si="50"/>
        <v>0</v>
      </c>
      <c r="BP363" s="78">
        <f t="shared" si="51"/>
        <v>0</v>
      </c>
    </row>
    <row r="364" spans="1:68" ht="27" customHeight="1" x14ac:dyDescent="0.25">
      <c r="A364" s="63" t="s">
        <v>607</v>
      </c>
      <c r="B364" s="63" t="s">
        <v>608</v>
      </c>
      <c r="C364" s="36">
        <v>4301031154</v>
      </c>
      <c r="D364" s="697">
        <v>4607091387292</v>
      </c>
      <c r="E364" s="69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140</v>
      </c>
      <c r="L364" s="37" t="s">
        <v>46</v>
      </c>
      <c r="M364" s="38" t="s">
        <v>81</v>
      </c>
      <c r="N364" s="38"/>
      <c r="O364" s="37">
        <v>45</v>
      </c>
      <c r="P364" s="88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customHeight="1" x14ac:dyDescent="0.25">
      <c r="A365" s="63" t="s">
        <v>610</v>
      </c>
      <c r="B365" s="63" t="s">
        <v>611</v>
      </c>
      <c r="C365" s="36">
        <v>4301031152</v>
      </c>
      <c r="D365" s="697">
        <v>4607091387285</v>
      </c>
      <c r="E365" s="69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9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7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606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0</v>
      </c>
      <c r="BN365" s="78">
        <f t="shared" si="49"/>
        <v>0</v>
      </c>
      <c r="BO365" s="78">
        <f t="shared" si="50"/>
        <v>0</v>
      </c>
      <c r="BP365" s="78">
        <f t="shared" si="51"/>
        <v>0</v>
      </c>
    </row>
    <row r="366" spans="1:68" ht="27" customHeight="1" x14ac:dyDescent="0.25">
      <c r="A366" s="63" t="s">
        <v>612</v>
      </c>
      <c r="B366" s="63" t="s">
        <v>613</v>
      </c>
      <c r="C366" s="36">
        <v>4301031305</v>
      </c>
      <c r="D366" s="697">
        <v>4607091389845</v>
      </c>
      <c r="E366" s="69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7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67</v>
      </c>
      <c r="BM366" s="78">
        <f t="shared" si="48"/>
        <v>0</v>
      </c>
      <c r="BN366" s="78">
        <f t="shared" si="49"/>
        <v>0</v>
      </c>
      <c r="BO366" s="78">
        <f t="shared" si="50"/>
        <v>0</v>
      </c>
      <c r="BP366" s="78">
        <f t="shared" si="51"/>
        <v>0</v>
      </c>
    </row>
    <row r="367" spans="1:68" ht="27" customHeight="1" x14ac:dyDescent="0.25">
      <c r="A367" s="63" t="s">
        <v>615</v>
      </c>
      <c r="B367" s="63" t="s">
        <v>616</v>
      </c>
      <c r="C367" s="36">
        <v>4301031460</v>
      </c>
      <c r="D367" s="697">
        <v>4680115887442</v>
      </c>
      <c r="E367" s="69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140</v>
      </c>
      <c r="L367" s="37" t="s">
        <v>46</v>
      </c>
      <c r="M367" s="38" t="s">
        <v>81</v>
      </c>
      <c r="N367" s="38"/>
      <c r="O367" s="37">
        <v>45</v>
      </c>
      <c r="P367" s="89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7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8"/>
        <v>0</v>
      </c>
      <c r="BN367" s="78">
        <f t="shared" si="49"/>
        <v>0</v>
      </c>
      <c r="BO367" s="78">
        <f t="shared" si="50"/>
        <v>0</v>
      </c>
      <c r="BP367" s="78">
        <f t="shared" si="51"/>
        <v>0</v>
      </c>
    </row>
    <row r="368" spans="1:68" ht="27" customHeight="1" x14ac:dyDescent="0.25">
      <c r="A368" s="63" t="s">
        <v>617</v>
      </c>
      <c r="B368" s="63" t="s">
        <v>618</v>
      </c>
      <c r="C368" s="36">
        <v>4301031066</v>
      </c>
      <c r="D368" s="697">
        <v>4607091383836</v>
      </c>
      <c r="E368" s="69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7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67</v>
      </c>
      <c r="BM368" s="78">
        <f t="shared" si="48"/>
        <v>0</v>
      </c>
      <c r="BN368" s="78">
        <f t="shared" si="49"/>
        <v>0</v>
      </c>
      <c r="BO368" s="78">
        <f t="shared" si="50"/>
        <v>0</v>
      </c>
      <c r="BP368" s="78">
        <f t="shared" si="51"/>
        <v>0</v>
      </c>
    </row>
    <row r="369" spans="1:68" x14ac:dyDescent="0.2">
      <c r="A369" s="705"/>
      <c r="B369" s="705"/>
      <c r="C369" s="705"/>
      <c r="D369" s="705"/>
      <c r="E369" s="705"/>
      <c r="F369" s="705"/>
      <c r="G369" s="705"/>
      <c r="H369" s="705"/>
      <c r="I369" s="705"/>
      <c r="J369" s="705"/>
      <c r="K369" s="705"/>
      <c r="L369" s="705"/>
      <c r="M369" s="705"/>
      <c r="N369" s="705"/>
      <c r="O369" s="706"/>
      <c r="P369" s="702" t="s">
        <v>40</v>
      </c>
      <c r="Q369" s="703"/>
      <c r="R369" s="703"/>
      <c r="S369" s="703"/>
      <c r="T369" s="703"/>
      <c r="U369" s="703"/>
      <c r="V369" s="704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705"/>
      <c r="B370" s="705"/>
      <c r="C370" s="705"/>
      <c r="D370" s="705"/>
      <c r="E370" s="705"/>
      <c r="F370" s="705"/>
      <c r="G370" s="705"/>
      <c r="H370" s="705"/>
      <c r="I370" s="705"/>
      <c r="J370" s="705"/>
      <c r="K370" s="705"/>
      <c r="L370" s="705"/>
      <c r="M370" s="705"/>
      <c r="N370" s="705"/>
      <c r="O370" s="706"/>
      <c r="P370" s="702" t="s">
        <v>40</v>
      </c>
      <c r="Q370" s="703"/>
      <c r="R370" s="703"/>
      <c r="S370" s="703"/>
      <c r="T370" s="703"/>
      <c r="U370" s="703"/>
      <c r="V370" s="704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customHeight="1" x14ac:dyDescent="0.25">
      <c r="A371" s="696" t="s">
        <v>86</v>
      </c>
      <c r="B371" s="696"/>
      <c r="C371" s="696"/>
      <c r="D371" s="696"/>
      <c r="E371" s="696"/>
      <c r="F371" s="696"/>
      <c r="G371" s="696"/>
      <c r="H371" s="696"/>
      <c r="I371" s="696"/>
      <c r="J371" s="696"/>
      <c r="K371" s="696"/>
      <c r="L371" s="696"/>
      <c r="M371" s="696"/>
      <c r="N371" s="696"/>
      <c r="O371" s="696"/>
      <c r="P371" s="696"/>
      <c r="Q371" s="696"/>
      <c r="R371" s="696"/>
      <c r="S371" s="696"/>
      <c r="T371" s="696"/>
      <c r="U371" s="696"/>
      <c r="V371" s="696"/>
      <c r="W371" s="696"/>
      <c r="X371" s="696"/>
      <c r="Y371" s="696"/>
      <c r="Z371" s="696"/>
      <c r="AA371" s="66"/>
      <c r="AB371" s="66"/>
      <c r="AC371" s="80"/>
    </row>
    <row r="372" spans="1:68" ht="27" customHeight="1" x14ac:dyDescent="0.25">
      <c r="A372" s="63" t="s">
        <v>620</v>
      </c>
      <c r="B372" s="63" t="s">
        <v>621</v>
      </c>
      <c r="C372" s="36">
        <v>4301051100</v>
      </c>
      <c r="D372" s="697">
        <v>4607091387766</v>
      </c>
      <c r="E372" s="69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40</v>
      </c>
      <c r="P372" s="8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9"/>
      <c r="R372" s="699"/>
      <c r="S372" s="699"/>
      <c r="T372" s="700"/>
      <c r="U372" s="39" t="s">
        <v>46</v>
      </c>
      <c r="V372" s="39" t="s">
        <v>46</v>
      </c>
      <c r="W372" s="40" t="s">
        <v>0</v>
      </c>
      <c r="X372" s="58">
        <v>2500</v>
      </c>
      <c r="Y372" s="55">
        <f>IFERROR(IF(X372="",0,CEILING((X372/$H372),1)*$H372),"")</f>
        <v>2503.7999999999997</v>
      </c>
      <c r="Z372" s="41">
        <f>IFERROR(IF(Y372=0,"",ROUNDUP(Y372/H372,0)*0.01898),"")</f>
        <v>6.0925799999999999</v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2656.4102564102564</v>
      </c>
      <c r="BN372" s="78">
        <f>IFERROR(Y372*I372/H372,"0")</f>
        <v>2660.4479999999999</v>
      </c>
      <c r="BO372" s="78">
        <f>IFERROR(1/J372*(X372/H372),"0")</f>
        <v>5.0080128205128203</v>
      </c>
      <c r="BP372" s="78">
        <f>IFERROR(1/J372*(Y372/H372),"0")</f>
        <v>5.015625</v>
      </c>
    </row>
    <row r="373" spans="1:68" ht="27" customHeight="1" x14ac:dyDescent="0.25">
      <c r="A373" s="63" t="s">
        <v>623</v>
      </c>
      <c r="B373" s="63" t="s">
        <v>624</v>
      </c>
      <c r="C373" s="36">
        <v>4301051818</v>
      </c>
      <c r="D373" s="697">
        <v>4607091387957</v>
      </c>
      <c r="E373" s="69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40</v>
      </c>
      <c r="P373" s="89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626</v>
      </c>
      <c r="B374" s="63" t="s">
        <v>627</v>
      </c>
      <c r="C374" s="36">
        <v>4301051819</v>
      </c>
      <c r="D374" s="697">
        <v>4607091387964</v>
      </c>
      <c r="E374" s="69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133</v>
      </c>
      <c r="L374" s="37" t="s">
        <v>46</v>
      </c>
      <c r="M374" s="38" t="s">
        <v>90</v>
      </c>
      <c r="N374" s="38"/>
      <c r="O374" s="37">
        <v>40</v>
      </c>
      <c r="P374" s="8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629</v>
      </c>
      <c r="B375" s="63" t="s">
        <v>630</v>
      </c>
      <c r="C375" s="36">
        <v>4301051734</v>
      </c>
      <c r="D375" s="697">
        <v>4680115884588</v>
      </c>
      <c r="E375" s="69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622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705"/>
      <c r="B376" s="705"/>
      <c r="C376" s="705"/>
      <c r="D376" s="705"/>
      <c r="E376" s="705"/>
      <c r="F376" s="705"/>
      <c r="G376" s="705"/>
      <c r="H376" s="705"/>
      <c r="I376" s="705"/>
      <c r="J376" s="705"/>
      <c r="K376" s="705"/>
      <c r="L376" s="705"/>
      <c r="M376" s="705"/>
      <c r="N376" s="705"/>
      <c r="O376" s="706"/>
      <c r="P376" s="702" t="s">
        <v>40</v>
      </c>
      <c r="Q376" s="703"/>
      <c r="R376" s="703"/>
      <c r="S376" s="703"/>
      <c r="T376" s="703"/>
      <c r="U376" s="703"/>
      <c r="V376" s="704"/>
      <c r="W376" s="42" t="s">
        <v>39</v>
      </c>
      <c r="X376" s="43">
        <f>IFERROR(X372/H372,"0")+IFERROR(X373/H373,"0")+IFERROR(X374/H374,"0")+IFERROR(X375/H375,"0")</f>
        <v>320.5128205128205</v>
      </c>
      <c r="Y376" s="43">
        <f>IFERROR(Y372/H372,"0")+IFERROR(Y373/H373,"0")+IFERROR(Y374/H374,"0")+IFERROR(Y375/H375,"0")</f>
        <v>321</v>
      </c>
      <c r="Z376" s="43">
        <f>IFERROR(IF(Z372="",0,Z372),"0")+IFERROR(IF(Z373="",0,Z373),"0")+IFERROR(IF(Z374="",0,Z374),"0")+IFERROR(IF(Z375="",0,Z375),"0")</f>
        <v>6.0925799999999999</v>
      </c>
      <c r="AA376" s="67"/>
      <c r="AB376" s="67"/>
      <c r="AC376" s="67"/>
    </row>
    <row r="377" spans="1:68" x14ac:dyDescent="0.2">
      <c r="A377" s="705"/>
      <c r="B377" s="705"/>
      <c r="C377" s="705"/>
      <c r="D377" s="705"/>
      <c r="E377" s="705"/>
      <c r="F377" s="705"/>
      <c r="G377" s="705"/>
      <c r="H377" s="705"/>
      <c r="I377" s="705"/>
      <c r="J377" s="705"/>
      <c r="K377" s="705"/>
      <c r="L377" s="705"/>
      <c r="M377" s="705"/>
      <c r="N377" s="705"/>
      <c r="O377" s="706"/>
      <c r="P377" s="702" t="s">
        <v>40</v>
      </c>
      <c r="Q377" s="703"/>
      <c r="R377" s="703"/>
      <c r="S377" s="703"/>
      <c r="T377" s="703"/>
      <c r="U377" s="703"/>
      <c r="V377" s="704"/>
      <c r="W377" s="42" t="s">
        <v>0</v>
      </c>
      <c r="X377" s="43">
        <f>IFERROR(SUM(X372:X375),"0")</f>
        <v>2500</v>
      </c>
      <c r="Y377" s="43">
        <f>IFERROR(SUM(Y372:Y375),"0")</f>
        <v>2503.7999999999997</v>
      </c>
      <c r="Z377" s="42"/>
      <c r="AA377" s="67"/>
      <c r="AB377" s="67"/>
      <c r="AC377" s="67"/>
    </row>
    <row r="378" spans="1:68" ht="14.25" customHeight="1" x14ac:dyDescent="0.25">
      <c r="A378" s="696" t="s">
        <v>181</v>
      </c>
      <c r="B378" s="696"/>
      <c r="C378" s="696"/>
      <c r="D378" s="696"/>
      <c r="E378" s="696"/>
      <c r="F378" s="696"/>
      <c r="G378" s="696"/>
      <c r="H378" s="696"/>
      <c r="I378" s="696"/>
      <c r="J378" s="696"/>
      <c r="K378" s="696"/>
      <c r="L378" s="696"/>
      <c r="M378" s="696"/>
      <c r="N378" s="696"/>
      <c r="O378" s="696"/>
      <c r="P378" s="696"/>
      <c r="Q378" s="696"/>
      <c r="R378" s="696"/>
      <c r="S378" s="696"/>
      <c r="T378" s="696"/>
      <c r="U378" s="696"/>
      <c r="V378" s="696"/>
      <c r="W378" s="696"/>
      <c r="X378" s="696"/>
      <c r="Y378" s="696"/>
      <c r="Z378" s="696"/>
      <c r="AA378" s="66"/>
      <c r="AB378" s="66"/>
      <c r="AC378" s="80"/>
    </row>
    <row r="379" spans="1:68" ht="27" customHeight="1" x14ac:dyDescent="0.25">
      <c r="A379" s="63" t="s">
        <v>631</v>
      </c>
      <c r="B379" s="63" t="s">
        <v>632</v>
      </c>
      <c r="C379" s="36">
        <v>4301060387</v>
      </c>
      <c r="D379" s="697">
        <v>4607091380880</v>
      </c>
      <c r="E379" s="69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133</v>
      </c>
      <c r="L379" s="37" t="s">
        <v>46</v>
      </c>
      <c r="M379" s="38" t="s">
        <v>90</v>
      </c>
      <c r="N379" s="38"/>
      <c r="O379" s="37">
        <v>30</v>
      </c>
      <c r="P379" s="89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9"/>
      <c r="R379" s="699"/>
      <c r="S379" s="699"/>
      <c r="T379" s="700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633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634</v>
      </c>
      <c r="B380" s="63" t="s">
        <v>635</v>
      </c>
      <c r="C380" s="36">
        <v>4301060406</v>
      </c>
      <c r="D380" s="697">
        <v>4607091384482</v>
      </c>
      <c r="E380" s="69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133</v>
      </c>
      <c r="L380" s="37" t="s">
        <v>46</v>
      </c>
      <c r="M380" s="38" t="s">
        <v>90</v>
      </c>
      <c r="N380" s="38"/>
      <c r="O380" s="37">
        <v>30</v>
      </c>
      <c r="P380" s="89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636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customHeight="1" x14ac:dyDescent="0.25">
      <c r="A381" s="63" t="s">
        <v>637</v>
      </c>
      <c r="B381" s="63" t="s">
        <v>638</v>
      </c>
      <c r="C381" s="36">
        <v>4301060484</v>
      </c>
      <c r="D381" s="697">
        <v>4607091380897</v>
      </c>
      <c r="E381" s="69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133</v>
      </c>
      <c r="L381" s="37" t="s">
        <v>46</v>
      </c>
      <c r="M381" s="38" t="s">
        <v>97</v>
      </c>
      <c r="N381" s="38"/>
      <c r="O381" s="37">
        <v>30</v>
      </c>
      <c r="P381" s="90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705"/>
      <c r="B382" s="705"/>
      <c r="C382" s="705"/>
      <c r="D382" s="705"/>
      <c r="E382" s="705"/>
      <c r="F382" s="705"/>
      <c r="G382" s="705"/>
      <c r="H382" s="705"/>
      <c r="I382" s="705"/>
      <c r="J382" s="705"/>
      <c r="K382" s="705"/>
      <c r="L382" s="705"/>
      <c r="M382" s="705"/>
      <c r="N382" s="705"/>
      <c r="O382" s="706"/>
      <c r="P382" s="702" t="s">
        <v>40</v>
      </c>
      <c r="Q382" s="703"/>
      <c r="R382" s="703"/>
      <c r="S382" s="703"/>
      <c r="T382" s="703"/>
      <c r="U382" s="703"/>
      <c r="V382" s="704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x14ac:dyDescent="0.2">
      <c r="A383" s="705"/>
      <c r="B383" s="705"/>
      <c r="C383" s="705"/>
      <c r="D383" s="705"/>
      <c r="E383" s="705"/>
      <c r="F383" s="705"/>
      <c r="G383" s="705"/>
      <c r="H383" s="705"/>
      <c r="I383" s="705"/>
      <c r="J383" s="705"/>
      <c r="K383" s="705"/>
      <c r="L383" s="705"/>
      <c r="M383" s="705"/>
      <c r="N383" s="705"/>
      <c r="O383" s="706"/>
      <c r="P383" s="702" t="s">
        <v>40</v>
      </c>
      <c r="Q383" s="703"/>
      <c r="R383" s="703"/>
      <c r="S383" s="703"/>
      <c r="T383" s="703"/>
      <c r="U383" s="703"/>
      <c r="V383" s="704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customHeight="1" x14ac:dyDescent="0.25">
      <c r="A384" s="696" t="s">
        <v>104</v>
      </c>
      <c r="B384" s="696"/>
      <c r="C384" s="696"/>
      <c r="D384" s="696"/>
      <c r="E384" s="696"/>
      <c r="F384" s="696"/>
      <c r="G384" s="696"/>
      <c r="H384" s="696"/>
      <c r="I384" s="696"/>
      <c r="J384" s="696"/>
      <c r="K384" s="696"/>
      <c r="L384" s="696"/>
      <c r="M384" s="696"/>
      <c r="N384" s="696"/>
      <c r="O384" s="696"/>
      <c r="P384" s="696"/>
      <c r="Q384" s="696"/>
      <c r="R384" s="696"/>
      <c r="S384" s="696"/>
      <c r="T384" s="696"/>
      <c r="U384" s="696"/>
      <c r="V384" s="696"/>
      <c r="W384" s="696"/>
      <c r="X384" s="696"/>
      <c r="Y384" s="696"/>
      <c r="Z384" s="696"/>
      <c r="AA384" s="66"/>
      <c r="AB384" s="66"/>
      <c r="AC384" s="80"/>
    </row>
    <row r="385" spans="1:68" ht="27" customHeight="1" x14ac:dyDescent="0.25">
      <c r="A385" s="63" t="s">
        <v>640</v>
      </c>
      <c r="B385" s="63" t="s">
        <v>641</v>
      </c>
      <c r="C385" s="36">
        <v>4301030235</v>
      </c>
      <c r="D385" s="697">
        <v>4607091388381</v>
      </c>
      <c r="E385" s="69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140</v>
      </c>
      <c r="L385" s="37" t="s">
        <v>46</v>
      </c>
      <c r="M385" s="38" t="s">
        <v>109</v>
      </c>
      <c r="N385" s="38"/>
      <c r="O385" s="37">
        <v>180</v>
      </c>
      <c r="P385" s="9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9"/>
      <c r="R385" s="699"/>
      <c r="S385" s="699"/>
      <c r="T385" s="700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642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643</v>
      </c>
      <c r="B386" s="63" t="s">
        <v>644</v>
      </c>
      <c r="C386" s="36">
        <v>4301030232</v>
      </c>
      <c r="D386" s="697">
        <v>4607091388374</v>
      </c>
      <c r="E386" s="69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140</v>
      </c>
      <c r="L386" s="37" t="s">
        <v>46</v>
      </c>
      <c r="M386" s="38" t="s">
        <v>109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645</v>
      </c>
      <c r="B387" s="63" t="s">
        <v>646</v>
      </c>
      <c r="C387" s="36">
        <v>4301032015</v>
      </c>
      <c r="D387" s="697">
        <v>4607091383102</v>
      </c>
      <c r="E387" s="69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647</v>
      </c>
      <c r="B388" s="63" t="s">
        <v>648</v>
      </c>
      <c r="C388" s="36">
        <v>4301030233</v>
      </c>
      <c r="D388" s="697">
        <v>4607091388404</v>
      </c>
      <c r="E388" s="69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705"/>
      <c r="B389" s="705"/>
      <c r="C389" s="705"/>
      <c r="D389" s="705"/>
      <c r="E389" s="705"/>
      <c r="F389" s="705"/>
      <c r="G389" s="705"/>
      <c r="H389" s="705"/>
      <c r="I389" s="705"/>
      <c r="J389" s="705"/>
      <c r="K389" s="705"/>
      <c r="L389" s="705"/>
      <c r="M389" s="705"/>
      <c r="N389" s="705"/>
      <c r="O389" s="706"/>
      <c r="P389" s="702" t="s">
        <v>40</v>
      </c>
      <c r="Q389" s="703"/>
      <c r="R389" s="703"/>
      <c r="S389" s="703"/>
      <c r="T389" s="703"/>
      <c r="U389" s="703"/>
      <c r="V389" s="704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705"/>
      <c r="B390" s="705"/>
      <c r="C390" s="705"/>
      <c r="D390" s="705"/>
      <c r="E390" s="705"/>
      <c r="F390" s="705"/>
      <c r="G390" s="705"/>
      <c r="H390" s="705"/>
      <c r="I390" s="705"/>
      <c r="J390" s="705"/>
      <c r="K390" s="705"/>
      <c r="L390" s="705"/>
      <c r="M390" s="705"/>
      <c r="N390" s="705"/>
      <c r="O390" s="706"/>
      <c r="P390" s="702" t="s">
        <v>40</v>
      </c>
      <c r="Q390" s="703"/>
      <c r="R390" s="703"/>
      <c r="S390" s="703"/>
      <c r="T390" s="703"/>
      <c r="U390" s="703"/>
      <c r="V390" s="704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696" t="s">
        <v>649</v>
      </c>
      <c r="B391" s="696"/>
      <c r="C391" s="696"/>
      <c r="D391" s="696"/>
      <c r="E391" s="696"/>
      <c r="F391" s="696"/>
      <c r="G391" s="696"/>
      <c r="H391" s="696"/>
      <c r="I391" s="696"/>
      <c r="J391" s="696"/>
      <c r="K391" s="696"/>
      <c r="L391" s="696"/>
      <c r="M391" s="696"/>
      <c r="N391" s="696"/>
      <c r="O391" s="696"/>
      <c r="P391" s="696"/>
      <c r="Q391" s="696"/>
      <c r="R391" s="696"/>
      <c r="S391" s="696"/>
      <c r="T391" s="696"/>
      <c r="U391" s="696"/>
      <c r="V391" s="696"/>
      <c r="W391" s="696"/>
      <c r="X391" s="696"/>
      <c r="Y391" s="696"/>
      <c r="Z391" s="696"/>
      <c r="AA391" s="66"/>
      <c r="AB391" s="66"/>
      <c r="AC391" s="80"/>
    </row>
    <row r="392" spans="1:68" ht="16.5" customHeight="1" x14ac:dyDescent="0.25">
      <c r="A392" s="63" t="s">
        <v>650</v>
      </c>
      <c r="B392" s="63" t="s">
        <v>651</v>
      </c>
      <c r="C392" s="36">
        <v>4301180007</v>
      </c>
      <c r="D392" s="697">
        <v>4680115881808</v>
      </c>
      <c r="E392" s="69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653</v>
      </c>
      <c r="N392" s="38"/>
      <c r="O392" s="37">
        <v>731</v>
      </c>
      <c r="P392" s="90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9"/>
      <c r="R392" s="699"/>
      <c r="S392" s="699"/>
      <c r="T392" s="700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652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654</v>
      </c>
      <c r="B393" s="63" t="s">
        <v>655</v>
      </c>
      <c r="C393" s="36">
        <v>4301180006</v>
      </c>
      <c r="D393" s="697">
        <v>4680115881822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653</v>
      </c>
      <c r="N393" s="38"/>
      <c r="O393" s="37">
        <v>731</v>
      </c>
      <c r="P393" s="90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656</v>
      </c>
      <c r="B394" s="63" t="s">
        <v>657</v>
      </c>
      <c r="C394" s="36">
        <v>4301180001</v>
      </c>
      <c r="D394" s="697">
        <v>4680115880016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653</v>
      </c>
      <c r="N394" s="38"/>
      <c r="O394" s="37">
        <v>731</v>
      </c>
      <c r="P394" s="90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705"/>
      <c r="B395" s="705"/>
      <c r="C395" s="705"/>
      <c r="D395" s="705"/>
      <c r="E395" s="705"/>
      <c r="F395" s="705"/>
      <c r="G395" s="705"/>
      <c r="H395" s="705"/>
      <c r="I395" s="705"/>
      <c r="J395" s="705"/>
      <c r="K395" s="705"/>
      <c r="L395" s="705"/>
      <c r="M395" s="705"/>
      <c r="N395" s="705"/>
      <c r="O395" s="706"/>
      <c r="P395" s="702" t="s">
        <v>40</v>
      </c>
      <c r="Q395" s="703"/>
      <c r="R395" s="703"/>
      <c r="S395" s="703"/>
      <c r="T395" s="703"/>
      <c r="U395" s="703"/>
      <c r="V395" s="704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705"/>
      <c r="B396" s="705"/>
      <c r="C396" s="705"/>
      <c r="D396" s="705"/>
      <c r="E396" s="705"/>
      <c r="F396" s="705"/>
      <c r="G396" s="705"/>
      <c r="H396" s="705"/>
      <c r="I396" s="705"/>
      <c r="J396" s="705"/>
      <c r="K396" s="705"/>
      <c r="L396" s="705"/>
      <c r="M396" s="705"/>
      <c r="N396" s="705"/>
      <c r="O396" s="706"/>
      <c r="P396" s="702" t="s">
        <v>40</v>
      </c>
      <c r="Q396" s="703"/>
      <c r="R396" s="703"/>
      <c r="S396" s="703"/>
      <c r="T396" s="703"/>
      <c r="U396" s="703"/>
      <c r="V396" s="704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customHeight="1" x14ac:dyDescent="0.25">
      <c r="A397" s="696" t="s">
        <v>658</v>
      </c>
      <c r="B397" s="696"/>
      <c r="C397" s="696"/>
      <c r="D397" s="696"/>
      <c r="E397" s="696"/>
      <c r="F397" s="696"/>
      <c r="G397" s="696"/>
      <c r="H397" s="696"/>
      <c r="I397" s="696"/>
      <c r="J397" s="696"/>
      <c r="K397" s="696"/>
      <c r="L397" s="696"/>
      <c r="M397" s="696"/>
      <c r="N397" s="696"/>
      <c r="O397" s="696"/>
      <c r="P397" s="696"/>
      <c r="Q397" s="696"/>
      <c r="R397" s="696"/>
      <c r="S397" s="696"/>
      <c r="T397" s="696"/>
      <c r="U397" s="696"/>
      <c r="V397" s="696"/>
      <c r="W397" s="696"/>
      <c r="X397" s="696"/>
      <c r="Y397" s="696"/>
      <c r="Z397" s="696"/>
      <c r="AA397" s="66"/>
      <c r="AB397" s="66"/>
      <c r="AC397" s="80"/>
    </row>
    <row r="398" spans="1:68" ht="27" customHeight="1" x14ac:dyDescent="0.25">
      <c r="A398" s="63" t="s">
        <v>659</v>
      </c>
      <c r="B398" s="63" t="s">
        <v>660</v>
      </c>
      <c r="C398" s="36">
        <v>4301220003</v>
      </c>
      <c r="D398" s="697">
        <v>4680115888678</v>
      </c>
      <c r="E398" s="697"/>
      <c r="F398" s="62">
        <v>0.25</v>
      </c>
      <c r="G398" s="37">
        <v>12</v>
      </c>
      <c r="H398" s="62">
        <v>3</v>
      </c>
      <c r="I398" s="62">
        <v>3.22</v>
      </c>
      <c r="J398" s="37">
        <v>224</v>
      </c>
      <c r="K398" s="37" t="s">
        <v>91</v>
      </c>
      <c r="L398" s="37" t="s">
        <v>46</v>
      </c>
      <c r="M398" s="38" t="s">
        <v>653</v>
      </c>
      <c r="N398" s="38"/>
      <c r="O398" s="37">
        <v>1095</v>
      </c>
      <c r="P398" s="90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99"/>
      <c r="R398" s="699"/>
      <c r="S398" s="699"/>
      <c r="T398" s="700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IFERROR(IF(Y398=0,"",ROUNDUP(Y398/H398,0)*0.0045),"")</f>
        <v/>
      </c>
      <c r="AA398" s="68" t="s">
        <v>46</v>
      </c>
      <c r="AB398" s="69" t="s">
        <v>276</v>
      </c>
      <c r="AC398" s="492" t="s">
        <v>661</v>
      </c>
      <c r="AG398" s="78"/>
      <c r="AJ398" s="84" t="s">
        <v>46</v>
      </c>
      <c r="AK398" s="84">
        <v>0</v>
      </c>
      <c r="BB398" s="493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662</v>
      </c>
      <c r="B399" s="63" t="s">
        <v>663</v>
      </c>
      <c r="C399" s="36">
        <v>4301220001</v>
      </c>
      <c r="D399" s="697">
        <v>4680115888654</v>
      </c>
      <c r="E399" s="697"/>
      <c r="F399" s="62">
        <v>0.32500000000000001</v>
      </c>
      <c r="G399" s="37">
        <v>12</v>
      </c>
      <c r="H399" s="62">
        <v>3.9</v>
      </c>
      <c r="I399" s="62">
        <v>4.17</v>
      </c>
      <c r="J399" s="37">
        <v>144</v>
      </c>
      <c r="K399" s="37" t="s">
        <v>140</v>
      </c>
      <c r="L399" s="37" t="s">
        <v>46</v>
      </c>
      <c r="M399" s="38" t="s">
        <v>653</v>
      </c>
      <c r="N399" s="38"/>
      <c r="O399" s="37">
        <v>1095</v>
      </c>
      <c r="P399" s="90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IFERROR(IF(Y399=0,"",ROUNDUP(Y399/H399,0)*0.006),"")</f>
        <v/>
      </c>
      <c r="AA399" s="68" t="s">
        <v>46</v>
      </c>
      <c r="AB399" s="69" t="s">
        <v>276</v>
      </c>
      <c r="AC399" s="494" t="s">
        <v>664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665</v>
      </c>
      <c r="B400" s="63" t="s">
        <v>666</v>
      </c>
      <c r="C400" s="36">
        <v>4301220002</v>
      </c>
      <c r="D400" s="697">
        <v>4680115888753</v>
      </c>
      <c r="E400" s="697"/>
      <c r="F400" s="62">
        <v>0.25</v>
      </c>
      <c r="G400" s="37">
        <v>12</v>
      </c>
      <c r="H400" s="62">
        <v>3</v>
      </c>
      <c r="I400" s="62">
        <v>3.22</v>
      </c>
      <c r="J400" s="37">
        <v>224</v>
      </c>
      <c r="K400" s="37" t="s">
        <v>91</v>
      </c>
      <c r="L400" s="37" t="s">
        <v>46</v>
      </c>
      <c r="M400" s="38" t="s">
        <v>653</v>
      </c>
      <c r="N400" s="38"/>
      <c r="O400" s="37">
        <v>1095</v>
      </c>
      <c r="P400" s="91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IFERROR(IF(Y400=0,"",ROUNDUP(Y400/H400,0)*0.0045),"")</f>
        <v/>
      </c>
      <c r="AA400" s="68" t="s">
        <v>46</v>
      </c>
      <c r="AB400" s="69" t="s">
        <v>276</v>
      </c>
      <c r="AC400" s="496" t="s">
        <v>661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x14ac:dyDescent="0.2">
      <c r="A401" s="705"/>
      <c r="B401" s="705"/>
      <c r="C401" s="705"/>
      <c r="D401" s="705"/>
      <c r="E401" s="705"/>
      <c r="F401" s="705"/>
      <c r="G401" s="705"/>
      <c r="H401" s="705"/>
      <c r="I401" s="705"/>
      <c r="J401" s="705"/>
      <c r="K401" s="705"/>
      <c r="L401" s="705"/>
      <c r="M401" s="705"/>
      <c r="N401" s="705"/>
      <c r="O401" s="706"/>
      <c r="P401" s="702" t="s">
        <v>40</v>
      </c>
      <c r="Q401" s="703"/>
      <c r="R401" s="703"/>
      <c r="S401" s="703"/>
      <c r="T401" s="703"/>
      <c r="U401" s="703"/>
      <c r="V401" s="704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705"/>
      <c r="B402" s="705"/>
      <c r="C402" s="705"/>
      <c r="D402" s="705"/>
      <c r="E402" s="705"/>
      <c r="F402" s="705"/>
      <c r="G402" s="705"/>
      <c r="H402" s="705"/>
      <c r="I402" s="705"/>
      <c r="J402" s="705"/>
      <c r="K402" s="705"/>
      <c r="L402" s="705"/>
      <c r="M402" s="705"/>
      <c r="N402" s="705"/>
      <c r="O402" s="706"/>
      <c r="P402" s="702" t="s">
        <v>40</v>
      </c>
      <c r="Q402" s="703"/>
      <c r="R402" s="703"/>
      <c r="S402" s="703"/>
      <c r="T402" s="703"/>
      <c r="U402" s="703"/>
      <c r="V402" s="704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6.5" customHeight="1" x14ac:dyDescent="0.25">
      <c r="A403" s="695" t="s">
        <v>667</v>
      </c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5"/>
      <c r="P403" s="695"/>
      <c r="Q403" s="695"/>
      <c r="R403" s="695"/>
      <c r="S403" s="695"/>
      <c r="T403" s="695"/>
      <c r="U403" s="695"/>
      <c r="V403" s="695"/>
      <c r="W403" s="695"/>
      <c r="X403" s="695"/>
      <c r="Y403" s="695"/>
      <c r="Z403" s="695"/>
      <c r="AA403" s="65"/>
      <c r="AB403" s="65"/>
      <c r="AC403" s="79"/>
    </row>
    <row r="404" spans="1:68" ht="14.25" customHeight="1" x14ac:dyDescent="0.25">
      <c r="A404" s="696" t="s">
        <v>86</v>
      </c>
      <c r="B404" s="696"/>
      <c r="C404" s="696"/>
      <c r="D404" s="696"/>
      <c r="E404" s="696"/>
      <c r="F404" s="696"/>
      <c r="G404" s="696"/>
      <c r="H404" s="696"/>
      <c r="I404" s="696"/>
      <c r="J404" s="696"/>
      <c r="K404" s="696"/>
      <c r="L404" s="696"/>
      <c r="M404" s="696"/>
      <c r="N404" s="696"/>
      <c r="O404" s="696"/>
      <c r="P404" s="696"/>
      <c r="Q404" s="696"/>
      <c r="R404" s="696"/>
      <c r="S404" s="696"/>
      <c r="T404" s="696"/>
      <c r="U404" s="696"/>
      <c r="V404" s="696"/>
      <c r="W404" s="696"/>
      <c r="X404" s="696"/>
      <c r="Y404" s="696"/>
      <c r="Z404" s="696"/>
      <c r="AA404" s="66"/>
      <c r="AB404" s="66"/>
      <c r="AC404" s="80"/>
    </row>
    <row r="405" spans="1:68" ht="27" customHeight="1" x14ac:dyDescent="0.25">
      <c r="A405" s="63" t="s">
        <v>668</v>
      </c>
      <c r="B405" s="63" t="s">
        <v>669</v>
      </c>
      <c r="C405" s="36">
        <v>4301051489</v>
      </c>
      <c r="D405" s="697">
        <v>4607091387919</v>
      </c>
      <c r="E405" s="697"/>
      <c r="F405" s="62">
        <v>1.35</v>
      </c>
      <c r="G405" s="37">
        <v>6</v>
      </c>
      <c r="H405" s="62">
        <v>8.1</v>
      </c>
      <c r="I405" s="62">
        <v>8.5939999999999994</v>
      </c>
      <c r="J405" s="37">
        <v>64</v>
      </c>
      <c r="K405" s="37" t="s">
        <v>133</v>
      </c>
      <c r="L405" s="37" t="s">
        <v>46</v>
      </c>
      <c r="M405" s="38" t="s">
        <v>97</v>
      </c>
      <c r="N405" s="38"/>
      <c r="O405" s="37">
        <v>45</v>
      </c>
      <c r="P405" s="91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99"/>
      <c r="R405" s="699"/>
      <c r="S405" s="699"/>
      <c r="T405" s="700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IFERROR(IF(Y405=0,"",ROUNDUP(Y405/H405,0)*0.01898),"")</f>
        <v/>
      </c>
      <c r="AA405" s="68" t="s">
        <v>46</v>
      </c>
      <c r="AB405" s="69" t="s">
        <v>46</v>
      </c>
      <c r="AC405" s="498" t="s">
        <v>670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671</v>
      </c>
      <c r="B406" s="63" t="s">
        <v>672</v>
      </c>
      <c r="C406" s="36">
        <v>4301051461</v>
      </c>
      <c r="D406" s="697">
        <v>4680115883604</v>
      </c>
      <c r="E406" s="697"/>
      <c r="F406" s="62">
        <v>0.35</v>
      </c>
      <c r="G406" s="37">
        <v>6</v>
      </c>
      <c r="H406" s="62">
        <v>2.1</v>
      </c>
      <c r="I406" s="62">
        <v>2.3519999999999999</v>
      </c>
      <c r="J406" s="37">
        <v>182</v>
      </c>
      <c r="K406" s="37" t="s">
        <v>91</v>
      </c>
      <c r="L406" s="37" t="s">
        <v>46</v>
      </c>
      <c r="M406" s="38" t="s">
        <v>90</v>
      </c>
      <c r="N406" s="38"/>
      <c r="O406" s="37">
        <v>45</v>
      </c>
      <c r="P406" s="9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673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674</v>
      </c>
      <c r="B407" s="63" t="s">
        <v>675</v>
      </c>
      <c r="C407" s="36">
        <v>4301051864</v>
      </c>
      <c r="D407" s="697">
        <v>4680115883567</v>
      </c>
      <c r="E407" s="697"/>
      <c r="F407" s="62">
        <v>0.35</v>
      </c>
      <c r="G407" s="37">
        <v>6</v>
      </c>
      <c r="H407" s="62">
        <v>2.1</v>
      </c>
      <c r="I407" s="62">
        <v>2.34</v>
      </c>
      <c r="J407" s="37">
        <v>182</v>
      </c>
      <c r="K407" s="37" t="s">
        <v>91</v>
      </c>
      <c r="L407" s="37" t="s">
        <v>46</v>
      </c>
      <c r="M407" s="38" t="s">
        <v>97</v>
      </c>
      <c r="N407" s="38"/>
      <c r="O407" s="37">
        <v>40</v>
      </c>
      <c r="P407" s="9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676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705"/>
      <c r="B408" s="705"/>
      <c r="C408" s="705"/>
      <c r="D408" s="705"/>
      <c r="E408" s="705"/>
      <c r="F408" s="705"/>
      <c r="G408" s="705"/>
      <c r="H408" s="705"/>
      <c r="I408" s="705"/>
      <c r="J408" s="705"/>
      <c r="K408" s="705"/>
      <c r="L408" s="705"/>
      <c r="M408" s="705"/>
      <c r="N408" s="705"/>
      <c r="O408" s="706"/>
      <c r="P408" s="702" t="s">
        <v>40</v>
      </c>
      <c r="Q408" s="703"/>
      <c r="R408" s="703"/>
      <c r="S408" s="703"/>
      <c r="T408" s="703"/>
      <c r="U408" s="703"/>
      <c r="V408" s="704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x14ac:dyDescent="0.2">
      <c r="A409" s="705"/>
      <c r="B409" s="705"/>
      <c r="C409" s="705"/>
      <c r="D409" s="705"/>
      <c r="E409" s="705"/>
      <c r="F409" s="705"/>
      <c r="G409" s="705"/>
      <c r="H409" s="705"/>
      <c r="I409" s="705"/>
      <c r="J409" s="705"/>
      <c r="K409" s="705"/>
      <c r="L409" s="705"/>
      <c r="M409" s="705"/>
      <c r="N409" s="705"/>
      <c r="O409" s="706"/>
      <c r="P409" s="702" t="s">
        <v>40</v>
      </c>
      <c r="Q409" s="703"/>
      <c r="R409" s="703"/>
      <c r="S409" s="703"/>
      <c r="T409" s="703"/>
      <c r="U409" s="703"/>
      <c r="V409" s="704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27.75" customHeight="1" x14ac:dyDescent="0.2">
      <c r="A410" s="694" t="s">
        <v>677</v>
      </c>
      <c r="B410" s="694"/>
      <c r="C410" s="694"/>
      <c r="D410" s="694"/>
      <c r="E410" s="694"/>
      <c r="F410" s="694"/>
      <c r="G410" s="694"/>
      <c r="H410" s="694"/>
      <c r="I410" s="694"/>
      <c r="J410" s="694"/>
      <c r="K410" s="694"/>
      <c r="L410" s="694"/>
      <c r="M410" s="694"/>
      <c r="N410" s="694"/>
      <c r="O410" s="694"/>
      <c r="P410" s="694"/>
      <c r="Q410" s="694"/>
      <c r="R410" s="694"/>
      <c r="S410" s="694"/>
      <c r="T410" s="694"/>
      <c r="U410" s="694"/>
      <c r="V410" s="694"/>
      <c r="W410" s="694"/>
      <c r="X410" s="694"/>
      <c r="Y410" s="694"/>
      <c r="Z410" s="694"/>
      <c r="AA410" s="54"/>
      <c r="AB410" s="54"/>
      <c r="AC410" s="54"/>
    </row>
    <row r="411" spans="1:68" ht="16.5" customHeight="1" x14ac:dyDescent="0.25">
      <c r="A411" s="695" t="s">
        <v>678</v>
      </c>
      <c r="B411" s="695"/>
      <c r="C411" s="695"/>
      <c r="D411" s="695"/>
      <c r="E411" s="695"/>
      <c r="F411" s="695"/>
      <c r="G411" s="695"/>
      <c r="H411" s="695"/>
      <c r="I411" s="695"/>
      <c r="J411" s="695"/>
      <c r="K411" s="695"/>
      <c r="L411" s="695"/>
      <c r="M411" s="695"/>
      <c r="N411" s="695"/>
      <c r="O411" s="695"/>
      <c r="P411" s="695"/>
      <c r="Q411" s="695"/>
      <c r="R411" s="695"/>
      <c r="S411" s="695"/>
      <c r="T411" s="695"/>
      <c r="U411" s="695"/>
      <c r="V411" s="695"/>
      <c r="W411" s="695"/>
      <c r="X411" s="695"/>
      <c r="Y411" s="695"/>
      <c r="Z411" s="695"/>
      <c r="AA411" s="65"/>
      <c r="AB411" s="65"/>
      <c r="AC411" s="79"/>
    </row>
    <row r="412" spans="1:68" ht="14.25" customHeight="1" x14ac:dyDescent="0.25">
      <c r="A412" s="696" t="s">
        <v>128</v>
      </c>
      <c r="B412" s="696"/>
      <c r="C412" s="696"/>
      <c r="D412" s="696"/>
      <c r="E412" s="696"/>
      <c r="F412" s="696"/>
      <c r="G412" s="696"/>
      <c r="H412" s="696"/>
      <c r="I412" s="696"/>
      <c r="J412" s="696"/>
      <c r="K412" s="696"/>
      <c r="L412" s="696"/>
      <c r="M412" s="696"/>
      <c r="N412" s="696"/>
      <c r="O412" s="696"/>
      <c r="P412" s="696"/>
      <c r="Q412" s="696"/>
      <c r="R412" s="696"/>
      <c r="S412" s="696"/>
      <c r="T412" s="696"/>
      <c r="U412" s="696"/>
      <c r="V412" s="696"/>
      <c r="W412" s="696"/>
      <c r="X412" s="696"/>
      <c r="Y412" s="696"/>
      <c r="Z412" s="696"/>
      <c r="AA412" s="66"/>
      <c r="AB412" s="66"/>
      <c r="AC412" s="80"/>
    </row>
    <row r="413" spans="1:68" ht="27" customHeight="1" x14ac:dyDescent="0.25">
      <c r="A413" s="63" t="s">
        <v>679</v>
      </c>
      <c r="B413" s="63" t="s">
        <v>680</v>
      </c>
      <c r="C413" s="36">
        <v>4301012332</v>
      </c>
      <c r="D413" s="697">
        <v>4680115888401</v>
      </c>
      <c r="E413" s="697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133</v>
      </c>
      <c r="L413" s="37" t="s">
        <v>46</v>
      </c>
      <c r="M413" s="38" t="s">
        <v>97</v>
      </c>
      <c r="N413" s="38"/>
      <c r="O413" s="37">
        <v>60</v>
      </c>
      <c r="P413" s="91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ref="Y413:Y420" si="52">IFERROR(IF(X413="",0,CEILING((X413/$H413),1)*$H413),"")</f>
        <v>0</v>
      </c>
      <c r="Z413" s="41" t="str">
        <f>IFERROR(IF(Y413=0,"",ROUNDUP(Y413/H413,0)*0.02175),"")</f>
        <v/>
      </c>
      <c r="AA413" s="68" t="s">
        <v>46</v>
      </c>
      <c r="AB413" s="69" t="s">
        <v>46</v>
      </c>
      <c r="AC413" s="504" t="s">
        <v>681</v>
      </c>
      <c r="AG413" s="78"/>
      <c r="AJ413" s="84" t="s">
        <v>46</v>
      </c>
      <c r="AK413" s="84">
        <v>0</v>
      </c>
      <c r="BB413" s="505" t="s">
        <v>67</v>
      </c>
      <c r="BM413" s="78">
        <f t="shared" ref="BM413:BM420" si="53">IFERROR(X413*I413/H413,"0")</f>
        <v>0</v>
      </c>
      <c r="BN413" s="78">
        <f t="shared" ref="BN413:BN420" si="54">IFERROR(Y413*I413/H413,"0")</f>
        <v>0</v>
      </c>
      <c r="BO413" s="78">
        <f t="shared" ref="BO413:BO420" si="55">IFERROR(1/J413*(X413/H413),"0")</f>
        <v>0</v>
      </c>
      <c r="BP413" s="78">
        <f t="shared" ref="BP413:BP420" si="56">IFERROR(1/J413*(Y413/H413),"0")</f>
        <v>0</v>
      </c>
    </row>
    <row r="414" spans="1:68" ht="37.5" customHeight="1" x14ac:dyDescent="0.25">
      <c r="A414" s="63" t="s">
        <v>682</v>
      </c>
      <c r="B414" s="63" t="s">
        <v>683</v>
      </c>
      <c r="C414" s="36">
        <v>4301011869</v>
      </c>
      <c r="D414" s="697">
        <v>4680115884847</v>
      </c>
      <c r="E414" s="697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81</v>
      </c>
      <c r="N414" s="38"/>
      <c r="O414" s="37">
        <v>60</v>
      </c>
      <c r="P414" s="9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2"/>
        <v>0</v>
      </c>
      <c r="Z414" s="41" t="str">
        <f>IFERROR(IF(Y414=0,"",ROUNDUP(Y414/H414,0)*0.02175),"")</f>
        <v/>
      </c>
      <c r="AA414" s="68" t="s">
        <v>46</v>
      </c>
      <c r="AB414" s="69" t="s">
        <v>46</v>
      </c>
      <c r="AC414" s="506" t="s">
        <v>684</v>
      </c>
      <c r="AG414" s="78"/>
      <c r="AJ414" s="84" t="s">
        <v>46</v>
      </c>
      <c r="AK414" s="84">
        <v>0</v>
      </c>
      <c r="BB414" s="507" t="s">
        <v>67</v>
      </c>
      <c r="BM414" s="78">
        <f t="shared" si="53"/>
        <v>0</v>
      </c>
      <c r="BN414" s="78">
        <f t="shared" si="54"/>
        <v>0</v>
      </c>
      <c r="BO414" s="78">
        <f t="shared" si="55"/>
        <v>0</v>
      </c>
      <c r="BP414" s="78">
        <f t="shared" si="56"/>
        <v>0</v>
      </c>
    </row>
    <row r="415" spans="1:68" ht="27" customHeight="1" x14ac:dyDescent="0.25">
      <c r="A415" s="63" t="s">
        <v>685</v>
      </c>
      <c r="B415" s="63" t="s">
        <v>686</v>
      </c>
      <c r="C415" s="36">
        <v>4301012083</v>
      </c>
      <c r="D415" s="697">
        <v>4680115884854</v>
      </c>
      <c r="E415" s="697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60</v>
      </c>
      <c r="P415" s="9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99"/>
      <c r="R415" s="699"/>
      <c r="S415" s="699"/>
      <c r="T415" s="700"/>
      <c r="U415" s="39" t="s">
        <v>46</v>
      </c>
      <c r="V415" s="39" t="s">
        <v>46</v>
      </c>
      <c r="W415" s="40" t="s">
        <v>0</v>
      </c>
      <c r="X415" s="58">
        <v>0</v>
      </c>
      <c r="Y415" s="55">
        <f t="shared" si="52"/>
        <v>0</v>
      </c>
      <c r="Z415" s="41" t="str">
        <f>IFERROR(IF(Y415=0,"",ROUNDUP(Y415/H415,0)*0.02175),"")</f>
        <v/>
      </c>
      <c r="AA415" s="68" t="s">
        <v>46</v>
      </c>
      <c r="AB415" s="69" t="s">
        <v>46</v>
      </c>
      <c r="AC415" s="508" t="s">
        <v>687</v>
      </c>
      <c r="AG415" s="78"/>
      <c r="AJ415" s="84" t="s">
        <v>46</v>
      </c>
      <c r="AK415" s="84">
        <v>0</v>
      </c>
      <c r="BB415" s="509" t="s">
        <v>67</v>
      </c>
      <c r="BM415" s="78">
        <f t="shared" si="53"/>
        <v>0</v>
      </c>
      <c r="BN415" s="78">
        <f t="shared" si="54"/>
        <v>0</v>
      </c>
      <c r="BO415" s="78">
        <f t="shared" si="55"/>
        <v>0</v>
      </c>
      <c r="BP415" s="78">
        <f t="shared" si="56"/>
        <v>0</v>
      </c>
    </row>
    <row r="416" spans="1:68" ht="27" customHeight="1" x14ac:dyDescent="0.25">
      <c r="A416" s="63" t="s">
        <v>688</v>
      </c>
      <c r="B416" s="63" t="s">
        <v>689</v>
      </c>
      <c r="C416" s="36">
        <v>4301011867</v>
      </c>
      <c r="D416" s="697">
        <v>4680115884830</v>
      </c>
      <c r="E416" s="697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133</v>
      </c>
      <c r="L416" s="37" t="s">
        <v>46</v>
      </c>
      <c r="M416" s="38" t="s">
        <v>81</v>
      </c>
      <c r="N416" s="38"/>
      <c r="O416" s="37">
        <v>60</v>
      </c>
      <c r="P416" s="91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99"/>
      <c r="R416" s="699"/>
      <c r="S416" s="699"/>
      <c r="T416" s="700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2"/>
        <v>0</v>
      </c>
      <c r="Z416" s="41" t="str">
        <f>IFERROR(IF(Y416=0,"",ROUNDUP(Y416/H416,0)*0.02175),"")</f>
        <v/>
      </c>
      <c r="AA416" s="68" t="s">
        <v>46</v>
      </c>
      <c r="AB416" s="69" t="s">
        <v>46</v>
      </c>
      <c r="AC416" s="510" t="s">
        <v>690</v>
      </c>
      <c r="AG416" s="78"/>
      <c r="AJ416" s="84" t="s">
        <v>46</v>
      </c>
      <c r="AK416" s="84">
        <v>0</v>
      </c>
      <c r="BB416" s="511" t="s">
        <v>67</v>
      </c>
      <c r="BM416" s="78">
        <f t="shared" si="53"/>
        <v>0</v>
      </c>
      <c r="BN416" s="78">
        <f t="shared" si="54"/>
        <v>0</v>
      </c>
      <c r="BO416" s="78">
        <f t="shared" si="55"/>
        <v>0</v>
      </c>
      <c r="BP416" s="78">
        <f t="shared" si="56"/>
        <v>0</v>
      </c>
    </row>
    <row r="417" spans="1:68" ht="27" customHeight="1" x14ac:dyDescent="0.25">
      <c r="A417" s="63" t="s">
        <v>691</v>
      </c>
      <c r="B417" s="63" t="s">
        <v>692</v>
      </c>
      <c r="C417" s="36">
        <v>4301012356</v>
      </c>
      <c r="D417" s="697">
        <v>4680115889231</v>
      </c>
      <c r="E417" s="697"/>
      <c r="F417" s="62">
        <v>2.5</v>
      </c>
      <c r="G417" s="37">
        <v>6</v>
      </c>
      <c r="H417" s="62">
        <v>15</v>
      </c>
      <c r="I417" s="62">
        <v>15.47</v>
      </c>
      <c r="J417" s="37">
        <v>48</v>
      </c>
      <c r="K417" s="37" t="s">
        <v>133</v>
      </c>
      <c r="L417" s="37" t="s">
        <v>46</v>
      </c>
      <c r="M417" s="38" t="s">
        <v>97</v>
      </c>
      <c r="N417" s="38"/>
      <c r="O417" s="37">
        <v>60</v>
      </c>
      <c r="P417" s="91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99"/>
      <c r="R417" s="699"/>
      <c r="S417" s="699"/>
      <c r="T417" s="700"/>
      <c r="U417" s="39" t="s">
        <v>46</v>
      </c>
      <c r="V417" s="39" t="s">
        <v>46</v>
      </c>
      <c r="W417" s="40" t="s">
        <v>0</v>
      </c>
      <c r="X417" s="58">
        <v>0</v>
      </c>
      <c r="Y417" s="55">
        <f t="shared" si="52"/>
        <v>0</v>
      </c>
      <c r="Z417" s="41" t="str">
        <f>IFERROR(IF(Y417=0,"",ROUNDUP(Y417/H417,0)*0.02175),"")</f>
        <v/>
      </c>
      <c r="AA417" s="68" t="s">
        <v>46</v>
      </c>
      <c r="AB417" s="69" t="s">
        <v>46</v>
      </c>
      <c r="AC417" s="512" t="s">
        <v>693</v>
      </c>
      <c r="AG417" s="78"/>
      <c r="AJ417" s="84" t="s">
        <v>46</v>
      </c>
      <c r="AK417" s="84">
        <v>0</v>
      </c>
      <c r="BB417" s="513" t="s">
        <v>67</v>
      </c>
      <c r="BM417" s="78">
        <f t="shared" si="53"/>
        <v>0</v>
      </c>
      <c r="BN417" s="78">
        <f t="shared" si="54"/>
        <v>0</v>
      </c>
      <c r="BO417" s="78">
        <f t="shared" si="55"/>
        <v>0</v>
      </c>
      <c r="BP417" s="78">
        <f t="shared" si="56"/>
        <v>0</v>
      </c>
    </row>
    <row r="418" spans="1:68" ht="27" customHeight="1" x14ac:dyDescent="0.25">
      <c r="A418" s="63" t="s">
        <v>694</v>
      </c>
      <c r="B418" s="63" t="s">
        <v>695</v>
      </c>
      <c r="C418" s="36">
        <v>4301011433</v>
      </c>
      <c r="D418" s="697">
        <v>4680115882638</v>
      </c>
      <c r="E418" s="697"/>
      <c r="F418" s="62">
        <v>0.4</v>
      </c>
      <c r="G418" s="37">
        <v>10</v>
      </c>
      <c r="H418" s="62">
        <v>4</v>
      </c>
      <c r="I418" s="62">
        <v>4.1900000000000004</v>
      </c>
      <c r="J418" s="37">
        <v>132</v>
      </c>
      <c r="K418" s="37" t="s">
        <v>140</v>
      </c>
      <c r="L418" s="37" t="s">
        <v>46</v>
      </c>
      <c r="M418" s="38" t="s">
        <v>132</v>
      </c>
      <c r="N418" s="38"/>
      <c r="O418" s="37">
        <v>90</v>
      </c>
      <c r="P418" s="9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99"/>
      <c r="R418" s="699"/>
      <c r="S418" s="699"/>
      <c r="T418" s="700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52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696</v>
      </c>
      <c r="AG418" s="78"/>
      <c r="AJ418" s="84" t="s">
        <v>46</v>
      </c>
      <c r="AK418" s="84">
        <v>0</v>
      </c>
      <c r="BB418" s="515" t="s">
        <v>67</v>
      </c>
      <c r="BM418" s="78">
        <f t="shared" si="53"/>
        <v>0</v>
      </c>
      <c r="BN418" s="78">
        <f t="shared" si="54"/>
        <v>0</v>
      </c>
      <c r="BO418" s="78">
        <f t="shared" si="55"/>
        <v>0</v>
      </c>
      <c r="BP418" s="78">
        <f t="shared" si="56"/>
        <v>0</v>
      </c>
    </row>
    <row r="419" spans="1:68" ht="27" customHeight="1" x14ac:dyDescent="0.25">
      <c r="A419" s="63" t="s">
        <v>697</v>
      </c>
      <c r="B419" s="63" t="s">
        <v>698</v>
      </c>
      <c r="C419" s="36">
        <v>4301011952</v>
      </c>
      <c r="D419" s="697">
        <v>4680115884922</v>
      </c>
      <c r="E419" s="697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140</v>
      </c>
      <c r="L419" s="37" t="s">
        <v>46</v>
      </c>
      <c r="M419" s="38" t="s">
        <v>81</v>
      </c>
      <c r="N419" s="38"/>
      <c r="O419" s="37">
        <v>60</v>
      </c>
      <c r="P419" s="9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99"/>
      <c r="R419" s="699"/>
      <c r="S419" s="699"/>
      <c r="T419" s="700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52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699</v>
      </c>
      <c r="AG419" s="78"/>
      <c r="AJ419" s="84" t="s">
        <v>46</v>
      </c>
      <c r="AK419" s="84">
        <v>0</v>
      </c>
      <c r="BB419" s="517" t="s">
        <v>67</v>
      </c>
      <c r="BM419" s="78">
        <f t="shared" si="53"/>
        <v>0</v>
      </c>
      <c r="BN419" s="78">
        <f t="shared" si="54"/>
        <v>0</v>
      </c>
      <c r="BO419" s="78">
        <f t="shared" si="55"/>
        <v>0</v>
      </c>
      <c r="BP419" s="78">
        <f t="shared" si="56"/>
        <v>0</v>
      </c>
    </row>
    <row r="420" spans="1:68" ht="37.5" customHeight="1" x14ac:dyDescent="0.25">
      <c r="A420" s="63" t="s">
        <v>700</v>
      </c>
      <c r="B420" s="63" t="s">
        <v>701</v>
      </c>
      <c r="C420" s="36">
        <v>4301011868</v>
      </c>
      <c r="D420" s="697">
        <v>4680115884861</v>
      </c>
      <c r="E420" s="697"/>
      <c r="F420" s="62">
        <v>0.5</v>
      </c>
      <c r="G420" s="37">
        <v>10</v>
      </c>
      <c r="H420" s="62">
        <v>5</v>
      </c>
      <c r="I420" s="62">
        <v>5.19</v>
      </c>
      <c r="J420" s="37">
        <v>132</v>
      </c>
      <c r="K420" s="37" t="s">
        <v>140</v>
      </c>
      <c r="L420" s="37" t="s">
        <v>46</v>
      </c>
      <c r="M420" s="38" t="s">
        <v>81</v>
      </c>
      <c r="N420" s="38"/>
      <c r="O420" s="37">
        <v>60</v>
      </c>
      <c r="P420" s="9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si="52"/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702</v>
      </c>
      <c r="AG420" s="78"/>
      <c r="AJ420" s="84" t="s">
        <v>46</v>
      </c>
      <c r="AK420" s="84">
        <v>0</v>
      </c>
      <c r="BB420" s="519" t="s">
        <v>67</v>
      </c>
      <c r="BM420" s="78">
        <f t="shared" si="53"/>
        <v>0</v>
      </c>
      <c r="BN420" s="78">
        <f t="shared" si="54"/>
        <v>0</v>
      </c>
      <c r="BO420" s="78">
        <f t="shared" si="55"/>
        <v>0</v>
      </c>
      <c r="BP420" s="78">
        <f t="shared" si="56"/>
        <v>0</v>
      </c>
    </row>
    <row r="421" spans="1:68" x14ac:dyDescent="0.2">
      <c r="A421" s="705"/>
      <c r="B421" s="705"/>
      <c r="C421" s="705"/>
      <c r="D421" s="705"/>
      <c r="E421" s="705"/>
      <c r="F421" s="705"/>
      <c r="G421" s="705"/>
      <c r="H421" s="705"/>
      <c r="I421" s="705"/>
      <c r="J421" s="705"/>
      <c r="K421" s="705"/>
      <c r="L421" s="705"/>
      <c r="M421" s="705"/>
      <c r="N421" s="705"/>
      <c r="O421" s="706"/>
      <c r="P421" s="702" t="s">
        <v>40</v>
      </c>
      <c r="Q421" s="703"/>
      <c r="R421" s="703"/>
      <c r="S421" s="703"/>
      <c r="T421" s="703"/>
      <c r="U421" s="703"/>
      <c r="V421" s="704"/>
      <c r="W421" s="42" t="s">
        <v>39</v>
      </c>
      <c r="X421" s="43">
        <f>IFERROR(X413/H413,"0")+IFERROR(X414/H414,"0")+IFERROR(X415/H415,"0")+IFERROR(X416/H416,"0")+IFERROR(X417/H417,"0")+IFERROR(X418/H418,"0")+IFERROR(X419/H419,"0")+IFERROR(X420/H420,"0")</f>
        <v>0</v>
      </c>
      <c r="Y421" s="43">
        <f>IFERROR(Y413/H413,"0")+IFERROR(Y414/H414,"0")+IFERROR(Y415/H415,"0")+IFERROR(Y416/H416,"0")+IFERROR(Y417/H417,"0")+IFERROR(Y418/H418,"0")+IFERROR(Y419/H419,"0")+IFERROR(Y420/H420,"0")</f>
        <v>0</v>
      </c>
      <c r="Z421" s="43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0</v>
      </c>
      <c r="AA421" s="67"/>
      <c r="AB421" s="67"/>
      <c r="AC421" s="67"/>
    </row>
    <row r="422" spans="1:68" x14ac:dyDescent="0.2">
      <c r="A422" s="705"/>
      <c r="B422" s="705"/>
      <c r="C422" s="705"/>
      <c r="D422" s="705"/>
      <c r="E422" s="705"/>
      <c r="F422" s="705"/>
      <c r="G422" s="705"/>
      <c r="H422" s="705"/>
      <c r="I422" s="705"/>
      <c r="J422" s="705"/>
      <c r="K422" s="705"/>
      <c r="L422" s="705"/>
      <c r="M422" s="705"/>
      <c r="N422" s="705"/>
      <c r="O422" s="706"/>
      <c r="P422" s="702" t="s">
        <v>40</v>
      </c>
      <c r="Q422" s="703"/>
      <c r="R422" s="703"/>
      <c r="S422" s="703"/>
      <c r="T422" s="703"/>
      <c r="U422" s="703"/>
      <c r="V422" s="704"/>
      <c r="W422" s="42" t="s">
        <v>0</v>
      </c>
      <c r="X422" s="43">
        <f>IFERROR(SUM(X413:X420),"0")</f>
        <v>0</v>
      </c>
      <c r="Y422" s="43">
        <f>IFERROR(SUM(Y413:Y420),"0")</f>
        <v>0</v>
      </c>
      <c r="Z422" s="42"/>
      <c r="AA422" s="67"/>
      <c r="AB422" s="67"/>
      <c r="AC422" s="67"/>
    </row>
    <row r="423" spans="1:68" ht="14.25" customHeight="1" x14ac:dyDescent="0.25">
      <c r="A423" s="696" t="s">
        <v>164</v>
      </c>
      <c r="B423" s="696"/>
      <c r="C423" s="696"/>
      <c r="D423" s="696"/>
      <c r="E423" s="696"/>
      <c r="F423" s="696"/>
      <c r="G423" s="696"/>
      <c r="H423" s="696"/>
      <c r="I423" s="696"/>
      <c r="J423" s="696"/>
      <c r="K423" s="696"/>
      <c r="L423" s="696"/>
      <c r="M423" s="696"/>
      <c r="N423" s="696"/>
      <c r="O423" s="696"/>
      <c r="P423" s="696"/>
      <c r="Q423" s="696"/>
      <c r="R423" s="696"/>
      <c r="S423" s="696"/>
      <c r="T423" s="696"/>
      <c r="U423" s="696"/>
      <c r="V423" s="696"/>
      <c r="W423" s="696"/>
      <c r="X423" s="696"/>
      <c r="Y423" s="696"/>
      <c r="Z423" s="696"/>
      <c r="AA423" s="66"/>
      <c r="AB423" s="66"/>
      <c r="AC423" s="80"/>
    </row>
    <row r="424" spans="1:68" ht="27" customHeight="1" x14ac:dyDescent="0.25">
      <c r="A424" s="63" t="s">
        <v>703</v>
      </c>
      <c r="B424" s="63" t="s">
        <v>704</v>
      </c>
      <c r="C424" s="36">
        <v>4301020178</v>
      </c>
      <c r="D424" s="697">
        <v>4607091383980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50</v>
      </c>
      <c r="P424" s="92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705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706</v>
      </c>
      <c r="B425" s="63" t="s">
        <v>707</v>
      </c>
      <c r="C425" s="36">
        <v>4301020355</v>
      </c>
      <c r="D425" s="697">
        <v>4680115888425</v>
      </c>
      <c r="E425" s="697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50</v>
      </c>
      <c r="P425" s="9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708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customHeight="1" x14ac:dyDescent="0.25">
      <c r="A426" s="63" t="s">
        <v>709</v>
      </c>
      <c r="B426" s="63" t="s">
        <v>710</v>
      </c>
      <c r="C426" s="36">
        <v>4301020179</v>
      </c>
      <c r="D426" s="697">
        <v>4607091384178</v>
      </c>
      <c r="E426" s="697"/>
      <c r="F426" s="62">
        <v>0.4</v>
      </c>
      <c r="G426" s="37">
        <v>10</v>
      </c>
      <c r="H426" s="62">
        <v>4</v>
      </c>
      <c r="I426" s="62">
        <v>4.1900000000000004</v>
      </c>
      <c r="J426" s="37">
        <v>132</v>
      </c>
      <c r="K426" s="37" t="s">
        <v>140</v>
      </c>
      <c r="L426" s="37" t="s">
        <v>46</v>
      </c>
      <c r="M426" s="38" t="s">
        <v>132</v>
      </c>
      <c r="N426" s="38"/>
      <c r="O426" s="37">
        <v>50</v>
      </c>
      <c r="P426" s="9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4" t="s">
        <v>711</v>
      </c>
      <c r="AG426" s="78"/>
      <c r="AJ426" s="84" t="s">
        <v>46</v>
      </c>
      <c r="AK426" s="84">
        <v>0</v>
      </c>
      <c r="BB426" s="525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705"/>
      <c r="B427" s="705"/>
      <c r="C427" s="705"/>
      <c r="D427" s="705"/>
      <c r="E427" s="705"/>
      <c r="F427" s="705"/>
      <c r="G427" s="705"/>
      <c r="H427" s="705"/>
      <c r="I427" s="705"/>
      <c r="J427" s="705"/>
      <c r="K427" s="705"/>
      <c r="L427" s="705"/>
      <c r="M427" s="705"/>
      <c r="N427" s="705"/>
      <c r="O427" s="706"/>
      <c r="P427" s="702" t="s">
        <v>40</v>
      </c>
      <c r="Q427" s="703"/>
      <c r="R427" s="703"/>
      <c r="S427" s="703"/>
      <c r="T427" s="703"/>
      <c r="U427" s="703"/>
      <c r="V427" s="704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x14ac:dyDescent="0.2">
      <c r="A428" s="705"/>
      <c r="B428" s="705"/>
      <c r="C428" s="705"/>
      <c r="D428" s="705"/>
      <c r="E428" s="705"/>
      <c r="F428" s="705"/>
      <c r="G428" s="705"/>
      <c r="H428" s="705"/>
      <c r="I428" s="705"/>
      <c r="J428" s="705"/>
      <c r="K428" s="705"/>
      <c r="L428" s="705"/>
      <c r="M428" s="705"/>
      <c r="N428" s="705"/>
      <c r="O428" s="706"/>
      <c r="P428" s="702" t="s">
        <v>40</v>
      </c>
      <c r="Q428" s="703"/>
      <c r="R428" s="703"/>
      <c r="S428" s="703"/>
      <c r="T428" s="703"/>
      <c r="U428" s="703"/>
      <c r="V428" s="704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4.25" customHeight="1" x14ac:dyDescent="0.25">
      <c r="A429" s="696" t="s">
        <v>86</v>
      </c>
      <c r="B429" s="696"/>
      <c r="C429" s="696"/>
      <c r="D429" s="696"/>
      <c r="E429" s="696"/>
      <c r="F429" s="696"/>
      <c r="G429" s="696"/>
      <c r="H429" s="696"/>
      <c r="I429" s="696"/>
      <c r="J429" s="696"/>
      <c r="K429" s="696"/>
      <c r="L429" s="696"/>
      <c r="M429" s="696"/>
      <c r="N429" s="696"/>
      <c r="O429" s="696"/>
      <c r="P429" s="696"/>
      <c r="Q429" s="696"/>
      <c r="R429" s="696"/>
      <c r="S429" s="696"/>
      <c r="T429" s="696"/>
      <c r="U429" s="696"/>
      <c r="V429" s="696"/>
      <c r="W429" s="696"/>
      <c r="X429" s="696"/>
      <c r="Y429" s="696"/>
      <c r="Z429" s="696"/>
      <c r="AA429" s="66"/>
      <c r="AB429" s="66"/>
      <c r="AC429" s="80"/>
    </row>
    <row r="430" spans="1:68" ht="16.5" customHeight="1" x14ac:dyDescent="0.25">
      <c r="A430" s="63" t="s">
        <v>712</v>
      </c>
      <c r="B430" s="63" t="s">
        <v>713</v>
      </c>
      <c r="C430" s="36">
        <v>4301052220</v>
      </c>
      <c r="D430" s="697">
        <v>4680115889538</v>
      </c>
      <c r="E430" s="697"/>
      <c r="F430" s="62">
        <v>0.8</v>
      </c>
      <c r="G430" s="37">
        <v>6</v>
      </c>
      <c r="H430" s="62">
        <v>4.8</v>
      </c>
      <c r="I430" s="62">
        <v>5.2160000000000002</v>
      </c>
      <c r="J430" s="37">
        <v>104</v>
      </c>
      <c r="K430" s="37" t="s">
        <v>133</v>
      </c>
      <c r="L430" s="37" t="s">
        <v>46</v>
      </c>
      <c r="M430" s="38" t="s">
        <v>90</v>
      </c>
      <c r="N430" s="38"/>
      <c r="O430" s="37">
        <v>45</v>
      </c>
      <c r="P430" s="9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99"/>
      <c r="R430" s="699"/>
      <c r="S430" s="699"/>
      <c r="T430" s="700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IFERROR(IF(Y430=0,"",ROUNDUP(Y430/H430,0)*0.01196),"")</f>
        <v/>
      </c>
      <c r="AA430" s="68" t="s">
        <v>46</v>
      </c>
      <c r="AB430" s="69" t="s">
        <v>276</v>
      </c>
      <c r="AC430" s="526" t="s">
        <v>714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 x14ac:dyDescent="0.25">
      <c r="A431" s="63" t="s">
        <v>715</v>
      </c>
      <c r="B431" s="63" t="s">
        <v>716</v>
      </c>
      <c r="C431" s="36">
        <v>4301051903</v>
      </c>
      <c r="D431" s="697">
        <v>4607091383928</v>
      </c>
      <c r="E431" s="697"/>
      <c r="F431" s="62">
        <v>1.5</v>
      </c>
      <c r="G431" s="37">
        <v>6</v>
      </c>
      <c r="H431" s="62">
        <v>9</v>
      </c>
      <c r="I431" s="62">
        <v>9.5</v>
      </c>
      <c r="J431" s="37">
        <v>64</v>
      </c>
      <c r="K431" s="37" t="s">
        <v>133</v>
      </c>
      <c r="L431" s="37" t="s">
        <v>46</v>
      </c>
      <c r="M431" s="38" t="s">
        <v>90</v>
      </c>
      <c r="N431" s="38"/>
      <c r="O431" s="37">
        <v>40</v>
      </c>
      <c r="P431" s="9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8" t="s">
        <v>717</v>
      </c>
      <c r="AG431" s="78"/>
      <c r="AJ431" s="84" t="s">
        <v>46</v>
      </c>
      <c r="AK431" s="84">
        <v>0</v>
      </c>
      <c r="BB431" s="529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718</v>
      </c>
      <c r="B432" s="63" t="s">
        <v>719</v>
      </c>
      <c r="C432" s="36">
        <v>4301051897</v>
      </c>
      <c r="D432" s="697">
        <v>4607091384260</v>
      </c>
      <c r="E432" s="697"/>
      <c r="F432" s="62">
        <v>1.5</v>
      </c>
      <c r="G432" s="37">
        <v>6</v>
      </c>
      <c r="H432" s="62">
        <v>9</v>
      </c>
      <c r="I432" s="62">
        <v>9.4939999999999998</v>
      </c>
      <c r="J432" s="37">
        <v>64</v>
      </c>
      <c r="K432" s="37" t="s">
        <v>133</v>
      </c>
      <c r="L432" s="37" t="s">
        <v>46</v>
      </c>
      <c r="M432" s="38" t="s">
        <v>90</v>
      </c>
      <c r="N432" s="38"/>
      <c r="O432" s="37">
        <v>40</v>
      </c>
      <c r="P432" s="9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IFERROR(IF(Y432=0,"",ROUNDUP(Y432/H432,0)*0.01898),"")</f>
        <v/>
      </c>
      <c r="AA432" s="68" t="s">
        <v>46</v>
      </c>
      <c r="AB432" s="69" t="s">
        <v>46</v>
      </c>
      <c r="AC432" s="530" t="s">
        <v>720</v>
      </c>
      <c r="AG432" s="78"/>
      <c r="AJ432" s="84" t="s">
        <v>46</v>
      </c>
      <c r="AK432" s="84">
        <v>0</v>
      </c>
      <c r="BB432" s="531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705"/>
      <c r="B433" s="705"/>
      <c r="C433" s="705"/>
      <c r="D433" s="705"/>
      <c r="E433" s="705"/>
      <c r="F433" s="705"/>
      <c r="G433" s="705"/>
      <c r="H433" s="705"/>
      <c r="I433" s="705"/>
      <c r="J433" s="705"/>
      <c r="K433" s="705"/>
      <c r="L433" s="705"/>
      <c r="M433" s="705"/>
      <c r="N433" s="705"/>
      <c r="O433" s="706"/>
      <c r="P433" s="702" t="s">
        <v>40</v>
      </c>
      <c r="Q433" s="703"/>
      <c r="R433" s="703"/>
      <c r="S433" s="703"/>
      <c r="T433" s="703"/>
      <c r="U433" s="703"/>
      <c r="V433" s="704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x14ac:dyDescent="0.2">
      <c r="A434" s="705"/>
      <c r="B434" s="705"/>
      <c r="C434" s="705"/>
      <c r="D434" s="705"/>
      <c r="E434" s="705"/>
      <c r="F434" s="705"/>
      <c r="G434" s="705"/>
      <c r="H434" s="705"/>
      <c r="I434" s="705"/>
      <c r="J434" s="705"/>
      <c r="K434" s="705"/>
      <c r="L434" s="705"/>
      <c r="M434" s="705"/>
      <c r="N434" s="705"/>
      <c r="O434" s="706"/>
      <c r="P434" s="702" t="s">
        <v>40</v>
      </c>
      <c r="Q434" s="703"/>
      <c r="R434" s="703"/>
      <c r="S434" s="703"/>
      <c r="T434" s="703"/>
      <c r="U434" s="703"/>
      <c r="V434" s="704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14.25" customHeight="1" x14ac:dyDescent="0.25">
      <c r="A435" s="696" t="s">
        <v>181</v>
      </c>
      <c r="B435" s="696"/>
      <c r="C435" s="696"/>
      <c r="D435" s="696"/>
      <c r="E435" s="696"/>
      <c r="F435" s="696"/>
      <c r="G435" s="696"/>
      <c r="H435" s="696"/>
      <c r="I435" s="696"/>
      <c r="J435" s="696"/>
      <c r="K435" s="696"/>
      <c r="L435" s="696"/>
      <c r="M435" s="696"/>
      <c r="N435" s="696"/>
      <c r="O435" s="696"/>
      <c r="P435" s="696"/>
      <c r="Q435" s="696"/>
      <c r="R435" s="696"/>
      <c r="S435" s="696"/>
      <c r="T435" s="696"/>
      <c r="U435" s="696"/>
      <c r="V435" s="696"/>
      <c r="W435" s="696"/>
      <c r="X435" s="696"/>
      <c r="Y435" s="696"/>
      <c r="Z435" s="696"/>
      <c r="AA435" s="66"/>
      <c r="AB435" s="66"/>
      <c r="AC435" s="80"/>
    </row>
    <row r="436" spans="1:68" ht="27" customHeight="1" x14ac:dyDescent="0.25">
      <c r="A436" s="63" t="s">
        <v>721</v>
      </c>
      <c r="B436" s="63" t="s">
        <v>722</v>
      </c>
      <c r="C436" s="36">
        <v>4301060537</v>
      </c>
      <c r="D436" s="697">
        <v>4680115889545</v>
      </c>
      <c r="E436" s="697"/>
      <c r="F436" s="62">
        <v>0.7</v>
      </c>
      <c r="G436" s="37">
        <v>6</v>
      </c>
      <c r="H436" s="62">
        <v>4.2</v>
      </c>
      <c r="I436" s="62">
        <v>4.6159999999999997</v>
      </c>
      <c r="J436" s="37">
        <v>104</v>
      </c>
      <c r="K436" s="37" t="s">
        <v>133</v>
      </c>
      <c r="L436" s="37" t="s">
        <v>46</v>
      </c>
      <c r="M436" s="38" t="s">
        <v>90</v>
      </c>
      <c r="N436" s="38"/>
      <c r="O436" s="37">
        <v>30</v>
      </c>
      <c r="P436" s="92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99"/>
      <c r="R436" s="699"/>
      <c r="S436" s="699"/>
      <c r="T436" s="700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46</v>
      </c>
      <c r="AB436" s="69" t="s">
        <v>276</v>
      </c>
      <c r="AC436" s="532" t="s">
        <v>723</v>
      </c>
      <c r="AG436" s="78"/>
      <c r="AJ436" s="84" t="s">
        <v>46</v>
      </c>
      <c r="AK436" s="84">
        <v>0</v>
      </c>
      <c r="BB436" s="533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724</v>
      </c>
      <c r="B437" s="63" t="s">
        <v>725</v>
      </c>
      <c r="C437" s="36">
        <v>4301060524</v>
      </c>
      <c r="D437" s="697">
        <v>4607091384673</v>
      </c>
      <c r="E437" s="697"/>
      <c r="F437" s="62">
        <v>1.5</v>
      </c>
      <c r="G437" s="37">
        <v>6</v>
      </c>
      <c r="H437" s="62">
        <v>9</v>
      </c>
      <c r="I437" s="62">
        <v>9.4939999999999998</v>
      </c>
      <c r="J437" s="37">
        <v>64</v>
      </c>
      <c r="K437" s="37" t="s">
        <v>133</v>
      </c>
      <c r="L437" s="37" t="s">
        <v>46</v>
      </c>
      <c r="M437" s="38" t="s">
        <v>90</v>
      </c>
      <c r="N437" s="38"/>
      <c r="O437" s="37">
        <v>40</v>
      </c>
      <c r="P437" s="9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4" t="s">
        <v>726</v>
      </c>
      <c r="AG437" s="78"/>
      <c r="AJ437" s="84" t="s">
        <v>46</v>
      </c>
      <c r="AK437" s="84">
        <v>0</v>
      </c>
      <c r="BB437" s="53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705"/>
      <c r="B438" s="705"/>
      <c r="C438" s="705"/>
      <c r="D438" s="705"/>
      <c r="E438" s="705"/>
      <c r="F438" s="705"/>
      <c r="G438" s="705"/>
      <c r="H438" s="705"/>
      <c r="I438" s="705"/>
      <c r="J438" s="705"/>
      <c r="K438" s="705"/>
      <c r="L438" s="705"/>
      <c r="M438" s="705"/>
      <c r="N438" s="705"/>
      <c r="O438" s="706"/>
      <c r="P438" s="702" t="s">
        <v>40</v>
      </c>
      <c r="Q438" s="703"/>
      <c r="R438" s="703"/>
      <c r="S438" s="703"/>
      <c r="T438" s="703"/>
      <c r="U438" s="703"/>
      <c r="V438" s="704"/>
      <c r="W438" s="42" t="s">
        <v>39</v>
      </c>
      <c r="X438" s="43">
        <f>IFERROR(X436/H436,"0")+IFERROR(X437/H437,"0")</f>
        <v>0</v>
      </c>
      <c r="Y438" s="43">
        <f>IFERROR(Y436/H436,"0")+IFERROR(Y437/H437,"0")</f>
        <v>0</v>
      </c>
      <c r="Z438" s="43">
        <f>IFERROR(IF(Z436="",0,Z436),"0")+IFERROR(IF(Z437="",0,Z437),"0")</f>
        <v>0</v>
      </c>
      <c r="AA438" s="67"/>
      <c r="AB438" s="67"/>
      <c r="AC438" s="67"/>
    </row>
    <row r="439" spans="1:68" x14ac:dyDescent="0.2">
      <c r="A439" s="705"/>
      <c r="B439" s="705"/>
      <c r="C439" s="705"/>
      <c r="D439" s="705"/>
      <c r="E439" s="705"/>
      <c r="F439" s="705"/>
      <c r="G439" s="705"/>
      <c r="H439" s="705"/>
      <c r="I439" s="705"/>
      <c r="J439" s="705"/>
      <c r="K439" s="705"/>
      <c r="L439" s="705"/>
      <c r="M439" s="705"/>
      <c r="N439" s="705"/>
      <c r="O439" s="706"/>
      <c r="P439" s="702" t="s">
        <v>40</v>
      </c>
      <c r="Q439" s="703"/>
      <c r="R439" s="703"/>
      <c r="S439" s="703"/>
      <c r="T439" s="703"/>
      <c r="U439" s="703"/>
      <c r="V439" s="704"/>
      <c r="W439" s="42" t="s">
        <v>0</v>
      </c>
      <c r="X439" s="43">
        <f>IFERROR(SUM(X436:X437),"0")</f>
        <v>0</v>
      </c>
      <c r="Y439" s="43">
        <f>IFERROR(SUM(Y436:Y437),"0")</f>
        <v>0</v>
      </c>
      <c r="Z439" s="42"/>
      <c r="AA439" s="67"/>
      <c r="AB439" s="67"/>
      <c r="AC439" s="67"/>
    </row>
    <row r="440" spans="1:68" ht="16.5" customHeight="1" x14ac:dyDescent="0.25">
      <c r="A440" s="695" t="s">
        <v>727</v>
      </c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5"/>
      <c r="P440" s="695"/>
      <c r="Q440" s="695"/>
      <c r="R440" s="695"/>
      <c r="S440" s="695"/>
      <c r="T440" s="695"/>
      <c r="U440" s="695"/>
      <c r="V440" s="695"/>
      <c r="W440" s="695"/>
      <c r="X440" s="695"/>
      <c r="Y440" s="695"/>
      <c r="Z440" s="695"/>
      <c r="AA440" s="65"/>
      <c r="AB440" s="65"/>
      <c r="AC440" s="79"/>
    </row>
    <row r="441" spans="1:68" ht="14.25" customHeight="1" x14ac:dyDescent="0.25">
      <c r="A441" s="696" t="s">
        <v>128</v>
      </c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6"/>
      <c r="P441" s="696"/>
      <c r="Q441" s="696"/>
      <c r="R441" s="696"/>
      <c r="S441" s="696"/>
      <c r="T441" s="696"/>
      <c r="U441" s="696"/>
      <c r="V441" s="696"/>
      <c r="W441" s="696"/>
      <c r="X441" s="696"/>
      <c r="Y441" s="696"/>
      <c r="Z441" s="696"/>
      <c r="AA441" s="66"/>
      <c r="AB441" s="66"/>
      <c r="AC441" s="80"/>
    </row>
    <row r="442" spans="1:68" ht="27" customHeight="1" x14ac:dyDescent="0.25">
      <c r="A442" s="63" t="s">
        <v>728</v>
      </c>
      <c r="B442" s="63" t="s">
        <v>729</v>
      </c>
      <c r="C442" s="36">
        <v>4301011875</v>
      </c>
      <c r="D442" s="697">
        <v>4680115884885</v>
      </c>
      <c r="E442" s="697"/>
      <c r="F442" s="62">
        <v>0.8</v>
      </c>
      <c r="G442" s="37">
        <v>15</v>
      </c>
      <c r="H442" s="62">
        <v>12</v>
      </c>
      <c r="I442" s="62">
        <v>12.41</v>
      </c>
      <c r="J442" s="37">
        <v>64</v>
      </c>
      <c r="K442" s="37" t="s">
        <v>133</v>
      </c>
      <c r="L442" s="37" t="s">
        <v>46</v>
      </c>
      <c r="M442" s="38" t="s">
        <v>81</v>
      </c>
      <c r="N442" s="38"/>
      <c r="O442" s="37">
        <v>60</v>
      </c>
      <c r="P442" s="93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99"/>
      <c r="R442" s="699"/>
      <c r="S442" s="699"/>
      <c r="T442" s="700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36" t="s">
        <v>730</v>
      </c>
      <c r="AG442" s="78"/>
      <c r="AJ442" s="84" t="s">
        <v>46</v>
      </c>
      <c r="AK442" s="84">
        <v>0</v>
      </c>
      <c r="BB442" s="537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37.5" customHeight="1" x14ac:dyDescent="0.25">
      <c r="A443" s="63" t="s">
        <v>731</v>
      </c>
      <c r="B443" s="63" t="s">
        <v>732</v>
      </c>
      <c r="C443" s="36">
        <v>4301011871</v>
      </c>
      <c r="D443" s="697">
        <v>4680115884908</v>
      </c>
      <c r="E443" s="697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140</v>
      </c>
      <c r="L443" s="37" t="s">
        <v>46</v>
      </c>
      <c r="M443" s="38" t="s">
        <v>81</v>
      </c>
      <c r="N443" s="38"/>
      <c r="O443" s="37">
        <v>60</v>
      </c>
      <c r="P443" s="93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x14ac:dyDescent="0.2">
      <c r="A444" s="705"/>
      <c r="B444" s="705"/>
      <c r="C444" s="705"/>
      <c r="D444" s="705"/>
      <c r="E444" s="705"/>
      <c r="F444" s="705"/>
      <c r="G444" s="705"/>
      <c r="H444" s="705"/>
      <c r="I444" s="705"/>
      <c r="J444" s="705"/>
      <c r="K444" s="705"/>
      <c r="L444" s="705"/>
      <c r="M444" s="705"/>
      <c r="N444" s="705"/>
      <c r="O444" s="706"/>
      <c r="P444" s="702" t="s">
        <v>40</v>
      </c>
      <c r="Q444" s="703"/>
      <c r="R444" s="703"/>
      <c r="S444" s="703"/>
      <c r="T444" s="703"/>
      <c r="U444" s="703"/>
      <c r="V444" s="704"/>
      <c r="W444" s="42" t="s">
        <v>39</v>
      </c>
      <c r="X444" s="43">
        <f>IFERROR(X442/H442,"0")+IFERROR(X443/H443,"0")</f>
        <v>0</v>
      </c>
      <c r="Y444" s="43">
        <f>IFERROR(Y442/H442,"0")+IFERROR(Y443/H443,"0")</f>
        <v>0</v>
      </c>
      <c r="Z444" s="43">
        <f>IFERROR(IF(Z442="",0,Z442),"0")+IFERROR(IF(Z443="",0,Z443),"0")</f>
        <v>0</v>
      </c>
      <c r="AA444" s="67"/>
      <c r="AB444" s="67"/>
      <c r="AC444" s="67"/>
    </row>
    <row r="445" spans="1:68" x14ac:dyDescent="0.2">
      <c r="A445" s="705"/>
      <c r="B445" s="705"/>
      <c r="C445" s="705"/>
      <c r="D445" s="705"/>
      <c r="E445" s="705"/>
      <c r="F445" s="705"/>
      <c r="G445" s="705"/>
      <c r="H445" s="705"/>
      <c r="I445" s="705"/>
      <c r="J445" s="705"/>
      <c r="K445" s="705"/>
      <c r="L445" s="705"/>
      <c r="M445" s="705"/>
      <c r="N445" s="705"/>
      <c r="O445" s="706"/>
      <c r="P445" s="702" t="s">
        <v>40</v>
      </c>
      <c r="Q445" s="703"/>
      <c r="R445" s="703"/>
      <c r="S445" s="703"/>
      <c r="T445" s="703"/>
      <c r="U445" s="703"/>
      <c r="V445" s="704"/>
      <c r="W445" s="42" t="s">
        <v>0</v>
      </c>
      <c r="X445" s="43">
        <f>IFERROR(SUM(X442:X443),"0")</f>
        <v>0</v>
      </c>
      <c r="Y445" s="43">
        <f>IFERROR(SUM(Y442:Y443),"0")</f>
        <v>0</v>
      </c>
      <c r="Z445" s="42"/>
      <c r="AA445" s="67"/>
      <c r="AB445" s="67"/>
      <c r="AC445" s="67"/>
    </row>
    <row r="446" spans="1:68" ht="14.25" customHeight="1" x14ac:dyDescent="0.25">
      <c r="A446" s="696" t="s">
        <v>77</v>
      </c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6"/>
      <c r="P446" s="696"/>
      <c r="Q446" s="696"/>
      <c r="R446" s="696"/>
      <c r="S446" s="696"/>
      <c r="T446" s="696"/>
      <c r="U446" s="696"/>
      <c r="V446" s="696"/>
      <c r="W446" s="696"/>
      <c r="X446" s="696"/>
      <c r="Y446" s="696"/>
      <c r="Z446" s="696"/>
      <c r="AA446" s="66"/>
      <c r="AB446" s="66"/>
      <c r="AC446" s="80"/>
    </row>
    <row r="447" spans="1:68" ht="27" customHeight="1" x14ac:dyDescent="0.25">
      <c r="A447" s="63" t="s">
        <v>733</v>
      </c>
      <c r="B447" s="63" t="s">
        <v>734</v>
      </c>
      <c r="C447" s="36">
        <v>4301031457</v>
      </c>
      <c r="D447" s="697">
        <v>4607091384802</v>
      </c>
      <c r="E447" s="697"/>
      <c r="F447" s="62">
        <v>0.7</v>
      </c>
      <c r="G447" s="37">
        <v>6</v>
      </c>
      <c r="H447" s="62">
        <v>4.2</v>
      </c>
      <c r="I447" s="62">
        <v>4.45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93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99"/>
      <c r="R447" s="699"/>
      <c r="S447" s="699"/>
      <c r="T447" s="700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40" t="s">
        <v>735</v>
      </c>
      <c r="AG447" s="78"/>
      <c r="AJ447" s="84" t="s">
        <v>46</v>
      </c>
      <c r="AK447" s="84">
        <v>0</v>
      </c>
      <c r="BB447" s="541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x14ac:dyDescent="0.2">
      <c r="A448" s="705"/>
      <c r="B448" s="705"/>
      <c r="C448" s="705"/>
      <c r="D448" s="705"/>
      <c r="E448" s="705"/>
      <c r="F448" s="705"/>
      <c r="G448" s="705"/>
      <c r="H448" s="705"/>
      <c r="I448" s="705"/>
      <c r="J448" s="705"/>
      <c r="K448" s="705"/>
      <c r="L448" s="705"/>
      <c r="M448" s="705"/>
      <c r="N448" s="705"/>
      <c r="O448" s="706"/>
      <c r="P448" s="702" t="s">
        <v>40</v>
      </c>
      <c r="Q448" s="703"/>
      <c r="R448" s="703"/>
      <c r="S448" s="703"/>
      <c r="T448" s="703"/>
      <c r="U448" s="703"/>
      <c r="V448" s="704"/>
      <c r="W448" s="42" t="s">
        <v>39</v>
      </c>
      <c r="X448" s="43">
        <f>IFERROR(X447/H447,"0")</f>
        <v>0</v>
      </c>
      <c r="Y448" s="43">
        <f>IFERROR(Y447/H447,"0")</f>
        <v>0</v>
      </c>
      <c r="Z448" s="43">
        <f>IFERROR(IF(Z447="",0,Z447),"0")</f>
        <v>0</v>
      </c>
      <c r="AA448" s="67"/>
      <c r="AB448" s="67"/>
      <c r="AC448" s="67"/>
    </row>
    <row r="449" spans="1:68" x14ac:dyDescent="0.2">
      <c r="A449" s="705"/>
      <c r="B449" s="705"/>
      <c r="C449" s="705"/>
      <c r="D449" s="705"/>
      <c r="E449" s="705"/>
      <c r="F449" s="705"/>
      <c r="G449" s="705"/>
      <c r="H449" s="705"/>
      <c r="I449" s="705"/>
      <c r="J449" s="705"/>
      <c r="K449" s="705"/>
      <c r="L449" s="705"/>
      <c r="M449" s="705"/>
      <c r="N449" s="705"/>
      <c r="O449" s="706"/>
      <c r="P449" s="702" t="s">
        <v>40</v>
      </c>
      <c r="Q449" s="703"/>
      <c r="R449" s="703"/>
      <c r="S449" s="703"/>
      <c r="T449" s="703"/>
      <c r="U449" s="703"/>
      <c r="V449" s="704"/>
      <c r="W449" s="42" t="s">
        <v>0</v>
      </c>
      <c r="X449" s="43">
        <f>IFERROR(SUM(X447:X447),"0")</f>
        <v>0</v>
      </c>
      <c r="Y449" s="43">
        <f>IFERROR(SUM(Y447:Y447),"0")</f>
        <v>0</v>
      </c>
      <c r="Z449" s="42"/>
      <c r="AA449" s="67"/>
      <c r="AB449" s="67"/>
      <c r="AC449" s="67"/>
    </row>
    <row r="450" spans="1:68" ht="14.25" customHeight="1" x14ac:dyDescent="0.25">
      <c r="A450" s="696" t="s">
        <v>86</v>
      </c>
      <c r="B450" s="696"/>
      <c r="C450" s="696"/>
      <c r="D450" s="696"/>
      <c r="E450" s="696"/>
      <c r="F450" s="696"/>
      <c r="G450" s="696"/>
      <c r="H450" s="696"/>
      <c r="I450" s="696"/>
      <c r="J450" s="696"/>
      <c r="K450" s="696"/>
      <c r="L450" s="696"/>
      <c r="M450" s="696"/>
      <c r="N450" s="696"/>
      <c r="O450" s="696"/>
      <c r="P450" s="696"/>
      <c r="Q450" s="696"/>
      <c r="R450" s="696"/>
      <c r="S450" s="696"/>
      <c r="T450" s="696"/>
      <c r="U450" s="696"/>
      <c r="V450" s="696"/>
      <c r="W450" s="696"/>
      <c r="X450" s="696"/>
      <c r="Y450" s="696"/>
      <c r="Z450" s="696"/>
      <c r="AA450" s="66"/>
      <c r="AB450" s="66"/>
      <c r="AC450" s="80"/>
    </row>
    <row r="451" spans="1:68" ht="27" customHeight="1" x14ac:dyDescent="0.25">
      <c r="A451" s="63" t="s">
        <v>736</v>
      </c>
      <c r="B451" s="63" t="s">
        <v>737</v>
      </c>
      <c r="C451" s="36">
        <v>4301051899</v>
      </c>
      <c r="D451" s="697">
        <v>4607091384246</v>
      </c>
      <c r="E451" s="69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133</v>
      </c>
      <c r="L451" s="37" t="s">
        <v>46</v>
      </c>
      <c r="M451" s="38" t="s">
        <v>90</v>
      </c>
      <c r="N451" s="38"/>
      <c r="O451" s="37">
        <v>40</v>
      </c>
      <c r="P451" s="9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99"/>
      <c r="R451" s="699"/>
      <c r="S451" s="699"/>
      <c r="T451" s="70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2" t="s">
        <v>738</v>
      </c>
      <c r="AG451" s="78"/>
      <c r="AJ451" s="84" t="s">
        <v>46</v>
      </c>
      <c r="AK451" s="84">
        <v>0</v>
      </c>
      <c r="BB451" s="543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739</v>
      </c>
      <c r="B452" s="63" t="s">
        <v>740</v>
      </c>
      <c r="C452" s="36">
        <v>4301051660</v>
      </c>
      <c r="D452" s="697">
        <v>4607091384253</v>
      </c>
      <c r="E452" s="697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91</v>
      </c>
      <c r="L452" s="37" t="s">
        <v>46</v>
      </c>
      <c r="M452" s="38" t="s">
        <v>90</v>
      </c>
      <c r="N452" s="38"/>
      <c r="O452" s="37">
        <v>40</v>
      </c>
      <c r="P452" s="93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99"/>
      <c r="R452" s="699"/>
      <c r="S452" s="699"/>
      <c r="T452" s="70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738</v>
      </c>
      <c r="AG452" s="78"/>
      <c r="AJ452" s="84" t="s">
        <v>46</v>
      </c>
      <c r="AK452" s="84">
        <v>0</v>
      </c>
      <c r="BB452" s="545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customHeight="1" x14ac:dyDescent="0.25">
      <c r="A453" s="63" t="s">
        <v>739</v>
      </c>
      <c r="B453" s="63" t="s">
        <v>741</v>
      </c>
      <c r="C453" s="36">
        <v>4301052069</v>
      </c>
      <c r="D453" s="697">
        <v>4607091384253</v>
      </c>
      <c r="E453" s="697"/>
      <c r="F453" s="62">
        <v>0.4</v>
      </c>
      <c r="G453" s="37">
        <v>6</v>
      </c>
      <c r="H453" s="62">
        <v>2.4</v>
      </c>
      <c r="I453" s="62">
        <v>2.6640000000000001</v>
      </c>
      <c r="J453" s="37">
        <v>182</v>
      </c>
      <c r="K453" s="37" t="s">
        <v>91</v>
      </c>
      <c r="L453" s="37" t="s">
        <v>46</v>
      </c>
      <c r="M453" s="38" t="s">
        <v>90</v>
      </c>
      <c r="N453" s="38"/>
      <c r="O453" s="37">
        <v>40</v>
      </c>
      <c r="P453" s="93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99"/>
      <c r="R453" s="699"/>
      <c r="S453" s="699"/>
      <c r="T453" s="700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46</v>
      </c>
      <c r="AB453" s="69" t="s">
        <v>46</v>
      </c>
      <c r="AC453" s="546" t="s">
        <v>742</v>
      </c>
      <c r="AG453" s="78"/>
      <c r="AJ453" s="84" t="s">
        <v>46</v>
      </c>
      <c r="AK453" s="84">
        <v>0</v>
      </c>
      <c r="BB453" s="547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705"/>
      <c r="B454" s="705"/>
      <c r="C454" s="705"/>
      <c r="D454" s="705"/>
      <c r="E454" s="705"/>
      <c r="F454" s="705"/>
      <c r="G454" s="705"/>
      <c r="H454" s="705"/>
      <c r="I454" s="705"/>
      <c r="J454" s="705"/>
      <c r="K454" s="705"/>
      <c r="L454" s="705"/>
      <c r="M454" s="705"/>
      <c r="N454" s="705"/>
      <c r="O454" s="706"/>
      <c r="P454" s="702" t="s">
        <v>40</v>
      </c>
      <c r="Q454" s="703"/>
      <c r="R454" s="703"/>
      <c r="S454" s="703"/>
      <c r="T454" s="703"/>
      <c r="U454" s="703"/>
      <c r="V454" s="704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705"/>
      <c r="B455" s="705"/>
      <c r="C455" s="705"/>
      <c r="D455" s="705"/>
      <c r="E455" s="705"/>
      <c r="F455" s="705"/>
      <c r="G455" s="705"/>
      <c r="H455" s="705"/>
      <c r="I455" s="705"/>
      <c r="J455" s="705"/>
      <c r="K455" s="705"/>
      <c r="L455" s="705"/>
      <c r="M455" s="705"/>
      <c r="N455" s="705"/>
      <c r="O455" s="706"/>
      <c r="P455" s="702" t="s">
        <v>40</v>
      </c>
      <c r="Q455" s="703"/>
      <c r="R455" s="703"/>
      <c r="S455" s="703"/>
      <c r="T455" s="703"/>
      <c r="U455" s="703"/>
      <c r="V455" s="704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customHeight="1" x14ac:dyDescent="0.2">
      <c r="A456" s="694" t="s">
        <v>743</v>
      </c>
      <c r="B456" s="694"/>
      <c r="C456" s="694"/>
      <c r="D456" s="694"/>
      <c r="E456" s="694"/>
      <c r="F456" s="694"/>
      <c r="G456" s="694"/>
      <c r="H456" s="694"/>
      <c r="I456" s="694"/>
      <c r="J456" s="694"/>
      <c r="K456" s="694"/>
      <c r="L456" s="694"/>
      <c r="M456" s="694"/>
      <c r="N456" s="694"/>
      <c r="O456" s="694"/>
      <c r="P456" s="694"/>
      <c r="Q456" s="694"/>
      <c r="R456" s="694"/>
      <c r="S456" s="694"/>
      <c r="T456" s="694"/>
      <c r="U456" s="694"/>
      <c r="V456" s="694"/>
      <c r="W456" s="694"/>
      <c r="X456" s="694"/>
      <c r="Y456" s="694"/>
      <c r="Z456" s="694"/>
      <c r="AA456" s="54"/>
      <c r="AB456" s="54"/>
      <c r="AC456" s="54"/>
    </row>
    <row r="457" spans="1:68" ht="16.5" customHeight="1" x14ac:dyDescent="0.25">
      <c r="A457" s="695" t="s">
        <v>744</v>
      </c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5"/>
      <c r="P457" s="695"/>
      <c r="Q457" s="695"/>
      <c r="R457" s="695"/>
      <c r="S457" s="695"/>
      <c r="T457" s="695"/>
      <c r="U457" s="695"/>
      <c r="V457" s="695"/>
      <c r="W457" s="695"/>
      <c r="X457" s="695"/>
      <c r="Y457" s="695"/>
      <c r="Z457" s="695"/>
      <c r="AA457" s="65"/>
      <c r="AB457" s="65"/>
      <c r="AC457" s="79"/>
    </row>
    <row r="458" spans="1:68" ht="14.25" customHeight="1" x14ac:dyDescent="0.25">
      <c r="A458" s="696" t="s">
        <v>77</v>
      </c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6"/>
      <c r="P458" s="696"/>
      <c r="Q458" s="696"/>
      <c r="R458" s="696"/>
      <c r="S458" s="696"/>
      <c r="T458" s="696"/>
      <c r="U458" s="696"/>
      <c r="V458" s="696"/>
      <c r="W458" s="696"/>
      <c r="X458" s="696"/>
      <c r="Y458" s="696"/>
      <c r="Z458" s="696"/>
      <c r="AA458" s="66"/>
      <c r="AB458" s="66"/>
      <c r="AC458" s="80"/>
    </row>
    <row r="459" spans="1:68" ht="27" customHeight="1" x14ac:dyDescent="0.25">
      <c r="A459" s="63" t="s">
        <v>745</v>
      </c>
      <c r="B459" s="63" t="s">
        <v>746</v>
      </c>
      <c r="C459" s="36">
        <v>4301031405</v>
      </c>
      <c r="D459" s="697">
        <v>4680115886100</v>
      </c>
      <c r="E459" s="697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140</v>
      </c>
      <c r="L459" s="37" t="s">
        <v>46</v>
      </c>
      <c r="M459" s="38" t="s">
        <v>81</v>
      </c>
      <c r="N459" s="38"/>
      <c r="O459" s="37">
        <v>50</v>
      </c>
      <c r="P459" s="93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0</v>
      </c>
      <c r="Y459" s="55">
        <f t="shared" ref="Y459:Y464" si="57"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48" t="s">
        <v>747</v>
      </c>
      <c r="AG459" s="78"/>
      <c r="AJ459" s="84" t="s">
        <v>46</v>
      </c>
      <c r="AK459" s="84">
        <v>0</v>
      </c>
      <c r="BB459" s="549" t="s">
        <v>67</v>
      </c>
      <c r="BM459" s="78">
        <f t="shared" ref="BM459:BM464" si="58">IFERROR(X459*I459/H459,"0")</f>
        <v>0</v>
      </c>
      <c r="BN459" s="78">
        <f t="shared" ref="BN459:BN464" si="59">IFERROR(Y459*I459/H459,"0")</f>
        <v>0</v>
      </c>
      <c r="BO459" s="78">
        <f t="shared" ref="BO459:BO464" si="60">IFERROR(1/J459*(X459/H459),"0")</f>
        <v>0</v>
      </c>
      <c r="BP459" s="78">
        <f t="shared" ref="BP459:BP464" si="61">IFERROR(1/J459*(Y459/H459),"0")</f>
        <v>0</v>
      </c>
    </row>
    <row r="460" spans="1:68" ht="27" customHeight="1" x14ac:dyDescent="0.25">
      <c r="A460" s="63" t="s">
        <v>748</v>
      </c>
      <c r="B460" s="63" t="s">
        <v>749</v>
      </c>
      <c r="C460" s="36">
        <v>4301031402</v>
      </c>
      <c r="D460" s="697">
        <v>4680115886124</v>
      </c>
      <c r="E460" s="697"/>
      <c r="F460" s="62">
        <v>0.9</v>
      </c>
      <c r="G460" s="37">
        <v>6</v>
      </c>
      <c r="H460" s="62">
        <v>5.4</v>
      </c>
      <c r="I460" s="62">
        <v>5.59</v>
      </c>
      <c r="J460" s="37">
        <v>132</v>
      </c>
      <c r="K460" s="37" t="s">
        <v>140</v>
      </c>
      <c r="L460" s="37" t="s">
        <v>46</v>
      </c>
      <c r="M460" s="38" t="s">
        <v>81</v>
      </c>
      <c r="N460" s="38"/>
      <c r="O460" s="37">
        <v>50</v>
      </c>
      <c r="P460" s="9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0</v>
      </c>
      <c r="Y460" s="55">
        <f t="shared" si="57"/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750</v>
      </c>
      <c r="AG460" s="78"/>
      <c r="AJ460" s="84" t="s">
        <v>46</v>
      </c>
      <c r="AK460" s="84">
        <v>0</v>
      </c>
      <c r="BB460" s="551" t="s">
        <v>67</v>
      </c>
      <c r="BM460" s="78">
        <f t="shared" si="58"/>
        <v>0</v>
      </c>
      <c r="BN460" s="78">
        <f t="shared" si="59"/>
        <v>0</v>
      </c>
      <c r="BO460" s="78">
        <f t="shared" si="60"/>
        <v>0</v>
      </c>
      <c r="BP460" s="78">
        <f t="shared" si="61"/>
        <v>0</v>
      </c>
    </row>
    <row r="461" spans="1:68" ht="27" customHeight="1" x14ac:dyDescent="0.25">
      <c r="A461" s="63" t="s">
        <v>751</v>
      </c>
      <c r="B461" s="63" t="s">
        <v>752</v>
      </c>
      <c r="C461" s="36">
        <v>4301031362</v>
      </c>
      <c r="D461" s="697">
        <v>4607091384338</v>
      </c>
      <c r="E461" s="697"/>
      <c r="F461" s="62">
        <v>0.35</v>
      </c>
      <c r="G461" s="37">
        <v>6</v>
      </c>
      <c r="H461" s="62">
        <v>2.1</v>
      </c>
      <c r="I461" s="62">
        <v>2.23</v>
      </c>
      <c r="J461" s="37">
        <v>234</v>
      </c>
      <c r="K461" s="37" t="s">
        <v>82</v>
      </c>
      <c r="L461" s="37" t="s">
        <v>46</v>
      </c>
      <c r="M461" s="38" t="s">
        <v>81</v>
      </c>
      <c r="N461" s="38"/>
      <c r="O461" s="37">
        <v>50</v>
      </c>
      <c r="P461" s="9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99"/>
      <c r="R461" s="699"/>
      <c r="S461" s="699"/>
      <c r="T461" s="700"/>
      <c r="U461" s="39" t="s">
        <v>46</v>
      </c>
      <c r="V461" s="39" t="s">
        <v>46</v>
      </c>
      <c r="W461" s="40" t="s">
        <v>0</v>
      </c>
      <c r="X461" s="58">
        <v>0</v>
      </c>
      <c r="Y461" s="55">
        <f t="shared" si="57"/>
        <v>0</v>
      </c>
      <c r="Z461" s="41" t="str">
        <f>IFERROR(IF(Y461=0,"",ROUNDUP(Y461/H461,0)*0.00502),"")</f>
        <v/>
      </c>
      <c r="AA461" s="68" t="s">
        <v>46</v>
      </c>
      <c r="AB461" s="69" t="s">
        <v>46</v>
      </c>
      <c r="AC461" s="552" t="s">
        <v>747</v>
      </c>
      <c r="AG461" s="78"/>
      <c r="AJ461" s="84" t="s">
        <v>46</v>
      </c>
      <c r="AK461" s="84">
        <v>0</v>
      </c>
      <c r="BB461" s="553" t="s">
        <v>67</v>
      </c>
      <c r="BM461" s="78">
        <f t="shared" si="58"/>
        <v>0</v>
      </c>
      <c r="BN461" s="78">
        <f t="shared" si="59"/>
        <v>0</v>
      </c>
      <c r="BO461" s="78">
        <f t="shared" si="60"/>
        <v>0</v>
      </c>
      <c r="BP461" s="78">
        <f t="shared" si="61"/>
        <v>0</v>
      </c>
    </row>
    <row r="462" spans="1:68" ht="27" customHeight="1" x14ac:dyDescent="0.25">
      <c r="A462" s="63" t="s">
        <v>753</v>
      </c>
      <c r="B462" s="63" t="s">
        <v>754</v>
      </c>
      <c r="C462" s="36">
        <v>4301031364</v>
      </c>
      <c r="D462" s="697">
        <v>4680115883161</v>
      </c>
      <c r="E462" s="697"/>
      <c r="F462" s="62">
        <v>0.28000000000000003</v>
      </c>
      <c r="G462" s="37">
        <v>6</v>
      </c>
      <c r="H462" s="62">
        <v>1.68</v>
      </c>
      <c r="I462" s="62">
        <v>1.81</v>
      </c>
      <c r="J462" s="37">
        <v>234</v>
      </c>
      <c r="K462" s="37" t="s">
        <v>82</v>
      </c>
      <c r="L462" s="37" t="s">
        <v>46</v>
      </c>
      <c r="M462" s="38" t="s">
        <v>81</v>
      </c>
      <c r="N462" s="38"/>
      <c r="O462" s="37">
        <v>50</v>
      </c>
      <c r="P462" s="93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99"/>
      <c r="R462" s="699"/>
      <c r="S462" s="699"/>
      <c r="T462" s="700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7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755</v>
      </c>
      <c r="AG462" s="78"/>
      <c r="AJ462" s="84" t="s">
        <v>46</v>
      </c>
      <c r="AK462" s="84">
        <v>0</v>
      </c>
      <c r="BB462" s="555" t="s">
        <v>67</v>
      </c>
      <c r="BM462" s="78">
        <f t="shared" si="58"/>
        <v>0</v>
      </c>
      <c r="BN462" s="78">
        <f t="shared" si="59"/>
        <v>0</v>
      </c>
      <c r="BO462" s="78">
        <f t="shared" si="60"/>
        <v>0</v>
      </c>
      <c r="BP462" s="78">
        <f t="shared" si="61"/>
        <v>0</v>
      </c>
    </row>
    <row r="463" spans="1:68" ht="27" customHeight="1" x14ac:dyDescent="0.25">
      <c r="A463" s="63" t="s">
        <v>756</v>
      </c>
      <c r="B463" s="63" t="s">
        <v>757</v>
      </c>
      <c r="C463" s="36">
        <v>4301031358</v>
      </c>
      <c r="D463" s="697">
        <v>4607091389531</v>
      </c>
      <c r="E463" s="697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82</v>
      </c>
      <c r="L463" s="37" t="s">
        <v>46</v>
      </c>
      <c r="M463" s="38" t="s">
        <v>81</v>
      </c>
      <c r="N463" s="38"/>
      <c r="O463" s="37">
        <v>50</v>
      </c>
      <c r="P463" s="9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99"/>
      <c r="R463" s="699"/>
      <c r="S463" s="699"/>
      <c r="T463" s="700"/>
      <c r="U463" s="39" t="s">
        <v>46</v>
      </c>
      <c r="V463" s="39" t="s">
        <v>46</v>
      </c>
      <c r="W463" s="40" t="s">
        <v>0</v>
      </c>
      <c r="X463" s="58">
        <v>0</v>
      </c>
      <c r="Y463" s="55">
        <f t="shared" si="57"/>
        <v>0</v>
      </c>
      <c r="Z463" s="41" t="str">
        <f>IFERROR(IF(Y463=0,"",ROUNDUP(Y463/H463,0)*0.00502),"")</f>
        <v/>
      </c>
      <c r="AA463" s="68" t="s">
        <v>46</v>
      </c>
      <c r="AB463" s="69" t="s">
        <v>46</v>
      </c>
      <c r="AC463" s="556" t="s">
        <v>758</v>
      </c>
      <c r="AG463" s="78"/>
      <c r="AJ463" s="84" t="s">
        <v>46</v>
      </c>
      <c r="AK463" s="84">
        <v>0</v>
      </c>
      <c r="BB463" s="557" t="s">
        <v>67</v>
      </c>
      <c r="BM463" s="78">
        <f t="shared" si="58"/>
        <v>0</v>
      </c>
      <c r="BN463" s="78">
        <f t="shared" si="59"/>
        <v>0</v>
      </c>
      <c r="BO463" s="78">
        <f t="shared" si="60"/>
        <v>0</v>
      </c>
      <c r="BP463" s="78">
        <f t="shared" si="61"/>
        <v>0</v>
      </c>
    </row>
    <row r="464" spans="1:68" ht="37.5" customHeight="1" x14ac:dyDescent="0.25">
      <c r="A464" s="63" t="s">
        <v>759</v>
      </c>
      <c r="B464" s="63" t="s">
        <v>760</v>
      </c>
      <c r="C464" s="36">
        <v>4301031360</v>
      </c>
      <c r="D464" s="697">
        <v>4607091384345</v>
      </c>
      <c r="E464" s="697"/>
      <c r="F464" s="62">
        <v>0.35</v>
      </c>
      <c r="G464" s="37">
        <v>6</v>
      </c>
      <c r="H464" s="62">
        <v>2.1</v>
      </c>
      <c r="I464" s="62">
        <v>2.23</v>
      </c>
      <c r="J464" s="37">
        <v>234</v>
      </c>
      <c r="K464" s="37" t="s">
        <v>82</v>
      </c>
      <c r="L464" s="37" t="s">
        <v>46</v>
      </c>
      <c r="M464" s="38" t="s">
        <v>81</v>
      </c>
      <c r="N464" s="38"/>
      <c r="O464" s="37">
        <v>50</v>
      </c>
      <c r="P464" s="94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99"/>
      <c r="R464" s="699"/>
      <c r="S464" s="699"/>
      <c r="T464" s="700"/>
      <c r="U464" s="39" t="s">
        <v>46</v>
      </c>
      <c r="V464" s="39" t="s">
        <v>46</v>
      </c>
      <c r="W464" s="40" t="s">
        <v>0</v>
      </c>
      <c r="X464" s="58">
        <v>0</v>
      </c>
      <c r="Y464" s="55">
        <f t="shared" si="57"/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58" t="s">
        <v>755</v>
      </c>
      <c r="AG464" s="78"/>
      <c r="AJ464" s="84" t="s">
        <v>46</v>
      </c>
      <c r="AK464" s="84">
        <v>0</v>
      </c>
      <c r="BB464" s="559" t="s">
        <v>67</v>
      </c>
      <c r="BM464" s="78">
        <f t="shared" si="58"/>
        <v>0</v>
      </c>
      <c r="BN464" s="78">
        <f t="shared" si="59"/>
        <v>0</v>
      </c>
      <c r="BO464" s="78">
        <f t="shared" si="60"/>
        <v>0</v>
      </c>
      <c r="BP464" s="78">
        <f t="shared" si="61"/>
        <v>0</v>
      </c>
    </row>
    <row r="465" spans="1:68" x14ac:dyDescent="0.2">
      <c r="A465" s="705"/>
      <c r="B465" s="705"/>
      <c r="C465" s="705"/>
      <c r="D465" s="705"/>
      <c r="E465" s="705"/>
      <c r="F465" s="705"/>
      <c r="G465" s="705"/>
      <c r="H465" s="705"/>
      <c r="I465" s="705"/>
      <c r="J465" s="705"/>
      <c r="K465" s="705"/>
      <c r="L465" s="705"/>
      <c r="M465" s="705"/>
      <c r="N465" s="705"/>
      <c r="O465" s="706"/>
      <c r="P465" s="702" t="s">
        <v>40</v>
      </c>
      <c r="Q465" s="703"/>
      <c r="R465" s="703"/>
      <c r="S465" s="703"/>
      <c r="T465" s="703"/>
      <c r="U465" s="703"/>
      <c r="V465" s="704"/>
      <c r="W465" s="42" t="s">
        <v>39</v>
      </c>
      <c r="X465" s="43">
        <f>IFERROR(X459/H459,"0")+IFERROR(X460/H460,"0")+IFERROR(X461/H461,"0")+IFERROR(X462/H462,"0")+IFERROR(X463/H463,"0")+IFERROR(X464/H464,"0")</f>
        <v>0</v>
      </c>
      <c r="Y465" s="43">
        <f>IFERROR(Y459/H459,"0")+IFERROR(Y460/H460,"0")+IFERROR(Y461/H461,"0")+IFERROR(Y462/H462,"0")+IFERROR(Y463/H463,"0")+IFERROR(Y464/H464,"0")</f>
        <v>0</v>
      </c>
      <c r="Z465" s="43">
        <f>IFERROR(IF(Z459="",0,Z459),"0")+IFERROR(IF(Z460="",0,Z460),"0")+IFERROR(IF(Z461="",0,Z461),"0")+IFERROR(IF(Z462="",0,Z462),"0")+IFERROR(IF(Z463="",0,Z463),"0")+IFERROR(IF(Z464="",0,Z464),"0")</f>
        <v>0</v>
      </c>
      <c r="AA465" s="67"/>
      <c r="AB465" s="67"/>
      <c r="AC465" s="67"/>
    </row>
    <row r="466" spans="1:68" x14ac:dyDescent="0.2">
      <c r="A466" s="705"/>
      <c r="B466" s="705"/>
      <c r="C466" s="705"/>
      <c r="D466" s="705"/>
      <c r="E466" s="705"/>
      <c r="F466" s="705"/>
      <c r="G466" s="705"/>
      <c r="H466" s="705"/>
      <c r="I466" s="705"/>
      <c r="J466" s="705"/>
      <c r="K466" s="705"/>
      <c r="L466" s="705"/>
      <c r="M466" s="705"/>
      <c r="N466" s="705"/>
      <c r="O466" s="706"/>
      <c r="P466" s="702" t="s">
        <v>40</v>
      </c>
      <c r="Q466" s="703"/>
      <c r="R466" s="703"/>
      <c r="S466" s="703"/>
      <c r="T466" s="703"/>
      <c r="U466" s="703"/>
      <c r="V466" s="704"/>
      <c r="W466" s="42" t="s">
        <v>0</v>
      </c>
      <c r="X466" s="43">
        <f>IFERROR(SUM(X459:X464),"0")</f>
        <v>0</v>
      </c>
      <c r="Y466" s="43">
        <f>IFERROR(SUM(Y459:Y464),"0")</f>
        <v>0</v>
      </c>
      <c r="Z466" s="42"/>
      <c r="AA466" s="67"/>
      <c r="AB466" s="67"/>
      <c r="AC466" s="67"/>
    </row>
    <row r="467" spans="1:68" ht="14.25" customHeight="1" x14ac:dyDescent="0.25">
      <c r="A467" s="696" t="s">
        <v>86</v>
      </c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6"/>
      <c r="P467" s="696"/>
      <c r="Q467" s="696"/>
      <c r="R467" s="696"/>
      <c r="S467" s="696"/>
      <c r="T467" s="696"/>
      <c r="U467" s="696"/>
      <c r="V467" s="696"/>
      <c r="W467" s="696"/>
      <c r="X467" s="696"/>
      <c r="Y467" s="696"/>
      <c r="Z467" s="696"/>
      <c r="AA467" s="66"/>
      <c r="AB467" s="66"/>
      <c r="AC467" s="80"/>
    </row>
    <row r="468" spans="1:68" ht="27" customHeight="1" x14ac:dyDescent="0.25">
      <c r="A468" s="63" t="s">
        <v>761</v>
      </c>
      <c r="B468" s="63" t="s">
        <v>762</v>
      </c>
      <c r="C468" s="36">
        <v>4301051284</v>
      </c>
      <c r="D468" s="697">
        <v>4607091384352</v>
      </c>
      <c r="E468" s="697"/>
      <c r="F468" s="62">
        <v>0.6</v>
      </c>
      <c r="G468" s="37">
        <v>4</v>
      </c>
      <c r="H468" s="62">
        <v>2.4</v>
      </c>
      <c r="I468" s="62">
        <v>2.6259999999999999</v>
      </c>
      <c r="J468" s="37">
        <v>132</v>
      </c>
      <c r="K468" s="37" t="s">
        <v>140</v>
      </c>
      <c r="L468" s="37" t="s">
        <v>46</v>
      </c>
      <c r="M468" s="38" t="s">
        <v>90</v>
      </c>
      <c r="N468" s="38"/>
      <c r="O468" s="37">
        <v>45</v>
      </c>
      <c r="P468" s="94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 x14ac:dyDescent="0.25">
      <c r="A469" s="63" t="s">
        <v>764</v>
      </c>
      <c r="B469" s="63" t="s">
        <v>765</v>
      </c>
      <c r="C469" s="36">
        <v>4301051431</v>
      </c>
      <c r="D469" s="697">
        <v>4607091389654</v>
      </c>
      <c r="E469" s="697"/>
      <c r="F469" s="62">
        <v>0.33</v>
      </c>
      <c r="G469" s="37">
        <v>6</v>
      </c>
      <c r="H469" s="62">
        <v>1.98</v>
      </c>
      <c r="I469" s="62">
        <v>2.238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45</v>
      </c>
      <c r="P469" s="9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705"/>
      <c r="B470" s="705"/>
      <c r="C470" s="705"/>
      <c r="D470" s="705"/>
      <c r="E470" s="705"/>
      <c r="F470" s="705"/>
      <c r="G470" s="705"/>
      <c r="H470" s="705"/>
      <c r="I470" s="705"/>
      <c r="J470" s="705"/>
      <c r="K470" s="705"/>
      <c r="L470" s="705"/>
      <c r="M470" s="705"/>
      <c r="N470" s="705"/>
      <c r="O470" s="706"/>
      <c r="P470" s="702" t="s">
        <v>40</v>
      </c>
      <c r="Q470" s="703"/>
      <c r="R470" s="703"/>
      <c r="S470" s="703"/>
      <c r="T470" s="703"/>
      <c r="U470" s="703"/>
      <c r="V470" s="704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x14ac:dyDescent="0.2">
      <c r="A471" s="705"/>
      <c r="B471" s="705"/>
      <c r="C471" s="705"/>
      <c r="D471" s="705"/>
      <c r="E471" s="705"/>
      <c r="F471" s="705"/>
      <c r="G471" s="705"/>
      <c r="H471" s="705"/>
      <c r="I471" s="705"/>
      <c r="J471" s="705"/>
      <c r="K471" s="705"/>
      <c r="L471" s="705"/>
      <c r="M471" s="705"/>
      <c r="N471" s="705"/>
      <c r="O471" s="706"/>
      <c r="P471" s="702" t="s">
        <v>40</v>
      </c>
      <c r="Q471" s="703"/>
      <c r="R471" s="703"/>
      <c r="S471" s="703"/>
      <c r="T471" s="703"/>
      <c r="U471" s="703"/>
      <c r="V471" s="704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6.5" customHeight="1" x14ac:dyDescent="0.25">
      <c r="A472" s="695" t="s">
        <v>767</v>
      </c>
      <c r="B472" s="695"/>
      <c r="C472" s="695"/>
      <c r="D472" s="695"/>
      <c r="E472" s="695"/>
      <c r="F472" s="695"/>
      <c r="G472" s="695"/>
      <c r="H472" s="695"/>
      <c r="I472" s="695"/>
      <c r="J472" s="695"/>
      <c r="K472" s="695"/>
      <c r="L472" s="695"/>
      <c r="M472" s="695"/>
      <c r="N472" s="695"/>
      <c r="O472" s="695"/>
      <c r="P472" s="695"/>
      <c r="Q472" s="695"/>
      <c r="R472" s="695"/>
      <c r="S472" s="695"/>
      <c r="T472" s="695"/>
      <c r="U472" s="695"/>
      <c r="V472" s="695"/>
      <c r="W472" s="695"/>
      <c r="X472" s="695"/>
      <c r="Y472" s="695"/>
      <c r="Z472" s="695"/>
      <c r="AA472" s="65"/>
      <c r="AB472" s="65"/>
      <c r="AC472" s="79"/>
    </row>
    <row r="473" spans="1:68" ht="14.25" customHeight="1" x14ac:dyDescent="0.25">
      <c r="A473" s="696" t="s">
        <v>164</v>
      </c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6"/>
      <c r="P473" s="696"/>
      <c r="Q473" s="696"/>
      <c r="R473" s="696"/>
      <c r="S473" s="696"/>
      <c r="T473" s="696"/>
      <c r="U473" s="696"/>
      <c r="V473" s="696"/>
      <c r="W473" s="696"/>
      <c r="X473" s="696"/>
      <c r="Y473" s="696"/>
      <c r="Z473" s="696"/>
      <c r="AA473" s="66"/>
      <c r="AB473" s="66"/>
      <c r="AC473" s="80"/>
    </row>
    <row r="474" spans="1:68" ht="27" customHeight="1" x14ac:dyDescent="0.25">
      <c r="A474" s="63" t="s">
        <v>768</v>
      </c>
      <c r="B474" s="63" t="s">
        <v>769</v>
      </c>
      <c r="C474" s="36">
        <v>4301020416</v>
      </c>
      <c r="D474" s="697">
        <v>4680115885240</v>
      </c>
      <c r="E474" s="697"/>
      <c r="F474" s="62">
        <v>0.35</v>
      </c>
      <c r="G474" s="37">
        <v>6</v>
      </c>
      <c r="H474" s="62">
        <v>2.1</v>
      </c>
      <c r="I474" s="62">
        <v>2.31</v>
      </c>
      <c r="J474" s="37">
        <v>182</v>
      </c>
      <c r="K474" s="37" t="s">
        <v>91</v>
      </c>
      <c r="L474" s="37" t="s">
        <v>46</v>
      </c>
      <c r="M474" s="38" t="s">
        <v>81</v>
      </c>
      <c r="N474" s="38"/>
      <c r="O474" s="37">
        <v>40</v>
      </c>
      <c r="P474" s="94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99"/>
      <c r="R474" s="699"/>
      <c r="S474" s="699"/>
      <c r="T474" s="700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64" t="s">
        <v>770</v>
      </c>
      <c r="AG474" s="78"/>
      <c r="AJ474" s="84" t="s">
        <v>46</v>
      </c>
      <c r="AK474" s="84">
        <v>0</v>
      </c>
      <c r="BB474" s="565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x14ac:dyDescent="0.2">
      <c r="A475" s="705"/>
      <c r="B475" s="705"/>
      <c r="C475" s="705"/>
      <c r="D475" s="705"/>
      <c r="E475" s="705"/>
      <c r="F475" s="705"/>
      <c r="G475" s="705"/>
      <c r="H475" s="705"/>
      <c r="I475" s="705"/>
      <c r="J475" s="705"/>
      <c r="K475" s="705"/>
      <c r="L475" s="705"/>
      <c r="M475" s="705"/>
      <c r="N475" s="705"/>
      <c r="O475" s="706"/>
      <c r="P475" s="702" t="s">
        <v>40</v>
      </c>
      <c r="Q475" s="703"/>
      <c r="R475" s="703"/>
      <c r="S475" s="703"/>
      <c r="T475" s="703"/>
      <c r="U475" s="703"/>
      <c r="V475" s="704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 x14ac:dyDescent="0.2">
      <c r="A476" s="705"/>
      <c r="B476" s="705"/>
      <c r="C476" s="705"/>
      <c r="D476" s="705"/>
      <c r="E476" s="705"/>
      <c r="F476" s="705"/>
      <c r="G476" s="705"/>
      <c r="H476" s="705"/>
      <c r="I476" s="705"/>
      <c r="J476" s="705"/>
      <c r="K476" s="705"/>
      <c r="L476" s="705"/>
      <c r="M476" s="705"/>
      <c r="N476" s="705"/>
      <c r="O476" s="706"/>
      <c r="P476" s="702" t="s">
        <v>40</v>
      </c>
      <c r="Q476" s="703"/>
      <c r="R476" s="703"/>
      <c r="S476" s="703"/>
      <c r="T476" s="703"/>
      <c r="U476" s="703"/>
      <c r="V476" s="704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customHeight="1" x14ac:dyDescent="0.25">
      <c r="A477" s="696" t="s">
        <v>77</v>
      </c>
      <c r="B477" s="696"/>
      <c r="C477" s="696"/>
      <c r="D477" s="696"/>
      <c r="E477" s="696"/>
      <c r="F477" s="696"/>
      <c r="G477" s="696"/>
      <c r="H477" s="696"/>
      <c r="I477" s="696"/>
      <c r="J477" s="696"/>
      <c r="K477" s="696"/>
      <c r="L477" s="696"/>
      <c r="M477" s="696"/>
      <c r="N477" s="696"/>
      <c r="O477" s="696"/>
      <c r="P477" s="696"/>
      <c r="Q477" s="696"/>
      <c r="R477" s="696"/>
      <c r="S477" s="696"/>
      <c r="T477" s="696"/>
      <c r="U477" s="696"/>
      <c r="V477" s="696"/>
      <c r="W477" s="696"/>
      <c r="X477" s="696"/>
      <c r="Y477" s="696"/>
      <c r="Z477" s="696"/>
      <c r="AA477" s="66"/>
      <c r="AB477" s="66"/>
      <c r="AC477" s="80"/>
    </row>
    <row r="478" spans="1:68" ht="27" customHeight="1" x14ac:dyDescent="0.25">
      <c r="A478" s="63" t="s">
        <v>771</v>
      </c>
      <c r="B478" s="63" t="s">
        <v>772</v>
      </c>
      <c r="C478" s="36">
        <v>4301031407</v>
      </c>
      <c r="D478" s="697">
        <v>4680115886094</v>
      </c>
      <c r="E478" s="697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140</v>
      </c>
      <c r="L478" s="37" t="s">
        <v>46</v>
      </c>
      <c r="M478" s="38" t="s">
        <v>81</v>
      </c>
      <c r="N478" s="38"/>
      <c r="O478" s="37">
        <v>50</v>
      </c>
      <c r="P478" s="94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99"/>
      <c r="R478" s="699"/>
      <c r="S478" s="699"/>
      <c r="T478" s="700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66" t="s">
        <v>773</v>
      </c>
      <c r="AG478" s="78"/>
      <c r="AJ478" s="84" t="s">
        <v>46</v>
      </c>
      <c r="AK478" s="84">
        <v>0</v>
      </c>
      <c r="BB478" s="567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774</v>
      </c>
      <c r="B479" s="63" t="s">
        <v>775</v>
      </c>
      <c r="C479" s="36">
        <v>4301031373</v>
      </c>
      <c r="D479" s="697">
        <v>4680115880771</v>
      </c>
      <c r="E479" s="697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99"/>
      <c r="R479" s="699"/>
      <c r="S479" s="699"/>
      <c r="T479" s="700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776</v>
      </c>
      <c r="AG479" s="78"/>
      <c r="AJ479" s="84" t="s">
        <v>46</v>
      </c>
      <c r="AK479" s="84">
        <v>0</v>
      </c>
      <c r="BB479" s="569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777</v>
      </c>
      <c r="B480" s="63" t="s">
        <v>778</v>
      </c>
      <c r="C480" s="36">
        <v>4301031359</v>
      </c>
      <c r="D480" s="697">
        <v>4607091389500</v>
      </c>
      <c r="E480" s="697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70" t="s">
        <v>776</v>
      </c>
      <c r="AG480" s="78"/>
      <c r="AJ480" s="84" t="s">
        <v>46</v>
      </c>
      <c r="AK480" s="84">
        <v>0</v>
      </c>
      <c r="BB480" s="571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705"/>
      <c r="B481" s="705"/>
      <c r="C481" s="705"/>
      <c r="D481" s="705"/>
      <c r="E481" s="705"/>
      <c r="F481" s="705"/>
      <c r="G481" s="705"/>
      <c r="H481" s="705"/>
      <c r="I481" s="705"/>
      <c r="J481" s="705"/>
      <c r="K481" s="705"/>
      <c r="L481" s="705"/>
      <c r="M481" s="705"/>
      <c r="N481" s="705"/>
      <c r="O481" s="706"/>
      <c r="P481" s="702" t="s">
        <v>40</v>
      </c>
      <c r="Q481" s="703"/>
      <c r="R481" s="703"/>
      <c r="S481" s="703"/>
      <c r="T481" s="703"/>
      <c r="U481" s="703"/>
      <c r="V481" s="704"/>
      <c r="W481" s="42" t="s">
        <v>39</v>
      </c>
      <c r="X481" s="43">
        <f>IFERROR(X478/H478,"0")+IFERROR(X479/H479,"0")+IFERROR(X480/H480,"0")</f>
        <v>0</v>
      </c>
      <c r="Y481" s="43">
        <f>IFERROR(Y478/H478,"0")+IFERROR(Y479/H479,"0")+IFERROR(Y480/H480,"0")</f>
        <v>0</v>
      </c>
      <c r="Z481" s="43">
        <f>IFERROR(IF(Z478="",0,Z478),"0")+IFERROR(IF(Z479="",0,Z479),"0")+IFERROR(IF(Z480="",0,Z480),"0")</f>
        <v>0</v>
      </c>
      <c r="AA481" s="67"/>
      <c r="AB481" s="67"/>
      <c r="AC481" s="67"/>
    </row>
    <row r="482" spans="1:68" x14ac:dyDescent="0.2">
      <c r="A482" s="705"/>
      <c r="B482" s="705"/>
      <c r="C482" s="705"/>
      <c r="D482" s="705"/>
      <c r="E482" s="705"/>
      <c r="F482" s="705"/>
      <c r="G482" s="705"/>
      <c r="H482" s="705"/>
      <c r="I482" s="705"/>
      <c r="J482" s="705"/>
      <c r="K482" s="705"/>
      <c r="L482" s="705"/>
      <c r="M482" s="705"/>
      <c r="N482" s="705"/>
      <c r="O482" s="706"/>
      <c r="P482" s="702" t="s">
        <v>40</v>
      </c>
      <c r="Q482" s="703"/>
      <c r="R482" s="703"/>
      <c r="S482" s="703"/>
      <c r="T482" s="703"/>
      <c r="U482" s="703"/>
      <c r="V482" s="704"/>
      <c r="W482" s="42" t="s">
        <v>0</v>
      </c>
      <c r="X482" s="43">
        <f>IFERROR(SUM(X478:X480),"0")</f>
        <v>0</v>
      </c>
      <c r="Y482" s="43">
        <f>IFERROR(SUM(Y478:Y480),"0")</f>
        <v>0</v>
      </c>
      <c r="Z482" s="42"/>
      <c r="AA482" s="67"/>
      <c r="AB482" s="67"/>
      <c r="AC482" s="67"/>
    </row>
    <row r="483" spans="1:68" ht="27.75" customHeight="1" x14ac:dyDescent="0.2">
      <c r="A483" s="694" t="s">
        <v>779</v>
      </c>
      <c r="B483" s="694"/>
      <c r="C483" s="694"/>
      <c r="D483" s="694"/>
      <c r="E483" s="694"/>
      <c r="F483" s="694"/>
      <c r="G483" s="694"/>
      <c r="H483" s="694"/>
      <c r="I483" s="694"/>
      <c r="J483" s="694"/>
      <c r="K483" s="694"/>
      <c r="L483" s="694"/>
      <c r="M483" s="694"/>
      <c r="N483" s="694"/>
      <c r="O483" s="694"/>
      <c r="P483" s="694"/>
      <c r="Q483" s="694"/>
      <c r="R483" s="694"/>
      <c r="S483" s="694"/>
      <c r="T483" s="694"/>
      <c r="U483" s="694"/>
      <c r="V483" s="694"/>
      <c r="W483" s="694"/>
      <c r="X483" s="694"/>
      <c r="Y483" s="694"/>
      <c r="Z483" s="694"/>
      <c r="AA483" s="54"/>
      <c r="AB483" s="54"/>
      <c r="AC483" s="54"/>
    </row>
    <row r="484" spans="1:68" ht="16.5" customHeight="1" x14ac:dyDescent="0.25">
      <c r="A484" s="695" t="s">
        <v>779</v>
      </c>
      <c r="B484" s="695"/>
      <c r="C484" s="695"/>
      <c r="D484" s="695"/>
      <c r="E484" s="695"/>
      <c r="F484" s="695"/>
      <c r="G484" s="695"/>
      <c r="H484" s="695"/>
      <c r="I484" s="695"/>
      <c r="J484" s="695"/>
      <c r="K484" s="695"/>
      <c r="L484" s="695"/>
      <c r="M484" s="695"/>
      <c r="N484" s="695"/>
      <c r="O484" s="695"/>
      <c r="P484" s="695"/>
      <c r="Q484" s="695"/>
      <c r="R484" s="695"/>
      <c r="S484" s="695"/>
      <c r="T484" s="695"/>
      <c r="U484" s="695"/>
      <c r="V484" s="695"/>
      <c r="W484" s="695"/>
      <c r="X484" s="695"/>
      <c r="Y484" s="695"/>
      <c r="Z484" s="695"/>
      <c r="AA484" s="65"/>
      <c r="AB484" s="65"/>
      <c r="AC484" s="79"/>
    </row>
    <row r="485" spans="1:68" ht="14.25" customHeight="1" x14ac:dyDescent="0.25">
      <c r="A485" s="696" t="s">
        <v>128</v>
      </c>
      <c r="B485" s="696"/>
      <c r="C485" s="696"/>
      <c r="D485" s="696"/>
      <c r="E485" s="696"/>
      <c r="F485" s="696"/>
      <c r="G485" s="696"/>
      <c r="H485" s="696"/>
      <c r="I485" s="696"/>
      <c r="J485" s="696"/>
      <c r="K485" s="696"/>
      <c r="L485" s="696"/>
      <c r="M485" s="696"/>
      <c r="N485" s="696"/>
      <c r="O485" s="696"/>
      <c r="P485" s="696"/>
      <c r="Q485" s="696"/>
      <c r="R485" s="696"/>
      <c r="S485" s="696"/>
      <c r="T485" s="696"/>
      <c r="U485" s="696"/>
      <c r="V485" s="696"/>
      <c r="W485" s="696"/>
      <c r="X485" s="696"/>
      <c r="Y485" s="696"/>
      <c r="Z485" s="696"/>
      <c r="AA485" s="66"/>
      <c r="AB485" s="66"/>
      <c r="AC485" s="80"/>
    </row>
    <row r="486" spans="1:68" ht="27" customHeight="1" x14ac:dyDescent="0.25">
      <c r="A486" s="63" t="s">
        <v>780</v>
      </c>
      <c r="B486" s="63" t="s">
        <v>781</v>
      </c>
      <c r="C486" s="36">
        <v>4301011769</v>
      </c>
      <c r="D486" s="697">
        <v>4607091389067</v>
      </c>
      <c r="E486" s="697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60</v>
      </c>
      <c r="P486" s="9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ref="Y486:Y494" si="62">IFERROR(IF(X486="",0,CEILING((X486/$H486),1)*$H486),"")</f>
        <v>0</v>
      </c>
      <c r="Z486" s="41" t="str">
        <f t="shared" ref="Z486:Z491" si="63">IFERROR(IF(Y486=0,"",ROUNDUP(Y486/H486,0)*0.01196),"")</f>
        <v/>
      </c>
      <c r="AA486" s="68" t="s">
        <v>46</v>
      </c>
      <c r="AB486" s="69" t="s">
        <v>46</v>
      </c>
      <c r="AC486" s="572" t="s">
        <v>131</v>
      </c>
      <c r="AG486" s="78"/>
      <c r="AJ486" s="84" t="s">
        <v>46</v>
      </c>
      <c r="AK486" s="84">
        <v>0</v>
      </c>
      <c r="BB486" s="573" t="s">
        <v>67</v>
      </c>
      <c r="BM486" s="78">
        <f t="shared" ref="BM486:BM494" si="64">IFERROR(X486*I486/H486,"0")</f>
        <v>0</v>
      </c>
      <c r="BN486" s="78">
        <f t="shared" ref="BN486:BN494" si="65">IFERROR(Y486*I486/H486,"0")</f>
        <v>0</v>
      </c>
      <c r="BO486" s="78">
        <f t="shared" ref="BO486:BO494" si="66">IFERROR(1/J486*(X486/H486),"0")</f>
        <v>0</v>
      </c>
      <c r="BP486" s="78">
        <f t="shared" ref="BP486:BP494" si="67">IFERROR(1/J486*(Y486/H486),"0")</f>
        <v>0</v>
      </c>
    </row>
    <row r="487" spans="1:68" ht="16.5" customHeight="1" x14ac:dyDescent="0.25">
      <c r="A487" s="63" t="s">
        <v>782</v>
      </c>
      <c r="B487" s="63" t="s">
        <v>783</v>
      </c>
      <c r="C487" s="36">
        <v>4301012380</v>
      </c>
      <c r="D487" s="697">
        <v>4680115889576</v>
      </c>
      <c r="E487" s="697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133</v>
      </c>
      <c r="L487" s="37" t="s">
        <v>46</v>
      </c>
      <c r="M487" s="38" t="s">
        <v>132</v>
      </c>
      <c r="N487" s="38"/>
      <c r="O487" s="37">
        <v>60</v>
      </c>
      <c r="P487" s="94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99"/>
      <c r="R487" s="699"/>
      <c r="S487" s="699"/>
      <c r="T487" s="700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2"/>
        <v>0</v>
      </c>
      <c r="Z487" s="41" t="str">
        <f t="shared" si="63"/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 t="shared" si="64"/>
        <v>0</v>
      </c>
      <c r="BN487" s="78">
        <f t="shared" si="65"/>
        <v>0</v>
      </c>
      <c r="BO487" s="78">
        <f t="shared" si="66"/>
        <v>0</v>
      </c>
      <c r="BP487" s="78">
        <f t="shared" si="67"/>
        <v>0</v>
      </c>
    </row>
    <row r="488" spans="1:68" ht="27" customHeight="1" x14ac:dyDescent="0.25">
      <c r="A488" s="63" t="s">
        <v>785</v>
      </c>
      <c r="B488" s="63" t="s">
        <v>786</v>
      </c>
      <c r="C488" s="36">
        <v>4301011961</v>
      </c>
      <c r="D488" s="697">
        <v>4680115885271</v>
      </c>
      <c r="E488" s="697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133</v>
      </c>
      <c r="L488" s="37" t="s">
        <v>46</v>
      </c>
      <c r="M488" s="38" t="s">
        <v>132</v>
      </c>
      <c r="N488" s="38"/>
      <c r="O488" s="37">
        <v>60</v>
      </c>
      <c r="P488" s="95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99"/>
      <c r="R488" s="699"/>
      <c r="S488" s="699"/>
      <c r="T488" s="700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2"/>
        <v>0</v>
      </c>
      <c r="Z488" s="41" t="str">
        <f t="shared" si="63"/>
        <v/>
      </c>
      <c r="AA488" s="68" t="s">
        <v>46</v>
      </c>
      <c r="AB488" s="69" t="s">
        <v>46</v>
      </c>
      <c r="AC488" s="576" t="s">
        <v>787</v>
      </c>
      <c r="AG488" s="78"/>
      <c r="AJ488" s="84" t="s">
        <v>46</v>
      </c>
      <c r="AK488" s="84">
        <v>0</v>
      </c>
      <c r="BB488" s="577" t="s">
        <v>67</v>
      </c>
      <c r="BM488" s="78">
        <f t="shared" si="64"/>
        <v>0</v>
      </c>
      <c r="BN488" s="78">
        <f t="shared" si="65"/>
        <v>0</v>
      </c>
      <c r="BO488" s="78">
        <f t="shared" si="66"/>
        <v>0</v>
      </c>
      <c r="BP488" s="78">
        <f t="shared" si="67"/>
        <v>0</v>
      </c>
    </row>
    <row r="489" spans="1:68" ht="27" customHeight="1" x14ac:dyDescent="0.25">
      <c r="A489" s="63" t="s">
        <v>788</v>
      </c>
      <c r="B489" s="63" t="s">
        <v>789</v>
      </c>
      <c r="C489" s="36">
        <v>4301011369</v>
      </c>
      <c r="D489" s="697">
        <v>4680115885226</v>
      </c>
      <c r="E489" s="697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132</v>
      </c>
      <c r="N489" s="38"/>
      <c r="O489" s="37">
        <v>60</v>
      </c>
      <c r="P489" s="95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99"/>
      <c r="R489" s="699"/>
      <c r="S489" s="699"/>
      <c r="T489" s="700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2"/>
        <v>0</v>
      </c>
      <c r="Z489" s="41" t="str">
        <f t="shared" si="63"/>
        <v/>
      </c>
      <c r="AA489" s="68" t="s">
        <v>46</v>
      </c>
      <c r="AB489" s="69" t="s">
        <v>46</v>
      </c>
      <c r="AC489" s="578" t="s">
        <v>790</v>
      </c>
      <c r="AG489" s="78"/>
      <c r="AJ489" s="84" t="s">
        <v>46</v>
      </c>
      <c r="AK489" s="84">
        <v>0</v>
      </c>
      <c r="BB489" s="579" t="s">
        <v>67</v>
      </c>
      <c r="BM489" s="78">
        <f t="shared" si="64"/>
        <v>0</v>
      </c>
      <c r="BN489" s="78">
        <f t="shared" si="65"/>
        <v>0</v>
      </c>
      <c r="BO489" s="78">
        <f t="shared" si="66"/>
        <v>0</v>
      </c>
      <c r="BP489" s="78">
        <f t="shared" si="67"/>
        <v>0</v>
      </c>
    </row>
    <row r="490" spans="1:68" ht="16.5" customHeight="1" x14ac:dyDescent="0.25">
      <c r="A490" s="63" t="s">
        <v>791</v>
      </c>
      <c r="B490" s="63" t="s">
        <v>792</v>
      </c>
      <c r="C490" s="36">
        <v>4301011797</v>
      </c>
      <c r="D490" s="697">
        <v>4680115884502</v>
      </c>
      <c r="E490" s="69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90</v>
      </c>
      <c r="N490" s="38"/>
      <c r="O490" s="37">
        <v>60</v>
      </c>
      <c r="P490" s="9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99"/>
      <c r="R490" s="699"/>
      <c r="S490" s="699"/>
      <c r="T490" s="700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2"/>
        <v>0</v>
      </c>
      <c r="Z490" s="41" t="str">
        <f t="shared" si="63"/>
        <v/>
      </c>
      <c r="AA490" s="68" t="s">
        <v>46</v>
      </c>
      <c r="AB490" s="69" t="s">
        <v>46</v>
      </c>
      <c r="AC490" s="580" t="s">
        <v>793</v>
      </c>
      <c r="AG490" s="78"/>
      <c r="AJ490" s="84" t="s">
        <v>46</v>
      </c>
      <c r="AK490" s="84">
        <v>0</v>
      </c>
      <c r="BB490" s="581" t="s">
        <v>67</v>
      </c>
      <c r="BM490" s="78">
        <f t="shared" si="64"/>
        <v>0</v>
      </c>
      <c r="BN490" s="78">
        <f t="shared" si="65"/>
        <v>0</v>
      </c>
      <c r="BO490" s="78">
        <f t="shared" si="66"/>
        <v>0</v>
      </c>
      <c r="BP490" s="78">
        <f t="shared" si="67"/>
        <v>0</v>
      </c>
    </row>
    <row r="491" spans="1:68" ht="27" customHeight="1" x14ac:dyDescent="0.25">
      <c r="A491" s="63" t="s">
        <v>794</v>
      </c>
      <c r="B491" s="63" t="s">
        <v>795</v>
      </c>
      <c r="C491" s="36">
        <v>4301011771</v>
      </c>
      <c r="D491" s="697">
        <v>4607091389104</v>
      </c>
      <c r="E491" s="697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132</v>
      </c>
      <c r="N491" s="38"/>
      <c r="O491" s="37">
        <v>60</v>
      </c>
      <c r="P491" s="9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99"/>
      <c r="R491" s="699"/>
      <c r="S491" s="699"/>
      <c r="T491" s="700"/>
      <c r="U491" s="39" t="s">
        <v>46</v>
      </c>
      <c r="V491" s="39" t="s">
        <v>46</v>
      </c>
      <c r="W491" s="40" t="s">
        <v>0</v>
      </c>
      <c r="X491" s="58">
        <v>0</v>
      </c>
      <c r="Y491" s="55">
        <f t="shared" si="62"/>
        <v>0</v>
      </c>
      <c r="Z491" s="41" t="str">
        <f t="shared" si="63"/>
        <v/>
      </c>
      <c r="AA491" s="68" t="s">
        <v>46</v>
      </c>
      <c r="AB491" s="69" t="s">
        <v>46</v>
      </c>
      <c r="AC491" s="582" t="s">
        <v>796</v>
      </c>
      <c r="AG491" s="78"/>
      <c r="AJ491" s="84" t="s">
        <v>46</v>
      </c>
      <c r="AK491" s="84">
        <v>0</v>
      </c>
      <c r="BB491" s="583" t="s">
        <v>67</v>
      </c>
      <c r="BM491" s="78">
        <f t="shared" si="64"/>
        <v>0</v>
      </c>
      <c r="BN491" s="78">
        <f t="shared" si="65"/>
        <v>0</v>
      </c>
      <c r="BO491" s="78">
        <f t="shared" si="66"/>
        <v>0</v>
      </c>
      <c r="BP491" s="78">
        <f t="shared" si="67"/>
        <v>0</v>
      </c>
    </row>
    <row r="492" spans="1:68" ht="27" customHeight="1" x14ac:dyDescent="0.25">
      <c r="A492" s="63" t="s">
        <v>797</v>
      </c>
      <c r="B492" s="63" t="s">
        <v>798</v>
      </c>
      <c r="C492" s="36">
        <v>4301012125</v>
      </c>
      <c r="D492" s="697">
        <v>4680115886391</v>
      </c>
      <c r="E492" s="697"/>
      <c r="F492" s="62">
        <v>0.4</v>
      </c>
      <c r="G492" s="37">
        <v>6</v>
      </c>
      <c r="H492" s="62">
        <v>2.4</v>
      </c>
      <c r="I492" s="62">
        <v>2.58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60</v>
      </c>
      <c r="P492" s="9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2"/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84" t="s">
        <v>131</v>
      </c>
      <c r="AG492" s="78"/>
      <c r="AJ492" s="84" t="s">
        <v>46</v>
      </c>
      <c r="AK492" s="84">
        <v>0</v>
      </c>
      <c r="BB492" s="585" t="s">
        <v>67</v>
      </c>
      <c r="BM492" s="78">
        <f t="shared" si="64"/>
        <v>0</v>
      </c>
      <c r="BN492" s="78">
        <f t="shared" si="65"/>
        <v>0</v>
      </c>
      <c r="BO492" s="78">
        <f t="shared" si="66"/>
        <v>0</v>
      </c>
      <c r="BP492" s="78">
        <f t="shared" si="67"/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4301012048</v>
      </c>
      <c r="D493" s="697">
        <v>4680115880603</v>
      </c>
      <c r="E493" s="697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140</v>
      </c>
      <c r="L493" s="37" t="s">
        <v>46</v>
      </c>
      <c r="M493" s="38" t="s">
        <v>90</v>
      </c>
      <c r="N493" s="38"/>
      <c r="O493" s="37">
        <v>60</v>
      </c>
      <c r="P493" s="95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62"/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6" t="s">
        <v>131</v>
      </c>
      <c r="AG493" s="78"/>
      <c r="AJ493" s="84" t="s">
        <v>46</v>
      </c>
      <c r="AK493" s="84">
        <v>0</v>
      </c>
      <c r="BB493" s="587" t="s">
        <v>67</v>
      </c>
      <c r="BM493" s="78">
        <f t="shared" si="64"/>
        <v>0</v>
      </c>
      <c r="BN493" s="78">
        <f t="shared" si="65"/>
        <v>0</v>
      </c>
      <c r="BO493" s="78">
        <f t="shared" si="66"/>
        <v>0</v>
      </c>
      <c r="BP493" s="78">
        <f t="shared" si="67"/>
        <v>0</v>
      </c>
    </row>
    <row r="494" spans="1:68" ht="27" customHeight="1" x14ac:dyDescent="0.25">
      <c r="A494" s="63" t="s">
        <v>801</v>
      </c>
      <c r="B494" s="63" t="s">
        <v>802</v>
      </c>
      <c r="C494" s="36">
        <v>4301012034</v>
      </c>
      <c r="D494" s="697">
        <v>4607091389982</v>
      </c>
      <c r="E494" s="697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140</v>
      </c>
      <c r="L494" s="37" t="s">
        <v>46</v>
      </c>
      <c r="M494" s="38" t="s">
        <v>132</v>
      </c>
      <c r="N494" s="38"/>
      <c r="O494" s="37">
        <v>60</v>
      </c>
      <c r="P494" s="9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2"/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8" t="s">
        <v>796</v>
      </c>
      <c r="AG494" s="78"/>
      <c r="AJ494" s="84" t="s">
        <v>46</v>
      </c>
      <c r="AK494" s="84">
        <v>0</v>
      </c>
      <c r="BB494" s="589" t="s">
        <v>67</v>
      </c>
      <c r="BM494" s="78">
        <f t="shared" si="64"/>
        <v>0</v>
      </c>
      <c r="BN494" s="78">
        <f t="shared" si="65"/>
        <v>0</v>
      </c>
      <c r="BO494" s="78">
        <f t="shared" si="66"/>
        <v>0</v>
      </c>
      <c r="BP494" s="78">
        <f t="shared" si="67"/>
        <v>0</v>
      </c>
    </row>
    <row r="495" spans="1:68" x14ac:dyDescent="0.2">
      <c r="A495" s="705"/>
      <c r="B495" s="705"/>
      <c r="C495" s="705"/>
      <c r="D495" s="705"/>
      <c r="E495" s="705"/>
      <c r="F495" s="705"/>
      <c r="G495" s="705"/>
      <c r="H495" s="705"/>
      <c r="I495" s="705"/>
      <c r="J495" s="705"/>
      <c r="K495" s="705"/>
      <c r="L495" s="705"/>
      <c r="M495" s="705"/>
      <c r="N495" s="705"/>
      <c r="O495" s="706"/>
      <c r="P495" s="702" t="s">
        <v>40</v>
      </c>
      <c r="Q495" s="703"/>
      <c r="R495" s="703"/>
      <c r="S495" s="703"/>
      <c r="T495" s="703"/>
      <c r="U495" s="703"/>
      <c r="V495" s="704"/>
      <c r="W495" s="42" t="s">
        <v>39</v>
      </c>
      <c r="X495" s="43">
        <f>IFERROR(X486/H486,"0")+IFERROR(X487/H487,"0")+IFERROR(X488/H488,"0")+IFERROR(X489/H489,"0")+IFERROR(X490/H490,"0")+IFERROR(X491/H491,"0")+IFERROR(X492/H492,"0")+IFERROR(X493/H493,"0")+IFERROR(X494/H494,"0")</f>
        <v>0</v>
      </c>
      <c r="Y495" s="43">
        <f>IFERROR(Y486/H486,"0")+IFERROR(Y487/H487,"0")+IFERROR(Y488/H488,"0")+IFERROR(Y489/H489,"0")+IFERROR(Y490/H490,"0")+IFERROR(Y491/H491,"0")+IFERROR(Y492/H492,"0")+IFERROR(Y493/H493,"0")+IFERROR(Y494/H494,"0")</f>
        <v>0</v>
      </c>
      <c r="Z495" s="43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7"/>
      <c r="AB495" s="67"/>
      <c r="AC495" s="67"/>
    </row>
    <row r="496" spans="1:68" x14ac:dyDescent="0.2">
      <c r="A496" s="705"/>
      <c r="B496" s="705"/>
      <c r="C496" s="705"/>
      <c r="D496" s="705"/>
      <c r="E496" s="705"/>
      <c r="F496" s="705"/>
      <c r="G496" s="705"/>
      <c r="H496" s="705"/>
      <c r="I496" s="705"/>
      <c r="J496" s="705"/>
      <c r="K496" s="705"/>
      <c r="L496" s="705"/>
      <c r="M496" s="705"/>
      <c r="N496" s="705"/>
      <c r="O496" s="706"/>
      <c r="P496" s="702" t="s">
        <v>40</v>
      </c>
      <c r="Q496" s="703"/>
      <c r="R496" s="703"/>
      <c r="S496" s="703"/>
      <c r="T496" s="703"/>
      <c r="U496" s="703"/>
      <c r="V496" s="704"/>
      <c r="W496" s="42" t="s">
        <v>0</v>
      </c>
      <c r="X496" s="43">
        <f>IFERROR(SUM(X486:X494),"0")</f>
        <v>0</v>
      </c>
      <c r="Y496" s="43">
        <f>IFERROR(SUM(Y486:Y494),"0")</f>
        <v>0</v>
      </c>
      <c r="Z496" s="42"/>
      <c r="AA496" s="67"/>
      <c r="AB496" s="67"/>
      <c r="AC496" s="67"/>
    </row>
    <row r="497" spans="1:68" ht="14.25" customHeight="1" x14ac:dyDescent="0.25">
      <c r="A497" s="696" t="s">
        <v>164</v>
      </c>
      <c r="B497" s="696"/>
      <c r="C497" s="696"/>
      <c r="D497" s="696"/>
      <c r="E497" s="696"/>
      <c r="F497" s="696"/>
      <c r="G497" s="696"/>
      <c r="H497" s="696"/>
      <c r="I497" s="696"/>
      <c r="J497" s="696"/>
      <c r="K497" s="696"/>
      <c r="L497" s="696"/>
      <c r="M497" s="696"/>
      <c r="N497" s="696"/>
      <c r="O497" s="696"/>
      <c r="P497" s="696"/>
      <c r="Q497" s="696"/>
      <c r="R497" s="696"/>
      <c r="S497" s="696"/>
      <c r="T497" s="696"/>
      <c r="U497" s="696"/>
      <c r="V497" s="696"/>
      <c r="W497" s="696"/>
      <c r="X497" s="696"/>
      <c r="Y497" s="696"/>
      <c r="Z497" s="696"/>
      <c r="AA497" s="66"/>
      <c r="AB497" s="66"/>
      <c r="AC497" s="80"/>
    </row>
    <row r="498" spans="1:68" ht="16.5" customHeight="1" x14ac:dyDescent="0.25">
      <c r="A498" s="63" t="s">
        <v>803</v>
      </c>
      <c r="B498" s="63" t="s">
        <v>804</v>
      </c>
      <c r="C498" s="36">
        <v>4301020334</v>
      </c>
      <c r="D498" s="697">
        <v>4607091388930</v>
      </c>
      <c r="E498" s="69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90</v>
      </c>
      <c r="N498" s="38"/>
      <c r="O498" s="37">
        <v>70</v>
      </c>
      <c r="P498" s="95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805</v>
      </c>
      <c r="AG498" s="78"/>
      <c r="AJ498" s="84" t="s">
        <v>46</v>
      </c>
      <c r="AK498" s="84">
        <v>0</v>
      </c>
      <c r="BB498" s="591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16.5" customHeight="1" x14ac:dyDescent="0.25">
      <c r="A499" s="63" t="s">
        <v>806</v>
      </c>
      <c r="B499" s="63" t="s">
        <v>807</v>
      </c>
      <c r="C499" s="36">
        <v>4301020374</v>
      </c>
      <c r="D499" s="697">
        <v>4680115886407</v>
      </c>
      <c r="E499" s="697"/>
      <c r="F499" s="62">
        <v>0.4</v>
      </c>
      <c r="G499" s="37">
        <v>6</v>
      </c>
      <c r="H499" s="62">
        <v>2.4</v>
      </c>
      <c r="I499" s="62">
        <v>2.58</v>
      </c>
      <c r="J499" s="37">
        <v>182</v>
      </c>
      <c r="K499" s="37" t="s">
        <v>91</v>
      </c>
      <c r="L499" s="37" t="s">
        <v>46</v>
      </c>
      <c r="M499" s="38" t="s">
        <v>132</v>
      </c>
      <c r="N499" s="38"/>
      <c r="O499" s="37">
        <v>70</v>
      </c>
      <c r="P499" s="95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92" t="s">
        <v>805</v>
      </c>
      <c r="AG499" s="78"/>
      <c r="AJ499" s="84" t="s">
        <v>46</v>
      </c>
      <c r="AK499" s="84">
        <v>0</v>
      </c>
      <c r="BB499" s="593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16.5" customHeight="1" x14ac:dyDescent="0.25">
      <c r="A500" s="63" t="s">
        <v>808</v>
      </c>
      <c r="B500" s="63" t="s">
        <v>809</v>
      </c>
      <c r="C500" s="36">
        <v>4301020385</v>
      </c>
      <c r="D500" s="697">
        <v>4680115880054</v>
      </c>
      <c r="E500" s="697"/>
      <c r="F500" s="62">
        <v>0.6</v>
      </c>
      <c r="G500" s="37">
        <v>8</v>
      </c>
      <c r="H500" s="62">
        <v>4.8</v>
      </c>
      <c r="I500" s="62">
        <v>6.91</v>
      </c>
      <c r="J500" s="37">
        <v>132</v>
      </c>
      <c r="K500" s="37" t="s">
        <v>140</v>
      </c>
      <c r="L500" s="37" t="s">
        <v>46</v>
      </c>
      <c r="M500" s="38" t="s">
        <v>132</v>
      </c>
      <c r="N500" s="38"/>
      <c r="O500" s="37">
        <v>70</v>
      </c>
      <c r="P500" s="95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99"/>
      <c r="R500" s="699"/>
      <c r="S500" s="699"/>
      <c r="T500" s="70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805</v>
      </c>
      <c r="AG500" s="78"/>
      <c r="AJ500" s="84" t="s">
        <v>46</v>
      </c>
      <c r="AK500" s="84">
        <v>0</v>
      </c>
      <c r="BB500" s="595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x14ac:dyDescent="0.2">
      <c r="A501" s="705"/>
      <c r="B501" s="705"/>
      <c r="C501" s="705"/>
      <c r="D501" s="705"/>
      <c r="E501" s="705"/>
      <c r="F501" s="705"/>
      <c r="G501" s="705"/>
      <c r="H501" s="705"/>
      <c r="I501" s="705"/>
      <c r="J501" s="705"/>
      <c r="K501" s="705"/>
      <c r="L501" s="705"/>
      <c r="M501" s="705"/>
      <c r="N501" s="705"/>
      <c r="O501" s="706"/>
      <c r="P501" s="702" t="s">
        <v>40</v>
      </c>
      <c r="Q501" s="703"/>
      <c r="R501" s="703"/>
      <c r="S501" s="703"/>
      <c r="T501" s="703"/>
      <c r="U501" s="703"/>
      <c r="V501" s="704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x14ac:dyDescent="0.2">
      <c r="A502" s="705"/>
      <c r="B502" s="705"/>
      <c r="C502" s="705"/>
      <c r="D502" s="705"/>
      <c r="E502" s="705"/>
      <c r="F502" s="705"/>
      <c r="G502" s="705"/>
      <c r="H502" s="705"/>
      <c r="I502" s="705"/>
      <c r="J502" s="705"/>
      <c r="K502" s="705"/>
      <c r="L502" s="705"/>
      <c r="M502" s="705"/>
      <c r="N502" s="705"/>
      <c r="O502" s="706"/>
      <c r="P502" s="702" t="s">
        <v>40</v>
      </c>
      <c r="Q502" s="703"/>
      <c r="R502" s="703"/>
      <c r="S502" s="703"/>
      <c r="T502" s="703"/>
      <c r="U502" s="703"/>
      <c r="V502" s="704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14.25" customHeight="1" x14ac:dyDescent="0.25">
      <c r="A503" s="696" t="s">
        <v>77</v>
      </c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6"/>
      <c r="P503" s="696"/>
      <c r="Q503" s="696"/>
      <c r="R503" s="696"/>
      <c r="S503" s="696"/>
      <c r="T503" s="696"/>
      <c r="U503" s="696"/>
      <c r="V503" s="696"/>
      <c r="W503" s="696"/>
      <c r="X503" s="696"/>
      <c r="Y503" s="696"/>
      <c r="Z503" s="696"/>
      <c r="AA503" s="66"/>
      <c r="AB503" s="66"/>
      <c r="AC503" s="80"/>
    </row>
    <row r="504" spans="1:68" ht="27" customHeight="1" x14ac:dyDescent="0.25">
      <c r="A504" s="63" t="s">
        <v>810</v>
      </c>
      <c r="B504" s="63" t="s">
        <v>811</v>
      </c>
      <c r="C504" s="36">
        <v>4301031349</v>
      </c>
      <c r="D504" s="697">
        <v>4680115883116</v>
      </c>
      <c r="E504" s="69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133</v>
      </c>
      <c r="L504" s="37" t="s">
        <v>46</v>
      </c>
      <c r="M504" s="38" t="s">
        <v>132</v>
      </c>
      <c r="N504" s="38"/>
      <c r="O504" s="37">
        <v>70</v>
      </c>
      <c r="P504" s="9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0" si="68">IFERROR(IF(X504="",0,CEILING((X504/$H504),1)*$H504),"")</f>
        <v>0</v>
      </c>
      <c r="Z504" s="41" t="str">
        <f>IFERROR(IF(Y504=0,"",ROUNDUP(Y504/H504,0)*0.01196),"")</f>
        <v/>
      </c>
      <c r="AA504" s="68" t="s">
        <v>46</v>
      </c>
      <c r="AB504" s="69" t="s">
        <v>46</v>
      </c>
      <c r="AC504" s="596" t="s">
        <v>812</v>
      </c>
      <c r="AG504" s="78"/>
      <c r="AJ504" s="84" t="s">
        <v>46</v>
      </c>
      <c r="AK504" s="84">
        <v>0</v>
      </c>
      <c r="BB504" s="597" t="s">
        <v>67</v>
      </c>
      <c r="BM504" s="78">
        <f t="shared" ref="BM504:BM510" si="69">IFERROR(X504*I504/H504,"0")</f>
        <v>0</v>
      </c>
      <c r="BN504" s="78">
        <f t="shared" ref="BN504:BN510" si="70">IFERROR(Y504*I504/H504,"0")</f>
        <v>0</v>
      </c>
      <c r="BO504" s="78">
        <f t="shared" ref="BO504:BO510" si="71">IFERROR(1/J504*(X504/H504),"0")</f>
        <v>0</v>
      </c>
      <c r="BP504" s="78">
        <f t="shared" ref="BP504:BP510" si="72">IFERROR(1/J504*(Y504/H504),"0")</f>
        <v>0</v>
      </c>
    </row>
    <row r="505" spans="1:68" ht="27" customHeight="1" x14ac:dyDescent="0.25">
      <c r="A505" s="63" t="s">
        <v>813</v>
      </c>
      <c r="B505" s="63" t="s">
        <v>814</v>
      </c>
      <c r="C505" s="36">
        <v>4301031350</v>
      </c>
      <c r="D505" s="697">
        <v>4680115883093</v>
      </c>
      <c r="E505" s="69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133</v>
      </c>
      <c r="L505" s="37" t="s">
        <v>46</v>
      </c>
      <c r="M505" s="38" t="s">
        <v>81</v>
      </c>
      <c r="N505" s="38"/>
      <c r="O505" s="37">
        <v>70</v>
      </c>
      <c r="P505" s="96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>IFERROR(IF(Y505=0,"",ROUNDUP(Y505/H505,0)*0.01196),"")</f>
        <v/>
      </c>
      <c r="AA505" s="68" t="s">
        <v>46</v>
      </c>
      <c r="AB505" s="69" t="s">
        <v>46</v>
      </c>
      <c r="AC505" s="598" t="s">
        <v>815</v>
      </c>
      <c r="AG505" s="78"/>
      <c r="AJ505" s="84" t="s">
        <v>46</v>
      </c>
      <c r="AK505" s="84">
        <v>0</v>
      </c>
      <c r="BB505" s="599" t="s">
        <v>67</v>
      </c>
      <c r="BM505" s="78">
        <f t="shared" si="69"/>
        <v>0</v>
      </c>
      <c r="BN505" s="78">
        <f t="shared" si="70"/>
        <v>0</v>
      </c>
      <c r="BO505" s="78">
        <f t="shared" si="71"/>
        <v>0</v>
      </c>
      <c r="BP505" s="78">
        <f t="shared" si="72"/>
        <v>0</v>
      </c>
    </row>
    <row r="506" spans="1:68" ht="27" customHeight="1" x14ac:dyDescent="0.25">
      <c r="A506" s="63" t="s">
        <v>816</v>
      </c>
      <c r="B506" s="63" t="s">
        <v>817</v>
      </c>
      <c r="C506" s="36">
        <v>4301031353</v>
      </c>
      <c r="D506" s="697">
        <v>4680115883109</v>
      </c>
      <c r="E506" s="69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133</v>
      </c>
      <c r="L506" s="37" t="s">
        <v>46</v>
      </c>
      <c r="M506" s="38" t="s">
        <v>81</v>
      </c>
      <c r="N506" s="38"/>
      <c r="O506" s="37">
        <v>70</v>
      </c>
      <c r="P506" s="96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99"/>
      <c r="R506" s="699"/>
      <c r="S506" s="699"/>
      <c r="T506" s="70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IFERROR(IF(Y506=0,"",ROUNDUP(Y506/H506,0)*0.01196),"")</f>
        <v/>
      </c>
      <c r="AA506" s="68" t="s">
        <v>46</v>
      </c>
      <c r="AB506" s="69" t="s">
        <v>46</v>
      </c>
      <c r="AC506" s="600" t="s">
        <v>818</v>
      </c>
      <c r="AG506" s="78"/>
      <c r="AJ506" s="84" t="s">
        <v>46</v>
      </c>
      <c r="AK506" s="84">
        <v>0</v>
      </c>
      <c r="BB506" s="601" t="s">
        <v>67</v>
      </c>
      <c r="BM506" s="78">
        <f t="shared" si="69"/>
        <v>0</v>
      </c>
      <c r="BN506" s="78">
        <f t="shared" si="70"/>
        <v>0</v>
      </c>
      <c r="BO506" s="78">
        <f t="shared" si="71"/>
        <v>0</v>
      </c>
      <c r="BP506" s="78">
        <f t="shared" si="72"/>
        <v>0</v>
      </c>
    </row>
    <row r="507" spans="1:68" ht="27" customHeight="1" x14ac:dyDescent="0.25">
      <c r="A507" s="63" t="s">
        <v>819</v>
      </c>
      <c r="B507" s="63" t="s">
        <v>820</v>
      </c>
      <c r="C507" s="36">
        <v>4301031419</v>
      </c>
      <c r="D507" s="697">
        <v>4680115882072</v>
      </c>
      <c r="E507" s="69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140</v>
      </c>
      <c r="L507" s="37" t="s">
        <v>46</v>
      </c>
      <c r="M507" s="38" t="s">
        <v>132</v>
      </c>
      <c r="N507" s="38"/>
      <c r="O507" s="37">
        <v>70</v>
      </c>
      <c r="P507" s="96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99"/>
      <c r="R507" s="699"/>
      <c r="S507" s="699"/>
      <c r="T507" s="70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2" t="s">
        <v>812</v>
      </c>
      <c r="AG507" s="78"/>
      <c r="AJ507" s="84" t="s">
        <v>46</v>
      </c>
      <c r="AK507" s="84">
        <v>0</v>
      </c>
      <c r="BB507" s="603" t="s">
        <v>67</v>
      </c>
      <c r="BM507" s="78">
        <f t="shared" si="69"/>
        <v>0</v>
      </c>
      <c r="BN507" s="78">
        <f t="shared" si="70"/>
        <v>0</v>
      </c>
      <c r="BO507" s="78">
        <f t="shared" si="71"/>
        <v>0</v>
      </c>
      <c r="BP507" s="78">
        <f t="shared" si="72"/>
        <v>0</v>
      </c>
    </row>
    <row r="508" spans="1:68" ht="27" customHeight="1" x14ac:dyDescent="0.25">
      <c r="A508" s="63" t="s">
        <v>821</v>
      </c>
      <c r="B508" s="63" t="s">
        <v>822</v>
      </c>
      <c r="C508" s="36">
        <v>4301031352</v>
      </c>
      <c r="D508" s="697">
        <v>4680115882102</v>
      </c>
      <c r="E508" s="697"/>
      <c r="F508" s="62">
        <v>0.6</v>
      </c>
      <c r="G508" s="37">
        <v>6</v>
      </c>
      <c r="H508" s="62">
        <v>3.6</v>
      </c>
      <c r="I508" s="62">
        <v>3.79</v>
      </c>
      <c r="J508" s="37">
        <v>132</v>
      </c>
      <c r="K508" s="37" t="s">
        <v>140</v>
      </c>
      <c r="L508" s="37" t="s">
        <v>46</v>
      </c>
      <c r="M508" s="38" t="s">
        <v>81</v>
      </c>
      <c r="N508" s="38"/>
      <c r="O508" s="37">
        <v>70</v>
      </c>
      <c r="P508" s="96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99"/>
      <c r="R508" s="699"/>
      <c r="S508" s="699"/>
      <c r="T508" s="70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815</v>
      </c>
      <c r="AG508" s="78"/>
      <c r="AJ508" s="84" t="s">
        <v>46</v>
      </c>
      <c r="AK508" s="84">
        <v>0</v>
      </c>
      <c r="BB508" s="605" t="s">
        <v>67</v>
      </c>
      <c r="BM508" s="78">
        <f t="shared" si="69"/>
        <v>0</v>
      </c>
      <c r="BN508" s="78">
        <f t="shared" si="70"/>
        <v>0</v>
      </c>
      <c r="BO508" s="78">
        <f t="shared" si="71"/>
        <v>0</v>
      </c>
      <c r="BP508" s="78">
        <f t="shared" si="72"/>
        <v>0</v>
      </c>
    </row>
    <row r="509" spans="1:68" ht="27" customHeight="1" x14ac:dyDescent="0.25">
      <c r="A509" s="63" t="s">
        <v>821</v>
      </c>
      <c r="B509" s="63" t="s">
        <v>823</v>
      </c>
      <c r="C509" s="36">
        <v>4301031418</v>
      </c>
      <c r="D509" s="697">
        <v>4680115882102</v>
      </c>
      <c r="E509" s="697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70</v>
      </c>
      <c r="P509" s="96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6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815</v>
      </c>
      <c r="AG509" s="78"/>
      <c r="AJ509" s="84" t="s">
        <v>46</v>
      </c>
      <c r="AK509" s="84">
        <v>0</v>
      </c>
      <c r="BB509" s="607" t="s">
        <v>67</v>
      </c>
      <c r="BM509" s="78">
        <f t="shared" si="69"/>
        <v>0</v>
      </c>
      <c r="BN509" s="78">
        <f t="shared" si="70"/>
        <v>0</v>
      </c>
      <c r="BO509" s="78">
        <f t="shared" si="71"/>
        <v>0</v>
      </c>
      <c r="BP509" s="78">
        <f t="shared" si="72"/>
        <v>0</v>
      </c>
    </row>
    <row r="510" spans="1:68" ht="27" customHeight="1" x14ac:dyDescent="0.25">
      <c r="A510" s="63" t="s">
        <v>824</v>
      </c>
      <c r="B510" s="63" t="s">
        <v>825</v>
      </c>
      <c r="C510" s="36">
        <v>4301031417</v>
      </c>
      <c r="D510" s="697">
        <v>4680115882096</v>
      </c>
      <c r="E510" s="697"/>
      <c r="F510" s="62">
        <v>0.6</v>
      </c>
      <c r="G510" s="37">
        <v>8</v>
      </c>
      <c r="H510" s="62">
        <v>4.8</v>
      </c>
      <c r="I510" s="62">
        <v>6.67</v>
      </c>
      <c r="J510" s="37">
        <v>132</v>
      </c>
      <c r="K510" s="37" t="s">
        <v>140</v>
      </c>
      <c r="L510" s="37" t="s">
        <v>46</v>
      </c>
      <c r="M510" s="38" t="s">
        <v>81</v>
      </c>
      <c r="N510" s="38"/>
      <c r="O510" s="37">
        <v>70</v>
      </c>
      <c r="P510" s="96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6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818</v>
      </c>
      <c r="AG510" s="78"/>
      <c r="AJ510" s="84" t="s">
        <v>46</v>
      </c>
      <c r="AK510" s="84">
        <v>0</v>
      </c>
      <c r="BB510" s="609" t="s">
        <v>67</v>
      </c>
      <c r="BM510" s="78">
        <f t="shared" si="69"/>
        <v>0</v>
      </c>
      <c r="BN510" s="78">
        <f t="shared" si="70"/>
        <v>0</v>
      </c>
      <c r="BO510" s="78">
        <f t="shared" si="71"/>
        <v>0</v>
      </c>
      <c r="BP510" s="78">
        <f t="shared" si="72"/>
        <v>0</v>
      </c>
    </row>
    <row r="511" spans="1:68" x14ac:dyDescent="0.2">
      <c r="A511" s="705"/>
      <c r="B511" s="705"/>
      <c r="C511" s="705"/>
      <c r="D511" s="705"/>
      <c r="E511" s="705"/>
      <c r="F511" s="705"/>
      <c r="G511" s="705"/>
      <c r="H511" s="705"/>
      <c r="I511" s="705"/>
      <c r="J511" s="705"/>
      <c r="K511" s="705"/>
      <c r="L511" s="705"/>
      <c r="M511" s="705"/>
      <c r="N511" s="705"/>
      <c r="O511" s="706"/>
      <c r="P511" s="702" t="s">
        <v>40</v>
      </c>
      <c r="Q511" s="703"/>
      <c r="R511" s="703"/>
      <c r="S511" s="703"/>
      <c r="T511" s="703"/>
      <c r="U511" s="703"/>
      <c r="V511" s="704"/>
      <c r="W511" s="42" t="s">
        <v>39</v>
      </c>
      <c r="X511" s="43">
        <f>IFERROR(X504/H504,"0")+IFERROR(X505/H505,"0")+IFERROR(X506/H506,"0")+IFERROR(X507/H507,"0")+IFERROR(X508/H508,"0")+IFERROR(X509/H509,"0")+IFERROR(X510/H510,"0")</f>
        <v>0</v>
      </c>
      <c r="Y511" s="43">
        <f>IFERROR(Y504/H504,"0")+IFERROR(Y505/H505,"0")+IFERROR(Y506/H506,"0")+IFERROR(Y507/H507,"0")+IFERROR(Y508/H508,"0")+IFERROR(Y509/H509,"0")+IFERROR(Y510/H510,"0")</f>
        <v>0</v>
      </c>
      <c r="Z511" s="43">
        <f>IFERROR(IF(Z504="",0,Z504),"0")+IFERROR(IF(Z505="",0,Z505),"0")+IFERROR(IF(Z506="",0,Z506),"0")+IFERROR(IF(Z507="",0,Z507),"0")+IFERROR(IF(Z508="",0,Z508),"0")+IFERROR(IF(Z509="",0,Z509),"0")+IFERROR(IF(Z510="",0,Z510),"0")</f>
        <v>0</v>
      </c>
      <c r="AA511" s="67"/>
      <c r="AB511" s="67"/>
      <c r="AC511" s="67"/>
    </row>
    <row r="512" spans="1:68" x14ac:dyDescent="0.2">
      <c r="A512" s="705"/>
      <c r="B512" s="705"/>
      <c r="C512" s="705"/>
      <c r="D512" s="705"/>
      <c r="E512" s="705"/>
      <c r="F512" s="705"/>
      <c r="G512" s="705"/>
      <c r="H512" s="705"/>
      <c r="I512" s="705"/>
      <c r="J512" s="705"/>
      <c r="K512" s="705"/>
      <c r="L512" s="705"/>
      <c r="M512" s="705"/>
      <c r="N512" s="705"/>
      <c r="O512" s="706"/>
      <c r="P512" s="702" t="s">
        <v>40</v>
      </c>
      <c r="Q512" s="703"/>
      <c r="R512" s="703"/>
      <c r="S512" s="703"/>
      <c r="T512" s="703"/>
      <c r="U512" s="703"/>
      <c r="V512" s="704"/>
      <c r="W512" s="42" t="s">
        <v>0</v>
      </c>
      <c r="X512" s="43">
        <f>IFERROR(SUM(X504:X510),"0")</f>
        <v>0</v>
      </c>
      <c r="Y512" s="43">
        <f>IFERROR(SUM(Y504:Y510),"0")</f>
        <v>0</v>
      </c>
      <c r="Z512" s="42"/>
      <c r="AA512" s="67"/>
      <c r="AB512" s="67"/>
      <c r="AC512" s="67"/>
    </row>
    <row r="513" spans="1:68" ht="27.75" customHeight="1" x14ac:dyDescent="0.2">
      <c r="A513" s="694" t="s">
        <v>826</v>
      </c>
      <c r="B513" s="694"/>
      <c r="C513" s="694"/>
      <c r="D513" s="694"/>
      <c r="E513" s="694"/>
      <c r="F513" s="694"/>
      <c r="G513" s="694"/>
      <c r="H513" s="694"/>
      <c r="I513" s="694"/>
      <c r="J513" s="694"/>
      <c r="K513" s="694"/>
      <c r="L513" s="694"/>
      <c r="M513" s="694"/>
      <c r="N513" s="694"/>
      <c r="O513" s="694"/>
      <c r="P513" s="694"/>
      <c r="Q513" s="694"/>
      <c r="R513" s="694"/>
      <c r="S513" s="694"/>
      <c r="T513" s="694"/>
      <c r="U513" s="694"/>
      <c r="V513" s="694"/>
      <c r="W513" s="694"/>
      <c r="X513" s="694"/>
      <c r="Y513" s="694"/>
      <c r="Z513" s="694"/>
      <c r="AA513" s="54"/>
      <c r="AB513" s="54"/>
      <c r="AC513" s="54"/>
    </row>
    <row r="514" spans="1:68" ht="16.5" customHeight="1" x14ac:dyDescent="0.25">
      <c r="A514" s="695" t="s">
        <v>826</v>
      </c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5"/>
      <c r="P514" s="695"/>
      <c r="Q514" s="695"/>
      <c r="R514" s="695"/>
      <c r="S514" s="695"/>
      <c r="T514" s="695"/>
      <c r="U514" s="695"/>
      <c r="V514" s="695"/>
      <c r="W514" s="695"/>
      <c r="X514" s="695"/>
      <c r="Y514" s="695"/>
      <c r="Z514" s="695"/>
      <c r="AA514" s="65"/>
      <c r="AB514" s="65"/>
      <c r="AC514" s="79"/>
    </row>
    <row r="515" spans="1:68" ht="14.25" customHeight="1" x14ac:dyDescent="0.25">
      <c r="A515" s="696" t="s">
        <v>128</v>
      </c>
      <c r="B515" s="696"/>
      <c r="C515" s="696"/>
      <c r="D515" s="696"/>
      <c r="E515" s="696"/>
      <c r="F515" s="696"/>
      <c r="G515" s="696"/>
      <c r="H515" s="696"/>
      <c r="I515" s="696"/>
      <c r="J515" s="696"/>
      <c r="K515" s="696"/>
      <c r="L515" s="696"/>
      <c r="M515" s="696"/>
      <c r="N515" s="696"/>
      <c r="O515" s="696"/>
      <c r="P515" s="696"/>
      <c r="Q515" s="696"/>
      <c r="R515" s="696"/>
      <c r="S515" s="696"/>
      <c r="T515" s="696"/>
      <c r="U515" s="696"/>
      <c r="V515" s="696"/>
      <c r="W515" s="696"/>
      <c r="X515" s="696"/>
      <c r="Y515" s="696"/>
      <c r="Z515" s="696"/>
      <c r="AA515" s="66"/>
      <c r="AB515" s="66"/>
      <c r="AC515" s="80"/>
    </row>
    <row r="516" spans="1:68" ht="27" customHeight="1" x14ac:dyDescent="0.25">
      <c r="A516" s="63" t="s">
        <v>827</v>
      </c>
      <c r="B516" s="63" t="s">
        <v>828</v>
      </c>
      <c r="C516" s="36">
        <v>4301011584</v>
      </c>
      <c r="D516" s="697">
        <v>4640242180564</v>
      </c>
      <c r="E516" s="697"/>
      <c r="F516" s="62">
        <v>1.5</v>
      </c>
      <c r="G516" s="37">
        <v>8</v>
      </c>
      <c r="H516" s="62">
        <v>12</v>
      </c>
      <c r="I516" s="62">
        <v>12.41</v>
      </c>
      <c r="J516" s="37">
        <v>64</v>
      </c>
      <c r="K516" s="37" t="s">
        <v>133</v>
      </c>
      <c r="L516" s="37" t="s">
        <v>46</v>
      </c>
      <c r="M516" s="38" t="s">
        <v>132</v>
      </c>
      <c r="N516" s="38"/>
      <c r="O516" s="37">
        <v>50</v>
      </c>
      <c r="P516" s="9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99"/>
      <c r="R516" s="699"/>
      <c r="S516" s="699"/>
      <c r="T516" s="70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IFERROR(IF(Y516=0,"",ROUNDUP(Y516/H516,0)*0.01898),"")</f>
        <v/>
      </c>
      <c r="AA516" s="68" t="s">
        <v>46</v>
      </c>
      <c r="AB516" s="69" t="s">
        <v>46</v>
      </c>
      <c r="AC516" s="610" t="s">
        <v>829</v>
      </c>
      <c r="AG516" s="78"/>
      <c r="AJ516" s="84" t="s">
        <v>46</v>
      </c>
      <c r="AK516" s="84">
        <v>0</v>
      </c>
      <c r="BB516" s="611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705"/>
      <c r="B517" s="705"/>
      <c r="C517" s="705"/>
      <c r="D517" s="705"/>
      <c r="E517" s="705"/>
      <c r="F517" s="705"/>
      <c r="G517" s="705"/>
      <c r="H517" s="705"/>
      <c r="I517" s="705"/>
      <c r="J517" s="705"/>
      <c r="K517" s="705"/>
      <c r="L517" s="705"/>
      <c r="M517" s="705"/>
      <c r="N517" s="705"/>
      <c r="O517" s="706"/>
      <c r="P517" s="702" t="s">
        <v>40</v>
      </c>
      <c r="Q517" s="703"/>
      <c r="R517" s="703"/>
      <c r="S517" s="703"/>
      <c r="T517" s="703"/>
      <c r="U517" s="703"/>
      <c r="V517" s="704"/>
      <c r="W517" s="42" t="s">
        <v>39</v>
      </c>
      <c r="X517" s="43">
        <f>IFERROR(X516/H516,"0")</f>
        <v>0</v>
      </c>
      <c r="Y517" s="43">
        <f>IFERROR(Y516/H516,"0")</f>
        <v>0</v>
      </c>
      <c r="Z517" s="43">
        <f>IFERROR(IF(Z516="",0,Z516),"0")</f>
        <v>0</v>
      </c>
      <c r="AA517" s="67"/>
      <c r="AB517" s="67"/>
      <c r="AC517" s="67"/>
    </row>
    <row r="518" spans="1:68" x14ac:dyDescent="0.2">
      <c r="A518" s="705"/>
      <c r="B518" s="705"/>
      <c r="C518" s="705"/>
      <c r="D518" s="705"/>
      <c r="E518" s="705"/>
      <c r="F518" s="705"/>
      <c r="G518" s="705"/>
      <c r="H518" s="705"/>
      <c r="I518" s="705"/>
      <c r="J518" s="705"/>
      <c r="K518" s="705"/>
      <c r="L518" s="705"/>
      <c r="M518" s="705"/>
      <c r="N518" s="705"/>
      <c r="O518" s="706"/>
      <c r="P518" s="702" t="s">
        <v>40</v>
      </c>
      <c r="Q518" s="703"/>
      <c r="R518" s="703"/>
      <c r="S518" s="703"/>
      <c r="T518" s="703"/>
      <c r="U518" s="703"/>
      <c r="V518" s="704"/>
      <c r="W518" s="42" t="s">
        <v>0</v>
      </c>
      <c r="X518" s="43">
        <f>IFERROR(SUM(X516:X516),"0")</f>
        <v>0</v>
      </c>
      <c r="Y518" s="43">
        <f>IFERROR(SUM(Y516:Y516),"0")</f>
        <v>0</v>
      </c>
      <c r="Z518" s="42"/>
      <c r="AA518" s="67"/>
      <c r="AB518" s="67"/>
      <c r="AC518" s="67"/>
    </row>
    <row r="519" spans="1:68" ht="14.25" customHeight="1" x14ac:dyDescent="0.25">
      <c r="A519" s="696" t="s">
        <v>164</v>
      </c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6"/>
      <c r="P519" s="696"/>
      <c r="Q519" s="696"/>
      <c r="R519" s="696"/>
      <c r="S519" s="696"/>
      <c r="T519" s="696"/>
      <c r="U519" s="696"/>
      <c r="V519" s="696"/>
      <c r="W519" s="696"/>
      <c r="X519" s="696"/>
      <c r="Y519" s="696"/>
      <c r="Z519" s="696"/>
      <c r="AA519" s="66"/>
      <c r="AB519" s="66"/>
      <c r="AC519" s="80"/>
    </row>
    <row r="520" spans="1:68" ht="27" customHeight="1" x14ac:dyDescent="0.25">
      <c r="A520" s="63" t="s">
        <v>830</v>
      </c>
      <c r="B520" s="63" t="s">
        <v>831</v>
      </c>
      <c r="C520" s="36">
        <v>4301020400</v>
      </c>
      <c r="D520" s="697">
        <v>4640242180519</v>
      </c>
      <c r="E520" s="697"/>
      <c r="F520" s="62">
        <v>1.5</v>
      </c>
      <c r="G520" s="37">
        <v>8</v>
      </c>
      <c r="H520" s="62">
        <v>12</v>
      </c>
      <c r="I520" s="62">
        <v>12.41</v>
      </c>
      <c r="J520" s="37">
        <v>64</v>
      </c>
      <c r="K520" s="37" t="s">
        <v>133</v>
      </c>
      <c r="L520" s="37" t="s">
        <v>46</v>
      </c>
      <c r="M520" s="38" t="s">
        <v>132</v>
      </c>
      <c r="N520" s="38"/>
      <c r="O520" s="37">
        <v>50</v>
      </c>
      <c r="P520" s="96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99"/>
      <c r="R520" s="699"/>
      <c r="S520" s="699"/>
      <c r="T520" s="70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12" t="s">
        <v>832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x14ac:dyDescent="0.2">
      <c r="A521" s="705"/>
      <c r="B521" s="705"/>
      <c r="C521" s="705"/>
      <c r="D521" s="705"/>
      <c r="E521" s="705"/>
      <c r="F521" s="705"/>
      <c r="G521" s="705"/>
      <c r="H521" s="705"/>
      <c r="I521" s="705"/>
      <c r="J521" s="705"/>
      <c r="K521" s="705"/>
      <c r="L521" s="705"/>
      <c r="M521" s="705"/>
      <c r="N521" s="705"/>
      <c r="O521" s="706"/>
      <c r="P521" s="702" t="s">
        <v>40</v>
      </c>
      <c r="Q521" s="703"/>
      <c r="R521" s="703"/>
      <c r="S521" s="703"/>
      <c r="T521" s="703"/>
      <c r="U521" s="703"/>
      <c r="V521" s="704"/>
      <c r="W521" s="42" t="s">
        <v>39</v>
      </c>
      <c r="X521" s="43">
        <f>IFERROR(X520/H520,"0")</f>
        <v>0</v>
      </c>
      <c r="Y521" s="43">
        <f>IFERROR(Y520/H520,"0")</f>
        <v>0</v>
      </c>
      <c r="Z521" s="43">
        <f>IFERROR(IF(Z520="",0,Z520),"0")</f>
        <v>0</v>
      </c>
      <c r="AA521" s="67"/>
      <c r="AB521" s="67"/>
      <c r="AC521" s="67"/>
    </row>
    <row r="522" spans="1:68" x14ac:dyDescent="0.2">
      <c r="A522" s="705"/>
      <c r="B522" s="705"/>
      <c r="C522" s="705"/>
      <c r="D522" s="705"/>
      <c r="E522" s="705"/>
      <c r="F522" s="705"/>
      <c r="G522" s="705"/>
      <c r="H522" s="705"/>
      <c r="I522" s="705"/>
      <c r="J522" s="705"/>
      <c r="K522" s="705"/>
      <c r="L522" s="705"/>
      <c r="M522" s="705"/>
      <c r="N522" s="705"/>
      <c r="O522" s="706"/>
      <c r="P522" s="702" t="s">
        <v>40</v>
      </c>
      <c r="Q522" s="703"/>
      <c r="R522" s="703"/>
      <c r="S522" s="703"/>
      <c r="T522" s="703"/>
      <c r="U522" s="703"/>
      <c r="V522" s="704"/>
      <c r="W522" s="42" t="s">
        <v>0</v>
      </c>
      <c r="X522" s="43">
        <f>IFERROR(SUM(X520:X520),"0")</f>
        <v>0</v>
      </c>
      <c r="Y522" s="43">
        <f>IFERROR(SUM(Y520:Y520),"0")</f>
        <v>0</v>
      </c>
      <c r="Z522" s="42"/>
      <c r="AA522" s="67"/>
      <c r="AB522" s="67"/>
      <c r="AC522" s="67"/>
    </row>
    <row r="523" spans="1:68" ht="14.25" customHeight="1" x14ac:dyDescent="0.25">
      <c r="A523" s="696" t="s">
        <v>77</v>
      </c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6"/>
      <c r="P523" s="696"/>
      <c r="Q523" s="696"/>
      <c r="R523" s="696"/>
      <c r="S523" s="696"/>
      <c r="T523" s="696"/>
      <c r="U523" s="696"/>
      <c r="V523" s="696"/>
      <c r="W523" s="696"/>
      <c r="X523" s="696"/>
      <c r="Y523" s="696"/>
      <c r="Z523" s="696"/>
      <c r="AA523" s="66"/>
      <c r="AB523" s="66"/>
      <c r="AC523" s="80"/>
    </row>
    <row r="524" spans="1:68" ht="27" customHeight="1" x14ac:dyDescent="0.25">
      <c r="A524" s="63" t="s">
        <v>833</v>
      </c>
      <c r="B524" s="63" t="s">
        <v>834</v>
      </c>
      <c r="C524" s="36">
        <v>4301031467</v>
      </c>
      <c r="D524" s="697">
        <v>4640242180595</v>
      </c>
      <c r="E524" s="697"/>
      <c r="F524" s="62">
        <v>0.8</v>
      </c>
      <c r="G524" s="37">
        <v>6</v>
      </c>
      <c r="H524" s="62">
        <v>4.8</v>
      </c>
      <c r="I524" s="62">
        <v>5.05</v>
      </c>
      <c r="J524" s="37">
        <v>132</v>
      </c>
      <c r="K524" s="37" t="s">
        <v>140</v>
      </c>
      <c r="L524" s="37" t="s">
        <v>46</v>
      </c>
      <c r="M524" s="38" t="s">
        <v>81</v>
      </c>
      <c r="N524" s="38"/>
      <c r="O524" s="37">
        <v>40</v>
      </c>
      <c r="P524" s="96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99"/>
      <c r="R524" s="699"/>
      <c r="S524" s="699"/>
      <c r="T524" s="700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835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t="27" customHeight="1" x14ac:dyDescent="0.25">
      <c r="A525" s="63" t="s">
        <v>833</v>
      </c>
      <c r="B525" s="63" t="s">
        <v>836</v>
      </c>
      <c r="C525" s="36">
        <v>4301031500</v>
      </c>
      <c r="D525" s="697">
        <v>4640242180595</v>
      </c>
      <c r="E525" s="697"/>
      <c r="F525" s="62">
        <v>0.7</v>
      </c>
      <c r="G525" s="37">
        <v>6</v>
      </c>
      <c r="H525" s="62">
        <v>4.2</v>
      </c>
      <c r="I525" s="62">
        <v>4.45</v>
      </c>
      <c r="J525" s="37">
        <v>132</v>
      </c>
      <c r="K525" s="37" t="s">
        <v>140</v>
      </c>
      <c r="L525" s="37" t="s">
        <v>46</v>
      </c>
      <c r="M525" s="38" t="s">
        <v>81</v>
      </c>
      <c r="N525" s="38"/>
      <c r="O525" s="37">
        <v>40</v>
      </c>
      <c r="P525" s="9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16" t="s">
        <v>837</v>
      </c>
      <c r="AG525" s="78"/>
      <c r="AJ525" s="84" t="s">
        <v>46</v>
      </c>
      <c r="AK525" s="84">
        <v>0</v>
      </c>
      <c r="BB525" s="617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x14ac:dyDescent="0.2">
      <c r="A526" s="705"/>
      <c r="B526" s="705"/>
      <c r="C526" s="705"/>
      <c r="D526" s="705"/>
      <c r="E526" s="705"/>
      <c r="F526" s="705"/>
      <c r="G526" s="705"/>
      <c r="H526" s="705"/>
      <c r="I526" s="705"/>
      <c r="J526" s="705"/>
      <c r="K526" s="705"/>
      <c r="L526" s="705"/>
      <c r="M526" s="705"/>
      <c r="N526" s="705"/>
      <c r="O526" s="706"/>
      <c r="P526" s="702" t="s">
        <v>40</v>
      </c>
      <c r="Q526" s="703"/>
      <c r="R526" s="703"/>
      <c r="S526" s="703"/>
      <c r="T526" s="703"/>
      <c r="U526" s="703"/>
      <c r="V526" s="704"/>
      <c r="W526" s="42" t="s">
        <v>39</v>
      </c>
      <c r="X526" s="43">
        <f>IFERROR(X524/H524,"0")+IFERROR(X525/H525,"0")</f>
        <v>0</v>
      </c>
      <c r="Y526" s="43">
        <f>IFERROR(Y524/H524,"0")+IFERROR(Y525/H525,"0")</f>
        <v>0</v>
      </c>
      <c r="Z526" s="43">
        <f>IFERROR(IF(Z524="",0,Z524),"0")+IFERROR(IF(Z525="",0,Z525),"0")</f>
        <v>0</v>
      </c>
      <c r="AA526" s="67"/>
      <c r="AB526" s="67"/>
      <c r="AC526" s="67"/>
    </row>
    <row r="527" spans="1:68" x14ac:dyDescent="0.2">
      <c r="A527" s="705"/>
      <c r="B527" s="705"/>
      <c r="C527" s="705"/>
      <c r="D527" s="705"/>
      <c r="E527" s="705"/>
      <c r="F527" s="705"/>
      <c r="G527" s="705"/>
      <c r="H527" s="705"/>
      <c r="I527" s="705"/>
      <c r="J527" s="705"/>
      <c r="K527" s="705"/>
      <c r="L527" s="705"/>
      <c r="M527" s="705"/>
      <c r="N527" s="705"/>
      <c r="O527" s="706"/>
      <c r="P527" s="702" t="s">
        <v>40</v>
      </c>
      <c r="Q527" s="703"/>
      <c r="R527" s="703"/>
      <c r="S527" s="703"/>
      <c r="T527" s="703"/>
      <c r="U527" s="703"/>
      <c r="V527" s="704"/>
      <c r="W527" s="42" t="s">
        <v>0</v>
      </c>
      <c r="X527" s="43">
        <f>IFERROR(SUM(X524:X525),"0")</f>
        <v>0</v>
      </c>
      <c r="Y527" s="43">
        <f>IFERROR(SUM(Y524:Y525),"0")</f>
        <v>0</v>
      </c>
      <c r="Z527" s="42"/>
      <c r="AA527" s="67"/>
      <c r="AB527" s="67"/>
      <c r="AC527" s="67"/>
    </row>
    <row r="528" spans="1:68" ht="14.25" customHeight="1" x14ac:dyDescent="0.25">
      <c r="A528" s="696" t="s">
        <v>86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customHeight="1" x14ac:dyDescent="0.25">
      <c r="A529" s="63" t="s">
        <v>838</v>
      </c>
      <c r="B529" s="63" t="s">
        <v>839</v>
      </c>
      <c r="C529" s="36">
        <v>4301052043</v>
      </c>
      <c r="D529" s="697">
        <v>4640242180533</v>
      </c>
      <c r="E529" s="697"/>
      <c r="F529" s="62">
        <v>1.5</v>
      </c>
      <c r="G529" s="37">
        <v>6</v>
      </c>
      <c r="H529" s="62">
        <v>9</v>
      </c>
      <c r="I529" s="62">
        <v>9.4939999999999998</v>
      </c>
      <c r="J529" s="37">
        <v>64</v>
      </c>
      <c r="K529" s="37" t="s">
        <v>133</v>
      </c>
      <c r="L529" s="37" t="s">
        <v>46</v>
      </c>
      <c r="M529" s="38" t="s">
        <v>90</v>
      </c>
      <c r="N529" s="38"/>
      <c r="O529" s="37">
        <v>45</v>
      </c>
      <c r="P529" s="9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18" t="s">
        <v>840</v>
      </c>
      <c r="AG529" s="78"/>
      <c r="AJ529" s="84" t="s">
        <v>46</v>
      </c>
      <c r="AK529" s="84">
        <v>0</v>
      </c>
      <c r="BB529" s="61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705"/>
      <c r="B530" s="705"/>
      <c r="C530" s="705"/>
      <c r="D530" s="705"/>
      <c r="E530" s="705"/>
      <c r="F530" s="705"/>
      <c r="G530" s="705"/>
      <c r="H530" s="705"/>
      <c r="I530" s="705"/>
      <c r="J530" s="705"/>
      <c r="K530" s="705"/>
      <c r="L530" s="705"/>
      <c r="M530" s="705"/>
      <c r="N530" s="705"/>
      <c r="O530" s="706"/>
      <c r="P530" s="702" t="s">
        <v>40</v>
      </c>
      <c r="Q530" s="703"/>
      <c r="R530" s="703"/>
      <c r="S530" s="703"/>
      <c r="T530" s="703"/>
      <c r="U530" s="703"/>
      <c r="V530" s="704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705"/>
      <c r="B531" s="705"/>
      <c r="C531" s="705"/>
      <c r="D531" s="705"/>
      <c r="E531" s="705"/>
      <c r="F531" s="705"/>
      <c r="G531" s="705"/>
      <c r="H531" s="705"/>
      <c r="I531" s="705"/>
      <c r="J531" s="705"/>
      <c r="K531" s="705"/>
      <c r="L531" s="705"/>
      <c r="M531" s="705"/>
      <c r="N531" s="705"/>
      <c r="O531" s="706"/>
      <c r="P531" s="702" t="s">
        <v>40</v>
      </c>
      <c r="Q531" s="703"/>
      <c r="R531" s="703"/>
      <c r="S531" s="703"/>
      <c r="T531" s="703"/>
      <c r="U531" s="703"/>
      <c r="V531" s="704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696" t="s">
        <v>181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customHeight="1" x14ac:dyDescent="0.25">
      <c r="A533" s="63" t="s">
        <v>841</v>
      </c>
      <c r="B533" s="63" t="s">
        <v>842</v>
      </c>
      <c r="C533" s="36">
        <v>4301060535</v>
      </c>
      <c r="D533" s="697">
        <v>4640242180120</v>
      </c>
      <c r="E533" s="697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133</v>
      </c>
      <c r="L533" s="37" t="s">
        <v>46</v>
      </c>
      <c r="M533" s="38" t="s">
        <v>90</v>
      </c>
      <c r="N533" s="38"/>
      <c r="O533" s="37">
        <v>40</v>
      </c>
      <c r="P533" s="97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843</v>
      </c>
      <c r="AG533" s="78"/>
      <c r="AJ533" s="84" t="s">
        <v>46</v>
      </c>
      <c r="AK533" s="84">
        <v>0</v>
      </c>
      <c r="BB533" s="62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t="27" customHeight="1" x14ac:dyDescent="0.25">
      <c r="A534" s="63" t="s">
        <v>844</v>
      </c>
      <c r="B534" s="63" t="s">
        <v>845</v>
      </c>
      <c r="C534" s="36">
        <v>4301060536</v>
      </c>
      <c r="D534" s="697">
        <v>4640242180137</v>
      </c>
      <c r="E534" s="697"/>
      <c r="F534" s="62">
        <v>1.5</v>
      </c>
      <c r="G534" s="37">
        <v>6</v>
      </c>
      <c r="H534" s="62">
        <v>9</v>
      </c>
      <c r="I534" s="62">
        <v>9.41</v>
      </c>
      <c r="J534" s="37">
        <v>64</v>
      </c>
      <c r="K534" s="37" t="s">
        <v>133</v>
      </c>
      <c r="L534" s="37" t="s">
        <v>46</v>
      </c>
      <c r="M534" s="38" t="s">
        <v>90</v>
      </c>
      <c r="N534" s="38"/>
      <c r="O534" s="37">
        <v>40</v>
      </c>
      <c r="P534" s="97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99"/>
      <c r="R534" s="699"/>
      <c r="S534" s="699"/>
      <c r="T534" s="70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22" t="s">
        <v>846</v>
      </c>
      <c r="AG534" s="78"/>
      <c r="AJ534" s="84" t="s">
        <v>46</v>
      </c>
      <c r="AK534" s="84">
        <v>0</v>
      </c>
      <c r="BB534" s="62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705"/>
      <c r="B535" s="705"/>
      <c r="C535" s="705"/>
      <c r="D535" s="705"/>
      <c r="E535" s="705"/>
      <c r="F535" s="705"/>
      <c r="G535" s="705"/>
      <c r="H535" s="705"/>
      <c r="I535" s="705"/>
      <c r="J535" s="705"/>
      <c r="K535" s="705"/>
      <c r="L535" s="705"/>
      <c r="M535" s="705"/>
      <c r="N535" s="705"/>
      <c r="O535" s="706"/>
      <c r="P535" s="702" t="s">
        <v>40</v>
      </c>
      <c r="Q535" s="703"/>
      <c r="R535" s="703"/>
      <c r="S535" s="703"/>
      <c r="T535" s="703"/>
      <c r="U535" s="703"/>
      <c r="V535" s="704"/>
      <c r="W535" s="42" t="s">
        <v>39</v>
      </c>
      <c r="X535" s="43">
        <f>IFERROR(X533/H533,"0")+IFERROR(X534/H534,"0")</f>
        <v>0</v>
      </c>
      <c r="Y535" s="43">
        <f>IFERROR(Y533/H533,"0")+IFERROR(Y534/H534,"0")</f>
        <v>0</v>
      </c>
      <c r="Z535" s="43">
        <f>IFERROR(IF(Z533="",0,Z533),"0")+IFERROR(IF(Z534="",0,Z534),"0")</f>
        <v>0</v>
      </c>
      <c r="AA535" s="67"/>
      <c r="AB535" s="67"/>
      <c r="AC535" s="67"/>
    </row>
    <row r="536" spans="1:68" x14ac:dyDescent="0.2">
      <c r="A536" s="705"/>
      <c r="B536" s="705"/>
      <c r="C536" s="705"/>
      <c r="D536" s="705"/>
      <c r="E536" s="705"/>
      <c r="F536" s="705"/>
      <c r="G536" s="705"/>
      <c r="H536" s="705"/>
      <c r="I536" s="705"/>
      <c r="J536" s="705"/>
      <c r="K536" s="705"/>
      <c r="L536" s="705"/>
      <c r="M536" s="705"/>
      <c r="N536" s="705"/>
      <c r="O536" s="706"/>
      <c r="P536" s="702" t="s">
        <v>40</v>
      </c>
      <c r="Q536" s="703"/>
      <c r="R536" s="703"/>
      <c r="S536" s="703"/>
      <c r="T536" s="703"/>
      <c r="U536" s="703"/>
      <c r="V536" s="704"/>
      <c r="W536" s="42" t="s">
        <v>0</v>
      </c>
      <c r="X536" s="43">
        <f>IFERROR(SUM(X533:X534),"0")</f>
        <v>0</v>
      </c>
      <c r="Y536" s="43">
        <f>IFERROR(SUM(Y533:Y534),"0")</f>
        <v>0</v>
      </c>
      <c r="Z536" s="42"/>
      <c r="AA536" s="67"/>
      <c r="AB536" s="67"/>
      <c r="AC536" s="67"/>
    </row>
    <row r="537" spans="1:68" ht="16.5" customHeight="1" x14ac:dyDescent="0.25">
      <c r="A537" s="695" t="s">
        <v>847</v>
      </c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695"/>
      <c r="P537" s="695"/>
      <c r="Q537" s="695"/>
      <c r="R537" s="695"/>
      <c r="S537" s="695"/>
      <c r="T537" s="695"/>
      <c r="U537" s="695"/>
      <c r="V537" s="695"/>
      <c r="W537" s="695"/>
      <c r="X537" s="695"/>
      <c r="Y537" s="695"/>
      <c r="Z537" s="695"/>
      <c r="AA537" s="65"/>
      <c r="AB537" s="65"/>
      <c r="AC537" s="79"/>
    </row>
    <row r="538" spans="1:68" ht="14.25" customHeight="1" x14ac:dyDescent="0.25">
      <c r="A538" s="696" t="s">
        <v>164</v>
      </c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696"/>
      <c r="P538" s="696"/>
      <c r="Q538" s="696"/>
      <c r="R538" s="696"/>
      <c r="S538" s="696"/>
      <c r="T538" s="696"/>
      <c r="U538" s="696"/>
      <c r="V538" s="696"/>
      <c r="W538" s="696"/>
      <c r="X538" s="696"/>
      <c r="Y538" s="696"/>
      <c r="Z538" s="696"/>
      <c r="AA538" s="66"/>
      <c r="AB538" s="66"/>
      <c r="AC538" s="80"/>
    </row>
    <row r="539" spans="1:68" ht="27" customHeight="1" x14ac:dyDescent="0.25">
      <c r="A539" s="63" t="s">
        <v>848</v>
      </c>
      <c r="B539" s="63" t="s">
        <v>849</v>
      </c>
      <c r="C539" s="36">
        <v>4301020428</v>
      </c>
      <c r="D539" s="697">
        <v>4640242180090</v>
      </c>
      <c r="E539" s="697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133</v>
      </c>
      <c r="L539" s="37" t="s">
        <v>46</v>
      </c>
      <c r="M539" s="38" t="s">
        <v>132</v>
      </c>
      <c r="N539" s="38"/>
      <c r="O539" s="37">
        <v>50</v>
      </c>
      <c r="P539" s="9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99"/>
      <c r="R539" s="699"/>
      <c r="S539" s="699"/>
      <c r="T539" s="700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4" t="s">
        <v>850</v>
      </c>
      <c r="AG539" s="78"/>
      <c r="AJ539" s="84" t="s">
        <v>46</v>
      </c>
      <c r="AK539" s="84">
        <v>0</v>
      </c>
      <c r="BB539" s="625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705"/>
      <c r="B540" s="705"/>
      <c r="C540" s="705"/>
      <c r="D540" s="705"/>
      <c r="E540" s="705"/>
      <c r="F540" s="705"/>
      <c r="G540" s="705"/>
      <c r="H540" s="705"/>
      <c r="I540" s="705"/>
      <c r="J540" s="705"/>
      <c r="K540" s="705"/>
      <c r="L540" s="705"/>
      <c r="M540" s="705"/>
      <c r="N540" s="705"/>
      <c r="O540" s="706"/>
      <c r="P540" s="702" t="s">
        <v>40</v>
      </c>
      <c r="Q540" s="703"/>
      <c r="R540" s="703"/>
      <c r="S540" s="703"/>
      <c r="T540" s="703"/>
      <c r="U540" s="703"/>
      <c r="V540" s="704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705"/>
      <c r="B541" s="705"/>
      <c r="C541" s="705"/>
      <c r="D541" s="705"/>
      <c r="E541" s="705"/>
      <c r="F541" s="705"/>
      <c r="G541" s="705"/>
      <c r="H541" s="705"/>
      <c r="I541" s="705"/>
      <c r="J541" s="705"/>
      <c r="K541" s="705"/>
      <c r="L541" s="705"/>
      <c r="M541" s="705"/>
      <c r="N541" s="705"/>
      <c r="O541" s="706"/>
      <c r="P541" s="702" t="s">
        <v>40</v>
      </c>
      <c r="Q541" s="703"/>
      <c r="R541" s="703"/>
      <c r="S541" s="703"/>
      <c r="T541" s="703"/>
      <c r="U541" s="703"/>
      <c r="V541" s="704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5" customHeight="1" x14ac:dyDescent="0.2">
      <c r="A542" s="705"/>
      <c r="B542" s="705"/>
      <c r="C542" s="705"/>
      <c r="D542" s="705"/>
      <c r="E542" s="705"/>
      <c r="F542" s="705"/>
      <c r="G542" s="705"/>
      <c r="H542" s="705"/>
      <c r="I542" s="705"/>
      <c r="J542" s="705"/>
      <c r="K542" s="705"/>
      <c r="L542" s="705"/>
      <c r="M542" s="705"/>
      <c r="N542" s="705"/>
      <c r="O542" s="978"/>
      <c r="P542" s="975" t="s">
        <v>33</v>
      </c>
      <c r="Q542" s="976"/>
      <c r="R542" s="976"/>
      <c r="S542" s="976"/>
      <c r="T542" s="976"/>
      <c r="U542" s="976"/>
      <c r="V542" s="977"/>
      <c r="W542" s="42" t="s">
        <v>0</v>
      </c>
      <c r="X542" s="43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2500</v>
      </c>
      <c r="Y542" s="43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2503.7999999999997</v>
      </c>
      <c r="Z542" s="42"/>
      <c r="AA542" s="67"/>
      <c r="AB542" s="67"/>
      <c r="AC542" s="67"/>
    </row>
    <row r="543" spans="1:68" x14ac:dyDescent="0.2">
      <c r="A543" s="705"/>
      <c r="B543" s="705"/>
      <c r="C543" s="705"/>
      <c r="D543" s="705"/>
      <c r="E543" s="705"/>
      <c r="F543" s="705"/>
      <c r="G543" s="705"/>
      <c r="H543" s="705"/>
      <c r="I543" s="705"/>
      <c r="J543" s="705"/>
      <c r="K543" s="705"/>
      <c r="L543" s="705"/>
      <c r="M543" s="705"/>
      <c r="N543" s="705"/>
      <c r="O543" s="978"/>
      <c r="P543" s="975" t="s">
        <v>34</v>
      </c>
      <c r="Q543" s="976"/>
      <c r="R543" s="976"/>
      <c r="S543" s="976"/>
      <c r="T543" s="976"/>
      <c r="U543" s="976"/>
      <c r="V543" s="977"/>
      <c r="W543" s="42" t="s">
        <v>0</v>
      </c>
      <c r="X543" s="43">
        <f>IFERROR(SUM(BM22:BM539),"0")</f>
        <v>2656.4102564102564</v>
      </c>
      <c r="Y543" s="43">
        <f>IFERROR(SUM(BN22:BN539),"0")</f>
        <v>2660.4479999999999</v>
      </c>
      <c r="Z543" s="42"/>
      <c r="AA543" s="67"/>
      <c r="AB543" s="67"/>
      <c r="AC543" s="67"/>
    </row>
    <row r="544" spans="1:68" x14ac:dyDescent="0.2">
      <c r="A544" s="705"/>
      <c r="B544" s="705"/>
      <c r="C544" s="705"/>
      <c r="D544" s="705"/>
      <c r="E544" s="705"/>
      <c r="F544" s="705"/>
      <c r="G544" s="705"/>
      <c r="H544" s="705"/>
      <c r="I544" s="705"/>
      <c r="J544" s="705"/>
      <c r="K544" s="705"/>
      <c r="L544" s="705"/>
      <c r="M544" s="705"/>
      <c r="N544" s="705"/>
      <c r="O544" s="978"/>
      <c r="P544" s="975" t="s">
        <v>35</v>
      </c>
      <c r="Q544" s="976"/>
      <c r="R544" s="976"/>
      <c r="S544" s="976"/>
      <c r="T544" s="976"/>
      <c r="U544" s="976"/>
      <c r="V544" s="977"/>
      <c r="W544" s="42" t="s">
        <v>20</v>
      </c>
      <c r="X544" s="44">
        <f>ROUNDUP(SUM(BO22:BO539),0)</f>
        <v>6</v>
      </c>
      <c r="Y544" s="44">
        <f>ROUNDUP(SUM(BP22:BP539),0)</f>
        <v>6</v>
      </c>
      <c r="Z544" s="42"/>
      <c r="AA544" s="67"/>
      <c r="AB544" s="67"/>
      <c r="AC544" s="67"/>
    </row>
    <row r="545" spans="1:32" x14ac:dyDescent="0.2">
      <c r="A545" s="705"/>
      <c r="B545" s="705"/>
      <c r="C545" s="705"/>
      <c r="D545" s="705"/>
      <c r="E545" s="705"/>
      <c r="F545" s="705"/>
      <c r="G545" s="705"/>
      <c r="H545" s="705"/>
      <c r="I545" s="705"/>
      <c r="J545" s="705"/>
      <c r="K545" s="705"/>
      <c r="L545" s="705"/>
      <c r="M545" s="705"/>
      <c r="N545" s="705"/>
      <c r="O545" s="978"/>
      <c r="P545" s="975" t="s">
        <v>36</v>
      </c>
      <c r="Q545" s="976"/>
      <c r="R545" s="976"/>
      <c r="S545" s="976"/>
      <c r="T545" s="976"/>
      <c r="U545" s="976"/>
      <c r="V545" s="977"/>
      <c r="W545" s="42" t="s">
        <v>0</v>
      </c>
      <c r="X545" s="43">
        <f>GrossWeightTotal+PalletQtyTotal*25</f>
        <v>2806.4102564102564</v>
      </c>
      <c r="Y545" s="43">
        <f>GrossWeightTotalR+PalletQtyTotalR*25</f>
        <v>2810.4479999999999</v>
      </c>
      <c r="Z545" s="42"/>
      <c r="AA545" s="67"/>
      <c r="AB545" s="67"/>
      <c r="AC545" s="67"/>
    </row>
    <row r="546" spans="1:32" x14ac:dyDescent="0.2">
      <c r="A546" s="705"/>
      <c r="B546" s="705"/>
      <c r="C546" s="705"/>
      <c r="D546" s="705"/>
      <c r="E546" s="705"/>
      <c r="F546" s="705"/>
      <c r="G546" s="705"/>
      <c r="H546" s="705"/>
      <c r="I546" s="705"/>
      <c r="J546" s="705"/>
      <c r="K546" s="705"/>
      <c r="L546" s="705"/>
      <c r="M546" s="705"/>
      <c r="N546" s="705"/>
      <c r="O546" s="978"/>
      <c r="P546" s="975" t="s">
        <v>37</v>
      </c>
      <c r="Q546" s="976"/>
      <c r="R546" s="976"/>
      <c r="S546" s="976"/>
      <c r="T546" s="976"/>
      <c r="U546" s="976"/>
      <c r="V546" s="977"/>
      <c r="W546" s="42" t="s">
        <v>20</v>
      </c>
      <c r="X546" s="43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320.5128205128205</v>
      </c>
      <c r="Y546" s="43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321</v>
      </c>
      <c r="Z546" s="42"/>
      <c r="AA546" s="67"/>
      <c r="AB546" s="67"/>
      <c r="AC546" s="67"/>
    </row>
    <row r="547" spans="1:32" ht="14.25" x14ac:dyDescent="0.2">
      <c r="A547" s="705"/>
      <c r="B547" s="705"/>
      <c r="C547" s="705"/>
      <c r="D547" s="705"/>
      <c r="E547" s="705"/>
      <c r="F547" s="705"/>
      <c r="G547" s="705"/>
      <c r="H547" s="705"/>
      <c r="I547" s="705"/>
      <c r="J547" s="705"/>
      <c r="K547" s="705"/>
      <c r="L547" s="705"/>
      <c r="M547" s="705"/>
      <c r="N547" s="705"/>
      <c r="O547" s="978"/>
      <c r="P547" s="975" t="s">
        <v>38</v>
      </c>
      <c r="Q547" s="976"/>
      <c r="R547" s="976"/>
      <c r="S547" s="976"/>
      <c r="T547" s="976"/>
      <c r="U547" s="976"/>
      <c r="V547" s="977"/>
      <c r="W547" s="45" t="s">
        <v>52</v>
      </c>
      <c r="X547" s="42"/>
      <c r="Y547" s="42"/>
      <c r="Z547" s="42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6.0925799999999999</v>
      </c>
      <c r="AA547" s="67"/>
      <c r="AB547" s="67"/>
      <c r="AC547" s="67"/>
    </row>
    <row r="548" spans="1:32" ht="13.5" thickBot="1" x14ac:dyDescent="0.25"/>
    <row r="549" spans="1:32" ht="27" thickTop="1" thickBot="1" x14ac:dyDescent="0.25">
      <c r="A549" s="46" t="s">
        <v>9</v>
      </c>
      <c r="B549" s="85" t="s">
        <v>76</v>
      </c>
      <c r="C549" s="85" t="s">
        <v>45</v>
      </c>
      <c r="D549" s="981" t="s">
        <v>126</v>
      </c>
      <c r="E549" s="981" t="s">
        <v>126</v>
      </c>
      <c r="F549" s="981" t="s">
        <v>126</v>
      </c>
      <c r="G549" s="981" t="s">
        <v>126</v>
      </c>
      <c r="H549" s="981" t="s">
        <v>126</v>
      </c>
      <c r="I549" s="981" t="s">
        <v>126</v>
      </c>
      <c r="J549" s="981" t="s">
        <v>126</v>
      </c>
      <c r="K549" s="981" t="s">
        <v>338</v>
      </c>
      <c r="L549" s="981" t="s">
        <v>338</v>
      </c>
      <c r="M549" s="981" t="s">
        <v>338</v>
      </c>
      <c r="N549" s="982"/>
      <c r="O549" s="981" t="s">
        <v>338</v>
      </c>
      <c r="P549" s="981" t="s">
        <v>338</v>
      </c>
      <c r="Q549" s="981" t="s">
        <v>338</v>
      </c>
      <c r="R549" s="981" t="s">
        <v>338</v>
      </c>
      <c r="S549" s="981" t="s">
        <v>338</v>
      </c>
      <c r="T549" s="981" t="s">
        <v>338</v>
      </c>
      <c r="U549" s="981" t="s">
        <v>338</v>
      </c>
      <c r="V549" s="981" t="s">
        <v>677</v>
      </c>
      <c r="W549" s="981" t="s">
        <v>677</v>
      </c>
      <c r="X549" s="981" t="s">
        <v>743</v>
      </c>
      <c r="Y549" s="981" t="s">
        <v>743</v>
      </c>
      <c r="Z549" s="85" t="s">
        <v>779</v>
      </c>
      <c r="AA549" s="981" t="s">
        <v>826</v>
      </c>
      <c r="AB549" s="981" t="s">
        <v>826</v>
      </c>
      <c r="AC549" s="60"/>
      <c r="AF549" s="1"/>
    </row>
    <row r="550" spans="1:32" ht="14.25" customHeight="1" thickTop="1" x14ac:dyDescent="0.2">
      <c r="A550" s="979" t="s">
        <v>10</v>
      </c>
      <c r="B550" s="981" t="s">
        <v>76</v>
      </c>
      <c r="C550" s="981" t="s">
        <v>110</v>
      </c>
      <c r="D550" s="981" t="s">
        <v>127</v>
      </c>
      <c r="E550" s="981" t="s">
        <v>143</v>
      </c>
      <c r="F550" s="981" t="s">
        <v>188</v>
      </c>
      <c r="G550" s="981" t="s">
        <v>209</v>
      </c>
      <c r="H550" s="981" t="s">
        <v>248</v>
      </c>
      <c r="I550" s="981" t="s">
        <v>260</v>
      </c>
      <c r="J550" s="981" t="s">
        <v>126</v>
      </c>
      <c r="K550" s="981" t="s">
        <v>339</v>
      </c>
      <c r="L550" s="981" t="s">
        <v>360</v>
      </c>
      <c r="M550" s="981" t="s">
        <v>427</v>
      </c>
      <c r="N550" s="1"/>
      <c r="O550" s="981" t="s">
        <v>495</v>
      </c>
      <c r="P550" s="981" t="s">
        <v>528</v>
      </c>
      <c r="Q550" s="981" t="s">
        <v>544</v>
      </c>
      <c r="R550" s="981" t="s">
        <v>553</v>
      </c>
      <c r="S550" s="981" t="s">
        <v>574</v>
      </c>
      <c r="T550" s="981" t="s">
        <v>583</v>
      </c>
      <c r="U550" s="981" t="s">
        <v>667</v>
      </c>
      <c r="V550" s="981" t="s">
        <v>678</v>
      </c>
      <c r="W550" s="981" t="s">
        <v>727</v>
      </c>
      <c r="X550" s="981" t="s">
        <v>744</v>
      </c>
      <c r="Y550" s="981" t="s">
        <v>767</v>
      </c>
      <c r="Z550" s="981" t="s">
        <v>779</v>
      </c>
      <c r="AA550" s="981" t="s">
        <v>826</v>
      </c>
      <c r="AB550" s="981" t="s">
        <v>847</v>
      </c>
      <c r="AC550" s="60"/>
      <c r="AF550" s="1"/>
    </row>
    <row r="551" spans="1:32" ht="13.5" thickBot="1" x14ac:dyDescent="0.25">
      <c r="A551" s="980"/>
      <c r="B551" s="981"/>
      <c r="C551" s="981"/>
      <c r="D551" s="981"/>
      <c r="E551" s="981"/>
      <c r="F551" s="981"/>
      <c r="G551" s="981"/>
      <c r="H551" s="981"/>
      <c r="I551" s="981"/>
      <c r="J551" s="981"/>
      <c r="K551" s="981"/>
      <c r="L551" s="981"/>
      <c r="M551" s="981"/>
      <c r="N551" s="1"/>
      <c r="O551" s="981"/>
      <c r="P551" s="981"/>
      <c r="Q551" s="981"/>
      <c r="R551" s="981"/>
      <c r="S551" s="981"/>
      <c r="T551" s="981"/>
      <c r="U551" s="981"/>
      <c r="V551" s="981"/>
      <c r="W551" s="981"/>
      <c r="X551" s="981"/>
      <c r="Y551" s="981"/>
      <c r="Z551" s="981"/>
      <c r="AA551" s="981"/>
      <c r="AB551" s="981"/>
      <c r="AC551" s="60"/>
      <c r="AF551" s="1"/>
    </row>
    <row r="552" spans="1:32" ht="18" thickTop="1" thickBot="1" x14ac:dyDescent="0.25">
      <c r="A552" s="46" t="s">
        <v>13</v>
      </c>
      <c r="B552" s="52">
        <f>IFERROR(Y22*1,"0")+IFERROR(Y23*1,"0")+IFERROR(Y27*1,"0")+IFERROR(Y28*1,"0")+IFERROR(Y29*1,"0")+IFERROR(Y30*1,"0")+IFERROR(Y31*1,"0")+IFERROR(Y35*1,"0")</f>
        <v>0</v>
      </c>
      <c r="C552" s="52">
        <f>IFERROR(Y41*1,"0")+IFERROR(Y42*1,"0")+IFERROR(Y43*1,"0")+IFERROR(Y44*1,"0")+IFERROR(Y45*1,"0")</f>
        <v>0</v>
      </c>
      <c r="D552" s="52">
        <f>IFERROR(Y51*1,"0")+IFERROR(Y52*1,"0")+IFERROR(Y53*1,"0")+IFERROR(Y54*1,"0")</f>
        <v>0</v>
      </c>
      <c r="E552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2" s="52">
        <f>IFERROR(Y88*1,"0")+IFERROR(Y89*1,"0")+IFERROR(Y90*1,"0")+IFERROR(Y91*1,"0")+IFERROR(Y95*1,"0")+IFERROR(Y96*1,"0")+IFERROR(Y97*1,"0")+IFERROR(Y98*1,"0")</f>
        <v>0</v>
      </c>
      <c r="G552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2" s="52">
        <f>IFERROR(Y132*1,"0")+IFERROR(Y133*1,"0")+IFERROR(Y137*1,"0")+IFERROR(Y138*1,"0")+IFERROR(Y142*1,"0")+IFERROR(Y143*1,"0")</f>
        <v>0</v>
      </c>
      <c r="I552" s="52">
        <f>IFERROR(Y148*1,"0")+IFERROR(Y149*1,"0")+IFERROR(Y150*1,"0")+IFERROR(Y151*1,"0")</f>
        <v>0</v>
      </c>
      <c r="J552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2" s="52">
        <f>IFERROR(Y198*1,"0")+IFERROR(Y199*1,"0")+IFERROR(Y200*1,"0")+IFERROR(Y201*1,"0")+IFERROR(Y202*1,"0")+IFERROR(Y203*1,"0")+IFERROR(Y204*1,"0")</f>
        <v>0</v>
      </c>
      <c r="L552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2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2" s="1"/>
      <c r="O552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2" s="52">
        <f>IFERROR(Y316*1,"0")+IFERROR(Y317*1,"0")+IFERROR(Y318*1,"0")+IFERROR(Y319*1,"0")+IFERROR(Y320*1,"0")</f>
        <v>0</v>
      </c>
      <c r="Q552" s="52">
        <f>IFERROR(Y325*1,"0")+IFERROR(Y326*1,"0")+IFERROR(Y327*1,"0")</f>
        <v>0</v>
      </c>
      <c r="R552" s="52">
        <f>IFERROR(Y332*1,"0")+IFERROR(Y333*1,"0")+IFERROR(Y334*1,"0")+IFERROR(Y335*1,"0")+IFERROR(Y336*1,"0")+IFERROR(Y340*1,"0")+IFERROR(Y341*1,"0")</f>
        <v>0</v>
      </c>
      <c r="S552" s="52">
        <f>IFERROR(Y346*1,"0")+IFERROR(Y347*1,"0")+IFERROR(Y348*1,"0")</f>
        <v>0</v>
      </c>
      <c r="T552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2503.7999999999997</v>
      </c>
      <c r="U552" s="52">
        <f>IFERROR(Y405*1,"0")+IFERROR(Y406*1,"0")+IFERROR(Y407*1,"0")</f>
        <v>0</v>
      </c>
      <c r="V552" s="52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0</v>
      </c>
      <c r="W552" s="52">
        <f>IFERROR(Y442*1,"0")+IFERROR(Y443*1,"0")+IFERROR(Y447*1,"0")+IFERROR(Y451*1,"0")+IFERROR(Y452*1,"0")+IFERROR(Y453*1,"0")</f>
        <v>0</v>
      </c>
      <c r="X552" s="52">
        <f>IFERROR(Y459*1,"0")+IFERROR(Y460*1,"0")+IFERROR(Y461*1,"0")+IFERROR(Y462*1,"0")+IFERROR(Y463*1,"0")+IFERROR(Y464*1,"0")+IFERROR(Y468*1,"0")+IFERROR(Y469*1,"0")</f>
        <v>0</v>
      </c>
      <c r="Y552" s="52">
        <f>IFERROR(Y474*1,"0")+IFERROR(Y478*1,"0")+IFERROR(Y479*1,"0")+IFERROR(Y480*1,"0")</f>
        <v>0</v>
      </c>
      <c r="Z552" s="52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0</v>
      </c>
      <c r="AA552" s="52">
        <f>IFERROR(Y516*1,"0")+IFERROR(Y520*1,"0")+IFERROR(Y524*1,"0")+IFERROR(Y525*1,"0")+IFERROR(Y529*1,"0")+IFERROR(Y533*1,"0")+IFERROR(Y534*1,"0")</f>
        <v>0</v>
      </c>
      <c r="AB552" s="52">
        <f>IFERROR(Y539*1,"0")</f>
        <v>0</v>
      </c>
      <c r="AC552" s="60"/>
      <c r="AF552" s="1"/>
    </row>
  </sheetData>
  <sheetProtection algorithmName="SHA-512" hashValue="zpCfYrEVtP5iEd7C4eYL8lc9Um3GAom7CWuoHMCnSplD+b/yWKY/GTWkfiaD3rXxGmS6L8P30ZvW5dudYZxmFQ==" saltValue="DFu/ycm+0o87rZWJvYBRrQ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71"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851</v>
      </c>
      <c r="H1" s="9"/>
    </row>
    <row r="3" spans="2:8" x14ac:dyDescent="0.2">
      <c r="B3" s="53" t="s">
        <v>852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854</v>
      </c>
      <c r="C6" s="53" t="s">
        <v>855</v>
      </c>
      <c r="D6" s="53" t="s">
        <v>856</v>
      </c>
      <c r="E6" s="53" t="s">
        <v>46</v>
      </c>
    </row>
    <row r="7" spans="2:8" x14ac:dyDescent="0.2">
      <c r="B7" s="53" t="s">
        <v>857</v>
      </c>
      <c r="C7" s="53" t="s">
        <v>858</v>
      </c>
      <c r="D7" s="53" t="s">
        <v>859</v>
      </c>
      <c r="E7" s="53" t="s">
        <v>46</v>
      </c>
    </row>
    <row r="8" spans="2:8" x14ac:dyDescent="0.2">
      <c r="B8" s="53" t="s">
        <v>860</v>
      </c>
      <c r="C8" s="53" t="s">
        <v>861</v>
      </c>
      <c r="D8" s="53" t="s">
        <v>862</v>
      </c>
      <c r="E8" s="53" t="s">
        <v>46</v>
      </c>
    </row>
    <row r="10" spans="2:8" x14ac:dyDescent="0.2">
      <c r="B10" s="53" t="s">
        <v>863</v>
      </c>
      <c r="C10" s="53" t="s">
        <v>855</v>
      </c>
      <c r="D10" s="53" t="s">
        <v>46</v>
      </c>
      <c r="E10" s="53" t="s">
        <v>46</v>
      </c>
    </row>
    <row r="12" spans="2:8" x14ac:dyDescent="0.2">
      <c r="B12" s="53" t="s">
        <v>864</v>
      </c>
      <c r="C12" s="53" t="s">
        <v>858</v>
      </c>
      <c r="D12" s="53" t="s">
        <v>46</v>
      </c>
      <c r="E12" s="53" t="s">
        <v>46</v>
      </c>
    </row>
    <row r="14" spans="2:8" x14ac:dyDescent="0.2">
      <c r="B14" s="53" t="s">
        <v>865</v>
      </c>
      <c r="C14" s="53" t="s">
        <v>861</v>
      </c>
      <c r="D14" s="53" t="s">
        <v>46</v>
      </c>
      <c r="E14" s="53" t="s">
        <v>46</v>
      </c>
    </row>
    <row r="16" spans="2:8" x14ac:dyDescent="0.2">
      <c r="B16" s="53" t="s">
        <v>866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870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871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873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874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875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876</v>
      </c>
      <c r="C26" s="53" t="s">
        <v>46</v>
      </c>
      <c r="D26" s="53" t="s">
        <v>46</v>
      </c>
      <c r="E26" s="53" t="s">
        <v>46</v>
      </c>
    </row>
  </sheetData>
  <sheetProtection algorithmName="SHA-512" hashValue="igj3maLwvxlxRidWHF60P67PqgS1G69DuLqWPzuFy8b+A9cpBoVOX9gbOTdSdAecv3tvBXEPsSH2j3NKyffgPg==" saltValue="jBrZy0MXCfSe2K8f55Cf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1125</vt:i4>
      </vt:variant>
    </vt:vector>
  </HeadingPairs>
  <TitlesOfParts>
    <vt:vector size="11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2026-07-22T08:51:30Z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