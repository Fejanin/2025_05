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4D06713-7623-49D8-B508-B1ECD17B6E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3" i="1"/>
  <c r="P20" i="1"/>
  <c r="O20" i="1"/>
  <c r="N20" i="1"/>
  <c r="C20" i="1" l="1"/>
  <c r="D20" i="1"/>
  <c r="E20" i="1" l="1"/>
  <c r="S20" i="1" l="1"/>
  <c r="R20" i="1"/>
  <c r="Q20" i="1"/>
  <c r="F20" i="1" l="1"/>
  <c r="G20" i="1"/>
  <c r="H20" i="1"/>
  <c r="I20" i="1"/>
  <c r="J20" i="1"/>
  <c r="K20" i="1"/>
  <c r="L20" i="1"/>
  <c r="M20" i="1"/>
  <c r="B20" i="1" l="1"/>
  <c r="T20" i="1" l="1"/>
</calcChain>
</file>

<file path=xl/sharedStrings.xml><?xml version="1.0" encoding="utf-8"?>
<sst xmlns="http://schemas.openxmlformats.org/spreadsheetml/2006/main" count="50" uniqueCount="35">
  <si>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</si>
  <si>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</si>
  <si>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</si>
  <si>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</si>
  <si>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</si>
  <si>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</si>
  <si>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</si>
  <si>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</si>
  <si>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</si>
  <si>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</si>
  <si>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</si>
  <si>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</si>
  <si>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</si>
  <si>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</si>
  <si>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</si>
  <si>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</si>
  <si>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</si>
  <si>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</si>
  <si>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</si>
  <si>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</si>
  <si>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</si>
  <si>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</si>
  <si>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Логистон (ПРС)</t>
  </si>
  <si>
    <t>отправлять в четверг</t>
  </si>
  <si>
    <t>Пушкарный ВВ</t>
  </si>
  <si>
    <t>Пушкарный</t>
  </si>
  <si>
    <t>1 машина на 24,07</t>
  </si>
  <si>
    <t>1 машина на 25,07</t>
  </si>
  <si>
    <t>2 машина на 25,07</t>
  </si>
  <si>
    <t>3 машина на 25,07</t>
  </si>
  <si>
    <t>ЛП</t>
  </si>
  <si>
    <t>НВ</t>
  </si>
  <si>
    <t>ПРС ЛП</t>
  </si>
  <si>
    <t>1 машина на 26,07</t>
  </si>
  <si>
    <t>НВ_ЛП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</si>
</sst>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3" borderId="11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17" xfId="0" applyFill="1" applyBorder="1"/>
    <xf numFmtId="0" fontId="0" fillId="4" borderId="0" xfId="0" applyFill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115" zoomScaleNormal="115" workbookViewId="0">
      <selection activeCell="U15" sqref="U15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  <col min="21" max="21" width="21" customWidth="1"/>
  </cols>
  <sheetData>
    <row r="1" spans="1:21" ht="15" customHeight="1" x14ac:dyDescent="0.25">
      <c r="A1" s="39" t="s">
        <v>5</v>
      </c>
      <c r="B1" s="41" t="s">
        <v>17</v>
      </c>
      <c r="C1" s="41" t="s">
        <v>18</v>
      </c>
      <c r="D1" s="41" t="s">
        <v>19</v>
      </c>
      <c r="E1" s="39" t="s">
        <v>26</v>
      </c>
      <c r="F1" s="43"/>
      <c r="G1" s="44"/>
      <c r="H1" s="39" t="s">
        <v>27</v>
      </c>
      <c r="I1" s="43"/>
      <c r="J1" s="44"/>
      <c r="K1" s="39" t="s">
        <v>28</v>
      </c>
      <c r="L1" s="43"/>
      <c r="M1" s="44"/>
      <c r="N1" s="39" t="s">
        <v>29</v>
      </c>
      <c r="O1" s="43"/>
      <c r="P1" s="44"/>
      <c r="Q1" s="39" t="s">
        <v>33</v>
      </c>
      <c r="R1" s="43"/>
      <c r="S1" s="44"/>
      <c r="T1" s="37" t="s">
        <v>6</v>
      </c>
    </row>
    <row r="2" spans="1:21" ht="30.75" thickBot="1" x14ac:dyDescent="0.3">
      <c r="A2" s="40"/>
      <c r="B2" s="42"/>
      <c r="C2" s="42"/>
      <c r="D2" s="42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38"/>
    </row>
    <row r="3" spans="1:21" x14ac:dyDescent="0.25">
      <c r="A3" s="31" t="s">
        <v>0</v>
      </c>
      <c r="B3" s="20">
        <v>9683</v>
      </c>
      <c r="C3" s="21">
        <v>10696</v>
      </c>
      <c r="D3" s="22">
        <v>16</v>
      </c>
      <c r="E3" s="20"/>
      <c r="F3" s="21"/>
      <c r="G3" s="22"/>
      <c r="H3" s="6">
        <v>9683</v>
      </c>
      <c r="I3" s="21">
        <v>10696</v>
      </c>
      <c r="J3" s="22">
        <v>16</v>
      </c>
      <c r="K3" s="6"/>
      <c r="L3" s="3"/>
      <c r="M3" s="7"/>
      <c r="N3" s="6"/>
      <c r="O3" s="3"/>
      <c r="P3" s="7"/>
      <c r="Q3" s="6"/>
      <c r="R3" s="3"/>
      <c r="S3" s="7"/>
      <c r="T3" s="8">
        <f>B3-E3-H3-K3-N3-Q3</f>
        <v>0</v>
      </c>
    </row>
    <row r="4" spans="1:21" x14ac:dyDescent="0.25">
      <c r="A4" s="32" t="s">
        <v>1</v>
      </c>
      <c r="B4" s="32">
        <v>14505</v>
      </c>
      <c r="C4" s="33">
        <v>15999</v>
      </c>
      <c r="D4" s="34">
        <v>25</v>
      </c>
      <c r="E4" s="32"/>
      <c r="F4" s="33"/>
      <c r="G4" s="34"/>
      <c r="H4" s="32"/>
      <c r="I4" s="33"/>
      <c r="J4" s="34"/>
      <c r="K4" s="32"/>
      <c r="L4" s="33"/>
      <c r="M4" s="34"/>
      <c r="N4" s="32"/>
      <c r="O4" s="33"/>
      <c r="P4" s="34"/>
      <c r="Q4" s="32">
        <v>14505</v>
      </c>
      <c r="R4" s="33">
        <v>15999</v>
      </c>
      <c r="S4" s="34">
        <v>25</v>
      </c>
      <c r="T4" s="35">
        <f t="shared" ref="T4:T19" si="0">B4-E4-H4-K4-N4-Q4</f>
        <v>0</v>
      </c>
      <c r="U4" s="36" t="s">
        <v>23</v>
      </c>
    </row>
    <row r="5" spans="1:21" x14ac:dyDescent="0.25">
      <c r="A5" s="4" t="s">
        <v>2</v>
      </c>
      <c r="B5" s="23">
        <v>17522</v>
      </c>
      <c r="C5" s="24">
        <v>19772</v>
      </c>
      <c r="D5" s="25">
        <v>34</v>
      </c>
      <c r="E5" s="23"/>
      <c r="F5" s="24"/>
      <c r="G5" s="25"/>
      <c r="H5" s="4"/>
      <c r="I5" s="2"/>
      <c r="J5" s="5"/>
      <c r="K5" s="4"/>
      <c r="L5" s="2"/>
      <c r="M5" s="5"/>
      <c r="N5" s="23">
        <v>17522</v>
      </c>
      <c r="O5" s="24">
        <v>19772</v>
      </c>
      <c r="P5" s="25">
        <v>34</v>
      </c>
      <c r="Q5" s="4"/>
      <c r="R5" s="2"/>
      <c r="S5" s="5"/>
      <c r="T5" s="8">
        <f t="shared" si="0"/>
        <v>0</v>
      </c>
    </row>
    <row r="6" spans="1:21" x14ac:dyDescent="0.25">
      <c r="A6" s="29" t="s">
        <v>3</v>
      </c>
      <c r="B6" s="23">
        <v>13467</v>
      </c>
      <c r="C6" s="24"/>
      <c r="D6" s="25"/>
      <c r="E6" s="23"/>
      <c r="F6" s="24"/>
      <c r="G6" s="25"/>
      <c r="H6" s="4">
        <v>7467</v>
      </c>
      <c r="I6" s="2">
        <v>8426</v>
      </c>
      <c r="J6" s="5">
        <v>14</v>
      </c>
      <c r="K6" s="4">
        <v>6000</v>
      </c>
      <c r="L6" s="2">
        <v>6698</v>
      </c>
      <c r="M6" s="5">
        <v>11</v>
      </c>
      <c r="N6" s="4"/>
      <c r="O6" s="2"/>
      <c r="P6" s="5"/>
      <c r="Q6" s="4"/>
      <c r="R6" s="2"/>
      <c r="S6" s="5"/>
      <c r="T6" s="8">
        <f t="shared" si="0"/>
        <v>0</v>
      </c>
    </row>
    <row r="7" spans="1:21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8">
        <f t="shared" si="0"/>
        <v>0</v>
      </c>
    </row>
    <row r="8" spans="1:21" x14ac:dyDescent="0.25">
      <c r="A8" s="4" t="s">
        <v>13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8">
        <f t="shared" si="0"/>
        <v>0</v>
      </c>
    </row>
    <row r="9" spans="1:21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8">
        <f t="shared" si="0"/>
        <v>0</v>
      </c>
    </row>
    <row r="10" spans="1:21" x14ac:dyDescent="0.25">
      <c r="A10" s="30" t="s">
        <v>20</v>
      </c>
      <c r="B10" s="26">
        <v>11100</v>
      </c>
      <c r="C10" s="27">
        <v>11971</v>
      </c>
      <c r="D10" s="28">
        <v>17</v>
      </c>
      <c r="E10" s="26"/>
      <c r="F10" s="27"/>
      <c r="G10" s="28"/>
      <c r="H10" s="9"/>
      <c r="I10" s="10"/>
      <c r="J10" s="11"/>
      <c r="K10" s="26">
        <v>11100</v>
      </c>
      <c r="L10" s="27">
        <v>11971</v>
      </c>
      <c r="M10" s="28">
        <v>17</v>
      </c>
      <c r="N10" s="9"/>
      <c r="O10" s="10"/>
      <c r="P10" s="11"/>
      <c r="Q10" s="9"/>
      <c r="R10" s="10"/>
      <c r="S10" s="11"/>
      <c r="T10" s="8">
        <f t="shared" si="0"/>
        <v>0</v>
      </c>
    </row>
    <row r="11" spans="1:21" x14ac:dyDescent="0.25">
      <c r="A11" s="32" t="s">
        <v>32</v>
      </c>
      <c r="B11" s="32">
        <v>2594</v>
      </c>
      <c r="C11" s="33">
        <v>3082</v>
      </c>
      <c r="D11" s="34">
        <v>6</v>
      </c>
      <c r="E11" s="32"/>
      <c r="F11" s="33"/>
      <c r="G11" s="34"/>
      <c r="H11" s="32"/>
      <c r="I11" s="33"/>
      <c r="J11" s="34"/>
      <c r="K11" s="32"/>
      <c r="L11" s="33"/>
      <c r="M11" s="34"/>
      <c r="N11" s="32"/>
      <c r="O11" s="33"/>
      <c r="P11" s="34"/>
      <c r="Q11" s="32">
        <v>2594</v>
      </c>
      <c r="R11" s="33">
        <v>3082</v>
      </c>
      <c r="S11" s="34">
        <v>6</v>
      </c>
      <c r="T11" s="35">
        <f t="shared" si="0"/>
        <v>0</v>
      </c>
      <c r="U11" s="36" t="s">
        <v>23</v>
      </c>
    </row>
    <row r="12" spans="1:21" x14ac:dyDescent="0.25">
      <c r="A12" s="9" t="s">
        <v>22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1" x14ac:dyDescent="0.25">
      <c r="A13" s="9" t="s">
        <v>14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1" x14ac:dyDescent="0.25">
      <c r="A14" s="9" t="s">
        <v>15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1" x14ac:dyDescent="0.25">
      <c r="A15" s="9" t="s">
        <v>16</v>
      </c>
      <c r="B15" s="23"/>
      <c r="C15" s="24"/>
      <c r="D15" s="25"/>
      <c r="E15" s="23"/>
      <c r="F15" s="24"/>
      <c r="G15" s="25"/>
      <c r="H15" s="4"/>
      <c r="I15" s="2"/>
      <c r="J15" s="5"/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1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x14ac:dyDescent="0.25">
      <c r="A17" s="9" t="s">
        <v>24</v>
      </c>
      <c r="B17" s="26">
        <v>4769</v>
      </c>
      <c r="C17" s="27">
        <v>5161</v>
      </c>
      <c r="D17" s="28">
        <v>8</v>
      </c>
      <c r="E17" s="26">
        <v>4769</v>
      </c>
      <c r="F17" s="27">
        <v>5161</v>
      </c>
      <c r="G17" s="28">
        <v>8</v>
      </c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x14ac:dyDescent="0.25">
      <c r="A18" s="9" t="s">
        <v>25</v>
      </c>
      <c r="B18" s="26">
        <v>2500</v>
      </c>
      <c r="C18" s="27">
        <v>2810</v>
      </c>
      <c r="D18" s="28">
        <v>6</v>
      </c>
      <c r="E18" s="26">
        <v>2500</v>
      </c>
      <c r="F18" s="27">
        <v>2810</v>
      </c>
      <c r="G18" s="28">
        <v>6</v>
      </c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si="0"/>
        <v>0</v>
      </c>
    </row>
    <row r="19" spans="1:20" ht="15.75" thickBot="1" x14ac:dyDescent="0.3">
      <c r="A19" s="9" t="s">
        <v>21</v>
      </c>
      <c r="B19" s="23">
        <v>10255</v>
      </c>
      <c r="C19" s="27">
        <v>11251</v>
      </c>
      <c r="D19" s="28">
        <v>18</v>
      </c>
      <c r="E19" s="23">
        <v>10255</v>
      </c>
      <c r="F19" s="27">
        <v>11251</v>
      </c>
      <c r="G19" s="28">
        <v>18</v>
      </c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8">
        <f t="shared" si="0"/>
        <v>0</v>
      </c>
    </row>
    <row r="20" spans="1:20" s="1" customFormat="1" ht="15.75" thickBot="1" x14ac:dyDescent="0.3">
      <c r="A20" s="12" t="s">
        <v>7</v>
      </c>
      <c r="B20" s="13">
        <f t="shared" ref="B20:P20" si="1">SUM(B3:B19)</f>
        <v>86395</v>
      </c>
      <c r="C20" s="13">
        <f t="shared" si="1"/>
        <v>80742</v>
      </c>
      <c r="D20" s="13">
        <f t="shared" si="1"/>
        <v>130</v>
      </c>
      <c r="E20" s="12">
        <f t="shared" si="1"/>
        <v>17524</v>
      </c>
      <c r="F20" s="14">
        <f t="shared" si="1"/>
        <v>19222</v>
      </c>
      <c r="G20" s="15">
        <f t="shared" si="1"/>
        <v>32</v>
      </c>
      <c r="H20" s="12">
        <f t="shared" si="1"/>
        <v>17150</v>
      </c>
      <c r="I20" s="14">
        <f t="shared" si="1"/>
        <v>19122</v>
      </c>
      <c r="J20" s="15">
        <f t="shared" si="1"/>
        <v>30</v>
      </c>
      <c r="K20" s="12">
        <f t="shared" si="1"/>
        <v>17100</v>
      </c>
      <c r="L20" s="14">
        <f t="shared" si="1"/>
        <v>18669</v>
      </c>
      <c r="M20" s="15">
        <f t="shared" si="1"/>
        <v>28</v>
      </c>
      <c r="N20" s="12">
        <f t="shared" si="1"/>
        <v>17522</v>
      </c>
      <c r="O20" s="14">
        <f t="shared" si="1"/>
        <v>19772</v>
      </c>
      <c r="P20" s="15">
        <f t="shared" si="1"/>
        <v>34</v>
      </c>
      <c r="Q20" s="12">
        <f t="shared" ref="Q20:S20" si="2">SUM(Q3:Q19)</f>
        <v>17099</v>
      </c>
      <c r="R20" s="14">
        <f t="shared" si="2"/>
        <v>19081</v>
      </c>
      <c r="S20" s="15">
        <f t="shared" si="2"/>
        <v>31</v>
      </c>
      <c r="T20" s="16">
        <f>SUM(T3:T19)</f>
        <v>0</v>
      </c>
    </row>
    <row r="21" spans="1:20" x14ac:dyDescent="0.25">
      <c r="E21" t="s">
        <v>30</v>
      </c>
      <c r="H21" t="s">
        <v>31</v>
      </c>
      <c r="K21" t="s">
        <v>31</v>
      </c>
      <c r="N21" t="s">
        <v>31</v>
      </c>
      <c r="Q21" t="s">
        <v>34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2026-07-23T07:08:16Z</dcterms:modified>
</cp:coreProperties>
</file>