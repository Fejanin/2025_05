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"/>
    </mc:Choice>
  </mc:AlternateContent>
  <xr:revisionPtr revIDLastSave="0" documentId="13_ncr:1_{A2A19486-1931-4E5E-AE87-59C133116C6A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externalReferences>
    <externalReference r:id="rId2"/>
    <externalReference r:id="rId3"/>
    <externalReference r:id="rId4"/>
  </externalReferences>
  <definedNames>
    <definedName name="_xlnm._FilterDatabase" localSheetId="0" hidden="1">Sheet!$A$3:$AT$131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V9" i="1" l="1"/>
  <c r="AV10" i="1"/>
  <c r="AV12" i="1"/>
  <c r="AV13" i="1"/>
  <c r="AV15" i="1"/>
  <c r="AV16" i="1"/>
  <c r="AV18" i="1"/>
  <c r="AV20" i="1"/>
  <c r="AV21" i="1"/>
  <c r="AV24" i="1"/>
  <c r="AV26" i="1"/>
  <c r="AV30" i="1"/>
  <c r="AV31" i="1"/>
  <c r="AV32" i="1"/>
  <c r="AV33" i="1"/>
  <c r="AV34" i="1"/>
  <c r="AV35" i="1"/>
  <c r="AV36" i="1"/>
  <c r="AV37" i="1"/>
  <c r="AV38" i="1"/>
  <c r="AV40" i="1"/>
  <c r="AV42" i="1"/>
  <c r="AV43" i="1"/>
  <c r="AV44" i="1"/>
  <c r="AV46" i="1"/>
  <c r="AV47" i="1"/>
  <c r="AV49" i="1"/>
  <c r="AV50" i="1"/>
  <c r="AV51" i="1"/>
  <c r="AV52" i="1"/>
  <c r="AV53" i="1"/>
  <c r="AV54" i="1"/>
  <c r="AV55" i="1"/>
  <c r="AV56" i="1"/>
  <c r="AV57" i="1"/>
  <c r="AV60" i="1"/>
  <c r="AV61" i="1"/>
  <c r="AV62" i="1"/>
  <c r="AV63" i="1"/>
  <c r="AV64" i="1"/>
  <c r="AV65" i="1"/>
  <c r="AV66" i="1"/>
  <c r="AV67" i="1"/>
  <c r="AV69" i="1"/>
  <c r="AV72" i="1"/>
  <c r="AV73" i="1"/>
  <c r="AV75" i="1"/>
  <c r="AV76" i="1"/>
  <c r="AV77" i="1"/>
  <c r="AV78" i="1"/>
  <c r="AV79" i="1"/>
  <c r="AV81" i="1"/>
  <c r="AV82" i="1"/>
  <c r="AV85" i="1"/>
  <c r="AV86" i="1"/>
  <c r="AV87" i="1"/>
  <c r="AV88" i="1"/>
  <c r="AV89" i="1"/>
  <c r="AV90" i="1"/>
  <c r="AV92" i="1"/>
  <c r="AV93" i="1"/>
  <c r="AV94" i="1"/>
  <c r="AV95" i="1"/>
  <c r="AV96" i="1"/>
  <c r="AV98" i="1"/>
  <c r="AV99" i="1"/>
  <c r="AV100" i="1"/>
  <c r="AV102" i="1"/>
  <c r="AV103" i="1"/>
  <c r="AV105" i="1"/>
  <c r="AV106" i="1"/>
  <c r="AV107" i="1"/>
  <c r="AV108" i="1"/>
  <c r="AV109" i="1"/>
  <c r="AV110" i="1"/>
  <c r="AV111" i="1"/>
  <c r="AV112" i="1"/>
  <c r="AV113" i="1"/>
  <c r="AV114" i="1"/>
  <c r="AV115" i="1"/>
  <c r="AV116" i="1"/>
  <c r="AV117" i="1"/>
  <c r="AV118" i="1"/>
  <c r="AV119" i="1"/>
  <c r="AV120" i="1"/>
  <c r="AV121" i="1"/>
  <c r="AV122" i="1"/>
  <c r="AV123" i="1"/>
  <c r="AV124" i="1"/>
  <c r="AV125" i="1"/>
  <c r="AV126" i="1"/>
  <c r="AV127" i="1"/>
  <c r="AV128" i="1"/>
  <c r="AV129" i="1"/>
  <c r="AV130" i="1"/>
  <c r="AV131" i="1"/>
  <c r="AV6" i="1"/>
  <c r="AD104" i="1"/>
  <c r="AV104" i="1" s="1"/>
  <c r="AD101" i="1"/>
  <c r="AV101" i="1" s="1"/>
  <c r="AD97" i="1"/>
  <c r="AV97" i="1" s="1"/>
  <c r="AD91" i="1"/>
  <c r="AV91" i="1" s="1"/>
  <c r="AD84" i="1"/>
  <c r="AV84" i="1" s="1"/>
  <c r="AD83" i="1"/>
  <c r="AV83" i="1" s="1"/>
  <c r="AD80" i="1"/>
  <c r="AV80" i="1" s="1"/>
  <c r="AD74" i="1"/>
  <c r="AV74" i="1" s="1"/>
  <c r="AD71" i="1"/>
  <c r="AV71" i="1" s="1"/>
  <c r="AD70" i="1"/>
  <c r="AV70" i="1" s="1"/>
  <c r="AD68" i="1"/>
  <c r="AV68" i="1" s="1"/>
  <c r="AD59" i="1"/>
  <c r="AV59" i="1" s="1"/>
  <c r="AD58" i="1"/>
  <c r="AV58" i="1" s="1"/>
  <c r="AD48" i="1"/>
  <c r="AV48" i="1" s="1"/>
  <c r="AD45" i="1"/>
  <c r="AV45" i="1" s="1"/>
  <c r="AD41" i="1"/>
  <c r="AV41" i="1" s="1"/>
  <c r="AD39" i="1"/>
  <c r="AV39" i="1" s="1"/>
  <c r="AD29" i="1"/>
  <c r="AV29" i="1" s="1"/>
  <c r="AD28" i="1"/>
  <c r="AV28" i="1" s="1"/>
  <c r="AD27" i="1"/>
  <c r="AV27" i="1" s="1"/>
  <c r="AD25" i="1"/>
  <c r="AV25" i="1" s="1"/>
  <c r="AD23" i="1"/>
  <c r="AV23" i="1" s="1"/>
  <c r="AD22" i="1"/>
  <c r="AV22" i="1" s="1"/>
  <c r="AD19" i="1"/>
  <c r="AV19" i="1" s="1"/>
  <c r="AD17" i="1"/>
  <c r="AV17" i="1" s="1"/>
  <c r="AD14" i="1"/>
  <c r="AV14" i="1" s="1"/>
  <c r="AD11" i="1"/>
  <c r="AV11" i="1" s="1"/>
  <c r="AD8" i="1"/>
  <c r="AV8" i="1" s="1"/>
  <c r="AD7" i="1"/>
  <c r="AV7" i="1" s="1"/>
  <c r="AV5" i="1" l="1"/>
  <c r="AD5" i="1"/>
  <c r="AE9" i="1"/>
  <c r="AE10" i="1"/>
  <c r="AE12" i="1"/>
  <c r="AE13" i="1"/>
  <c r="AE14" i="1"/>
  <c r="AE17" i="1"/>
  <c r="AE18" i="1"/>
  <c r="AE23" i="1"/>
  <c r="AE25" i="1"/>
  <c r="AE28" i="1"/>
  <c r="AE29" i="1"/>
  <c r="AE32" i="1"/>
  <c r="AE36" i="1"/>
  <c r="AE37" i="1"/>
  <c r="AE38" i="1"/>
  <c r="AE39" i="1"/>
  <c r="AE41" i="1"/>
  <c r="AE42" i="1"/>
  <c r="AE45" i="1"/>
  <c r="AE47" i="1"/>
  <c r="AE48" i="1"/>
  <c r="AE49" i="1"/>
  <c r="AE51" i="1"/>
  <c r="AE54" i="1"/>
  <c r="AE57" i="1"/>
  <c r="AE58" i="1"/>
  <c r="AE59" i="1"/>
  <c r="AE60" i="1"/>
  <c r="AE61" i="1"/>
  <c r="AE63" i="1"/>
  <c r="AE68" i="1"/>
  <c r="AE69" i="1"/>
  <c r="AE71" i="1"/>
  <c r="AE76" i="1"/>
  <c r="AE77" i="1"/>
  <c r="AE78" i="1"/>
  <c r="AE80" i="1"/>
  <c r="AE82" i="1"/>
  <c r="AE83" i="1"/>
  <c r="AE84" i="1"/>
  <c r="AE87" i="1"/>
  <c r="AE89" i="1"/>
  <c r="AE90" i="1"/>
  <c r="AE91" i="1"/>
  <c r="AE92" i="1"/>
  <c r="AE93" i="1"/>
  <c r="AE94" i="1"/>
  <c r="AE95" i="1"/>
  <c r="AE96" i="1"/>
  <c r="AE97" i="1"/>
  <c r="AE99" i="1"/>
  <c r="AE100" i="1"/>
  <c r="AE101" i="1"/>
  <c r="AE103" i="1"/>
  <c r="AE104" i="1"/>
  <c r="AE105" i="1"/>
  <c r="AE106" i="1"/>
  <c r="AE108" i="1"/>
  <c r="AE110" i="1"/>
  <c r="AE111" i="1"/>
  <c r="AE112" i="1"/>
  <c r="AE113" i="1"/>
  <c r="AE114" i="1"/>
  <c r="AE115" i="1"/>
  <c r="AE116" i="1"/>
  <c r="AE117" i="1"/>
  <c r="AE118" i="1"/>
  <c r="AE119" i="1"/>
  <c r="AE120" i="1"/>
  <c r="AE121" i="1"/>
  <c r="AE122" i="1"/>
  <c r="AE123" i="1"/>
  <c r="AE124" i="1"/>
  <c r="AE125" i="1"/>
  <c r="AE126" i="1"/>
  <c r="AE127" i="1"/>
  <c r="AE128" i="1"/>
  <c r="AE129" i="1"/>
  <c r="AE130" i="1"/>
  <c r="AE131" i="1"/>
  <c r="AR9" i="1"/>
  <c r="AR111" i="1"/>
  <c r="AR130" i="1" l="1"/>
  <c r="AR128" i="1"/>
  <c r="AR126" i="1"/>
  <c r="AR124" i="1"/>
  <c r="AR122" i="1"/>
  <c r="AR120" i="1"/>
  <c r="AR118" i="1"/>
  <c r="AR116" i="1"/>
  <c r="AR114" i="1"/>
  <c r="AR112" i="1"/>
  <c r="AR110" i="1"/>
  <c r="AR106" i="1"/>
  <c r="AR104" i="1"/>
  <c r="AR101" i="1"/>
  <c r="AR99" i="1"/>
  <c r="AR96" i="1"/>
  <c r="AR94" i="1"/>
  <c r="AR92" i="1"/>
  <c r="AR90" i="1"/>
  <c r="AR87" i="1"/>
  <c r="AR83" i="1"/>
  <c r="AR80" i="1"/>
  <c r="AR77" i="1"/>
  <c r="AR68" i="1"/>
  <c r="AR61" i="1"/>
  <c r="AR59" i="1"/>
  <c r="AR57" i="1"/>
  <c r="AR51" i="1"/>
  <c r="AR48" i="1"/>
  <c r="AR45" i="1"/>
  <c r="AR41" i="1"/>
  <c r="AR38" i="1"/>
  <c r="AR36" i="1"/>
  <c r="AR29" i="1"/>
  <c r="AR25" i="1"/>
  <c r="AR18" i="1"/>
  <c r="AR14" i="1"/>
  <c r="AR12" i="1"/>
  <c r="AR71" i="1"/>
  <c r="AR131" i="1"/>
  <c r="AR129" i="1"/>
  <c r="AR127" i="1"/>
  <c r="AR125" i="1"/>
  <c r="AR123" i="1"/>
  <c r="AR121" i="1"/>
  <c r="AR119" i="1"/>
  <c r="AR117" i="1"/>
  <c r="AR115" i="1"/>
  <c r="AR113" i="1"/>
  <c r="AR108" i="1"/>
  <c r="AR105" i="1"/>
  <c r="AR103" i="1"/>
  <c r="AR100" i="1"/>
  <c r="AR97" i="1"/>
  <c r="AR95" i="1"/>
  <c r="AR93" i="1"/>
  <c r="AR91" i="1"/>
  <c r="AR89" i="1"/>
  <c r="AR84" i="1"/>
  <c r="AR82" i="1"/>
  <c r="AR78" i="1"/>
  <c r="AR76" i="1"/>
  <c r="AR69" i="1"/>
  <c r="AR63" i="1"/>
  <c r="AR60" i="1"/>
  <c r="AR58" i="1"/>
  <c r="AR54" i="1"/>
  <c r="AR49" i="1"/>
  <c r="AR47" i="1"/>
  <c r="AR42" i="1"/>
  <c r="AR39" i="1"/>
  <c r="AR37" i="1"/>
  <c r="AR32" i="1"/>
  <c r="AR28" i="1"/>
  <c r="AR23" i="1"/>
  <c r="AR17" i="1"/>
  <c r="AR13" i="1"/>
  <c r="AR10" i="1"/>
  <c r="AC131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97" i="1"/>
  <c r="AC98" i="1"/>
  <c r="AC99" i="1"/>
  <c r="AC100" i="1"/>
  <c r="AC101" i="1"/>
  <c r="AC102" i="1"/>
  <c r="AC103" i="1"/>
  <c r="AC104" i="1"/>
  <c r="AC105" i="1"/>
  <c r="AC106" i="1"/>
  <c r="AC107" i="1"/>
  <c r="AC108" i="1"/>
  <c r="AC109" i="1"/>
  <c r="AC110" i="1"/>
  <c r="AC111" i="1"/>
  <c r="AC112" i="1"/>
  <c r="AC113" i="1"/>
  <c r="AC114" i="1"/>
  <c r="AC115" i="1"/>
  <c r="AC116" i="1"/>
  <c r="AC117" i="1"/>
  <c r="AC118" i="1"/>
  <c r="AC119" i="1"/>
  <c r="AC120" i="1"/>
  <c r="AC121" i="1"/>
  <c r="AC122" i="1"/>
  <c r="AC123" i="1"/>
  <c r="AC124" i="1"/>
  <c r="AC125" i="1"/>
  <c r="AC126" i="1"/>
  <c r="AC127" i="1"/>
  <c r="AC128" i="1"/>
  <c r="AC129" i="1"/>
  <c r="AC130" i="1"/>
  <c r="AC6" i="1"/>
  <c r="AS83" i="1" l="1"/>
  <c r="S7" i="1" l="1"/>
  <c r="S8" i="1"/>
  <c r="S11" i="1"/>
  <c r="S15" i="1"/>
  <c r="S19" i="1"/>
  <c r="S21" i="1"/>
  <c r="S22" i="1"/>
  <c r="S27" i="1"/>
  <c r="S29" i="1"/>
  <c r="S42" i="1"/>
  <c r="S56" i="1"/>
  <c r="S59" i="1"/>
  <c r="S60" i="1"/>
  <c r="S72" i="1"/>
  <c r="S73" i="1"/>
  <c r="S74" i="1"/>
  <c r="S96" i="1"/>
  <c r="S107" i="1"/>
  <c r="S6" i="1"/>
  <c r="S5" i="1" l="1"/>
  <c r="AS8" i="1"/>
  <c r="AS9" i="1"/>
  <c r="AS10" i="1"/>
  <c r="AS13" i="1"/>
  <c r="AS15" i="1"/>
  <c r="AS16" i="1"/>
  <c r="AS19" i="1"/>
  <c r="AS20" i="1"/>
  <c r="AS21" i="1"/>
  <c r="AS22" i="1"/>
  <c r="AS24" i="1"/>
  <c r="AS26" i="1"/>
  <c r="AS30" i="1"/>
  <c r="AS31" i="1"/>
  <c r="AS33" i="1"/>
  <c r="AS34" i="1"/>
  <c r="AS35" i="1"/>
  <c r="AS36" i="1"/>
  <c r="AS37" i="1"/>
  <c r="AS38" i="1"/>
  <c r="AS40" i="1"/>
  <c r="AS43" i="1"/>
  <c r="AS44" i="1"/>
  <c r="AS46" i="1"/>
  <c r="AS47" i="1"/>
  <c r="AS49" i="1"/>
  <c r="AS50" i="1"/>
  <c r="AS52" i="1"/>
  <c r="AS53" i="1"/>
  <c r="AS55" i="1"/>
  <c r="AS56" i="1"/>
  <c r="AS57" i="1"/>
  <c r="AS62" i="1"/>
  <c r="AS63" i="1"/>
  <c r="AS64" i="1"/>
  <c r="AS65" i="1"/>
  <c r="AS66" i="1"/>
  <c r="AS67" i="1"/>
  <c r="AS72" i="1"/>
  <c r="AS75" i="1"/>
  <c r="AS76" i="1"/>
  <c r="AS78" i="1"/>
  <c r="AS79" i="1"/>
  <c r="AS81" i="1"/>
  <c r="AS85" i="1"/>
  <c r="AS86" i="1"/>
  <c r="AS87" i="1"/>
  <c r="AS88" i="1"/>
  <c r="AS89" i="1"/>
  <c r="AS90" i="1"/>
  <c r="AS92" i="1"/>
  <c r="AS94" i="1"/>
  <c r="AS98" i="1"/>
  <c r="AS102" i="1"/>
  <c r="AS103" i="1"/>
  <c r="AS105" i="1"/>
  <c r="AS108" i="1"/>
  <c r="AS109" i="1"/>
  <c r="AS111" i="1"/>
  <c r="AS113" i="1"/>
  <c r="AS114" i="1"/>
  <c r="AS115" i="1"/>
  <c r="AS116" i="1"/>
  <c r="AS117" i="1"/>
  <c r="AS118" i="1"/>
  <c r="AS119" i="1"/>
  <c r="AS120" i="1"/>
  <c r="AS121" i="1"/>
  <c r="AS122" i="1"/>
  <c r="AS123" i="1"/>
  <c r="AS124" i="1"/>
  <c r="AS125" i="1"/>
  <c r="AS126" i="1"/>
  <c r="AS127" i="1"/>
  <c r="AS128" i="1"/>
  <c r="AS129" i="1"/>
  <c r="AS130" i="1"/>
  <c r="AS131" i="1"/>
  <c r="AS6" i="1"/>
  <c r="AA131" i="1"/>
  <c r="AF131" i="1" s="1"/>
  <c r="AA130" i="1"/>
  <c r="AF130" i="1" s="1"/>
  <c r="AA129" i="1"/>
  <c r="AF129" i="1" s="1"/>
  <c r="AT129" i="1" l="1"/>
  <c r="AT130" i="1"/>
  <c r="AT131" i="1"/>
  <c r="AG131" i="1"/>
  <c r="AG130" i="1"/>
  <c r="AG129" i="1"/>
  <c r="AA128" i="1" l="1"/>
  <c r="AF128" i="1" s="1"/>
  <c r="AA127" i="1"/>
  <c r="AF127" i="1" s="1"/>
  <c r="AA126" i="1"/>
  <c r="AF126" i="1" s="1"/>
  <c r="AA125" i="1"/>
  <c r="AF125" i="1" s="1"/>
  <c r="AA124" i="1"/>
  <c r="AF124" i="1" s="1"/>
  <c r="AA123" i="1"/>
  <c r="AF123" i="1" s="1"/>
  <c r="AA122" i="1"/>
  <c r="AF122" i="1" s="1"/>
  <c r="AA121" i="1"/>
  <c r="AF121" i="1" s="1"/>
  <c r="AA120" i="1"/>
  <c r="AF120" i="1" s="1"/>
  <c r="AA119" i="1"/>
  <c r="AF119" i="1" s="1"/>
  <c r="AA118" i="1"/>
  <c r="AF118" i="1" s="1"/>
  <c r="AA117" i="1"/>
  <c r="AF117" i="1" s="1"/>
  <c r="AA116" i="1"/>
  <c r="AF116" i="1" s="1"/>
  <c r="AA115" i="1"/>
  <c r="AF115" i="1" s="1"/>
  <c r="AA114" i="1"/>
  <c r="AF114" i="1" s="1"/>
  <c r="AA113" i="1"/>
  <c r="AF113" i="1" s="1"/>
  <c r="AT113" i="1" l="1"/>
  <c r="AT115" i="1"/>
  <c r="AT117" i="1"/>
  <c r="AT119" i="1"/>
  <c r="AT121" i="1"/>
  <c r="AT123" i="1"/>
  <c r="AT125" i="1"/>
  <c r="AT127" i="1"/>
  <c r="AT114" i="1"/>
  <c r="AT116" i="1"/>
  <c r="AT118" i="1"/>
  <c r="AT120" i="1"/>
  <c r="AT122" i="1"/>
  <c r="AT124" i="1"/>
  <c r="AT126" i="1"/>
  <c r="AT128" i="1"/>
  <c r="AG114" i="1"/>
  <c r="AG116" i="1"/>
  <c r="AG118" i="1"/>
  <c r="AG120" i="1"/>
  <c r="AG122" i="1"/>
  <c r="AG124" i="1"/>
  <c r="AG126" i="1"/>
  <c r="AG127" i="1"/>
  <c r="AG113" i="1"/>
  <c r="AG115" i="1"/>
  <c r="AG117" i="1"/>
  <c r="AG119" i="1"/>
  <c r="AG121" i="1"/>
  <c r="AG123" i="1"/>
  <c r="AG125" i="1"/>
  <c r="AG128" i="1"/>
  <c r="M7" i="1"/>
  <c r="AA7" i="1" s="1"/>
  <c r="M8" i="1"/>
  <c r="AA8" i="1" s="1"/>
  <c r="M9" i="1"/>
  <c r="AA9" i="1" s="1"/>
  <c r="AF9" i="1" s="1"/>
  <c r="M10" i="1"/>
  <c r="AA10" i="1" s="1"/>
  <c r="AF10" i="1" s="1"/>
  <c r="M11" i="1"/>
  <c r="AA11" i="1" s="1"/>
  <c r="M12" i="1"/>
  <c r="AA12" i="1" s="1"/>
  <c r="AF12" i="1" s="1"/>
  <c r="M13" i="1"/>
  <c r="AA13" i="1" s="1"/>
  <c r="AF13" i="1" s="1"/>
  <c r="M14" i="1"/>
  <c r="AA14" i="1" s="1"/>
  <c r="AF14" i="1" s="1"/>
  <c r="M15" i="1"/>
  <c r="AA15" i="1" s="1"/>
  <c r="M16" i="1"/>
  <c r="AA16" i="1" s="1"/>
  <c r="AU16" i="1" s="1"/>
  <c r="M17" i="1"/>
  <c r="AA17" i="1" s="1"/>
  <c r="AF17" i="1" s="1"/>
  <c r="M18" i="1"/>
  <c r="AA18" i="1" s="1"/>
  <c r="AF18" i="1" s="1"/>
  <c r="M19" i="1"/>
  <c r="AA19" i="1" s="1"/>
  <c r="M20" i="1"/>
  <c r="AA20" i="1" s="1"/>
  <c r="M21" i="1"/>
  <c r="AA21" i="1" s="1"/>
  <c r="M22" i="1"/>
  <c r="AA22" i="1" s="1"/>
  <c r="M23" i="1"/>
  <c r="AA23" i="1" s="1"/>
  <c r="AF23" i="1" s="1"/>
  <c r="M24" i="1"/>
  <c r="AA24" i="1" s="1"/>
  <c r="AU24" i="1" s="1"/>
  <c r="M25" i="1"/>
  <c r="AA25" i="1" s="1"/>
  <c r="AF25" i="1" s="1"/>
  <c r="M26" i="1"/>
  <c r="AA26" i="1" s="1"/>
  <c r="AU26" i="1" s="1"/>
  <c r="M27" i="1"/>
  <c r="AA27" i="1" s="1"/>
  <c r="M28" i="1"/>
  <c r="AA28" i="1" s="1"/>
  <c r="AF28" i="1" s="1"/>
  <c r="M29" i="1"/>
  <c r="AA29" i="1" s="1"/>
  <c r="AF29" i="1" s="1"/>
  <c r="M30" i="1"/>
  <c r="AA30" i="1" s="1"/>
  <c r="M31" i="1"/>
  <c r="AA31" i="1" s="1"/>
  <c r="M32" i="1"/>
  <c r="AA32" i="1" s="1"/>
  <c r="AF32" i="1" s="1"/>
  <c r="M33" i="1"/>
  <c r="AA33" i="1" s="1"/>
  <c r="M34" i="1"/>
  <c r="AA34" i="1" s="1"/>
  <c r="M35" i="1"/>
  <c r="AA35" i="1" s="1"/>
  <c r="M36" i="1"/>
  <c r="AA36" i="1" s="1"/>
  <c r="AF36" i="1" s="1"/>
  <c r="M37" i="1"/>
  <c r="AA37" i="1" s="1"/>
  <c r="AF37" i="1" s="1"/>
  <c r="M38" i="1"/>
  <c r="AA38" i="1" s="1"/>
  <c r="AF38" i="1" s="1"/>
  <c r="M39" i="1"/>
  <c r="AA39" i="1" s="1"/>
  <c r="AF39" i="1" s="1"/>
  <c r="M40" i="1"/>
  <c r="AA40" i="1" s="1"/>
  <c r="M41" i="1"/>
  <c r="AA41" i="1" s="1"/>
  <c r="AF41" i="1" s="1"/>
  <c r="M42" i="1"/>
  <c r="AA42" i="1" s="1"/>
  <c r="AF42" i="1" s="1"/>
  <c r="M43" i="1"/>
  <c r="AA43" i="1" s="1"/>
  <c r="M44" i="1"/>
  <c r="AA44" i="1" s="1"/>
  <c r="AU44" i="1" s="1"/>
  <c r="M45" i="1"/>
  <c r="AA45" i="1" s="1"/>
  <c r="AF45" i="1" s="1"/>
  <c r="M46" i="1"/>
  <c r="AA46" i="1" s="1"/>
  <c r="M47" i="1"/>
  <c r="AA47" i="1" s="1"/>
  <c r="AF47" i="1" s="1"/>
  <c r="M48" i="1"/>
  <c r="AA48" i="1" s="1"/>
  <c r="AF48" i="1" s="1"/>
  <c r="M49" i="1"/>
  <c r="AA49" i="1" s="1"/>
  <c r="AF49" i="1" s="1"/>
  <c r="M50" i="1"/>
  <c r="AA50" i="1" s="1"/>
  <c r="M51" i="1"/>
  <c r="AA51" i="1" s="1"/>
  <c r="AF51" i="1" s="1"/>
  <c r="M52" i="1"/>
  <c r="AA52" i="1" s="1"/>
  <c r="M53" i="1"/>
  <c r="AA53" i="1" s="1"/>
  <c r="M54" i="1"/>
  <c r="AA54" i="1" s="1"/>
  <c r="AF54" i="1" s="1"/>
  <c r="M55" i="1"/>
  <c r="AA55" i="1" s="1"/>
  <c r="M56" i="1"/>
  <c r="AA56" i="1" s="1"/>
  <c r="M57" i="1"/>
  <c r="AA57" i="1" s="1"/>
  <c r="AF57" i="1" s="1"/>
  <c r="M58" i="1"/>
  <c r="AA58" i="1" s="1"/>
  <c r="AF58" i="1" s="1"/>
  <c r="M59" i="1"/>
  <c r="AA59" i="1" s="1"/>
  <c r="AF59" i="1" s="1"/>
  <c r="M60" i="1"/>
  <c r="AA60" i="1" s="1"/>
  <c r="AF60" i="1" s="1"/>
  <c r="M61" i="1"/>
  <c r="AA61" i="1" s="1"/>
  <c r="AF61" i="1" s="1"/>
  <c r="M62" i="1"/>
  <c r="AA62" i="1" s="1"/>
  <c r="M63" i="1"/>
  <c r="M64" i="1"/>
  <c r="AA64" i="1" s="1"/>
  <c r="M65" i="1"/>
  <c r="AA65" i="1" s="1"/>
  <c r="M66" i="1"/>
  <c r="AA66" i="1" s="1"/>
  <c r="AT66" i="1" s="1"/>
  <c r="M67" i="1"/>
  <c r="AA67" i="1" s="1"/>
  <c r="M68" i="1"/>
  <c r="AA68" i="1" s="1"/>
  <c r="AF68" i="1" s="1"/>
  <c r="M69" i="1"/>
  <c r="AA69" i="1" s="1"/>
  <c r="AF69" i="1" s="1"/>
  <c r="M70" i="1"/>
  <c r="AA70" i="1" s="1"/>
  <c r="M71" i="1"/>
  <c r="AA71" i="1" s="1"/>
  <c r="AF71" i="1" s="1"/>
  <c r="M72" i="1"/>
  <c r="AA72" i="1" s="1"/>
  <c r="M73" i="1"/>
  <c r="AA73" i="1" s="1"/>
  <c r="M74" i="1"/>
  <c r="AA74" i="1" s="1"/>
  <c r="M75" i="1"/>
  <c r="AA75" i="1" s="1"/>
  <c r="M76" i="1"/>
  <c r="AA76" i="1" s="1"/>
  <c r="AF76" i="1" s="1"/>
  <c r="M77" i="1"/>
  <c r="AA77" i="1" s="1"/>
  <c r="AF77" i="1" s="1"/>
  <c r="M78" i="1"/>
  <c r="AA78" i="1" s="1"/>
  <c r="AF78" i="1" s="1"/>
  <c r="M79" i="1"/>
  <c r="AA79" i="1" s="1"/>
  <c r="M80" i="1"/>
  <c r="AA80" i="1" s="1"/>
  <c r="AF80" i="1" s="1"/>
  <c r="M81" i="1"/>
  <c r="AA81" i="1" s="1"/>
  <c r="M82" i="1"/>
  <c r="AA82" i="1" s="1"/>
  <c r="AF82" i="1" s="1"/>
  <c r="M83" i="1"/>
  <c r="AA83" i="1" s="1"/>
  <c r="AF83" i="1" s="1"/>
  <c r="M84" i="1"/>
  <c r="AA84" i="1" s="1"/>
  <c r="AF84" i="1" s="1"/>
  <c r="M85" i="1"/>
  <c r="AA85" i="1" s="1"/>
  <c r="M86" i="1"/>
  <c r="AA86" i="1" s="1"/>
  <c r="M87" i="1"/>
  <c r="AA87" i="1" s="1"/>
  <c r="AF87" i="1" s="1"/>
  <c r="M88" i="1"/>
  <c r="AA88" i="1" s="1"/>
  <c r="M89" i="1"/>
  <c r="AA89" i="1" s="1"/>
  <c r="AF89" i="1" s="1"/>
  <c r="M90" i="1"/>
  <c r="AA90" i="1" s="1"/>
  <c r="AF90" i="1" s="1"/>
  <c r="M91" i="1"/>
  <c r="AA91" i="1" s="1"/>
  <c r="AF91" i="1" s="1"/>
  <c r="M92" i="1"/>
  <c r="AA92" i="1" s="1"/>
  <c r="AF92" i="1" s="1"/>
  <c r="M93" i="1"/>
  <c r="AA93" i="1" s="1"/>
  <c r="AF93" i="1" s="1"/>
  <c r="M94" i="1"/>
  <c r="AA94" i="1" s="1"/>
  <c r="AF94" i="1" s="1"/>
  <c r="M95" i="1"/>
  <c r="AA95" i="1" s="1"/>
  <c r="AF95" i="1" s="1"/>
  <c r="M96" i="1"/>
  <c r="AA96" i="1" s="1"/>
  <c r="AF96" i="1" s="1"/>
  <c r="M97" i="1"/>
  <c r="AA97" i="1" s="1"/>
  <c r="AF97" i="1" s="1"/>
  <c r="M98" i="1"/>
  <c r="AA98" i="1" s="1"/>
  <c r="M99" i="1"/>
  <c r="AA99" i="1" s="1"/>
  <c r="AF99" i="1" s="1"/>
  <c r="M100" i="1"/>
  <c r="AA100" i="1" s="1"/>
  <c r="AF100" i="1" s="1"/>
  <c r="M101" i="1"/>
  <c r="AA101" i="1" s="1"/>
  <c r="AF101" i="1" s="1"/>
  <c r="M102" i="1"/>
  <c r="AA102" i="1" s="1"/>
  <c r="M103" i="1"/>
  <c r="AA103" i="1" s="1"/>
  <c r="AF103" i="1" s="1"/>
  <c r="M104" i="1"/>
  <c r="AA104" i="1" s="1"/>
  <c r="AF104" i="1" s="1"/>
  <c r="M105" i="1"/>
  <c r="AA105" i="1" s="1"/>
  <c r="AF105" i="1" s="1"/>
  <c r="M106" i="1"/>
  <c r="AA106" i="1" s="1"/>
  <c r="AF106" i="1" s="1"/>
  <c r="M107" i="1"/>
  <c r="AA107" i="1" s="1"/>
  <c r="M108" i="1"/>
  <c r="AA108" i="1" s="1"/>
  <c r="AF108" i="1" s="1"/>
  <c r="M109" i="1"/>
  <c r="AA109" i="1" s="1"/>
  <c r="M110" i="1"/>
  <c r="AA110" i="1" s="1"/>
  <c r="AF110" i="1" s="1"/>
  <c r="M111" i="1"/>
  <c r="AA111" i="1" s="1"/>
  <c r="AF111" i="1" s="1"/>
  <c r="M112" i="1"/>
  <c r="AA112" i="1" s="1"/>
  <c r="AF112" i="1" s="1"/>
  <c r="M6" i="1"/>
  <c r="AA6" i="1" s="1"/>
  <c r="AU6" i="1" s="1"/>
  <c r="L112" i="1"/>
  <c r="L111" i="1"/>
  <c r="L110" i="1"/>
  <c r="L109" i="1"/>
  <c r="L108" i="1"/>
  <c r="L107" i="1"/>
  <c r="L106" i="1"/>
  <c r="L105" i="1"/>
  <c r="L104" i="1"/>
  <c r="L103" i="1"/>
  <c r="L102" i="1"/>
  <c r="L101" i="1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AP5" i="1"/>
  <c r="AO5" i="1"/>
  <c r="AN5" i="1"/>
  <c r="AM5" i="1"/>
  <c r="AL5" i="1"/>
  <c r="AK5" i="1"/>
  <c r="AJ5" i="1"/>
  <c r="AI5" i="1"/>
  <c r="AH5" i="1"/>
  <c r="Z5" i="1"/>
  <c r="Y5" i="1"/>
  <c r="X5" i="1"/>
  <c r="W5" i="1"/>
  <c r="V5" i="1"/>
  <c r="U5" i="1"/>
  <c r="T5" i="1"/>
  <c r="R5" i="1"/>
  <c r="Q5" i="1"/>
  <c r="P5" i="1"/>
  <c r="O5" i="1"/>
  <c r="N5" i="1"/>
  <c r="K5" i="1"/>
  <c r="F5" i="1"/>
  <c r="E5" i="1"/>
  <c r="AT112" i="1" l="1"/>
  <c r="AT110" i="1"/>
  <c r="AT106" i="1"/>
  <c r="AT104" i="1"/>
  <c r="AT100" i="1"/>
  <c r="AT96" i="1"/>
  <c r="AT86" i="1"/>
  <c r="AT84" i="1"/>
  <c r="AT82" i="1"/>
  <c r="AT80" i="1"/>
  <c r="AU72" i="1"/>
  <c r="AT68" i="1"/>
  <c r="AT60" i="1"/>
  <c r="AT58" i="1"/>
  <c r="AU56" i="1"/>
  <c r="AT54" i="1"/>
  <c r="AT48" i="1"/>
  <c r="AU46" i="1"/>
  <c r="AT42" i="1"/>
  <c r="AT32" i="1"/>
  <c r="AT28" i="1"/>
  <c r="AU22" i="1"/>
  <c r="AT18" i="1"/>
  <c r="AT14" i="1"/>
  <c r="AT12" i="1"/>
  <c r="AU8" i="1"/>
  <c r="AT111" i="1"/>
  <c r="AT109" i="1"/>
  <c r="AT105" i="1"/>
  <c r="AT103" i="1"/>
  <c r="AT101" i="1"/>
  <c r="AT99" i="1"/>
  <c r="AT97" i="1"/>
  <c r="AT95" i="1"/>
  <c r="AT93" i="1"/>
  <c r="AT91" i="1"/>
  <c r="AT77" i="1"/>
  <c r="AT71" i="1"/>
  <c r="AT69" i="1"/>
  <c r="AT65" i="1"/>
  <c r="AT61" i="1"/>
  <c r="AT59" i="1"/>
  <c r="AT57" i="1"/>
  <c r="AT51" i="1"/>
  <c r="AT49" i="1"/>
  <c r="AT47" i="1"/>
  <c r="AT45" i="1"/>
  <c r="AT43" i="1"/>
  <c r="AT41" i="1"/>
  <c r="AT39" i="1"/>
  <c r="AT37" i="1"/>
  <c r="AT31" i="1"/>
  <c r="AT29" i="1"/>
  <c r="AT25" i="1"/>
  <c r="AT23" i="1"/>
  <c r="AU21" i="1"/>
  <c r="AU19" i="1"/>
  <c r="AT17" i="1"/>
  <c r="AU15" i="1"/>
  <c r="AT74" i="1"/>
  <c r="AU74" i="1"/>
  <c r="AT70" i="1"/>
  <c r="AU70" i="1"/>
  <c r="AT107" i="1"/>
  <c r="AU107" i="1"/>
  <c r="AT73" i="1"/>
  <c r="AU73" i="1"/>
  <c r="AT27" i="1"/>
  <c r="AU27" i="1"/>
  <c r="AT11" i="1"/>
  <c r="AU11" i="1"/>
  <c r="AT7" i="1"/>
  <c r="AU7" i="1"/>
  <c r="AB6" i="1"/>
  <c r="AT6" i="1"/>
  <c r="AT89" i="1"/>
  <c r="AT87" i="1"/>
  <c r="AB85" i="1"/>
  <c r="AT85" i="1"/>
  <c r="AT83" i="1"/>
  <c r="AB81" i="1"/>
  <c r="AT81" i="1"/>
  <c r="AB79" i="1"/>
  <c r="AT79" i="1"/>
  <c r="AB75" i="1"/>
  <c r="AT75" i="1"/>
  <c r="AB67" i="1"/>
  <c r="AT67" i="1"/>
  <c r="AB55" i="1"/>
  <c r="AT55" i="1"/>
  <c r="AB53" i="1"/>
  <c r="AT53" i="1"/>
  <c r="AB35" i="1"/>
  <c r="AT35" i="1"/>
  <c r="AB33" i="1"/>
  <c r="AT33" i="1"/>
  <c r="AT21" i="1"/>
  <c r="AT19" i="1"/>
  <c r="AT15" i="1"/>
  <c r="AT13" i="1"/>
  <c r="AT9" i="1"/>
  <c r="AT108" i="1"/>
  <c r="AT102" i="1"/>
  <c r="AB98" i="1"/>
  <c r="AT98" i="1"/>
  <c r="AT94" i="1"/>
  <c r="AT92" i="1"/>
  <c r="AT90" i="1"/>
  <c r="AB88" i="1"/>
  <c r="AT88" i="1"/>
  <c r="AT78" i="1"/>
  <c r="AT76" i="1"/>
  <c r="AT72" i="1"/>
  <c r="AB64" i="1"/>
  <c r="AT64" i="1"/>
  <c r="AT62" i="1"/>
  <c r="AT56" i="1"/>
  <c r="AB52" i="1"/>
  <c r="AT52" i="1"/>
  <c r="AT50" i="1"/>
  <c r="AT46" i="1"/>
  <c r="AB44" i="1"/>
  <c r="AT44" i="1"/>
  <c r="AB40" i="1"/>
  <c r="AT40" i="1"/>
  <c r="AT38" i="1"/>
  <c r="AT36" i="1"/>
  <c r="AT34" i="1"/>
  <c r="AB30" i="1"/>
  <c r="AE30" i="1" s="1"/>
  <c r="AF30" i="1" s="1"/>
  <c r="AT30" i="1"/>
  <c r="AB26" i="1"/>
  <c r="AE26" i="1" s="1"/>
  <c r="AF26" i="1" s="1"/>
  <c r="AT26" i="1"/>
  <c r="AB24" i="1"/>
  <c r="AE24" i="1" s="1"/>
  <c r="AF24" i="1" s="1"/>
  <c r="AT24" i="1"/>
  <c r="AT22" i="1"/>
  <c r="AT20" i="1"/>
  <c r="AB16" i="1"/>
  <c r="AT16" i="1"/>
  <c r="AT10" i="1"/>
  <c r="AT8" i="1"/>
  <c r="AB66" i="1"/>
  <c r="AA63" i="1"/>
  <c r="AF63" i="1" s="1"/>
  <c r="AG6" i="1"/>
  <c r="AG111" i="1"/>
  <c r="AG109" i="1"/>
  <c r="AE109" i="1" s="1"/>
  <c r="AG107" i="1"/>
  <c r="AE107" i="1" s="1"/>
  <c r="AG105" i="1"/>
  <c r="AG103" i="1"/>
  <c r="AG101" i="1"/>
  <c r="AG99" i="1"/>
  <c r="AS99" i="1" s="1"/>
  <c r="AG97" i="1"/>
  <c r="AS97" i="1" s="1"/>
  <c r="AG95" i="1"/>
  <c r="AS95" i="1" s="1"/>
  <c r="AG93" i="1"/>
  <c r="AS93" i="1" s="1"/>
  <c r="AG91" i="1"/>
  <c r="AG89" i="1"/>
  <c r="AG87" i="1"/>
  <c r="AG85" i="1"/>
  <c r="AE85" i="1" s="1"/>
  <c r="AF85" i="1" s="1"/>
  <c r="AG83" i="1"/>
  <c r="AG81" i="1"/>
  <c r="AE81" i="1" s="1"/>
  <c r="AF81" i="1" s="1"/>
  <c r="AG79" i="1"/>
  <c r="AE79" i="1" s="1"/>
  <c r="AF79" i="1" s="1"/>
  <c r="AG77" i="1"/>
  <c r="AS77" i="1" s="1"/>
  <c r="AG75" i="1"/>
  <c r="AE75" i="1" s="1"/>
  <c r="AF75" i="1" s="1"/>
  <c r="AG73" i="1"/>
  <c r="AE73" i="1" s="1"/>
  <c r="AG71" i="1"/>
  <c r="AG69" i="1"/>
  <c r="AG67" i="1"/>
  <c r="AE67" i="1" s="1"/>
  <c r="AF67" i="1" s="1"/>
  <c r="AG65" i="1"/>
  <c r="AE65" i="1" s="1"/>
  <c r="AG61" i="1"/>
  <c r="AG59" i="1"/>
  <c r="AG57" i="1"/>
  <c r="AG55" i="1"/>
  <c r="AE55" i="1" s="1"/>
  <c r="AF55" i="1" s="1"/>
  <c r="AG53" i="1"/>
  <c r="AE53" i="1" s="1"/>
  <c r="AF53" i="1" s="1"/>
  <c r="AG51" i="1"/>
  <c r="AG49" i="1"/>
  <c r="AG47" i="1"/>
  <c r="AG45" i="1"/>
  <c r="AS45" i="1" s="1"/>
  <c r="AG43" i="1"/>
  <c r="AE43" i="1" s="1"/>
  <c r="AG41" i="1"/>
  <c r="AG39" i="1"/>
  <c r="AS39" i="1" s="1"/>
  <c r="AG37" i="1"/>
  <c r="AG35" i="1"/>
  <c r="AE35" i="1" s="1"/>
  <c r="AF35" i="1" s="1"/>
  <c r="AG33" i="1"/>
  <c r="AE33" i="1" s="1"/>
  <c r="AF33" i="1" s="1"/>
  <c r="AG31" i="1"/>
  <c r="AE31" i="1" s="1"/>
  <c r="AG29" i="1"/>
  <c r="AS29" i="1" s="1"/>
  <c r="AG27" i="1"/>
  <c r="AG25" i="1"/>
  <c r="AS25" i="1" s="1"/>
  <c r="AG23" i="1"/>
  <c r="AG21" i="1"/>
  <c r="AE21" i="1" s="1"/>
  <c r="AG19" i="1"/>
  <c r="AG17" i="1"/>
  <c r="AS17" i="1" s="1"/>
  <c r="AG15" i="1"/>
  <c r="AE15" i="1" s="1"/>
  <c r="AG13" i="1"/>
  <c r="AG11" i="1"/>
  <c r="AE11" i="1" s="1"/>
  <c r="AG9" i="1"/>
  <c r="AG7" i="1"/>
  <c r="AG112" i="1"/>
  <c r="AG110" i="1"/>
  <c r="AS110" i="1" s="1"/>
  <c r="AG108" i="1"/>
  <c r="AG106" i="1"/>
  <c r="AG104" i="1"/>
  <c r="AG102" i="1"/>
  <c r="AE102" i="1" s="1"/>
  <c r="AG100" i="1"/>
  <c r="AG98" i="1"/>
  <c r="AE98" i="1" s="1"/>
  <c r="AF98" i="1" s="1"/>
  <c r="AG96" i="1"/>
  <c r="AS96" i="1" s="1"/>
  <c r="AG94" i="1"/>
  <c r="AG92" i="1"/>
  <c r="AG90" i="1"/>
  <c r="AG88" i="1"/>
  <c r="AE88" i="1" s="1"/>
  <c r="AF88" i="1" s="1"/>
  <c r="AG86" i="1"/>
  <c r="AE86" i="1" s="1"/>
  <c r="AG84" i="1"/>
  <c r="AG82" i="1"/>
  <c r="AS82" i="1" s="1"/>
  <c r="AG80" i="1"/>
  <c r="AS80" i="1" s="1"/>
  <c r="AG78" i="1"/>
  <c r="AG76" i="1"/>
  <c r="AG74" i="1"/>
  <c r="AE74" i="1" s="1"/>
  <c r="AG72" i="1"/>
  <c r="AG70" i="1"/>
  <c r="AG68" i="1"/>
  <c r="AG66" i="1"/>
  <c r="AE66" i="1" s="1"/>
  <c r="AF66" i="1" s="1"/>
  <c r="AG64" i="1"/>
  <c r="AE64" i="1" s="1"/>
  <c r="AF64" i="1" s="1"/>
  <c r="AG62" i="1"/>
  <c r="AE62" i="1" s="1"/>
  <c r="AG60" i="1"/>
  <c r="AG58" i="1"/>
  <c r="AG56" i="1"/>
  <c r="AG54" i="1"/>
  <c r="AS54" i="1" s="1"/>
  <c r="AG52" i="1"/>
  <c r="AE52" i="1" s="1"/>
  <c r="AF52" i="1" s="1"/>
  <c r="AG50" i="1"/>
  <c r="AE50" i="1" s="1"/>
  <c r="AG48" i="1"/>
  <c r="AS48" i="1" s="1"/>
  <c r="AG46" i="1"/>
  <c r="AE46" i="1" s="1"/>
  <c r="AG44" i="1"/>
  <c r="AE44" i="1" s="1"/>
  <c r="AF44" i="1" s="1"/>
  <c r="AG42" i="1"/>
  <c r="AS42" i="1" s="1"/>
  <c r="AG40" i="1"/>
  <c r="AE40" i="1" s="1"/>
  <c r="AF40" i="1" s="1"/>
  <c r="AG38" i="1"/>
  <c r="AG36" i="1"/>
  <c r="AG34" i="1"/>
  <c r="AE34" i="1" s="1"/>
  <c r="AG32" i="1"/>
  <c r="AS32" i="1" s="1"/>
  <c r="AG30" i="1"/>
  <c r="AG28" i="1"/>
  <c r="AG26" i="1"/>
  <c r="AG24" i="1"/>
  <c r="AG22" i="1"/>
  <c r="AG20" i="1"/>
  <c r="AE20" i="1" s="1"/>
  <c r="AG18" i="1"/>
  <c r="AG16" i="1"/>
  <c r="AE16" i="1" s="1"/>
  <c r="AF16" i="1" s="1"/>
  <c r="AG14" i="1"/>
  <c r="AS14" i="1" s="1"/>
  <c r="AG12" i="1"/>
  <c r="AG10" i="1"/>
  <c r="AG8" i="1"/>
  <c r="AE8" i="1" s="1"/>
  <c r="L5" i="1"/>
  <c r="M5" i="1"/>
  <c r="AE6" i="1" l="1"/>
  <c r="AF6" i="1" s="1"/>
  <c r="AR22" i="1"/>
  <c r="AF22" i="1"/>
  <c r="AR34" i="1"/>
  <c r="AF34" i="1"/>
  <c r="AR46" i="1"/>
  <c r="AF46" i="1"/>
  <c r="AR50" i="1"/>
  <c r="AF50" i="1"/>
  <c r="AR62" i="1"/>
  <c r="AF62" i="1"/>
  <c r="AR74" i="1"/>
  <c r="AF74" i="1"/>
  <c r="AR86" i="1"/>
  <c r="AF86" i="1"/>
  <c r="AR102" i="1"/>
  <c r="AF102" i="1"/>
  <c r="AR11" i="1"/>
  <c r="AF11" i="1"/>
  <c r="AR15" i="1"/>
  <c r="AF15" i="1"/>
  <c r="AR19" i="1"/>
  <c r="AF19" i="1"/>
  <c r="AR31" i="1"/>
  <c r="AF31" i="1"/>
  <c r="AR43" i="1"/>
  <c r="AF43" i="1"/>
  <c r="AR65" i="1"/>
  <c r="AF65" i="1"/>
  <c r="AR73" i="1"/>
  <c r="AF73" i="1"/>
  <c r="AR109" i="1"/>
  <c r="AF109" i="1"/>
  <c r="AR8" i="1"/>
  <c r="AF8" i="1"/>
  <c r="AR20" i="1"/>
  <c r="AF20" i="1"/>
  <c r="AR21" i="1"/>
  <c r="AF21" i="1"/>
  <c r="AR107" i="1"/>
  <c r="AF107" i="1"/>
  <c r="AS70" i="1"/>
  <c r="AE70" i="1"/>
  <c r="AF70" i="1" s="1"/>
  <c r="AS7" i="1"/>
  <c r="AE7" i="1"/>
  <c r="AF7" i="1" s="1"/>
  <c r="AS27" i="1"/>
  <c r="AE27" i="1"/>
  <c r="AF27" i="1" s="1"/>
  <c r="AE56" i="1"/>
  <c r="AE72" i="1"/>
  <c r="AR66" i="1"/>
  <c r="AR16" i="1"/>
  <c r="AR24" i="1"/>
  <c r="AR26" i="1"/>
  <c r="AR30" i="1"/>
  <c r="AR88" i="1"/>
  <c r="AR33" i="1"/>
  <c r="AR35" i="1"/>
  <c r="AR53" i="1"/>
  <c r="AR55" i="1"/>
  <c r="AR67" i="1"/>
  <c r="AR75" i="1"/>
  <c r="AR79" i="1"/>
  <c r="AR81" i="1"/>
  <c r="AR40" i="1"/>
  <c r="AR44" i="1"/>
  <c r="AR52" i="1"/>
  <c r="AR64" i="1"/>
  <c r="AR98" i="1"/>
  <c r="AR85" i="1"/>
  <c r="AB5" i="1"/>
  <c r="AT63" i="1"/>
  <c r="AA5" i="1"/>
  <c r="AG63" i="1"/>
  <c r="AS18" i="1"/>
  <c r="AS58" i="1"/>
  <c r="AS74" i="1"/>
  <c r="AS106" i="1"/>
  <c r="AS11" i="1"/>
  <c r="AS23" i="1"/>
  <c r="AS51" i="1"/>
  <c r="AS59" i="1"/>
  <c r="AS71" i="1"/>
  <c r="AS91" i="1"/>
  <c r="AS107" i="1"/>
  <c r="AS12" i="1"/>
  <c r="AS28" i="1"/>
  <c r="AS60" i="1"/>
  <c r="AS68" i="1"/>
  <c r="AS84" i="1"/>
  <c r="AS100" i="1"/>
  <c r="AS104" i="1"/>
  <c r="AS112" i="1"/>
  <c r="AS41" i="1"/>
  <c r="AS61" i="1"/>
  <c r="AS69" i="1"/>
  <c r="AS73" i="1"/>
  <c r="AS101" i="1"/>
  <c r="AC5" i="1"/>
  <c r="AR6" i="1" l="1"/>
  <c r="AR72" i="1"/>
  <c r="AF72" i="1"/>
  <c r="AR56" i="1"/>
  <c r="AF56" i="1"/>
  <c r="AR27" i="1"/>
  <c r="AR7" i="1"/>
  <c r="AR70" i="1"/>
  <c r="AE5" i="1"/>
  <c r="AS5" i="1"/>
  <c r="AR5" i="1" l="1"/>
  <c r="AR1" i="1" s="1"/>
</calcChain>
</file>

<file path=xl/sharedStrings.xml><?xml version="1.0" encoding="utf-8"?>
<sst xmlns="http://schemas.openxmlformats.org/spreadsheetml/2006/main" count="506" uniqueCount="195">
  <si>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</si>
  <si>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</si>
  <si>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</si>
  <si>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</si>
  <si>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</si>
  <si>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</si>
  <si>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</si>
  <si>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</si>
  <si>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</si>
  <si>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</si>
  <si>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</si>
  <si>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</si>
  <si>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</si>
  <si>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</si>
  <si>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</si>
  <si>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</si>
  <si>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</si>
  <si>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</si>
  <si>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</si>
  <si>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</si>
  <si>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</si>
  <si>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</si>
  <si>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брак</t>
  </si>
  <si>
    <t>18,07,</t>
  </si>
  <si>
    <t>18,07,(дозаказ)</t>
  </si>
  <si>
    <t>19,07,</t>
  </si>
  <si>
    <t>19,07,(недогруз)</t>
  </si>
  <si>
    <t>19,07,(дозаказ)</t>
  </si>
  <si>
    <t>20,07,(дозаказ)</t>
  </si>
  <si>
    <t>20,07,(недогруз)</t>
  </si>
  <si>
    <t>20,07,</t>
  </si>
  <si>
    <t>21,07,</t>
  </si>
  <si>
    <t>21,07,(2)</t>
  </si>
  <si>
    <t>16,07,</t>
  </si>
  <si>
    <t>14,07,</t>
  </si>
  <si>
    <t>09,07,</t>
  </si>
  <si>
    <t>07,07,</t>
  </si>
  <si>
    <t>02,07,</t>
  </si>
  <si>
    <t>30,06,</t>
  </si>
  <si>
    <t>25,06,</t>
  </si>
  <si>
    <t>23,06,</t>
  </si>
  <si>
    <t xml:space="preserve"> 005  Колбаса Докторская ГОСТ, Вязанка вектор,ВЕС. ПОКОМ</t>
  </si>
  <si>
    <t>кг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</si>
  <si>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</si>
  <si>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</si>
  <si>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</si>
  <si>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</si>
  <si>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>19 шт списано (12,07,26)</t>
  </si>
  <si>
    <t xml:space="preserve"> 030  Сосиски Вязанка Молочные, Вязанка вискофан МГС, 0.45кг, ПОКОМ</t>
  </si>
  <si>
    <t>1000шт под ЮТЛ (Хмель 15,07,26)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</si>
  <si>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</si>
  <si>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</si>
  <si>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</si>
  <si>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</si>
  <si>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</si>
  <si>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</si>
  <si>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</si>
  <si>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</si>
  <si>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</si>
  <si>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</si>
  <si>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</si>
  <si>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</si>
  <si>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</si>
  <si>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250  Сардельки стародворские с говядиной в обол. NDX, ВЕС. ПОКОМ</t>
  </si>
  <si>
    <t>3500кг БРАК!!!</t>
  </si>
  <si>
    <t xml:space="preserve"> 253  Сосиски Ганноверские   ПОКОМ</t>
  </si>
  <si>
    <t xml:space="preserve"> 255  Сосиски Молочные для завтрака ТМ Особый рецепт, п/а МГС, ВЕС, ТМ Стародворье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</si>
  <si>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</si>
  <si>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</si>
  <si>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</si>
  <si>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</si>
  <si>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</si>
  <si>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</si>
  <si>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</si>
  <si>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>нужно увеличить продажи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</si>
  <si>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</si>
  <si>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</si>
  <si>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</si>
  <si>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</si>
  <si>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>17,07,26 уменьшить до 200 шт (Хмель) / 15,07,26 уменьшить до 200 шт (Хмель)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</si>
  <si>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</si>
  <si>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</si>
  <si>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</si>
  <si>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</si>
  <si>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</si>
  <si>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</si>
  <si>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</si>
  <si>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</si>
  <si>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</si>
  <si>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</si>
  <si>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</si>
  <si>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</si>
  <si>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</si>
  <si>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</si>
  <si>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>нужно увеличить продажи!!!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</si>
  <si>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</si>
  <si>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</si>
  <si>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</si>
  <si>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</si>
  <si>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</si>
  <si>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</si>
  <si>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</si>
  <si>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</si>
  <si>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</si>
  <si>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</si>
  <si>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</si>
  <si>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</si>
  <si>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>500шт под ЮТЛ (Хмель 15,07,26)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</si>
  <si>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</si>
  <si>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</si>
  <si>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</si>
  <si>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</si>
  <si>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</si>
  <si>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</si>
  <si>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</si>
  <si>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</si>
  <si>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</si>
  <si>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</si>
  <si>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</si>
  <si>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</si>
  <si>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463  Колбаса Молочная Традиционнаяв оболочке полиамид.ТМ Стародворье. ВЕС ПОКОМ</t>
  </si>
  <si>
    <t xml:space="preserve"> 485  Колбаса Молочная по-стародворски ТМ Стародворье в оболочке полиамид. ВЕС ПОКОМ </t>
  </si>
  <si>
    <t>не в матрице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</si>
  <si>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</si>
  <si>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</si>
  <si>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</si>
  <si>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</si>
  <si>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</si>
  <si>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</si>
  <si>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</si>
  <si>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</si>
  <si>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</si>
  <si>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</si>
  <si>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</si>
  <si>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</si>
  <si>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</si>
  <si>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</si>
  <si>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</si>
  <si>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</si>
  <si>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</si>
  <si>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</si>
  <si>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</si>
  <si>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</si>
  <si>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</si>
  <si>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577  Колбаса Молочная Стародворская ТМ Стародворье в оболочке полиамид НД ВЕС.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</si>
  <si>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</si>
  <si>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</si>
  <si>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</si>
  <si>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</si>
  <si>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>30шт плюсом (Ректо 15,07,26)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</si>
  <si>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</si>
  <si>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</si>
  <si>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</si>
  <si>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</si>
  <si>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</si>
  <si>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</si>
  <si>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</si>
  <si>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</si>
  <si>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</si>
  <si>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 xml:space="preserve"> 248  Сардельки Сочные ТМ Особый рецепт,   ПОКОМ</t>
  </si>
  <si>
    <t>нет потребности</t>
  </si>
  <si>
    <t xml:space="preserve"> 263  Шпикачки Стародворские, ВЕС.  ПОКОМ</t>
  </si>
  <si>
    <t xml:space="preserve"> 247  Сардельки Нежные, ВЕС.  ПОКОМ</t>
  </si>
  <si>
    <t xml:space="preserve"> 283  Сосиски Сочинки, ВЕС, ТМ Стародворье ПОКОМ</t>
  </si>
  <si>
    <t xml:space="preserve"> 436  Колбаса Молочная стародворская с молоком, ВЕС, ТМ Стародворье  ПОКОМ</t>
  </si>
  <si>
    <t xml:space="preserve"> 388  Сосиски Восточные Халяль ТМ Вязанка 0,33 кг АК. ПОКОМ</t>
  </si>
  <si>
    <t xml:space="preserve"> 318  Сосиски Датские ТМ Зареченские, ВЕС  ПОКОМ</t>
  </si>
  <si>
    <t xml:space="preserve"> 265  Колбаса Балыкбургская, ВЕС, ТМ Баварушка  ПОКОМ</t>
  </si>
  <si>
    <t xml:space="preserve"> 387  Колбаса вареная Мусульманская Халяль ТМ Вязанка, 0,4 кг ПОКОМ</t>
  </si>
  <si>
    <t xml:space="preserve"> 328  Сардельки Сочинки Стародворье ТМ  0,4 кг ПОКОМ</t>
  </si>
  <si>
    <t xml:space="preserve"> 225  Колбаса Дугушка со шпиком, ВЕС, ТМ Стародворье   ПОКОМ</t>
  </si>
  <si>
    <t xml:space="preserve"> 267  Колбаса Салями Филейбургская зернистая, оболочка фиброуз, ВЕС, ТМ Баварушка  ПОКОМ</t>
  </si>
  <si>
    <t xml:space="preserve"> 257  Сосиски Молочные оригинальные ТМ Особый рецепт, ВЕС.   ПОКОМ</t>
  </si>
  <si>
    <t xml:space="preserve"> 240  Колбаса Салями охотничья, ВЕС. ПОКОМ</t>
  </si>
  <si>
    <t xml:space="preserve"> 355  Колбаса Сервелат запеченный ТМ Стародворье ТС Дугушка. 0,6 кг. ПОКОМ</t>
  </si>
  <si>
    <t xml:space="preserve"> 552  Ветчина Сливушка с индейкой ТМ Вязанка в модифицированной газовой среде 0,1 кг нарезка  ПОКОМ</t>
  </si>
  <si>
    <t>матрица</t>
  </si>
  <si>
    <t>Консервы Гречка по-купечески с говядиной и овощами ТМ Стародворье банка металлическая ф/в 0,325 кг РК</t>
  </si>
  <si>
    <t>новинка</t>
  </si>
  <si>
    <t>Консервы Индейка томленая в собственном соку ТМ Стародворье банка металлическая ф/в 0,25 кг РК</t>
  </si>
  <si>
    <t>Консервы Буженина в пряном маринаде ТМ Стародворье банка металлическая ф/в 0,25 кг РК</t>
  </si>
  <si>
    <t>ВНИМАНИЕ / матрица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</si>
  <si>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710шт под клиента отгрузили 02,07,26</t>
    </r>
  </si>
  <si>
    <t>нужно увеличить продажи / убрать из заказа (Рекуто 15,07,26)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</si>
  <si>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08,07,26 +350кг (задача от завода для ТК / просили 450кг)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</si>
  <si>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08,07,26 +250кг (задача от завода для ТК / просили 350кг)</t>
    </r>
  </si>
  <si>
    <t>нужно увеличить продажи / вместо 219</t>
  </si>
  <si>
    <t>перемещение</t>
  </si>
  <si>
    <t>ТОП</t>
  </si>
  <si>
    <t>ТОП / матрица</t>
  </si>
  <si>
    <t>приход</t>
  </si>
  <si>
    <t>заказ</t>
  </si>
  <si>
    <t>ФАКТ перемещение</t>
  </si>
  <si>
    <t>26,07,</t>
  </si>
  <si>
    <t>перемещение Крым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</si>
</sst>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_ ;[Red]\-0.0\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9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4" fillId="0" borderId="1" xfId="1" applyNumberFormat="1" applyFont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4" fillId="4" borderId="1" xfId="1" applyNumberFormat="1" applyFont="1" applyFill="1"/>
    <xf numFmtId="164" fontId="1" fillId="5" borderId="1" xfId="1" applyNumberFormat="1" applyFill="1"/>
    <xf numFmtId="164" fontId="5" fillId="5" borderId="1" xfId="1" applyNumberFormat="1" applyFont="1" applyFill="1"/>
    <xf numFmtId="165" fontId="1" fillId="0" borderId="1" xfId="1" applyNumberFormat="1"/>
    <xf numFmtId="164" fontId="4" fillId="6" borderId="1" xfId="1" applyNumberFormat="1" applyFon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4" fillId="7" borderId="1" xfId="1" applyNumberFormat="1" applyFont="1" applyFill="1"/>
    <xf numFmtId="164" fontId="4" fillId="5" borderId="1" xfId="1" applyNumberFormat="1" applyFont="1" applyFill="1"/>
    <xf numFmtId="165" fontId="1" fillId="4" borderId="1" xfId="1" applyNumberFormat="1" applyFill="1"/>
    <xf numFmtId="164" fontId="2" fillId="4" borderId="1" xfId="1" applyNumberFormat="1" applyFont="1" applyFill="1"/>
    <xf numFmtId="0" fontId="0" fillId="4" borderId="1" xfId="0" applyFill="1"/>
    <xf numFmtId="164" fontId="1" fillId="0" borderId="1" xfId="1" applyNumberFormat="1" applyFont="1"/>
    <xf numFmtId="164" fontId="1" fillId="7" borderId="1" xfId="1" applyNumberFormat="1" applyFill="1"/>
    <xf numFmtId="0" fontId="0" fillId="0" borderId="1" xfId="0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044;&#1086;&#1085;&#1077;&#1094;&#1082;/&#1044;&#1086;&#1085;&#1077;&#1094;&#1082;%20&#1087;&#1088;&#1080;&#1093;&#1086;&#1076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Father\Work\2025_05\&#1056;&#1040;&#1041;&#1054;&#1063;&#1048;&#1049;%20&#1057;&#1058;&#1054;&#1051;\&#1088;&#1072;&#1089;&#1095;&#1077;&#1090;&#1099;%20&#1055;&#1054;&#1050;&#1054;&#1052;%20&#1050;&#1048;\&#1076;&#1074;%2021_07_26%20&#1076;&#1085;&#1088;&#1089;&#1095;%20&#1087;&#1086;&#1082;%20&#1082;&#1080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&#1084;&#1087;&#1083;&#1089;&#1072;&#1087;&#1083;&#1074;%20&#1044;&#1086;&#1085;&#1077;&#1094;&#1082;%20&#1087;&#1077;&#1088;&#1077;&#1084;&#1077;&#1097;&#1077;&#1085;&#1080;&#1077;%20&#1074;%20&#1050;&#1056;&#1067;&#1052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1">
          <cell r="A1" t="str">
            <v>Номенклатура</v>
          </cell>
          <cell r="B1" t="str">
            <v>Количество</v>
          </cell>
        </row>
        <row r="2">
          <cell r="A2" t="str">
            <v xml:space="preserve"> 005  Колбаса Докторская ГОСТ, Вязанка вектор,ВЕС. ПОКОМ</v>
          </cell>
          <cell r="B2">
            <v>1484.461</v>
          </cell>
        </row>
        <row r="3">
          <cell r="A3" t="str">
            <v xml:space="preserve"> 322  Колбаса вареная Молокуша 0,45кг ТМ Вязанка  ПОКОМ</v>
          </cell>
          <cell r="B3">
            <v>200</v>
          </cell>
        </row>
        <row r="4">
          <cell r="A4" t="str">
            <v xml:space="preserve"> 016  Сосиски Вязанка Молочные, Вязанка вискофан  ВЕС.ПОКОМ</v>
          </cell>
          <cell r="B4">
            <v>382.59</v>
          </cell>
        </row>
        <row r="5">
          <cell r="A5" t="str">
            <v xml:space="preserve"> 017  Сосиски Вязанка Сливочные, Вязанка амицел ВЕС.ПОКОМ</v>
          </cell>
          <cell r="B5">
            <v>1027.153</v>
          </cell>
        </row>
        <row r="6">
          <cell r="A6" t="str">
            <v xml:space="preserve"> 032  Сосиски Вязанка Сливочные, Вязанка амицел МГС, 0.45кг, ПОКОМ</v>
          </cell>
          <cell r="B6">
            <v>660</v>
          </cell>
        </row>
        <row r="7">
          <cell r="A7" t="str">
            <v xml:space="preserve"> 570  Колбаса Сервелат Финский ТМ Вязанка в оболочке фиброуз в вак. упаковке 0,28 кг срез  ПОКОМ</v>
          </cell>
          <cell r="B7">
            <v>282</v>
          </cell>
        </row>
        <row r="8">
          <cell r="A8" t="str">
            <v xml:space="preserve"> 346  Колбаса Сочинка зернистая с сочной грудинкой ТМ Стародворье.ВЕС ПОКОМ</v>
          </cell>
          <cell r="B8">
            <v>309.83800000000002</v>
          </cell>
        </row>
        <row r="9">
          <cell r="A9" t="str">
            <v xml:space="preserve"> 273  Сосиски Сочинки с сочной грудинкой, МГС 0.4кг,   ПОКОМ</v>
          </cell>
          <cell r="B9">
            <v>1038</v>
          </cell>
        </row>
        <row r="10">
          <cell r="A10" t="str">
            <v xml:space="preserve"> 278  Сосиски Сочинки с сочным окороком, МГС 0.4кг,   ПОКОМ</v>
          </cell>
          <cell r="B10">
            <v>294</v>
          </cell>
        </row>
        <row r="11">
          <cell r="A11" t="str">
            <v xml:space="preserve"> 457  Колбаса Молочная ТМ Особый рецепт ВЕС большой батон  ПОКОМ</v>
          </cell>
          <cell r="B11">
            <v>1399.9390000000001</v>
          </cell>
        </row>
        <row r="12">
          <cell r="A12" t="str">
            <v xml:space="preserve"> 452  Колбаса Со шпиком ВЕС большой батон ТМ Особый рецепт  ПОКОМ</v>
          </cell>
          <cell r="B12">
            <v>595.88</v>
          </cell>
        </row>
        <row r="13">
          <cell r="A13" t="str">
            <v xml:space="preserve"> 456  Колбаса Филейная ТМ Особый рецепт ВЕС большой батон  ПОКОМ</v>
          </cell>
          <cell r="B13">
            <v>833.05</v>
          </cell>
        </row>
        <row r="14">
          <cell r="A14" t="str">
            <v xml:space="preserve"> 597  Колбаса Классическая ТМ Особый рецепт в оболочке полиамид ВЕС. ПОКОМ</v>
          </cell>
          <cell r="B14">
            <v>281.54399999999998</v>
          </cell>
        </row>
        <row r="15">
          <cell r="A15" t="str">
            <v xml:space="preserve"> 229  Колбаса Молочная Дугушка, в/у, ВЕС, ТМ Стародворье   ПОКОМ</v>
          </cell>
          <cell r="B15">
            <v>511.54</v>
          </cell>
        </row>
        <row r="16">
          <cell r="A16" t="str">
            <v xml:space="preserve"> 376  Колбаса Докторская Дугушка 0,6кг ГОСТ ТМ Стародворье  ПОКОМ </v>
          </cell>
          <cell r="B16">
            <v>248</v>
          </cell>
        </row>
        <row r="17">
          <cell r="A17" t="str">
            <v xml:space="preserve"> 377  Колбаса Молочная Дугушка 0,6кг ТМ Стародворье  ПОКОМ</v>
          </cell>
          <cell r="B17">
            <v>160</v>
          </cell>
        </row>
        <row r="18">
          <cell r="A18" t="str">
            <v xml:space="preserve"> 200  Ветчина Дугушка ТМ Стародворье, вектор в/у    ПОКОМ</v>
          </cell>
          <cell r="B18">
            <v>666.875</v>
          </cell>
        </row>
        <row r="19">
          <cell r="A19" t="str">
            <v xml:space="preserve"> 239  Колбаса Салями запеч Дугушка, оболочка вектор, ВЕС, ТМ Стародворье  ПОКОМ</v>
          </cell>
          <cell r="B19">
            <v>264.286</v>
          </cell>
        </row>
        <row r="20">
          <cell r="A20" t="str">
            <v xml:space="preserve"> 242  Колбаса Сервелат ЗАПЕЧ.Дугушка ТМ Стародворье, вектор, в/к     ПОКОМ</v>
          </cell>
          <cell r="B20">
            <v>443.16</v>
          </cell>
        </row>
        <row r="21">
          <cell r="A21" t="str">
            <v>Европоддон (невозвратный)</v>
          </cell>
          <cell r="B21">
            <v>21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>
        <row r="1">
          <cell r="AB1">
            <v>11.5</v>
          </cell>
        </row>
        <row r="2">
          <cell r="P2">
            <v>12.9</v>
          </cell>
          <cell r="Q2">
            <v>4</v>
          </cell>
          <cell r="R2">
            <v>9.4</v>
          </cell>
          <cell r="U2">
            <v>4</v>
          </cell>
          <cell r="V2">
            <v>1.7</v>
          </cell>
          <cell r="X2">
            <v>14.1</v>
          </cell>
          <cell r="Y2">
            <v>4</v>
          </cell>
          <cell r="Z2">
            <v>3.4</v>
          </cell>
          <cell r="AC2" t="str">
            <v>шт</v>
          </cell>
        </row>
        <row r="3">
          <cell r="A3" t="str">
            <v>Номенклатура</v>
          </cell>
          <cell r="B3" t="str">
            <v>Ед. изм.</v>
          </cell>
          <cell r="C3" t="str">
            <v>Начальный остаток</v>
          </cell>
          <cell r="D3" t="str">
            <v>Приход</v>
          </cell>
          <cell r="E3" t="str">
            <v>Расход</v>
          </cell>
          <cell r="F3" t="str">
            <v>Конечный остаток</v>
          </cell>
          <cell r="G3" t="str">
            <v>крат</v>
          </cell>
          <cell r="H3" t="str">
            <v>сроки</v>
          </cell>
          <cell r="I3" t="str">
            <v>метка</v>
          </cell>
          <cell r="J3" t="str">
            <v>метка2</v>
          </cell>
          <cell r="K3" t="str">
            <v>заяв</v>
          </cell>
          <cell r="L3" t="str">
            <v>разн</v>
          </cell>
          <cell r="M3" t="str">
            <v>без опта</v>
          </cell>
          <cell r="N3" t="str">
            <v>опт</v>
          </cell>
          <cell r="O3" t="str">
            <v>заказ в пути</v>
          </cell>
          <cell r="P3" t="str">
            <v>заказ в пути</v>
          </cell>
          <cell r="Q3" t="str">
            <v>заказ в пути</v>
          </cell>
          <cell r="R3" t="str">
            <v>заказ в пути</v>
          </cell>
          <cell r="S3" t="str">
            <v>приход</v>
          </cell>
          <cell r="T3" t="str">
            <v>заказ в пути</v>
          </cell>
          <cell r="U3" t="str">
            <v>заказ в пути</v>
          </cell>
          <cell r="V3" t="str">
            <v>заказ в пути</v>
          </cell>
          <cell r="W3" t="str">
            <v>заказ в пути</v>
          </cell>
          <cell r="X3" t="str">
            <v>заказ в пути</v>
          </cell>
          <cell r="Y3" t="str">
            <v>заказ в пути</v>
          </cell>
          <cell r="Z3" t="str">
            <v>заказ в пути</v>
          </cell>
          <cell r="AA3" t="str">
            <v>ср нов</v>
          </cell>
          <cell r="AB3" t="str">
            <v>расчет</v>
          </cell>
          <cell r="AC3" t="str">
            <v>перемещение</v>
          </cell>
        </row>
        <row r="4">
          <cell r="O4" t="str">
            <v>брак</v>
          </cell>
          <cell r="P4" t="str">
            <v>18,07,</v>
          </cell>
          <cell r="Q4" t="str">
            <v>18,07,(дозаказ)</v>
          </cell>
          <cell r="R4" t="str">
            <v>19,07,</v>
          </cell>
          <cell r="T4" t="str">
            <v>19,07,(недогруз)</v>
          </cell>
          <cell r="U4" t="str">
            <v>19,07,(дозаказ)</v>
          </cell>
          <cell r="V4" t="str">
            <v>20,07,(дозаказ)</v>
          </cell>
          <cell r="W4" t="str">
            <v>20,07,(недогруз)</v>
          </cell>
          <cell r="X4" t="str">
            <v>20,07,</v>
          </cell>
          <cell r="Y4" t="str">
            <v>21,07,</v>
          </cell>
          <cell r="Z4" t="str">
            <v>21,07,(2)</v>
          </cell>
          <cell r="AA4" t="str">
            <v>21,07,</v>
          </cell>
          <cell r="AC4" t="str">
            <v>перемещение</v>
          </cell>
        </row>
        <row r="5">
          <cell r="E5">
            <v>60531.97600000001</v>
          </cell>
          <cell r="F5">
            <v>80155.660999999993</v>
          </cell>
          <cell r="K5">
            <v>89543.702999999994</v>
          </cell>
          <cell r="L5">
            <v>-29011.727000000006</v>
          </cell>
          <cell r="M5">
            <v>57804.186999999998</v>
          </cell>
          <cell r="N5">
            <v>2727.7889999999998</v>
          </cell>
          <cell r="O5">
            <v>-3500</v>
          </cell>
          <cell r="P5">
            <v>21673.42295480047</v>
          </cell>
          <cell r="Q5">
            <v>4000</v>
          </cell>
          <cell r="R5">
            <v>15680.571047421266</v>
          </cell>
          <cell r="S5">
            <v>11082.315999999999</v>
          </cell>
          <cell r="T5">
            <v>-4381</v>
          </cell>
          <cell r="U5">
            <v>4000</v>
          </cell>
          <cell r="V5">
            <v>1700</v>
          </cell>
          <cell r="W5">
            <v>-3234.6</v>
          </cell>
          <cell r="X5">
            <v>22072.497033999993</v>
          </cell>
          <cell r="Y5">
            <v>4563</v>
          </cell>
          <cell r="Z5">
            <v>4230</v>
          </cell>
          <cell r="AA5">
            <v>11560.837400000002</v>
          </cell>
          <cell r="AB5">
            <v>10988.041840884802</v>
          </cell>
          <cell r="AC5">
            <v>-23664.573656</v>
          </cell>
        </row>
        <row r="6">
          <cell r="A6" t="str">
            <v xml:space="preserve"> 005  Колбаса Докторская ГОСТ, Вязанка вектор,ВЕС. ПОКОМ</v>
          </cell>
          <cell r="B6" t="str">
            <v>кг</v>
          </cell>
          <cell r="C6">
            <v>1877.972</v>
          </cell>
          <cell r="D6">
            <v>2133.636</v>
          </cell>
          <cell r="E6">
            <v>2188.4430000000002</v>
          </cell>
          <cell r="F6">
            <v>1262.0450000000001</v>
          </cell>
          <cell r="G6">
            <v>1</v>
          </cell>
          <cell r="H6">
            <v>50</v>
          </cell>
          <cell r="I6" t="str">
            <v>ТОП / матрица</v>
          </cell>
          <cell r="K6">
            <v>2928.3</v>
          </cell>
          <cell r="L6">
            <v>-739.85699999999997</v>
          </cell>
          <cell r="M6">
            <v>1986.1030000000003</v>
          </cell>
          <cell r="N6">
            <v>202.34</v>
          </cell>
          <cell r="P6">
            <v>1462.6171972223999</v>
          </cell>
          <cell r="R6">
            <v>1486.2077971776</v>
          </cell>
          <cell r="S6">
            <v>1484.461</v>
          </cell>
          <cell r="X6">
            <v>138.62062799999981</v>
          </cell>
          <cell r="AA6">
            <v>397.22060000000005</v>
          </cell>
          <cell r="AB6">
            <v>19.935977600001252</v>
          </cell>
        </row>
        <row r="7">
          <cell r="A7" t="str">
            <v xml:space="preserve"> 016  Сосиски Вязанка Молочные, Вязанка вискофан  ВЕС.ПОКОМ</v>
          </cell>
          <cell r="B7" t="str">
            <v>кг</v>
          </cell>
          <cell r="C7">
            <v>1009.152</v>
          </cell>
          <cell r="D7">
            <v>794.66899999999998</v>
          </cell>
          <cell r="E7">
            <v>695.69200000000001</v>
          </cell>
          <cell r="F7">
            <v>1032.778</v>
          </cell>
          <cell r="G7">
            <v>1</v>
          </cell>
          <cell r="H7">
            <v>45</v>
          </cell>
          <cell r="I7" t="str">
            <v>ТОП / матрица</v>
          </cell>
          <cell r="K7">
            <v>1017.6</v>
          </cell>
          <cell r="L7">
            <v>-321.90800000000002</v>
          </cell>
          <cell r="M7">
            <v>695.69200000000001</v>
          </cell>
          <cell r="P7">
            <v>373.73589619910399</v>
          </cell>
          <cell r="R7">
            <v>379.7638945248961</v>
          </cell>
          <cell r="S7">
            <v>382.59</v>
          </cell>
          <cell r="X7">
            <v>227.7324500000002</v>
          </cell>
          <cell r="AA7">
            <v>139.13839999999999</v>
          </cell>
          <cell r="AC7">
            <v>-500</v>
          </cell>
        </row>
        <row r="8">
          <cell r="A8" t="str">
            <v xml:space="preserve"> 017  Сосиски Вязанка Сливочные, Вязанка амицел ВЕС.ПОКОМ</v>
          </cell>
          <cell r="B8" t="str">
            <v>кг</v>
          </cell>
          <cell r="C8">
            <v>3064.7020000000002</v>
          </cell>
          <cell r="D8">
            <v>2326.3090000000002</v>
          </cell>
          <cell r="E8">
            <v>2466.7350000000001</v>
          </cell>
          <cell r="F8">
            <v>2676.4969999999998</v>
          </cell>
          <cell r="G8">
            <v>1</v>
          </cell>
          <cell r="H8">
            <v>45</v>
          </cell>
          <cell r="I8" t="str">
            <v>ТОП / матрица</v>
          </cell>
          <cell r="K8">
            <v>3557.4</v>
          </cell>
          <cell r="L8">
            <v>-1090.665</v>
          </cell>
          <cell r="M8">
            <v>2417.3589999999999</v>
          </cell>
          <cell r="N8">
            <v>49.375999999999998</v>
          </cell>
          <cell r="P8">
            <v>998.37705574111988</v>
          </cell>
          <cell r="R8">
            <v>1014.47991147888</v>
          </cell>
          <cell r="S8">
            <v>1027.153</v>
          </cell>
          <cell r="X8">
            <v>1013.029752000002</v>
          </cell>
          <cell r="Z8">
            <v>500</v>
          </cell>
          <cell r="AA8">
            <v>483.47179999999997</v>
          </cell>
          <cell r="AC8">
            <v>-500</v>
          </cell>
        </row>
        <row r="9">
          <cell r="A9" t="str">
            <v xml:space="preserve"> 023  Колбаса Докторская ГОСТ, Вязанка вектор, 0,4 кг, ПОКОМ</v>
          </cell>
          <cell r="B9" t="str">
            <v>шт</v>
          </cell>
          <cell r="G9">
            <v>0.4</v>
          </cell>
          <cell r="H9">
            <v>50</v>
          </cell>
          <cell r="I9" t="str">
            <v>матрица</v>
          </cell>
          <cell r="L9">
            <v>0</v>
          </cell>
          <cell r="M9">
            <v>0</v>
          </cell>
          <cell r="P9">
            <v>15</v>
          </cell>
          <cell r="X9">
            <v>0</v>
          </cell>
          <cell r="AA9">
            <v>0</v>
          </cell>
        </row>
        <row r="10">
          <cell r="A10" t="str">
            <v xml:space="preserve"> 030  Сосиски Вязанка Молочные, Вязанка вискофан МГС, 0.45кг, ПОКОМ</v>
          </cell>
          <cell r="B10" t="str">
            <v>шт</v>
          </cell>
          <cell r="C10">
            <v>3448</v>
          </cell>
          <cell r="D10">
            <v>1075</v>
          </cell>
          <cell r="E10">
            <v>2766</v>
          </cell>
          <cell r="F10">
            <v>1139</v>
          </cell>
          <cell r="G10">
            <v>0.45</v>
          </cell>
          <cell r="H10">
            <v>45</v>
          </cell>
          <cell r="I10" t="str">
            <v>ВНИМАНИЕ / матрица</v>
          </cell>
          <cell r="K10">
            <v>3849</v>
          </cell>
          <cell r="L10">
            <v>-1083</v>
          </cell>
          <cell r="M10">
            <v>2736</v>
          </cell>
          <cell r="N10">
            <v>30</v>
          </cell>
          <cell r="P10">
            <v>1000</v>
          </cell>
          <cell r="X10">
            <v>1000</v>
          </cell>
          <cell r="Y10">
            <v>500</v>
          </cell>
          <cell r="Z10">
            <v>1000</v>
          </cell>
          <cell r="AA10">
            <v>547.20000000000005</v>
          </cell>
        </row>
        <row r="11">
          <cell r="A11" t="str">
            <v xml:space="preserve"> 032  Сосиски Вязанка Сливочные, Вязанка амицел МГС, 0.45кг, ПОКОМ</v>
          </cell>
          <cell r="B11" t="str">
            <v>шт</v>
          </cell>
          <cell r="C11">
            <v>3088</v>
          </cell>
          <cell r="D11">
            <v>4857</v>
          </cell>
          <cell r="E11">
            <v>2287</v>
          </cell>
          <cell r="F11">
            <v>4907</v>
          </cell>
          <cell r="G11">
            <v>0.45</v>
          </cell>
          <cell r="H11">
            <v>45</v>
          </cell>
          <cell r="I11" t="str">
            <v>ТОП / матрица</v>
          </cell>
          <cell r="K11">
            <v>3717</v>
          </cell>
          <cell r="L11">
            <v>-1430</v>
          </cell>
          <cell r="M11">
            <v>2227</v>
          </cell>
          <cell r="N11">
            <v>60</v>
          </cell>
          <cell r="P11">
            <v>649.09806342206957</v>
          </cell>
          <cell r="R11">
            <v>659.56738702565144</v>
          </cell>
          <cell r="S11">
            <v>660</v>
          </cell>
          <cell r="X11">
            <v>823.24719999999888</v>
          </cell>
          <cell r="Y11">
            <v>500</v>
          </cell>
          <cell r="AA11">
            <v>445.4</v>
          </cell>
          <cell r="AC11">
            <v>-2500</v>
          </cell>
        </row>
        <row r="12">
          <cell r="A12" t="str">
            <v xml:space="preserve"> 047  Кол Баварская, белков.обол. в термоусад. пакете 0.17 кг, ТМ Стародворье  ПОКОМ</v>
          </cell>
          <cell r="B12" t="str">
            <v>шт</v>
          </cell>
          <cell r="C12">
            <v>57</v>
          </cell>
          <cell r="D12">
            <v>78</v>
          </cell>
          <cell r="E12">
            <v>27</v>
          </cell>
          <cell r="F12">
            <v>105</v>
          </cell>
          <cell r="G12">
            <v>0.17</v>
          </cell>
          <cell r="H12">
            <v>180</v>
          </cell>
          <cell r="I12" t="str">
            <v>матрица</v>
          </cell>
          <cell r="K12">
            <v>108</v>
          </cell>
          <cell r="L12">
            <v>-81</v>
          </cell>
          <cell r="M12">
            <v>27</v>
          </cell>
          <cell r="P12">
            <v>109.8</v>
          </cell>
          <cell r="X12">
            <v>10</v>
          </cell>
          <cell r="AA12">
            <v>5.4</v>
          </cell>
          <cell r="AC12">
            <v>-80</v>
          </cell>
        </row>
        <row r="13">
          <cell r="A13" t="str">
            <v xml:space="preserve"> 062  Колбаса Кракушка пряная с сальцем, 0.3кг в/у п/к, БАВАРУШКА ПОКОМ</v>
          </cell>
          <cell r="B13" t="str">
            <v>шт</v>
          </cell>
          <cell r="C13">
            <v>9</v>
          </cell>
          <cell r="D13">
            <v>2</v>
          </cell>
          <cell r="E13">
            <v>4</v>
          </cell>
          <cell r="F13">
            <v>3</v>
          </cell>
          <cell r="G13">
            <v>0.3</v>
          </cell>
          <cell r="H13">
            <v>40</v>
          </cell>
          <cell r="I13" t="str">
            <v>матрица</v>
          </cell>
          <cell r="K13">
            <v>47</v>
          </cell>
          <cell r="L13">
            <v>-43</v>
          </cell>
          <cell r="M13">
            <v>4</v>
          </cell>
          <cell r="P13">
            <v>84.8</v>
          </cell>
          <cell r="X13">
            <v>26.7</v>
          </cell>
          <cell r="AA13">
            <v>0.8</v>
          </cell>
        </row>
        <row r="14">
          <cell r="A14" t="str">
            <v xml:space="preserve"> 083  Колбаса Швейцарская 0,17 кг., ШТ., сырокопченая   ПОКОМ</v>
          </cell>
          <cell r="B14" t="str">
            <v>шт</v>
          </cell>
          <cell r="C14">
            <v>41</v>
          </cell>
          <cell r="D14">
            <v>772</v>
          </cell>
          <cell r="E14">
            <v>107</v>
          </cell>
          <cell r="F14">
            <v>674</v>
          </cell>
          <cell r="G14">
            <v>0.17</v>
          </cell>
          <cell r="H14">
            <v>180</v>
          </cell>
          <cell r="I14" t="str">
            <v>матрица</v>
          </cell>
          <cell r="K14">
            <v>254</v>
          </cell>
          <cell r="L14">
            <v>-147</v>
          </cell>
          <cell r="M14">
            <v>107</v>
          </cell>
          <cell r="P14">
            <v>55.200000000000159</v>
          </cell>
          <cell r="X14">
            <v>0</v>
          </cell>
          <cell r="AA14">
            <v>21.4</v>
          </cell>
          <cell r="AC14">
            <v>-483.10000000000019</v>
          </cell>
        </row>
        <row r="15">
          <cell r="A15" t="str">
            <v xml:space="preserve"> 200  Ветчина Дугушка ТМ Стародворье, вектор в/у    ПОКОМ</v>
          </cell>
          <cell r="B15" t="str">
            <v>кг</v>
          </cell>
          <cell r="C15">
            <v>4081.1529999999998</v>
          </cell>
          <cell r="D15">
            <v>3384.971</v>
          </cell>
          <cell r="E15">
            <v>2939.857</v>
          </cell>
          <cell r="F15">
            <v>4216.1760000000004</v>
          </cell>
          <cell r="G15">
            <v>1</v>
          </cell>
          <cell r="H15">
            <v>70</v>
          </cell>
          <cell r="I15" t="str">
            <v>ТОП / матрица</v>
          </cell>
          <cell r="K15">
            <v>4118.8549999999996</v>
          </cell>
          <cell r="L15">
            <v>-1178.9979999999996</v>
          </cell>
          <cell r="M15">
            <v>2734.6889999999999</v>
          </cell>
          <cell r="N15">
            <v>205.16800000000001</v>
          </cell>
          <cell r="P15">
            <v>650.32179464705507</v>
          </cell>
          <cell r="R15">
            <v>660.81085585103995</v>
          </cell>
          <cell r="S15">
            <v>666.875</v>
          </cell>
          <cell r="X15">
            <v>800</v>
          </cell>
          <cell r="Y15">
            <v>500</v>
          </cell>
          <cell r="Z15">
            <v>500</v>
          </cell>
          <cell r="AA15">
            <v>546.93779999999992</v>
          </cell>
        </row>
        <row r="16">
          <cell r="A16" t="str">
            <v xml:space="preserve"> 201  Ветчина Нежная ТМ Особый рецепт, (2,5кг), ПОКОМ</v>
          </cell>
          <cell r="B16" t="str">
            <v>кг</v>
          </cell>
          <cell r="C16">
            <v>3757.902</v>
          </cell>
          <cell r="D16">
            <v>2376.846</v>
          </cell>
          <cell r="E16">
            <v>3277.9780000000001</v>
          </cell>
          <cell r="F16">
            <v>2641.9380000000001</v>
          </cell>
          <cell r="G16">
            <v>1</v>
          </cell>
          <cell r="H16">
            <v>50</v>
          </cell>
          <cell r="I16" t="str">
            <v>ТОП / матрица</v>
          </cell>
          <cell r="K16">
            <v>4707.66</v>
          </cell>
          <cell r="L16">
            <v>-1429.6819999999998</v>
          </cell>
          <cell r="M16">
            <v>3277.9780000000001</v>
          </cell>
          <cell r="P16">
            <v>924.85034467840137</v>
          </cell>
          <cell r="R16">
            <v>939.76728572160141</v>
          </cell>
          <cell r="T16">
            <v>-940</v>
          </cell>
          <cell r="X16">
            <v>1226.0137919999991</v>
          </cell>
          <cell r="Y16">
            <v>500</v>
          </cell>
          <cell r="AA16">
            <v>655.59559999999999</v>
          </cell>
          <cell r="AB16">
            <v>1918.9821775999981</v>
          </cell>
        </row>
        <row r="17">
          <cell r="A17" t="str">
            <v xml:space="preserve"> 215  Колбаса Докторская ГОСТ Дугушка, ВЕС, ТМ Стародворье ПОКОМ</v>
          </cell>
          <cell r="B17" t="str">
            <v>кг</v>
          </cell>
          <cell r="C17">
            <v>753.55399999999997</v>
          </cell>
          <cell r="D17">
            <v>82.524000000000001</v>
          </cell>
          <cell r="E17">
            <v>199.56299999999999</v>
          </cell>
          <cell r="F17">
            <v>553.99099999999999</v>
          </cell>
          <cell r="G17">
            <v>1</v>
          </cell>
          <cell r="H17">
            <v>60</v>
          </cell>
          <cell r="I17" t="str">
            <v>матрица</v>
          </cell>
          <cell r="K17">
            <v>316</v>
          </cell>
          <cell r="L17">
            <v>-116.43700000000001</v>
          </cell>
          <cell r="M17">
            <v>199.56299999999999</v>
          </cell>
          <cell r="P17">
            <v>0</v>
          </cell>
          <cell r="X17">
            <v>32.171500000000037</v>
          </cell>
          <cell r="AA17">
            <v>39.912599999999998</v>
          </cell>
          <cell r="AC17">
            <v>-127.16760000000004</v>
          </cell>
        </row>
        <row r="18">
          <cell r="A18" t="str">
            <v xml:space="preserve"> 226  Колбаса Княжеская, с/к белков.обол в термоусад. пакете, ВЕС, ТМ Стародворье ПОКОМ</v>
          </cell>
          <cell r="B18" t="str">
            <v>кг</v>
          </cell>
          <cell r="C18">
            <v>10.029999999999999</v>
          </cell>
          <cell r="D18">
            <v>1.079</v>
          </cell>
          <cell r="E18">
            <v>2.8570000000000002</v>
          </cell>
          <cell r="F18">
            <v>7.173</v>
          </cell>
          <cell r="G18">
            <v>1</v>
          </cell>
          <cell r="H18">
            <v>180</v>
          </cell>
          <cell r="I18" t="str">
            <v>матрица</v>
          </cell>
          <cell r="K18">
            <v>7.15</v>
          </cell>
          <cell r="L18">
            <v>-4.2930000000000001</v>
          </cell>
          <cell r="M18">
            <v>2.8570000000000002</v>
          </cell>
          <cell r="P18">
            <v>4</v>
          </cell>
          <cell r="X18">
            <v>4</v>
          </cell>
          <cell r="AA18">
            <v>0.57140000000000002</v>
          </cell>
        </row>
        <row r="19">
          <cell r="A19" t="str">
            <v xml:space="preserve"> 229  Колбаса Молочная Дугушка, в/у, ВЕС, ТМ Стародворье   ПОКОМ</v>
          </cell>
          <cell r="B19" t="str">
            <v>кг</v>
          </cell>
          <cell r="C19">
            <v>5553.3379999999997</v>
          </cell>
          <cell r="D19">
            <v>4176.2929999999997</v>
          </cell>
          <cell r="E19">
            <v>3377.8159999999998</v>
          </cell>
          <cell r="F19">
            <v>5909.8869999999997</v>
          </cell>
          <cell r="G19">
            <v>1</v>
          </cell>
          <cell r="H19">
            <v>60</v>
          </cell>
          <cell r="I19" t="str">
            <v>ТОП / матрица</v>
          </cell>
          <cell r="K19">
            <v>4962.05</v>
          </cell>
          <cell r="L19">
            <v>-1584.2340000000004</v>
          </cell>
          <cell r="M19">
            <v>3377.8159999999998</v>
          </cell>
          <cell r="P19">
            <v>493.59247989370459</v>
          </cell>
          <cell r="R19">
            <v>501.55364892424819</v>
          </cell>
          <cell r="S19">
            <v>511.54</v>
          </cell>
          <cell r="X19">
            <v>1064.1240119999991</v>
          </cell>
          <cell r="Y19">
            <v>900</v>
          </cell>
          <cell r="Z19">
            <v>500</v>
          </cell>
          <cell r="AA19">
            <v>675.56319999999994</v>
          </cell>
          <cell r="AC19">
            <v>-2200</v>
          </cell>
        </row>
        <row r="20">
          <cell r="A20" t="str">
            <v xml:space="preserve"> 236  Колбаса Рубленая ЗАПЕЧ. Дугушка ТМ Стародворье, вектор, в/к    ПОКОМ</v>
          </cell>
          <cell r="B20" t="str">
            <v>кг</v>
          </cell>
          <cell r="C20">
            <v>855.07399999999996</v>
          </cell>
          <cell r="D20">
            <v>580.279</v>
          </cell>
          <cell r="E20">
            <v>413.90300000000002</v>
          </cell>
          <cell r="F20">
            <v>941.71699999999998</v>
          </cell>
          <cell r="G20">
            <v>1</v>
          </cell>
          <cell r="H20">
            <v>70</v>
          </cell>
          <cell r="I20" t="str">
            <v>матрица</v>
          </cell>
          <cell r="K20">
            <v>596.9</v>
          </cell>
          <cell r="L20">
            <v>-182.99699999999996</v>
          </cell>
          <cell r="M20">
            <v>413.90300000000002</v>
          </cell>
          <cell r="P20">
            <v>0</v>
          </cell>
          <cell r="X20">
            <v>0</v>
          </cell>
          <cell r="AA20">
            <v>82.780600000000007</v>
          </cell>
        </row>
        <row r="21">
          <cell r="A21" t="str">
            <v xml:space="preserve"> 239  Колбаса Салями запеч Дугушка, оболочка вектор, ВЕС, ТМ Стародворье  ПОКОМ</v>
          </cell>
          <cell r="B21" t="str">
            <v>кг</v>
          </cell>
          <cell r="C21">
            <v>1798.404</v>
          </cell>
          <cell r="D21">
            <v>425.70299999999997</v>
          </cell>
          <cell r="E21">
            <v>952.52800000000002</v>
          </cell>
          <cell r="F21">
            <v>1155.0530000000001</v>
          </cell>
          <cell r="G21">
            <v>1</v>
          </cell>
          <cell r="H21">
            <v>70</v>
          </cell>
          <cell r="I21" t="str">
            <v>ТОП / матрица</v>
          </cell>
          <cell r="K21">
            <v>1274.277</v>
          </cell>
          <cell r="L21">
            <v>-321.74900000000002</v>
          </cell>
          <cell r="M21">
            <v>952.52800000000002</v>
          </cell>
          <cell r="P21">
            <v>259.85550588160021</v>
          </cell>
          <cell r="R21">
            <v>264.04672371840007</v>
          </cell>
          <cell r="S21">
            <v>264.286</v>
          </cell>
          <cell r="X21">
            <v>437.60030000000012</v>
          </cell>
          <cell r="Y21">
            <v>400</v>
          </cell>
          <cell r="AA21">
            <v>190.50560000000002</v>
          </cell>
        </row>
        <row r="22">
          <cell r="A22" t="str">
            <v xml:space="preserve"> 242  Колбаса Сервелат ЗАПЕЧ.Дугушка ТМ Стародворье, вектор, в/к     ПОКОМ</v>
          </cell>
          <cell r="B22" t="str">
            <v>кг</v>
          </cell>
          <cell r="C22">
            <v>2302.8200000000002</v>
          </cell>
          <cell r="D22">
            <v>1944.8710000000001</v>
          </cell>
          <cell r="E22">
            <v>1660.1980000000001</v>
          </cell>
          <cell r="F22">
            <v>2398.0520000000001</v>
          </cell>
          <cell r="G22">
            <v>1</v>
          </cell>
          <cell r="H22">
            <v>70</v>
          </cell>
          <cell r="I22" t="str">
            <v>ТОП / матрица</v>
          </cell>
          <cell r="K22">
            <v>2313.366</v>
          </cell>
          <cell r="L22">
            <v>-653.16799999999989</v>
          </cell>
          <cell r="M22">
            <v>1660.1980000000001</v>
          </cell>
          <cell r="P22">
            <v>434.92934343984001</v>
          </cell>
          <cell r="R22">
            <v>441.94433285015998</v>
          </cell>
          <cell r="S22">
            <v>443.16</v>
          </cell>
          <cell r="X22">
            <v>705.53755199999955</v>
          </cell>
          <cell r="Y22">
            <v>400</v>
          </cell>
          <cell r="Z22">
            <v>230</v>
          </cell>
          <cell r="AA22">
            <v>332.03960000000001</v>
          </cell>
          <cell r="AC22">
            <v>-300</v>
          </cell>
        </row>
        <row r="23">
          <cell r="A23" t="str">
            <v xml:space="preserve"> 244  Колбаса Сервелат Кремлевский, ВЕС. ПОКОМ</v>
          </cell>
          <cell r="B23" t="str">
            <v>кг</v>
          </cell>
          <cell r="C23">
            <v>78.712000000000003</v>
          </cell>
          <cell r="D23">
            <v>41.43</v>
          </cell>
          <cell r="E23">
            <v>23.24</v>
          </cell>
          <cell r="F23">
            <v>94.721999999999994</v>
          </cell>
          <cell r="G23">
            <v>1</v>
          </cell>
          <cell r="H23">
            <v>40</v>
          </cell>
          <cell r="I23" t="str">
            <v>матрица</v>
          </cell>
          <cell r="K23">
            <v>58.9</v>
          </cell>
          <cell r="L23">
            <v>-35.659999999999997</v>
          </cell>
          <cell r="M23">
            <v>23.24</v>
          </cell>
          <cell r="P23">
            <v>0</v>
          </cell>
          <cell r="X23">
            <v>0</v>
          </cell>
          <cell r="AA23">
            <v>4.6479999999999997</v>
          </cell>
          <cell r="AC23">
            <v>-41.269999999999989</v>
          </cell>
        </row>
        <row r="24">
          <cell r="A24" t="str">
            <v xml:space="preserve"> 250  Сардельки стародворские с говядиной в обол. NDX, ВЕС. ПОКОМ</v>
          </cell>
          <cell r="B24" t="str">
            <v>кг</v>
          </cell>
          <cell r="C24">
            <v>5190.2139999999999</v>
          </cell>
          <cell r="D24">
            <v>2699.3670000000002</v>
          </cell>
          <cell r="E24">
            <v>2202.2750000000001</v>
          </cell>
          <cell r="F24">
            <v>5247.3220000000001</v>
          </cell>
          <cell r="G24">
            <v>1</v>
          </cell>
          <cell r="H24">
            <v>30</v>
          </cell>
          <cell r="I24" t="str">
            <v>ТОП / матрица</v>
          </cell>
          <cell r="K24">
            <v>3175.962</v>
          </cell>
          <cell r="L24">
            <v>-973.6869999999999</v>
          </cell>
          <cell r="M24">
            <v>2202.2750000000001</v>
          </cell>
          <cell r="O24">
            <v>-3500</v>
          </cell>
          <cell r="P24">
            <v>700</v>
          </cell>
          <cell r="R24">
            <v>700</v>
          </cell>
          <cell r="T24">
            <v>-700</v>
          </cell>
          <cell r="W24">
            <v>-405.6</v>
          </cell>
          <cell r="X24">
            <v>400</v>
          </cell>
          <cell r="Y24">
            <v>300</v>
          </cell>
          <cell r="AA24">
            <v>440.45500000000004</v>
          </cell>
          <cell r="AB24">
            <v>2103.2830000000004</v>
          </cell>
        </row>
        <row r="25">
          <cell r="A25" t="str">
            <v xml:space="preserve"> 253  Сосиски Ганноверские   ПОКОМ</v>
          </cell>
          <cell r="B25" t="str">
            <v>кг</v>
          </cell>
          <cell r="C25">
            <v>89.971000000000004</v>
          </cell>
          <cell r="D25">
            <v>38.767000000000003</v>
          </cell>
          <cell r="E25">
            <v>20.091000000000001</v>
          </cell>
          <cell r="F25">
            <v>108.64700000000001</v>
          </cell>
          <cell r="G25">
            <v>0</v>
          </cell>
          <cell r="H25">
            <v>40</v>
          </cell>
          <cell r="I25" t="str">
            <v>не в матрице</v>
          </cell>
          <cell r="K25">
            <v>92.5</v>
          </cell>
          <cell r="L25">
            <v>-72.408999999999992</v>
          </cell>
          <cell r="M25">
            <v>20.091000000000001</v>
          </cell>
          <cell r="P25">
            <v>0</v>
          </cell>
          <cell r="X25">
            <v>0</v>
          </cell>
          <cell r="AA25">
            <v>4.0182000000000002</v>
          </cell>
          <cell r="AC25">
            <v>-40</v>
          </cell>
        </row>
        <row r="26">
          <cell r="A26" t="str">
            <v xml:space="preserve"> 255  Сосиски Молочные для завтрака ТМ Особый рецепт, п/а МГС, ВЕС, ТМ Стародворье  ПОКОМ</v>
          </cell>
          <cell r="B26" t="str">
            <v>кг</v>
          </cell>
          <cell r="C26">
            <v>4127.884</v>
          </cell>
          <cell r="D26">
            <v>10801.566999999999</v>
          </cell>
          <cell r="E26">
            <v>6917.2039999999997</v>
          </cell>
          <cell r="F26">
            <v>6288.5929999999998</v>
          </cell>
          <cell r="G26">
            <v>1</v>
          </cell>
          <cell r="H26">
            <v>40</v>
          </cell>
          <cell r="I26" t="str">
            <v>ТОП / матрица</v>
          </cell>
          <cell r="K26">
            <v>8797.8269999999993</v>
          </cell>
          <cell r="L26">
            <v>-1880.6229999999996</v>
          </cell>
          <cell r="M26">
            <v>6358.0779999999995</v>
          </cell>
          <cell r="N26">
            <v>559.12599999999998</v>
          </cell>
          <cell r="P26">
            <v>2697.241814681599</v>
          </cell>
          <cell r="R26">
            <v>2740.7457149184002</v>
          </cell>
          <cell r="T26">
            <v>-2741</v>
          </cell>
          <cell r="W26">
            <v>-621</v>
          </cell>
          <cell r="X26">
            <v>613.95624799999973</v>
          </cell>
          <cell r="Y26">
            <v>500</v>
          </cell>
          <cell r="AA26">
            <v>1271.6155999999999</v>
          </cell>
          <cell r="AB26">
            <v>4509.2348223999988</v>
          </cell>
        </row>
        <row r="27">
          <cell r="A27" t="str">
            <v xml:space="preserve"> 273  Сосиски Сочинки с сочной грудинкой, МГС 0.4кг,   ПОКОМ</v>
          </cell>
          <cell r="B27" t="str">
            <v>шт</v>
          </cell>
          <cell r="C27">
            <v>4223</v>
          </cell>
          <cell r="D27">
            <v>4853</v>
          </cell>
          <cell r="E27">
            <v>2984</v>
          </cell>
          <cell r="F27">
            <v>5392</v>
          </cell>
          <cell r="G27">
            <v>0.4</v>
          </cell>
          <cell r="H27">
            <v>45</v>
          </cell>
          <cell r="I27" t="str">
            <v>ТОП / матрица</v>
          </cell>
          <cell r="K27">
            <v>4730</v>
          </cell>
          <cell r="L27">
            <v>-1746</v>
          </cell>
          <cell r="M27">
            <v>2924</v>
          </cell>
          <cell r="N27">
            <v>60</v>
          </cell>
          <cell r="P27">
            <v>1015.896950679909</v>
          </cell>
          <cell r="R27">
            <v>1032.2823853682939</v>
          </cell>
          <cell r="S27">
            <v>1038</v>
          </cell>
          <cell r="X27">
            <v>824.21199999999953</v>
          </cell>
          <cell r="Z27">
            <v>500</v>
          </cell>
          <cell r="AA27">
            <v>584.79999999999995</v>
          </cell>
          <cell r="AC27">
            <v>-2300</v>
          </cell>
        </row>
        <row r="28">
          <cell r="A28" t="str">
            <v xml:space="preserve"> 276  Колбаса Сливушка ТМ Вязанка в оболочке полиамид 0,45 кг  ПОКОМ</v>
          </cell>
          <cell r="B28" t="str">
            <v>шт</v>
          </cell>
          <cell r="C28">
            <v>706.75</v>
          </cell>
          <cell r="D28">
            <v>2842.25</v>
          </cell>
          <cell r="E28">
            <v>591</v>
          </cell>
          <cell r="F28">
            <v>2854.75</v>
          </cell>
          <cell r="G28">
            <v>0.45</v>
          </cell>
          <cell r="H28">
            <v>50</v>
          </cell>
          <cell r="I28" t="str">
            <v>ВНИМАНИЕ / матрица</v>
          </cell>
          <cell r="K28">
            <v>821</v>
          </cell>
          <cell r="L28">
            <v>-230</v>
          </cell>
          <cell r="M28">
            <v>591</v>
          </cell>
          <cell r="P28">
            <v>0</v>
          </cell>
          <cell r="X28">
            <v>0</v>
          </cell>
          <cell r="AA28">
            <v>118.2</v>
          </cell>
          <cell r="AC28">
            <v>-1600</v>
          </cell>
        </row>
        <row r="29">
          <cell r="A29" t="str">
            <v xml:space="preserve"> 278  Сосиски Сочинки с сочным окороком, МГС 0.4кг,   ПОКОМ</v>
          </cell>
          <cell r="B29" t="str">
            <v>шт</v>
          </cell>
          <cell r="C29">
            <v>688</v>
          </cell>
          <cell r="D29">
            <v>1767</v>
          </cell>
          <cell r="E29">
            <v>738</v>
          </cell>
          <cell r="F29">
            <v>1423</v>
          </cell>
          <cell r="G29">
            <v>0.4</v>
          </cell>
          <cell r="H29">
            <v>45</v>
          </cell>
          <cell r="I29" t="str">
            <v>матрица</v>
          </cell>
          <cell r="K29">
            <v>1414</v>
          </cell>
          <cell r="L29">
            <v>-676</v>
          </cell>
          <cell r="M29">
            <v>708</v>
          </cell>
          <cell r="N29">
            <v>30</v>
          </cell>
          <cell r="P29">
            <v>286.83060425766388</v>
          </cell>
          <cell r="R29">
            <v>291.45690432633592</v>
          </cell>
          <cell r="S29">
            <v>294</v>
          </cell>
          <cell r="X29">
            <v>166.15400000000031</v>
          </cell>
          <cell r="AA29">
            <v>141.6</v>
          </cell>
          <cell r="AC29">
            <v>-700</v>
          </cell>
        </row>
        <row r="30">
          <cell r="A30" t="str">
            <v xml:space="preserve"> 281  Сосиски Молочные для завтрака ТМ Особый рецепт, 0,4кг  ПОКОМ</v>
          </cell>
          <cell r="B30" t="str">
            <v>шт</v>
          </cell>
          <cell r="C30">
            <v>1140</v>
          </cell>
          <cell r="D30">
            <v>214</v>
          </cell>
          <cell r="E30">
            <v>422</v>
          </cell>
          <cell r="F30">
            <v>717</v>
          </cell>
          <cell r="G30">
            <v>0.4</v>
          </cell>
          <cell r="H30">
            <v>40</v>
          </cell>
          <cell r="I30" t="str">
            <v>матрица</v>
          </cell>
          <cell r="K30">
            <v>706</v>
          </cell>
          <cell r="L30">
            <v>-284</v>
          </cell>
          <cell r="M30">
            <v>392</v>
          </cell>
          <cell r="N30">
            <v>30</v>
          </cell>
          <cell r="P30">
            <v>0</v>
          </cell>
          <cell r="W30">
            <v>-522</v>
          </cell>
          <cell r="X30">
            <v>517.19000000000005</v>
          </cell>
          <cell r="AA30">
            <v>78.400000000000006</v>
          </cell>
          <cell r="AB30">
            <v>150.21000000000004</v>
          </cell>
        </row>
        <row r="31">
          <cell r="A31" t="str">
            <v xml:space="preserve"> 285  Паштет печеночный со слив.маслом ТМ Стародворье ламистер 0,1 кг  ПОКОМ</v>
          </cell>
          <cell r="B31" t="str">
            <v>шт</v>
          </cell>
          <cell r="C31">
            <v>274</v>
          </cell>
          <cell r="D31">
            <v>192</v>
          </cell>
          <cell r="E31">
            <v>200</v>
          </cell>
          <cell r="F31">
            <v>250</v>
          </cell>
          <cell r="G31">
            <v>0.1</v>
          </cell>
          <cell r="H31">
            <v>731</v>
          </cell>
          <cell r="I31" t="str">
            <v>матрица</v>
          </cell>
          <cell r="K31">
            <v>259</v>
          </cell>
          <cell r="L31">
            <v>-59</v>
          </cell>
          <cell r="M31">
            <v>200</v>
          </cell>
          <cell r="P31">
            <v>14</v>
          </cell>
          <cell r="X31">
            <v>236</v>
          </cell>
          <cell r="AA31">
            <v>40</v>
          </cell>
        </row>
        <row r="32">
          <cell r="A32" t="str">
            <v xml:space="preserve"> 296  Колбаса Мясорубская с рубленой грудинкой 0,35кг срез ТМ Стародворье  ПОКОМ</v>
          </cell>
          <cell r="B32" t="str">
            <v>шт</v>
          </cell>
          <cell r="C32">
            <v>9</v>
          </cell>
          <cell r="D32">
            <v>191</v>
          </cell>
          <cell r="E32">
            <v>19</v>
          </cell>
          <cell r="F32">
            <v>175</v>
          </cell>
          <cell r="G32">
            <v>0.35</v>
          </cell>
          <cell r="H32">
            <v>40</v>
          </cell>
          <cell r="I32" t="str">
            <v>матрица</v>
          </cell>
          <cell r="K32">
            <v>90</v>
          </cell>
          <cell r="L32">
            <v>-71</v>
          </cell>
          <cell r="M32">
            <v>19</v>
          </cell>
          <cell r="P32">
            <v>118</v>
          </cell>
          <cell r="X32">
            <v>0</v>
          </cell>
          <cell r="AA32">
            <v>3.8</v>
          </cell>
          <cell r="AC32">
            <v>-150</v>
          </cell>
        </row>
        <row r="33">
          <cell r="A33" t="str">
            <v xml:space="preserve"> 297  Колбаса Мясорубская с рубленой грудинкой ВЕС ТМ Стародворье  ПОКОМ</v>
          </cell>
          <cell r="B33" t="str">
            <v>кг</v>
          </cell>
          <cell r="C33">
            <v>23.462</v>
          </cell>
          <cell r="D33">
            <v>23.071999999999999</v>
          </cell>
          <cell r="E33">
            <v>16.497</v>
          </cell>
          <cell r="F33">
            <v>27.550999999999998</v>
          </cell>
          <cell r="G33">
            <v>1</v>
          </cell>
          <cell r="H33">
            <v>40</v>
          </cell>
          <cell r="I33" t="str">
            <v>матрица</v>
          </cell>
          <cell r="K33">
            <v>21.6</v>
          </cell>
          <cell r="L33">
            <v>-5.1030000000000015</v>
          </cell>
          <cell r="M33">
            <v>16.497</v>
          </cell>
          <cell r="P33">
            <v>0</v>
          </cell>
          <cell r="X33">
            <v>0</v>
          </cell>
          <cell r="AA33">
            <v>3.2993999999999999</v>
          </cell>
          <cell r="AB33">
            <v>8.7423999999999999</v>
          </cell>
        </row>
        <row r="34">
          <cell r="A34" t="str">
            <v xml:space="preserve"> 301  Сосиски Сочинки по-баварски с сыром,  0.4кг, ТМ Стародворье  ПОКОМ</v>
          </cell>
          <cell r="B34" t="str">
            <v>шт</v>
          </cell>
          <cell r="C34">
            <v>1</v>
          </cell>
          <cell r="D34">
            <v>2</v>
          </cell>
          <cell r="E34">
            <v>-5</v>
          </cell>
          <cell r="F34">
            <v>-1</v>
          </cell>
          <cell r="G34">
            <v>0.4</v>
          </cell>
          <cell r="H34">
            <v>40</v>
          </cell>
          <cell r="I34" t="str">
            <v>матрица</v>
          </cell>
          <cell r="K34">
            <v>289</v>
          </cell>
          <cell r="L34">
            <v>-294</v>
          </cell>
          <cell r="M34">
            <v>-5</v>
          </cell>
          <cell r="P34">
            <v>300</v>
          </cell>
          <cell r="W34">
            <v>-204</v>
          </cell>
          <cell r="X34">
            <v>200</v>
          </cell>
          <cell r="AA34">
            <v>-1</v>
          </cell>
        </row>
        <row r="35">
          <cell r="A35" t="str">
            <v xml:space="preserve"> 302  Сосиски Сочинки по-баварски,  0.4кг, ТМ Стародворье  ПОКОМ</v>
          </cell>
          <cell r="B35" t="str">
            <v>шт</v>
          </cell>
          <cell r="C35">
            <v>225</v>
          </cell>
          <cell r="D35">
            <v>392</v>
          </cell>
          <cell r="E35">
            <v>204</v>
          </cell>
          <cell r="F35">
            <v>383</v>
          </cell>
          <cell r="G35">
            <v>0.4</v>
          </cell>
          <cell r="H35">
            <v>45</v>
          </cell>
          <cell r="I35" t="str">
            <v>матрица</v>
          </cell>
          <cell r="K35">
            <v>348</v>
          </cell>
          <cell r="L35">
            <v>-144</v>
          </cell>
          <cell r="M35">
            <v>204</v>
          </cell>
          <cell r="P35">
            <v>0</v>
          </cell>
          <cell r="W35">
            <v>-234</v>
          </cell>
          <cell r="X35">
            <v>232.7</v>
          </cell>
          <cell r="AA35">
            <v>40.799999999999997</v>
          </cell>
          <cell r="AB35">
            <v>67.099999999999966</v>
          </cell>
        </row>
        <row r="36">
          <cell r="A36" t="str">
            <v xml:space="preserve"> 305  Колбаса Сервелат Мясорубский с мелкорубленным окороком в/у  ТМ Стародворье ВЕС   ПОКОМ</v>
          </cell>
          <cell r="B36" t="str">
            <v>кг</v>
          </cell>
          <cell r="C36">
            <v>42.332000000000001</v>
          </cell>
          <cell r="D36">
            <v>2.5059999999999998</v>
          </cell>
          <cell r="E36">
            <v>19.556999999999999</v>
          </cell>
          <cell r="F36">
            <v>22.774999999999999</v>
          </cell>
          <cell r="G36">
            <v>1</v>
          </cell>
          <cell r="H36">
            <v>40</v>
          </cell>
          <cell r="I36" t="str">
            <v>матрица</v>
          </cell>
          <cell r="K36">
            <v>28.6</v>
          </cell>
          <cell r="L36">
            <v>-9.0430000000000028</v>
          </cell>
          <cell r="M36">
            <v>19.556999999999999</v>
          </cell>
          <cell r="P36">
            <v>18.178999999999991</v>
          </cell>
          <cell r="X36">
            <v>13.53950000000002</v>
          </cell>
          <cell r="AA36">
            <v>3.9113999999999995</v>
          </cell>
        </row>
        <row r="37">
          <cell r="A37" t="str">
            <v xml:space="preserve"> 307  Колбаса Сервелат Мясорубский с мелкорубленным окороком 0,35 кг срез ТМ Стародворье   Поком</v>
          </cell>
          <cell r="B37" t="str">
            <v>шт</v>
          </cell>
          <cell r="C37">
            <v>808</v>
          </cell>
          <cell r="D37">
            <v>67</v>
          </cell>
          <cell r="E37">
            <v>404</v>
          </cell>
          <cell r="F37">
            <v>399</v>
          </cell>
          <cell r="G37">
            <v>0.35</v>
          </cell>
          <cell r="H37">
            <v>40</v>
          </cell>
          <cell r="I37" t="str">
            <v>ВНИМАНИЕ / матрица</v>
          </cell>
          <cell r="K37">
            <v>895</v>
          </cell>
          <cell r="L37">
            <v>-491</v>
          </cell>
          <cell r="M37">
            <v>404</v>
          </cell>
          <cell r="P37">
            <v>200</v>
          </cell>
          <cell r="X37">
            <v>490.5</v>
          </cell>
          <cell r="AA37">
            <v>80.8</v>
          </cell>
        </row>
        <row r="38">
          <cell r="A38" t="str">
            <v xml:space="preserve"> 309  Сосиски Сочинки с сыром 0,4 кг ТМ Стародворье  ПОКОМ</v>
          </cell>
          <cell r="B38" t="str">
            <v>шт</v>
          </cell>
          <cell r="C38">
            <v>349</v>
          </cell>
          <cell r="D38">
            <v>67</v>
          </cell>
          <cell r="E38">
            <v>305</v>
          </cell>
          <cell r="F38">
            <v>41</v>
          </cell>
          <cell r="G38">
            <v>0.4</v>
          </cell>
          <cell r="H38">
            <v>40</v>
          </cell>
          <cell r="I38" t="str">
            <v>матрица</v>
          </cell>
          <cell r="K38">
            <v>561</v>
          </cell>
          <cell r="L38">
            <v>-256</v>
          </cell>
          <cell r="M38">
            <v>305</v>
          </cell>
          <cell r="P38">
            <v>251.6</v>
          </cell>
          <cell r="X38">
            <v>501.4</v>
          </cell>
          <cell r="AA38">
            <v>61</v>
          </cell>
        </row>
        <row r="39">
          <cell r="A39" t="str">
            <v xml:space="preserve"> 312  Ветчина Филейская ВЕС ТМ  Вязанка ТС Столичная  ПОКОМ</v>
          </cell>
          <cell r="B39" t="str">
            <v>кг</v>
          </cell>
          <cell r="C39">
            <v>212.47</v>
          </cell>
          <cell r="D39">
            <v>14.754</v>
          </cell>
          <cell r="E39">
            <v>79.418999999999997</v>
          </cell>
          <cell r="F39">
            <v>134.40100000000001</v>
          </cell>
          <cell r="G39">
            <v>1</v>
          </cell>
          <cell r="H39">
            <v>50</v>
          </cell>
          <cell r="I39" t="str">
            <v>матрица</v>
          </cell>
          <cell r="K39">
            <v>144.69999999999999</v>
          </cell>
          <cell r="L39">
            <v>-65.280999999999992</v>
          </cell>
          <cell r="M39">
            <v>79.418999999999997</v>
          </cell>
          <cell r="P39">
            <v>16.167200000000008</v>
          </cell>
          <cell r="X39">
            <v>79.456299999999999</v>
          </cell>
          <cell r="AA39">
            <v>15.883799999999999</v>
          </cell>
          <cell r="AC39">
            <v>-47.36080000000004</v>
          </cell>
        </row>
        <row r="40">
          <cell r="A40" t="str">
            <v xml:space="preserve"> 315  Колбаса вареная Молокуша ТМ Вязанка ВЕС, ПОКОМ</v>
          </cell>
          <cell r="B40" t="str">
            <v>кг</v>
          </cell>
          <cell r="C40">
            <v>605.51300000000003</v>
          </cell>
          <cell r="D40">
            <v>98.021000000000001</v>
          </cell>
          <cell r="E40">
            <v>542.19500000000005</v>
          </cell>
          <cell r="F40">
            <v>116.514</v>
          </cell>
          <cell r="G40">
            <v>1</v>
          </cell>
          <cell r="H40">
            <v>50</v>
          </cell>
          <cell r="I40" t="str">
            <v>матрица</v>
          </cell>
          <cell r="K40">
            <v>825.3</v>
          </cell>
          <cell r="L40">
            <v>-283.1049999999999</v>
          </cell>
          <cell r="M40">
            <v>488.35900000000004</v>
          </cell>
          <cell r="N40">
            <v>53.835999999999999</v>
          </cell>
          <cell r="P40">
            <v>279.68899999999991</v>
          </cell>
          <cell r="U40">
            <v>300</v>
          </cell>
          <cell r="V40">
            <v>100</v>
          </cell>
          <cell r="X40">
            <v>192.2442999999999</v>
          </cell>
          <cell r="AA40">
            <v>97.671800000000005</v>
          </cell>
          <cell r="AB40">
            <v>85.942500000000408</v>
          </cell>
        </row>
        <row r="41">
          <cell r="A41" t="str">
            <v xml:space="preserve"> 319  Колбаса вареная Филейская ТМ Вязанка ТС Классическая, 0,45 кг. ПОКОМ</v>
          </cell>
          <cell r="B41" t="str">
            <v>шт</v>
          </cell>
          <cell r="C41">
            <v>660</v>
          </cell>
          <cell r="D41">
            <v>371</v>
          </cell>
          <cell r="E41">
            <v>324</v>
          </cell>
          <cell r="F41">
            <v>604</v>
          </cell>
          <cell r="G41">
            <v>0.45</v>
          </cell>
          <cell r="H41">
            <v>50</v>
          </cell>
          <cell r="I41" t="str">
            <v>матрица</v>
          </cell>
          <cell r="K41">
            <v>583</v>
          </cell>
          <cell r="L41">
            <v>-259</v>
          </cell>
          <cell r="M41">
            <v>324</v>
          </cell>
          <cell r="P41">
            <v>195.67769929999989</v>
          </cell>
          <cell r="X41">
            <v>306.2</v>
          </cell>
          <cell r="AA41">
            <v>64.8</v>
          </cell>
          <cell r="AC41">
            <v>-400</v>
          </cell>
        </row>
        <row r="42">
          <cell r="A42" t="str">
            <v xml:space="preserve"> 322  Колбаса вареная Молокуша 0,45кг ТМ Вязанка  ПОКОМ</v>
          </cell>
          <cell r="B42" t="str">
            <v>шт</v>
          </cell>
          <cell r="C42">
            <v>579</v>
          </cell>
          <cell r="D42">
            <v>731</v>
          </cell>
          <cell r="E42">
            <v>446</v>
          </cell>
          <cell r="F42">
            <v>727</v>
          </cell>
          <cell r="G42">
            <v>0.45</v>
          </cell>
          <cell r="H42">
            <v>50</v>
          </cell>
          <cell r="I42" t="str">
            <v>матрица</v>
          </cell>
          <cell r="K42">
            <v>851</v>
          </cell>
          <cell r="L42">
            <v>-405</v>
          </cell>
          <cell r="M42">
            <v>446</v>
          </cell>
          <cell r="P42">
            <v>194.65135311824011</v>
          </cell>
          <cell r="R42">
            <v>197.79089107176009</v>
          </cell>
          <cell r="S42">
            <v>200</v>
          </cell>
          <cell r="X42">
            <v>322.90999999999968</v>
          </cell>
          <cell r="AA42">
            <v>89.2</v>
          </cell>
          <cell r="AC42">
            <v>-500</v>
          </cell>
        </row>
        <row r="43">
          <cell r="A43" t="str">
            <v xml:space="preserve"> 329  Сардельки Сочинки с сыром Стародворье ТМ, 0,4 кг. ПОКОМ</v>
          </cell>
          <cell r="B43" t="str">
            <v>шт</v>
          </cell>
          <cell r="C43">
            <v>43</v>
          </cell>
          <cell r="D43">
            <v>3</v>
          </cell>
          <cell r="E43">
            <v>16</v>
          </cell>
          <cell r="F43">
            <v>19</v>
          </cell>
          <cell r="G43">
            <v>0.4</v>
          </cell>
          <cell r="H43">
            <v>40</v>
          </cell>
          <cell r="I43" t="str">
            <v>матрица</v>
          </cell>
          <cell r="K43">
            <v>62</v>
          </cell>
          <cell r="L43">
            <v>-46</v>
          </cell>
          <cell r="M43">
            <v>16</v>
          </cell>
          <cell r="P43">
            <v>0</v>
          </cell>
          <cell r="X43">
            <v>18.5</v>
          </cell>
          <cell r="AA43">
            <v>3.2</v>
          </cell>
        </row>
        <row r="44">
          <cell r="A44" t="str">
            <v xml:space="preserve"> 330  Колбаса вареная Филейская ТМ Вязанка ТС Классическая ВЕС  ПОКОМ</v>
          </cell>
          <cell r="B44" t="str">
            <v>кг</v>
          </cell>
          <cell r="C44">
            <v>453.49799999999999</v>
          </cell>
          <cell r="D44">
            <v>633.17499999999995</v>
          </cell>
          <cell r="E44">
            <v>519.44500000000005</v>
          </cell>
          <cell r="F44">
            <v>547.91499999999996</v>
          </cell>
          <cell r="G44">
            <v>1</v>
          </cell>
          <cell r="H44">
            <v>50</v>
          </cell>
          <cell r="I44" t="str">
            <v>ТОП / матрица</v>
          </cell>
          <cell r="K44">
            <v>722.2</v>
          </cell>
          <cell r="L44">
            <v>-202.755</v>
          </cell>
          <cell r="M44">
            <v>519.44500000000005</v>
          </cell>
          <cell r="P44">
            <v>298.38560000000012</v>
          </cell>
          <cell r="X44">
            <v>0</v>
          </cell>
          <cell r="AA44">
            <v>103.88900000000001</v>
          </cell>
          <cell r="AB44">
            <v>296.47839999999997</v>
          </cell>
        </row>
        <row r="45">
          <cell r="A45" t="str">
            <v xml:space="preserve"> 334  Паштет Любительский ТМ Стародворье ламистер 0,1 кг  ПОКОМ</v>
          </cell>
          <cell r="B45" t="str">
            <v>шт</v>
          </cell>
          <cell r="C45">
            <v>147</v>
          </cell>
          <cell r="D45">
            <v>149</v>
          </cell>
          <cell r="E45">
            <v>101</v>
          </cell>
          <cell r="F45">
            <v>186</v>
          </cell>
          <cell r="G45">
            <v>0.1</v>
          </cell>
          <cell r="H45">
            <v>731</v>
          </cell>
          <cell r="I45" t="str">
            <v>матрица</v>
          </cell>
          <cell r="K45">
            <v>138</v>
          </cell>
          <cell r="L45">
            <v>-37</v>
          </cell>
          <cell r="M45">
            <v>101</v>
          </cell>
          <cell r="P45">
            <v>35.199999999999989</v>
          </cell>
          <cell r="X45">
            <v>72.800000000000011</v>
          </cell>
          <cell r="AA45">
            <v>20.2</v>
          </cell>
          <cell r="AC45">
            <v>-61.70000000000001</v>
          </cell>
        </row>
        <row r="46">
          <cell r="A46" t="str">
            <v xml:space="preserve"> 335  Колбаса Сливушка ТМ Вязанка. ВЕС.  ПОКОМ </v>
          </cell>
          <cell r="B46" t="str">
            <v>кг</v>
          </cell>
          <cell r="C46">
            <v>991.68899999999996</v>
          </cell>
          <cell r="D46">
            <v>53.488</v>
          </cell>
          <cell r="E46">
            <v>316.40499999999997</v>
          </cell>
          <cell r="F46">
            <v>694.07100000000003</v>
          </cell>
          <cell r="G46">
            <v>1</v>
          </cell>
          <cell r="H46">
            <v>50</v>
          </cell>
          <cell r="I46" t="str">
            <v>ТОП / матрица</v>
          </cell>
          <cell r="K46">
            <v>549.20000000000005</v>
          </cell>
          <cell r="L46">
            <v>-232.79500000000007</v>
          </cell>
          <cell r="M46">
            <v>316.40499999999997</v>
          </cell>
          <cell r="P46">
            <v>0</v>
          </cell>
          <cell r="X46">
            <v>152.80499999999989</v>
          </cell>
          <cell r="AA46">
            <v>63.280999999999992</v>
          </cell>
        </row>
        <row r="47">
          <cell r="A47" t="str">
            <v xml:space="preserve"> 336  Ветчина Сливушка с индейкой ТМ Вязанка. ВЕС  ПОКОМ</v>
          </cell>
          <cell r="B47" t="str">
            <v>кг</v>
          </cell>
          <cell r="C47">
            <v>74.055000000000007</v>
          </cell>
          <cell r="D47">
            <v>9.4190000000000005</v>
          </cell>
          <cell r="E47">
            <v>20.151</v>
          </cell>
          <cell r="F47">
            <v>53.904000000000003</v>
          </cell>
          <cell r="G47">
            <v>1</v>
          </cell>
          <cell r="H47">
            <v>55</v>
          </cell>
          <cell r="I47" t="str">
            <v>матрица</v>
          </cell>
          <cell r="K47">
            <v>31.5</v>
          </cell>
          <cell r="L47">
            <v>-11.349</v>
          </cell>
          <cell r="M47">
            <v>20.151</v>
          </cell>
          <cell r="P47">
            <v>0</v>
          </cell>
          <cell r="X47">
            <v>7.1900000000000048</v>
          </cell>
          <cell r="AA47">
            <v>4.0301999999999998</v>
          </cell>
        </row>
        <row r="48">
          <cell r="A48" t="str">
            <v xml:space="preserve"> 338  Паштет печеночный с морковью ТМ Стародворье ламистер 0,1 кг.  ПОКОМ</v>
          </cell>
          <cell r="B48" t="str">
            <v>шт</v>
          </cell>
          <cell r="C48">
            <v>162</v>
          </cell>
          <cell r="D48">
            <v>149</v>
          </cell>
          <cell r="E48">
            <v>88</v>
          </cell>
          <cell r="F48">
            <v>214</v>
          </cell>
          <cell r="G48">
            <v>0.1</v>
          </cell>
          <cell r="H48">
            <v>731</v>
          </cell>
          <cell r="I48" t="str">
            <v>матрица</v>
          </cell>
          <cell r="K48">
            <v>115</v>
          </cell>
          <cell r="L48">
            <v>-27</v>
          </cell>
          <cell r="M48">
            <v>88</v>
          </cell>
          <cell r="P48">
            <v>8</v>
          </cell>
          <cell r="X48">
            <v>42.199999999999989</v>
          </cell>
          <cell r="AA48">
            <v>17.600000000000001</v>
          </cell>
          <cell r="AC48">
            <v>-61.799999999999983</v>
          </cell>
        </row>
        <row r="49">
          <cell r="A49" t="str">
            <v xml:space="preserve"> 339  Колбаса вареная Филейская ТМ Вязанка ТС Классическая, 0,40 кг.  ПОКОМ</v>
          </cell>
          <cell r="B49" t="str">
            <v>шт</v>
          </cell>
          <cell r="D49">
            <v>10</v>
          </cell>
          <cell r="E49">
            <v>6</v>
          </cell>
          <cell r="F49">
            <v>4</v>
          </cell>
          <cell r="G49">
            <v>0.4</v>
          </cell>
          <cell r="H49">
            <v>50</v>
          </cell>
          <cell r="I49" t="str">
            <v>матрица</v>
          </cell>
          <cell r="K49">
            <v>11</v>
          </cell>
          <cell r="L49">
            <v>-5</v>
          </cell>
          <cell r="M49">
            <v>6</v>
          </cell>
          <cell r="P49">
            <v>17.8</v>
          </cell>
          <cell r="X49">
            <v>0</v>
          </cell>
          <cell r="AA49">
            <v>1.2</v>
          </cell>
        </row>
        <row r="50">
          <cell r="A50" t="str">
            <v xml:space="preserve"> 340  Сосиски Сочинки Молочные ТМ Стародворье, ВЕС ПОКОМ</v>
          </cell>
          <cell r="B50" t="str">
            <v>кг</v>
          </cell>
          <cell r="C50">
            <v>79.894000000000005</v>
          </cell>
          <cell r="D50">
            <v>41.773000000000003</v>
          </cell>
          <cell r="E50">
            <v>49.811999999999998</v>
          </cell>
          <cell r="F50">
            <v>64.350999999999999</v>
          </cell>
          <cell r="G50">
            <v>1</v>
          </cell>
          <cell r="H50">
            <v>40</v>
          </cell>
          <cell r="I50" t="str">
            <v>матрица</v>
          </cell>
          <cell r="K50">
            <v>103.1</v>
          </cell>
          <cell r="L50">
            <v>-53.287999999999997</v>
          </cell>
          <cell r="M50">
            <v>49.811999999999998</v>
          </cell>
          <cell r="P50">
            <v>39.049999999999983</v>
          </cell>
          <cell r="X50">
            <v>4</v>
          </cell>
          <cell r="AA50">
            <v>9.9623999999999988</v>
          </cell>
        </row>
        <row r="51">
          <cell r="A51" t="str">
            <v xml:space="preserve"> 341 Сосиски Сочинки Сливочные ТМ Стародворье ВЕС ПОКОМ</v>
          </cell>
          <cell r="B51" t="str">
            <v>кг</v>
          </cell>
          <cell r="C51">
            <v>57.689</v>
          </cell>
          <cell r="E51">
            <v>8.0389999999999997</v>
          </cell>
          <cell r="F51">
            <v>49.65</v>
          </cell>
          <cell r="G51">
            <v>1</v>
          </cell>
          <cell r="H51">
            <v>40</v>
          </cell>
          <cell r="I51" t="str">
            <v>матрица</v>
          </cell>
          <cell r="K51">
            <v>8.9</v>
          </cell>
          <cell r="L51">
            <v>-0.86100000000000065</v>
          </cell>
          <cell r="M51">
            <v>8.0389999999999997</v>
          </cell>
          <cell r="P51">
            <v>0</v>
          </cell>
          <cell r="X51">
            <v>0</v>
          </cell>
          <cell r="AA51">
            <v>1.6077999999999999</v>
          </cell>
          <cell r="AC51">
            <v>-31.160299999999999</v>
          </cell>
        </row>
        <row r="52">
          <cell r="A52" t="str">
            <v xml:space="preserve"> 342 Сосиски Сочинки Молочные ТМ Стародворье 0,4 кг ПОКОМ</v>
          </cell>
          <cell r="B52" t="str">
            <v>шт</v>
          </cell>
          <cell r="C52">
            <v>509</v>
          </cell>
          <cell r="D52">
            <v>546</v>
          </cell>
          <cell r="E52">
            <v>525</v>
          </cell>
          <cell r="F52">
            <v>384</v>
          </cell>
          <cell r="G52">
            <v>0.4</v>
          </cell>
          <cell r="H52">
            <v>40</v>
          </cell>
          <cell r="I52" t="str">
            <v>матрица</v>
          </cell>
          <cell r="K52">
            <v>893</v>
          </cell>
          <cell r="L52">
            <v>-368</v>
          </cell>
          <cell r="M52">
            <v>495</v>
          </cell>
          <cell r="N52">
            <v>30</v>
          </cell>
          <cell r="P52">
            <v>310.49599999999998</v>
          </cell>
          <cell r="R52">
            <v>315.50400000000002</v>
          </cell>
          <cell r="W52">
            <v>-246</v>
          </cell>
          <cell r="X52">
            <v>243.61999999999961</v>
          </cell>
          <cell r="AA52">
            <v>99</v>
          </cell>
          <cell r="AB52">
            <v>81.380000000000337</v>
          </cell>
        </row>
        <row r="53">
          <cell r="A53" t="str">
            <v xml:space="preserve"> 343 Сосиски Сочинки Сливочные ТМ Стародворье  0,4 кг ПОКОМ</v>
          </cell>
          <cell r="B53" t="str">
            <v>шт</v>
          </cell>
          <cell r="C53">
            <v>635</v>
          </cell>
          <cell r="D53">
            <v>316</v>
          </cell>
          <cell r="E53">
            <v>417</v>
          </cell>
          <cell r="F53">
            <v>450</v>
          </cell>
          <cell r="G53">
            <v>0.4</v>
          </cell>
          <cell r="H53">
            <v>40</v>
          </cell>
          <cell r="I53" t="str">
            <v>матрица</v>
          </cell>
          <cell r="K53">
            <v>618</v>
          </cell>
          <cell r="L53">
            <v>-201</v>
          </cell>
          <cell r="M53">
            <v>417</v>
          </cell>
          <cell r="P53">
            <v>193.73283671519991</v>
          </cell>
          <cell r="W53">
            <v>-426</v>
          </cell>
          <cell r="X53">
            <v>424.45999999999992</v>
          </cell>
          <cell r="AA53">
            <v>83.4</v>
          </cell>
          <cell r="AB53">
            <v>275.20716328480023</v>
          </cell>
        </row>
        <row r="54">
          <cell r="A54" t="str">
            <v xml:space="preserve"> 344  Колбаса Сочинка по-европейски с сочной грудинкой ТМ Стародворье, ВЕС ПОКОМ</v>
          </cell>
          <cell r="B54" t="str">
            <v>кг</v>
          </cell>
          <cell r="C54">
            <v>164.233</v>
          </cell>
          <cell r="D54">
            <v>6.3319999999999999</v>
          </cell>
          <cell r="E54">
            <v>38.472000000000001</v>
          </cell>
          <cell r="F54">
            <v>125.761</v>
          </cell>
          <cell r="G54">
            <v>1</v>
          </cell>
          <cell r="H54">
            <v>40</v>
          </cell>
          <cell r="I54" t="str">
            <v>матрица</v>
          </cell>
          <cell r="K54">
            <v>51.1</v>
          </cell>
          <cell r="L54">
            <v>-12.628</v>
          </cell>
          <cell r="M54">
            <v>38.472000000000001</v>
          </cell>
          <cell r="P54">
            <v>0</v>
          </cell>
          <cell r="X54">
            <v>0</v>
          </cell>
          <cell r="AA54">
            <v>7.6943999999999999</v>
          </cell>
          <cell r="AC54">
            <v>-37.275400000000005</v>
          </cell>
        </row>
        <row r="55">
          <cell r="A55" t="str">
            <v xml:space="preserve"> 345  Колбаса Сочинка по-фински с сочным окроком ТМ Стародворье ВЕС ПОКОМ</v>
          </cell>
          <cell r="B55" t="str">
            <v>кг</v>
          </cell>
          <cell r="C55">
            <v>95.257999999999996</v>
          </cell>
          <cell r="D55">
            <v>86.384</v>
          </cell>
          <cell r="E55">
            <v>73.052000000000007</v>
          </cell>
          <cell r="F55">
            <v>102.286</v>
          </cell>
          <cell r="G55">
            <v>1</v>
          </cell>
          <cell r="H55">
            <v>40</v>
          </cell>
          <cell r="I55" t="str">
            <v>матрица</v>
          </cell>
          <cell r="K55">
            <v>98.2</v>
          </cell>
          <cell r="L55">
            <v>-25.147999999999996</v>
          </cell>
          <cell r="M55">
            <v>73.052000000000007</v>
          </cell>
          <cell r="P55">
            <v>0</v>
          </cell>
          <cell r="X55">
            <v>16.926800000000011</v>
          </cell>
          <cell r="AA55">
            <v>14.610400000000002</v>
          </cell>
          <cell r="AB55">
            <v>41.501599999999996</v>
          </cell>
        </row>
        <row r="56">
          <cell r="A56" t="str">
            <v xml:space="preserve"> 346  Колбаса Сочинка зернистая с сочной грудинкой ТМ Стародворье.ВЕС ПОКОМ</v>
          </cell>
          <cell r="B56" t="str">
            <v>кг</v>
          </cell>
          <cell r="C56">
            <v>1162.0840000000001</v>
          </cell>
          <cell r="D56">
            <v>23.88</v>
          </cell>
          <cell r="E56">
            <v>780.51599999999996</v>
          </cell>
          <cell r="F56">
            <v>374.02</v>
          </cell>
          <cell r="G56">
            <v>1</v>
          </cell>
          <cell r="H56">
            <v>40</v>
          </cell>
          <cell r="I56" t="str">
            <v>ТОП / матрица</v>
          </cell>
          <cell r="K56">
            <v>961.81200000000001</v>
          </cell>
          <cell r="L56">
            <v>-181.29600000000005</v>
          </cell>
          <cell r="M56">
            <v>780.51599999999996</v>
          </cell>
          <cell r="P56">
            <v>298.72145599999999</v>
          </cell>
          <cell r="R56">
            <v>303.53954399999998</v>
          </cell>
          <cell r="S56">
            <v>309.83800000000002</v>
          </cell>
          <cell r="X56">
            <v>689.29949999999985</v>
          </cell>
          <cell r="Y56">
            <v>63</v>
          </cell>
          <cell r="AA56">
            <v>156.10319999999999</v>
          </cell>
        </row>
        <row r="57">
          <cell r="A57" t="str">
            <v xml:space="preserve"> 347  Колбаса Сочинка рубленая с сочным окороком ТМ Стародворье ВЕС ПОКОМ</v>
          </cell>
          <cell r="B57" t="str">
            <v>кг</v>
          </cell>
          <cell r="C57">
            <v>21.736999999999998</v>
          </cell>
          <cell r="D57">
            <v>61.634999999999998</v>
          </cell>
          <cell r="E57">
            <v>40.534999999999997</v>
          </cell>
          <cell r="F57">
            <v>33.744999999999997</v>
          </cell>
          <cell r="G57">
            <v>1</v>
          </cell>
          <cell r="H57">
            <v>40</v>
          </cell>
          <cell r="I57" t="str">
            <v>матрица</v>
          </cell>
          <cell r="K57">
            <v>94.4</v>
          </cell>
          <cell r="L57">
            <v>-53.865000000000009</v>
          </cell>
          <cell r="M57">
            <v>40.534999999999997</v>
          </cell>
          <cell r="P57">
            <v>75.207600000000014</v>
          </cell>
          <cell r="X57">
            <v>27.868500000000001</v>
          </cell>
          <cell r="AA57">
            <v>8.1069999999999993</v>
          </cell>
        </row>
        <row r="58">
          <cell r="A58" t="str">
            <v xml:space="preserve"> 364  Сардельки Филейские Вязанка ВЕС NDX ТМ Вязанка  ПОКОМ</v>
          </cell>
          <cell r="B58" t="str">
            <v>кг</v>
          </cell>
          <cell r="C58">
            <v>523.83600000000001</v>
          </cell>
          <cell r="D58">
            <v>146.74600000000001</v>
          </cell>
          <cell r="E58">
            <v>314.62599999999998</v>
          </cell>
          <cell r="F58">
            <v>290.87599999999998</v>
          </cell>
          <cell r="G58">
            <v>1</v>
          </cell>
          <cell r="H58">
            <v>30</v>
          </cell>
          <cell r="I58" t="str">
            <v>матрица</v>
          </cell>
          <cell r="K58">
            <v>525.298</v>
          </cell>
          <cell r="L58">
            <v>-210.67200000000003</v>
          </cell>
          <cell r="M58">
            <v>314.62599999999998</v>
          </cell>
          <cell r="P58">
            <v>0</v>
          </cell>
          <cell r="X58">
            <v>918.31219000000021</v>
          </cell>
          <cell r="AA58">
            <v>62.925199999999997</v>
          </cell>
          <cell r="AC58">
            <v>-100</v>
          </cell>
        </row>
        <row r="59">
          <cell r="A59" t="str">
            <v xml:space="preserve"> 376  Колбаса Докторская Дугушка 0,6кг ГОСТ ТМ Стародворье  ПОКОМ </v>
          </cell>
          <cell r="B59" t="str">
            <v>шт</v>
          </cell>
          <cell r="C59">
            <v>843</v>
          </cell>
          <cell r="D59">
            <v>281</v>
          </cell>
          <cell r="E59">
            <v>355</v>
          </cell>
          <cell r="F59">
            <v>560</v>
          </cell>
          <cell r="G59">
            <v>0.6</v>
          </cell>
          <cell r="H59">
            <v>60</v>
          </cell>
          <cell r="I59" t="str">
            <v>матрица</v>
          </cell>
          <cell r="K59">
            <v>653</v>
          </cell>
          <cell r="L59">
            <v>-298</v>
          </cell>
          <cell r="M59">
            <v>355</v>
          </cell>
          <cell r="P59">
            <v>242.64319999999989</v>
          </cell>
          <cell r="R59">
            <v>246.5567999999999</v>
          </cell>
          <cell r="S59">
            <v>248</v>
          </cell>
          <cell r="X59">
            <v>302.10000000000008</v>
          </cell>
          <cell r="AA59">
            <v>71</v>
          </cell>
          <cell r="AC59">
            <v>-534.79999999999984</v>
          </cell>
        </row>
        <row r="60">
          <cell r="A60" t="str">
            <v xml:space="preserve"> 377  Колбаса Молочная Дугушка 0,6кг ТМ Стародворье  ПОКОМ</v>
          </cell>
          <cell r="B60" t="str">
            <v>шт</v>
          </cell>
          <cell r="C60">
            <v>457</v>
          </cell>
          <cell r="D60">
            <v>643</v>
          </cell>
          <cell r="E60">
            <v>324</v>
          </cell>
          <cell r="F60">
            <v>611</v>
          </cell>
          <cell r="G60">
            <v>0.6</v>
          </cell>
          <cell r="H60">
            <v>60</v>
          </cell>
          <cell r="I60" t="str">
            <v>матрица</v>
          </cell>
          <cell r="K60">
            <v>653</v>
          </cell>
          <cell r="L60">
            <v>-329</v>
          </cell>
          <cell r="M60">
            <v>324</v>
          </cell>
          <cell r="P60">
            <v>151.1808</v>
          </cell>
          <cell r="R60">
            <v>153.61920000000001</v>
          </cell>
          <cell r="S60">
            <v>160</v>
          </cell>
          <cell r="X60">
            <v>280.30999999999977</v>
          </cell>
          <cell r="AA60">
            <v>64.8</v>
          </cell>
          <cell r="AC60">
            <v>-450.90999999999968</v>
          </cell>
        </row>
        <row r="61">
          <cell r="A61" t="str">
            <v xml:space="preserve"> 394 Колбаса полукопченая Аль-Ислами халяль ТМ Вязанка оболочка фиброуз в в/у 0,35 кг  ПОКОМ</v>
          </cell>
          <cell r="B61" t="str">
            <v>шт</v>
          </cell>
          <cell r="C61">
            <v>76</v>
          </cell>
          <cell r="D61">
            <v>54</v>
          </cell>
          <cell r="E61">
            <v>26</v>
          </cell>
          <cell r="F61">
            <v>98</v>
          </cell>
          <cell r="G61">
            <v>0.35</v>
          </cell>
          <cell r="H61">
            <v>90</v>
          </cell>
          <cell r="I61" t="str">
            <v>матрица</v>
          </cell>
          <cell r="K61">
            <v>35</v>
          </cell>
          <cell r="L61">
            <v>-9</v>
          </cell>
          <cell r="M61">
            <v>26</v>
          </cell>
          <cell r="P61">
            <v>68.799999999999955</v>
          </cell>
          <cell r="X61">
            <v>0</v>
          </cell>
          <cell r="AA61">
            <v>5.2</v>
          </cell>
          <cell r="AC61">
            <v>-60</v>
          </cell>
        </row>
        <row r="62">
          <cell r="A62" t="str">
            <v xml:space="preserve"> 395  Колбаса Докторская ГОСТ ТМ Вязанка в оболочке полиамид 0,37 кг. ПОКОМ</v>
          </cell>
          <cell r="B62" t="str">
            <v>шт</v>
          </cell>
          <cell r="C62">
            <v>195</v>
          </cell>
          <cell r="D62">
            <v>189</v>
          </cell>
          <cell r="E62">
            <v>153</v>
          </cell>
          <cell r="F62">
            <v>202</v>
          </cell>
          <cell r="G62">
            <v>0.37</v>
          </cell>
          <cell r="H62">
            <v>50</v>
          </cell>
          <cell r="I62" t="str">
            <v>матрица</v>
          </cell>
          <cell r="K62">
            <v>231</v>
          </cell>
          <cell r="L62">
            <v>-78</v>
          </cell>
          <cell r="M62">
            <v>153</v>
          </cell>
          <cell r="P62">
            <v>0</v>
          </cell>
          <cell r="X62">
            <v>155.50000000000011</v>
          </cell>
          <cell r="AA62">
            <v>30.6</v>
          </cell>
        </row>
        <row r="63">
          <cell r="A63" t="str">
            <v xml:space="preserve"> 397  Ветчина Дугушка ТМ Стародворье ТС Дугушка в полиамидной оболочке 0,6 кг. ПОКОМ</v>
          </cell>
          <cell r="B63" t="str">
            <v>шт</v>
          </cell>
          <cell r="C63">
            <v>1673</v>
          </cell>
          <cell r="D63">
            <v>243</v>
          </cell>
          <cell r="E63">
            <v>1339</v>
          </cell>
          <cell r="F63">
            <v>544</v>
          </cell>
          <cell r="G63">
            <v>0.6</v>
          </cell>
          <cell r="H63">
            <v>70</v>
          </cell>
          <cell r="I63" t="str">
            <v>ВНИМАНИЕ / матрица</v>
          </cell>
          <cell r="K63">
            <v>1429</v>
          </cell>
          <cell r="L63">
            <v>-90</v>
          </cell>
          <cell r="M63">
            <v>1339</v>
          </cell>
          <cell r="P63">
            <v>500</v>
          </cell>
          <cell r="X63">
            <v>100</v>
          </cell>
          <cell r="AA63">
            <v>267.8</v>
          </cell>
        </row>
        <row r="64">
          <cell r="A64" t="str">
            <v xml:space="preserve"> 405  Сардельки Сливушки ТМ Вязанка в оболочке айпил 0,33 кг. ПОКОМ</v>
          </cell>
          <cell r="B64" t="str">
            <v>шт</v>
          </cell>
          <cell r="C64">
            <v>163</v>
          </cell>
          <cell r="D64">
            <v>115</v>
          </cell>
          <cell r="E64">
            <v>177</v>
          </cell>
          <cell r="F64">
            <v>52</v>
          </cell>
          <cell r="G64">
            <v>0.33</v>
          </cell>
          <cell r="H64">
            <v>40</v>
          </cell>
          <cell r="I64" t="str">
            <v>матрица</v>
          </cell>
          <cell r="K64">
            <v>410</v>
          </cell>
          <cell r="L64">
            <v>-233</v>
          </cell>
          <cell r="M64">
            <v>177</v>
          </cell>
          <cell r="P64">
            <v>54.800000000000011</v>
          </cell>
          <cell r="X64">
            <v>217.2</v>
          </cell>
          <cell r="AA64">
            <v>35.4</v>
          </cell>
          <cell r="AB64">
            <v>65.399999999999977</v>
          </cell>
        </row>
        <row r="65">
          <cell r="A65" t="str">
            <v xml:space="preserve"> 408  Ветчина Сливушка с индейкой ТМ Вязанка, 0,4кг  ПОКОМ</v>
          </cell>
          <cell r="B65" t="str">
            <v>шт</v>
          </cell>
          <cell r="C65">
            <v>74</v>
          </cell>
          <cell r="D65">
            <v>145</v>
          </cell>
          <cell r="E65">
            <v>60</v>
          </cell>
          <cell r="F65">
            <v>152</v>
          </cell>
          <cell r="G65">
            <v>0.4</v>
          </cell>
          <cell r="H65">
            <v>55</v>
          </cell>
          <cell r="I65" t="str">
            <v>матрица</v>
          </cell>
          <cell r="K65">
            <v>96</v>
          </cell>
          <cell r="L65">
            <v>-36</v>
          </cell>
          <cell r="M65">
            <v>60</v>
          </cell>
          <cell r="P65">
            <v>0</v>
          </cell>
          <cell r="X65">
            <v>0</v>
          </cell>
          <cell r="AA65">
            <v>12</v>
          </cell>
        </row>
        <row r="66">
          <cell r="A66" t="str">
            <v xml:space="preserve"> 410  Сосиски Баварские с сыром ТМ Стародворье 0,35 кг. ПОКОМ</v>
          </cell>
          <cell r="B66" t="str">
            <v>шт</v>
          </cell>
          <cell r="C66">
            <v>153</v>
          </cell>
          <cell r="D66">
            <v>215</v>
          </cell>
          <cell r="E66">
            <v>233</v>
          </cell>
          <cell r="F66">
            <v>85</v>
          </cell>
          <cell r="G66">
            <v>0.35</v>
          </cell>
          <cell r="H66">
            <v>40</v>
          </cell>
          <cell r="I66" t="str">
            <v>матрица</v>
          </cell>
          <cell r="K66">
            <v>354</v>
          </cell>
          <cell r="L66">
            <v>-121</v>
          </cell>
          <cell r="M66">
            <v>203</v>
          </cell>
          <cell r="N66">
            <v>30</v>
          </cell>
          <cell r="P66">
            <v>62.199999999999989</v>
          </cell>
          <cell r="W66">
            <v>-318</v>
          </cell>
          <cell r="X66">
            <v>313.10000000000002</v>
          </cell>
          <cell r="AA66">
            <v>40.6</v>
          </cell>
          <cell r="AB66">
            <v>263.7</v>
          </cell>
        </row>
        <row r="67">
          <cell r="A67" t="str">
            <v xml:space="preserve"> 412  Сосиски Баварские ТМ Стародворье 0,35 кг ПОКОМ</v>
          </cell>
          <cell r="B67" t="str">
            <v>шт</v>
          </cell>
          <cell r="C67">
            <v>597</v>
          </cell>
          <cell r="D67">
            <v>185</v>
          </cell>
          <cell r="E67">
            <v>393</v>
          </cell>
          <cell r="F67">
            <v>327</v>
          </cell>
          <cell r="G67">
            <v>0.35</v>
          </cell>
          <cell r="H67">
            <v>45</v>
          </cell>
          <cell r="I67" t="str">
            <v>матрица</v>
          </cell>
          <cell r="K67">
            <v>641</v>
          </cell>
          <cell r="L67">
            <v>-248</v>
          </cell>
          <cell r="M67">
            <v>363</v>
          </cell>
          <cell r="N67">
            <v>30</v>
          </cell>
          <cell r="P67">
            <v>214</v>
          </cell>
          <cell r="W67">
            <v>-258</v>
          </cell>
          <cell r="X67">
            <v>254</v>
          </cell>
          <cell r="AA67">
            <v>72.599999999999994</v>
          </cell>
          <cell r="AB67">
            <v>261.59999999999991</v>
          </cell>
        </row>
        <row r="68">
          <cell r="A68" t="str">
            <v xml:space="preserve"> 430  Колбаса Стародворская с окороком 0,4 кг. ТМ Стародворье в оболочке полиамид  ПОКОМ</v>
          </cell>
          <cell r="B68" t="str">
            <v>шт</v>
          </cell>
          <cell r="C68">
            <v>23</v>
          </cell>
          <cell r="E68">
            <v>1</v>
          </cell>
          <cell r="F68">
            <v>22</v>
          </cell>
          <cell r="G68">
            <v>0.4</v>
          </cell>
          <cell r="H68">
            <v>55</v>
          </cell>
          <cell r="I68" t="str">
            <v>матрица</v>
          </cell>
          <cell r="K68">
            <v>41</v>
          </cell>
          <cell r="L68">
            <v>-40</v>
          </cell>
          <cell r="M68">
            <v>1</v>
          </cell>
          <cell r="P68">
            <v>15</v>
          </cell>
          <cell r="X68">
            <v>20.499999999999989</v>
          </cell>
          <cell r="AA68">
            <v>0.2</v>
          </cell>
          <cell r="AC68">
            <v>-10</v>
          </cell>
        </row>
        <row r="69">
          <cell r="A69" t="str">
            <v xml:space="preserve"> 433 Колбаса Стародворская со шпиком  в оболочке полиамид. ТМ Стародворье ВЕС ПОКОМ</v>
          </cell>
          <cell r="B69" t="str">
            <v>кг</v>
          </cell>
          <cell r="C69">
            <v>66.683999999999997</v>
          </cell>
          <cell r="D69">
            <v>1.444</v>
          </cell>
          <cell r="E69">
            <v>5.6859999999999999</v>
          </cell>
          <cell r="F69">
            <v>60.997999999999998</v>
          </cell>
          <cell r="G69">
            <v>1</v>
          </cell>
          <cell r="H69">
            <v>55</v>
          </cell>
          <cell r="I69" t="str">
            <v>матрица</v>
          </cell>
          <cell r="K69">
            <v>7.8</v>
          </cell>
          <cell r="L69">
            <v>-2.1139999999999999</v>
          </cell>
          <cell r="M69">
            <v>5.6859999999999999</v>
          </cell>
          <cell r="P69">
            <v>0</v>
          </cell>
          <cell r="X69">
            <v>0</v>
          </cell>
          <cell r="AA69">
            <v>1.1372</v>
          </cell>
          <cell r="AC69">
            <v>-47.920200000000001</v>
          </cell>
        </row>
        <row r="70">
          <cell r="A70" t="str">
            <v xml:space="preserve"> 449  Колбаса Дугушка Стародворская ВЕС ТС Дугушка ПОКОМ</v>
          </cell>
          <cell r="B70" t="str">
            <v>кг</v>
          </cell>
          <cell r="C70">
            <v>4990.4939999999997</v>
          </cell>
          <cell r="D70">
            <v>2199.4810000000002</v>
          </cell>
          <cell r="E70">
            <v>2512.5450000000001</v>
          </cell>
          <cell r="F70">
            <v>4448.7730000000001</v>
          </cell>
          <cell r="G70">
            <v>1</v>
          </cell>
          <cell r="H70">
            <v>60</v>
          </cell>
          <cell r="I70" t="str">
            <v>ТОП / матрица</v>
          </cell>
          <cell r="K70">
            <v>3650.3</v>
          </cell>
          <cell r="L70">
            <v>-1137.7550000000001</v>
          </cell>
          <cell r="M70">
            <v>2431.0750000000003</v>
          </cell>
          <cell r="N70">
            <v>81.47</v>
          </cell>
          <cell r="P70">
            <v>656.84412038656228</v>
          </cell>
          <cell r="X70">
            <v>1485.6944240000009</v>
          </cell>
          <cell r="Z70">
            <v>500</v>
          </cell>
          <cell r="AA70">
            <v>486.21500000000003</v>
          </cell>
          <cell r="AC70">
            <v>-1500</v>
          </cell>
        </row>
        <row r="71">
          <cell r="A71" t="str">
            <v xml:space="preserve"> 451 Сосиски Филейские ТМ Вязанка в оболочке целлофан 0,3 кг. ПОКОМ</v>
          </cell>
          <cell r="B71" t="str">
            <v>шт</v>
          </cell>
          <cell r="C71">
            <v>257</v>
          </cell>
          <cell r="D71">
            <v>318</v>
          </cell>
          <cell r="E71">
            <v>98</v>
          </cell>
          <cell r="F71">
            <v>411</v>
          </cell>
          <cell r="G71">
            <v>0.3</v>
          </cell>
          <cell r="H71">
            <v>40</v>
          </cell>
          <cell r="I71" t="str">
            <v>матрица</v>
          </cell>
          <cell r="K71">
            <v>178</v>
          </cell>
          <cell r="L71">
            <v>-80</v>
          </cell>
          <cell r="M71">
            <v>98</v>
          </cell>
          <cell r="P71">
            <v>19.600000000000019</v>
          </cell>
          <cell r="X71">
            <v>0</v>
          </cell>
          <cell r="AA71">
            <v>19.600000000000001</v>
          </cell>
          <cell r="AC71">
            <v>-205.20000000000002</v>
          </cell>
        </row>
        <row r="72">
          <cell r="A72" t="str">
            <v xml:space="preserve"> 452  Колбаса Со шпиком ВЕС большой батон ТМ Особый рецепт  ПОКОМ</v>
          </cell>
          <cell r="B72" t="str">
            <v>кг</v>
          </cell>
          <cell r="C72">
            <v>2074.7759999999998</v>
          </cell>
          <cell r="D72">
            <v>322.55700000000002</v>
          </cell>
          <cell r="E72">
            <v>1210.549</v>
          </cell>
          <cell r="F72">
            <v>1085.2550000000001</v>
          </cell>
          <cell r="G72">
            <v>1</v>
          </cell>
          <cell r="H72">
            <v>60</v>
          </cell>
          <cell r="I72" t="str">
            <v>ТОП / матрица</v>
          </cell>
          <cell r="K72">
            <v>1679.8</v>
          </cell>
          <cell r="L72">
            <v>-469.25099999999998</v>
          </cell>
          <cell r="M72">
            <v>1001.169</v>
          </cell>
          <cell r="N72">
            <v>209.38</v>
          </cell>
          <cell r="P72">
            <v>580.65548686080001</v>
          </cell>
          <cell r="R72">
            <v>590.02089793920004</v>
          </cell>
          <cell r="S72">
            <v>595.88</v>
          </cell>
          <cell r="X72">
            <v>176.31462600000009</v>
          </cell>
          <cell r="AA72">
            <v>200.2338</v>
          </cell>
        </row>
        <row r="73">
          <cell r="A73" t="str">
            <v xml:space="preserve"> 456  Колбаса Филейная ТМ Особый рецепт ВЕС большой батон  ПОКОМ</v>
          </cell>
          <cell r="B73" t="str">
            <v>кг</v>
          </cell>
          <cell r="C73">
            <v>5281.3029999999999</v>
          </cell>
          <cell r="D73">
            <v>1669.4939999999999</v>
          </cell>
          <cell r="E73">
            <v>3190.7959999999998</v>
          </cell>
          <cell r="F73">
            <v>3347.357</v>
          </cell>
          <cell r="G73">
            <v>1</v>
          </cell>
          <cell r="H73">
            <v>60</v>
          </cell>
          <cell r="I73" t="str">
            <v>ТОП / матрица</v>
          </cell>
          <cell r="K73">
            <v>4076.1</v>
          </cell>
          <cell r="L73">
            <v>-885.30400000000009</v>
          </cell>
          <cell r="M73">
            <v>2435.0559999999996</v>
          </cell>
          <cell r="N73">
            <v>755.74</v>
          </cell>
          <cell r="P73">
            <v>809.15368426239968</v>
          </cell>
          <cell r="Q73">
            <v>1600</v>
          </cell>
          <cell r="R73">
            <v>822.20455013759977</v>
          </cell>
          <cell r="S73">
            <v>833.05</v>
          </cell>
          <cell r="U73">
            <v>1400</v>
          </cell>
          <cell r="V73">
            <v>800</v>
          </cell>
          <cell r="X73">
            <v>59.182534000000373</v>
          </cell>
          <cell r="AA73">
            <v>487.01119999999992</v>
          </cell>
          <cell r="AC73">
            <v>-2700</v>
          </cell>
        </row>
        <row r="74">
          <cell r="A74" t="str">
            <v xml:space="preserve"> 457  Колбаса Молочная ТМ Особый рецепт ВЕС большой батон  ПОКОМ</v>
          </cell>
          <cell r="B74" t="str">
            <v>кг</v>
          </cell>
          <cell r="C74">
            <v>2425.6640000000002</v>
          </cell>
          <cell r="D74">
            <v>4845.3770000000004</v>
          </cell>
          <cell r="E74">
            <v>3450.34</v>
          </cell>
          <cell r="F74">
            <v>3311.1289999999999</v>
          </cell>
          <cell r="G74">
            <v>1</v>
          </cell>
          <cell r="H74">
            <v>60</v>
          </cell>
          <cell r="I74" t="str">
            <v>ТОП / матрица</v>
          </cell>
          <cell r="K74">
            <v>4449.7</v>
          </cell>
          <cell r="L74">
            <v>-999.35999999999967</v>
          </cell>
          <cell r="M74">
            <v>3138.9870000000001</v>
          </cell>
          <cell r="N74">
            <v>311.35300000000001</v>
          </cell>
          <cell r="P74">
            <v>1365.7285088128001</v>
          </cell>
          <cell r="Q74">
            <v>2000</v>
          </cell>
          <cell r="R74">
            <v>1387.7563879872</v>
          </cell>
          <cell r="S74">
            <v>1399.9390000000001</v>
          </cell>
          <cell r="U74">
            <v>1400</v>
          </cell>
          <cell r="V74">
            <v>800</v>
          </cell>
          <cell r="X74">
            <v>39.952035999999453</v>
          </cell>
          <cell r="AA74">
            <v>627.79740000000004</v>
          </cell>
          <cell r="AC74">
            <v>-2700</v>
          </cell>
        </row>
        <row r="75">
          <cell r="A75" t="str">
            <v xml:space="preserve"> 460  Колбаса Стародворская Традиционная ВЕС ТМ Стародворье в оболочке полиамид. ПОКОМ</v>
          </cell>
          <cell r="B75" t="str">
            <v>кг</v>
          </cell>
          <cell r="C75">
            <v>119.623</v>
          </cell>
          <cell r="D75">
            <v>1.35</v>
          </cell>
          <cell r="E75">
            <v>45.654000000000003</v>
          </cell>
          <cell r="F75">
            <v>73.968999999999994</v>
          </cell>
          <cell r="G75">
            <v>1</v>
          </cell>
          <cell r="H75">
            <v>55</v>
          </cell>
          <cell r="I75" t="str">
            <v>матрица</v>
          </cell>
          <cell r="K75">
            <v>134</v>
          </cell>
          <cell r="L75">
            <v>-88.346000000000004</v>
          </cell>
          <cell r="M75">
            <v>45.654000000000003</v>
          </cell>
          <cell r="P75">
            <v>0</v>
          </cell>
          <cell r="X75">
            <v>0</v>
          </cell>
          <cell r="AA75">
            <v>9.1308000000000007</v>
          </cell>
          <cell r="AB75">
            <v>26.469800000000021</v>
          </cell>
        </row>
        <row r="76">
          <cell r="A76" t="str">
            <v xml:space="preserve"> 463  Колбаса Молочная Традиционнаяв оболочке полиамид.ТМ Стародворье. ВЕС ПОКОМ</v>
          </cell>
          <cell r="B76" t="str">
            <v>кг</v>
          </cell>
          <cell r="E76">
            <v>1.36</v>
          </cell>
          <cell r="F76">
            <v>-1.36</v>
          </cell>
          <cell r="G76">
            <v>0</v>
          </cell>
          <cell r="I76" t="str">
            <v>не в матрице</v>
          </cell>
          <cell r="K76">
            <v>1.3</v>
          </cell>
          <cell r="L76">
            <v>6.0000000000000053E-2</v>
          </cell>
          <cell r="M76">
            <v>1.36</v>
          </cell>
          <cell r="AA76">
            <v>0.27200000000000002</v>
          </cell>
        </row>
        <row r="77">
          <cell r="A77" t="str">
            <v xml:space="preserve"> 485  Колбаса Молочная по-стародворски ТМ Стародворье в оболочке полиамид. ВЕС ПОКОМ </v>
          </cell>
          <cell r="B77" t="str">
            <v>кг</v>
          </cell>
          <cell r="C77">
            <v>598.62300000000005</v>
          </cell>
          <cell r="D77">
            <v>2.7</v>
          </cell>
          <cell r="E77">
            <v>33.545000000000002</v>
          </cell>
          <cell r="F77">
            <v>565.07799999999997</v>
          </cell>
          <cell r="G77">
            <v>0</v>
          </cell>
          <cell r="I77" t="str">
            <v>не в матрице</v>
          </cell>
          <cell r="K77">
            <v>34.700000000000003</v>
          </cell>
          <cell r="L77">
            <v>-1.1550000000000011</v>
          </cell>
          <cell r="M77">
            <v>33.545000000000002</v>
          </cell>
          <cell r="P77">
            <v>0</v>
          </cell>
          <cell r="X77">
            <v>0</v>
          </cell>
          <cell r="AA77">
            <v>6.7090000000000005</v>
          </cell>
          <cell r="AC77">
            <v>0</v>
          </cell>
        </row>
        <row r="78">
          <cell r="A78" t="str">
            <v xml:space="preserve"> 498  Колбаса Сочинка рубленая с сочным окороком 0,3кг ТМ Стародворье  ПОКОМ</v>
          </cell>
          <cell r="B78" t="str">
            <v>шт</v>
          </cell>
          <cell r="C78">
            <v>222</v>
          </cell>
          <cell r="D78">
            <v>10</v>
          </cell>
          <cell r="E78">
            <v>101</v>
          </cell>
          <cell r="F78">
            <v>119</v>
          </cell>
          <cell r="G78">
            <v>0.3</v>
          </cell>
          <cell r="H78">
            <v>40</v>
          </cell>
          <cell r="I78" t="str">
            <v>матрица</v>
          </cell>
          <cell r="K78">
            <v>144</v>
          </cell>
          <cell r="L78">
            <v>-43</v>
          </cell>
          <cell r="M78">
            <v>101</v>
          </cell>
          <cell r="P78">
            <v>0</v>
          </cell>
          <cell r="X78">
            <v>144.5</v>
          </cell>
          <cell r="AA78">
            <v>20.2</v>
          </cell>
        </row>
        <row r="79">
          <cell r="A79" t="str">
            <v xml:space="preserve"> 517  Сосиски С сыром ТМ Ядрена копоть 0,3кг  ПОКОМ</v>
          </cell>
          <cell r="B79" t="str">
            <v>шт</v>
          </cell>
          <cell r="C79">
            <v>93</v>
          </cell>
          <cell r="E79">
            <v>32</v>
          </cell>
          <cell r="F79">
            <v>61</v>
          </cell>
          <cell r="G79">
            <v>0.3</v>
          </cell>
          <cell r="H79">
            <v>40</v>
          </cell>
          <cell r="I79" t="str">
            <v>матрица</v>
          </cell>
          <cell r="K79">
            <v>57</v>
          </cell>
          <cell r="L79">
            <v>-25</v>
          </cell>
          <cell r="M79">
            <v>32</v>
          </cell>
          <cell r="P79">
            <v>0</v>
          </cell>
          <cell r="X79">
            <v>0</v>
          </cell>
          <cell r="AA79">
            <v>6.4</v>
          </cell>
          <cell r="AB79">
            <v>9.4000000000000057</v>
          </cell>
        </row>
        <row r="80">
          <cell r="A80" t="str">
            <v xml:space="preserve"> 523  Колбаса Сальчичон нарезка 0,07кг ТМ Стародворье  ПОКОМ </v>
          </cell>
          <cell r="B80" t="str">
            <v>шт</v>
          </cell>
          <cell r="C80">
            <v>107</v>
          </cell>
          <cell r="D80">
            <v>184</v>
          </cell>
          <cell r="E80">
            <v>113</v>
          </cell>
          <cell r="F80">
            <v>136</v>
          </cell>
          <cell r="G80">
            <v>7.0000000000000007E-2</v>
          </cell>
          <cell r="H80">
            <v>90</v>
          </cell>
          <cell r="I80" t="str">
            <v>матрица</v>
          </cell>
          <cell r="K80">
            <v>228</v>
          </cell>
          <cell r="L80">
            <v>-115</v>
          </cell>
          <cell r="M80">
            <v>113</v>
          </cell>
          <cell r="P80">
            <v>66.318711999999977</v>
          </cell>
          <cell r="X80">
            <v>137.80000000000001</v>
          </cell>
          <cell r="AA80">
            <v>22.6</v>
          </cell>
          <cell r="AC80">
            <v>-80.21871199999994</v>
          </cell>
        </row>
        <row r="81">
          <cell r="A81" t="str">
            <v xml:space="preserve"> 524  Колбаса Сервелат Ореховый нарезка 0,07кг ТМ Стародворье  ПОКОМ</v>
          </cell>
          <cell r="B81" t="str">
            <v>шт</v>
          </cell>
          <cell r="C81">
            <v>143</v>
          </cell>
          <cell r="D81">
            <v>246</v>
          </cell>
          <cell r="E81">
            <v>131</v>
          </cell>
          <cell r="F81">
            <v>210</v>
          </cell>
          <cell r="G81">
            <v>7.0000000000000007E-2</v>
          </cell>
          <cell r="H81">
            <v>90</v>
          </cell>
          <cell r="I81" t="str">
            <v>матрица</v>
          </cell>
          <cell r="K81">
            <v>214</v>
          </cell>
          <cell r="L81">
            <v>-83</v>
          </cell>
          <cell r="M81">
            <v>131</v>
          </cell>
          <cell r="P81">
            <v>0</v>
          </cell>
          <cell r="X81">
            <v>0</v>
          </cell>
          <cell r="AA81">
            <v>26.2</v>
          </cell>
          <cell r="AB81">
            <v>78.199999999999989</v>
          </cell>
        </row>
        <row r="82">
          <cell r="A82" t="str">
            <v xml:space="preserve"> 525  Колбаса Фуэт нарезка 0,07кг ТМ Стародворье  ПОКОМ</v>
          </cell>
          <cell r="B82" t="str">
            <v>шт</v>
          </cell>
          <cell r="C82">
            <v>82</v>
          </cell>
          <cell r="D82">
            <v>212</v>
          </cell>
          <cell r="E82">
            <v>92</v>
          </cell>
          <cell r="F82">
            <v>168</v>
          </cell>
          <cell r="G82">
            <v>7.0000000000000007E-2</v>
          </cell>
          <cell r="H82">
            <v>90</v>
          </cell>
          <cell r="I82" t="str">
            <v>матрица</v>
          </cell>
          <cell r="K82">
            <v>150</v>
          </cell>
          <cell r="L82">
            <v>-58</v>
          </cell>
          <cell r="M82">
            <v>92</v>
          </cell>
          <cell r="P82">
            <v>0</v>
          </cell>
          <cell r="X82">
            <v>94.800000000000011</v>
          </cell>
          <cell r="AA82">
            <v>18.399999999999999</v>
          </cell>
          <cell r="AC82">
            <v>-51.200000000000024</v>
          </cell>
        </row>
        <row r="83">
          <cell r="A83" t="str">
            <v xml:space="preserve"> 526  Корейка вяленая выдержанная нарезка 0,05кг ТМ Стародворье  ПОКОМ</v>
          </cell>
          <cell r="B83" t="str">
            <v>шт</v>
          </cell>
          <cell r="C83">
            <v>37</v>
          </cell>
          <cell r="D83">
            <v>133</v>
          </cell>
          <cell r="E83">
            <v>49</v>
          </cell>
          <cell r="F83">
            <v>96</v>
          </cell>
          <cell r="G83">
            <v>0</v>
          </cell>
          <cell r="H83">
            <v>90</v>
          </cell>
          <cell r="I83" t="str">
            <v>не в матрице</v>
          </cell>
          <cell r="K83">
            <v>166</v>
          </cell>
          <cell r="L83">
            <v>-117</v>
          </cell>
          <cell r="M83">
            <v>49</v>
          </cell>
          <cell r="P83">
            <v>89.200000000000017</v>
          </cell>
          <cell r="X83">
            <v>0</v>
          </cell>
          <cell r="AA83">
            <v>9.8000000000000007</v>
          </cell>
          <cell r="AC83">
            <v>-96</v>
          </cell>
        </row>
        <row r="84">
          <cell r="A84" t="str">
            <v xml:space="preserve"> 544  Сосиски Мясные для гриля ТС Ядрена копоть 0,3 кг  ПОКОМ</v>
          </cell>
          <cell r="B84" t="str">
            <v>шт</v>
          </cell>
          <cell r="C84">
            <v>54</v>
          </cell>
          <cell r="D84">
            <v>1</v>
          </cell>
          <cell r="E84">
            <v>8</v>
          </cell>
          <cell r="F84">
            <v>46</v>
          </cell>
          <cell r="G84">
            <v>0.3</v>
          </cell>
          <cell r="H84">
            <v>40</v>
          </cell>
          <cell r="I84" t="str">
            <v>матрица</v>
          </cell>
          <cell r="K84">
            <v>69</v>
          </cell>
          <cell r="L84">
            <v>-61</v>
          </cell>
          <cell r="M84">
            <v>8</v>
          </cell>
          <cell r="P84">
            <v>0</v>
          </cell>
          <cell r="X84">
            <v>0</v>
          </cell>
          <cell r="AA84">
            <v>1.6</v>
          </cell>
          <cell r="AC84">
            <v>-27.6</v>
          </cell>
        </row>
        <row r="85">
          <cell r="A85" t="str">
            <v xml:space="preserve"> 547  Колбаса Мясная Классическая ТМ Вязанка в оболочке полиамид. ВЕС  ПОКОМ</v>
          </cell>
          <cell r="B85" t="str">
            <v>кг</v>
          </cell>
          <cell r="C85">
            <v>41.65</v>
          </cell>
          <cell r="E85">
            <v>16.195</v>
          </cell>
          <cell r="F85">
            <v>25.454999999999998</v>
          </cell>
          <cell r="G85">
            <v>1</v>
          </cell>
          <cell r="H85">
            <v>55</v>
          </cell>
          <cell r="I85" t="str">
            <v>матрица</v>
          </cell>
          <cell r="K85">
            <v>16.571000000000002</v>
          </cell>
          <cell r="L85">
            <v>-0.37600000000000122</v>
          </cell>
          <cell r="M85">
            <v>16.195</v>
          </cell>
          <cell r="P85">
            <v>0</v>
          </cell>
          <cell r="X85">
            <v>0</v>
          </cell>
          <cell r="AA85">
            <v>3.2389999999999999</v>
          </cell>
          <cell r="AB85">
            <v>10.173999999999999</v>
          </cell>
        </row>
        <row r="86">
          <cell r="A86" t="str">
            <v xml:space="preserve"> 551  Колбаса Сливушка ТМ Вязанка в модифицированной газовой среде 0,11 кг нарезка  ПОКОМ</v>
          </cell>
          <cell r="B86" t="str">
            <v>шт</v>
          </cell>
          <cell r="E86">
            <v>4</v>
          </cell>
          <cell r="F86">
            <v>-4</v>
          </cell>
          <cell r="G86">
            <v>0.11</v>
          </cell>
          <cell r="H86">
            <v>30</v>
          </cell>
          <cell r="I86" t="str">
            <v>матрица</v>
          </cell>
          <cell r="K86">
            <v>200</v>
          </cell>
          <cell r="L86">
            <v>-196</v>
          </cell>
          <cell r="M86">
            <v>4</v>
          </cell>
          <cell r="P86">
            <v>0</v>
          </cell>
          <cell r="X86">
            <v>0</v>
          </cell>
          <cell r="AA86">
            <v>0.8</v>
          </cell>
          <cell r="AB86">
            <v>20</v>
          </cell>
        </row>
        <row r="87">
          <cell r="A87" t="str">
            <v xml:space="preserve"> 553  Ассорти колбас Мясорубская коллекция: Сервелат Делюкс, С балыком 0,08 кг нарезка  ПОКОМ</v>
          </cell>
          <cell r="B87" t="str">
            <v>шт</v>
          </cell>
          <cell r="C87">
            <v>209</v>
          </cell>
          <cell r="D87">
            <v>322</v>
          </cell>
          <cell r="E87">
            <v>202</v>
          </cell>
          <cell r="F87">
            <v>248</v>
          </cell>
          <cell r="G87">
            <v>0.08</v>
          </cell>
          <cell r="H87">
            <v>45</v>
          </cell>
          <cell r="I87" t="str">
            <v>матрица</v>
          </cell>
          <cell r="K87">
            <v>359</v>
          </cell>
          <cell r="L87">
            <v>-157</v>
          </cell>
          <cell r="M87">
            <v>202</v>
          </cell>
          <cell r="P87">
            <v>57.199999999999818</v>
          </cell>
          <cell r="X87">
            <v>256.10000000000002</v>
          </cell>
          <cell r="AA87">
            <v>40.4</v>
          </cell>
        </row>
        <row r="88">
          <cell r="A88" t="str">
            <v xml:space="preserve"> 554  Колбаса Сервелат Мясорубский ТМ Стародворье в упаковке скин 0,08 кг нарезка  ПОКОМ</v>
          </cell>
          <cell r="B88" t="str">
            <v>шт</v>
          </cell>
          <cell r="C88">
            <v>204</v>
          </cell>
          <cell r="D88">
            <v>57</v>
          </cell>
          <cell r="E88">
            <v>160</v>
          </cell>
          <cell r="F88">
            <v>39</v>
          </cell>
          <cell r="G88">
            <v>0.08</v>
          </cell>
          <cell r="H88">
            <v>45</v>
          </cell>
          <cell r="I88" t="str">
            <v>матрица</v>
          </cell>
          <cell r="K88">
            <v>334</v>
          </cell>
          <cell r="L88">
            <v>-174</v>
          </cell>
          <cell r="M88">
            <v>160</v>
          </cell>
          <cell r="P88">
            <v>0</v>
          </cell>
          <cell r="X88">
            <v>253.3000000000001</v>
          </cell>
          <cell r="AA88">
            <v>32</v>
          </cell>
          <cell r="AB88">
            <v>59.699999999999903</v>
          </cell>
        </row>
        <row r="89">
          <cell r="A89" t="str">
            <v xml:space="preserve"> 555  Колбаса Молокуша ТМ Вязанка в модифицированной газовой среде 0,17 кг нарезка  ПОКОМ</v>
          </cell>
          <cell r="B89" t="str">
            <v>шт</v>
          </cell>
          <cell r="C89">
            <v>21</v>
          </cell>
          <cell r="D89">
            <v>8</v>
          </cell>
          <cell r="E89">
            <v>16</v>
          </cell>
          <cell r="F89">
            <v>-1</v>
          </cell>
          <cell r="G89">
            <v>0.17</v>
          </cell>
          <cell r="H89">
            <v>30</v>
          </cell>
          <cell r="I89" t="str">
            <v>матрица</v>
          </cell>
          <cell r="K89">
            <v>146</v>
          </cell>
          <cell r="L89">
            <v>-130</v>
          </cell>
          <cell r="M89">
            <v>16</v>
          </cell>
          <cell r="P89">
            <v>49.2</v>
          </cell>
          <cell r="X89">
            <v>66.799999999999983</v>
          </cell>
          <cell r="AA89">
            <v>3.2</v>
          </cell>
        </row>
        <row r="90">
          <cell r="A90" t="str">
            <v xml:space="preserve"> 556  Колбаса Сервелат Ореховый ТМ Вязанка в оболочке фиброуз в вакуумной упаковке, ВЕС  ПОКОМ</v>
          </cell>
          <cell r="B90" t="str">
            <v>кг</v>
          </cell>
          <cell r="C90">
            <v>292.358</v>
          </cell>
          <cell r="D90">
            <v>136.91</v>
          </cell>
          <cell r="E90">
            <v>207.99199999999999</v>
          </cell>
          <cell r="F90">
            <v>198.68899999999999</v>
          </cell>
          <cell r="G90">
            <v>1</v>
          </cell>
          <cell r="H90">
            <v>40</v>
          </cell>
          <cell r="I90" t="str">
            <v>матрица</v>
          </cell>
          <cell r="K90">
            <v>343.91300000000001</v>
          </cell>
          <cell r="L90">
            <v>-135.92100000000002</v>
          </cell>
          <cell r="M90">
            <v>207.99199999999999</v>
          </cell>
          <cell r="P90">
            <v>176.36960000000019</v>
          </cell>
          <cell r="X90">
            <v>168.57199999999989</v>
          </cell>
          <cell r="AA90">
            <v>41.598399999999998</v>
          </cell>
        </row>
        <row r="91">
          <cell r="A91" t="str">
            <v xml:space="preserve"> 557  Колбаса Сервелат Финский ТМ Вязанка в оболочке фиброуз в вакуумной упаковке, ВЕС  ПОКОМ</v>
          </cell>
          <cell r="B91" t="str">
            <v>кг</v>
          </cell>
          <cell r="C91">
            <v>64.274000000000001</v>
          </cell>
          <cell r="D91">
            <v>114.304</v>
          </cell>
          <cell r="E91">
            <v>30.864000000000001</v>
          </cell>
          <cell r="F91">
            <v>144.83000000000001</v>
          </cell>
          <cell r="G91">
            <v>1</v>
          </cell>
          <cell r="H91">
            <v>40</v>
          </cell>
          <cell r="I91" t="str">
            <v>матрица</v>
          </cell>
          <cell r="K91">
            <v>62.4</v>
          </cell>
          <cell r="L91">
            <v>-31.535999999999998</v>
          </cell>
          <cell r="M91">
            <v>30.864000000000001</v>
          </cell>
          <cell r="P91">
            <v>40.127200000000023</v>
          </cell>
          <cell r="X91">
            <v>0</v>
          </cell>
          <cell r="AA91">
            <v>6.1728000000000005</v>
          </cell>
          <cell r="AC91">
            <v>-113.97000000000001</v>
          </cell>
        </row>
        <row r="92">
          <cell r="A92" t="str">
            <v xml:space="preserve"> 558  Колбаса Балыковая НОВАЯ ВЕС Вязанка фиброуз в/у ПОКОМ</v>
          </cell>
          <cell r="B92" t="str">
            <v>кг</v>
          </cell>
          <cell r="C92">
            <v>266.03300000000002</v>
          </cell>
          <cell r="D92">
            <v>166.10599999999999</v>
          </cell>
          <cell r="E92">
            <v>138.94399999999999</v>
          </cell>
          <cell r="F92">
            <v>281.971</v>
          </cell>
          <cell r="G92">
            <v>1</v>
          </cell>
          <cell r="H92">
            <v>40</v>
          </cell>
          <cell r="I92" t="str">
            <v>матрица</v>
          </cell>
          <cell r="K92">
            <v>237.6</v>
          </cell>
          <cell r="L92">
            <v>-98.656000000000006</v>
          </cell>
          <cell r="M92">
            <v>138.94399999999999</v>
          </cell>
          <cell r="P92">
            <v>32.331799999999703</v>
          </cell>
          <cell r="X92">
            <v>68.684200000000061</v>
          </cell>
          <cell r="AA92">
            <v>27.788799999999998</v>
          </cell>
        </row>
        <row r="93">
          <cell r="A93" t="str">
            <v xml:space="preserve"> 564  Сосиски Сочные 0,3 кг ТМ Вязанка  ПОКОМ</v>
          </cell>
          <cell r="B93" t="str">
            <v>шт</v>
          </cell>
          <cell r="C93">
            <v>1</v>
          </cell>
          <cell r="D93">
            <v>116</v>
          </cell>
          <cell r="E93">
            <v>3</v>
          </cell>
          <cell r="F93">
            <v>114</v>
          </cell>
          <cell r="G93">
            <v>0.3</v>
          </cell>
          <cell r="H93">
            <v>45</v>
          </cell>
          <cell r="I93" t="str">
            <v>матрица</v>
          </cell>
          <cell r="K93">
            <v>62</v>
          </cell>
          <cell r="L93">
            <v>-59</v>
          </cell>
          <cell r="M93">
            <v>3</v>
          </cell>
          <cell r="P93">
            <v>23</v>
          </cell>
          <cell r="X93">
            <v>0</v>
          </cell>
          <cell r="AA93">
            <v>0.6</v>
          </cell>
          <cell r="AC93">
            <v>-70</v>
          </cell>
        </row>
        <row r="94">
          <cell r="A94" t="str">
            <v xml:space="preserve"> 567 Колбаса Со шпиком Стародворская ТМ Стародворье в оболочке полиамид ВЕС  ПОКОМ</v>
          </cell>
          <cell r="B94" t="str">
            <v>кг</v>
          </cell>
          <cell r="C94">
            <v>2.7320000000000002</v>
          </cell>
          <cell r="E94">
            <v>2.0249999999999999</v>
          </cell>
          <cell r="F94">
            <v>-8.0000000000000002E-3</v>
          </cell>
          <cell r="G94">
            <v>1</v>
          </cell>
          <cell r="H94">
            <v>55</v>
          </cell>
          <cell r="I94" t="str">
            <v>матрица</v>
          </cell>
          <cell r="K94">
            <v>3.8</v>
          </cell>
          <cell r="L94">
            <v>-1.7749999999999999</v>
          </cell>
          <cell r="M94">
            <v>2.0249999999999999</v>
          </cell>
          <cell r="P94">
            <v>4</v>
          </cell>
          <cell r="X94">
            <v>8</v>
          </cell>
          <cell r="AA94">
            <v>0.40499999999999997</v>
          </cell>
        </row>
        <row r="95">
          <cell r="A95" t="str">
            <v xml:space="preserve"> 569  Колбаса Балыковая ТМ Вязанка в оболочке фиброуз в вакуумной упаковке 0,28 кг срез.  ПОКОМ</v>
          </cell>
          <cell r="B95" t="str">
            <v>шт</v>
          </cell>
          <cell r="C95">
            <v>465</v>
          </cell>
          <cell r="D95">
            <v>418</v>
          </cell>
          <cell r="E95">
            <v>259</v>
          </cell>
          <cell r="F95">
            <v>531</v>
          </cell>
          <cell r="G95">
            <v>0.28000000000000003</v>
          </cell>
          <cell r="H95">
            <v>40</v>
          </cell>
          <cell r="I95" t="str">
            <v>матрица</v>
          </cell>
          <cell r="K95">
            <v>463</v>
          </cell>
          <cell r="L95">
            <v>-204</v>
          </cell>
          <cell r="M95">
            <v>259</v>
          </cell>
          <cell r="P95">
            <v>70.12468599999977</v>
          </cell>
          <cell r="X95">
            <v>170.2</v>
          </cell>
          <cell r="AA95">
            <v>51.8</v>
          </cell>
          <cell r="AC95">
            <v>-175.62468599999971</v>
          </cell>
        </row>
        <row r="96">
          <cell r="A96" t="str">
            <v xml:space="preserve"> 570  Колбаса Сервелат Финский ТМ Вязанка в оболочке фиброуз в вак. упаковке 0,28 кг срез  ПОКОМ</v>
          </cell>
          <cell r="B96" t="str">
            <v>шт</v>
          </cell>
          <cell r="C96">
            <v>24</v>
          </cell>
          <cell r="D96">
            <v>325</v>
          </cell>
          <cell r="E96">
            <v>124.274</v>
          </cell>
          <cell r="F96">
            <v>187.726</v>
          </cell>
          <cell r="G96">
            <v>0.28000000000000003</v>
          </cell>
          <cell r="H96">
            <v>40</v>
          </cell>
          <cell r="I96" t="str">
            <v>матрица</v>
          </cell>
          <cell r="K96">
            <v>346</v>
          </cell>
          <cell r="L96">
            <v>-221.726</v>
          </cell>
          <cell r="M96">
            <v>124.274</v>
          </cell>
          <cell r="P96">
            <v>275.27999999999997</v>
          </cell>
          <cell r="R96">
            <v>279.72000000000003</v>
          </cell>
          <cell r="S96">
            <v>282</v>
          </cell>
          <cell r="X96">
            <v>0</v>
          </cell>
          <cell r="AA96">
            <v>24.854800000000001</v>
          </cell>
          <cell r="AC96">
            <v>-150</v>
          </cell>
        </row>
        <row r="97">
          <cell r="A97" t="str">
            <v xml:space="preserve"> 571  Колбаса Сервелат Ореховый ТМ Вязанка в оболочке фиброуз в вак. упаковке 0,28 кг срез  ПОКОМ</v>
          </cell>
          <cell r="B97" t="str">
            <v>шт</v>
          </cell>
          <cell r="C97">
            <v>344</v>
          </cell>
          <cell r="D97">
            <v>716</v>
          </cell>
          <cell r="E97">
            <v>393.5</v>
          </cell>
          <cell r="F97">
            <v>552.5</v>
          </cell>
          <cell r="G97">
            <v>0.28000000000000003</v>
          </cell>
          <cell r="H97">
            <v>40</v>
          </cell>
          <cell r="I97" t="str">
            <v>матрица</v>
          </cell>
          <cell r="K97">
            <v>717</v>
          </cell>
          <cell r="L97">
            <v>-323.5</v>
          </cell>
          <cell r="M97">
            <v>393.5</v>
          </cell>
          <cell r="P97">
            <v>175.5732580000001</v>
          </cell>
          <cell r="X97">
            <v>380.12000000000012</v>
          </cell>
          <cell r="AA97">
            <v>78.7</v>
          </cell>
          <cell r="AC97">
            <v>-203.14325800000017</v>
          </cell>
        </row>
        <row r="98">
          <cell r="A98" t="str">
            <v xml:space="preserve"> 574  Колбаса Сервелат Финский ТМ Вязанка в упаковке скин 0,09 кг нарезка  ПОКОМ</v>
          </cell>
          <cell r="B98" t="str">
            <v>шт</v>
          </cell>
          <cell r="C98">
            <v>50</v>
          </cell>
          <cell r="D98">
            <v>21</v>
          </cell>
          <cell r="E98">
            <v>49</v>
          </cell>
          <cell r="F98">
            <v>6</v>
          </cell>
          <cell r="G98">
            <v>0.09</v>
          </cell>
          <cell r="H98">
            <v>45</v>
          </cell>
          <cell r="I98" t="str">
            <v>матрица</v>
          </cell>
          <cell r="K98">
            <v>146</v>
          </cell>
          <cell r="L98">
            <v>-97</v>
          </cell>
          <cell r="M98">
            <v>49</v>
          </cell>
          <cell r="P98">
            <v>0</v>
          </cell>
          <cell r="X98">
            <v>66.400000000000006</v>
          </cell>
          <cell r="AA98">
            <v>9.8000000000000007</v>
          </cell>
          <cell r="AB98">
            <v>35.400000000000006</v>
          </cell>
        </row>
        <row r="99">
          <cell r="A99" t="str">
            <v xml:space="preserve"> 577  Колбаса Молочная Стародворская ТМ Стародворье в оболочке полиамид НД ВЕС.  ПОКОМ</v>
          </cell>
          <cell r="B99" t="str">
            <v>кг</v>
          </cell>
          <cell r="C99">
            <v>78.311000000000007</v>
          </cell>
          <cell r="D99">
            <v>2.7349999999999999</v>
          </cell>
          <cell r="E99">
            <v>9.4969999999999999</v>
          </cell>
          <cell r="F99">
            <v>68.813999999999993</v>
          </cell>
          <cell r="G99">
            <v>0</v>
          </cell>
          <cell r="H99">
            <v>55</v>
          </cell>
          <cell r="I99" t="str">
            <v>не в матрице</v>
          </cell>
          <cell r="K99">
            <v>11.9</v>
          </cell>
          <cell r="L99">
            <v>-2.4030000000000005</v>
          </cell>
          <cell r="M99">
            <v>9.4969999999999999</v>
          </cell>
          <cell r="P99">
            <v>0</v>
          </cell>
          <cell r="X99">
            <v>0</v>
          </cell>
          <cell r="AA99">
            <v>1.8994</v>
          </cell>
          <cell r="AC99">
            <v>-69</v>
          </cell>
        </row>
        <row r="100">
          <cell r="A100" t="str">
            <v xml:space="preserve"> 579  Колбаса Ветчинно-рубленая ТМ Особый рецепт в оболочке полиамид.ВЕС  ПОКОМ</v>
          </cell>
          <cell r="B100" t="str">
            <v>кг</v>
          </cell>
          <cell r="C100">
            <v>114.937</v>
          </cell>
          <cell r="E100">
            <v>32.725000000000001</v>
          </cell>
          <cell r="F100">
            <v>79.138999999999996</v>
          </cell>
          <cell r="G100">
            <v>1</v>
          </cell>
          <cell r="H100">
            <v>60</v>
          </cell>
          <cell r="I100" t="str">
            <v>матрица</v>
          </cell>
          <cell r="K100">
            <v>55</v>
          </cell>
          <cell r="L100">
            <v>-22.274999999999999</v>
          </cell>
          <cell r="M100">
            <v>32.725000000000001</v>
          </cell>
          <cell r="P100">
            <v>0</v>
          </cell>
          <cell r="X100">
            <v>50.29349999999998</v>
          </cell>
          <cell r="AA100">
            <v>6.5449999999999999</v>
          </cell>
          <cell r="AC100">
            <v>-54.164999999999964</v>
          </cell>
        </row>
        <row r="101">
          <cell r="A101" t="str">
            <v xml:space="preserve"> 580  Ветчина Нежная с индейкой ТМ Особый рецепт в оболочке полиамид.ВЕС  ПОКОМ</v>
          </cell>
          <cell r="B101" t="str">
            <v>кг</v>
          </cell>
          <cell r="C101">
            <v>184.91800000000001</v>
          </cell>
          <cell r="E101">
            <v>15.388999999999999</v>
          </cell>
          <cell r="F101">
            <v>167.38900000000001</v>
          </cell>
          <cell r="G101">
            <v>1</v>
          </cell>
          <cell r="H101">
            <v>50</v>
          </cell>
          <cell r="I101" t="str">
            <v>матрица</v>
          </cell>
          <cell r="K101">
            <v>27.5</v>
          </cell>
          <cell r="L101">
            <v>-12.111000000000001</v>
          </cell>
          <cell r="M101">
            <v>15.388999999999999</v>
          </cell>
          <cell r="P101">
            <v>0</v>
          </cell>
          <cell r="X101">
            <v>0</v>
          </cell>
          <cell r="AA101">
            <v>3.0777999999999999</v>
          </cell>
          <cell r="AC101">
            <v>-131.99430000000001</v>
          </cell>
        </row>
        <row r="102">
          <cell r="A102" t="str">
            <v xml:space="preserve"> 583  Колбаса Балыковая ТМ Вязанка в упаковке скин 0,09 кг нарезка  ПОКОМ</v>
          </cell>
          <cell r="B102" t="str">
            <v>шт</v>
          </cell>
          <cell r="C102">
            <v>26</v>
          </cell>
          <cell r="D102">
            <v>101</v>
          </cell>
          <cell r="E102">
            <v>32</v>
          </cell>
          <cell r="F102">
            <v>76</v>
          </cell>
          <cell r="G102">
            <v>0.09</v>
          </cell>
          <cell r="H102">
            <v>45</v>
          </cell>
          <cell r="I102" t="str">
            <v>матрица</v>
          </cell>
          <cell r="K102">
            <v>156</v>
          </cell>
          <cell r="L102">
            <v>-124</v>
          </cell>
          <cell r="M102">
            <v>32</v>
          </cell>
          <cell r="P102">
            <v>0</v>
          </cell>
          <cell r="X102">
            <v>0</v>
          </cell>
          <cell r="AA102">
            <v>6.4</v>
          </cell>
        </row>
        <row r="103">
          <cell r="A103" t="str">
            <v xml:space="preserve"> 584  Колбаса Сервелат Ореховый ТМ Вязанка в упаковке скин 0,09 кг нарезка  ПОКОМ</v>
          </cell>
          <cell r="B103" t="str">
            <v>шт</v>
          </cell>
          <cell r="C103">
            <v>1</v>
          </cell>
          <cell r="D103">
            <v>85</v>
          </cell>
          <cell r="E103">
            <v>9</v>
          </cell>
          <cell r="F103">
            <v>72</v>
          </cell>
          <cell r="G103">
            <v>0.09</v>
          </cell>
          <cell r="H103">
            <v>45</v>
          </cell>
          <cell r="I103" t="str">
            <v>матрица</v>
          </cell>
          <cell r="K103">
            <v>71</v>
          </cell>
          <cell r="L103">
            <v>-62</v>
          </cell>
          <cell r="M103">
            <v>9</v>
          </cell>
          <cell r="P103">
            <v>30</v>
          </cell>
          <cell r="X103">
            <v>0</v>
          </cell>
          <cell r="AA103">
            <v>1.8</v>
          </cell>
        </row>
        <row r="104">
          <cell r="A104" t="str">
            <v xml:space="preserve"> 585  Колбаса Молочная ТМ Стародворье в оболочке вектор НД ВЕС.  ПОКОМ</v>
          </cell>
          <cell r="B104" t="str">
            <v>кг</v>
          </cell>
          <cell r="C104">
            <v>551.68100000000004</v>
          </cell>
          <cell r="D104">
            <v>1.377</v>
          </cell>
          <cell r="E104">
            <v>41.066000000000003</v>
          </cell>
          <cell r="F104">
            <v>509.24599999999998</v>
          </cell>
          <cell r="G104">
            <v>1</v>
          </cell>
          <cell r="H104">
            <v>60</v>
          </cell>
          <cell r="I104" t="str">
            <v>матрица</v>
          </cell>
          <cell r="K104">
            <v>60</v>
          </cell>
          <cell r="L104">
            <v>-18.933999999999997</v>
          </cell>
          <cell r="M104">
            <v>41.066000000000003</v>
          </cell>
          <cell r="P104">
            <v>0</v>
          </cell>
          <cell r="X104">
            <v>0</v>
          </cell>
          <cell r="AA104">
            <v>8.2132000000000005</v>
          </cell>
          <cell r="AC104">
            <v>-414.79419999999999</v>
          </cell>
        </row>
        <row r="105">
          <cell r="A105" t="str">
            <v xml:space="preserve"> 586  Колбаса Мясная ТМ Стародворье в оболочке вектор НД ВЕС.  ПОКОМ</v>
          </cell>
          <cell r="B105" t="str">
            <v>кг</v>
          </cell>
          <cell r="C105">
            <v>623.16700000000003</v>
          </cell>
          <cell r="D105">
            <v>386.66199999999998</v>
          </cell>
          <cell r="E105">
            <v>408.62700000000001</v>
          </cell>
          <cell r="F105">
            <v>558.59100000000001</v>
          </cell>
          <cell r="G105">
            <v>1</v>
          </cell>
          <cell r="H105">
            <v>60</v>
          </cell>
          <cell r="I105" t="str">
            <v>матрица</v>
          </cell>
          <cell r="K105">
            <v>598.45699999999999</v>
          </cell>
          <cell r="L105">
            <v>-189.82999999999998</v>
          </cell>
          <cell r="M105">
            <v>408.62700000000001</v>
          </cell>
          <cell r="P105">
            <v>276.86043700000022</v>
          </cell>
          <cell r="X105">
            <v>286.21679000000012</v>
          </cell>
          <cell r="AA105">
            <v>81.725400000000008</v>
          </cell>
          <cell r="AC105">
            <v>-160</v>
          </cell>
        </row>
        <row r="106">
          <cell r="A106" t="str">
            <v xml:space="preserve"> 588 Колбаса Со шпиком ТМ Стародворье в оболочке вектор ВЕС  ПОКОМ</v>
          </cell>
          <cell r="B106" t="str">
            <v>кг</v>
          </cell>
          <cell r="C106">
            <v>460.87599999999998</v>
          </cell>
          <cell r="D106">
            <v>8.234</v>
          </cell>
          <cell r="E106">
            <v>49.579000000000001</v>
          </cell>
          <cell r="F106">
            <v>411.29700000000003</v>
          </cell>
          <cell r="G106">
            <v>1</v>
          </cell>
          <cell r="H106">
            <v>60</v>
          </cell>
          <cell r="I106" t="str">
            <v>матрица</v>
          </cell>
          <cell r="K106">
            <v>69.975999999999999</v>
          </cell>
          <cell r="L106">
            <v>-20.396999999999998</v>
          </cell>
          <cell r="M106">
            <v>49.579000000000001</v>
          </cell>
          <cell r="P106">
            <v>0</v>
          </cell>
          <cell r="X106">
            <v>0</v>
          </cell>
          <cell r="AA106">
            <v>9.9158000000000008</v>
          </cell>
          <cell r="AC106">
            <v>-320</v>
          </cell>
        </row>
        <row r="107">
          <cell r="A107" t="str">
            <v xml:space="preserve"> 597  Колбаса Классическая ТМ Особый рецепт в оболочке полиамид ВЕС. ПОКОМ</v>
          </cell>
          <cell r="B107" t="str">
            <v>кг</v>
          </cell>
          <cell r="C107">
            <v>1139.403</v>
          </cell>
          <cell r="D107">
            <v>118.685</v>
          </cell>
          <cell r="E107">
            <v>728.93700000000001</v>
          </cell>
          <cell r="F107">
            <v>412.53100000000001</v>
          </cell>
          <cell r="G107">
            <v>1</v>
          </cell>
          <cell r="H107">
            <v>60</v>
          </cell>
          <cell r="I107" t="str">
            <v>ТОП / матрица</v>
          </cell>
          <cell r="K107">
            <v>1185.229</v>
          </cell>
          <cell r="L107">
            <v>-456.29200000000003</v>
          </cell>
          <cell r="M107">
            <v>728.93700000000001</v>
          </cell>
          <cell r="P107">
            <v>266.92666560000009</v>
          </cell>
          <cell r="Q107">
            <v>400</v>
          </cell>
          <cell r="R107">
            <v>271.23193440000011</v>
          </cell>
          <cell r="S107">
            <v>281.54399999999998</v>
          </cell>
          <cell r="U107">
            <v>900</v>
          </cell>
          <cell r="X107">
            <v>1023.9594</v>
          </cell>
          <cell r="Z107">
            <v>500</v>
          </cell>
          <cell r="AA107">
            <v>145.78739999999999</v>
          </cell>
          <cell r="AC107">
            <v>-500</v>
          </cell>
        </row>
        <row r="108">
          <cell r="A108" t="str">
            <v>495  Колбаса Сочинка по-европейски с сочной грудинкой 0,3кг ТМ Стародворье  ПОКОМ</v>
          </cell>
          <cell r="B108" t="str">
            <v>шт</v>
          </cell>
          <cell r="C108">
            <v>258</v>
          </cell>
          <cell r="D108">
            <v>61</v>
          </cell>
          <cell r="E108">
            <v>122</v>
          </cell>
          <cell r="F108">
            <v>160</v>
          </cell>
          <cell r="G108">
            <v>0.3</v>
          </cell>
          <cell r="H108">
            <v>40</v>
          </cell>
          <cell r="I108" t="str">
            <v>матрица</v>
          </cell>
          <cell r="K108">
            <v>243</v>
          </cell>
          <cell r="L108">
            <v>-121</v>
          </cell>
          <cell r="M108">
            <v>122</v>
          </cell>
          <cell r="P108">
            <v>81.799999999999898</v>
          </cell>
          <cell r="X108">
            <v>80.700000000000045</v>
          </cell>
          <cell r="AA108">
            <v>24.4</v>
          </cell>
        </row>
        <row r="109">
          <cell r="A109" t="str">
            <v>496  Колбаса Сочинка по-фински с сочным окроком 0,3кг ТМ Стародворье  ПОКОМ</v>
          </cell>
          <cell r="B109" t="str">
            <v>шт</v>
          </cell>
          <cell r="C109">
            <v>140</v>
          </cell>
          <cell r="D109">
            <v>46</v>
          </cell>
          <cell r="E109">
            <v>115</v>
          </cell>
          <cell r="F109">
            <v>48</v>
          </cell>
          <cell r="G109">
            <v>0.3</v>
          </cell>
          <cell r="H109">
            <v>40</v>
          </cell>
          <cell r="I109" t="str">
            <v>матрица</v>
          </cell>
          <cell r="K109">
            <v>196</v>
          </cell>
          <cell r="L109">
            <v>-81</v>
          </cell>
          <cell r="M109">
            <v>115</v>
          </cell>
          <cell r="P109">
            <v>91.999999999999972</v>
          </cell>
          <cell r="X109">
            <v>118.3</v>
          </cell>
          <cell r="AA109">
            <v>23</v>
          </cell>
        </row>
        <row r="110">
          <cell r="A110" t="str">
            <v>503 Колбаса Филейская со шпиком ТМ Вязанка в оболочке полиамид.ПОКОМ</v>
          </cell>
          <cell r="B110" t="str">
            <v>кг</v>
          </cell>
          <cell r="C110">
            <v>157.917</v>
          </cell>
          <cell r="D110">
            <v>1.31</v>
          </cell>
          <cell r="E110">
            <v>44.786000000000001</v>
          </cell>
          <cell r="F110">
            <v>113.131</v>
          </cell>
          <cell r="G110">
            <v>1</v>
          </cell>
          <cell r="H110">
            <v>50</v>
          </cell>
          <cell r="I110" t="str">
            <v>матрица</v>
          </cell>
          <cell r="K110">
            <v>83</v>
          </cell>
          <cell r="L110">
            <v>-38.213999999999999</v>
          </cell>
          <cell r="M110">
            <v>44.786000000000001</v>
          </cell>
          <cell r="P110">
            <v>0</v>
          </cell>
          <cell r="X110">
            <v>17.07599999999999</v>
          </cell>
          <cell r="AA110">
            <v>8.9572000000000003</v>
          </cell>
          <cell r="AC110">
            <v>-27.199199999999998</v>
          </cell>
        </row>
        <row r="111">
          <cell r="A111" t="str">
            <v>515  Колбаса Сервелат Мясорубский Делюкс 0,3кг ТМ Стародворье  ПОКОМ</v>
          </cell>
          <cell r="B111" t="str">
            <v>шт</v>
          </cell>
          <cell r="C111">
            <v>98</v>
          </cell>
          <cell r="D111">
            <v>19</v>
          </cell>
          <cell r="E111">
            <v>37</v>
          </cell>
          <cell r="F111">
            <v>65</v>
          </cell>
          <cell r="G111">
            <v>0.3</v>
          </cell>
          <cell r="H111">
            <v>40</v>
          </cell>
          <cell r="I111" t="str">
            <v>матрица</v>
          </cell>
          <cell r="K111">
            <v>71</v>
          </cell>
          <cell r="L111">
            <v>-34</v>
          </cell>
          <cell r="M111">
            <v>37</v>
          </cell>
          <cell r="P111">
            <v>0</v>
          </cell>
          <cell r="X111">
            <v>53.600000000000009</v>
          </cell>
          <cell r="AA111">
            <v>7.4</v>
          </cell>
        </row>
        <row r="112">
          <cell r="A112" t="str">
            <v>519  Грудинка 0,12 кг нарезка ТМ Стародворье  ПОКОМ</v>
          </cell>
          <cell r="B112" t="str">
            <v>шт</v>
          </cell>
          <cell r="C112">
            <v>14</v>
          </cell>
          <cell r="D112">
            <v>85</v>
          </cell>
          <cell r="E112">
            <v>11</v>
          </cell>
          <cell r="F112">
            <v>77</v>
          </cell>
          <cell r="G112">
            <v>0.12</v>
          </cell>
          <cell r="H112">
            <v>45</v>
          </cell>
          <cell r="I112" t="str">
            <v>матрица</v>
          </cell>
          <cell r="K112">
            <v>46</v>
          </cell>
          <cell r="L112">
            <v>-35</v>
          </cell>
          <cell r="M112">
            <v>11</v>
          </cell>
          <cell r="P112">
            <v>45.800000000000011</v>
          </cell>
          <cell r="X112">
            <v>0</v>
          </cell>
          <cell r="AA112">
            <v>2.2000000000000002</v>
          </cell>
          <cell r="AC112">
            <v>-50</v>
          </cell>
        </row>
        <row r="113">
          <cell r="A113" t="str">
            <v xml:space="preserve"> 248  Сардельки Сочные ТМ Особый рецепт,   ПОКОМ</v>
          </cell>
          <cell r="B113" t="str">
            <v>кг</v>
          </cell>
          <cell r="G113">
            <v>0</v>
          </cell>
          <cell r="I113" t="str">
            <v>матрица</v>
          </cell>
          <cell r="AA113">
            <v>0</v>
          </cell>
        </row>
        <row r="114">
          <cell r="A114" t="str">
            <v xml:space="preserve"> 263  Шпикачки Стародворские, ВЕС.  ПОКОМ</v>
          </cell>
          <cell r="B114" t="str">
            <v>кг</v>
          </cell>
          <cell r="G114">
            <v>0</v>
          </cell>
          <cell r="I114" t="str">
            <v>матрица</v>
          </cell>
          <cell r="AA114">
            <v>0</v>
          </cell>
        </row>
        <row r="115">
          <cell r="A115" t="str">
            <v xml:space="preserve"> 247  Сардельки Нежные, ВЕС.  ПОКОМ</v>
          </cell>
          <cell r="B115" t="str">
            <v>кг</v>
          </cell>
          <cell r="G115">
            <v>0</v>
          </cell>
          <cell r="I115" t="str">
            <v>матрица</v>
          </cell>
          <cell r="AA115">
            <v>0</v>
          </cell>
        </row>
        <row r="116">
          <cell r="A116" t="str">
            <v xml:space="preserve"> 283  Сосиски Сочинки, ВЕС, ТМ Стародворье ПОКОМ</v>
          </cell>
          <cell r="B116" t="str">
            <v>кг</v>
          </cell>
          <cell r="G116">
            <v>0</v>
          </cell>
          <cell r="I116" t="str">
            <v>матрица</v>
          </cell>
          <cell r="AA116">
            <v>0</v>
          </cell>
        </row>
        <row r="117">
          <cell r="A117" t="str">
            <v xml:space="preserve"> 436  Колбаса Молочная стародворская с молоком, ВЕС, ТМ Стародворье  ПОКОМ</v>
          </cell>
          <cell r="B117" t="str">
            <v>кг</v>
          </cell>
          <cell r="G117">
            <v>0</v>
          </cell>
          <cell r="I117" t="str">
            <v>матрица</v>
          </cell>
          <cell r="AA117">
            <v>0</v>
          </cell>
        </row>
        <row r="118">
          <cell r="A118" t="str">
            <v xml:space="preserve"> 388  Сосиски Восточные Халяль ТМ Вязанка 0,33 кг АК. ПОКОМ</v>
          </cell>
          <cell r="B118" t="str">
            <v>шт</v>
          </cell>
          <cell r="G118">
            <v>0</v>
          </cell>
          <cell r="I118" t="str">
            <v>матрица</v>
          </cell>
          <cell r="AA118">
            <v>0</v>
          </cell>
        </row>
        <row r="119">
          <cell r="A119" t="str">
            <v xml:space="preserve"> 318  Сосиски Датские ТМ Зареченские, ВЕС  ПОКОМ</v>
          </cell>
          <cell r="B119" t="str">
            <v>кг</v>
          </cell>
          <cell r="G119">
            <v>0</v>
          </cell>
          <cell r="I119" t="str">
            <v>матрица</v>
          </cell>
          <cell r="AA119">
            <v>0</v>
          </cell>
        </row>
        <row r="120">
          <cell r="A120" t="str">
            <v xml:space="preserve"> 265  Колбаса Балыкбургская, ВЕС, ТМ Баварушка  ПОКОМ</v>
          </cell>
          <cell r="B120" t="str">
            <v>кг</v>
          </cell>
          <cell r="G120">
            <v>0</v>
          </cell>
          <cell r="I120" t="str">
            <v>матрица</v>
          </cell>
          <cell r="AA120">
            <v>0</v>
          </cell>
        </row>
        <row r="121">
          <cell r="A121" t="str">
            <v xml:space="preserve"> 387  Колбаса вареная Мусульманская Халяль ТМ Вязанка, 0,4 кг ПОКОМ</v>
          </cell>
          <cell r="B121" t="str">
            <v>шт</v>
          </cell>
          <cell r="G121">
            <v>0</v>
          </cell>
          <cell r="I121" t="str">
            <v>матрица</v>
          </cell>
          <cell r="AA121">
            <v>0</v>
          </cell>
        </row>
        <row r="122">
          <cell r="A122" t="str">
            <v xml:space="preserve"> 328  Сардельки Сочинки Стародворье ТМ  0,4 кг ПОКОМ</v>
          </cell>
          <cell r="B122" t="str">
            <v>шт</v>
          </cell>
          <cell r="G122">
            <v>0</v>
          </cell>
          <cell r="I122" t="str">
            <v>матрица</v>
          </cell>
          <cell r="AA122">
            <v>0</v>
          </cell>
        </row>
        <row r="123">
          <cell r="A123" t="str">
            <v xml:space="preserve"> 225  Колбаса Дугушка со шпиком, ВЕС, ТМ Стародворье   ПОКОМ</v>
          </cell>
          <cell r="B123" t="str">
            <v>кг</v>
          </cell>
          <cell r="G123">
            <v>0</v>
          </cell>
          <cell r="I123" t="str">
            <v>матрица</v>
          </cell>
          <cell r="AA123">
            <v>0</v>
          </cell>
        </row>
        <row r="124">
          <cell r="A124" t="str">
            <v xml:space="preserve"> 267  Колбаса Салями Филейбургская зернистая, оболочка фиброуз, ВЕС, ТМ Баварушка  ПОКОМ</v>
          </cell>
          <cell r="B124" t="str">
            <v>кг</v>
          </cell>
          <cell r="G124">
            <v>0</v>
          </cell>
          <cell r="I124" t="str">
            <v>матрица</v>
          </cell>
          <cell r="AA124">
            <v>0</v>
          </cell>
        </row>
        <row r="125">
          <cell r="A125" t="str">
            <v xml:space="preserve"> 257  Сосиски Молочные оригинальные ТМ Особый рецепт, ВЕС.   ПОКОМ</v>
          </cell>
          <cell r="B125" t="str">
            <v>кг</v>
          </cell>
          <cell r="G125">
            <v>0</v>
          </cell>
          <cell r="I125" t="str">
            <v>матрица</v>
          </cell>
          <cell r="AA125">
            <v>0</v>
          </cell>
        </row>
        <row r="126">
          <cell r="A126" t="str">
            <v xml:space="preserve"> 240  Колбаса Салями охотничья, ВЕС. ПОКОМ</v>
          </cell>
          <cell r="B126" t="str">
            <v>кг</v>
          </cell>
          <cell r="G126">
            <v>0</v>
          </cell>
          <cell r="I126" t="str">
            <v>матрица</v>
          </cell>
          <cell r="AA126">
            <v>0</v>
          </cell>
        </row>
        <row r="127">
          <cell r="A127" t="str">
            <v xml:space="preserve"> 355  Колбаса Сервелат запеченный ТМ Стародворье ТС Дугушка. 0,6 кг. ПОКОМ</v>
          </cell>
          <cell r="B127" t="str">
            <v>шт</v>
          </cell>
          <cell r="G127">
            <v>0</v>
          </cell>
          <cell r="I127" t="str">
            <v>матрица</v>
          </cell>
          <cell r="AA127">
            <v>0</v>
          </cell>
        </row>
        <row r="128">
          <cell r="A128" t="str">
            <v xml:space="preserve"> 552  Ветчина Сливушка с индейкой ТМ Вязанка в модифицированной газовой среде 0,1 кг нарезка  ПОКОМ</v>
          </cell>
          <cell r="B128" t="str">
            <v>шт</v>
          </cell>
          <cell r="G128">
            <v>0</v>
          </cell>
          <cell r="I128" t="str">
            <v>матрица</v>
          </cell>
          <cell r="AA128">
            <v>0</v>
          </cell>
        </row>
        <row r="129">
          <cell r="A129" t="str">
            <v>Консервы Гречка по-купечески с говядиной и овощами ТМ Стародворье банка металлическая ф/в 0,325 кг РК</v>
          </cell>
          <cell r="B129" t="str">
            <v>шт</v>
          </cell>
          <cell r="G129">
            <v>0.32500000000000001</v>
          </cell>
          <cell r="I129" t="str">
            <v>матрица</v>
          </cell>
          <cell r="AA129">
            <v>0</v>
          </cell>
          <cell r="AB129">
            <v>200</v>
          </cell>
        </row>
        <row r="130">
          <cell r="A130" t="str">
            <v>Консервы Индейка томленая в собственном соку ТМ Стародворье банка металлическая ф/в 0,25 кг РК</v>
          </cell>
          <cell r="B130" t="str">
            <v>шт</v>
          </cell>
          <cell r="G130">
            <v>0.25</v>
          </cell>
          <cell r="I130" t="str">
            <v>матрица</v>
          </cell>
          <cell r="AA130">
            <v>0</v>
          </cell>
          <cell r="AB130">
            <v>200</v>
          </cell>
        </row>
        <row r="131">
          <cell r="A131" t="str">
            <v>Консервы Буженина в пряном маринаде ТМ Стародворье банка металлическая ф/в 0,25 кг РК</v>
          </cell>
          <cell r="B131" t="str">
            <v>шт</v>
          </cell>
          <cell r="G131">
            <v>0.25</v>
          </cell>
          <cell r="I131" t="str">
            <v>матрица</v>
          </cell>
          <cell r="AA131">
            <v>0</v>
          </cell>
          <cell r="AB131">
            <v>200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4">
          <cell r="A4" t="str">
            <v xml:space="preserve"> 005  Колбаса Докторская ГОСТ, Вязанка вектор,ВЕС. ПОКОМ</v>
          </cell>
        </row>
        <row r="5">
          <cell r="A5" t="str">
            <v xml:space="preserve"> 016  Сосиски Вязанка Молочные, Вязанка вискофан  ВЕС.ПОКОМ</v>
          </cell>
          <cell r="B5" t="str">
            <v>05.07.26 - 19.08.26</v>
          </cell>
          <cell r="C5" t="str">
            <v>108,416кг</v>
          </cell>
          <cell r="D5" t="str">
            <v>10.07.26 - 24.08.26</v>
          </cell>
          <cell r="E5" t="str">
            <v>10,607кг</v>
          </cell>
          <cell r="F5" t="str">
            <v>18.07.26 - 01.09.26</v>
          </cell>
          <cell r="G5" t="str">
            <v>382,500кг</v>
          </cell>
          <cell r="J5">
            <v>108.416</v>
          </cell>
          <cell r="K5">
            <v>10.606999999999999</v>
          </cell>
          <cell r="L5">
            <v>382.5</v>
          </cell>
          <cell r="N5">
            <v>501.52300000000002</v>
          </cell>
        </row>
        <row r="6">
          <cell r="A6" t="str">
            <v xml:space="preserve"> 017  Сосиски Вязанка Сливочные, Вязанка амицел ВЕС.ПОКОМ</v>
          </cell>
          <cell r="B6" t="str">
            <v>10.07.26 - 24.08.26</v>
          </cell>
          <cell r="C6" t="str">
            <v>523,872кг</v>
          </cell>
          <cell r="J6">
            <v>523.87199999999996</v>
          </cell>
          <cell r="N6">
            <v>523.87199999999996</v>
          </cell>
        </row>
        <row r="7">
          <cell r="A7" t="str">
            <v xml:space="preserve"> 023  Колбаса Докторская ГОСТ, Вязанка вектор, 0,4 кг, ПОКОМ</v>
          </cell>
          <cell r="N7">
            <v>0</v>
          </cell>
        </row>
        <row r="8">
          <cell r="A8" t="str">
            <v xml:space="preserve"> 030  Сосиски Вязанка Молочные, Вязанка вискофан МГС, 0.45кг, ПОКОМ</v>
          </cell>
          <cell r="N8">
            <v>0</v>
          </cell>
        </row>
        <row r="9">
          <cell r="A9" t="str">
            <v xml:space="preserve"> 032  Сосиски Вязанка Сливочные, Вязанка амицел МГС, 0.45кг, ПОКОМ</v>
          </cell>
          <cell r="B9" t="str">
            <v>13.07.26 - 27.08.26</v>
          </cell>
          <cell r="C9">
            <v>1125</v>
          </cell>
          <cell r="J9">
            <v>1125</v>
          </cell>
          <cell r="N9">
            <v>1125</v>
          </cell>
        </row>
        <row r="10">
          <cell r="A10" t="str">
            <v xml:space="preserve"> 047  Кол Баварская, белков.обол. в термоусад. пакете 0.17 кг, ТМ Стародворье  ПОКОМ</v>
          </cell>
          <cell r="N10">
            <v>0</v>
          </cell>
        </row>
        <row r="11">
          <cell r="A11" t="str">
            <v xml:space="preserve"> 062  Колбаса Кракушка пряная с сальцем, 0.3кг в/у п/к, БАВАРУШКА ПОКОМ</v>
          </cell>
          <cell r="N11">
            <v>0</v>
          </cell>
        </row>
        <row r="12">
          <cell r="A12" t="str">
            <v xml:space="preserve"> 083  Колбаса Швейцарская 0,17 кг., ШТ., сырокопченая   ПОКОМ</v>
          </cell>
          <cell r="B12" t="str">
            <v>20.06.26 - 17.12.26</v>
          </cell>
          <cell r="C12">
            <v>82</v>
          </cell>
          <cell r="J12">
            <v>82</v>
          </cell>
          <cell r="N12">
            <v>82</v>
          </cell>
        </row>
        <row r="13">
          <cell r="A13" t="str">
            <v xml:space="preserve"> 200  Ветчина Дугушка ТМ Стародворье, вектор в/у    ПОКОМ</v>
          </cell>
          <cell r="N13">
            <v>0</v>
          </cell>
        </row>
        <row r="14">
          <cell r="A14" t="str">
            <v xml:space="preserve"> 201  Ветчина Нежная ТМ Особый рецепт, (2,5кг), ПОКОМ</v>
          </cell>
          <cell r="N14">
            <v>0</v>
          </cell>
        </row>
        <row r="15">
          <cell r="A15" t="str">
            <v xml:space="preserve"> 215  Колбаса Докторская ГОСТ Дугушка, ВЕС, ТМ Стародворье ПОКОМ</v>
          </cell>
          <cell r="B15" t="str">
            <v>04.07.26 - 02.09.26</v>
          </cell>
          <cell r="C15" t="str">
            <v>127,747кг</v>
          </cell>
          <cell r="J15">
            <v>127.747</v>
          </cell>
          <cell r="N15">
            <v>127.747</v>
          </cell>
        </row>
        <row r="16">
          <cell r="A16" t="str">
            <v xml:space="preserve"> 226  Колбаса Княжеская, с/к белков.обол в термоусад. пакете, ВЕС, ТМ Стародворье ПОКОМ</v>
          </cell>
          <cell r="N16">
            <v>0</v>
          </cell>
        </row>
        <row r="17">
          <cell r="A17" t="str">
            <v xml:space="preserve"> 229  Колбаса Молочная Дугушка, в/у, ВЕС, ТМ Стародворье   ПОКОМ</v>
          </cell>
          <cell r="B17" t="str">
            <v>12.07.26 - 10.09.26</v>
          </cell>
          <cell r="C17" t="str">
            <v>1650,91кг</v>
          </cell>
          <cell r="D17" t="str">
            <v>08.07.26 - 06.09.26</v>
          </cell>
          <cell r="E17">
            <v>548.26</v>
          </cell>
          <cell r="J17">
            <v>1650.91</v>
          </cell>
          <cell r="K17">
            <v>548.26</v>
          </cell>
          <cell r="N17">
            <v>2199.17</v>
          </cell>
        </row>
        <row r="18">
          <cell r="A18" t="str">
            <v xml:space="preserve"> 236  Колбаса Рубленая ЗАПЕЧ. Дугушка ТМ Стародворье, вектор, в/к    ПОКОМ</v>
          </cell>
          <cell r="N18">
            <v>0</v>
          </cell>
        </row>
        <row r="19">
          <cell r="A19" t="str">
            <v xml:space="preserve"> 239  Колбаса Салями запеч Дугушка, оболочка вектор, ВЕС, ТМ Стародворье  ПОКОМ</v>
          </cell>
          <cell r="N19">
            <v>0</v>
          </cell>
        </row>
        <row r="20">
          <cell r="A20" t="str">
            <v xml:space="preserve"> 242  Колбаса Сервелат ЗАПЕЧ.Дугушка ТМ Стародворье, вектор, в/к     ПОКОМ</v>
          </cell>
          <cell r="B20" t="str">
            <v>10.07.26 - 18.09.26</v>
          </cell>
          <cell r="C20" t="str">
            <v>300,209кг</v>
          </cell>
          <cell r="J20">
            <v>300.209</v>
          </cell>
          <cell r="N20">
            <v>300.209</v>
          </cell>
        </row>
        <row r="21">
          <cell r="A21" t="str">
            <v xml:space="preserve"> 244  Колбаса Сервелат Кремлевский, ВЕС. ПОКОМ</v>
          </cell>
          <cell r="B21" t="str">
            <v>10.07.26 - 19.08.26</v>
          </cell>
          <cell r="C21" t="str">
            <v>39,499кг</v>
          </cell>
          <cell r="J21">
            <v>39.499000000000002</v>
          </cell>
          <cell r="N21">
            <v>39.499000000000002</v>
          </cell>
        </row>
        <row r="22">
          <cell r="A22" t="str">
            <v xml:space="preserve"> 250  Сардельки стародворские с говядиной в обол. NDX, ВЕС. ПОКОМ</v>
          </cell>
          <cell r="N22">
            <v>0</v>
          </cell>
        </row>
        <row r="23">
          <cell r="A23" t="str">
            <v xml:space="preserve"> 253  Сосиски Ганноверские   ПОКОМ</v>
          </cell>
          <cell r="B23" t="str">
            <v>09.07.26 - 18.08.26</v>
          </cell>
          <cell r="C23" t="str">
            <v>40,264кг</v>
          </cell>
          <cell r="J23">
            <v>40.264000000000003</v>
          </cell>
          <cell r="N23">
            <v>40.264000000000003</v>
          </cell>
        </row>
        <row r="24">
          <cell r="A24" t="str">
            <v xml:space="preserve"> 255  Сосиски Молочные для завтрака ТМ Особый рецепт, п/а МГС, ВЕС, ТМ Стародворье  ПОКОМ</v>
          </cell>
          <cell r="N24">
            <v>0</v>
          </cell>
        </row>
        <row r="25">
          <cell r="A25" t="str">
            <v xml:space="preserve"> 273  Сосиски Сочинки с сочной грудинкой, МГС 0.4кг,   ПОКОМ</v>
          </cell>
          <cell r="B25" t="str">
            <v>12.07.26 - 26.08.26</v>
          </cell>
          <cell r="C25">
            <v>924</v>
          </cell>
          <cell r="J25">
            <v>924</v>
          </cell>
          <cell r="N25">
            <v>924</v>
          </cell>
        </row>
        <row r="26">
          <cell r="A26" t="str">
            <v xml:space="preserve"> 276  Колбаса Сливушка ТМ Вязанка в оболочке полиамид 0,45 кг  ПОКОМ</v>
          </cell>
          <cell r="B26" t="str">
            <v>12.07.26 - 31.08.26</v>
          </cell>
          <cell r="C26">
            <v>720</v>
          </cell>
          <cell r="J26">
            <v>720</v>
          </cell>
          <cell r="N26">
            <v>720</v>
          </cell>
        </row>
        <row r="27">
          <cell r="A27" t="str">
            <v xml:space="preserve"> 278  Сосиски Сочинки с сочным окороком, МГС 0.4кг,   ПОКОМ</v>
          </cell>
          <cell r="B27" t="str">
            <v>13.07.26 - 27.08.26</v>
          </cell>
          <cell r="C27">
            <v>282</v>
          </cell>
          <cell r="J27">
            <v>282</v>
          </cell>
          <cell r="N27">
            <v>282</v>
          </cell>
        </row>
        <row r="28">
          <cell r="A28" t="str">
            <v xml:space="preserve"> 281  Сосиски Молочные для завтрака ТМ Особый рецепт, 0,4кг  ПОКОМ</v>
          </cell>
          <cell r="N28">
            <v>0</v>
          </cell>
        </row>
        <row r="29">
          <cell r="A29" t="str">
            <v xml:space="preserve"> 285  Паштет печеночный со слив.маслом ТМ Стародворье ламистер 0,1 кг  ПОКОМ</v>
          </cell>
          <cell r="N29">
            <v>0</v>
          </cell>
        </row>
        <row r="30">
          <cell r="A30" t="str">
            <v xml:space="preserve"> 296  Колбаса Мясорубская с рубленой грудинкой 0,35кг срез ТМ Стародворье  ПОКОМ</v>
          </cell>
          <cell r="N30">
            <v>0</v>
          </cell>
        </row>
        <row r="31">
          <cell r="A31" t="str">
            <v xml:space="preserve"> 297  Колбаса Мясорубская с рубленой грудинкой ВЕС ТМ Стародворье  ПОКОМ</v>
          </cell>
          <cell r="N31">
            <v>0</v>
          </cell>
        </row>
        <row r="32">
          <cell r="A32" t="str">
            <v xml:space="preserve"> 301  Сосиски Сочинки по-баварски с сыром,  0.4кг, ТМ Стародворье  ПОКОМ</v>
          </cell>
          <cell r="N32">
            <v>0</v>
          </cell>
        </row>
        <row r="33">
          <cell r="A33" t="str">
            <v xml:space="preserve"> 302  Сосиски Сочинки по-баварски,  0.4кг, ТМ Стародворье  ПОКОМ</v>
          </cell>
          <cell r="N33">
            <v>0</v>
          </cell>
        </row>
        <row r="34">
          <cell r="A34" t="str">
            <v xml:space="preserve"> 305  Колбаса Сервелат Мясорубский с мелкорубленным окороком в/у  ТМ Стародворье ВЕС   ПОКОМ</v>
          </cell>
          <cell r="N34">
            <v>0</v>
          </cell>
        </row>
        <row r="35">
          <cell r="A35" t="str">
            <v xml:space="preserve"> 307  Колбаса Сервелат Мясорубский с мелкорубленным окороком 0,35 кг срез ТМ Стародворье   Поком</v>
          </cell>
          <cell r="N35">
            <v>0</v>
          </cell>
        </row>
        <row r="36">
          <cell r="A36" t="str">
            <v xml:space="preserve"> 309  Сосиски Сочинки с сыром 0,4 кг ТМ Стародворье  ПОКОМ</v>
          </cell>
          <cell r="N36">
            <v>0</v>
          </cell>
        </row>
        <row r="37">
          <cell r="A37" t="str">
            <v xml:space="preserve"> 312  Ветчина Филейская ВЕС ТМ  Вязанка ТС Столичная  ПОКОМ</v>
          </cell>
          <cell r="B37" t="str">
            <v>10.07.26 - 29.08.26</v>
          </cell>
          <cell r="C37" t="str">
            <v>53,676кг</v>
          </cell>
          <cell r="J37">
            <v>53.676000000000002</v>
          </cell>
          <cell r="N37">
            <v>53.676000000000002</v>
          </cell>
        </row>
        <row r="38">
          <cell r="A38" t="str">
            <v xml:space="preserve"> 315  Колбаса вареная Молокуша ТМ Вязанка ВЕС, ПОКОМ</v>
          </cell>
          <cell r="N38">
            <v>0</v>
          </cell>
        </row>
        <row r="39">
          <cell r="A39" t="str">
            <v xml:space="preserve"> 319  Колбаса вареная Филейская ТМ Вязанка ТС Классическая, 0,45 кг. ПОКОМ</v>
          </cell>
          <cell r="B39" t="str">
            <v>10.07.26 - 29.08.26</v>
          </cell>
          <cell r="C39">
            <v>100</v>
          </cell>
          <cell r="D39" t="str">
            <v>06.07.26 - 25.08.26</v>
          </cell>
          <cell r="E39">
            <v>80</v>
          </cell>
          <cell r="J39">
            <v>100</v>
          </cell>
          <cell r="K39">
            <v>80</v>
          </cell>
          <cell r="N39">
            <v>180</v>
          </cell>
        </row>
        <row r="40">
          <cell r="A40" t="str">
            <v xml:space="preserve"> 322  Колбаса вареная Молокуша 0,45кг ТМ Вязанка  ПОКОМ</v>
          </cell>
          <cell r="N40">
            <v>0</v>
          </cell>
        </row>
        <row r="41">
          <cell r="A41" t="str">
            <v xml:space="preserve"> 329  Сардельки Сочинки с сыром Стародворье ТМ, 0,4 кг. ПОКОМ</v>
          </cell>
          <cell r="N41">
            <v>0</v>
          </cell>
        </row>
        <row r="42">
          <cell r="A42" t="str">
            <v xml:space="preserve"> 330  Колбаса вареная Филейская ТМ Вязанка ТС Классическая ВЕС  ПОКОМ</v>
          </cell>
          <cell r="N42">
            <v>0</v>
          </cell>
        </row>
        <row r="43">
          <cell r="A43" t="str">
            <v xml:space="preserve"> 334  Паштет Любительский ТМ Стародворье ламистер 0,1 кг  ПОКОМ</v>
          </cell>
          <cell r="B43" t="str">
            <v>09.03.26 - 09.03.28</v>
          </cell>
          <cell r="C43">
            <v>6</v>
          </cell>
          <cell r="J43">
            <v>6</v>
          </cell>
          <cell r="N43">
            <v>6</v>
          </cell>
        </row>
        <row r="44">
          <cell r="A44" t="str">
            <v xml:space="preserve"> 335  Колбаса Сливушка ТМ Вязанка. ВЕС.  ПОКОМ </v>
          </cell>
          <cell r="N44">
            <v>0</v>
          </cell>
        </row>
        <row r="45">
          <cell r="A45" t="str">
            <v xml:space="preserve"> 336  Ветчина Сливушка с индейкой ТМ Вязанка. ВЕС  ПОКОМ</v>
          </cell>
          <cell r="N45">
            <v>0</v>
          </cell>
        </row>
        <row r="46">
          <cell r="A46" t="str">
            <v xml:space="preserve"> 338  Паштет печеночный с морковью ТМ Стародворье ламистер 0,1 кг.  ПОКОМ</v>
          </cell>
          <cell r="B46" t="str">
            <v>10.03.26 - 10.03.26</v>
          </cell>
          <cell r="C46">
            <v>6</v>
          </cell>
          <cell r="J46">
            <v>6</v>
          </cell>
          <cell r="N46">
            <v>6</v>
          </cell>
        </row>
        <row r="47">
          <cell r="A47" t="str">
            <v xml:space="preserve"> 339  Колбаса вареная Филейская ТМ Вязанка ТС Классическая, 0,40 кг.  ПОКОМ</v>
          </cell>
          <cell r="N47">
            <v>0</v>
          </cell>
        </row>
        <row r="48">
          <cell r="A48" t="str">
            <v xml:space="preserve"> 340  Сосиски Сочинки Молочные ТМ Стародворье, ВЕС ПОКОМ</v>
          </cell>
          <cell r="N48">
            <v>0</v>
          </cell>
        </row>
        <row r="49">
          <cell r="A49" t="str">
            <v xml:space="preserve"> 341 Сосиски Сочинки Сливочные ТМ Стародворье ВЕС ПОКОМ</v>
          </cell>
          <cell r="N49">
            <v>0</v>
          </cell>
        </row>
        <row r="50">
          <cell r="A50" t="str">
            <v xml:space="preserve"> 342 Сосиски Сочинки Молочные ТМ Стародворье 0,4 кг ПОКОМ</v>
          </cell>
          <cell r="N50">
            <v>0</v>
          </cell>
        </row>
        <row r="51">
          <cell r="A51" t="str">
            <v xml:space="preserve"> 343 Сосиски Сочинки Сливочные ТМ Стародворье  0,4 кг ПОКОМ</v>
          </cell>
          <cell r="N51">
            <v>0</v>
          </cell>
        </row>
        <row r="52">
          <cell r="A52" t="str">
            <v xml:space="preserve"> 344  Колбаса Сочинка по-европейски с сочной грудинкой ТМ Стародворье, ВЕС ПОКОМ</v>
          </cell>
          <cell r="N52">
            <v>0</v>
          </cell>
        </row>
        <row r="53">
          <cell r="A53" t="str">
            <v xml:space="preserve"> 345  Колбаса Сочинка по-фински с сочным окроком ТМ Стародворье ВЕС ПОКОМ</v>
          </cell>
          <cell r="N53">
            <v>0</v>
          </cell>
        </row>
        <row r="54">
          <cell r="A54" t="str">
            <v xml:space="preserve"> 346  Колбаса Сочинка зернистая с сочной грудинкой ТМ Стародворье.ВЕС ПОКОМ</v>
          </cell>
          <cell r="N54">
            <v>0</v>
          </cell>
        </row>
        <row r="55">
          <cell r="A55" t="str">
            <v xml:space="preserve"> 347  Колбаса Сочинка рубленая с сочным окороком ТМ Стародворье ВЕС ПОКОМ</v>
          </cell>
          <cell r="N55">
            <v>0</v>
          </cell>
        </row>
        <row r="56">
          <cell r="A56" t="str">
            <v xml:space="preserve"> 364  Сардельки Филейские Вязанка ВЕС NDX ТМ Вязанка  ПОКОМ</v>
          </cell>
          <cell r="B56" t="str">
            <v>06.07.26 - 05.08.26</v>
          </cell>
          <cell r="C56" t="str">
            <v>46,794кг</v>
          </cell>
          <cell r="D56" t="str">
            <v>08.07.26 - 07.08.26</v>
          </cell>
          <cell r="E56" t="str">
            <v>29,226кг</v>
          </cell>
          <cell r="J56">
            <v>46.793999999999997</v>
          </cell>
          <cell r="K56">
            <v>29.225999999999999</v>
          </cell>
          <cell r="N56">
            <v>76.02</v>
          </cell>
        </row>
        <row r="57">
          <cell r="A57" t="str">
            <v xml:space="preserve"> 376  Колбаса Докторская Дугушка 0,6кг ГОСТ ТМ Стародворье  ПОКОМ </v>
          </cell>
          <cell r="B57" t="str">
            <v>13.07.26 - 11.09.26</v>
          </cell>
          <cell r="C57">
            <v>72</v>
          </cell>
          <cell r="D57" t="str">
            <v>27.06.26 - 27.08.26</v>
          </cell>
          <cell r="E57">
            <v>184</v>
          </cell>
          <cell r="F57" t="str">
            <v>30.06.26 - 29.08.26</v>
          </cell>
          <cell r="G57">
            <v>8</v>
          </cell>
          <cell r="H57" t="str">
            <v>26.06.26 - 28.08.26</v>
          </cell>
          <cell r="I57">
            <v>8</v>
          </cell>
          <cell r="J57">
            <v>72</v>
          </cell>
          <cell r="K57">
            <v>184</v>
          </cell>
          <cell r="L57">
            <v>8</v>
          </cell>
          <cell r="M57">
            <v>8</v>
          </cell>
          <cell r="N57">
            <v>272</v>
          </cell>
        </row>
        <row r="58">
          <cell r="A58" t="str">
            <v xml:space="preserve"> 377  Колбаса Молочная Дугушка 0,6кг ТМ Стародворье  ПОКОМ</v>
          </cell>
          <cell r="B58" t="str">
            <v>12.07.26 - 10.09.26</v>
          </cell>
          <cell r="C58">
            <v>272</v>
          </cell>
          <cell r="N58">
            <v>0</v>
          </cell>
        </row>
        <row r="59">
          <cell r="A59" t="str">
            <v xml:space="preserve"> 394 Колбаса полукопченая Аль-Ислами халяль ТМ Вязанка оболочка фиброуз в в/у 0,35 кг  ПОКОМ</v>
          </cell>
          <cell r="N59">
            <v>0</v>
          </cell>
        </row>
        <row r="60">
          <cell r="A60" t="str">
            <v xml:space="preserve"> 395  Колбаса Докторская ГОСТ ТМ Вязанка в оболочке полиамид 0,37 кг. ПОКОМ</v>
          </cell>
          <cell r="N60">
            <v>0</v>
          </cell>
        </row>
        <row r="61">
          <cell r="A61" t="str">
            <v xml:space="preserve"> 397  Ветчина Дугушка ТМ Стародворье ТС Дугушка в полиамидной оболочке 0,6 кг. ПОКОМ</v>
          </cell>
          <cell r="N61">
            <v>0</v>
          </cell>
        </row>
        <row r="62">
          <cell r="A62" t="str">
            <v xml:space="preserve"> 405  Сардельки Сливушки ТМ Вязанка в оболочке айпил 0,33 кг. ПОКОМ</v>
          </cell>
          <cell r="N62">
            <v>0</v>
          </cell>
        </row>
        <row r="63">
          <cell r="A63" t="str">
            <v xml:space="preserve"> 408  Ветчина Сливушка с индейкой ТМ Вязанка, 0,4кг  ПОКОМ</v>
          </cell>
          <cell r="N63">
            <v>0</v>
          </cell>
        </row>
        <row r="64">
          <cell r="A64" t="str">
            <v xml:space="preserve"> 410  Сосиски Баварские с сыром ТМ Стародворье 0,35 кг. ПОКОМ</v>
          </cell>
          <cell r="N64">
            <v>0</v>
          </cell>
        </row>
        <row r="65">
          <cell r="A65" t="str">
            <v xml:space="preserve"> 412  Сосиски Баварские ТМ Стародворье 0,35 кг ПОКОМ</v>
          </cell>
          <cell r="N65">
            <v>0</v>
          </cell>
        </row>
        <row r="66">
          <cell r="A66" t="str">
            <v xml:space="preserve"> 430  Колбаса Стародворская с окороком 0,4 кг. ТМ Стародворье в оболочке полиамид  ПОКОМ</v>
          </cell>
          <cell r="B66" t="str">
            <v>20.06.26 - 14.08.26</v>
          </cell>
          <cell r="C66">
            <v>4</v>
          </cell>
          <cell r="J66">
            <v>4</v>
          </cell>
          <cell r="N66">
            <v>4</v>
          </cell>
        </row>
        <row r="67">
          <cell r="A67" t="str">
            <v xml:space="preserve"> 433 Колбаса Стародворская со шпиком  в оболочке полиамид. ТМ Стародворье ВЕС ПОКОМ</v>
          </cell>
          <cell r="N67">
            <v>0</v>
          </cell>
        </row>
        <row r="68">
          <cell r="A68" t="str">
            <v xml:space="preserve"> 449  Колбаса Дугушка Стародворская ВЕС ТС Дугушка ПОКОМ</v>
          </cell>
          <cell r="B68" t="str">
            <v>05.07.26 - 03.09.26</v>
          </cell>
          <cell r="C68" t="str">
            <v>1053,540кг</v>
          </cell>
          <cell r="D68" t="str">
            <v>12.07.26 - 10.09.26</v>
          </cell>
          <cell r="J68">
            <v>1053.54</v>
          </cell>
          <cell r="N68">
            <v>1053.54</v>
          </cell>
        </row>
        <row r="69">
          <cell r="A69" t="str">
            <v xml:space="preserve"> 451 Сосиски Филейские ТМ Вязанка в оболочке целлофан 0,3 кг. ПОКОМ</v>
          </cell>
          <cell r="B69" t="str">
            <v>10.07.26 - 19.09.26</v>
          </cell>
          <cell r="C69">
            <v>62</v>
          </cell>
          <cell r="J69">
            <v>62</v>
          </cell>
          <cell r="N69">
            <v>62</v>
          </cell>
        </row>
        <row r="70">
          <cell r="A70" t="str">
            <v xml:space="preserve"> 452  Колбаса Со шпиком ВЕС большой батон ТМ Особый рецепт  ПОКОМ</v>
          </cell>
          <cell r="N70">
            <v>0</v>
          </cell>
        </row>
        <row r="71">
          <cell r="A71" t="str">
            <v xml:space="preserve"> 456  Колбаса Филейная ТМ Особый рецепт ВЕС большой батон  ПОКОМ</v>
          </cell>
          <cell r="N71">
            <v>0</v>
          </cell>
        </row>
        <row r="72">
          <cell r="A72" t="str">
            <v xml:space="preserve"> 457  Колбаса Молочная ТМ Особый рецепт ВЕС большой батон  ПОКОМ</v>
          </cell>
          <cell r="B72" t="str">
            <v>12.07.26 - 10.09.26</v>
          </cell>
          <cell r="C72" t="str">
            <v>718,876кг</v>
          </cell>
          <cell r="D72" t="str">
            <v>17.07.26 - 15.09.26</v>
          </cell>
          <cell r="E72">
            <v>713.42399999999998</v>
          </cell>
          <cell r="F72" t="str">
            <v>18.07.26 - 16.09.26</v>
          </cell>
          <cell r="J72">
            <v>718.87599999999998</v>
          </cell>
          <cell r="K72">
            <v>713.42399999999998</v>
          </cell>
          <cell r="N72">
            <v>1432.3</v>
          </cell>
        </row>
        <row r="73">
          <cell r="A73" t="str">
            <v xml:space="preserve"> 460  Колбаса Стародворская Традиционная ВЕС ТМ Стародворье в оболочке полиамид. ПОКОМ</v>
          </cell>
          <cell r="N73">
            <v>0</v>
          </cell>
        </row>
        <row r="74">
          <cell r="A74" t="str">
            <v xml:space="preserve"> 463  Колбаса Молочная Традиционнаяв оболочке полиамид.ТМ Стародворье. ВЕС ПОКОМ</v>
          </cell>
          <cell r="N74">
            <v>0</v>
          </cell>
        </row>
        <row r="75">
          <cell r="A75" t="str">
            <v xml:space="preserve"> 485  Колбаса Молочная по-стародворски ТМ Стародворье в оболочке полиамид. ВЕС ПОКОМ </v>
          </cell>
          <cell r="N75">
            <v>0</v>
          </cell>
        </row>
        <row r="76">
          <cell r="A76" t="str">
            <v xml:space="preserve"> 498  Колбаса Сочинка рубленая с сочным окороком 0,3кг ТМ Стародворье  ПОКОМ</v>
          </cell>
          <cell r="N76">
            <v>0</v>
          </cell>
        </row>
        <row r="77">
          <cell r="A77" t="str">
            <v xml:space="preserve"> 517  Сосиски С сыром ТМ Ядрена копоть 0,3кг  ПОКОМ</v>
          </cell>
          <cell r="N77">
            <v>0</v>
          </cell>
        </row>
        <row r="78">
          <cell r="A78" t="str">
            <v xml:space="preserve"> 523  Колбаса Сальчичон нарезка 0,07кг ТМ Стародворье  ПОКОМ </v>
          </cell>
          <cell r="B78" t="str">
            <v>15.06.26 - 13.09.26</v>
          </cell>
          <cell r="C78">
            <v>6</v>
          </cell>
          <cell r="J78">
            <v>6</v>
          </cell>
          <cell r="N78">
            <v>6</v>
          </cell>
        </row>
        <row r="79">
          <cell r="A79" t="str">
            <v xml:space="preserve"> 524  Колбаса Сервелат Ореховый нарезка 0,07кг ТМ Стародворье  ПОКОМ</v>
          </cell>
          <cell r="N79">
            <v>0</v>
          </cell>
        </row>
        <row r="80">
          <cell r="A80" t="str">
            <v xml:space="preserve"> 525  Колбаса Фуэт нарезка 0,07кг ТМ Стародворье  ПОКОМ</v>
          </cell>
          <cell r="B80" t="str">
            <v>22.06.26 - 20.09.26</v>
          </cell>
          <cell r="C80">
            <v>4</v>
          </cell>
          <cell r="N80">
            <v>0</v>
          </cell>
        </row>
        <row r="81">
          <cell r="A81" t="str">
            <v xml:space="preserve"> 526  Корейка вяленая выдержанная нарезка 0,05кг ТМ Стародворье  ПОКОМ</v>
          </cell>
          <cell r="B81" t="str">
            <v>15.06.26 - 13.09.26</v>
          </cell>
          <cell r="C81">
            <v>5</v>
          </cell>
          <cell r="J81">
            <v>5</v>
          </cell>
          <cell r="N81">
            <v>5</v>
          </cell>
        </row>
        <row r="82">
          <cell r="A82" t="str">
            <v xml:space="preserve"> 544  Сосиски Мясные для гриля ТС Ядрена копоть 0,3 кг  ПОКОМ</v>
          </cell>
          <cell r="B82" t="str">
            <v>09.07.26 - 18.08.26</v>
          </cell>
          <cell r="C82">
            <v>8</v>
          </cell>
          <cell r="J82">
            <v>8</v>
          </cell>
          <cell r="N82">
            <v>8</v>
          </cell>
        </row>
        <row r="83">
          <cell r="A83" t="str">
            <v xml:space="preserve"> 547  Колбаса Мясная Классическая ТМ Вязанка в оболочке полиамид. ВЕС  ПОКОМ</v>
          </cell>
          <cell r="J83">
            <v>0</v>
          </cell>
          <cell r="N83">
            <v>0</v>
          </cell>
        </row>
        <row r="84">
          <cell r="A84" t="str">
            <v xml:space="preserve"> 551  Колбаса Сливушка ТМ Вязанка в модифицированной газовой среде 0,11 кг нарезка  ПОКОМ</v>
          </cell>
          <cell r="N84">
            <v>0</v>
          </cell>
        </row>
        <row r="85">
          <cell r="A85" t="str">
            <v xml:space="preserve"> 553  Ассорти колбас Мясорубская коллекция: Сервелат Делюкс, С балыком 0,08 кг нарезка  ПОКОМ</v>
          </cell>
          <cell r="N85">
            <v>0</v>
          </cell>
        </row>
        <row r="86">
          <cell r="A86" t="str">
            <v xml:space="preserve"> 554  Колбаса Сервелат Мясорубский ТМ Стародворье в упаковке скин 0,08 кг нарезка  ПОКОМ</v>
          </cell>
          <cell r="N86">
            <v>0</v>
          </cell>
        </row>
        <row r="87">
          <cell r="A87" t="str">
            <v xml:space="preserve"> 555  Колбаса Молокуша ТМ Вязанка в модифицированной газовой среде 0,17 кг нарезка  ПОКОМ</v>
          </cell>
          <cell r="N87">
            <v>0</v>
          </cell>
        </row>
        <row r="88">
          <cell r="A88" t="str">
            <v xml:space="preserve"> 556  Колбаса Сервелат Ореховый ТМ Вязанка в оболочке фиброуз в вакуумной упаковке, ВЕС  ПОКОМ</v>
          </cell>
          <cell r="N88">
            <v>0</v>
          </cell>
        </row>
        <row r="89">
          <cell r="A89" t="str">
            <v xml:space="preserve"> 557  Колбаса Сервелат Финский ТМ Вязанка в оболочке фиброуз в вакуумной упаковке, ВЕС  ПОКОМ</v>
          </cell>
          <cell r="B89" t="str">
            <v>13.07.26 - 22.08.26</v>
          </cell>
          <cell r="C89" t="str">
            <v>43,280кг</v>
          </cell>
          <cell r="J89">
            <v>43.28</v>
          </cell>
          <cell r="N89">
            <v>43.28</v>
          </cell>
        </row>
        <row r="90">
          <cell r="A90" t="str">
            <v xml:space="preserve"> 558  Колбаса Балыковая НОВАЯ ВЕС Вязанка фиброуз в/у ПОКОМ</v>
          </cell>
          <cell r="N90">
            <v>0</v>
          </cell>
        </row>
        <row r="91">
          <cell r="A91" t="str">
            <v xml:space="preserve"> 564  Сосиски Сочные 0,3 кг ТМ Вязанка  ПОКОМ</v>
          </cell>
          <cell r="N91">
            <v>0</v>
          </cell>
        </row>
        <row r="92">
          <cell r="A92" t="str">
            <v xml:space="preserve"> 567 Колбаса Со шпиком Стародворская ТМ Стародворье в оболочке полиамид ВЕС  ПОКОМ</v>
          </cell>
          <cell r="N92">
            <v>0</v>
          </cell>
        </row>
        <row r="93">
          <cell r="A93" t="str">
            <v xml:space="preserve"> 569  Колбаса Балыковая ТМ Вязанка в оболочке фиброуз в вакуумной упаковке 0,28 кг срез.  ПОКОМ</v>
          </cell>
          <cell r="N93">
            <v>0</v>
          </cell>
        </row>
        <row r="94">
          <cell r="A94" t="str">
            <v xml:space="preserve"> 570  Колбаса Сервелат Финский ТМ Вязанка в оболочке фиброуз в вак. упаковке 0,28 кг срез  ПОКОМ</v>
          </cell>
          <cell r="N94">
            <v>0</v>
          </cell>
        </row>
        <row r="95">
          <cell r="A95" t="str">
            <v xml:space="preserve"> 571  Колбаса Сервелат Ореховый ТМ Вязанка в оболочке фиброуз в вак. упаковке 0,28 кг срез  ПОКОМ</v>
          </cell>
          <cell r="B95" t="str">
            <v>13.07.26 - 22.08.26</v>
          </cell>
          <cell r="C95">
            <v>60</v>
          </cell>
          <cell r="J95">
            <v>60</v>
          </cell>
          <cell r="N95">
            <v>60</v>
          </cell>
        </row>
        <row r="96">
          <cell r="A96" t="str">
            <v xml:space="preserve"> 574  Колбаса Сервелат Финский ТМ Вязанка в упаковке скин 0,09 кг нарезка  ПОКОМ</v>
          </cell>
          <cell r="N96">
            <v>0</v>
          </cell>
        </row>
        <row r="97">
          <cell r="A97" t="str">
            <v xml:space="preserve"> 577  Колбаса Молочная Стародворская ТМ Стародворье в оболочке полиамид НД ВЕС.  ПОКОМ</v>
          </cell>
          <cell r="N97">
            <v>0</v>
          </cell>
        </row>
        <row r="98">
          <cell r="A98" t="str">
            <v xml:space="preserve"> 579  Колбаса Ветчинно-рубленая ТМ Особый рецепт в оболочке полиамид.ВЕС  ПОКОМ</v>
          </cell>
          <cell r="N98">
            <v>0</v>
          </cell>
        </row>
        <row r="99">
          <cell r="A99" t="str">
            <v xml:space="preserve"> 580  Ветчина Нежная с индейкой ТМ Особый рецепт в оболочке полиамид.ВЕС  ПОКОМ</v>
          </cell>
          <cell r="B99" t="str">
            <v>27.06.26 - 16.08.26</v>
          </cell>
          <cell r="C99" t="str">
            <v>135,955кг</v>
          </cell>
          <cell r="J99">
            <v>135.95500000000001</v>
          </cell>
          <cell r="N99">
            <v>135.95500000000001</v>
          </cell>
        </row>
        <row r="100">
          <cell r="A100" t="str">
            <v xml:space="preserve"> 583  Колбаса Балыковая ТМ Вязанка в упаковке скин 0,09 кг нарезка  ПОКОМ</v>
          </cell>
          <cell r="N100">
            <v>0</v>
          </cell>
        </row>
        <row r="101">
          <cell r="A101" t="str">
            <v xml:space="preserve"> 584  Колбаса Сервелат Ореховый ТМ Вязанка в упаковке скин 0,09 кг нарезка  ПОКОМ</v>
          </cell>
          <cell r="N101">
            <v>0</v>
          </cell>
        </row>
        <row r="102">
          <cell r="A102" t="str">
            <v xml:space="preserve"> 585  Колбаса Молочная ТМ Стародворье в оболочке вектор НД ВЕС.  ПОКОМ</v>
          </cell>
          <cell r="B102" t="str">
            <v>04.07.26 - 02.09.26</v>
          </cell>
          <cell r="C102" t="str">
            <v>106,966кг</v>
          </cell>
          <cell r="D102" t="str">
            <v>10.07.26 - 08.09.26</v>
          </cell>
          <cell r="E102" t="str">
            <v>306,110кг</v>
          </cell>
          <cell r="J102">
            <v>106.96599999999999</v>
          </cell>
          <cell r="K102">
            <v>306.11</v>
          </cell>
          <cell r="N102">
            <v>413.07600000000002</v>
          </cell>
        </row>
        <row r="103">
          <cell r="A103" t="str">
            <v xml:space="preserve"> 586  Колбаса Мясная ТМ Стародворье в оболочке вектор НД ВЕС.  ПОКОМ</v>
          </cell>
        </row>
        <row r="104">
          <cell r="A104" t="str">
            <v xml:space="preserve"> 588 Колбаса Со шпиком ТМ Стародворье в оболочке вектор ВЕС  ПОКОМ</v>
          </cell>
        </row>
        <row r="105">
          <cell r="A105" t="str">
            <v xml:space="preserve"> 597  Колбаса Классическая ТМ Особый рецепт в оболочке полиамид ВЕС. ПОКОМ</v>
          </cell>
        </row>
        <row r="106">
          <cell r="A106" t="str">
            <v>495  Колбаса Сочинка по-европейски с сочной грудинкой 0,3кг ТМ Стародворье  ПОКОМ</v>
          </cell>
        </row>
        <row r="107">
          <cell r="A107" t="str">
            <v>496  Колбаса Сочинка по-фински с сочным окроком 0,3кг ТМ Стародворье  ПОКОМ</v>
          </cell>
        </row>
        <row r="108">
          <cell r="A108" t="str">
            <v>503 Колбаса Филейская со шпиком ТМ Вязанка в оболочке полиамид.ПОКОМ</v>
          </cell>
        </row>
        <row r="109">
          <cell r="A109" t="str">
            <v>515  Колбаса Сервелат Мясорубский Делюкс 0,3кг ТМ Стародворье  ПОКОМ</v>
          </cell>
        </row>
        <row r="110">
          <cell r="A110" t="str">
            <v>519  Грудинка 0,12 кг нарезка ТМ Стародворье  ПОКОМ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497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I1" sqref="AI1"/>
    </sheetView>
  </sheetViews>
  <sheetFormatPr defaultRowHeight="15" x14ac:dyDescent="0.25"/>
  <cols>
    <col min="1" max="1" width="42.140625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8.7109375" customWidth="1"/>
    <col min="10" max="10" width="1" customWidth="1"/>
    <col min="11" max="16" width="7" customWidth="1"/>
    <col min="17" max="17" width="6" customWidth="1"/>
    <col min="18" max="18" width="7" customWidth="1"/>
    <col min="19" max="19" width="7" style="25" hidden="1" customWidth="1"/>
    <col min="20" max="23" width="6.140625" customWidth="1"/>
    <col min="24" max="24" width="7" customWidth="1"/>
    <col min="25" max="26" width="6.5703125" customWidth="1"/>
    <col min="27" max="27" width="6.42578125" customWidth="1"/>
    <col min="28" max="29" width="7" customWidth="1"/>
    <col min="30" max="30" width="7" style="28" customWidth="1"/>
    <col min="31" max="31" width="7" customWidth="1"/>
    <col min="32" max="33" width="5" customWidth="1"/>
    <col min="34" max="42" width="6" customWidth="1"/>
    <col min="43" max="43" width="7.7109375" customWidth="1"/>
    <col min="44" max="44" width="7" customWidth="1"/>
    <col min="45" max="45" width="7" hidden="1" customWidth="1"/>
    <col min="46" max="46" width="8.42578125" hidden="1" customWidth="1"/>
    <col min="47" max="47" width="7.5703125" hidden="1" customWidth="1"/>
    <col min="48" max="48" width="6.7109375" customWidth="1"/>
    <col min="49" max="52" width="3" customWidth="1"/>
  </cols>
  <sheetData>
    <row r="1" spans="1:52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0"/>
      <c r="T1" s="1"/>
      <c r="U1" s="1"/>
      <c r="V1" s="1"/>
      <c r="W1" s="1"/>
      <c r="X1" s="1"/>
      <c r="Y1" s="1"/>
      <c r="Z1" s="1"/>
      <c r="AA1" s="1"/>
      <c r="AB1" s="27">
        <v>11.5</v>
      </c>
      <c r="AC1" s="1"/>
      <c r="AD1" s="1"/>
      <c r="AE1" s="1">
        <v>12.9</v>
      </c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>
        <f>AR5</f>
        <v>14505</v>
      </c>
      <c r="AS1" s="1"/>
      <c r="AT1" s="1"/>
      <c r="AU1" s="1"/>
      <c r="AV1" s="1"/>
      <c r="AW1" s="1"/>
      <c r="AX1" s="1"/>
      <c r="AY1" s="1"/>
      <c r="AZ1" s="1"/>
    </row>
    <row r="2" spans="1:52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6">
        <v>12.9</v>
      </c>
      <c r="Q2" s="16">
        <v>4</v>
      </c>
      <c r="R2" s="16">
        <v>9.4</v>
      </c>
      <c r="S2" s="23"/>
      <c r="T2" s="16"/>
      <c r="U2" s="16">
        <v>4</v>
      </c>
      <c r="V2" s="16">
        <v>1.7</v>
      </c>
      <c r="W2" s="16"/>
      <c r="X2" s="16">
        <v>14.1</v>
      </c>
      <c r="Y2" s="16">
        <v>4</v>
      </c>
      <c r="Z2" s="16">
        <v>3.4</v>
      </c>
      <c r="AA2" s="1"/>
      <c r="AB2" s="1"/>
      <c r="AC2" s="1" t="s">
        <v>46</v>
      </c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>
        <v>14500</v>
      </c>
      <c r="AS2" s="1" t="s">
        <v>42</v>
      </c>
      <c r="AT2" s="1"/>
      <c r="AU2" s="1"/>
      <c r="AV2" s="1"/>
      <c r="AW2" s="1"/>
      <c r="AX2" s="1"/>
      <c r="AY2" s="1"/>
      <c r="AZ2" s="1"/>
    </row>
    <row r="3" spans="1:52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14</v>
      </c>
      <c r="S3" s="24" t="s">
        <v>190</v>
      </c>
      <c r="T3" s="2" t="s">
        <v>14</v>
      </c>
      <c r="U3" s="2" t="s">
        <v>14</v>
      </c>
      <c r="V3" s="2" t="s">
        <v>14</v>
      </c>
      <c r="W3" s="2" t="s">
        <v>14</v>
      </c>
      <c r="X3" s="2" t="s">
        <v>14</v>
      </c>
      <c r="Y3" s="2" t="s">
        <v>14</v>
      </c>
      <c r="Z3" s="2" t="s">
        <v>14</v>
      </c>
      <c r="AA3" s="2" t="s">
        <v>15</v>
      </c>
      <c r="AB3" s="3" t="s">
        <v>16</v>
      </c>
      <c r="AC3" s="3" t="s">
        <v>187</v>
      </c>
      <c r="AD3" s="3" t="s">
        <v>191</v>
      </c>
      <c r="AE3" s="3" t="s">
        <v>191</v>
      </c>
      <c r="AF3" s="2" t="s">
        <v>17</v>
      </c>
      <c r="AG3" s="2" t="s">
        <v>18</v>
      </c>
      <c r="AH3" s="2" t="s">
        <v>19</v>
      </c>
      <c r="AI3" s="2" t="s">
        <v>19</v>
      </c>
      <c r="AJ3" s="2" t="s">
        <v>19</v>
      </c>
      <c r="AK3" s="2" t="s">
        <v>19</v>
      </c>
      <c r="AL3" s="2" t="s">
        <v>19</v>
      </c>
      <c r="AM3" s="2" t="s">
        <v>19</v>
      </c>
      <c r="AN3" s="2" t="s">
        <v>19</v>
      </c>
      <c r="AO3" s="2" t="s">
        <v>19</v>
      </c>
      <c r="AP3" s="2" t="s">
        <v>19</v>
      </c>
      <c r="AQ3" s="2" t="s">
        <v>20</v>
      </c>
      <c r="AR3" s="2" t="s">
        <v>21</v>
      </c>
      <c r="AS3" s="2" t="s">
        <v>21</v>
      </c>
      <c r="AT3" s="1" t="s">
        <v>188</v>
      </c>
      <c r="AU3" s="1"/>
      <c r="AV3" s="2" t="s">
        <v>21</v>
      </c>
      <c r="AW3" s="1"/>
      <c r="AX3" s="1"/>
      <c r="AY3" s="1"/>
      <c r="AZ3" s="1"/>
    </row>
    <row r="4" spans="1:52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 t="s">
        <v>24</v>
      </c>
      <c r="R4" s="1" t="s">
        <v>25</v>
      </c>
      <c r="S4" s="1"/>
      <c r="T4" s="1" t="s">
        <v>26</v>
      </c>
      <c r="U4" s="1" t="s">
        <v>27</v>
      </c>
      <c r="V4" s="1" t="s">
        <v>28</v>
      </c>
      <c r="W4" s="1" t="s">
        <v>29</v>
      </c>
      <c r="X4" s="1" t="s">
        <v>30</v>
      </c>
      <c r="Y4" s="1" t="s">
        <v>31</v>
      </c>
      <c r="Z4" s="1" t="s">
        <v>32</v>
      </c>
      <c r="AA4" s="1" t="s">
        <v>31</v>
      </c>
      <c r="AB4" s="1"/>
      <c r="AC4" s="9" t="s">
        <v>187</v>
      </c>
      <c r="AD4" s="26" t="s">
        <v>194</v>
      </c>
      <c r="AE4" s="26" t="s">
        <v>193</v>
      </c>
      <c r="AF4" s="1"/>
      <c r="AG4" s="1"/>
      <c r="AH4" s="1" t="s">
        <v>30</v>
      </c>
      <c r="AI4" s="1" t="s">
        <v>33</v>
      </c>
      <c r="AJ4" s="1" t="s">
        <v>34</v>
      </c>
      <c r="AK4" s="1" t="s">
        <v>35</v>
      </c>
      <c r="AL4" s="1" t="s">
        <v>36</v>
      </c>
      <c r="AM4" s="1" t="s">
        <v>37</v>
      </c>
      <c r="AN4" s="1" t="s">
        <v>38</v>
      </c>
      <c r="AO4" s="1" t="s">
        <v>39</v>
      </c>
      <c r="AP4" s="1" t="s">
        <v>40</v>
      </c>
      <c r="AQ4" s="1"/>
      <c r="AR4" s="1"/>
      <c r="AS4" s="9" t="s">
        <v>187</v>
      </c>
      <c r="AT4" s="1"/>
      <c r="AU4" s="1"/>
      <c r="AV4" s="26" t="s">
        <v>192</v>
      </c>
      <c r="AW4" s="1"/>
      <c r="AX4" s="1"/>
      <c r="AY4" s="1"/>
      <c r="AZ4" s="1"/>
    </row>
    <row r="5" spans="1:52" x14ac:dyDescent="0.25">
      <c r="A5" s="1"/>
      <c r="B5" s="1"/>
      <c r="C5" s="1"/>
      <c r="D5" s="1"/>
      <c r="E5" s="4">
        <f>SUM(E6:E497)</f>
        <v>60531.97600000001</v>
      </c>
      <c r="F5" s="4">
        <f>SUM(F6:F497)</f>
        <v>80155.660999999993</v>
      </c>
      <c r="G5" s="7"/>
      <c r="H5" s="1"/>
      <c r="I5" s="1"/>
      <c r="J5" s="1"/>
      <c r="K5" s="4">
        <f t="shared" ref="K5:AE5" si="0">SUM(K6:K497)</f>
        <v>89543.702999999994</v>
      </c>
      <c r="L5" s="4">
        <f t="shared" si="0"/>
        <v>-29011.727000000006</v>
      </c>
      <c r="M5" s="4">
        <f t="shared" si="0"/>
        <v>57804.186999999998</v>
      </c>
      <c r="N5" s="4">
        <f t="shared" si="0"/>
        <v>2727.7889999999998</v>
      </c>
      <c r="O5" s="4">
        <f t="shared" si="0"/>
        <v>-3500</v>
      </c>
      <c r="P5" s="4">
        <f t="shared" si="0"/>
        <v>21673.42295480047</v>
      </c>
      <c r="Q5" s="4">
        <f t="shared" si="0"/>
        <v>4000</v>
      </c>
      <c r="R5" s="4">
        <f t="shared" si="0"/>
        <v>15680.571047421266</v>
      </c>
      <c r="S5" s="4">
        <f t="shared" si="0"/>
        <v>11082.315999999999</v>
      </c>
      <c r="T5" s="4">
        <f t="shared" si="0"/>
        <v>-4381</v>
      </c>
      <c r="U5" s="4">
        <f t="shared" si="0"/>
        <v>4000</v>
      </c>
      <c r="V5" s="4">
        <f t="shared" si="0"/>
        <v>1700</v>
      </c>
      <c r="W5" s="4">
        <f t="shared" si="0"/>
        <v>-3234.6</v>
      </c>
      <c r="X5" s="4">
        <f t="shared" si="0"/>
        <v>22072.497033999993</v>
      </c>
      <c r="Y5" s="4">
        <f t="shared" si="0"/>
        <v>4563</v>
      </c>
      <c r="Z5" s="4">
        <f t="shared" si="0"/>
        <v>4230</v>
      </c>
      <c r="AA5" s="4">
        <f t="shared" si="0"/>
        <v>11560.837400000002</v>
      </c>
      <c r="AB5" s="4">
        <f t="shared" si="0"/>
        <v>10988.041840884802</v>
      </c>
      <c r="AC5" s="4">
        <f t="shared" si="0"/>
        <v>-23664.573656</v>
      </c>
      <c r="AD5" s="4">
        <f t="shared" ref="AD5" si="1">SUM(AD6:AD497)</f>
        <v>-10682.131000000001</v>
      </c>
      <c r="AE5" s="4">
        <f t="shared" si="0"/>
        <v>16513.959370864799</v>
      </c>
      <c r="AF5" s="1"/>
      <c r="AG5" s="1"/>
      <c r="AH5" s="4">
        <f t="shared" ref="AH5:AP5" si="2">SUM(AH6:AH497)</f>
        <v>11734.1994</v>
      </c>
      <c r="AI5" s="4">
        <f t="shared" si="2"/>
        <v>14138.868400000007</v>
      </c>
      <c r="AJ5" s="4">
        <f t="shared" si="2"/>
        <v>14537.335200000001</v>
      </c>
      <c r="AK5" s="4">
        <f t="shared" si="2"/>
        <v>14045.6934</v>
      </c>
      <c r="AL5" s="4">
        <f t="shared" si="2"/>
        <v>13116.186799999999</v>
      </c>
      <c r="AM5" s="4">
        <f t="shared" si="2"/>
        <v>13766.086000000007</v>
      </c>
      <c r="AN5" s="4">
        <f t="shared" si="2"/>
        <v>14781.186599999995</v>
      </c>
      <c r="AO5" s="4">
        <f t="shared" si="2"/>
        <v>14428.942000000005</v>
      </c>
      <c r="AP5" s="4">
        <f t="shared" si="2"/>
        <v>14320.503199999997</v>
      </c>
      <c r="AQ5" s="1"/>
      <c r="AR5" s="4">
        <f>SUM(AR6:AR497)</f>
        <v>14505</v>
      </c>
      <c r="AS5" s="4">
        <f>SUM(AS6:AS497)</f>
        <v>17149.174334159998</v>
      </c>
      <c r="AT5" s="1"/>
      <c r="AU5" s="1"/>
      <c r="AV5" s="4">
        <f>SUM(AV6:AV497)</f>
        <v>8511.6770000000033</v>
      </c>
      <c r="AW5" s="1"/>
      <c r="AX5" s="1"/>
      <c r="AY5" s="1"/>
      <c r="AZ5" s="1"/>
    </row>
    <row r="6" spans="1:52" x14ac:dyDescent="0.25">
      <c r="A6" s="1" t="s">
        <v>41</v>
      </c>
      <c r="B6" s="1" t="s">
        <v>42</v>
      </c>
      <c r="C6" s="1">
        <v>1877.972</v>
      </c>
      <c r="D6" s="1">
        <v>2133.636</v>
      </c>
      <c r="E6" s="1">
        <v>2188.4430000000002</v>
      </c>
      <c r="F6" s="1">
        <v>1262.0450000000001</v>
      </c>
      <c r="G6" s="7">
        <v>1</v>
      </c>
      <c r="H6" s="1">
        <v>50</v>
      </c>
      <c r="I6" s="1" t="s">
        <v>189</v>
      </c>
      <c r="J6" s="1"/>
      <c r="K6" s="1">
        <v>2928.3</v>
      </c>
      <c r="L6" s="1">
        <f t="shared" ref="L6:L37" si="3">E6-K6</f>
        <v>-739.85699999999997</v>
      </c>
      <c r="M6" s="1">
        <f>E6-N6</f>
        <v>1986.1030000000003</v>
      </c>
      <c r="N6" s="1">
        <v>202.34</v>
      </c>
      <c r="O6" s="1"/>
      <c r="P6" s="1">
        <v>1462.6171972223999</v>
      </c>
      <c r="Q6" s="1"/>
      <c r="R6" s="1">
        <v>1486.2077971776</v>
      </c>
      <c r="S6" s="1">
        <f>VLOOKUP(A6,[1]TDSheet!$A:$B,2,0)</f>
        <v>1484.461</v>
      </c>
      <c r="T6" s="1"/>
      <c r="U6" s="1"/>
      <c r="V6" s="1"/>
      <c r="W6" s="1"/>
      <c r="X6" s="1">
        <v>138.62062799999981</v>
      </c>
      <c r="Y6" s="1"/>
      <c r="Z6" s="1"/>
      <c r="AA6" s="1">
        <f>M6/5</f>
        <v>397.22060000000005</v>
      </c>
      <c r="AB6" s="5">
        <f>11*AA6-Z6-Y6-X6-W6-V6-U6-T6-R6-Q6-P6-O6-F6</f>
        <v>19.935977600001252</v>
      </c>
      <c r="AC6" s="5">
        <f>VLOOKUP(A6,[2]Sheet!$A:$AC,29,0)</f>
        <v>0</v>
      </c>
      <c r="AD6" s="5"/>
      <c r="AE6" s="5">
        <f>IF(($AE$1-AG6)*AA6&lt;0,0,($AE$1-AG6)*AA6)</f>
        <v>774.65511760000095</v>
      </c>
      <c r="AF6" s="1">
        <f>(F6+O6+P6+Q6+R6+T6+U6+V6+W6+X6+Y6+Z6+AE6+AD6)/AA6</f>
        <v>12.9</v>
      </c>
      <c r="AG6" s="1">
        <f>(F6+O6+P6+Q6+R6+T6+U6+V6+W6+X6+Y6+Z6)/AA6</f>
        <v>10.949811319956718</v>
      </c>
      <c r="AH6" s="1">
        <v>387.44979999999998</v>
      </c>
      <c r="AI6" s="1">
        <v>475.30520000000001</v>
      </c>
      <c r="AJ6" s="1">
        <v>548.64239999999995</v>
      </c>
      <c r="AK6" s="1">
        <v>471.7946</v>
      </c>
      <c r="AL6" s="1">
        <v>438.9076</v>
      </c>
      <c r="AM6" s="1">
        <v>507.63760000000002</v>
      </c>
      <c r="AN6" s="1">
        <v>550.45600000000002</v>
      </c>
      <c r="AO6" s="1">
        <v>574.12580000000003</v>
      </c>
      <c r="AP6" s="1">
        <v>568.09579999999994</v>
      </c>
      <c r="AQ6" s="1"/>
      <c r="AR6" s="1">
        <f>ROUND(G6*AE6,0)</f>
        <v>775</v>
      </c>
      <c r="AS6" s="1">
        <f>-1*AC6*G6</f>
        <v>0</v>
      </c>
      <c r="AT6" s="1">
        <f>(AP6+AO6+AN6+AM6+AL6+AK6+AJ6+AI6+AH6+AA6)*G6</f>
        <v>4919.6354000000001</v>
      </c>
      <c r="AU6" s="1">
        <f t="shared" ref="AU6:AU8" si="4">(F6+S6+U6+O6)/AA6</f>
        <v>6.9143090766188866</v>
      </c>
      <c r="AV6" s="1">
        <f>-1*AD6*G6</f>
        <v>0</v>
      </c>
      <c r="AW6" s="1"/>
      <c r="AX6" s="1"/>
      <c r="AY6" s="1"/>
      <c r="AZ6" s="1"/>
    </row>
    <row r="7" spans="1:52" x14ac:dyDescent="0.25">
      <c r="A7" s="1" t="s">
        <v>43</v>
      </c>
      <c r="B7" s="1" t="s">
        <v>42</v>
      </c>
      <c r="C7" s="1">
        <v>1009.152</v>
      </c>
      <c r="D7" s="1">
        <v>794.66899999999998</v>
      </c>
      <c r="E7" s="1">
        <v>695.69200000000001</v>
      </c>
      <c r="F7" s="1">
        <v>1032.778</v>
      </c>
      <c r="G7" s="7">
        <v>1</v>
      </c>
      <c r="H7" s="1">
        <v>45</v>
      </c>
      <c r="I7" s="1" t="s">
        <v>189</v>
      </c>
      <c r="J7" s="1"/>
      <c r="K7" s="1">
        <v>1017.6</v>
      </c>
      <c r="L7" s="1">
        <f t="shared" si="3"/>
        <v>-321.90800000000002</v>
      </c>
      <c r="M7" s="1">
        <f t="shared" ref="M7:M70" si="5">E7-N7</f>
        <v>695.69200000000001</v>
      </c>
      <c r="N7" s="1"/>
      <c r="O7" s="1"/>
      <c r="P7" s="1">
        <v>373.73589619910399</v>
      </c>
      <c r="Q7" s="1"/>
      <c r="R7" s="1">
        <v>379.7638945248961</v>
      </c>
      <c r="S7" s="1">
        <f>VLOOKUP(A7,[1]TDSheet!$A:$B,2,0)</f>
        <v>382.59</v>
      </c>
      <c r="T7" s="1"/>
      <c r="U7" s="1"/>
      <c r="V7" s="1"/>
      <c r="W7" s="1"/>
      <c r="X7" s="1">
        <v>227.7324500000002</v>
      </c>
      <c r="Y7" s="1"/>
      <c r="Z7" s="1"/>
      <c r="AA7" s="1">
        <f t="shared" ref="AA7:AA70" si="6">M7/5</f>
        <v>139.13839999999999</v>
      </c>
      <c r="AB7" s="5"/>
      <c r="AC7" s="5">
        <f>VLOOKUP(A7,[2]Sheet!$A:$AC,29,0)</f>
        <v>-500</v>
      </c>
      <c r="AD7" s="5">
        <f>VLOOKUP(A7,[3]TDSheet!$A$1:$N$65536,14,0)*(-1)</f>
        <v>-501.52300000000002</v>
      </c>
      <c r="AE7" s="5">
        <f>IF(($AE$1-AG7)*AA7&lt;0,0,($AE$1-AG7)*AA7)</f>
        <v>0</v>
      </c>
      <c r="AF7" s="1">
        <f t="shared" ref="AF7:AF70" si="7">(F7+O7+P7+Q7+R7+T7+U7+V7+W7+X7+Y7+Z7+AE7+AD7)/AA7</f>
        <v>10.870379713465159</v>
      </c>
      <c r="AG7" s="1">
        <f t="shared" ref="AG7:AG70" si="8">(F7+O7+P7+Q7+R7+T7+U7+V7+W7+X7+Y7+Z7)/AA7</f>
        <v>14.474869918900897</v>
      </c>
      <c r="AH7" s="1">
        <v>153.54400000000001</v>
      </c>
      <c r="AI7" s="1">
        <v>198.9838</v>
      </c>
      <c r="AJ7" s="1">
        <v>211.20099999999999</v>
      </c>
      <c r="AK7" s="1">
        <v>193.32560000000001</v>
      </c>
      <c r="AL7" s="1">
        <v>182.81979999999999</v>
      </c>
      <c r="AM7" s="1">
        <v>175.50360000000001</v>
      </c>
      <c r="AN7" s="1">
        <v>191.05959999999999</v>
      </c>
      <c r="AO7" s="1">
        <v>216.93260000000001</v>
      </c>
      <c r="AP7" s="1">
        <v>206.46279999999999</v>
      </c>
      <c r="AQ7" s="1"/>
      <c r="AR7" s="1">
        <f t="shared" ref="AR7:AR70" si="9">ROUND(G7*AE7,0)</f>
        <v>0</v>
      </c>
      <c r="AS7" s="1">
        <f t="shared" ref="AS7:AS70" si="10">-1*AC7*G7</f>
        <v>500</v>
      </c>
      <c r="AT7" s="1">
        <f t="shared" ref="AT7:AT70" si="11">(AP7+AO7+AN7+AM7+AL7+AK7+AJ7+AI7+AH7+AA7)*G7</f>
        <v>1868.9712</v>
      </c>
      <c r="AU7" s="1">
        <f t="shared" si="4"/>
        <v>10.172375131523721</v>
      </c>
      <c r="AV7" s="1">
        <f t="shared" ref="AV7:AV70" si="12">-1*AD7*G7</f>
        <v>501.52300000000002</v>
      </c>
      <c r="AW7" s="1"/>
      <c r="AX7" s="1"/>
      <c r="AY7" s="1"/>
      <c r="AZ7" s="1"/>
    </row>
    <row r="8" spans="1:52" x14ac:dyDescent="0.25">
      <c r="A8" s="1" t="s">
        <v>44</v>
      </c>
      <c r="B8" s="1" t="s">
        <v>42</v>
      </c>
      <c r="C8" s="1">
        <v>3064.7020000000002</v>
      </c>
      <c r="D8" s="1">
        <v>2326.3090000000002</v>
      </c>
      <c r="E8" s="1">
        <v>2466.7350000000001</v>
      </c>
      <c r="F8" s="1">
        <v>2676.4969999999998</v>
      </c>
      <c r="G8" s="7">
        <v>1</v>
      </c>
      <c r="H8" s="1">
        <v>45</v>
      </c>
      <c r="I8" s="1" t="s">
        <v>189</v>
      </c>
      <c r="J8" s="1"/>
      <c r="K8" s="1">
        <v>3557.4</v>
      </c>
      <c r="L8" s="1">
        <f t="shared" si="3"/>
        <v>-1090.665</v>
      </c>
      <c r="M8" s="1">
        <f t="shared" si="5"/>
        <v>2417.3589999999999</v>
      </c>
      <c r="N8" s="1">
        <v>49.375999999999998</v>
      </c>
      <c r="O8" s="1"/>
      <c r="P8" s="1">
        <v>998.37705574111988</v>
      </c>
      <c r="Q8" s="1"/>
      <c r="R8" s="1">
        <v>1014.47991147888</v>
      </c>
      <c r="S8" s="1">
        <f>VLOOKUP(A8,[1]TDSheet!$A:$B,2,0)</f>
        <v>1027.153</v>
      </c>
      <c r="T8" s="1"/>
      <c r="U8" s="1"/>
      <c r="V8" s="1"/>
      <c r="W8" s="1"/>
      <c r="X8" s="1">
        <v>1013.029752000002</v>
      </c>
      <c r="Y8" s="1"/>
      <c r="Z8" s="1">
        <v>500</v>
      </c>
      <c r="AA8" s="1">
        <f t="shared" si="6"/>
        <v>483.47179999999997</v>
      </c>
      <c r="AB8" s="5"/>
      <c r="AC8" s="5">
        <f>VLOOKUP(A8,[2]Sheet!$A:$AC,29,0)</f>
        <v>-500</v>
      </c>
      <c r="AD8" s="5">
        <f>VLOOKUP(A8,[3]TDSheet!$A$1:$N$65536,14,0)*(-1)</f>
        <v>-523.87199999999996</v>
      </c>
      <c r="AE8" s="5">
        <f t="shared" ref="AE8" si="13">IF(($AE$1-AG8)*AA8&lt;0,0,($AE$1-AG8)*AA8)</f>
        <v>34.402500779998114</v>
      </c>
      <c r="AF8" s="1">
        <f t="shared" si="7"/>
        <v>11.816437318577837</v>
      </c>
      <c r="AG8" s="1">
        <f t="shared" si="8"/>
        <v>12.828842797490985</v>
      </c>
      <c r="AH8" s="1">
        <v>504.71640000000002</v>
      </c>
      <c r="AI8" s="1">
        <v>603.90640000000008</v>
      </c>
      <c r="AJ8" s="1">
        <v>611.28559999999993</v>
      </c>
      <c r="AK8" s="1">
        <v>564.65660000000003</v>
      </c>
      <c r="AL8" s="1">
        <v>559.11500000000001</v>
      </c>
      <c r="AM8" s="1">
        <v>520.86239999999998</v>
      </c>
      <c r="AN8" s="1">
        <v>595.93939999999998</v>
      </c>
      <c r="AO8" s="1">
        <v>645.5598</v>
      </c>
      <c r="AP8" s="1">
        <v>584.85239999999999</v>
      </c>
      <c r="AQ8" s="1"/>
      <c r="AR8" s="1">
        <f t="shared" si="9"/>
        <v>34</v>
      </c>
      <c r="AS8" s="1">
        <f t="shared" si="10"/>
        <v>500</v>
      </c>
      <c r="AT8" s="1">
        <f t="shared" si="11"/>
        <v>5674.3658000000005</v>
      </c>
      <c r="AU8" s="1">
        <f t="shared" si="4"/>
        <v>7.6605295282992714</v>
      </c>
      <c r="AV8" s="1">
        <f t="shared" si="12"/>
        <v>523.87199999999996</v>
      </c>
      <c r="AW8" s="1"/>
      <c r="AX8" s="1"/>
      <c r="AY8" s="1"/>
      <c r="AZ8" s="1"/>
    </row>
    <row r="9" spans="1:52" x14ac:dyDescent="0.25">
      <c r="A9" s="1" t="s">
        <v>45</v>
      </c>
      <c r="B9" s="1" t="s">
        <v>46</v>
      </c>
      <c r="C9" s="1"/>
      <c r="D9" s="1"/>
      <c r="E9" s="1"/>
      <c r="F9" s="1"/>
      <c r="G9" s="7">
        <v>0.4</v>
      </c>
      <c r="H9" s="1">
        <v>50</v>
      </c>
      <c r="I9" s="1" t="s">
        <v>176</v>
      </c>
      <c r="J9" s="1"/>
      <c r="K9" s="1"/>
      <c r="L9" s="1">
        <f t="shared" si="3"/>
        <v>0</v>
      </c>
      <c r="M9" s="1">
        <f t="shared" si="5"/>
        <v>0</v>
      </c>
      <c r="N9" s="1"/>
      <c r="O9" s="1"/>
      <c r="P9" s="1">
        <v>15</v>
      </c>
      <c r="Q9" s="1"/>
      <c r="R9" s="1"/>
      <c r="S9" s="10"/>
      <c r="T9" s="1"/>
      <c r="U9" s="1"/>
      <c r="V9" s="1"/>
      <c r="W9" s="1"/>
      <c r="X9" s="1">
        <v>0</v>
      </c>
      <c r="Y9" s="1"/>
      <c r="Z9" s="1"/>
      <c r="AA9" s="1">
        <f t="shared" si="6"/>
        <v>0</v>
      </c>
      <c r="AB9" s="5"/>
      <c r="AC9" s="5">
        <f>VLOOKUP(A9,[2]Sheet!$A:$AC,29,0)</f>
        <v>0</v>
      </c>
      <c r="AD9" s="5"/>
      <c r="AE9" s="5">
        <f t="shared" ref="AE9:AE69" si="14">AB9</f>
        <v>0</v>
      </c>
      <c r="AF9" s="1" t="e">
        <f t="shared" si="7"/>
        <v>#DIV/0!</v>
      </c>
      <c r="AG9" s="1" t="e">
        <f t="shared" si="8"/>
        <v>#DIV/0!</v>
      </c>
      <c r="AH9" s="1">
        <v>0</v>
      </c>
      <c r="AI9" s="1">
        <v>0</v>
      </c>
      <c r="AJ9" s="1">
        <v>0.6</v>
      </c>
      <c r="AK9" s="1">
        <v>0.6</v>
      </c>
      <c r="AL9" s="1">
        <v>0</v>
      </c>
      <c r="AM9" s="1">
        <v>0</v>
      </c>
      <c r="AN9" s="1">
        <v>0.2</v>
      </c>
      <c r="AO9" s="1">
        <v>4.2</v>
      </c>
      <c r="AP9" s="1">
        <v>5.8</v>
      </c>
      <c r="AQ9" s="1" t="s">
        <v>47</v>
      </c>
      <c r="AR9" s="1">
        <f t="shared" si="9"/>
        <v>0</v>
      </c>
      <c r="AS9" s="1">
        <f t="shared" si="10"/>
        <v>0</v>
      </c>
      <c r="AT9" s="1">
        <f t="shared" si="11"/>
        <v>4.5599999999999996</v>
      </c>
      <c r="AU9" s="1"/>
      <c r="AV9" s="1">
        <f t="shared" si="12"/>
        <v>0</v>
      </c>
      <c r="AW9" s="1"/>
      <c r="AX9" s="1"/>
      <c r="AY9" s="1"/>
      <c r="AZ9" s="1"/>
    </row>
    <row r="10" spans="1:52" x14ac:dyDescent="0.25">
      <c r="A10" s="1" t="s">
        <v>48</v>
      </c>
      <c r="B10" s="1" t="s">
        <v>46</v>
      </c>
      <c r="C10" s="1">
        <v>3448</v>
      </c>
      <c r="D10" s="1">
        <v>1075</v>
      </c>
      <c r="E10" s="1">
        <v>2766</v>
      </c>
      <c r="F10" s="1">
        <v>1139</v>
      </c>
      <c r="G10" s="7">
        <v>0.45</v>
      </c>
      <c r="H10" s="1">
        <v>45</v>
      </c>
      <c r="I10" s="21" t="s">
        <v>181</v>
      </c>
      <c r="J10" s="1"/>
      <c r="K10" s="1">
        <v>3849</v>
      </c>
      <c r="L10" s="1">
        <f t="shared" si="3"/>
        <v>-1083</v>
      </c>
      <c r="M10" s="1">
        <f t="shared" si="5"/>
        <v>2736</v>
      </c>
      <c r="N10" s="1">
        <v>30</v>
      </c>
      <c r="O10" s="1"/>
      <c r="P10" s="1">
        <v>1000</v>
      </c>
      <c r="Q10" s="1"/>
      <c r="R10" s="1"/>
      <c r="S10" s="10"/>
      <c r="T10" s="1"/>
      <c r="U10" s="1"/>
      <c r="V10" s="1"/>
      <c r="W10" s="1"/>
      <c r="X10" s="1">
        <v>1000</v>
      </c>
      <c r="Y10" s="1">
        <v>500</v>
      </c>
      <c r="Z10" s="1">
        <v>1000</v>
      </c>
      <c r="AA10" s="1">
        <f t="shared" si="6"/>
        <v>547.20000000000005</v>
      </c>
      <c r="AB10" s="5"/>
      <c r="AC10" s="5">
        <f>VLOOKUP(A10,[2]Sheet!$A:$AC,29,0)</f>
        <v>0</v>
      </c>
      <c r="AD10" s="5"/>
      <c r="AE10" s="5">
        <f t="shared" si="14"/>
        <v>0</v>
      </c>
      <c r="AF10" s="1">
        <f t="shared" si="7"/>
        <v>8.4777046783625725</v>
      </c>
      <c r="AG10" s="1">
        <f t="shared" si="8"/>
        <v>8.4777046783625725</v>
      </c>
      <c r="AH10" s="1">
        <v>563.6</v>
      </c>
      <c r="AI10" s="1">
        <v>673.6</v>
      </c>
      <c r="AJ10" s="1">
        <v>380.8</v>
      </c>
      <c r="AK10" s="1">
        <v>376.4</v>
      </c>
      <c r="AL10" s="1">
        <v>381.8</v>
      </c>
      <c r="AM10" s="1">
        <v>353.6</v>
      </c>
      <c r="AN10" s="1">
        <v>327.60000000000002</v>
      </c>
      <c r="AO10" s="1">
        <v>392</v>
      </c>
      <c r="AP10" s="1">
        <v>376.6</v>
      </c>
      <c r="AQ10" s="1" t="s">
        <v>49</v>
      </c>
      <c r="AR10" s="1">
        <f t="shared" si="9"/>
        <v>0</v>
      </c>
      <c r="AS10" s="1">
        <f t="shared" si="10"/>
        <v>0</v>
      </c>
      <c r="AT10" s="1">
        <f t="shared" si="11"/>
        <v>1967.94</v>
      </c>
      <c r="AU10" s="1"/>
      <c r="AV10" s="1">
        <f t="shared" si="12"/>
        <v>0</v>
      </c>
      <c r="AW10" s="1"/>
      <c r="AX10" s="1"/>
      <c r="AY10" s="1"/>
      <c r="AZ10" s="1"/>
    </row>
    <row r="11" spans="1:52" x14ac:dyDescent="0.25">
      <c r="A11" s="1" t="s">
        <v>50</v>
      </c>
      <c r="B11" s="1" t="s">
        <v>46</v>
      </c>
      <c r="C11" s="1">
        <v>3088</v>
      </c>
      <c r="D11" s="1">
        <v>4857</v>
      </c>
      <c r="E11" s="1">
        <v>2287</v>
      </c>
      <c r="F11" s="1">
        <v>4907</v>
      </c>
      <c r="G11" s="7">
        <v>0.45</v>
      </c>
      <c r="H11" s="1">
        <v>45</v>
      </c>
      <c r="I11" s="1" t="s">
        <v>189</v>
      </c>
      <c r="J11" s="1"/>
      <c r="K11" s="1">
        <v>3717</v>
      </c>
      <c r="L11" s="1">
        <f t="shared" si="3"/>
        <v>-1430</v>
      </c>
      <c r="M11" s="1">
        <f t="shared" si="5"/>
        <v>2227</v>
      </c>
      <c r="N11" s="1">
        <v>60</v>
      </c>
      <c r="O11" s="1"/>
      <c r="P11" s="1">
        <v>649.09806342206957</v>
      </c>
      <c r="Q11" s="1"/>
      <c r="R11" s="1">
        <v>659.56738702565144</v>
      </c>
      <c r="S11" s="1">
        <f>VLOOKUP(A11,[1]TDSheet!$A:$B,2,0)</f>
        <v>660</v>
      </c>
      <c r="T11" s="1"/>
      <c r="U11" s="1"/>
      <c r="V11" s="1"/>
      <c r="W11" s="1"/>
      <c r="X11" s="1">
        <v>823.24719999999888</v>
      </c>
      <c r="Y11" s="1">
        <v>500</v>
      </c>
      <c r="Z11" s="1"/>
      <c r="AA11" s="1">
        <f t="shared" si="6"/>
        <v>445.4</v>
      </c>
      <c r="AB11" s="5"/>
      <c r="AC11" s="5">
        <f>VLOOKUP(A11,[2]Sheet!$A:$AC,29,0)</f>
        <v>-2500</v>
      </c>
      <c r="AD11" s="5">
        <f>VLOOKUP(A11,[3]TDSheet!$A$1:$N$65536,14,0)*(-1)</f>
        <v>-1125</v>
      </c>
      <c r="AE11" s="5">
        <f>IF(($AE$1-AG11)*AA11&lt;0,0,($AE$1-AG11)*AA11)</f>
        <v>0</v>
      </c>
      <c r="AF11" s="1">
        <f t="shared" si="7"/>
        <v>14.400342726645084</v>
      </c>
      <c r="AG11" s="1">
        <f t="shared" si="8"/>
        <v>16.926162214745666</v>
      </c>
      <c r="AH11" s="1">
        <v>495.2</v>
      </c>
      <c r="AI11" s="1">
        <v>660.46</v>
      </c>
      <c r="AJ11" s="1">
        <v>717.66000000000008</v>
      </c>
      <c r="AK11" s="1">
        <v>698.8</v>
      </c>
      <c r="AL11" s="1">
        <v>602.20000000000005</v>
      </c>
      <c r="AM11" s="1">
        <v>550.4</v>
      </c>
      <c r="AN11" s="1">
        <v>621.79999999999995</v>
      </c>
      <c r="AO11" s="1">
        <v>638.6</v>
      </c>
      <c r="AP11" s="1">
        <v>583.79999999999995</v>
      </c>
      <c r="AQ11" s="14" t="s">
        <v>74</v>
      </c>
      <c r="AR11" s="1">
        <f t="shared" si="9"/>
        <v>0</v>
      </c>
      <c r="AS11" s="1">
        <f t="shared" si="10"/>
        <v>1125</v>
      </c>
      <c r="AT11" s="1">
        <f t="shared" si="11"/>
        <v>2706.444</v>
      </c>
      <c r="AU11" s="1">
        <f>(F11+S11+U11+O11)/AA11</f>
        <v>12.498877413560844</v>
      </c>
      <c r="AV11" s="1">
        <f t="shared" si="12"/>
        <v>506.25</v>
      </c>
      <c r="AW11" s="1"/>
      <c r="AX11" s="1"/>
      <c r="AY11" s="1"/>
      <c r="AZ11" s="1"/>
    </row>
    <row r="12" spans="1:52" x14ac:dyDescent="0.25">
      <c r="A12" s="1" t="s">
        <v>51</v>
      </c>
      <c r="B12" s="1" t="s">
        <v>46</v>
      </c>
      <c r="C12" s="1">
        <v>57</v>
      </c>
      <c r="D12" s="1">
        <v>78</v>
      </c>
      <c r="E12" s="1">
        <v>27</v>
      </c>
      <c r="F12" s="1">
        <v>105</v>
      </c>
      <c r="G12" s="7">
        <v>0.17</v>
      </c>
      <c r="H12" s="1">
        <v>180</v>
      </c>
      <c r="I12" s="1" t="s">
        <v>176</v>
      </c>
      <c r="J12" s="1"/>
      <c r="K12" s="1">
        <v>108</v>
      </c>
      <c r="L12" s="1">
        <f t="shared" si="3"/>
        <v>-81</v>
      </c>
      <c r="M12" s="1">
        <f t="shared" si="5"/>
        <v>27</v>
      </c>
      <c r="N12" s="1"/>
      <c r="O12" s="1"/>
      <c r="P12" s="1">
        <v>109.8</v>
      </c>
      <c r="Q12" s="1"/>
      <c r="R12" s="1"/>
      <c r="S12" s="10"/>
      <c r="T12" s="1"/>
      <c r="U12" s="1"/>
      <c r="V12" s="1"/>
      <c r="W12" s="1"/>
      <c r="X12" s="1">
        <v>10</v>
      </c>
      <c r="Y12" s="1"/>
      <c r="Z12" s="1"/>
      <c r="AA12" s="1">
        <f t="shared" si="6"/>
        <v>5.4</v>
      </c>
      <c r="AB12" s="5"/>
      <c r="AC12" s="5">
        <f>VLOOKUP(A12,[2]Sheet!$A:$AC,29,0)</f>
        <v>-80</v>
      </c>
      <c r="AD12" s="5"/>
      <c r="AE12" s="5">
        <f t="shared" si="14"/>
        <v>0</v>
      </c>
      <c r="AF12" s="1">
        <f t="shared" si="7"/>
        <v>41.629629629629626</v>
      </c>
      <c r="AG12" s="1">
        <f t="shared" si="8"/>
        <v>41.629629629629626</v>
      </c>
      <c r="AH12" s="1">
        <v>12.6</v>
      </c>
      <c r="AI12" s="1">
        <v>17.2</v>
      </c>
      <c r="AJ12" s="1">
        <v>21</v>
      </c>
      <c r="AK12" s="1">
        <v>14.4</v>
      </c>
      <c r="AL12" s="1">
        <v>13.6</v>
      </c>
      <c r="AM12" s="1">
        <v>11.2</v>
      </c>
      <c r="AN12" s="1">
        <v>12.6</v>
      </c>
      <c r="AO12" s="1">
        <v>17</v>
      </c>
      <c r="AP12" s="1">
        <v>16.2</v>
      </c>
      <c r="AQ12" s="15" t="s">
        <v>94</v>
      </c>
      <c r="AR12" s="1">
        <f t="shared" si="9"/>
        <v>0</v>
      </c>
      <c r="AS12" s="1">
        <f t="shared" si="10"/>
        <v>13.600000000000001</v>
      </c>
      <c r="AT12" s="1">
        <f t="shared" si="11"/>
        <v>24.004000000000005</v>
      </c>
      <c r="AU12" s="1"/>
      <c r="AV12" s="1">
        <f t="shared" si="12"/>
        <v>0</v>
      </c>
      <c r="AW12" s="1"/>
      <c r="AX12" s="1"/>
      <c r="AY12" s="1"/>
      <c r="AZ12" s="1"/>
    </row>
    <row r="13" spans="1:52" x14ac:dyDescent="0.25">
      <c r="A13" s="1" t="s">
        <v>52</v>
      </c>
      <c r="B13" s="1" t="s">
        <v>46</v>
      </c>
      <c r="C13" s="1">
        <v>9</v>
      </c>
      <c r="D13" s="1">
        <v>2</v>
      </c>
      <c r="E13" s="1">
        <v>4</v>
      </c>
      <c r="F13" s="1">
        <v>3</v>
      </c>
      <c r="G13" s="7">
        <v>0.3</v>
      </c>
      <c r="H13" s="1">
        <v>40</v>
      </c>
      <c r="I13" s="1" t="s">
        <v>176</v>
      </c>
      <c r="J13" s="1"/>
      <c r="K13" s="1">
        <v>47</v>
      </c>
      <c r="L13" s="1">
        <f t="shared" si="3"/>
        <v>-43</v>
      </c>
      <c r="M13" s="1">
        <f t="shared" si="5"/>
        <v>4</v>
      </c>
      <c r="N13" s="1"/>
      <c r="O13" s="1"/>
      <c r="P13" s="1">
        <v>84.8</v>
      </c>
      <c r="Q13" s="1"/>
      <c r="R13" s="1"/>
      <c r="S13" s="10"/>
      <c r="T13" s="1"/>
      <c r="U13" s="1"/>
      <c r="V13" s="1"/>
      <c r="W13" s="1"/>
      <c r="X13" s="1">
        <v>26.7</v>
      </c>
      <c r="Y13" s="1"/>
      <c r="Z13" s="1"/>
      <c r="AA13" s="1">
        <f t="shared" si="6"/>
        <v>0.8</v>
      </c>
      <c r="AB13" s="5"/>
      <c r="AC13" s="5">
        <f>VLOOKUP(A13,[2]Sheet!$A:$AC,29,0)</f>
        <v>0</v>
      </c>
      <c r="AD13" s="5"/>
      <c r="AE13" s="5">
        <f t="shared" si="14"/>
        <v>0</v>
      </c>
      <c r="AF13" s="1">
        <f t="shared" si="7"/>
        <v>143.125</v>
      </c>
      <c r="AG13" s="1">
        <f t="shared" si="8"/>
        <v>143.125</v>
      </c>
      <c r="AH13" s="1">
        <v>2.6</v>
      </c>
      <c r="AI13" s="1">
        <v>9.4</v>
      </c>
      <c r="AJ13" s="1">
        <v>13.4</v>
      </c>
      <c r="AK13" s="1">
        <v>4.4000000000000004</v>
      </c>
      <c r="AL13" s="1">
        <v>0.4</v>
      </c>
      <c r="AM13" s="1">
        <v>5.8</v>
      </c>
      <c r="AN13" s="1">
        <v>7</v>
      </c>
      <c r="AO13" s="1">
        <v>1.6</v>
      </c>
      <c r="AP13" s="1">
        <v>-0.4</v>
      </c>
      <c r="AQ13" s="1"/>
      <c r="AR13" s="1">
        <f t="shared" si="9"/>
        <v>0</v>
      </c>
      <c r="AS13" s="1">
        <f t="shared" si="10"/>
        <v>0</v>
      </c>
      <c r="AT13" s="1">
        <f t="shared" si="11"/>
        <v>13.5</v>
      </c>
      <c r="AU13" s="1"/>
      <c r="AV13" s="1">
        <f t="shared" si="12"/>
        <v>0</v>
      </c>
      <c r="AW13" s="1"/>
      <c r="AX13" s="1"/>
      <c r="AY13" s="1"/>
      <c r="AZ13" s="1"/>
    </row>
    <row r="14" spans="1:52" x14ac:dyDescent="0.25">
      <c r="A14" s="1" t="s">
        <v>53</v>
      </c>
      <c r="B14" s="1" t="s">
        <v>46</v>
      </c>
      <c r="C14" s="1">
        <v>41</v>
      </c>
      <c r="D14" s="1">
        <v>772</v>
      </c>
      <c r="E14" s="1">
        <v>107</v>
      </c>
      <c r="F14" s="1">
        <v>674</v>
      </c>
      <c r="G14" s="7">
        <v>0.17</v>
      </c>
      <c r="H14" s="1">
        <v>180</v>
      </c>
      <c r="I14" s="1" t="s">
        <v>176</v>
      </c>
      <c r="J14" s="1"/>
      <c r="K14" s="1">
        <v>254</v>
      </c>
      <c r="L14" s="1">
        <f t="shared" si="3"/>
        <v>-147</v>
      </c>
      <c r="M14" s="1">
        <f t="shared" si="5"/>
        <v>107</v>
      </c>
      <c r="N14" s="1"/>
      <c r="O14" s="1"/>
      <c r="P14" s="1">
        <v>55.200000000000159</v>
      </c>
      <c r="Q14" s="1"/>
      <c r="R14" s="1"/>
      <c r="S14" s="10"/>
      <c r="T14" s="1"/>
      <c r="U14" s="1"/>
      <c r="V14" s="1"/>
      <c r="W14" s="1"/>
      <c r="X14" s="1">
        <v>0</v>
      </c>
      <c r="Y14" s="1"/>
      <c r="Z14" s="1"/>
      <c r="AA14" s="1">
        <f t="shared" si="6"/>
        <v>21.4</v>
      </c>
      <c r="AB14" s="5"/>
      <c r="AC14" s="5">
        <f>VLOOKUP(A14,[2]Sheet!$A:$AC,29,0)</f>
        <v>-483.10000000000019</v>
      </c>
      <c r="AD14" s="5">
        <f>VLOOKUP(A14,[3]TDSheet!$A$1:$N$65536,14,0)*(-1)</f>
        <v>-82</v>
      </c>
      <c r="AE14" s="5">
        <f t="shared" si="14"/>
        <v>0</v>
      </c>
      <c r="AF14" s="1">
        <f t="shared" si="7"/>
        <v>30.242990654205617</v>
      </c>
      <c r="AG14" s="1">
        <f t="shared" si="8"/>
        <v>34.074766355140198</v>
      </c>
      <c r="AH14" s="1">
        <v>16.2</v>
      </c>
      <c r="AI14" s="1">
        <v>29.4</v>
      </c>
      <c r="AJ14" s="1">
        <v>74.2</v>
      </c>
      <c r="AK14" s="1">
        <v>73.8</v>
      </c>
      <c r="AL14" s="1">
        <v>37.6</v>
      </c>
      <c r="AM14" s="1">
        <v>35.200000000000003</v>
      </c>
      <c r="AN14" s="1">
        <v>46.2</v>
      </c>
      <c r="AO14" s="1">
        <v>49.6</v>
      </c>
      <c r="AP14" s="1">
        <v>43.2</v>
      </c>
      <c r="AQ14" s="14" t="s">
        <v>74</v>
      </c>
      <c r="AR14" s="1">
        <f t="shared" si="9"/>
        <v>0</v>
      </c>
      <c r="AS14" s="1">
        <f t="shared" si="10"/>
        <v>82.127000000000038</v>
      </c>
      <c r="AT14" s="1">
        <f t="shared" si="11"/>
        <v>72.555999999999983</v>
      </c>
      <c r="AU14" s="1"/>
      <c r="AV14" s="1">
        <f t="shared" si="12"/>
        <v>13.940000000000001</v>
      </c>
      <c r="AW14" s="1"/>
      <c r="AX14" s="1"/>
      <c r="AY14" s="1"/>
      <c r="AZ14" s="1"/>
    </row>
    <row r="15" spans="1:52" x14ac:dyDescent="0.25">
      <c r="A15" s="1" t="s">
        <v>54</v>
      </c>
      <c r="B15" s="1" t="s">
        <v>42</v>
      </c>
      <c r="C15" s="1">
        <v>4081.1529999999998</v>
      </c>
      <c r="D15" s="1">
        <v>3384.971</v>
      </c>
      <c r="E15" s="1">
        <v>2939.857</v>
      </c>
      <c r="F15" s="1">
        <v>4216.1760000000004</v>
      </c>
      <c r="G15" s="7">
        <v>1</v>
      </c>
      <c r="H15" s="1">
        <v>70</v>
      </c>
      <c r="I15" s="1" t="s">
        <v>189</v>
      </c>
      <c r="J15" s="1"/>
      <c r="K15" s="1">
        <v>4118.8549999999996</v>
      </c>
      <c r="L15" s="1">
        <f t="shared" si="3"/>
        <v>-1178.9979999999996</v>
      </c>
      <c r="M15" s="1">
        <f t="shared" si="5"/>
        <v>2734.6889999999999</v>
      </c>
      <c r="N15" s="1">
        <v>205.16800000000001</v>
      </c>
      <c r="O15" s="1"/>
      <c r="P15" s="1">
        <v>650.32179464705507</v>
      </c>
      <c r="Q15" s="1"/>
      <c r="R15" s="1">
        <v>660.81085585103995</v>
      </c>
      <c r="S15" s="1">
        <f>VLOOKUP(A15,[1]TDSheet!$A:$B,2,0)</f>
        <v>666.875</v>
      </c>
      <c r="T15" s="1"/>
      <c r="U15" s="1"/>
      <c r="V15" s="1"/>
      <c r="W15" s="1"/>
      <c r="X15" s="1">
        <v>800</v>
      </c>
      <c r="Y15" s="1">
        <v>500</v>
      </c>
      <c r="Z15" s="1">
        <v>500</v>
      </c>
      <c r="AA15" s="1">
        <f t="shared" si="6"/>
        <v>546.93779999999992</v>
      </c>
      <c r="AB15" s="5"/>
      <c r="AC15" s="5">
        <f>VLOOKUP(A15,[2]Sheet!$A:$AC,29,0)</f>
        <v>0</v>
      </c>
      <c r="AD15" s="5"/>
      <c r="AE15" s="5">
        <f>IF(($AE$1-AG15)*AA15&lt;0,0,($AE$1-AG15)*AA15)</f>
        <v>0</v>
      </c>
      <c r="AF15" s="1">
        <f t="shared" si="7"/>
        <v>13.396968815280452</v>
      </c>
      <c r="AG15" s="1">
        <f t="shared" si="8"/>
        <v>13.396968815280452</v>
      </c>
      <c r="AH15" s="1">
        <v>609.09219999999993</v>
      </c>
      <c r="AI15" s="1">
        <v>717.98599999999999</v>
      </c>
      <c r="AJ15" s="1">
        <v>729.06079999999997</v>
      </c>
      <c r="AK15" s="1">
        <v>733.47640000000001</v>
      </c>
      <c r="AL15" s="1">
        <v>698.62239999999997</v>
      </c>
      <c r="AM15" s="1">
        <v>743.16840000000002</v>
      </c>
      <c r="AN15" s="1">
        <v>777.8900000000001</v>
      </c>
      <c r="AO15" s="1">
        <v>793.41980000000001</v>
      </c>
      <c r="AP15" s="1">
        <v>813.2912</v>
      </c>
      <c r="AQ15" s="1"/>
      <c r="AR15" s="1">
        <f t="shared" si="9"/>
        <v>0</v>
      </c>
      <c r="AS15" s="1">
        <f t="shared" si="10"/>
        <v>0</v>
      </c>
      <c r="AT15" s="1">
        <f t="shared" si="11"/>
        <v>7162.9450000000006</v>
      </c>
      <c r="AU15" s="1">
        <f t="shared" ref="AU15:AU16" si="15">(F15+S15+U15+O15)/AA15</f>
        <v>8.9279823043863509</v>
      </c>
      <c r="AV15" s="1">
        <f t="shared" si="12"/>
        <v>0</v>
      </c>
      <c r="AW15" s="1"/>
      <c r="AX15" s="1"/>
      <c r="AY15" s="1"/>
      <c r="AZ15" s="1"/>
    </row>
    <row r="16" spans="1:52" x14ac:dyDescent="0.25">
      <c r="A16" s="1" t="s">
        <v>55</v>
      </c>
      <c r="B16" s="1" t="s">
        <v>42</v>
      </c>
      <c r="C16" s="1">
        <v>3757.902</v>
      </c>
      <c r="D16" s="1">
        <v>2376.846</v>
      </c>
      <c r="E16" s="1">
        <v>3277.9780000000001</v>
      </c>
      <c r="F16" s="1">
        <v>2641.9380000000001</v>
      </c>
      <c r="G16" s="7">
        <v>1</v>
      </c>
      <c r="H16" s="1">
        <v>50</v>
      </c>
      <c r="I16" s="1" t="s">
        <v>189</v>
      </c>
      <c r="J16" s="1"/>
      <c r="K16" s="1">
        <v>4707.66</v>
      </c>
      <c r="L16" s="1">
        <f t="shared" si="3"/>
        <v>-1429.6819999999998</v>
      </c>
      <c r="M16" s="1">
        <f t="shared" si="5"/>
        <v>3277.9780000000001</v>
      </c>
      <c r="N16" s="1"/>
      <c r="O16" s="1"/>
      <c r="P16" s="1">
        <v>924.85034467840137</v>
      </c>
      <c r="Q16" s="1"/>
      <c r="R16" s="1">
        <v>939.76728572160141</v>
      </c>
      <c r="S16" s="10"/>
      <c r="T16" s="1">
        <v>-940</v>
      </c>
      <c r="U16" s="1"/>
      <c r="V16" s="1"/>
      <c r="W16" s="1"/>
      <c r="X16" s="1">
        <v>1226.0137919999991</v>
      </c>
      <c r="Y16" s="1">
        <v>500</v>
      </c>
      <c r="Z16" s="1"/>
      <c r="AA16" s="1">
        <f t="shared" si="6"/>
        <v>655.59559999999999</v>
      </c>
      <c r="AB16" s="5">
        <f t="shared" ref="AB16:AB24" si="16">11*AA16-Z16-Y16-X16-W16-V16-U16-T16-R16-Q16-P16-O16-F16</f>
        <v>1918.9821775999981</v>
      </c>
      <c r="AC16" s="5">
        <f>VLOOKUP(A16,[2]Sheet!$A:$AC,29,0)</f>
        <v>0</v>
      </c>
      <c r="AD16" s="5"/>
      <c r="AE16" s="5">
        <f>IF(($AE$1-AG16)*AA16&lt;0,0,($AE$1-AG16)*AA16)</f>
        <v>3164.6138175999986</v>
      </c>
      <c r="AF16" s="1">
        <f t="shared" si="7"/>
        <v>12.9</v>
      </c>
      <c r="AG16" s="1">
        <f t="shared" si="8"/>
        <v>8.0729178511875332</v>
      </c>
      <c r="AH16" s="1">
        <v>514.53160000000003</v>
      </c>
      <c r="AI16" s="1">
        <v>650.99779999999998</v>
      </c>
      <c r="AJ16" s="1">
        <v>665.4226000000001</v>
      </c>
      <c r="AK16" s="1">
        <v>618.9745999999999</v>
      </c>
      <c r="AL16" s="1">
        <v>533.11019999999996</v>
      </c>
      <c r="AM16" s="1">
        <v>718.05599999999993</v>
      </c>
      <c r="AN16" s="1">
        <v>883.88040000000001</v>
      </c>
      <c r="AO16" s="1">
        <v>762.78340000000003</v>
      </c>
      <c r="AP16" s="1">
        <v>722.84620000000007</v>
      </c>
      <c r="AQ16" s="1"/>
      <c r="AR16" s="1">
        <f t="shared" si="9"/>
        <v>3165</v>
      </c>
      <c r="AS16" s="1">
        <f t="shared" si="10"/>
        <v>0</v>
      </c>
      <c r="AT16" s="1">
        <f t="shared" si="11"/>
        <v>6726.1984000000002</v>
      </c>
      <c r="AU16" s="1">
        <f t="shared" si="15"/>
        <v>4.029828754189321</v>
      </c>
      <c r="AV16" s="1">
        <f t="shared" si="12"/>
        <v>0</v>
      </c>
      <c r="AW16" s="1"/>
      <c r="AX16" s="1"/>
      <c r="AY16" s="1"/>
      <c r="AZ16" s="1"/>
    </row>
    <row r="17" spans="1:52" x14ac:dyDescent="0.25">
      <c r="A17" s="1" t="s">
        <v>56</v>
      </c>
      <c r="B17" s="1" t="s">
        <v>42</v>
      </c>
      <c r="C17" s="1">
        <v>753.55399999999997</v>
      </c>
      <c r="D17" s="1">
        <v>82.524000000000001</v>
      </c>
      <c r="E17" s="1">
        <v>199.56299999999999</v>
      </c>
      <c r="F17" s="1">
        <v>553.99099999999999</v>
      </c>
      <c r="G17" s="7">
        <v>1</v>
      </c>
      <c r="H17" s="1">
        <v>60</v>
      </c>
      <c r="I17" s="1" t="s">
        <v>176</v>
      </c>
      <c r="J17" s="1"/>
      <c r="K17" s="1">
        <v>316</v>
      </c>
      <c r="L17" s="1">
        <f t="shared" si="3"/>
        <v>-116.43700000000001</v>
      </c>
      <c r="M17" s="1">
        <f t="shared" si="5"/>
        <v>199.56299999999999</v>
      </c>
      <c r="N17" s="1"/>
      <c r="O17" s="1"/>
      <c r="P17" s="1">
        <v>0</v>
      </c>
      <c r="Q17" s="1"/>
      <c r="R17" s="1"/>
      <c r="S17" s="10"/>
      <c r="T17" s="1"/>
      <c r="U17" s="1"/>
      <c r="V17" s="1"/>
      <c r="W17" s="1"/>
      <c r="X17" s="1">
        <v>32.171500000000037</v>
      </c>
      <c r="Y17" s="1"/>
      <c r="Z17" s="1"/>
      <c r="AA17" s="1">
        <f t="shared" si="6"/>
        <v>39.912599999999998</v>
      </c>
      <c r="AB17" s="5"/>
      <c r="AC17" s="5">
        <f>VLOOKUP(A17,[2]Sheet!$A:$AC,29,0)</f>
        <v>-127.16760000000004</v>
      </c>
      <c r="AD17" s="5">
        <f>VLOOKUP(A17,[3]TDSheet!$A$1:$N$65536,14,0)*(-1)</f>
        <v>-127.747</v>
      </c>
      <c r="AE17" s="5">
        <f t="shared" si="14"/>
        <v>0</v>
      </c>
      <c r="AF17" s="1">
        <f t="shared" si="7"/>
        <v>11.485483280968918</v>
      </c>
      <c r="AG17" s="1">
        <f t="shared" si="8"/>
        <v>14.6861517415553</v>
      </c>
      <c r="AH17" s="1">
        <v>46.755800000000001</v>
      </c>
      <c r="AI17" s="1">
        <v>52.686199999999999</v>
      </c>
      <c r="AJ17" s="1">
        <v>53.1126</v>
      </c>
      <c r="AK17" s="1">
        <v>49.364400000000003</v>
      </c>
      <c r="AL17" s="1">
        <v>53.144799999999996</v>
      </c>
      <c r="AM17" s="1">
        <v>67.895600000000002</v>
      </c>
      <c r="AN17" s="1">
        <v>65.342600000000004</v>
      </c>
      <c r="AO17" s="1">
        <v>56.481399999999987</v>
      </c>
      <c r="AP17" s="1">
        <v>55.717200000000012</v>
      </c>
      <c r="AQ17" s="1"/>
      <c r="AR17" s="1">
        <f t="shared" si="9"/>
        <v>0</v>
      </c>
      <c r="AS17" s="1">
        <f t="shared" si="10"/>
        <v>127.16760000000004</v>
      </c>
      <c r="AT17" s="1">
        <f t="shared" si="11"/>
        <v>540.41319999999996</v>
      </c>
      <c r="AU17" s="1"/>
      <c r="AV17" s="1">
        <f t="shared" si="12"/>
        <v>127.747</v>
      </c>
      <c r="AW17" s="1"/>
      <c r="AX17" s="1"/>
      <c r="AY17" s="1"/>
      <c r="AZ17" s="1"/>
    </row>
    <row r="18" spans="1:52" x14ac:dyDescent="0.25">
      <c r="A18" s="1" t="s">
        <v>57</v>
      </c>
      <c r="B18" s="1" t="s">
        <v>42</v>
      </c>
      <c r="C18" s="1">
        <v>10.029999999999999</v>
      </c>
      <c r="D18" s="1">
        <v>1.079</v>
      </c>
      <c r="E18" s="1">
        <v>2.8570000000000002</v>
      </c>
      <c r="F18" s="1">
        <v>7.173</v>
      </c>
      <c r="G18" s="7">
        <v>1</v>
      </c>
      <c r="H18" s="1">
        <v>180</v>
      </c>
      <c r="I18" s="1" t="s">
        <v>176</v>
      </c>
      <c r="J18" s="1"/>
      <c r="K18" s="1">
        <v>7.15</v>
      </c>
      <c r="L18" s="1">
        <f t="shared" si="3"/>
        <v>-4.2930000000000001</v>
      </c>
      <c r="M18" s="1">
        <f t="shared" si="5"/>
        <v>2.8570000000000002</v>
      </c>
      <c r="N18" s="1"/>
      <c r="O18" s="1"/>
      <c r="P18" s="1">
        <v>4</v>
      </c>
      <c r="Q18" s="1"/>
      <c r="R18" s="1"/>
      <c r="S18" s="10"/>
      <c r="T18" s="1"/>
      <c r="U18" s="1"/>
      <c r="V18" s="1"/>
      <c r="W18" s="1"/>
      <c r="X18" s="1">
        <v>4</v>
      </c>
      <c r="Y18" s="1"/>
      <c r="Z18" s="1"/>
      <c r="AA18" s="1">
        <f t="shared" si="6"/>
        <v>0.57140000000000002</v>
      </c>
      <c r="AB18" s="5"/>
      <c r="AC18" s="5">
        <f>VLOOKUP(A18,[2]Sheet!$A:$AC,29,0)</f>
        <v>0</v>
      </c>
      <c r="AD18" s="5"/>
      <c r="AE18" s="5">
        <f t="shared" si="14"/>
        <v>0</v>
      </c>
      <c r="AF18" s="1">
        <f t="shared" si="7"/>
        <v>26.554077703885195</v>
      </c>
      <c r="AG18" s="1">
        <f t="shared" si="8"/>
        <v>26.554077703885195</v>
      </c>
      <c r="AH18" s="1">
        <v>0.63460000000000005</v>
      </c>
      <c r="AI18" s="1">
        <v>1.0533999999999999</v>
      </c>
      <c r="AJ18" s="1">
        <v>1.054</v>
      </c>
      <c r="AK18" s="1">
        <v>0.2838</v>
      </c>
      <c r="AL18" s="1">
        <v>6.9999999999999993E-2</v>
      </c>
      <c r="AM18" s="1">
        <v>0.49559999999999998</v>
      </c>
      <c r="AN18" s="1">
        <v>0.99740000000000006</v>
      </c>
      <c r="AO18" s="1">
        <v>1.117</v>
      </c>
      <c r="AP18" s="1">
        <v>0.61639999999999995</v>
      </c>
      <c r="AQ18" s="14" t="s">
        <v>74</v>
      </c>
      <c r="AR18" s="1">
        <f t="shared" si="9"/>
        <v>0</v>
      </c>
      <c r="AS18" s="1">
        <f t="shared" si="10"/>
        <v>0</v>
      </c>
      <c r="AT18" s="1">
        <f t="shared" si="11"/>
        <v>6.8935999999999993</v>
      </c>
      <c r="AU18" s="1"/>
      <c r="AV18" s="1">
        <f t="shared" si="12"/>
        <v>0</v>
      </c>
      <c r="AW18" s="1"/>
      <c r="AX18" s="1"/>
      <c r="AY18" s="1"/>
      <c r="AZ18" s="1"/>
    </row>
    <row r="19" spans="1:52" x14ac:dyDescent="0.25">
      <c r="A19" s="1" t="s">
        <v>58</v>
      </c>
      <c r="B19" s="1" t="s">
        <v>42</v>
      </c>
      <c r="C19" s="1">
        <v>5553.3379999999997</v>
      </c>
      <c r="D19" s="1">
        <v>4176.2929999999997</v>
      </c>
      <c r="E19" s="1">
        <v>3377.8159999999998</v>
      </c>
      <c r="F19" s="1">
        <v>5909.8869999999997</v>
      </c>
      <c r="G19" s="7">
        <v>1</v>
      </c>
      <c r="H19" s="1">
        <v>60</v>
      </c>
      <c r="I19" s="1" t="s">
        <v>189</v>
      </c>
      <c r="J19" s="1"/>
      <c r="K19" s="1">
        <v>4962.05</v>
      </c>
      <c r="L19" s="1">
        <f t="shared" si="3"/>
        <v>-1584.2340000000004</v>
      </c>
      <c r="M19" s="1">
        <f t="shared" si="5"/>
        <v>3377.8159999999998</v>
      </c>
      <c r="N19" s="1"/>
      <c r="O19" s="1"/>
      <c r="P19" s="1">
        <v>493.59247989370459</v>
      </c>
      <c r="Q19" s="1"/>
      <c r="R19" s="1">
        <v>501.55364892424819</v>
      </c>
      <c r="S19" s="1">
        <f>VLOOKUP(A19,[1]TDSheet!$A:$B,2,0)</f>
        <v>511.54</v>
      </c>
      <c r="T19" s="1"/>
      <c r="U19" s="1"/>
      <c r="V19" s="1"/>
      <c r="W19" s="1"/>
      <c r="X19" s="1">
        <v>1064.1240119999991</v>
      </c>
      <c r="Y19" s="1">
        <v>900</v>
      </c>
      <c r="Z19" s="1">
        <v>500</v>
      </c>
      <c r="AA19" s="1">
        <f t="shared" si="6"/>
        <v>675.56319999999994</v>
      </c>
      <c r="AB19" s="5"/>
      <c r="AC19" s="5">
        <f>VLOOKUP(A19,[2]Sheet!$A:$AC,29,0)</f>
        <v>-2200</v>
      </c>
      <c r="AD19" s="5">
        <f>VLOOKUP(A19,[3]TDSheet!$A$1:$N$65536,14,0)*(-1)</f>
        <v>-2199.17</v>
      </c>
      <c r="AE19" s="5">
        <v>1400</v>
      </c>
      <c r="AF19" s="1">
        <f t="shared" si="7"/>
        <v>12.685692679556778</v>
      </c>
      <c r="AG19" s="1">
        <f t="shared" si="8"/>
        <v>13.868661201228772</v>
      </c>
      <c r="AH19" s="1">
        <v>724.81880000000001</v>
      </c>
      <c r="AI19" s="1">
        <v>877.02520000000004</v>
      </c>
      <c r="AJ19" s="1">
        <v>881.83860000000004</v>
      </c>
      <c r="AK19" s="1">
        <v>955.75059999999996</v>
      </c>
      <c r="AL19" s="1">
        <v>939.14380000000006</v>
      </c>
      <c r="AM19" s="1">
        <v>972.13600000000008</v>
      </c>
      <c r="AN19" s="1">
        <v>972.09439999999995</v>
      </c>
      <c r="AO19" s="1">
        <v>939.87340000000006</v>
      </c>
      <c r="AP19" s="1">
        <v>926.64840000000004</v>
      </c>
      <c r="AQ19" s="1"/>
      <c r="AR19" s="1">
        <f t="shared" si="9"/>
        <v>1400</v>
      </c>
      <c r="AS19" s="1">
        <f t="shared" si="10"/>
        <v>2200</v>
      </c>
      <c r="AT19" s="1">
        <f t="shared" si="11"/>
        <v>8864.8924000000006</v>
      </c>
      <c r="AU19" s="1">
        <f>(F19+S19+U19+O19)/AA19</f>
        <v>9.505294249301917</v>
      </c>
      <c r="AV19" s="1">
        <f t="shared" si="12"/>
        <v>2199.17</v>
      </c>
      <c r="AW19" s="1"/>
      <c r="AX19" s="1"/>
      <c r="AY19" s="1"/>
      <c r="AZ19" s="1"/>
    </row>
    <row r="20" spans="1:52" x14ac:dyDescent="0.25">
      <c r="A20" s="1" t="s">
        <v>59</v>
      </c>
      <c r="B20" s="1" t="s">
        <v>42</v>
      </c>
      <c r="C20" s="1">
        <v>855.07399999999996</v>
      </c>
      <c r="D20" s="1">
        <v>580.279</v>
      </c>
      <c r="E20" s="1">
        <v>413.90300000000002</v>
      </c>
      <c r="F20" s="1">
        <v>941.71699999999998</v>
      </c>
      <c r="G20" s="7">
        <v>1</v>
      </c>
      <c r="H20" s="1">
        <v>70</v>
      </c>
      <c r="I20" s="1" t="s">
        <v>176</v>
      </c>
      <c r="J20" s="1"/>
      <c r="K20" s="1">
        <v>596.9</v>
      </c>
      <c r="L20" s="1">
        <f t="shared" si="3"/>
        <v>-182.99699999999996</v>
      </c>
      <c r="M20" s="1">
        <f t="shared" si="5"/>
        <v>413.90300000000002</v>
      </c>
      <c r="N20" s="1"/>
      <c r="O20" s="1"/>
      <c r="P20" s="1">
        <v>0</v>
      </c>
      <c r="Q20" s="1"/>
      <c r="R20" s="1"/>
      <c r="S20" s="10"/>
      <c r="T20" s="1"/>
      <c r="U20" s="1"/>
      <c r="V20" s="1"/>
      <c r="W20" s="1"/>
      <c r="X20" s="1">
        <v>0</v>
      </c>
      <c r="Y20" s="1"/>
      <c r="Z20" s="1"/>
      <c r="AA20" s="1">
        <f t="shared" si="6"/>
        <v>82.780600000000007</v>
      </c>
      <c r="AB20" s="5"/>
      <c r="AC20" s="5">
        <f>VLOOKUP(A20,[2]Sheet!$A:$AC,29,0)</f>
        <v>0</v>
      </c>
      <c r="AD20" s="5"/>
      <c r="AE20" s="5">
        <f>IF(($AE$1-AG20)*AA20&lt;0,0,($AE$1-AG20)*AA20)</f>
        <v>126.15274000000016</v>
      </c>
      <c r="AF20" s="1">
        <f t="shared" si="7"/>
        <v>12.9</v>
      </c>
      <c r="AG20" s="1">
        <f t="shared" si="8"/>
        <v>11.37605912496406</v>
      </c>
      <c r="AH20" s="1">
        <v>84.445999999999998</v>
      </c>
      <c r="AI20" s="1">
        <v>87.766999999999996</v>
      </c>
      <c r="AJ20" s="1">
        <v>81.984399999999994</v>
      </c>
      <c r="AK20" s="1">
        <v>105.79219999999999</v>
      </c>
      <c r="AL20" s="1">
        <v>91.558999999999997</v>
      </c>
      <c r="AM20" s="1">
        <v>105.01179999999999</v>
      </c>
      <c r="AN20" s="1">
        <v>101.4824</v>
      </c>
      <c r="AO20" s="1">
        <v>87.5822</v>
      </c>
      <c r="AP20" s="1">
        <v>89.291799999999995</v>
      </c>
      <c r="AQ20" s="1"/>
      <c r="AR20" s="1">
        <f t="shared" si="9"/>
        <v>126</v>
      </c>
      <c r="AS20" s="1">
        <f t="shared" si="10"/>
        <v>0</v>
      </c>
      <c r="AT20" s="1">
        <f t="shared" si="11"/>
        <v>917.69740000000013</v>
      </c>
      <c r="AU20" s="1"/>
      <c r="AV20" s="1">
        <f t="shared" si="12"/>
        <v>0</v>
      </c>
      <c r="AW20" s="1"/>
      <c r="AX20" s="1"/>
      <c r="AY20" s="1"/>
      <c r="AZ20" s="1"/>
    </row>
    <row r="21" spans="1:52" x14ac:dyDescent="0.25">
      <c r="A21" s="1" t="s">
        <v>60</v>
      </c>
      <c r="B21" s="1" t="s">
        <v>42</v>
      </c>
      <c r="C21" s="1">
        <v>1798.404</v>
      </c>
      <c r="D21" s="1">
        <v>425.70299999999997</v>
      </c>
      <c r="E21" s="1">
        <v>952.52800000000002</v>
      </c>
      <c r="F21" s="1">
        <v>1155.0530000000001</v>
      </c>
      <c r="G21" s="7">
        <v>1</v>
      </c>
      <c r="H21" s="1">
        <v>70</v>
      </c>
      <c r="I21" s="1" t="s">
        <v>189</v>
      </c>
      <c r="J21" s="1"/>
      <c r="K21" s="1">
        <v>1274.277</v>
      </c>
      <c r="L21" s="1">
        <f t="shared" si="3"/>
        <v>-321.74900000000002</v>
      </c>
      <c r="M21" s="1">
        <f t="shared" si="5"/>
        <v>952.52800000000002</v>
      </c>
      <c r="N21" s="1"/>
      <c r="O21" s="1"/>
      <c r="P21" s="1">
        <v>259.85550588160021</v>
      </c>
      <c r="Q21" s="1"/>
      <c r="R21" s="1">
        <v>264.04672371840007</v>
      </c>
      <c r="S21" s="1">
        <f>VLOOKUP(A21,[1]TDSheet!$A:$B,2,0)</f>
        <v>264.286</v>
      </c>
      <c r="T21" s="1"/>
      <c r="U21" s="1"/>
      <c r="V21" s="1"/>
      <c r="W21" s="1"/>
      <c r="X21" s="1">
        <v>437.60030000000012</v>
      </c>
      <c r="Y21" s="1">
        <v>400</v>
      </c>
      <c r="Z21" s="1"/>
      <c r="AA21" s="1">
        <f t="shared" si="6"/>
        <v>190.50560000000002</v>
      </c>
      <c r="AB21" s="5"/>
      <c r="AC21" s="5">
        <f>VLOOKUP(A21,[2]Sheet!$A:$AC,29,0)</f>
        <v>0</v>
      </c>
      <c r="AD21" s="5"/>
      <c r="AE21" s="5">
        <f t="shared" ref="AE21:AE22" si="17">IF(($AE$1-AG21)*AA21&lt;0,0,($AE$1-AG21)*AA21)</f>
        <v>0</v>
      </c>
      <c r="AF21" s="1">
        <f t="shared" si="7"/>
        <v>13.209876925402721</v>
      </c>
      <c r="AG21" s="1">
        <f t="shared" si="8"/>
        <v>13.209876925402721</v>
      </c>
      <c r="AH21" s="1">
        <v>210.42779999999999</v>
      </c>
      <c r="AI21" s="1">
        <v>235.95099999999999</v>
      </c>
      <c r="AJ21" s="1">
        <v>225.54</v>
      </c>
      <c r="AK21" s="1">
        <v>220.38339999999999</v>
      </c>
      <c r="AL21" s="1">
        <v>213.50020000000001</v>
      </c>
      <c r="AM21" s="1">
        <v>289.41840000000002</v>
      </c>
      <c r="AN21" s="1">
        <v>307.0924</v>
      </c>
      <c r="AO21" s="1">
        <v>271.95859999999999</v>
      </c>
      <c r="AP21" s="1">
        <v>269.67360000000002</v>
      </c>
      <c r="AQ21" s="1"/>
      <c r="AR21" s="1">
        <f t="shared" si="9"/>
        <v>0</v>
      </c>
      <c r="AS21" s="1">
        <f t="shared" si="10"/>
        <v>0</v>
      </c>
      <c r="AT21" s="1">
        <f t="shared" si="11"/>
        <v>2434.451</v>
      </c>
      <c r="AU21" s="1">
        <f t="shared" ref="AU21:AU22" si="18">(F21+S21+U21+O21)/AA21</f>
        <v>7.4503794114188775</v>
      </c>
      <c r="AV21" s="1">
        <f t="shared" si="12"/>
        <v>0</v>
      </c>
      <c r="AW21" s="1"/>
      <c r="AX21" s="1"/>
      <c r="AY21" s="1"/>
      <c r="AZ21" s="1"/>
    </row>
    <row r="22" spans="1:52" x14ac:dyDescent="0.25">
      <c r="A22" s="1" t="s">
        <v>61</v>
      </c>
      <c r="B22" s="1" t="s">
        <v>42</v>
      </c>
      <c r="C22" s="1">
        <v>2302.8200000000002</v>
      </c>
      <c r="D22" s="1">
        <v>1944.8710000000001</v>
      </c>
      <c r="E22" s="1">
        <v>1660.1980000000001</v>
      </c>
      <c r="F22" s="1">
        <v>2398.0520000000001</v>
      </c>
      <c r="G22" s="7">
        <v>1</v>
      </c>
      <c r="H22" s="1">
        <v>70</v>
      </c>
      <c r="I22" s="1" t="s">
        <v>189</v>
      </c>
      <c r="J22" s="1"/>
      <c r="K22" s="1">
        <v>2313.366</v>
      </c>
      <c r="L22" s="1">
        <f t="shared" si="3"/>
        <v>-653.16799999999989</v>
      </c>
      <c r="M22" s="1">
        <f t="shared" si="5"/>
        <v>1660.1980000000001</v>
      </c>
      <c r="N22" s="1"/>
      <c r="O22" s="1"/>
      <c r="P22" s="1">
        <v>434.92934343984001</v>
      </c>
      <c r="Q22" s="1"/>
      <c r="R22" s="1">
        <v>441.94433285015998</v>
      </c>
      <c r="S22" s="1">
        <f>VLOOKUP(A22,[1]TDSheet!$A:$B,2,0)</f>
        <v>443.16</v>
      </c>
      <c r="T22" s="1"/>
      <c r="U22" s="1"/>
      <c r="V22" s="1"/>
      <c r="W22" s="1"/>
      <c r="X22" s="1">
        <v>705.53755199999955</v>
      </c>
      <c r="Y22" s="1">
        <v>400</v>
      </c>
      <c r="Z22" s="1">
        <v>230</v>
      </c>
      <c r="AA22" s="1">
        <f t="shared" si="6"/>
        <v>332.03960000000001</v>
      </c>
      <c r="AB22" s="5"/>
      <c r="AC22" s="5">
        <f>VLOOKUP(A22,[2]Sheet!$A:$AC,29,0)</f>
        <v>-300</v>
      </c>
      <c r="AD22" s="5">
        <f>VLOOKUP(A22,[3]TDSheet!$A$1:$N$65536,14,0)*(-1)</f>
        <v>-300.209</v>
      </c>
      <c r="AE22" s="5">
        <v>80</v>
      </c>
      <c r="AF22" s="1">
        <f t="shared" si="7"/>
        <v>13.222080222630073</v>
      </c>
      <c r="AG22" s="1">
        <f t="shared" si="8"/>
        <v>13.885281238412526</v>
      </c>
      <c r="AH22" s="1">
        <v>377.9864</v>
      </c>
      <c r="AI22" s="1">
        <v>429.1764</v>
      </c>
      <c r="AJ22" s="1">
        <v>423.87560000000002</v>
      </c>
      <c r="AK22" s="1">
        <v>418.34640000000002</v>
      </c>
      <c r="AL22" s="1">
        <v>400.0342</v>
      </c>
      <c r="AM22" s="1">
        <v>384.5324</v>
      </c>
      <c r="AN22" s="1">
        <v>404.67020000000002</v>
      </c>
      <c r="AO22" s="1">
        <v>469.15940000000001</v>
      </c>
      <c r="AP22" s="1">
        <v>501.86099999999999</v>
      </c>
      <c r="AQ22" s="1"/>
      <c r="AR22" s="1">
        <f t="shared" si="9"/>
        <v>80</v>
      </c>
      <c r="AS22" s="1">
        <f t="shared" si="10"/>
        <v>300</v>
      </c>
      <c r="AT22" s="1">
        <f t="shared" si="11"/>
        <v>4141.6815999999999</v>
      </c>
      <c r="AU22" s="1">
        <f t="shared" si="18"/>
        <v>8.5568468339318553</v>
      </c>
      <c r="AV22" s="1">
        <f t="shared" si="12"/>
        <v>300.209</v>
      </c>
      <c r="AW22" s="1"/>
      <c r="AX22" s="1"/>
      <c r="AY22" s="1"/>
      <c r="AZ22" s="1"/>
    </row>
    <row r="23" spans="1:52" x14ac:dyDescent="0.25">
      <c r="A23" s="1" t="s">
        <v>62</v>
      </c>
      <c r="B23" s="1" t="s">
        <v>42</v>
      </c>
      <c r="C23" s="1">
        <v>78.712000000000003</v>
      </c>
      <c r="D23" s="1">
        <v>41.43</v>
      </c>
      <c r="E23" s="1">
        <v>23.24</v>
      </c>
      <c r="F23" s="1">
        <v>94.721999999999994</v>
      </c>
      <c r="G23" s="7">
        <v>1</v>
      </c>
      <c r="H23" s="1">
        <v>40</v>
      </c>
      <c r="I23" s="1" t="s">
        <v>176</v>
      </c>
      <c r="J23" s="1"/>
      <c r="K23" s="1">
        <v>58.9</v>
      </c>
      <c r="L23" s="1">
        <f t="shared" si="3"/>
        <v>-35.659999999999997</v>
      </c>
      <c r="M23" s="1">
        <f t="shared" si="5"/>
        <v>23.24</v>
      </c>
      <c r="N23" s="1"/>
      <c r="O23" s="1"/>
      <c r="P23" s="1">
        <v>0</v>
      </c>
      <c r="Q23" s="1"/>
      <c r="R23" s="1"/>
      <c r="S23" s="10"/>
      <c r="T23" s="1"/>
      <c r="U23" s="1"/>
      <c r="V23" s="1"/>
      <c r="W23" s="1"/>
      <c r="X23" s="1">
        <v>0</v>
      </c>
      <c r="Y23" s="1"/>
      <c r="Z23" s="1"/>
      <c r="AA23" s="1">
        <f t="shared" si="6"/>
        <v>4.6479999999999997</v>
      </c>
      <c r="AB23" s="5"/>
      <c r="AC23" s="5">
        <f>VLOOKUP(A23,[2]Sheet!$A:$AC,29,0)</f>
        <v>-41.269999999999989</v>
      </c>
      <c r="AD23" s="5">
        <f>VLOOKUP(A23,[3]TDSheet!$A$1:$N$65536,14,0)*(-1)</f>
        <v>-39.499000000000002</v>
      </c>
      <c r="AE23" s="5">
        <f t="shared" si="14"/>
        <v>0</v>
      </c>
      <c r="AF23" s="1">
        <f t="shared" si="7"/>
        <v>11.881024096385541</v>
      </c>
      <c r="AG23" s="1">
        <f t="shared" si="8"/>
        <v>20.379087779690188</v>
      </c>
      <c r="AH23" s="1">
        <v>5.9480000000000004</v>
      </c>
      <c r="AI23" s="1">
        <v>7.4024000000000001</v>
      </c>
      <c r="AJ23" s="1">
        <v>6.2479999999999993</v>
      </c>
      <c r="AK23" s="1">
        <v>11.03</v>
      </c>
      <c r="AL23" s="1">
        <v>9.5733999999999995</v>
      </c>
      <c r="AM23" s="1">
        <v>1.4523999999999999</v>
      </c>
      <c r="AN23" s="1">
        <v>1.8864000000000001</v>
      </c>
      <c r="AO23" s="1">
        <v>3.0478000000000001</v>
      </c>
      <c r="AP23" s="1">
        <v>2.6137999999999999</v>
      </c>
      <c r="AQ23" s="15" t="s">
        <v>94</v>
      </c>
      <c r="AR23" s="1">
        <f t="shared" si="9"/>
        <v>0</v>
      </c>
      <c r="AS23" s="1">
        <f t="shared" si="10"/>
        <v>41.269999999999989</v>
      </c>
      <c r="AT23" s="1">
        <f t="shared" si="11"/>
        <v>53.850200000000001</v>
      </c>
      <c r="AU23" s="1"/>
      <c r="AV23" s="1">
        <f t="shared" si="12"/>
        <v>39.499000000000002</v>
      </c>
      <c r="AW23" s="1"/>
      <c r="AX23" s="1"/>
      <c r="AY23" s="1"/>
      <c r="AZ23" s="1"/>
    </row>
    <row r="24" spans="1:52" x14ac:dyDescent="0.25">
      <c r="A24" s="1" t="s">
        <v>63</v>
      </c>
      <c r="B24" s="1" t="s">
        <v>42</v>
      </c>
      <c r="C24" s="1">
        <v>5190.2139999999999</v>
      </c>
      <c r="D24" s="1">
        <v>2699.3670000000002</v>
      </c>
      <c r="E24" s="1">
        <v>2202.2750000000001</v>
      </c>
      <c r="F24" s="1">
        <v>5247.3220000000001</v>
      </c>
      <c r="G24" s="7">
        <v>1</v>
      </c>
      <c r="H24" s="1">
        <v>30</v>
      </c>
      <c r="I24" s="1" t="s">
        <v>189</v>
      </c>
      <c r="J24" s="1"/>
      <c r="K24" s="1">
        <v>3175.962</v>
      </c>
      <c r="L24" s="1">
        <f t="shared" si="3"/>
        <v>-973.6869999999999</v>
      </c>
      <c r="M24" s="1">
        <f t="shared" si="5"/>
        <v>2202.2750000000001</v>
      </c>
      <c r="N24" s="1"/>
      <c r="O24" s="1">
        <v>-3500</v>
      </c>
      <c r="P24" s="1">
        <v>700</v>
      </c>
      <c r="Q24" s="1"/>
      <c r="R24" s="1">
        <v>700</v>
      </c>
      <c r="S24" s="10"/>
      <c r="T24" s="1">
        <v>-700</v>
      </c>
      <c r="U24" s="1"/>
      <c r="V24" s="1"/>
      <c r="W24" s="1">
        <v>-405.6</v>
      </c>
      <c r="X24" s="1">
        <v>400</v>
      </c>
      <c r="Y24" s="1">
        <v>300</v>
      </c>
      <c r="Z24" s="1"/>
      <c r="AA24" s="1">
        <f t="shared" si="6"/>
        <v>440.45500000000004</v>
      </c>
      <c r="AB24" s="5">
        <f t="shared" si="16"/>
        <v>2103.2830000000004</v>
      </c>
      <c r="AC24" s="5">
        <f>VLOOKUP(A24,[2]Sheet!$A:$AC,29,0)</f>
        <v>0</v>
      </c>
      <c r="AD24" s="5"/>
      <c r="AE24" s="5">
        <f>AB24</f>
        <v>2103.2830000000004</v>
      </c>
      <c r="AF24" s="1">
        <f t="shared" si="7"/>
        <v>11.000000000000002</v>
      </c>
      <c r="AG24" s="1">
        <f t="shared" si="8"/>
        <v>6.2247494068633573</v>
      </c>
      <c r="AH24" s="1">
        <v>413.21019999999999</v>
      </c>
      <c r="AI24" s="1">
        <v>344.91699999999997</v>
      </c>
      <c r="AJ24" s="1">
        <v>256.0514</v>
      </c>
      <c r="AK24" s="1">
        <v>349.7722</v>
      </c>
      <c r="AL24" s="1">
        <v>272.06720000000001</v>
      </c>
      <c r="AM24" s="1">
        <v>228.89760000000001</v>
      </c>
      <c r="AN24" s="1">
        <v>443.47500000000002</v>
      </c>
      <c r="AO24" s="1">
        <v>527.50740000000008</v>
      </c>
      <c r="AP24" s="1">
        <v>438.75599999999997</v>
      </c>
      <c r="AQ24" s="1" t="s">
        <v>64</v>
      </c>
      <c r="AR24" s="1">
        <f t="shared" si="9"/>
        <v>2103</v>
      </c>
      <c r="AS24" s="1">
        <f t="shared" si="10"/>
        <v>0</v>
      </c>
      <c r="AT24" s="1">
        <f t="shared" si="11"/>
        <v>3715.1089999999999</v>
      </c>
      <c r="AU24" s="1">
        <f>(F24+S24+U24+O24)/AA24</f>
        <v>3.9670840380969676</v>
      </c>
      <c r="AV24" s="1">
        <f t="shared" si="12"/>
        <v>0</v>
      </c>
      <c r="AW24" s="1"/>
      <c r="AX24" s="1"/>
      <c r="AY24" s="1"/>
      <c r="AZ24" s="1"/>
    </row>
    <row r="25" spans="1:52" x14ac:dyDescent="0.25">
      <c r="A25" s="10" t="s">
        <v>65</v>
      </c>
      <c r="B25" s="10" t="s">
        <v>42</v>
      </c>
      <c r="C25" s="10">
        <v>89.971000000000004</v>
      </c>
      <c r="D25" s="10">
        <v>38.767000000000003</v>
      </c>
      <c r="E25" s="10">
        <v>20.091000000000001</v>
      </c>
      <c r="F25" s="10">
        <v>108.64700000000001</v>
      </c>
      <c r="G25" s="11">
        <v>0</v>
      </c>
      <c r="H25" s="10">
        <v>40</v>
      </c>
      <c r="I25" s="10" t="s">
        <v>122</v>
      </c>
      <c r="J25" s="10"/>
      <c r="K25" s="10">
        <v>92.5</v>
      </c>
      <c r="L25" s="10">
        <f t="shared" si="3"/>
        <v>-72.408999999999992</v>
      </c>
      <c r="M25" s="10">
        <f t="shared" si="5"/>
        <v>20.091000000000001</v>
      </c>
      <c r="N25" s="10"/>
      <c r="O25" s="10"/>
      <c r="P25" s="10">
        <v>0</v>
      </c>
      <c r="Q25" s="10"/>
      <c r="R25" s="10"/>
      <c r="S25" s="10"/>
      <c r="T25" s="10"/>
      <c r="U25" s="10"/>
      <c r="V25" s="10"/>
      <c r="W25" s="10"/>
      <c r="X25" s="10">
        <v>0</v>
      </c>
      <c r="Y25" s="10"/>
      <c r="Z25" s="10"/>
      <c r="AA25" s="10">
        <f t="shared" si="6"/>
        <v>4.0182000000000002</v>
      </c>
      <c r="AB25" s="12"/>
      <c r="AC25" s="5">
        <f>VLOOKUP(A25,[2]Sheet!$A:$AC,29,0)</f>
        <v>-40</v>
      </c>
      <c r="AD25" s="5">
        <f>VLOOKUP(A25,[3]TDSheet!$A$1:$N$65536,14,0)*(-1)</f>
        <v>-40.264000000000003</v>
      </c>
      <c r="AE25" s="5">
        <f t="shared" si="14"/>
        <v>0</v>
      </c>
      <c r="AF25" s="1">
        <f t="shared" si="7"/>
        <v>17.018316659200639</v>
      </c>
      <c r="AG25" s="10">
        <f t="shared" si="8"/>
        <v>27.038723806679609</v>
      </c>
      <c r="AH25" s="10">
        <v>1.0573999999999999</v>
      </c>
      <c r="AI25" s="10">
        <v>8.8558000000000003</v>
      </c>
      <c r="AJ25" s="10">
        <v>9.4266000000000005</v>
      </c>
      <c r="AK25" s="10">
        <v>13.422000000000001</v>
      </c>
      <c r="AL25" s="10">
        <v>12.8826</v>
      </c>
      <c r="AM25" s="10">
        <v>1.8428</v>
      </c>
      <c r="AN25" s="10">
        <v>1.2907999999999999</v>
      </c>
      <c r="AO25" s="10">
        <v>8.7688000000000006</v>
      </c>
      <c r="AP25" s="10">
        <v>8.7688000000000006</v>
      </c>
      <c r="AQ25" s="15" t="s">
        <v>94</v>
      </c>
      <c r="AR25" s="1">
        <f t="shared" si="9"/>
        <v>0</v>
      </c>
      <c r="AS25" s="1">
        <f>-1*AC25</f>
        <v>40</v>
      </c>
      <c r="AT25" s="1">
        <f t="shared" si="11"/>
        <v>0</v>
      </c>
      <c r="AU25" s="1"/>
      <c r="AV25" s="1">
        <f t="shared" si="12"/>
        <v>0</v>
      </c>
      <c r="AW25" s="1"/>
      <c r="AX25" s="1"/>
      <c r="AY25" s="1"/>
      <c r="AZ25" s="1"/>
    </row>
    <row r="26" spans="1:52" x14ac:dyDescent="0.25">
      <c r="A26" s="1" t="s">
        <v>66</v>
      </c>
      <c r="B26" s="1" t="s">
        <v>42</v>
      </c>
      <c r="C26" s="1">
        <v>4127.884</v>
      </c>
      <c r="D26" s="1">
        <v>10801.566999999999</v>
      </c>
      <c r="E26" s="1">
        <v>6917.2039999999997</v>
      </c>
      <c r="F26" s="1">
        <v>6288.5929999999998</v>
      </c>
      <c r="G26" s="7">
        <v>1</v>
      </c>
      <c r="H26" s="1">
        <v>40</v>
      </c>
      <c r="I26" s="1" t="s">
        <v>189</v>
      </c>
      <c r="J26" s="1"/>
      <c r="K26" s="1">
        <v>8797.8269999999993</v>
      </c>
      <c r="L26" s="1">
        <f t="shared" si="3"/>
        <v>-1880.6229999999996</v>
      </c>
      <c r="M26" s="1">
        <f t="shared" si="5"/>
        <v>6358.0779999999995</v>
      </c>
      <c r="N26" s="1">
        <v>559.12599999999998</v>
      </c>
      <c r="O26" s="1"/>
      <c r="P26" s="1">
        <v>2697.241814681599</v>
      </c>
      <c r="Q26" s="1"/>
      <c r="R26" s="1">
        <v>2740.7457149184002</v>
      </c>
      <c r="S26" s="10"/>
      <c r="T26" s="1">
        <v>-2741</v>
      </c>
      <c r="U26" s="1"/>
      <c r="V26" s="1"/>
      <c r="W26" s="1">
        <v>-621</v>
      </c>
      <c r="X26" s="1">
        <v>613.95624799999973</v>
      </c>
      <c r="Y26" s="1">
        <v>500</v>
      </c>
      <c r="Z26" s="1"/>
      <c r="AA26" s="1">
        <f t="shared" si="6"/>
        <v>1271.6155999999999</v>
      </c>
      <c r="AB26" s="5">
        <f t="shared" ref="AB26:AB75" si="19">11*AA26-Z26-Y26-X26-W26-V26-U26-T26-R26-Q26-P26-O26-F26</f>
        <v>4509.2348223999988</v>
      </c>
      <c r="AC26" s="5">
        <f>VLOOKUP(A26,[2]Sheet!$A:$AC,29,0)</f>
        <v>0</v>
      </c>
      <c r="AD26" s="5"/>
      <c r="AE26" s="5">
        <f>AB26</f>
        <v>4509.2348223999988</v>
      </c>
      <c r="AF26" s="1">
        <f t="shared" si="7"/>
        <v>11.000000000000002</v>
      </c>
      <c r="AG26" s="1">
        <f t="shared" si="8"/>
        <v>7.4539324443644777</v>
      </c>
      <c r="AH26" s="1">
        <v>1208.7454</v>
      </c>
      <c r="AI26" s="1">
        <v>1373.8782000000001</v>
      </c>
      <c r="AJ26" s="1">
        <v>1608.1394</v>
      </c>
      <c r="AK26" s="1">
        <v>1503.0753999999999</v>
      </c>
      <c r="AL26" s="1">
        <v>1112.3946000000001</v>
      </c>
      <c r="AM26" s="1">
        <v>1252.3152</v>
      </c>
      <c r="AN26" s="1">
        <v>1806.3748000000001</v>
      </c>
      <c r="AO26" s="1">
        <v>1535.5788</v>
      </c>
      <c r="AP26" s="1">
        <v>1474.7154</v>
      </c>
      <c r="AQ26" s="1"/>
      <c r="AR26" s="1">
        <f t="shared" si="9"/>
        <v>4509</v>
      </c>
      <c r="AS26" s="1">
        <f t="shared" si="10"/>
        <v>0</v>
      </c>
      <c r="AT26" s="1">
        <f t="shared" si="11"/>
        <v>14146.832799999998</v>
      </c>
      <c r="AU26" s="1">
        <f t="shared" ref="AU26:AU27" si="20">(F26+S26+U26+O26)/AA26</f>
        <v>4.9453569144637743</v>
      </c>
      <c r="AV26" s="1">
        <f t="shared" si="12"/>
        <v>0</v>
      </c>
      <c r="AW26" s="1"/>
      <c r="AX26" s="1"/>
      <c r="AY26" s="1"/>
      <c r="AZ26" s="1"/>
    </row>
    <row r="27" spans="1:52" x14ac:dyDescent="0.25">
      <c r="A27" s="1" t="s">
        <v>67</v>
      </c>
      <c r="B27" s="1" t="s">
        <v>46</v>
      </c>
      <c r="C27" s="1">
        <v>4223</v>
      </c>
      <c r="D27" s="1">
        <v>4853</v>
      </c>
      <c r="E27" s="1">
        <v>2984</v>
      </c>
      <c r="F27" s="1">
        <v>5392</v>
      </c>
      <c r="G27" s="7">
        <v>0.4</v>
      </c>
      <c r="H27" s="1">
        <v>45</v>
      </c>
      <c r="I27" s="1" t="s">
        <v>189</v>
      </c>
      <c r="J27" s="1"/>
      <c r="K27" s="1">
        <v>4730</v>
      </c>
      <c r="L27" s="1">
        <f t="shared" si="3"/>
        <v>-1746</v>
      </c>
      <c r="M27" s="1">
        <f t="shared" si="5"/>
        <v>2924</v>
      </c>
      <c r="N27" s="1">
        <v>60</v>
      </c>
      <c r="O27" s="1"/>
      <c r="P27" s="1">
        <v>1015.896950679909</v>
      </c>
      <c r="Q27" s="1"/>
      <c r="R27" s="1">
        <v>1032.2823853682939</v>
      </c>
      <c r="S27" s="1">
        <f>VLOOKUP(A27,[1]TDSheet!$A:$B,2,0)</f>
        <v>1038</v>
      </c>
      <c r="T27" s="1"/>
      <c r="U27" s="1"/>
      <c r="V27" s="1"/>
      <c r="W27" s="1"/>
      <c r="X27" s="1">
        <v>824.21199999999953</v>
      </c>
      <c r="Y27" s="1"/>
      <c r="Z27" s="1">
        <v>500</v>
      </c>
      <c r="AA27" s="1">
        <f t="shared" si="6"/>
        <v>584.79999999999995</v>
      </c>
      <c r="AB27" s="5"/>
      <c r="AC27" s="5">
        <f>VLOOKUP(A27,[2]Sheet!$A:$AC,29,0)</f>
        <v>-2300</v>
      </c>
      <c r="AD27" s="5">
        <f>VLOOKUP(A27,[3]TDSheet!$A$1:$N$65536,14,0)*(-1)</f>
        <v>-924</v>
      </c>
      <c r="AE27" s="5">
        <f>IF(($AE$1-AG27)*AA27&lt;0,0,($AE$1-AG27)*AA27)</f>
        <v>0</v>
      </c>
      <c r="AF27" s="1">
        <f t="shared" si="7"/>
        <v>13.406961928946998</v>
      </c>
      <c r="AG27" s="1">
        <f t="shared" si="8"/>
        <v>14.98698928872812</v>
      </c>
      <c r="AH27" s="1">
        <v>637.6</v>
      </c>
      <c r="AI27" s="1">
        <v>816</v>
      </c>
      <c r="AJ27" s="1">
        <v>898.6</v>
      </c>
      <c r="AK27" s="1">
        <v>865</v>
      </c>
      <c r="AL27" s="1">
        <v>794.6</v>
      </c>
      <c r="AM27" s="1">
        <v>770.4</v>
      </c>
      <c r="AN27" s="1">
        <v>777.8</v>
      </c>
      <c r="AO27" s="1">
        <v>836.4</v>
      </c>
      <c r="AP27" s="1">
        <v>934.6</v>
      </c>
      <c r="AQ27" s="1"/>
      <c r="AR27" s="1">
        <f t="shared" si="9"/>
        <v>0</v>
      </c>
      <c r="AS27" s="1">
        <f t="shared" si="10"/>
        <v>920</v>
      </c>
      <c r="AT27" s="1">
        <f t="shared" si="11"/>
        <v>3166.3200000000006</v>
      </c>
      <c r="AU27" s="1">
        <f t="shared" si="20"/>
        <v>10.995212038303695</v>
      </c>
      <c r="AV27" s="1">
        <f t="shared" si="12"/>
        <v>369.6</v>
      </c>
      <c r="AW27" s="1"/>
      <c r="AX27" s="1"/>
      <c r="AY27" s="1"/>
      <c r="AZ27" s="1"/>
    </row>
    <row r="28" spans="1:52" x14ac:dyDescent="0.25">
      <c r="A28" s="1" t="s">
        <v>68</v>
      </c>
      <c r="B28" s="1" t="s">
        <v>46</v>
      </c>
      <c r="C28" s="1">
        <v>706.75</v>
      </c>
      <c r="D28" s="1">
        <v>2842.25</v>
      </c>
      <c r="E28" s="1">
        <v>591</v>
      </c>
      <c r="F28" s="1">
        <v>2854.75</v>
      </c>
      <c r="G28" s="7">
        <v>0.45</v>
      </c>
      <c r="H28" s="1">
        <v>50</v>
      </c>
      <c r="I28" s="21" t="s">
        <v>181</v>
      </c>
      <c r="J28" s="1"/>
      <c r="K28" s="1">
        <v>821</v>
      </c>
      <c r="L28" s="1">
        <f t="shared" si="3"/>
        <v>-230</v>
      </c>
      <c r="M28" s="1">
        <f t="shared" si="5"/>
        <v>591</v>
      </c>
      <c r="N28" s="1"/>
      <c r="O28" s="1"/>
      <c r="P28" s="1">
        <v>0</v>
      </c>
      <c r="Q28" s="1"/>
      <c r="R28" s="1"/>
      <c r="S28" s="10"/>
      <c r="T28" s="1"/>
      <c r="U28" s="1"/>
      <c r="V28" s="1"/>
      <c r="W28" s="1"/>
      <c r="X28" s="1">
        <v>0</v>
      </c>
      <c r="Y28" s="1"/>
      <c r="Z28" s="1"/>
      <c r="AA28" s="1">
        <f t="shared" si="6"/>
        <v>118.2</v>
      </c>
      <c r="AB28" s="5"/>
      <c r="AC28" s="5">
        <f>VLOOKUP(A28,[2]Sheet!$A:$AC,29,0)</f>
        <v>-1600</v>
      </c>
      <c r="AD28" s="5">
        <f>VLOOKUP(A28,[3]TDSheet!$A$1:$N$65536,14,0)*(-1)</f>
        <v>-720</v>
      </c>
      <c r="AE28" s="5">
        <f t="shared" si="14"/>
        <v>0</v>
      </c>
      <c r="AF28" s="1">
        <f t="shared" si="7"/>
        <v>18.060490693739425</v>
      </c>
      <c r="AG28" s="1">
        <f t="shared" si="8"/>
        <v>24.151861252115058</v>
      </c>
      <c r="AH28" s="1">
        <v>109.4</v>
      </c>
      <c r="AI28" s="1">
        <v>109.6</v>
      </c>
      <c r="AJ28" s="1">
        <v>174.8</v>
      </c>
      <c r="AK28" s="1">
        <v>277.8</v>
      </c>
      <c r="AL28" s="1">
        <v>284.8</v>
      </c>
      <c r="AM28" s="1">
        <v>208.4</v>
      </c>
      <c r="AN28" s="1">
        <v>87.4</v>
      </c>
      <c r="AO28" s="1">
        <v>111.2</v>
      </c>
      <c r="AP28" s="1">
        <v>94.2</v>
      </c>
      <c r="AQ28" s="22" t="s">
        <v>182</v>
      </c>
      <c r="AR28" s="1">
        <f t="shared" si="9"/>
        <v>0</v>
      </c>
      <c r="AS28" s="1">
        <f t="shared" si="10"/>
        <v>720</v>
      </c>
      <c r="AT28" s="1">
        <f t="shared" si="11"/>
        <v>709.11</v>
      </c>
      <c r="AU28" s="1"/>
      <c r="AV28" s="1">
        <f t="shared" si="12"/>
        <v>324</v>
      </c>
      <c r="AW28" s="1"/>
      <c r="AX28" s="1"/>
      <c r="AY28" s="1"/>
      <c r="AZ28" s="1"/>
    </row>
    <row r="29" spans="1:52" x14ac:dyDescent="0.25">
      <c r="A29" s="1" t="s">
        <v>69</v>
      </c>
      <c r="B29" s="1" t="s">
        <v>46</v>
      </c>
      <c r="C29" s="1">
        <v>688</v>
      </c>
      <c r="D29" s="1">
        <v>1767</v>
      </c>
      <c r="E29" s="1">
        <v>738</v>
      </c>
      <c r="F29" s="1">
        <v>1423</v>
      </c>
      <c r="G29" s="7">
        <v>0.4</v>
      </c>
      <c r="H29" s="1">
        <v>45</v>
      </c>
      <c r="I29" s="1" t="s">
        <v>176</v>
      </c>
      <c r="J29" s="1"/>
      <c r="K29" s="1">
        <v>1414</v>
      </c>
      <c r="L29" s="1">
        <f t="shared" si="3"/>
        <v>-676</v>
      </c>
      <c r="M29" s="1">
        <f t="shared" si="5"/>
        <v>708</v>
      </c>
      <c r="N29" s="1">
        <v>30</v>
      </c>
      <c r="O29" s="1"/>
      <c r="P29" s="1">
        <v>286.83060425766388</v>
      </c>
      <c r="Q29" s="1"/>
      <c r="R29" s="1">
        <v>291.45690432633592</v>
      </c>
      <c r="S29" s="1">
        <f>VLOOKUP(A29,[1]TDSheet!$A:$B,2,0)</f>
        <v>294</v>
      </c>
      <c r="T29" s="1"/>
      <c r="U29" s="1"/>
      <c r="V29" s="1"/>
      <c r="W29" s="1"/>
      <c r="X29" s="1">
        <v>166.15400000000031</v>
      </c>
      <c r="Y29" s="1"/>
      <c r="Z29" s="1"/>
      <c r="AA29" s="1">
        <f t="shared" si="6"/>
        <v>141.6</v>
      </c>
      <c r="AB29" s="5"/>
      <c r="AC29" s="5">
        <f>VLOOKUP(A29,[2]Sheet!$A:$AC,29,0)</f>
        <v>-700</v>
      </c>
      <c r="AD29" s="5">
        <f>VLOOKUP(A29,[3]TDSheet!$A$1:$N$65536,14,0)*(-1)</f>
        <v>-282</v>
      </c>
      <c r="AE29" s="5">
        <f t="shared" si="14"/>
        <v>0</v>
      </c>
      <c r="AF29" s="1">
        <f t="shared" si="7"/>
        <v>13.315264891129944</v>
      </c>
      <c r="AG29" s="1">
        <f t="shared" si="8"/>
        <v>15.306790314858759</v>
      </c>
      <c r="AH29" s="1">
        <v>149</v>
      </c>
      <c r="AI29" s="1">
        <v>204.2</v>
      </c>
      <c r="AJ29" s="1">
        <v>235.2</v>
      </c>
      <c r="AK29" s="1">
        <v>211</v>
      </c>
      <c r="AL29" s="1">
        <v>165</v>
      </c>
      <c r="AM29" s="1">
        <v>174</v>
      </c>
      <c r="AN29" s="1">
        <v>215.2</v>
      </c>
      <c r="AO29" s="1">
        <v>201.2</v>
      </c>
      <c r="AP29" s="1">
        <v>198.2</v>
      </c>
      <c r="AQ29" s="1"/>
      <c r="AR29" s="1">
        <f t="shared" si="9"/>
        <v>0</v>
      </c>
      <c r="AS29" s="1">
        <f t="shared" si="10"/>
        <v>280</v>
      </c>
      <c r="AT29" s="1">
        <f t="shared" si="11"/>
        <v>757.84</v>
      </c>
      <c r="AU29" s="1"/>
      <c r="AV29" s="1">
        <f t="shared" si="12"/>
        <v>112.80000000000001</v>
      </c>
      <c r="AW29" s="1"/>
      <c r="AX29" s="1"/>
      <c r="AY29" s="1"/>
      <c r="AZ29" s="1"/>
    </row>
    <row r="30" spans="1:52" x14ac:dyDescent="0.25">
      <c r="A30" s="1" t="s">
        <v>70</v>
      </c>
      <c r="B30" s="1" t="s">
        <v>46</v>
      </c>
      <c r="C30" s="1">
        <v>1140</v>
      </c>
      <c r="D30" s="1">
        <v>214</v>
      </c>
      <c r="E30" s="1">
        <v>422</v>
      </c>
      <c r="F30" s="1">
        <v>717</v>
      </c>
      <c r="G30" s="7">
        <v>0.4</v>
      </c>
      <c r="H30" s="1">
        <v>40</v>
      </c>
      <c r="I30" s="1" t="s">
        <v>176</v>
      </c>
      <c r="J30" s="1"/>
      <c r="K30" s="1">
        <v>706</v>
      </c>
      <c r="L30" s="1">
        <f t="shared" si="3"/>
        <v>-284</v>
      </c>
      <c r="M30" s="1">
        <f t="shared" si="5"/>
        <v>392</v>
      </c>
      <c r="N30" s="1">
        <v>30</v>
      </c>
      <c r="O30" s="1"/>
      <c r="P30" s="1">
        <v>0</v>
      </c>
      <c r="Q30" s="1"/>
      <c r="R30" s="1"/>
      <c r="S30" s="10"/>
      <c r="T30" s="1"/>
      <c r="U30" s="1"/>
      <c r="V30" s="1"/>
      <c r="W30" s="1">
        <v>-522</v>
      </c>
      <c r="X30" s="1">
        <v>517.19000000000005</v>
      </c>
      <c r="Y30" s="1"/>
      <c r="Z30" s="1"/>
      <c r="AA30" s="1">
        <f t="shared" si="6"/>
        <v>78.400000000000006</v>
      </c>
      <c r="AB30" s="5">
        <f t="shared" si="19"/>
        <v>150.21000000000004</v>
      </c>
      <c r="AC30" s="5">
        <f>VLOOKUP(A30,[2]Sheet!$A:$AC,29,0)</f>
        <v>0</v>
      </c>
      <c r="AD30" s="5"/>
      <c r="AE30" s="5">
        <f>AB30</f>
        <v>150.21000000000004</v>
      </c>
      <c r="AF30" s="1">
        <f t="shared" si="7"/>
        <v>11</v>
      </c>
      <c r="AG30" s="1">
        <f t="shared" si="8"/>
        <v>9.0840561224489793</v>
      </c>
      <c r="AH30" s="1">
        <v>89</v>
      </c>
      <c r="AI30" s="1">
        <v>117.4</v>
      </c>
      <c r="AJ30" s="1">
        <v>80.400000000000006</v>
      </c>
      <c r="AK30" s="1">
        <v>83.2</v>
      </c>
      <c r="AL30" s="1">
        <v>136</v>
      </c>
      <c r="AM30" s="1">
        <v>101.6</v>
      </c>
      <c r="AN30" s="1">
        <v>63.2</v>
      </c>
      <c r="AO30" s="1">
        <v>73.2</v>
      </c>
      <c r="AP30" s="1">
        <v>81.8</v>
      </c>
      <c r="AQ30" s="1"/>
      <c r="AR30" s="1">
        <f t="shared" si="9"/>
        <v>60</v>
      </c>
      <c r="AS30" s="1">
        <f t="shared" si="10"/>
        <v>0</v>
      </c>
      <c r="AT30" s="1">
        <f t="shared" si="11"/>
        <v>361.68</v>
      </c>
      <c r="AU30" s="1"/>
      <c r="AV30" s="1">
        <f t="shared" si="12"/>
        <v>0</v>
      </c>
      <c r="AW30" s="1"/>
      <c r="AX30" s="1"/>
      <c r="AY30" s="1"/>
      <c r="AZ30" s="1"/>
    </row>
    <row r="31" spans="1:52" x14ac:dyDescent="0.25">
      <c r="A31" s="1" t="s">
        <v>71</v>
      </c>
      <c r="B31" s="1" t="s">
        <v>46</v>
      </c>
      <c r="C31" s="1">
        <v>274</v>
      </c>
      <c r="D31" s="1">
        <v>192</v>
      </c>
      <c r="E31" s="1">
        <v>200</v>
      </c>
      <c r="F31" s="1">
        <v>250</v>
      </c>
      <c r="G31" s="7">
        <v>0.1</v>
      </c>
      <c r="H31" s="1">
        <v>731</v>
      </c>
      <c r="I31" s="1" t="s">
        <v>176</v>
      </c>
      <c r="J31" s="1"/>
      <c r="K31" s="1">
        <v>259</v>
      </c>
      <c r="L31" s="1">
        <f t="shared" si="3"/>
        <v>-59</v>
      </c>
      <c r="M31" s="1">
        <f t="shared" si="5"/>
        <v>200</v>
      </c>
      <c r="N31" s="1"/>
      <c r="O31" s="1"/>
      <c r="P31" s="1">
        <v>14</v>
      </c>
      <c r="Q31" s="1"/>
      <c r="R31" s="1"/>
      <c r="S31" s="10"/>
      <c r="T31" s="1"/>
      <c r="U31" s="1"/>
      <c r="V31" s="1"/>
      <c r="W31" s="1"/>
      <c r="X31" s="1">
        <v>236</v>
      </c>
      <c r="Y31" s="1"/>
      <c r="Z31" s="1"/>
      <c r="AA31" s="1">
        <f t="shared" si="6"/>
        <v>40</v>
      </c>
      <c r="AB31" s="5"/>
      <c r="AC31" s="5">
        <f>VLOOKUP(A31,[2]Sheet!$A:$AC,29,0)</f>
        <v>0</v>
      </c>
      <c r="AD31" s="5"/>
      <c r="AE31" s="5">
        <f t="shared" ref="AE31" si="21">IF(($AE$1-AG31)*AA31&lt;0,0,($AE$1-AG31)*AA31)</f>
        <v>16.000000000000014</v>
      </c>
      <c r="AF31" s="1">
        <f t="shared" si="7"/>
        <v>12.9</v>
      </c>
      <c r="AG31" s="1">
        <f t="shared" si="8"/>
        <v>12.5</v>
      </c>
      <c r="AH31" s="1">
        <v>46</v>
      </c>
      <c r="AI31" s="1">
        <v>46</v>
      </c>
      <c r="AJ31" s="1">
        <v>42</v>
      </c>
      <c r="AK31" s="1">
        <v>46</v>
      </c>
      <c r="AL31" s="1">
        <v>39</v>
      </c>
      <c r="AM31" s="1">
        <v>48.2</v>
      </c>
      <c r="AN31" s="1">
        <v>46.8</v>
      </c>
      <c r="AO31" s="1">
        <v>41.2</v>
      </c>
      <c r="AP31" s="1">
        <v>42.4</v>
      </c>
      <c r="AQ31" s="1"/>
      <c r="AR31" s="1">
        <f t="shared" si="9"/>
        <v>2</v>
      </c>
      <c r="AS31" s="1">
        <f t="shared" si="10"/>
        <v>0</v>
      </c>
      <c r="AT31" s="1">
        <f t="shared" si="11"/>
        <v>43.76</v>
      </c>
      <c r="AU31" s="1"/>
      <c r="AV31" s="1">
        <f t="shared" si="12"/>
        <v>0</v>
      </c>
      <c r="AW31" s="1"/>
      <c r="AX31" s="1"/>
      <c r="AY31" s="1"/>
      <c r="AZ31" s="1"/>
    </row>
    <row r="32" spans="1:52" x14ac:dyDescent="0.25">
      <c r="A32" s="1" t="s">
        <v>72</v>
      </c>
      <c r="B32" s="1" t="s">
        <v>46</v>
      </c>
      <c r="C32" s="1">
        <v>9</v>
      </c>
      <c r="D32" s="1">
        <v>191</v>
      </c>
      <c r="E32" s="1">
        <v>19</v>
      </c>
      <c r="F32" s="1">
        <v>175</v>
      </c>
      <c r="G32" s="7">
        <v>0.35</v>
      </c>
      <c r="H32" s="1">
        <v>40</v>
      </c>
      <c r="I32" s="1" t="s">
        <v>176</v>
      </c>
      <c r="J32" s="1"/>
      <c r="K32" s="1">
        <v>90</v>
      </c>
      <c r="L32" s="1">
        <f t="shared" si="3"/>
        <v>-71</v>
      </c>
      <c r="M32" s="1">
        <f t="shared" si="5"/>
        <v>19</v>
      </c>
      <c r="N32" s="1"/>
      <c r="O32" s="1"/>
      <c r="P32" s="1">
        <v>118</v>
      </c>
      <c r="Q32" s="1"/>
      <c r="R32" s="1"/>
      <c r="S32" s="10"/>
      <c r="T32" s="1"/>
      <c r="U32" s="1"/>
      <c r="V32" s="1"/>
      <c r="W32" s="1"/>
      <c r="X32" s="1">
        <v>0</v>
      </c>
      <c r="Y32" s="1"/>
      <c r="Z32" s="1"/>
      <c r="AA32" s="1">
        <f t="shared" si="6"/>
        <v>3.8</v>
      </c>
      <c r="AB32" s="5"/>
      <c r="AC32" s="5">
        <f>VLOOKUP(A32,[2]Sheet!$A:$AC,29,0)</f>
        <v>-150</v>
      </c>
      <c r="AD32" s="5"/>
      <c r="AE32" s="5">
        <f t="shared" si="14"/>
        <v>0</v>
      </c>
      <c r="AF32" s="1">
        <f t="shared" si="7"/>
        <v>77.10526315789474</v>
      </c>
      <c r="AG32" s="1">
        <f t="shared" si="8"/>
        <v>77.10526315789474</v>
      </c>
      <c r="AH32" s="1">
        <v>4.8</v>
      </c>
      <c r="AI32" s="1">
        <v>13</v>
      </c>
      <c r="AJ32" s="1">
        <v>28.4</v>
      </c>
      <c r="AK32" s="1">
        <v>24.2</v>
      </c>
      <c r="AL32" s="1">
        <v>16.399999999999999</v>
      </c>
      <c r="AM32" s="1">
        <v>18.399999999999999</v>
      </c>
      <c r="AN32" s="1">
        <v>15.6</v>
      </c>
      <c r="AO32" s="1">
        <v>17.2</v>
      </c>
      <c r="AP32" s="1">
        <v>15</v>
      </c>
      <c r="AQ32" s="1"/>
      <c r="AR32" s="1">
        <f t="shared" si="9"/>
        <v>0</v>
      </c>
      <c r="AS32" s="1">
        <f t="shared" si="10"/>
        <v>52.5</v>
      </c>
      <c r="AT32" s="1">
        <f t="shared" si="11"/>
        <v>54.88</v>
      </c>
      <c r="AU32" s="1"/>
      <c r="AV32" s="1">
        <f t="shared" si="12"/>
        <v>0</v>
      </c>
      <c r="AW32" s="1"/>
      <c r="AX32" s="1"/>
      <c r="AY32" s="1"/>
      <c r="AZ32" s="1"/>
    </row>
    <row r="33" spans="1:52" x14ac:dyDescent="0.25">
      <c r="A33" s="1" t="s">
        <v>73</v>
      </c>
      <c r="B33" s="1" t="s">
        <v>42</v>
      </c>
      <c r="C33" s="1">
        <v>23.462</v>
      </c>
      <c r="D33" s="1">
        <v>23.071999999999999</v>
      </c>
      <c r="E33" s="1">
        <v>16.497</v>
      </c>
      <c r="F33" s="1">
        <v>27.550999999999998</v>
      </c>
      <c r="G33" s="7">
        <v>1</v>
      </c>
      <c r="H33" s="1">
        <v>40</v>
      </c>
      <c r="I33" s="1" t="s">
        <v>176</v>
      </c>
      <c r="J33" s="1"/>
      <c r="K33" s="1">
        <v>21.6</v>
      </c>
      <c r="L33" s="1">
        <f t="shared" si="3"/>
        <v>-5.1030000000000015</v>
      </c>
      <c r="M33" s="1">
        <f t="shared" si="5"/>
        <v>16.497</v>
      </c>
      <c r="N33" s="1"/>
      <c r="O33" s="1"/>
      <c r="P33" s="1">
        <v>0</v>
      </c>
      <c r="Q33" s="1"/>
      <c r="R33" s="1"/>
      <c r="S33" s="10"/>
      <c r="T33" s="1"/>
      <c r="U33" s="1"/>
      <c r="V33" s="1"/>
      <c r="W33" s="1"/>
      <c r="X33" s="1">
        <v>0</v>
      </c>
      <c r="Y33" s="1"/>
      <c r="Z33" s="1"/>
      <c r="AA33" s="1">
        <f t="shared" si="6"/>
        <v>3.2993999999999999</v>
      </c>
      <c r="AB33" s="5">
        <f t="shared" si="19"/>
        <v>8.7423999999999999</v>
      </c>
      <c r="AC33" s="5">
        <f>VLOOKUP(A33,[2]Sheet!$A:$AC,29,0)</f>
        <v>0</v>
      </c>
      <c r="AD33" s="5"/>
      <c r="AE33" s="5">
        <f t="shared" ref="AE33:AE35" si="22">IF(($AE$1-AG33)*AA33&lt;0,0,($AE$1-AG33)*AA33)</f>
        <v>15.011260000000004</v>
      </c>
      <c r="AF33" s="1">
        <f t="shared" si="7"/>
        <v>12.9</v>
      </c>
      <c r="AG33" s="1">
        <f t="shared" si="8"/>
        <v>8.3503061162635621</v>
      </c>
      <c r="AH33" s="1">
        <v>1.956</v>
      </c>
      <c r="AI33" s="1">
        <v>1.4396</v>
      </c>
      <c r="AJ33" s="1">
        <v>2.4447999999999999</v>
      </c>
      <c r="AK33" s="1">
        <v>3.2065999999999999</v>
      </c>
      <c r="AL33" s="1">
        <v>2.0581999999999998</v>
      </c>
      <c r="AM33" s="1">
        <v>2.5327999999999999</v>
      </c>
      <c r="AN33" s="1">
        <v>3.35</v>
      </c>
      <c r="AO33" s="1">
        <v>4.3372000000000002</v>
      </c>
      <c r="AP33" s="1">
        <v>4.6543999999999999</v>
      </c>
      <c r="AQ33" s="1"/>
      <c r="AR33" s="1">
        <f t="shared" si="9"/>
        <v>15</v>
      </c>
      <c r="AS33" s="1">
        <f t="shared" si="10"/>
        <v>0</v>
      </c>
      <c r="AT33" s="1">
        <f t="shared" si="11"/>
        <v>29.279</v>
      </c>
      <c r="AU33" s="1"/>
      <c r="AV33" s="1">
        <f t="shared" si="12"/>
        <v>0</v>
      </c>
      <c r="AW33" s="1"/>
      <c r="AX33" s="1"/>
      <c r="AY33" s="1"/>
      <c r="AZ33" s="1"/>
    </row>
    <row r="34" spans="1:52" x14ac:dyDescent="0.25">
      <c r="A34" s="1" t="s">
        <v>75</v>
      </c>
      <c r="B34" s="1" t="s">
        <v>46</v>
      </c>
      <c r="C34" s="1">
        <v>1</v>
      </c>
      <c r="D34" s="1">
        <v>2</v>
      </c>
      <c r="E34" s="1">
        <v>-5</v>
      </c>
      <c r="F34" s="1">
        <v>-1</v>
      </c>
      <c r="G34" s="7">
        <v>0.4</v>
      </c>
      <c r="H34" s="1">
        <v>40</v>
      </c>
      <c r="I34" s="1" t="s">
        <v>176</v>
      </c>
      <c r="J34" s="1"/>
      <c r="K34" s="1">
        <v>289</v>
      </c>
      <c r="L34" s="1">
        <f t="shared" si="3"/>
        <v>-294</v>
      </c>
      <c r="M34" s="1">
        <f t="shared" si="5"/>
        <v>-5</v>
      </c>
      <c r="N34" s="1"/>
      <c r="O34" s="1"/>
      <c r="P34" s="1">
        <v>300</v>
      </c>
      <c r="Q34" s="1"/>
      <c r="R34" s="1"/>
      <c r="S34" s="10"/>
      <c r="T34" s="1"/>
      <c r="U34" s="1"/>
      <c r="V34" s="1"/>
      <c r="W34" s="1">
        <v>-204</v>
      </c>
      <c r="X34" s="1">
        <v>200</v>
      </c>
      <c r="Y34" s="1"/>
      <c r="Z34" s="1"/>
      <c r="AA34" s="1">
        <f t="shared" si="6"/>
        <v>-1</v>
      </c>
      <c r="AB34" s="5"/>
      <c r="AC34" s="5">
        <f>VLOOKUP(A34,[2]Sheet!$A:$AC,29,0)</f>
        <v>0</v>
      </c>
      <c r="AD34" s="5"/>
      <c r="AE34" s="5">
        <f t="shared" si="22"/>
        <v>0</v>
      </c>
      <c r="AF34" s="1">
        <f t="shared" si="7"/>
        <v>-295</v>
      </c>
      <c r="AG34" s="1">
        <f t="shared" si="8"/>
        <v>-295</v>
      </c>
      <c r="AH34" s="1">
        <v>-1.2</v>
      </c>
      <c r="AI34" s="1">
        <v>-1</v>
      </c>
      <c r="AJ34" s="1">
        <v>-1</v>
      </c>
      <c r="AK34" s="1">
        <v>12</v>
      </c>
      <c r="AL34" s="1">
        <v>65.400000000000006</v>
      </c>
      <c r="AM34" s="1">
        <v>80.2</v>
      </c>
      <c r="AN34" s="1">
        <v>44.4</v>
      </c>
      <c r="AO34" s="1">
        <v>31.2</v>
      </c>
      <c r="AP34" s="1">
        <v>40.4</v>
      </c>
      <c r="AQ34" s="1"/>
      <c r="AR34" s="1">
        <f t="shared" si="9"/>
        <v>0</v>
      </c>
      <c r="AS34" s="1">
        <f t="shared" si="10"/>
        <v>0</v>
      </c>
      <c r="AT34" s="1">
        <f t="shared" si="11"/>
        <v>107.76000000000002</v>
      </c>
      <c r="AU34" s="1"/>
      <c r="AV34" s="1">
        <f t="shared" si="12"/>
        <v>0</v>
      </c>
      <c r="AW34" s="1"/>
      <c r="AX34" s="1"/>
      <c r="AY34" s="1"/>
      <c r="AZ34" s="1"/>
    </row>
    <row r="35" spans="1:52" x14ac:dyDescent="0.25">
      <c r="A35" s="1" t="s">
        <v>76</v>
      </c>
      <c r="B35" s="1" t="s">
        <v>46</v>
      </c>
      <c r="C35" s="1">
        <v>225</v>
      </c>
      <c r="D35" s="1">
        <v>392</v>
      </c>
      <c r="E35" s="1">
        <v>204</v>
      </c>
      <c r="F35" s="1">
        <v>383</v>
      </c>
      <c r="G35" s="7">
        <v>0.4</v>
      </c>
      <c r="H35" s="1">
        <v>45</v>
      </c>
      <c r="I35" s="1" t="s">
        <v>176</v>
      </c>
      <c r="J35" s="1"/>
      <c r="K35" s="1">
        <v>348</v>
      </c>
      <c r="L35" s="1">
        <f t="shared" si="3"/>
        <v>-144</v>
      </c>
      <c r="M35" s="1">
        <f t="shared" si="5"/>
        <v>204</v>
      </c>
      <c r="N35" s="1"/>
      <c r="O35" s="1"/>
      <c r="P35" s="1">
        <v>0</v>
      </c>
      <c r="Q35" s="1"/>
      <c r="R35" s="1"/>
      <c r="S35" s="10"/>
      <c r="T35" s="1"/>
      <c r="U35" s="1"/>
      <c r="V35" s="1"/>
      <c r="W35" s="1">
        <v>-234</v>
      </c>
      <c r="X35" s="1">
        <v>232.7</v>
      </c>
      <c r="Y35" s="1"/>
      <c r="Z35" s="1"/>
      <c r="AA35" s="1">
        <f t="shared" si="6"/>
        <v>40.799999999999997</v>
      </c>
      <c r="AB35" s="5">
        <f t="shared" si="19"/>
        <v>67.099999999999966</v>
      </c>
      <c r="AC35" s="5">
        <f>VLOOKUP(A35,[2]Sheet!$A:$AC,29,0)</f>
        <v>0</v>
      </c>
      <c r="AD35" s="5"/>
      <c r="AE35" s="5">
        <f t="shared" si="22"/>
        <v>144.62</v>
      </c>
      <c r="AF35" s="1">
        <f t="shared" si="7"/>
        <v>12.899999999999999</v>
      </c>
      <c r="AG35" s="1">
        <f t="shared" si="8"/>
        <v>9.3553921568627452</v>
      </c>
      <c r="AH35" s="1">
        <v>47</v>
      </c>
      <c r="AI35" s="1">
        <v>52.2</v>
      </c>
      <c r="AJ35" s="1">
        <v>48.4</v>
      </c>
      <c r="AK35" s="1">
        <v>56.4</v>
      </c>
      <c r="AL35" s="1">
        <v>42</v>
      </c>
      <c r="AM35" s="1">
        <v>27.6</v>
      </c>
      <c r="AN35" s="1">
        <v>34.799999999999997</v>
      </c>
      <c r="AO35" s="1">
        <v>54.8</v>
      </c>
      <c r="AP35" s="1">
        <v>53.6</v>
      </c>
      <c r="AQ35" s="1"/>
      <c r="AR35" s="1">
        <f t="shared" si="9"/>
        <v>58</v>
      </c>
      <c r="AS35" s="1">
        <f t="shared" si="10"/>
        <v>0</v>
      </c>
      <c r="AT35" s="1">
        <f t="shared" si="11"/>
        <v>183.04</v>
      </c>
      <c r="AU35" s="1"/>
      <c r="AV35" s="1">
        <f t="shared" si="12"/>
        <v>0</v>
      </c>
      <c r="AW35" s="1"/>
      <c r="AX35" s="1"/>
      <c r="AY35" s="1"/>
      <c r="AZ35" s="1"/>
    </row>
    <row r="36" spans="1:52" x14ac:dyDescent="0.25">
      <c r="A36" s="1" t="s">
        <v>77</v>
      </c>
      <c r="B36" s="1" t="s">
        <v>42</v>
      </c>
      <c r="C36" s="1">
        <v>42.332000000000001</v>
      </c>
      <c r="D36" s="1">
        <v>2.5059999999999998</v>
      </c>
      <c r="E36" s="1">
        <v>19.556999999999999</v>
      </c>
      <c r="F36" s="1">
        <v>22.774999999999999</v>
      </c>
      <c r="G36" s="7">
        <v>1</v>
      </c>
      <c r="H36" s="1">
        <v>40</v>
      </c>
      <c r="I36" s="1" t="s">
        <v>176</v>
      </c>
      <c r="J36" s="1"/>
      <c r="K36" s="1">
        <v>28.6</v>
      </c>
      <c r="L36" s="1">
        <f t="shared" si="3"/>
        <v>-9.0430000000000028</v>
      </c>
      <c r="M36" s="1">
        <f t="shared" si="5"/>
        <v>19.556999999999999</v>
      </c>
      <c r="N36" s="1"/>
      <c r="O36" s="1"/>
      <c r="P36" s="1">
        <v>18.178999999999991</v>
      </c>
      <c r="Q36" s="1"/>
      <c r="R36" s="1"/>
      <c r="S36" s="10"/>
      <c r="T36" s="1"/>
      <c r="U36" s="1"/>
      <c r="V36" s="1"/>
      <c r="W36" s="1"/>
      <c r="X36" s="1">
        <v>13.53950000000002</v>
      </c>
      <c r="Y36" s="1"/>
      <c r="Z36" s="1"/>
      <c r="AA36" s="1">
        <f t="shared" si="6"/>
        <v>3.9113999999999995</v>
      </c>
      <c r="AB36" s="5"/>
      <c r="AC36" s="5">
        <f>VLOOKUP(A36,[2]Sheet!$A:$AC,29,0)</f>
        <v>0</v>
      </c>
      <c r="AD36" s="5"/>
      <c r="AE36" s="5">
        <f t="shared" si="14"/>
        <v>0</v>
      </c>
      <c r="AF36" s="1">
        <f t="shared" si="7"/>
        <v>13.931968093265843</v>
      </c>
      <c r="AG36" s="1">
        <f t="shared" si="8"/>
        <v>13.931968093265843</v>
      </c>
      <c r="AH36" s="1">
        <v>4.0561999999999996</v>
      </c>
      <c r="AI36" s="1">
        <v>5.2270000000000003</v>
      </c>
      <c r="AJ36" s="1">
        <v>5.5009999999999986</v>
      </c>
      <c r="AK36" s="1">
        <v>4.4914000000000014</v>
      </c>
      <c r="AL36" s="1">
        <v>6.1063999999999998</v>
      </c>
      <c r="AM36" s="1">
        <v>6.3879999999999999</v>
      </c>
      <c r="AN36" s="1">
        <v>3.4708000000000001</v>
      </c>
      <c r="AO36" s="1">
        <v>4.7606000000000002</v>
      </c>
      <c r="AP36" s="1">
        <v>6.7906000000000004</v>
      </c>
      <c r="AQ36" s="1"/>
      <c r="AR36" s="1">
        <f t="shared" si="9"/>
        <v>0</v>
      </c>
      <c r="AS36" s="1">
        <f t="shared" si="10"/>
        <v>0</v>
      </c>
      <c r="AT36" s="1">
        <f t="shared" si="11"/>
        <v>50.703399999999995</v>
      </c>
      <c r="AU36" s="1"/>
      <c r="AV36" s="1">
        <f t="shared" si="12"/>
        <v>0</v>
      </c>
      <c r="AW36" s="1"/>
      <c r="AX36" s="1"/>
      <c r="AY36" s="1"/>
      <c r="AZ36" s="1"/>
    </row>
    <row r="37" spans="1:52" x14ac:dyDescent="0.25">
      <c r="A37" s="1" t="s">
        <v>78</v>
      </c>
      <c r="B37" s="1" t="s">
        <v>46</v>
      </c>
      <c r="C37" s="1">
        <v>808</v>
      </c>
      <c r="D37" s="1">
        <v>67</v>
      </c>
      <c r="E37" s="1">
        <v>404</v>
      </c>
      <c r="F37" s="1">
        <v>399</v>
      </c>
      <c r="G37" s="7">
        <v>0.35</v>
      </c>
      <c r="H37" s="1">
        <v>40</v>
      </c>
      <c r="I37" s="21" t="s">
        <v>181</v>
      </c>
      <c r="J37" s="1"/>
      <c r="K37" s="1">
        <v>895</v>
      </c>
      <c r="L37" s="1">
        <f t="shared" si="3"/>
        <v>-491</v>
      </c>
      <c r="M37" s="1">
        <f t="shared" si="5"/>
        <v>404</v>
      </c>
      <c r="N37" s="1"/>
      <c r="O37" s="1"/>
      <c r="P37" s="1">
        <v>200</v>
      </c>
      <c r="Q37" s="1"/>
      <c r="R37" s="1"/>
      <c r="S37" s="10"/>
      <c r="T37" s="1"/>
      <c r="U37" s="1"/>
      <c r="V37" s="1"/>
      <c r="W37" s="1"/>
      <c r="X37" s="1">
        <v>490.5</v>
      </c>
      <c r="Y37" s="1"/>
      <c r="Z37" s="1"/>
      <c r="AA37" s="1">
        <f t="shared" si="6"/>
        <v>80.8</v>
      </c>
      <c r="AB37" s="5"/>
      <c r="AC37" s="5">
        <f>VLOOKUP(A37,[2]Sheet!$A:$AC,29,0)</f>
        <v>0</v>
      </c>
      <c r="AD37" s="5"/>
      <c r="AE37" s="5">
        <f t="shared" si="14"/>
        <v>0</v>
      </c>
      <c r="AF37" s="1">
        <f t="shared" si="7"/>
        <v>13.48391089108911</v>
      </c>
      <c r="AG37" s="1">
        <f t="shared" si="8"/>
        <v>13.48391089108911</v>
      </c>
      <c r="AH37" s="1">
        <v>89.4</v>
      </c>
      <c r="AI37" s="1">
        <v>110</v>
      </c>
      <c r="AJ37" s="1">
        <v>269.2</v>
      </c>
      <c r="AK37" s="1">
        <v>266.39999999999998</v>
      </c>
      <c r="AL37" s="1">
        <v>466.2</v>
      </c>
      <c r="AM37" s="1">
        <v>465.2</v>
      </c>
      <c r="AN37" s="1">
        <v>121.2</v>
      </c>
      <c r="AO37" s="1">
        <v>128.6</v>
      </c>
      <c r="AP37" s="1">
        <v>118</v>
      </c>
      <c r="AQ37" s="1" t="s">
        <v>79</v>
      </c>
      <c r="AR37" s="1">
        <f t="shared" si="9"/>
        <v>0</v>
      </c>
      <c r="AS37" s="1">
        <f t="shared" si="10"/>
        <v>0</v>
      </c>
      <c r="AT37" s="1">
        <f t="shared" si="11"/>
        <v>740.25</v>
      </c>
      <c r="AU37" s="1"/>
      <c r="AV37" s="1">
        <f t="shared" si="12"/>
        <v>0</v>
      </c>
      <c r="AW37" s="1"/>
      <c r="AX37" s="1"/>
      <c r="AY37" s="1"/>
      <c r="AZ37" s="1"/>
    </row>
    <row r="38" spans="1:52" x14ac:dyDescent="0.25">
      <c r="A38" s="1" t="s">
        <v>80</v>
      </c>
      <c r="B38" s="1" t="s">
        <v>46</v>
      </c>
      <c r="C38" s="1">
        <v>349</v>
      </c>
      <c r="D38" s="1">
        <v>67</v>
      </c>
      <c r="E38" s="1">
        <v>305</v>
      </c>
      <c r="F38" s="1">
        <v>41</v>
      </c>
      <c r="G38" s="7">
        <v>0.4</v>
      </c>
      <c r="H38" s="1">
        <v>40</v>
      </c>
      <c r="I38" s="1" t="s">
        <v>176</v>
      </c>
      <c r="J38" s="1"/>
      <c r="K38" s="1">
        <v>561</v>
      </c>
      <c r="L38" s="1">
        <f t="shared" ref="L38:L69" si="23">E38-K38</f>
        <v>-256</v>
      </c>
      <c r="M38" s="1">
        <f t="shared" si="5"/>
        <v>305</v>
      </c>
      <c r="N38" s="1"/>
      <c r="O38" s="1"/>
      <c r="P38" s="1">
        <v>251.6</v>
      </c>
      <c r="Q38" s="1"/>
      <c r="R38" s="1"/>
      <c r="S38" s="10"/>
      <c r="T38" s="1"/>
      <c r="U38" s="1"/>
      <c r="V38" s="1"/>
      <c r="W38" s="1"/>
      <c r="X38" s="1">
        <v>501.4</v>
      </c>
      <c r="Y38" s="1"/>
      <c r="Z38" s="1"/>
      <c r="AA38" s="1">
        <f t="shared" si="6"/>
        <v>61</v>
      </c>
      <c r="AB38" s="5"/>
      <c r="AC38" s="5">
        <f>VLOOKUP(A38,[2]Sheet!$A:$AC,29,0)</f>
        <v>0</v>
      </c>
      <c r="AD38" s="5"/>
      <c r="AE38" s="5">
        <f t="shared" si="14"/>
        <v>0</v>
      </c>
      <c r="AF38" s="1">
        <f t="shared" si="7"/>
        <v>13.016393442622951</v>
      </c>
      <c r="AG38" s="1">
        <f t="shared" si="8"/>
        <v>13.016393442622951</v>
      </c>
      <c r="AH38" s="1">
        <v>63.8</v>
      </c>
      <c r="AI38" s="1">
        <v>76</v>
      </c>
      <c r="AJ38" s="1">
        <v>54.6</v>
      </c>
      <c r="AK38" s="1">
        <v>57.4</v>
      </c>
      <c r="AL38" s="1">
        <v>95.4</v>
      </c>
      <c r="AM38" s="1">
        <v>87.2</v>
      </c>
      <c r="AN38" s="1">
        <v>75.599999999999994</v>
      </c>
      <c r="AO38" s="1">
        <v>88.2</v>
      </c>
      <c r="AP38" s="1">
        <v>91.4</v>
      </c>
      <c r="AQ38" s="1"/>
      <c r="AR38" s="1">
        <f t="shared" si="9"/>
        <v>0</v>
      </c>
      <c r="AS38" s="1">
        <f t="shared" si="10"/>
        <v>0</v>
      </c>
      <c r="AT38" s="1">
        <f t="shared" si="11"/>
        <v>300.24</v>
      </c>
      <c r="AU38" s="1"/>
      <c r="AV38" s="1">
        <f t="shared" si="12"/>
        <v>0</v>
      </c>
      <c r="AW38" s="1"/>
      <c r="AX38" s="1"/>
      <c r="AY38" s="1"/>
      <c r="AZ38" s="1"/>
    </row>
    <row r="39" spans="1:52" x14ac:dyDescent="0.25">
      <c r="A39" s="1" t="s">
        <v>81</v>
      </c>
      <c r="B39" s="1" t="s">
        <v>42</v>
      </c>
      <c r="C39" s="1">
        <v>212.47</v>
      </c>
      <c r="D39" s="1">
        <v>14.754</v>
      </c>
      <c r="E39" s="1">
        <v>79.418999999999997</v>
      </c>
      <c r="F39" s="1">
        <v>134.40100000000001</v>
      </c>
      <c r="G39" s="7">
        <v>1</v>
      </c>
      <c r="H39" s="1">
        <v>50</v>
      </c>
      <c r="I39" s="1" t="s">
        <v>176</v>
      </c>
      <c r="J39" s="1"/>
      <c r="K39" s="1">
        <v>144.69999999999999</v>
      </c>
      <c r="L39" s="1">
        <f t="shared" si="23"/>
        <v>-65.280999999999992</v>
      </c>
      <c r="M39" s="1">
        <f t="shared" si="5"/>
        <v>79.418999999999997</v>
      </c>
      <c r="N39" s="1"/>
      <c r="O39" s="1"/>
      <c r="P39" s="1">
        <v>16.167200000000008</v>
      </c>
      <c r="Q39" s="1"/>
      <c r="R39" s="1"/>
      <c r="S39" s="10"/>
      <c r="T39" s="1"/>
      <c r="U39" s="1"/>
      <c r="V39" s="1"/>
      <c r="W39" s="1"/>
      <c r="X39" s="1">
        <v>79.456299999999999</v>
      </c>
      <c r="Y39" s="1"/>
      <c r="Z39" s="1"/>
      <c r="AA39" s="1">
        <f t="shared" si="6"/>
        <v>15.883799999999999</v>
      </c>
      <c r="AB39" s="5"/>
      <c r="AC39" s="5">
        <f>VLOOKUP(A39,[2]Sheet!$A:$AC,29,0)</f>
        <v>-47.36080000000004</v>
      </c>
      <c r="AD39" s="5">
        <f>VLOOKUP(A39,[3]TDSheet!$A$1:$N$65536,14,0)*(-1)</f>
        <v>-53.676000000000002</v>
      </c>
      <c r="AE39" s="5">
        <f t="shared" si="14"/>
        <v>0</v>
      </c>
      <c r="AF39" s="1">
        <f t="shared" si="7"/>
        <v>11.102412520933278</v>
      </c>
      <c r="AG39" s="1">
        <f t="shared" si="8"/>
        <v>14.481704629874466</v>
      </c>
      <c r="AH39" s="1">
        <v>16.6876</v>
      </c>
      <c r="AI39" s="1">
        <v>20.451000000000001</v>
      </c>
      <c r="AJ39" s="1">
        <v>20.7852</v>
      </c>
      <c r="AK39" s="1">
        <v>18.385200000000001</v>
      </c>
      <c r="AL39" s="1">
        <v>26.343</v>
      </c>
      <c r="AM39" s="1">
        <v>19.9468</v>
      </c>
      <c r="AN39" s="1">
        <v>21.797999999999998</v>
      </c>
      <c r="AO39" s="1">
        <v>22.839600000000001</v>
      </c>
      <c r="AP39" s="1">
        <v>22.878599999999999</v>
      </c>
      <c r="AQ39" s="1"/>
      <c r="AR39" s="1">
        <f t="shared" si="9"/>
        <v>0</v>
      </c>
      <c r="AS39" s="1">
        <f t="shared" si="10"/>
        <v>47.36080000000004</v>
      </c>
      <c r="AT39" s="1">
        <f t="shared" si="11"/>
        <v>205.99880000000002</v>
      </c>
      <c r="AU39" s="1"/>
      <c r="AV39" s="1">
        <f t="shared" si="12"/>
        <v>53.676000000000002</v>
      </c>
      <c r="AW39" s="1"/>
      <c r="AX39" s="1"/>
      <c r="AY39" s="1"/>
      <c r="AZ39" s="1"/>
    </row>
    <row r="40" spans="1:52" x14ac:dyDescent="0.25">
      <c r="A40" s="1" t="s">
        <v>82</v>
      </c>
      <c r="B40" s="1" t="s">
        <v>42</v>
      </c>
      <c r="C40" s="1">
        <v>605.51300000000003</v>
      </c>
      <c r="D40" s="1">
        <v>98.021000000000001</v>
      </c>
      <c r="E40" s="1">
        <v>542.19500000000005</v>
      </c>
      <c r="F40" s="1">
        <v>116.514</v>
      </c>
      <c r="G40" s="7">
        <v>1</v>
      </c>
      <c r="H40" s="1">
        <v>50</v>
      </c>
      <c r="I40" s="1" t="s">
        <v>176</v>
      </c>
      <c r="J40" s="1"/>
      <c r="K40" s="1">
        <v>825.3</v>
      </c>
      <c r="L40" s="1">
        <f t="shared" si="23"/>
        <v>-283.1049999999999</v>
      </c>
      <c r="M40" s="1">
        <f t="shared" si="5"/>
        <v>488.35900000000004</v>
      </c>
      <c r="N40" s="1">
        <v>53.835999999999999</v>
      </c>
      <c r="O40" s="1"/>
      <c r="P40" s="1">
        <v>279.68899999999991</v>
      </c>
      <c r="Q40" s="1"/>
      <c r="R40" s="1"/>
      <c r="S40" s="10"/>
      <c r="T40" s="1"/>
      <c r="U40" s="14">
        <v>300</v>
      </c>
      <c r="V40" s="1">
        <v>100</v>
      </c>
      <c r="W40" s="1"/>
      <c r="X40" s="1">
        <v>192.2442999999999</v>
      </c>
      <c r="Y40" s="1"/>
      <c r="Z40" s="1"/>
      <c r="AA40" s="1">
        <f t="shared" si="6"/>
        <v>97.671800000000005</v>
      </c>
      <c r="AB40" s="5">
        <f t="shared" si="19"/>
        <v>85.942500000000408</v>
      </c>
      <c r="AC40" s="5">
        <f>VLOOKUP(A40,[2]Sheet!$A:$AC,29,0)</f>
        <v>0</v>
      </c>
      <c r="AD40" s="5"/>
      <c r="AE40" s="5">
        <f>IF(($AE$1-AG40)*AA40&lt;0,0,($AE$1-AG40)*AA40)</f>
        <v>271.51892000000026</v>
      </c>
      <c r="AF40" s="1">
        <f t="shared" si="7"/>
        <v>12.9</v>
      </c>
      <c r="AG40" s="1">
        <f t="shared" si="8"/>
        <v>10.12008891000268</v>
      </c>
      <c r="AH40" s="1">
        <v>62.823599999999999</v>
      </c>
      <c r="AI40" s="1">
        <v>78.122199999999992</v>
      </c>
      <c r="AJ40" s="1">
        <v>85.384200000000007</v>
      </c>
      <c r="AK40" s="1">
        <v>84.619600000000005</v>
      </c>
      <c r="AL40" s="1">
        <v>57.522199999999998</v>
      </c>
      <c r="AM40" s="1">
        <v>111.0634</v>
      </c>
      <c r="AN40" s="1">
        <v>151.00360000000001</v>
      </c>
      <c r="AO40" s="1">
        <v>105.7694</v>
      </c>
      <c r="AP40" s="1">
        <v>88.509799999999998</v>
      </c>
      <c r="AQ40" s="1"/>
      <c r="AR40" s="1">
        <f t="shared" si="9"/>
        <v>272</v>
      </c>
      <c r="AS40" s="1">
        <f t="shared" si="10"/>
        <v>0</v>
      </c>
      <c r="AT40" s="1">
        <f t="shared" si="11"/>
        <v>922.48979999999995</v>
      </c>
      <c r="AU40" s="1"/>
      <c r="AV40" s="1">
        <f t="shared" si="12"/>
        <v>0</v>
      </c>
      <c r="AW40" s="1"/>
      <c r="AX40" s="1"/>
      <c r="AY40" s="1"/>
      <c r="AZ40" s="1"/>
    </row>
    <row r="41" spans="1:52" x14ac:dyDescent="0.25">
      <c r="A41" s="1" t="s">
        <v>83</v>
      </c>
      <c r="B41" s="1" t="s">
        <v>46</v>
      </c>
      <c r="C41" s="1">
        <v>660</v>
      </c>
      <c r="D41" s="1">
        <v>371</v>
      </c>
      <c r="E41" s="1">
        <v>324</v>
      </c>
      <c r="F41" s="1">
        <v>604</v>
      </c>
      <c r="G41" s="7">
        <v>0.45</v>
      </c>
      <c r="H41" s="1">
        <v>50</v>
      </c>
      <c r="I41" s="1" t="s">
        <v>176</v>
      </c>
      <c r="J41" s="1"/>
      <c r="K41" s="1">
        <v>583</v>
      </c>
      <c r="L41" s="1">
        <f t="shared" si="23"/>
        <v>-259</v>
      </c>
      <c r="M41" s="1">
        <f t="shared" si="5"/>
        <v>324</v>
      </c>
      <c r="N41" s="1"/>
      <c r="O41" s="1"/>
      <c r="P41" s="1">
        <v>195.67769929999989</v>
      </c>
      <c r="Q41" s="1"/>
      <c r="R41" s="1"/>
      <c r="S41" s="10"/>
      <c r="T41" s="1"/>
      <c r="U41" s="1"/>
      <c r="V41" s="1"/>
      <c r="W41" s="1"/>
      <c r="X41" s="1">
        <v>306.2</v>
      </c>
      <c r="Y41" s="1"/>
      <c r="Z41" s="1"/>
      <c r="AA41" s="1">
        <f t="shared" si="6"/>
        <v>64.8</v>
      </c>
      <c r="AB41" s="5"/>
      <c r="AC41" s="5">
        <f>VLOOKUP(A41,[2]Sheet!$A:$AC,29,0)</f>
        <v>-400</v>
      </c>
      <c r="AD41" s="5">
        <f>VLOOKUP(A41,[3]TDSheet!$A$1:$N$65536,14,0)*(-1)</f>
        <v>-180</v>
      </c>
      <c r="AE41" s="5">
        <f t="shared" si="14"/>
        <v>0</v>
      </c>
      <c r="AF41" s="1">
        <f t="shared" si="7"/>
        <v>14.288236100308641</v>
      </c>
      <c r="AG41" s="1">
        <f t="shared" si="8"/>
        <v>17.066013878086419</v>
      </c>
      <c r="AH41" s="1">
        <v>74.2</v>
      </c>
      <c r="AI41" s="1">
        <v>96</v>
      </c>
      <c r="AJ41" s="1">
        <v>96.8</v>
      </c>
      <c r="AK41" s="1">
        <v>97.4</v>
      </c>
      <c r="AL41" s="1">
        <v>102</v>
      </c>
      <c r="AM41" s="1">
        <v>99.8</v>
      </c>
      <c r="AN41" s="1">
        <v>86.137</v>
      </c>
      <c r="AO41" s="1">
        <v>64.936999999999998</v>
      </c>
      <c r="AP41" s="1">
        <v>81.20320000000001</v>
      </c>
      <c r="AQ41" s="22" t="s">
        <v>74</v>
      </c>
      <c r="AR41" s="1">
        <f t="shared" si="9"/>
        <v>0</v>
      </c>
      <c r="AS41" s="1">
        <f t="shared" si="10"/>
        <v>180</v>
      </c>
      <c r="AT41" s="1">
        <f t="shared" si="11"/>
        <v>388.47474</v>
      </c>
      <c r="AU41" s="1"/>
      <c r="AV41" s="1">
        <f t="shared" si="12"/>
        <v>81</v>
      </c>
      <c r="AW41" s="1"/>
      <c r="AX41" s="1"/>
      <c r="AY41" s="1"/>
      <c r="AZ41" s="1"/>
    </row>
    <row r="42" spans="1:52" x14ac:dyDescent="0.25">
      <c r="A42" s="1" t="s">
        <v>84</v>
      </c>
      <c r="B42" s="1" t="s">
        <v>46</v>
      </c>
      <c r="C42" s="1">
        <v>579</v>
      </c>
      <c r="D42" s="1">
        <v>731</v>
      </c>
      <c r="E42" s="1">
        <v>446</v>
      </c>
      <c r="F42" s="1">
        <v>727</v>
      </c>
      <c r="G42" s="7">
        <v>0.45</v>
      </c>
      <c r="H42" s="1">
        <v>50</v>
      </c>
      <c r="I42" s="1" t="s">
        <v>176</v>
      </c>
      <c r="J42" s="1"/>
      <c r="K42" s="1">
        <v>851</v>
      </c>
      <c r="L42" s="1">
        <f t="shared" si="23"/>
        <v>-405</v>
      </c>
      <c r="M42" s="1">
        <f t="shared" si="5"/>
        <v>446</v>
      </c>
      <c r="N42" s="1"/>
      <c r="O42" s="1"/>
      <c r="P42" s="1">
        <v>194.65135311824011</v>
      </c>
      <c r="Q42" s="1"/>
      <c r="R42" s="1">
        <v>197.79089107176009</v>
      </c>
      <c r="S42" s="1">
        <f>VLOOKUP(A42,[1]TDSheet!$A:$B,2,0)</f>
        <v>200</v>
      </c>
      <c r="T42" s="1"/>
      <c r="U42" s="1"/>
      <c r="V42" s="1"/>
      <c r="W42" s="1"/>
      <c r="X42" s="1">
        <v>322.90999999999968</v>
      </c>
      <c r="Y42" s="1"/>
      <c r="Z42" s="1"/>
      <c r="AA42" s="1">
        <f t="shared" si="6"/>
        <v>89.2</v>
      </c>
      <c r="AB42" s="5"/>
      <c r="AC42" s="5">
        <f>VLOOKUP(A42,[2]Sheet!$A:$AC,29,0)</f>
        <v>-500</v>
      </c>
      <c r="AD42" s="5"/>
      <c r="AE42" s="5">
        <f t="shared" si="14"/>
        <v>0</v>
      </c>
      <c r="AF42" s="1">
        <f t="shared" si="7"/>
        <v>16.169868208408069</v>
      </c>
      <c r="AG42" s="1">
        <f t="shared" si="8"/>
        <v>16.169868208408069</v>
      </c>
      <c r="AH42" s="1">
        <v>95.2</v>
      </c>
      <c r="AI42" s="1">
        <v>128.6</v>
      </c>
      <c r="AJ42" s="1">
        <v>132</v>
      </c>
      <c r="AK42" s="1">
        <v>114.6</v>
      </c>
      <c r="AL42" s="1">
        <v>104.4</v>
      </c>
      <c r="AM42" s="1">
        <v>96.4</v>
      </c>
      <c r="AN42" s="1">
        <v>86</v>
      </c>
      <c r="AO42" s="1">
        <v>79.2</v>
      </c>
      <c r="AP42" s="1">
        <v>98.6</v>
      </c>
      <c r="AQ42" s="1"/>
      <c r="AR42" s="1">
        <f t="shared" si="9"/>
        <v>0</v>
      </c>
      <c r="AS42" s="1">
        <f t="shared" si="10"/>
        <v>225</v>
      </c>
      <c r="AT42" s="1">
        <f t="shared" si="11"/>
        <v>460.89000000000004</v>
      </c>
      <c r="AU42" s="1"/>
      <c r="AV42" s="1">
        <f t="shared" si="12"/>
        <v>0</v>
      </c>
      <c r="AW42" s="1"/>
      <c r="AX42" s="1"/>
      <c r="AY42" s="1"/>
      <c r="AZ42" s="1"/>
    </row>
    <row r="43" spans="1:52" x14ac:dyDescent="0.25">
      <c r="A43" s="1" t="s">
        <v>85</v>
      </c>
      <c r="B43" s="1" t="s">
        <v>46</v>
      </c>
      <c r="C43" s="1">
        <v>43</v>
      </c>
      <c r="D43" s="1">
        <v>3</v>
      </c>
      <c r="E43" s="1">
        <v>16</v>
      </c>
      <c r="F43" s="1">
        <v>19</v>
      </c>
      <c r="G43" s="7">
        <v>0.4</v>
      </c>
      <c r="H43" s="1">
        <v>40</v>
      </c>
      <c r="I43" s="1" t="s">
        <v>176</v>
      </c>
      <c r="J43" s="1"/>
      <c r="K43" s="1">
        <v>62</v>
      </c>
      <c r="L43" s="1">
        <f t="shared" si="23"/>
        <v>-46</v>
      </c>
      <c r="M43" s="1">
        <f t="shared" si="5"/>
        <v>16</v>
      </c>
      <c r="N43" s="1"/>
      <c r="O43" s="1"/>
      <c r="P43" s="1">
        <v>0</v>
      </c>
      <c r="Q43" s="1"/>
      <c r="R43" s="1"/>
      <c r="S43" s="10"/>
      <c r="T43" s="1"/>
      <c r="U43" s="1"/>
      <c r="V43" s="1"/>
      <c r="W43" s="1"/>
      <c r="X43" s="1">
        <v>18.5</v>
      </c>
      <c r="Y43" s="1"/>
      <c r="Z43" s="1"/>
      <c r="AA43" s="1">
        <f t="shared" si="6"/>
        <v>3.2</v>
      </c>
      <c r="AB43" s="5"/>
      <c r="AC43" s="5">
        <f>VLOOKUP(A43,[2]Sheet!$A:$AC,29,0)</f>
        <v>0</v>
      </c>
      <c r="AD43" s="5"/>
      <c r="AE43" s="5">
        <f t="shared" ref="AE43:AE44" si="24">IF(($AE$1-AG43)*AA43&lt;0,0,($AE$1-AG43)*AA43)</f>
        <v>3.7800000000000011</v>
      </c>
      <c r="AF43" s="1">
        <f t="shared" si="7"/>
        <v>12.9</v>
      </c>
      <c r="AG43" s="1">
        <f t="shared" si="8"/>
        <v>11.71875</v>
      </c>
      <c r="AH43" s="1">
        <v>3.8</v>
      </c>
      <c r="AI43" s="1">
        <v>3.8</v>
      </c>
      <c r="AJ43" s="1">
        <v>-0.6</v>
      </c>
      <c r="AK43" s="1">
        <v>0.8</v>
      </c>
      <c r="AL43" s="1">
        <v>12.2</v>
      </c>
      <c r="AM43" s="1">
        <v>12.4</v>
      </c>
      <c r="AN43" s="1">
        <v>5</v>
      </c>
      <c r="AO43" s="1">
        <v>4.2</v>
      </c>
      <c r="AP43" s="1">
        <v>6.2</v>
      </c>
      <c r="AQ43" s="1"/>
      <c r="AR43" s="1">
        <f t="shared" si="9"/>
        <v>2</v>
      </c>
      <c r="AS43" s="1">
        <f t="shared" si="10"/>
        <v>0</v>
      </c>
      <c r="AT43" s="1">
        <f t="shared" si="11"/>
        <v>20.399999999999999</v>
      </c>
      <c r="AU43" s="1"/>
      <c r="AV43" s="1">
        <f t="shared" si="12"/>
        <v>0</v>
      </c>
      <c r="AW43" s="1"/>
      <c r="AX43" s="1"/>
      <c r="AY43" s="1"/>
      <c r="AZ43" s="1"/>
    </row>
    <row r="44" spans="1:52" x14ac:dyDescent="0.25">
      <c r="A44" s="1" t="s">
        <v>86</v>
      </c>
      <c r="B44" s="1" t="s">
        <v>42</v>
      </c>
      <c r="C44" s="1">
        <v>453.49799999999999</v>
      </c>
      <c r="D44" s="1">
        <v>633.17499999999995</v>
      </c>
      <c r="E44" s="1">
        <v>519.44500000000005</v>
      </c>
      <c r="F44" s="1">
        <v>547.91499999999996</v>
      </c>
      <c r="G44" s="7">
        <v>1</v>
      </c>
      <c r="H44" s="1">
        <v>50</v>
      </c>
      <c r="I44" s="1" t="s">
        <v>189</v>
      </c>
      <c r="J44" s="1"/>
      <c r="K44" s="1">
        <v>722.2</v>
      </c>
      <c r="L44" s="1">
        <f t="shared" si="23"/>
        <v>-202.755</v>
      </c>
      <c r="M44" s="1">
        <f t="shared" si="5"/>
        <v>519.44500000000005</v>
      </c>
      <c r="N44" s="1"/>
      <c r="O44" s="1"/>
      <c r="P44" s="1">
        <v>298.38560000000012</v>
      </c>
      <c r="Q44" s="1"/>
      <c r="R44" s="1"/>
      <c r="S44" s="10"/>
      <c r="T44" s="1"/>
      <c r="U44" s="1"/>
      <c r="V44" s="1"/>
      <c r="W44" s="1"/>
      <c r="X44" s="1">
        <v>0</v>
      </c>
      <c r="Y44" s="1"/>
      <c r="Z44" s="1"/>
      <c r="AA44" s="1">
        <f t="shared" si="6"/>
        <v>103.88900000000001</v>
      </c>
      <c r="AB44" s="5">
        <f t="shared" si="19"/>
        <v>296.47839999999997</v>
      </c>
      <c r="AC44" s="5">
        <f>VLOOKUP(A44,[2]Sheet!$A:$AC,29,0)</f>
        <v>0</v>
      </c>
      <c r="AD44" s="5"/>
      <c r="AE44" s="5">
        <f t="shared" si="24"/>
        <v>493.86750000000012</v>
      </c>
      <c r="AF44" s="1">
        <f t="shared" si="7"/>
        <v>12.9</v>
      </c>
      <c r="AG44" s="1">
        <f t="shared" si="8"/>
        <v>8.1462002714435595</v>
      </c>
      <c r="AH44" s="1">
        <v>63.091200000000001</v>
      </c>
      <c r="AI44" s="1">
        <v>69.980199999999996</v>
      </c>
      <c r="AJ44" s="1">
        <v>120.0566</v>
      </c>
      <c r="AK44" s="1">
        <v>112.971</v>
      </c>
      <c r="AL44" s="1">
        <v>95.999600000000001</v>
      </c>
      <c r="AM44" s="1">
        <v>109.7628</v>
      </c>
      <c r="AN44" s="1">
        <v>96.142200000000003</v>
      </c>
      <c r="AO44" s="1">
        <v>102.41540000000001</v>
      </c>
      <c r="AP44" s="1">
        <v>98.602599999999995</v>
      </c>
      <c r="AQ44" s="1"/>
      <c r="AR44" s="1">
        <f t="shared" si="9"/>
        <v>494</v>
      </c>
      <c r="AS44" s="1">
        <f t="shared" si="10"/>
        <v>0</v>
      </c>
      <c r="AT44" s="1">
        <f t="shared" si="11"/>
        <v>972.91059999999993</v>
      </c>
      <c r="AU44" s="1">
        <f>(F44+S44+U44+O44)/AA44</f>
        <v>5.2740424876550929</v>
      </c>
      <c r="AV44" s="1">
        <f t="shared" si="12"/>
        <v>0</v>
      </c>
      <c r="AW44" s="1"/>
      <c r="AX44" s="1"/>
      <c r="AY44" s="1"/>
      <c r="AZ44" s="1"/>
    </row>
    <row r="45" spans="1:52" x14ac:dyDescent="0.25">
      <c r="A45" s="1" t="s">
        <v>87</v>
      </c>
      <c r="B45" s="1" t="s">
        <v>46</v>
      </c>
      <c r="C45" s="1">
        <v>147</v>
      </c>
      <c r="D45" s="1">
        <v>149</v>
      </c>
      <c r="E45" s="1">
        <v>101</v>
      </c>
      <c r="F45" s="1">
        <v>186</v>
      </c>
      <c r="G45" s="7">
        <v>0.1</v>
      </c>
      <c r="H45" s="1">
        <v>731</v>
      </c>
      <c r="I45" s="1" t="s">
        <v>176</v>
      </c>
      <c r="J45" s="1"/>
      <c r="K45" s="1">
        <v>138</v>
      </c>
      <c r="L45" s="1">
        <f t="shared" si="23"/>
        <v>-37</v>
      </c>
      <c r="M45" s="1">
        <f t="shared" si="5"/>
        <v>101</v>
      </c>
      <c r="N45" s="1"/>
      <c r="O45" s="1"/>
      <c r="P45" s="1">
        <v>35.199999999999989</v>
      </c>
      <c r="Q45" s="1"/>
      <c r="R45" s="1"/>
      <c r="S45" s="10"/>
      <c r="T45" s="1"/>
      <c r="U45" s="1"/>
      <c r="V45" s="1"/>
      <c r="W45" s="1"/>
      <c r="X45" s="1">
        <v>72.800000000000011</v>
      </c>
      <c r="Y45" s="1"/>
      <c r="Z45" s="1"/>
      <c r="AA45" s="1">
        <f t="shared" si="6"/>
        <v>20.2</v>
      </c>
      <c r="AB45" s="5"/>
      <c r="AC45" s="5">
        <f>VLOOKUP(A45,[2]Sheet!$A:$AC,29,0)</f>
        <v>-61.70000000000001</v>
      </c>
      <c r="AD45" s="5">
        <f>VLOOKUP(A45,[3]TDSheet!$A$1:$N$65536,14,0)*(-1)</f>
        <v>-6</v>
      </c>
      <c r="AE45" s="5">
        <f t="shared" si="14"/>
        <v>0</v>
      </c>
      <c r="AF45" s="1">
        <f t="shared" si="7"/>
        <v>14.257425742574258</v>
      </c>
      <c r="AG45" s="1">
        <f t="shared" si="8"/>
        <v>14.554455445544555</v>
      </c>
      <c r="AH45" s="1">
        <v>21.8</v>
      </c>
      <c r="AI45" s="1">
        <v>26.4</v>
      </c>
      <c r="AJ45" s="1">
        <v>29.2</v>
      </c>
      <c r="AK45" s="1">
        <v>30</v>
      </c>
      <c r="AL45" s="1">
        <v>19.600000000000001</v>
      </c>
      <c r="AM45" s="1">
        <v>25.6</v>
      </c>
      <c r="AN45" s="1">
        <v>36</v>
      </c>
      <c r="AO45" s="1">
        <v>27.6</v>
      </c>
      <c r="AP45" s="1">
        <v>21.6</v>
      </c>
      <c r="AQ45" s="1"/>
      <c r="AR45" s="1">
        <f t="shared" si="9"/>
        <v>0</v>
      </c>
      <c r="AS45" s="1">
        <f t="shared" si="10"/>
        <v>6.1700000000000017</v>
      </c>
      <c r="AT45" s="1">
        <f t="shared" si="11"/>
        <v>25.8</v>
      </c>
      <c r="AU45" s="1"/>
      <c r="AV45" s="1">
        <f t="shared" si="12"/>
        <v>0.60000000000000009</v>
      </c>
      <c r="AW45" s="1"/>
      <c r="AX45" s="1"/>
      <c r="AY45" s="1"/>
      <c r="AZ45" s="1"/>
    </row>
    <row r="46" spans="1:52" x14ac:dyDescent="0.25">
      <c r="A46" s="1" t="s">
        <v>88</v>
      </c>
      <c r="B46" s="1" t="s">
        <v>42</v>
      </c>
      <c r="C46" s="1">
        <v>991.68899999999996</v>
      </c>
      <c r="D46" s="1">
        <v>53.488</v>
      </c>
      <c r="E46" s="1">
        <v>316.40499999999997</v>
      </c>
      <c r="F46" s="1">
        <v>694.07100000000003</v>
      </c>
      <c r="G46" s="7">
        <v>1</v>
      </c>
      <c r="H46" s="1">
        <v>50</v>
      </c>
      <c r="I46" s="1" t="s">
        <v>189</v>
      </c>
      <c r="J46" s="1"/>
      <c r="K46" s="1">
        <v>549.20000000000005</v>
      </c>
      <c r="L46" s="1">
        <f t="shared" si="23"/>
        <v>-232.79500000000007</v>
      </c>
      <c r="M46" s="1">
        <f t="shared" si="5"/>
        <v>316.40499999999997</v>
      </c>
      <c r="N46" s="1"/>
      <c r="O46" s="1"/>
      <c r="P46" s="1">
        <v>0</v>
      </c>
      <c r="Q46" s="1"/>
      <c r="R46" s="1"/>
      <c r="S46" s="10"/>
      <c r="T46" s="1"/>
      <c r="U46" s="1"/>
      <c r="V46" s="1"/>
      <c r="W46" s="1"/>
      <c r="X46" s="1">
        <v>152.80499999999989</v>
      </c>
      <c r="Y46" s="1"/>
      <c r="Z46" s="1"/>
      <c r="AA46" s="1">
        <f t="shared" si="6"/>
        <v>63.280999999999992</v>
      </c>
      <c r="AB46" s="5"/>
      <c r="AC46" s="5">
        <f>VLOOKUP(A46,[2]Sheet!$A:$AC,29,0)</f>
        <v>0</v>
      </c>
      <c r="AD46" s="5"/>
      <c r="AE46" s="5">
        <f>IF(($AE$1-AG46)*AA46&lt;0,0,($AE$1-AG46)*AA46)</f>
        <v>0</v>
      </c>
      <c r="AF46" s="1">
        <f t="shared" si="7"/>
        <v>13.382784722112484</v>
      </c>
      <c r="AG46" s="1">
        <f t="shared" si="8"/>
        <v>13.382784722112484</v>
      </c>
      <c r="AH46" s="1">
        <v>79.756600000000006</v>
      </c>
      <c r="AI46" s="1">
        <v>81.925600000000003</v>
      </c>
      <c r="AJ46" s="1">
        <v>86.080600000000004</v>
      </c>
      <c r="AK46" s="1">
        <v>92.588999999999999</v>
      </c>
      <c r="AL46" s="1">
        <v>122.23399999999999</v>
      </c>
      <c r="AM46" s="1">
        <v>127.477</v>
      </c>
      <c r="AN46" s="1">
        <v>116.47839999999999</v>
      </c>
      <c r="AO46" s="1">
        <v>107.4956</v>
      </c>
      <c r="AP46" s="1">
        <v>89.548199999999994</v>
      </c>
      <c r="AQ46" s="1"/>
      <c r="AR46" s="1">
        <f t="shared" si="9"/>
        <v>0</v>
      </c>
      <c r="AS46" s="1">
        <f t="shared" si="10"/>
        <v>0</v>
      </c>
      <c r="AT46" s="1">
        <f t="shared" si="11"/>
        <v>966.8660000000001</v>
      </c>
      <c r="AU46" s="1">
        <f>(F46+S46+U46+O46)/AA46</f>
        <v>10.968078886237578</v>
      </c>
      <c r="AV46" s="1">
        <f t="shared" si="12"/>
        <v>0</v>
      </c>
      <c r="AW46" s="1"/>
      <c r="AX46" s="1"/>
      <c r="AY46" s="1"/>
      <c r="AZ46" s="1"/>
    </row>
    <row r="47" spans="1:52" x14ac:dyDescent="0.25">
      <c r="A47" s="1" t="s">
        <v>89</v>
      </c>
      <c r="B47" s="1" t="s">
        <v>42</v>
      </c>
      <c r="C47" s="1">
        <v>74.055000000000007</v>
      </c>
      <c r="D47" s="1">
        <v>9.4190000000000005</v>
      </c>
      <c r="E47" s="1">
        <v>20.151</v>
      </c>
      <c r="F47" s="1">
        <v>53.904000000000003</v>
      </c>
      <c r="G47" s="7">
        <v>1</v>
      </c>
      <c r="H47" s="1">
        <v>55</v>
      </c>
      <c r="I47" s="1" t="s">
        <v>176</v>
      </c>
      <c r="J47" s="1"/>
      <c r="K47" s="1">
        <v>31.5</v>
      </c>
      <c r="L47" s="1">
        <f t="shared" si="23"/>
        <v>-11.349</v>
      </c>
      <c r="M47" s="1">
        <f t="shared" si="5"/>
        <v>20.151</v>
      </c>
      <c r="N47" s="1"/>
      <c r="O47" s="1"/>
      <c r="P47" s="1">
        <v>0</v>
      </c>
      <c r="Q47" s="1"/>
      <c r="R47" s="1"/>
      <c r="S47" s="10"/>
      <c r="T47" s="1"/>
      <c r="U47" s="1"/>
      <c r="V47" s="1"/>
      <c r="W47" s="1"/>
      <c r="X47" s="1">
        <v>7.1900000000000048</v>
      </c>
      <c r="Y47" s="1"/>
      <c r="Z47" s="1"/>
      <c r="AA47" s="1">
        <f t="shared" si="6"/>
        <v>4.0301999999999998</v>
      </c>
      <c r="AB47" s="5"/>
      <c r="AC47" s="5">
        <f>VLOOKUP(A47,[2]Sheet!$A:$AC,29,0)</f>
        <v>0</v>
      </c>
      <c r="AD47" s="5"/>
      <c r="AE47" s="5">
        <f t="shared" si="14"/>
        <v>0</v>
      </c>
      <c r="AF47" s="1">
        <f t="shared" si="7"/>
        <v>15.159049178700812</v>
      </c>
      <c r="AG47" s="1">
        <f t="shared" si="8"/>
        <v>15.159049178700812</v>
      </c>
      <c r="AH47" s="1">
        <v>4.2412000000000001</v>
      </c>
      <c r="AI47" s="1">
        <v>5.3171999999999997</v>
      </c>
      <c r="AJ47" s="1">
        <v>3.4356</v>
      </c>
      <c r="AK47" s="1">
        <v>4.8685999999999998</v>
      </c>
      <c r="AL47" s="1">
        <v>7.0706000000000007</v>
      </c>
      <c r="AM47" s="1">
        <v>8.1921999999999997</v>
      </c>
      <c r="AN47" s="1">
        <v>4.92</v>
      </c>
      <c r="AO47" s="1">
        <v>4.6549999999999994</v>
      </c>
      <c r="AP47" s="1">
        <v>5.2093999999999996</v>
      </c>
      <c r="AQ47" s="1"/>
      <c r="AR47" s="1">
        <f t="shared" si="9"/>
        <v>0</v>
      </c>
      <c r="AS47" s="1">
        <f t="shared" si="10"/>
        <v>0</v>
      </c>
      <c r="AT47" s="1">
        <f t="shared" si="11"/>
        <v>51.94</v>
      </c>
      <c r="AU47" s="1"/>
      <c r="AV47" s="1">
        <f t="shared" si="12"/>
        <v>0</v>
      </c>
      <c r="AW47" s="1"/>
      <c r="AX47" s="1"/>
      <c r="AY47" s="1"/>
      <c r="AZ47" s="1"/>
    </row>
    <row r="48" spans="1:52" x14ac:dyDescent="0.25">
      <c r="A48" s="1" t="s">
        <v>90</v>
      </c>
      <c r="B48" s="1" t="s">
        <v>46</v>
      </c>
      <c r="C48" s="1">
        <v>162</v>
      </c>
      <c r="D48" s="1">
        <v>149</v>
      </c>
      <c r="E48" s="1">
        <v>88</v>
      </c>
      <c r="F48" s="1">
        <v>214</v>
      </c>
      <c r="G48" s="7">
        <v>0.1</v>
      </c>
      <c r="H48" s="1">
        <v>731</v>
      </c>
      <c r="I48" s="1" t="s">
        <v>176</v>
      </c>
      <c r="J48" s="1"/>
      <c r="K48" s="1">
        <v>115</v>
      </c>
      <c r="L48" s="1">
        <f t="shared" si="23"/>
        <v>-27</v>
      </c>
      <c r="M48" s="1">
        <f t="shared" si="5"/>
        <v>88</v>
      </c>
      <c r="N48" s="1"/>
      <c r="O48" s="1"/>
      <c r="P48" s="1">
        <v>8</v>
      </c>
      <c r="Q48" s="1"/>
      <c r="R48" s="1"/>
      <c r="S48" s="10"/>
      <c r="T48" s="1"/>
      <c r="U48" s="1"/>
      <c r="V48" s="1"/>
      <c r="W48" s="1"/>
      <c r="X48" s="1">
        <v>42.199999999999989</v>
      </c>
      <c r="Y48" s="1"/>
      <c r="Z48" s="1"/>
      <c r="AA48" s="1">
        <f t="shared" si="6"/>
        <v>17.600000000000001</v>
      </c>
      <c r="AB48" s="5"/>
      <c r="AC48" s="5">
        <f>VLOOKUP(A48,[2]Sheet!$A:$AC,29,0)</f>
        <v>-61.799999999999983</v>
      </c>
      <c r="AD48" s="5">
        <f>VLOOKUP(A48,[3]TDSheet!$A$1:$N$65536,14,0)*(-1)</f>
        <v>-6</v>
      </c>
      <c r="AE48" s="5">
        <f t="shared" si="14"/>
        <v>0</v>
      </c>
      <c r="AF48" s="1">
        <f t="shared" si="7"/>
        <v>14.670454545454543</v>
      </c>
      <c r="AG48" s="1">
        <f t="shared" si="8"/>
        <v>15.011363636363635</v>
      </c>
      <c r="AH48" s="1">
        <v>20.8</v>
      </c>
      <c r="AI48" s="1">
        <v>23.6</v>
      </c>
      <c r="AJ48" s="1">
        <v>27.2</v>
      </c>
      <c r="AK48" s="1">
        <v>30.4</v>
      </c>
      <c r="AL48" s="1">
        <v>17.600000000000001</v>
      </c>
      <c r="AM48" s="1">
        <v>19.8</v>
      </c>
      <c r="AN48" s="1">
        <v>31.4</v>
      </c>
      <c r="AO48" s="1">
        <v>23.4</v>
      </c>
      <c r="AP48" s="1">
        <v>19.600000000000001</v>
      </c>
      <c r="AQ48" s="1"/>
      <c r="AR48" s="1">
        <f t="shared" si="9"/>
        <v>0</v>
      </c>
      <c r="AS48" s="1">
        <f t="shared" si="10"/>
        <v>6.1799999999999988</v>
      </c>
      <c r="AT48" s="1">
        <f t="shared" si="11"/>
        <v>23.14</v>
      </c>
      <c r="AU48" s="1"/>
      <c r="AV48" s="1">
        <f t="shared" si="12"/>
        <v>0.60000000000000009</v>
      </c>
      <c r="AW48" s="1"/>
      <c r="AX48" s="1"/>
      <c r="AY48" s="1"/>
      <c r="AZ48" s="1"/>
    </row>
    <row r="49" spans="1:52" x14ac:dyDescent="0.25">
      <c r="A49" s="1" t="s">
        <v>91</v>
      </c>
      <c r="B49" s="1" t="s">
        <v>46</v>
      </c>
      <c r="C49" s="1"/>
      <c r="D49" s="1">
        <v>10</v>
      </c>
      <c r="E49" s="1">
        <v>6</v>
      </c>
      <c r="F49" s="1">
        <v>4</v>
      </c>
      <c r="G49" s="7">
        <v>0.4</v>
      </c>
      <c r="H49" s="1">
        <v>50</v>
      </c>
      <c r="I49" s="1" t="s">
        <v>176</v>
      </c>
      <c r="J49" s="1"/>
      <c r="K49" s="1">
        <v>11</v>
      </c>
      <c r="L49" s="1">
        <f t="shared" si="23"/>
        <v>-5</v>
      </c>
      <c r="M49" s="1">
        <f t="shared" si="5"/>
        <v>6</v>
      </c>
      <c r="N49" s="1"/>
      <c r="O49" s="1"/>
      <c r="P49" s="1">
        <v>17.8</v>
      </c>
      <c r="Q49" s="1"/>
      <c r="R49" s="1"/>
      <c r="S49" s="10"/>
      <c r="T49" s="1"/>
      <c r="U49" s="1"/>
      <c r="V49" s="1"/>
      <c r="W49" s="1"/>
      <c r="X49" s="1">
        <v>0</v>
      </c>
      <c r="Y49" s="1"/>
      <c r="Z49" s="1"/>
      <c r="AA49" s="1">
        <f t="shared" si="6"/>
        <v>1.2</v>
      </c>
      <c r="AB49" s="5"/>
      <c r="AC49" s="5">
        <f>VLOOKUP(A49,[2]Sheet!$A:$AC,29,0)</f>
        <v>0</v>
      </c>
      <c r="AD49" s="5"/>
      <c r="AE49" s="5">
        <f t="shared" si="14"/>
        <v>0</v>
      </c>
      <c r="AF49" s="1">
        <f t="shared" si="7"/>
        <v>18.166666666666668</v>
      </c>
      <c r="AG49" s="1">
        <f t="shared" si="8"/>
        <v>18.166666666666668</v>
      </c>
      <c r="AH49" s="1">
        <v>0.2</v>
      </c>
      <c r="AI49" s="1">
        <v>1.6</v>
      </c>
      <c r="AJ49" s="1">
        <v>2.8</v>
      </c>
      <c r="AK49" s="1">
        <v>1.2</v>
      </c>
      <c r="AL49" s="1">
        <v>0</v>
      </c>
      <c r="AM49" s="1">
        <v>0.4</v>
      </c>
      <c r="AN49" s="1">
        <v>0.4</v>
      </c>
      <c r="AO49" s="1">
        <v>0</v>
      </c>
      <c r="AP49" s="1">
        <v>0</v>
      </c>
      <c r="AQ49" s="1"/>
      <c r="AR49" s="1">
        <f t="shared" si="9"/>
        <v>0</v>
      </c>
      <c r="AS49" s="1">
        <f t="shared" si="10"/>
        <v>0</v>
      </c>
      <c r="AT49" s="1">
        <f t="shared" si="11"/>
        <v>3.1200000000000006</v>
      </c>
      <c r="AU49" s="1"/>
      <c r="AV49" s="1">
        <f t="shared" si="12"/>
        <v>0</v>
      </c>
      <c r="AW49" s="1"/>
      <c r="AX49" s="1"/>
      <c r="AY49" s="1"/>
      <c r="AZ49" s="1"/>
    </row>
    <row r="50" spans="1:52" x14ac:dyDescent="0.25">
      <c r="A50" s="1" t="s">
        <v>92</v>
      </c>
      <c r="B50" s="1" t="s">
        <v>42</v>
      </c>
      <c r="C50" s="1">
        <v>79.894000000000005</v>
      </c>
      <c r="D50" s="1">
        <v>41.773000000000003</v>
      </c>
      <c r="E50" s="1">
        <v>49.811999999999998</v>
      </c>
      <c r="F50" s="1">
        <v>64.350999999999999</v>
      </c>
      <c r="G50" s="7">
        <v>1</v>
      </c>
      <c r="H50" s="1">
        <v>40</v>
      </c>
      <c r="I50" s="1" t="s">
        <v>176</v>
      </c>
      <c r="J50" s="1"/>
      <c r="K50" s="1">
        <v>103.1</v>
      </c>
      <c r="L50" s="1">
        <f t="shared" si="23"/>
        <v>-53.287999999999997</v>
      </c>
      <c r="M50" s="1">
        <f t="shared" si="5"/>
        <v>49.811999999999998</v>
      </c>
      <c r="N50" s="1"/>
      <c r="O50" s="1"/>
      <c r="P50" s="1">
        <v>39.049999999999983</v>
      </c>
      <c r="Q50" s="1"/>
      <c r="R50" s="1"/>
      <c r="S50" s="10"/>
      <c r="T50" s="1"/>
      <c r="U50" s="1"/>
      <c r="V50" s="1"/>
      <c r="W50" s="1"/>
      <c r="X50" s="1">
        <v>4</v>
      </c>
      <c r="Y50" s="1"/>
      <c r="Z50" s="1"/>
      <c r="AA50" s="1">
        <f t="shared" si="6"/>
        <v>9.9623999999999988</v>
      </c>
      <c r="AB50" s="5"/>
      <c r="AC50" s="5">
        <f>VLOOKUP(A50,[2]Sheet!$A:$AC,29,0)</f>
        <v>0</v>
      </c>
      <c r="AD50" s="5"/>
      <c r="AE50" s="5">
        <f>IF(($AE$1-AG50)*AA50&lt;0,0,($AE$1-AG50)*AA50)</f>
        <v>21.113960000000006</v>
      </c>
      <c r="AF50" s="1">
        <f t="shared" si="7"/>
        <v>12.899999999999999</v>
      </c>
      <c r="AG50" s="1">
        <f t="shared" si="8"/>
        <v>10.780635188308038</v>
      </c>
      <c r="AH50" s="1">
        <v>9.6790000000000003</v>
      </c>
      <c r="AI50" s="1">
        <v>10.668799999999999</v>
      </c>
      <c r="AJ50" s="1">
        <v>14.4322</v>
      </c>
      <c r="AK50" s="1">
        <v>12.6326</v>
      </c>
      <c r="AL50" s="1">
        <v>14.220599999999999</v>
      </c>
      <c r="AM50" s="1">
        <v>11.2966</v>
      </c>
      <c r="AN50" s="1">
        <v>0.4582</v>
      </c>
      <c r="AO50" s="1">
        <v>4.8795999999999999</v>
      </c>
      <c r="AP50" s="1">
        <v>24.591000000000001</v>
      </c>
      <c r="AQ50" s="1"/>
      <c r="AR50" s="1">
        <f t="shared" si="9"/>
        <v>21</v>
      </c>
      <c r="AS50" s="1">
        <f t="shared" si="10"/>
        <v>0</v>
      </c>
      <c r="AT50" s="1">
        <f t="shared" si="11"/>
        <v>112.821</v>
      </c>
      <c r="AU50" s="1"/>
      <c r="AV50" s="1">
        <f t="shared" si="12"/>
        <v>0</v>
      </c>
      <c r="AW50" s="1"/>
      <c r="AX50" s="1"/>
      <c r="AY50" s="1"/>
      <c r="AZ50" s="1"/>
    </row>
    <row r="51" spans="1:52" x14ac:dyDescent="0.25">
      <c r="A51" s="1" t="s">
        <v>93</v>
      </c>
      <c r="B51" s="1" t="s">
        <v>42</v>
      </c>
      <c r="C51" s="1">
        <v>57.689</v>
      </c>
      <c r="D51" s="1"/>
      <c r="E51" s="1">
        <v>8.0389999999999997</v>
      </c>
      <c r="F51" s="1">
        <v>49.65</v>
      </c>
      <c r="G51" s="7">
        <v>1</v>
      </c>
      <c r="H51" s="1">
        <v>40</v>
      </c>
      <c r="I51" s="1" t="s">
        <v>176</v>
      </c>
      <c r="J51" s="1"/>
      <c r="K51" s="1">
        <v>8.9</v>
      </c>
      <c r="L51" s="1">
        <f t="shared" si="23"/>
        <v>-0.86100000000000065</v>
      </c>
      <c r="M51" s="1">
        <f t="shared" si="5"/>
        <v>8.0389999999999997</v>
      </c>
      <c r="N51" s="1"/>
      <c r="O51" s="1"/>
      <c r="P51" s="1">
        <v>0</v>
      </c>
      <c r="Q51" s="1"/>
      <c r="R51" s="1"/>
      <c r="S51" s="10"/>
      <c r="T51" s="1"/>
      <c r="U51" s="1"/>
      <c r="V51" s="1"/>
      <c r="W51" s="1"/>
      <c r="X51" s="1">
        <v>0</v>
      </c>
      <c r="Y51" s="1"/>
      <c r="Z51" s="1"/>
      <c r="AA51" s="1">
        <f t="shared" si="6"/>
        <v>1.6077999999999999</v>
      </c>
      <c r="AB51" s="5"/>
      <c r="AC51" s="5">
        <f>VLOOKUP(A51,[2]Sheet!$A:$AC,29,0)</f>
        <v>-31.160299999999999</v>
      </c>
      <c r="AD51" s="5"/>
      <c r="AE51" s="5">
        <f t="shared" si="14"/>
        <v>0</v>
      </c>
      <c r="AF51" s="1">
        <f t="shared" si="7"/>
        <v>30.880706555541735</v>
      </c>
      <c r="AG51" s="1">
        <f t="shared" si="8"/>
        <v>30.880706555541735</v>
      </c>
      <c r="AH51" s="1">
        <v>1.6077999999999999</v>
      </c>
      <c r="AI51" s="1">
        <v>1.6292</v>
      </c>
      <c r="AJ51" s="1">
        <v>1.1017999999999999</v>
      </c>
      <c r="AK51" s="1">
        <v>0.30680000000000002</v>
      </c>
      <c r="AL51" s="1">
        <v>0.37080000000000002</v>
      </c>
      <c r="AM51" s="1">
        <v>0.44779999999999998</v>
      </c>
      <c r="AN51" s="1">
        <v>3.7235999999999998</v>
      </c>
      <c r="AO51" s="1">
        <v>8.1310000000000002</v>
      </c>
      <c r="AP51" s="1">
        <v>7.1864000000000008</v>
      </c>
      <c r="AQ51" s="22" t="s">
        <v>182</v>
      </c>
      <c r="AR51" s="1">
        <f t="shared" si="9"/>
        <v>0</v>
      </c>
      <c r="AS51" s="1">
        <f t="shared" si="10"/>
        <v>31.160299999999999</v>
      </c>
      <c r="AT51" s="1">
        <f t="shared" si="11"/>
        <v>26.113000000000003</v>
      </c>
      <c r="AU51" s="1"/>
      <c r="AV51" s="1">
        <f t="shared" si="12"/>
        <v>0</v>
      </c>
      <c r="AW51" s="1"/>
      <c r="AX51" s="1"/>
      <c r="AY51" s="1"/>
      <c r="AZ51" s="1"/>
    </row>
    <row r="52" spans="1:52" x14ac:dyDescent="0.25">
      <c r="A52" s="1" t="s">
        <v>95</v>
      </c>
      <c r="B52" s="1" t="s">
        <v>46</v>
      </c>
      <c r="C52" s="1">
        <v>509</v>
      </c>
      <c r="D52" s="1">
        <v>546</v>
      </c>
      <c r="E52" s="1">
        <v>525</v>
      </c>
      <c r="F52" s="1">
        <v>384</v>
      </c>
      <c r="G52" s="7">
        <v>0.4</v>
      </c>
      <c r="H52" s="1">
        <v>40</v>
      </c>
      <c r="I52" s="1" t="s">
        <v>176</v>
      </c>
      <c r="J52" s="1"/>
      <c r="K52" s="1">
        <v>893</v>
      </c>
      <c r="L52" s="1">
        <f t="shared" si="23"/>
        <v>-368</v>
      </c>
      <c r="M52" s="1">
        <f t="shared" si="5"/>
        <v>495</v>
      </c>
      <c r="N52" s="1">
        <v>30</v>
      </c>
      <c r="O52" s="1"/>
      <c r="P52" s="1">
        <v>310.49599999999998</v>
      </c>
      <c r="Q52" s="1"/>
      <c r="R52" s="1">
        <v>315.50400000000002</v>
      </c>
      <c r="S52" s="10"/>
      <c r="T52" s="1"/>
      <c r="U52" s="1"/>
      <c r="V52" s="1"/>
      <c r="W52" s="1">
        <v>-246</v>
      </c>
      <c r="X52" s="1">
        <v>243.61999999999961</v>
      </c>
      <c r="Y52" s="1"/>
      <c r="Z52" s="1"/>
      <c r="AA52" s="1">
        <f t="shared" si="6"/>
        <v>99</v>
      </c>
      <c r="AB52" s="5">
        <f t="shared" si="19"/>
        <v>81.380000000000337</v>
      </c>
      <c r="AC52" s="5">
        <f>VLOOKUP(A52,[2]Sheet!$A:$AC,29,0)</f>
        <v>0</v>
      </c>
      <c r="AD52" s="5"/>
      <c r="AE52" s="5">
        <f t="shared" ref="AE52:AE53" si="25">IF(($AE$1-AG52)*AA52&lt;0,0,($AE$1-AG52)*AA52)</f>
        <v>269.48000000000036</v>
      </c>
      <c r="AF52" s="1">
        <f t="shared" si="7"/>
        <v>12.899999999999999</v>
      </c>
      <c r="AG52" s="1">
        <f t="shared" si="8"/>
        <v>10.177979797979795</v>
      </c>
      <c r="AH52" s="1">
        <v>107.8</v>
      </c>
      <c r="AI52" s="1">
        <v>129.19999999999999</v>
      </c>
      <c r="AJ52" s="1">
        <v>139.4</v>
      </c>
      <c r="AK52" s="1">
        <v>108.2</v>
      </c>
      <c r="AL52" s="1">
        <v>105.6</v>
      </c>
      <c r="AM52" s="1">
        <v>124.6</v>
      </c>
      <c r="AN52" s="1">
        <v>83.8</v>
      </c>
      <c r="AO52" s="1">
        <v>22.4</v>
      </c>
      <c r="AP52" s="1">
        <v>59.2</v>
      </c>
      <c r="AQ52" s="1"/>
      <c r="AR52" s="1">
        <f t="shared" si="9"/>
        <v>108</v>
      </c>
      <c r="AS52" s="1">
        <f t="shared" si="10"/>
        <v>0</v>
      </c>
      <c r="AT52" s="1">
        <f t="shared" si="11"/>
        <v>391.68000000000006</v>
      </c>
      <c r="AU52" s="1"/>
      <c r="AV52" s="1">
        <f t="shared" si="12"/>
        <v>0</v>
      </c>
      <c r="AW52" s="1"/>
      <c r="AX52" s="1"/>
      <c r="AY52" s="1"/>
      <c r="AZ52" s="1"/>
    </row>
    <row r="53" spans="1:52" x14ac:dyDescent="0.25">
      <c r="A53" s="1" t="s">
        <v>96</v>
      </c>
      <c r="B53" s="1" t="s">
        <v>46</v>
      </c>
      <c r="C53" s="1">
        <v>635</v>
      </c>
      <c r="D53" s="1">
        <v>316</v>
      </c>
      <c r="E53" s="1">
        <v>417</v>
      </c>
      <c r="F53" s="1">
        <v>450</v>
      </c>
      <c r="G53" s="7">
        <v>0.4</v>
      </c>
      <c r="H53" s="1">
        <v>40</v>
      </c>
      <c r="I53" s="1" t="s">
        <v>176</v>
      </c>
      <c r="J53" s="1"/>
      <c r="K53" s="1">
        <v>618</v>
      </c>
      <c r="L53" s="1">
        <f t="shared" si="23"/>
        <v>-201</v>
      </c>
      <c r="M53" s="1">
        <f t="shared" si="5"/>
        <v>417</v>
      </c>
      <c r="N53" s="1"/>
      <c r="O53" s="1"/>
      <c r="P53" s="1">
        <v>193.73283671519991</v>
      </c>
      <c r="Q53" s="1"/>
      <c r="R53" s="1"/>
      <c r="S53" s="10"/>
      <c r="T53" s="1"/>
      <c r="U53" s="1"/>
      <c r="V53" s="1"/>
      <c r="W53" s="1">
        <v>-426</v>
      </c>
      <c r="X53" s="1">
        <v>424.45999999999992</v>
      </c>
      <c r="Y53" s="1"/>
      <c r="Z53" s="1"/>
      <c r="AA53" s="1">
        <f t="shared" si="6"/>
        <v>83.4</v>
      </c>
      <c r="AB53" s="5">
        <f t="shared" si="19"/>
        <v>275.20716328480023</v>
      </c>
      <c r="AC53" s="5">
        <f>VLOOKUP(A53,[2]Sheet!$A:$AC,29,0)</f>
        <v>0</v>
      </c>
      <c r="AD53" s="5"/>
      <c r="AE53" s="5">
        <f t="shared" si="25"/>
        <v>433.66716328480021</v>
      </c>
      <c r="AF53" s="1">
        <f t="shared" si="7"/>
        <v>12.9</v>
      </c>
      <c r="AG53" s="1">
        <f t="shared" si="8"/>
        <v>7.7001539174484392</v>
      </c>
      <c r="AH53" s="1">
        <v>95.6</v>
      </c>
      <c r="AI53" s="1">
        <v>103.6</v>
      </c>
      <c r="AJ53" s="1">
        <v>96.2</v>
      </c>
      <c r="AK53" s="1">
        <v>93</v>
      </c>
      <c r="AL53" s="1">
        <v>100.6</v>
      </c>
      <c r="AM53" s="1">
        <v>103.2</v>
      </c>
      <c r="AN53" s="1">
        <v>92.8</v>
      </c>
      <c r="AO53" s="1">
        <v>85.8</v>
      </c>
      <c r="AP53" s="1">
        <v>85.6</v>
      </c>
      <c r="AQ53" s="1"/>
      <c r="AR53" s="1">
        <f t="shared" si="9"/>
        <v>173</v>
      </c>
      <c r="AS53" s="1">
        <f t="shared" si="10"/>
        <v>0</v>
      </c>
      <c r="AT53" s="1">
        <f t="shared" si="11"/>
        <v>375.92000000000007</v>
      </c>
      <c r="AU53" s="1"/>
      <c r="AV53" s="1">
        <f t="shared" si="12"/>
        <v>0</v>
      </c>
      <c r="AW53" s="1"/>
      <c r="AX53" s="1"/>
      <c r="AY53" s="1"/>
      <c r="AZ53" s="1"/>
    </row>
    <row r="54" spans="1:52" x14ac:dyDescent="0.25">
      <c r="A54" s="1" t="s">
        <v>97</v>
      </c>
      <c r="B54" s="1" t="s">
        <v>42</v>
      </c>
      <c r="C54" s="1">
        <v>164.233</v>
      </c>
      <c r="D54" s="1">
        <v>6.3319999999999999</v>
      </c>
      <c r="E54" s="1">
        <v>38.472000000000001</v>
      </c>
      <c r="F54" s="1">
        <v>125.761</v>
      </c>
      <c r="G54" s="7">
        <v>1</v>
      </c>
      <c r="H54" s="1">
        <v>40</v>
      </c>
      <c r="I54" s="1" t="s">
        <v>176</v>
      </c>
      <c r="J54" s="1"/>
      <c r="K54" s="1">
        <v>51.1</v>
      </c>
      <c r="L54" s="1">
        <f t="shared" si="23"/>
        <v>-12.628</v>
      </c>
      <c r="M54" s="1">
        <f t="shared" si="5"/>
        <v>38.472000000000001</v>
      </c>
      <c r="N54" s="1"/>
      <c r="O54" s="1"/>
      <c r="P54" s="1">
        <v>0</v>
      </c>
      <c r="Q54" s="1"/>
      <c r="R54" s="1"/>
      <c r="S54" s="10"/>
      <c r="T54" s="1"/>
      <c r="U54" s="1"/>
      <c r="V54" s="1"/>
      <c r="W54" s="1"/>
      <c r="X54" s="1">
        <v>0</v>
      </c>
      <c r="Y54" s="1"/>
      <c r="Z54" s="1"/>
      <c r="AA54" s="1">
        <f t="shared" si="6"/>
        <v>7.6943999999999999</v>
      </c>
      <c r="AB54" s="5"/>
      <c r="AC54" s="5">
        <f>VLOOKUP(A54,[2]Sheet!$A:$AC,29,0)</f>
        <v>-37.275400000000005</v>
      </c>
      <c r="AD54" s="5"/>
      <c r="AE54" s="5">
        <f t="shared" si="14"/>
        <v>0</v>
      </c>
      <c r="AF54" s="1">
        <f t="shared" si="7"/>
        <v>16.344484300270327</v>
      </c>
      <c r="AG54" s="1">
        <f t="shared" si="8"/>
        <v>16.344484300270327</v>
      </c>
      <c r="AH54" s="1">
        <v>8.5982000000000003</v>
      </c>
      <c r="AI54" s="1">
        <v>10.3788</v>
      </c>
      <c r="AJ54" s="1">
        <v>10.9048</v>
      </c>
      <c r="AK54" s="1">
        <v>10.0128</v>
      </c>
      <c r="AL54" s="1">
        <v>18.179400000000001</v>
      </c>
      <c r="AM54" s="1">
        <v>18.554600000000001</v>
      </c>
      <c r="AN54" s="1">
        <v>5.6436000000000002</v>
      </c>
      <c r="AO54" s="1">
        <v>0.72619999999999996</v>
      </c>
      <c r="AP54" s="1">
        <v>-0.1802</v>
      </c>
      <c r="AQ54" s="1"/>
      <c r="AR54" s="1">
        <f t="shared" si="9"/>
        <v>0</v>
      </c>
      <c r="AS54" s="1">
        <f t="shared" si="10"/>
        <v>37.275400000000005</v>
      </c>
      <c r="AT54" s="1">
        <f t="shared" si="11"/>
        <v>90.512600000000006</v>
      </c>
      <c r="AU54" s="1"/>
      <c r="AV54" s="1">
        <f t="shared" si="12"/>
        <v>0</v>
      </c>
      <c r="AW54" s="1"/>
      <c r="AX54" s="1"/>
      <c r="AY54" s="1"/>
      <c r="AZ54" s="1"/>
    </row>
    <row r="55" spans="1:52" x14ac:dyDescent="0.25">
      <c r="A55" s="1" t="s">
        <v>98</v>
      </c>
      <c r="B55" s="1" t="s">
        <v>42</v>
      </c>
      <c r="C55" s="1">
        <v>95.257999999999996</v>
      </c>
      <c r="D55" s="1">
        <v>86.384</v>
      </c>
      <c r="E55" s="1">
        <v>73.052000000000007</v>
      </c>
      <c r="F55" s="1">
        <v>102.286</v>
      </c>
      <c r="G55" s="7">
        <v>1</v>
      </c>
      <c r="H55" s="1">
        <v>40</v>
      </c>
      <c r="I55" s="1" t="s">
        <v>176</v>
      </c>
      <c r="J55" s="1"/>
      <c r="K55" s="1">
        <v>98.2</v>
      </c>
      <c r="L55" s="1">
        <f t="shared" si="23"/>
        <v>-25.147999999999996</v>
      </c>
      <c r="M55" s="1">
        <f t="shared" si="5"/>
        <v>73.052000000000007</v>
      </c>
      <c r="N55" s="1"/>
      <c r="O55" s="1"/>
      <c r="P55" s="1">
        <v>0</v>
      </c>
      <c r="Q55" s="1"/>
      <c r="R55" s="1"/>
      <c r="S55" s="10"/>
      <c r="T55" s="1"/>
      <c r="U55" s="1"/>
      <c r="V55" s="1"/>
      <c r="W55" s="1"/>
      <c r="X55" s="1">
        <v>16.926800000000011</v>
      </c>
      <c r="Y55" s="1"/>
      <c r="Z55" s="1"/>
      <c r="AA55" s="1">
        <f t="shared" si="6"/>
        <v>14.610400000000002</v>
      </c>
      <c r="AB55" s="5">
        <f t="shared" si="19"/>
        <v>41.501599999999996</v>
      </c>
      <c r="AC55" s="5">
        <f>VLOOKUP(A55,[2]Sheet!$A:$AC,29,0)</f>
        <v>0</v>
      </c>
      <c r="AD55" s="5"/>
      <c r="AE55" s="5">
        <f t="shared" ref="AE55:AE56" si="26">IF(($AE$1-AG55)*AA55&lt;0,0,($AE$1-AG55)*AA55)</f>
        <v>69.261360000000025</v>
      </c>
      <c r="AF55" s="1">
        <f t="shared" si="7"/>
        <v>12.9</v>
      </c>
      <c r="AG55" s="1">
        <f t="shared" si="8"/>
        <v>8.1594480643924872</v>
      </c>
      <c r="AH55" s="1">
        <v>11.178800000000001</v>
      </c>
      <c r="AI55" s="1">
        <v>12.990399999999999</v>
      </c>
      <c r="AJ55" s="1">
        <v>13.3424</v>
      </c>
      <c r="AK55" s="1">
        <v>17.515799999999999</v>
      </c>
      <c r="AL55" s="1">
        <v>14.6234</v>
      </c>
      <c r="AM55" s="1">
        <v>4.8811999999999998</v>
      </c>
      <c r="AN55" s="1">
        <v>5.7866</v>
      </c>
      <c r="AO55" s="1">
        <v>13.375400000000001</v>
      </c>
      <c r="AP55" s="1">
        <v>12.828799999999999</v>
      </c>
      <c r="AQ55" s="1"/>
      <c r="AR55" s="1">
        <f t="shared" si="9"/>
        <v>69</v>
      </c>
      <c r="AS55" s="1">
        <f t="shared" si="10"/>
        <v>0</v>
      </c>
      <c r="AT55" s="1">
        <f t="shared" si="11"/>
        <v>121.13319999999999</v>
      </c>
      <c r="AU55" s="1"/>
      <c r="AV55" s="1">
        <f t="shared" si="12"/>
        <v>0</v>
      </c>
      <c r="AW55" s="1"/>
      <c r="AX55" s="1"/>
      <c r="AY55" s="1"/>
      <c r="AZ55" s="1"/>
    </row>
    <row r="56" spans="1:52" x14ac:dyDescent="0.25">
      <c r="A56" s="1" t="s">
        <v>99</v>
      </c>
      <c r="B56" s="1" t="s">
        <v>42</v>
      </c>
      <c r="C56" s="1">
        <v>1162.0840000000001</v>
      </c>
      <c r="D56" s="1">
        <v>23.88</v>
      </c>
      <c r="E56" s="1">
        <v>780.51599999999996</v>
      </c>
      <c r="F56" s="1">
        <v>374.02</v>
      </c>
      <c r="G56" s="7">
        <v>1</v>
      </c>
      <c r="H56" s="1">
        <v>40</v>
      </c>
      <c r="I56" s="1" t="s">
        <v>189</v>
      </c>
      <c r="J56" s="1"/>
      <c r="K56" s="1">
        <v>961.81200000000001</v>
      </c>
      <c r="L56" s="1">
        <f t="shared" si="23"/>
        <v>-181.29600000000005</v>
      </c>
      <c r="M56" s="1">
        <f t="shared" si="5"/>
        <v>780.51599999999996</v>
      </c>
      <c r="N56" s="1"/>
      <c r="O56" s="1"/>
      <c r="P56" s="1">
        <v>298.72145599999999</v>
      </c>
      <c r="Q56" s="1"/>
      <c r="R56" s="1">
        <v>303.53954399999998</v>
      </c>
      <c r="S56" s="1">
        <f>VLOOKUP(A56,[1]TDSheet!$A:$B,2,0)</f>
        <v>309.83800000000002</v>
      </c>
      <c r="T56" s="1"/>
      <c r="U56" s="1"/>
      <c r="V56" s="1"/>
      <c r="W56" s="1"/>
      <c r="X56" s="1">
        <v>689.29949999999985</v>
      </c>
      <c r="Y56" s="1">
        <v>63</v>
      </c>
      <c r="Z56" s="1"/>
      <c r="AA56" s="1">
        <f t="shared" si="6"/>
        <v>156.10319999999999</v>
      </c>
      <c r="AB56" s="5"/>
      <c r="AC56" s="5">
        <f>VLOOKUP(A56,[2]Sheet!$A:$AC,29,0)</f>
        <v>0</v>
      </c>
      <c r="AD56" s="5"/>
      <c r="AE56" s="5">
        <f t="shared" si="26"/>
        <v>285.15078000000005</v>
      </c>
      <c r="AF56" s="1">
        <f t="shared" si="7"/>
        <v>12.9</v>
      </c>
      <c r="AG56" s="1">
        <f t="shared" si="8"/>
        <v>11.073318804483188</v>
      </c>
      <c r="AH56" s="1">
        <v>121.55540000000001</v>
      </c>
      <c r="AI56" s="1">
        <v>176.9426</v>
      </c>
      <c r="AJ56" s="1">
        <v>160.39500000000001</v>
      </c>
      <c r="AK56" s="1">
        <v>105.7924</v>
      </c>
      <c r="AL56" s="1">
        <v>94.529399999999995</v>
      </c>
      <c r="AM56" s="1">
        <v>94.002600000000001</v>
      </c>
      <c r="AN56" s="1">
        <v>120.4922</v>
      </c>
      <c r="AO56" s="1">
        <v>204.0352</v>
      </c>
      <c r="AP56" s="1">
        <v>200.19560000000001</v>
      </c>
      <c r="AQ56" s="1"/>
      <c r="AR56" s="1">
        <f t="shared" si="9"/>
        <v>285</v>
      </c>
      <c r="AS56" s="1">
        <f t="shared" si="10"/>
        <v>0</v>
      </c>
      <c r="AT56" s="1">
        <f t="shared" si="11"/>
        <v>1434.0436000000002</v>
      </c>
      <c r="AU56" s="1">
        <f>(F56+S56+U56+O56)/AA56</f>
        <v>4.380807055845108</v>
      </c>
      <c r="AV56" s="1">
        <f t="shared" si="12"/>
        <v>0</v>
      </c>
      <c r="AW56" s="1"/>
      <c r="AX56" s="1"/>
      <c r="AY56" s="1"/>
      <c r="AZ56" s="1"/>
    </row>
    <row r="57" spans="1:52" x14ac:dyDescent="0.25">
      <c r="A57" s="1" t="s">
        <v>100</v>
      </c>
      <c r="B57" s="1" t="s">
        <v>42</v>
      </c>
      <c r="C57" s="1">
        <v>21.736999999999998</v>
      </c>
      <c r="D57" s="1">
        <v>61.634999999999998</v>
      </c>
      <c r="E57" s="1">
        <v>40.534999999999997</v>
      </c>
      <c r="F57" s="1">
        <v>33.744999999999997</v>
      </c>
      <c r="G57" s="7">
        <v>1</v>
      </c>
      <c r="H57" s="1">
        <v>40</v>
      </c>
      <c r="I57" s="1" t="s">
        <v>176</v>
      </c>
      <c r="J57" s="1"/>
      <c r="K57" s="1">
        <v>94.4</v>
      </c>
      <c r="L57" s="1">
        <f t="shared" si="23"/>
        <v>-53.865000000000009</v>
      </c>
      <c r="M57" s="1">
        <f t="shared" si="5"/>
        <v>40.534999999999997</v>
      </c>
      <c r="N57" s="1"/>
      <c r="O57" s="1"/>
      <c r="P57" s="1">
        <v>75.207600000000014</v>
      </c>
      <c r="Q57" s="1"/>
      <c r="R57" s="1"/>
      <c r="S57" s="10"/>
      <c r="T57" s="1"/>
      <c r="U57" s="1"/>
      <c r="V57" s="1"/>
      <c r="W57" s="1"/>
      <c r="X57" s="1">
        <v>27.868500000000001</v>
      </c>
      <c r="Y57" s="1"/>
      <c r="Z57" s="1"/>
      <c r="AA57" s="1">
        <f t="shared" si="6"/>
        <v>8.1069999999999993</v>
      </c>
      <c r="AB57" s="5"/>
      <c r="AC57" s="5">
        <f>VLOOKUP(A57,[2]Sheet!$A:$AC,29,0)</f>
        <v>0</v>
      </c>
      <c r="AD57" s="5"/>
      <c r="AE57" s="5">
        <f t="shared" si="14"/>
        <v>0</v>
      </c>
      <c r="AF57" s="1">
        <f t="shared" si="7"/>
        <v>16.876908844208714</v>
      </c>
      <c r="AG57" s="1">
        <f t="shared" si="8"/>
        <v>16.876908844208714</v>
      </c>
      <c r="AH57" s="1">
        <v>10.646599999999999</v>
      </c>
      <c r="AI57" s="1">
        <v>11.2418</v>
      </c>
      <c r="AJ57" s="1">
        <v>12.716799999999999</v>
      </c>
      <c r="AK57" s="1">
        <v>8.7721999999999998</v>
      </c>
      <c r="AL57" s="1">
        <v>8.0261999999999993</v>
      </c>
      <c r="AM57" s="1">
        <v>9.0599999999999987</v>
      </c>
      <c r="AN57" s="1">
        <v>10.198</v>
      </c>
      <c r="AO57" s="1">
        <v>9.1614000000000004</v>
      </c>
      <c r="AP57" s="1">
        <v>9.3217999999999996</v>
      </c>
      <c r="AQ57" s="1"/>
      <c r="AR57" s="1">
        <f t="shared" si="9"/>
        <v>0</v>
      </c>
      <c r="AS57" s="1">
        <f t="shared" si="10"/>
        <v>0</v>
      </c>
      <c r="AT57" s="1">
        <f t="shared" si="11"/>
        <v>97.251799999999974</v>
      </c>
      <c r="AU57" s="1"/>
      <c r="AV57" s="1">
        <f t="shared" si="12"/>
        <v>0</v>
      </c>
      <c r="AW57" s="1"/>
      <c r="AX57" s="1"/>
      <c r="AY57" s="1"/>
      <c r="AZ57" s="1"/>
    </row>
    <row r="58" spans="1:52" x14ac:dyDescent="0.25">
      <c r="A58" s="1" t="s">
        <v>101</v>
      </c>
      <c r="B58" s="1" t="s">
        <v>42</v>
      </c>
      <c r="C58" s="1">
        <v>523.83600000000001</v>
      </c>
      <c r="D58" s="1">
        <v>146.74600000000001</v>
      </c>
      <c r="E58" s="1">
        <v>314.62599999999998</v>
      </c>
      <c r="F58" s="1">
        <v>290.87599999999998</v>
      </c>
      <c r="G58" s="7">
        <v>1</v>
      </c>
      <c r="H58" s="1">
        <v>30</v>
      </c>
      <c r="I58" s="1" t="s">
        <v>176</v>
      </c>
      <c r="J58" s="1"/>
      <c r="K58" s="1">
        <v>525.298</v>
      </c>
      <c r="L58" s="1">
        <f t="shared" si="23"/>
        <v>-210.67200000000003</v>
      </c>
      <c r="M58" s="1">
        <f t="shared" si="5"/>
        <v>314.62599999999998</v>
      </c>
      <c r="N58" s="1"/>
      <c r="O58" s="1"/>
      <c r="P58" s="1">
        <v>0</v>
      </c>
      <c r="Q58" s="1"/>
      <c r="R58" s="1"/>
      <c r="S58" s="10"/>
      <c r="T58" s="1"/>
      <c r="U58" s="1"/>
      <c r="V58" s="1"/>
      <c r="W58" s="1"/>
      <c r="X58" s="1">
        <v>918.31219000000021</v>
      </c>
      <c r="Y58" s="1"/>
      <c r="Z58" s="1"/>
      <c r="AA58" s="1">
        <f t="shared" si="6"/>
        <v>62.925199999999997</v>
      </c>
      <c r="AB58" s="5"/>
      <c r="AC58" s="5">
        <f>VLOOKUP(A58,[2]Sheet!$A:$AC,29,0)</f>
        <v>-100</v>
      </c>
      <c r="AD58" s="5">
        <f>VLOOKUP(A58,[3]TDSheet!$A$1:$N$65536,14,0)*(-1)</f>
        <v>-76.02</v>
      </c>
      <c r="AE58" s="5">
        <f t="shared" si="14"/>
        <v>0</v>
      </c>
      <c r="AF58" s="1">
        <f t="shared" si="7"/>
        <v>18.00817780475867</v>
      </c>
      <c r="AG58" s="1">
        <f t="shared" si="8"/>
        <v>19.216278851716012</v>
      </c>
      <c r="AH58" s="1">
        <v>91.303799999999995</v>
      </c>
      <c r="AI58" s="1">
        <v>116.23739999999999</v>
      </c>
      <c r="AJ58" s="1">
        <v>91.614599999999996</v>
      </c>
      <c r="AK58" s="1">
        <v>122.62739999999999</v>
      </c>
      <c r="AL58" s="1">
        <v>181.6866</v>
      </c>
      <c r="AM58" s="1">
        <v>114.6506</v>
      </c>
      <c r="AN58" s="1">
        <v>69.47999999999999</v>
      </c>
      <c r="AO58" s="1">
        <v>56.1828</v>
      </c>
      <c r="AP58" s="1">
        <v>55.811199999999999</v>
      </c>
      <c r="AQ58" s="22" t="s">
        <v>183</v>
      </c>
      <c r="AR58" s="1">
        <f t="shared" si="9"/>
        <v>0</v>
      </c>
      <c r="AS58" s="1">
        <f t="shared" si="10"/>
        <v>100</v>
      </c>
      <c r="AT58" s="1">
        <f t="shared" si="11"/>
        <v>962.51959999999997</v>
      </c>
      <c r="AU58" s="1"/>
      <c r="AV58" s="1">
        <f t="shared" si="12"/>
        <v>76.02</v>
      </c>
      <c r="AW58" s="1"/>
      <c r="AX58" s="1"/>
      <c r="AY58" s="1"/>
      <c r="AZ58" s="1"/>
    </row>
    <row r="59" spans="1:52" x14ac:dyDescent="0.25">
      <c r="A59" s="1" t="s">
        <v>102</v>
      </c>
      <c r="B59" s="1" t="s">
        <v>46</v>
      </c>
      <c r="C59" s="1">
        <v>843</v>
      </c>
      <c r="D59" s="1">
        <v>281</v>
      </c>
      <c r="E59" s="1">
        <v>355</v>
      </c>
      <c r="F59" s="1">
        <v>560</v>
      </c>
      <c r="G59" s="7">
        <v>0.6</v>
      </c>
      <c r="H59" s="1">
        <v>60</v>
      </c>
      <c r="I59" s="1" t="s">
        <v>176</v>
      </c>
      <c r="J59" s="1"/>
      <c r="K59" s="1">
        <v>653</v>
      </c>
      <c r="L59" s="1">
        <f t="shared" si="23"/>
        <v>-298</v>
      </c>
      <c r="M59" s="1">
        <f t="shared" si="5"/>
        <v>355</v>
      </c>
      <c r="N59" s="1"/>
      <c r="O59" s="1"/>
      <c r="P59" s="1">
        <v>242.64319999999989</v>
      </c>
      <c r="Q59" s="1"/>
      <c r="R59" s="1">
        <v>246.5567999999999</v>
      </c>
      <c r="S59" s="1">
        <f>VLOOKUP(A59,[1]TDSheet!$A:$B,2,0)</f>
        <v>248</v>
      </c>
      <c r="T59" s="1"/>
      <c r="U59" s="1"/>
      <c r="V59" s="1"/>
      <c r="W59" s="1"/>
      <c r="X59" s="1">
        <v>302.10000000000008</v>
      </c>
      <c r="Y59" s="1"/>
      <c r="Z59" s="1"/>
      <c r="AA59" s="1">
        <f t="shared" si="6"/>
        <v>71</v>
      </c>
      <c r="AB59" s="5"/>
      <c r="AC59" s="5">
        <f>VLOOKUP(A59,[2]Sheet!$A:$AC,29,0)</f>
        <v>-534.79999999999984</v>
      </c>
      <c r="AD59" s="5">
        <f>VLOOKUP(A59,[3]TDSheet!$A$1:$N$65536,14,0)*(-1)</f>
        <v>-272</v>
      </c>
      <c r="AE59" s="5">
        <f t="shared" si="14"/>
        <v>0</v>
      </c>
      <c r="AF59" s="1">
        <f t="shared" si="7"/>
        <v>15.201408450704225</v>
      </c>
      <c r="AG59" s="1">
        <f t="shared" si="8"/>
        <v>19.032394366197181</v>
      </c>
      <c r="AH59" s="1">
        <v>74</v>
      </c>
      <c r="AI59" s="1">
        <v>122</v>
      </c>
      <c r="AJ59" s="1">
        <v>127.6</v>
      </c>
      <c r="AK59" s="1">
        <v>96.2</v>
      </c>
      <c r="AL59" s="1">
        <v>82</v>
      </c>
      <c r="AM59" s="1">
        <v>93.4</v>
      </c>
      <c r="AN59" s="1">
        <v>153</v>
      </c>
      <c r="AO59" s="1">
        <v>154</v>
      </c>
      <c r="AP59" s="1">
        <v>159</v>
      </c>
      <c r="AQ59" s="22" t="s">
        <v>74</v>
      </c>
      <c r="AR59" s="1">
        <f t="shared" si="9"/>
        <v>0</v>
      </c>
      <c r="AS59" s="1">
        <f t="shared" si="10"/>
        <v>320.87999999999988</v>
      </c>
      <c r="AT59" s="1">
        <f t="shared" si="11"/>
        <v>679.32</v>
      </c>
      <c r="AU59" s="1"/>
      <c r="AV59" s="1">
        <f t="shared" si="12"/>
        <v>163.19999999999999</v>
      </c>
      <c r="AW59" s="1"/>
      <c r="AX59" s="1"/>
      <c r="AY59" s="1"/>
      <c r="AZ59" s="1"/>
    </row>
    <row r="60" spans="1:52" x14ac:dyDescent="0.25">
      <c r="A60" s="1" t="s">
        <v>103</v>
      </c>
      <c r="B60" s="1" t="s">
        <v>46</v>
      </c>
      <c r="C60" s="1">
        <v>457</v>
      </c>
      <c r="D60" s="1">
        <v>643</v>
      </c>
      <c r="E60" s="1">
        <v>324</v>
      </c>
      <c r="F60" s="1">
        <v>611</v>
      </c>
      <c r="G60" s="7">
        <v>0.6</v>
      </c>
      <c r="H60" s="1">
        <v>60</v>
      </c>
      <c r="I60" s="1" t="s">
        <v>176</v>
      </c>
      <c r="J60" s="1"/>
      <c r="K60" s="1">
        <v>653</v>
      </c>
      <c r="L60" s="1">
        <f t="shared" si="23"/>
        <v>-329</v>
      </c>
      <c r="M60" s="1">
        <f t="shared" si="5"/>
        <v>324</v>
      </c>
      <c r="N60" s="1"/>
      <c r="O60" s="1"/>
      <c r="P60" s="1">
        <v>151.1808</v>
      </c>
      <c r="Q60" s="1"/>
      <c r="R60" s="1">
        <v>153.61920000000001</v>
      </c>
      <c r="S60" s="1">
        <f>VLOOKUP(A60,[1]TDSheet!$A:$B,2,0)</f>
        <v>160</v>
      </c>
      <c r="T60" s="1"/>
      <c r="U60" s="1"/>
      <c r="V60" s="1"/>
      <c r="W60" s="1"/>
      <c r="X60" s="1">
        <v>280.30999999999977</v>
      </c>
      <c r="Y60" s="1"/>
      <c r="Z60" s="1"/>
      <c r="AA60" s="1">
        <f t="shared" si="6"/>
        <v>64.8</v>
      </c>
      <c r="AB60" s="5"/>
      <c r="AC60" s="5">
        <f>VLOOKUP(A60,[2]Sheet!$A:$AC,29,0)</f>
        <v>-450.90999999999968</v>
      </c>
      <c r="AD60" s="5"/>
      <c r="AE60" s="5">
        <f t="shared" si="14"/>
        <v>0</v>
      </c>
      <c r="AF60" s="1">
        <f t="shared" si="7"/>
        <v>18.458487654320983</v>
      </c>
      <c r="AG60" s="1">
        <f t="shared" si="8"/>
        <v>18.458487654320983</v>
      </c>
      <c r="AH60" s="1">
        <v>68.599999999999994</v>
      </c>
      <c r="AI60" s="1">
        <v>104.6</v>
      </c>
      <c r="AJ60" s="1">
        <v>112.2</v>
      </c>
      <c r="AK60" s="1">
        <v>95.2</v>
      </c>
      <c r="AL60" s="1">
        <v>77.400000000000006</v>
      </c>
      <c r="AM60" s="1">
        <v>92.4</v>
      </c>
      <c r="AN60" s="1">
        <v>121.2</v>
      </c>
      <c r="AO60" s="1">
        <v>86.6</v>
      </c>
      <c r="AP60" s="1">
        <v>75.2</v>
      </c>
      <c r="AQ60" s="22" t="s">
        <v>74</v>
      </c>
      <c r="AR60" s="1">
        <f t="shared" si="9"/>
        <v>0</v>
      </c>
      <c r="AS60" s="1">
        <f t="shared" si="10"/>
        <v>270.54599999999982</v>
      </c>
      <c r="AT60" s="1">
        <f t="shared" si="11"/>
        <v>538.91999999999996</v>
      </c>
      <c r="AU60" s="1"/>
      <c r="AV60" s="1">
        <f t="shared" si="12"/>
        <v>0</v>
      </c>
      <c r="AW60" s="1"/>
      <c r="AX60" s="1"/>
      <c r="AY60" s="1"/>
      <c r="AZ60" s="1"/>
    </row>
    <row r="61" spans="1:52" x14ac:dyDescent="0.25">
      <c r="A61" s="1" t="s">
        <v>104</v>
      </c>
      <c r="B61" s="1" t="s">
        <v>46</v>
      </c>
      <c r="C61" s="1">
        <v>76</v>
      </c>
      <c r="D61" s="1">
        <v>54</v>
      </c>
      <c r="E61" s="1">
        <v>26</v>
      </c>
      <c r="F61" s="1">
        <v>98</v>
      </c>
      <c r="G61" s="7">
        <v>0.35</v>
      </c>
      <c r="H61" s="1">
        <v>90</v>
      </c>
      <c r="I61" s="1" t="s">
        <v>176</v>
      </c>
      <c r="J61" s="1"/>
      <c r="K61" s="1">
        <v>35</v>
      </c>
      <c r="L61" s="1">
        <f t="shared" si="23"/>
        <v>-9</v>
      </c>
      <c r="M61" s="1">
        <f t="shared" si="5"/>
        <v>26</v>
      </c>
      <c r="N61" s="1"/>
      <c r="O61" s="1"/>
      <c r="P61" s="1">
        <v>68.799999999999955</v>
      </c>
      <c r="Q61" s="1"/>
      <c r="R61" s="1"/>
      <c r="S61" s="10"/>
      <c r="T61" s="1"/>
      <c r="U61" s="1"/>
      <c r="V61" s="1"/>
      <c r="W61" s="1"/>
      <c r="X61" s="1">
        <v>0</v>
      </c>
      <c r="Y61" s="1"/>
      <c r="Z61" s="1"/>
      <c r="AA61" s="1">
        <f t="shared" si="6"/>
        <v>5.2</v>
      </c>
      <c r="AB61" s="5"/>
      <c r="AC61" s="5">
        <f>VLOOKUP(A61,[2]Sheet!$A:$AC,29,0)</f>
        <v>-60</v>
      </c>
      <c r="AD61" s="5"/>
      <c r="AE61" s="5">
        <f t="shared" si="14"/>
        <v>0</v>
      </c>
      <c r="AF61" s="1">
        <f t="shared" si="7"/>
        <v>32.076923076923066</v>
      </c>
      <c r="AG61" s="1">
        <f t="shared" si="8"/>
        <v>32.076923076923066</v>
      </c>
      <c r="AH61" s="1">
        <v>8.1999999999999993</v>
      </c>
      <c r="AI61" s="1">
        <v>11.2</v>
      </c>
      <c r="AJ61" s="1">
        <v>17.399999999999999</v>
      </c>
      <c r="AK61" s="1">
        <v>13.8</v>
      </c>
      <c r="AL61" s="1">
        <v>7.8</v>
      </c>
      <c r="AM61" s="1">
        <v>5.6</v>
      </c>
      <c r="AN61" s="1">
        <v>8.8000000000000007</v>
      </c>
      <c r="AO61" s="1">
        <v>17</v>
      </c>
      <c r="AP61" s="1">
        <v>11</v>
      </c>
      <c r="AQ61" s="22" t="s">
        <v>182</v>
      </c>
      <c r="AR61" s="1">
        <f t="shared" si="9"/>
        <v>0</v>
      </c>
      <c r="AS61" s="1">
        <f t="shared" si="10"/>
        <v>21</v>
      </c>
      <c r="AT61" s="1">
        <f t="shared" si="11"/>
        <v>37.1</v>
      </c>
      <c r="AU61" s="1"/>
      <c r="AV61" s="1">
        <f t="shared" si="12"/>
        <v>0</v>
      </c>
      <c r="AW61" s="1"/>
      <c r="AX61" s="1"/>
      <c r="AY61" s="1"/>
      <c r="AZ61" s="1"/>
    </row>
    <row r="62" spans="1:52" x14ac:dyDescent="0.25">
      <c r="A62" s="1" t="s">
        <v>105</v>
      </c>
      <c r="B62" s="1" t="s">
        <v>46</v>
      </c>
      <c r="C62" s="1">
        <v>195</v>
      </c>
      <c r="D62" s="1">
        <v>189</v>
      </c>
      <c r="E62" s="1">
        <v>153</v>
      </c>
      <c r="F62" s="1">
        <v>202</v>
      </c>
      <c r="G62" s="7">
        <v>0.37</v>
      </c>
      <c r="H62" s="1">
        <v>50</v>
      </c>
      <c r="I62" s="1" t="s">
        <v>176</v>
      </c>
      <c r="J62" s="1"/>
      <c r="K62" s="1">
        <v>231</v>
      </c>
      <c r="L62" s="1">
        <f t="shared" si="23"/>
        <v>-78</v>
      </c>
      <c r="M62" s="1">
        <f t="shared" si="5"/>
        <v>153</v>
      </c>
      <c r="N62" s="1"/>
      <c r="O62" s="1"/>
      <c r="P62" s="1">
        <v>0</v>
      </c>
      <c r="Q62" s="1"/>
      <c r="R62" s="1"/>
      <c r="S62" s="10"/>
      <c r="T62" s="1"/>
      <c r="U62" s="1"/>
      <c r="V62" s="1"/>
      <c r="W62" s="1"/>
      <c r="X62" s="1">
        <v>155.50000000000011</v>
      </c>
      <c r="Y62" s="1"/>
      <c r="Z62" s="1"/>
      <c r="AA62" s="1">
        <f t="shared" si="6"/>
        <v>30.6</v>
      </c>
      <c r="AB62" s="5"/>
      <c r="AC62" s="5">
        <f>VLOOKUP(A62,[2]Sheet!$A:$AC,29,0)</f>
        <v>0</v>
      </c>
      <c r="AD62" s="5"/>
      <c r="AE62" s="5">
        <f>IF(($AE$1-AG62)*AA62&lt;0,0,($AE$1-AG62)*AA62)</f>
        <v>37.239999999999924</v>
      </c>
      <c r="AF62" s="1">
        <f t="shared" si="7"/>
        <v>12.9</v>
      </c>
      <c r="AG62" s="1">
        <f t="shared" si="8"/>
        <v>11.683006535947715</v>
      </c>
      <c r="AH62" s="1">
        <v>29</v>
      </c>
      <c r="AI62" s="1">
        <v>32.200000000000003</v>
      </c>
      <c r="AJ62" s="1">
        <v>29.2</v>
      </c>
      <c r="AK62" s="1">
        <v>33</v>
      </c>
      <c r="AL62" s="1">
        <v>30</v>
      </c>
      <c r="AM62" s="1">
        <v>16.600000000000001</v>
      </c>
      <c r="AN62" s="1">
        <v>15.8</v>
      </c>
      <c r="AO62" s="1">
        <v>23.6</v>
      </c>
      <c r="AP62" s="1">
        <v>31</v>
      </c>
      <c r="AQ62" s="1"/>
      <c r="AR62" s="1">
        <f t="shared" si="9"/>
        <v>14</v>
      </c>
      <c r="AS62" s="1">
        <f t="shared" si="10"/>
        <v>0</v>
      </c>
      <c r="AT62" s="1">
        <f t="shared" si="11"/>
        <v>100.27</v>
      </c>
      <c r="AU62" s="1"/>
      <c r="AV62" s="1">
        <f t="shared" si="12"/>
        <v>0</v>
      </c>
      <c r="AW62" s="1"/>
      <c r="AX62" s="1"/>
      <c r="AY62" s="1"/>
      <c r="AZ62" s="1"/>
    </row>
    <row r="63" spans="1:52" x14ac:dyDescent="0.25">
      <c r="A63" s="1" t="s">
        <v>106</v>
      </c>
      <c r="B63" s="1" t="s">
        <v>46</v>
      </c>
      <c r="C63" s="1">
        <v>1673</v>
      </c>
      <c r="D63" s="1">
        <v>243</v>
      </c>
      <c r="E63" s="1">
        <v>1339</v>
      </c>
      <c r="F63" s="1">
        <v>544</v>
      </c>
      <c r="G63" s="7">
        <v>0.6</v>
      </c>
      <c r="H63" s="1">
        <v>70</v>
      </c>
      <c r="I63" s="21" t="s">
        <v>181</v>
      </c>
      <c r="J63" s="1"/>
      <c r="K63" s="1">
        <v>1429</v>
      </c>
      <c r="L63" s="1">
        <f t="shared" si="23"/>
        <v>-90</v>
      </c>
      <c r="M63" s="1">
        <f t="shared" si="5"/>
        <v>1339</v>
      </c>
      <c r="N63" s="1"/>
      <c r="O63" s="1"/>
      <c r="P63" s="1">
        <v>500</v>
      </c>
      <c r="Q63" s="1"/>
      <c r="R63" s="1"/>
      <c r="S63" s="10"/>
      <c r="T63" s="1"/>
      <c r="U63" s="1"/>
      <c r="V63" s="1"/>
      <c r="W63" s="1"/>
      <c r="X63" s="1">
        <v>100</v>
      </c>
      <c r="Y63" s="1"/>
      <c r="Z63" s="1"/>
      <c r="AA63" s="1">
        <f t="shared" si="6"/>
        <v>267.8</v>
      </c>
      <c r="AB63" s="5"/>
      <c r="AC63" s="5">
        <f>VLOOKUP(A63,[2]Sheet!$A:$AC,29,0)</f>
        <v>0</v>
      </c>
      <c r="AD63" s="5"/>
      <c r="AE63" s="5">
        <f t="shared" si="14"/>
        <v>0</v>
      </c>
      <c r="AF63" s="1">
        <f t="shared" si="7"/>
        <v>4.2718446601941746</v>
      </c>
      <c r="AG63" s="1">
        <f t="shared" si="8"/>
        <v>4.2718446601941746</v>
      </c>
      <c r="AH63" s="1">
        <v>269</v>
      </c>
      <c r="AI63" s="1">
        <v>267.2</v>
      </c>
      <c r="AJ63" s="1">
        <v>46.4</v>
      </c>
      <c r="AK63" s="1">
        <v>45.849400000000003</v>
      </c>
      <c r="AL63" s="1">
        <v>42.6494</v>
      </c>
      <c r="AM63" s="1">
        <v>44.8</v>
      </c>
      <c r="AN63" s="1">
        <v>51.4</v>
      </c>
      <c r="AO63" s="1">
        <v>44.4</v>
      </c>
      <c r="AP63" s="1">
        <v>22.8</v>
      </c>
      <c r="AQ63" s="1" t="s">
        <v>107</v>
      </c>
      <c r="AR63" s="1">
        <f t="shared" si="9"/>
        <v>0</v>
      </c>
      <c r="AS63" s="1">
        <f t="shared" si="10"/>
        <v>0</v>
      </c>
      <c r="AT63" s="1">
        <f t="shared" si="11"/>
        <v>661.37927999999999</v>
      </c>
      <c r="AU63" s="1"/>
      <c r="AV63" s="1">
        <f t="shared" si="12"/>
        <v>0</v>
      </c>
      <c r="AW63" s="1"/>
      <c r="AX63" s="1"/>
      <c r="AY63" s="1"/>
      <c r="AZ63" s="1"/>
    </row>
    <row r="64" spans="1:52" x14ac:dyDescent="0.25">
      <c r="A64" s="1" t="s">
        <v>108</v>
      </c>
      <c r="B64" s="1" t="s">
        <v>46</v>
      </c>
      <c r="C64" s="1">
        <v>163</v>
      </c>
      <c r="D64" s="1">
        <v>115</v>
      </c>
      <c r="E64" s="1">
        <v>177</v>
      </c>
      <c r="F64" s="1">
        <v>52</v>
      </c>
      <c r="G64" s="7">
        <v>0.33</v>
      </c>
      <c r="H64" s="1">
        <v>40</v>
      </c>
      <c r="I64" s="1" t="s">
        <v>176</v>
      </c>
      <c r="J64" s="1"/>
      <c r="K64" s="1">
        <v>410</v>
      </c>
      <c r="L64" s="1">
        <f t="shared" si="23"/>
        <v>-233</v>
      </c>
      <c r="M64" s="1">
        <f t="shared" si="5"/>
        <v>177</v>
      </c>
      <c r="N64" s="1"/>
      <c r="O64" s="1"/>
      <c r="P64" s="1">
        <v>54.800000000000011</v>
      </c>
      <c r="Q64" s="1"/>
      <c r="R64" s="1"/>
      <c r="S64" s="10"/>
      <c r="T64" s="1"/>
      <c r="U64" s="1"/>
      <c r="V64" s="1"/>
      <c r="W64" s="1"/>
      <c r="X64" s="1">
        <v>217.2</v>
      </c>
      <c r="Y64" s="1"/>
      <c r="Z64" s="1"/>
      <c r="AA64" s="1">
        <f t="shared" si="6"/>
        <v>35.4</v>
      </c>
      <c r="AB64" s="5">
        <f t="shared" si="19"/>
        <v>65.399999999999977</v>
      </c>
      <c r="AC64" s="5">
        <f>VLOOKUP(A64,[2]Sheet!$A:$AC,29,0)</f>
        <v>0</v>
      </c>
      <c r="AD64" s="5"/>
      <c r="AE64" s="5">
        <f t="shared" ref="AE64:AE67" si="27">IF(($AE$1-AG64)*AA64&lt;0,0,($AE$1-AG64)*AA64)</f>
        <v>132.66</v>
      </c>
      <c r="AF64" s="1">
        <f t="shared" si="7"/>
        <v>12.9</v>
      </c>
      <c r="AG64" s="1">
        <f t="shared" si="8"/>
        <v>9.1525423728813564</v>
      </c>
      <c r="AH64" s="1">
        <v>34.799999999999997</v>
      </c>
      <c r="AI64" s="1">
        <v>35.6</v>
      </c>
      <c r="AJ64" s="1">
        <v>19.8</v>
      </c>
      <c r="AK64" s="1">
        <v>12.8</v>
      </c>
      <c r="AL64" s="1">
        <v>23.4</v>
      </c>
      <c r="AM64" s="1">
        <v>19.399999999999999</v>
      </c>
      <c r="AN64" s="1">
        <v>9.6</v>
      </c>
      <c r="AO64" s="1">
        <v>4.2</v>
      </c>
      <c r="AP64" s="1">
        <v>12</v>
      </c>
      <c r="AQ64" s="1"/>
      <c r="AR64" s="1">
        <f t="shared" si="9"/>
        <v>44</v>
      </c>
      <c r="AS64" s="1">
        <f t="shared" si="10"/>
        <v>0</v>
      </c>
      <c r="AT64" s="1">
        <f t="shared" si="11"/>
        <v>68.309999999999988</v>
      </c>
      <c r="AU64" s="1"/>
      <c r="AV64" s="1">
        <f t="shared" si="12"/>
        <v>0</v>
      </c>
      <c r="AW64" s="1"/>
      <c r="AX64" s="1"/>
      <c r="AY64" s="1"/>
      <c r="AZ64" s="1"/>
    </row>
    <row r="65" spans="1:52" x14ac:dyDescent="0.25">
      <c r="A65" s="1" t="s">
        <v>109</v>
      </c>
      <c r="B65" s="1" t="s">
        <v>46</v>
      </c>
      <c r="C65" s="1">
        <v>74</v>
      </c>
      <c r="D65" s="1">
        <v>145</v>
      </c>
      <c r="E65" s="1">
        <v>60</v>
      </c>
      <c r="F65" s="1">
        <v>152</v>
      </c>
      <c r="G65" s="7">
        <v>0.4</v>
      </c>
      <c r="H65" s="1">
        <v>55</v>
      </c>
      <c r="I65" s="1" t="s">
        <v>176</v>
      </c>
      <c r="J65" s="1"/>
      <c r="K65" s="1">
        <v>96</v>
      </c>
      <c r="L65" s="1">
        <f t="shared" si="23"/>
        <v>-36</v>
      </c>
      <c r="M65" s="1">
        <f t="shared" si="5"/>
        <v>60</v>
      </c>
      <c r="N65" s="1"/>
      <c r="O65" s="1"/>
      <c r="P65" s="1">
        <v>0</v>
      </c>
      <c r="Q65" s="1"/>
      <c r="R65" s="1"/>
      <c r="S65" s="10"/>
      <c r="T65" s="1"/>
      <c r="U65" s="1"/>
      <c r="V65" s="1"/>
      <c r="W65" s="1"/>
      <c r="X65" s="1">
        <v>0</v>
      </c>
      <c r="Y65" s="1"/>
      <c r="Z65" s="1"/>
      <c r="AA65" s="1">
        <f t="shared" si="6"/>
        <v>12</v>
      </c>
      <c r="AB65" s="5"/>
      <c r="AC65" s="5">
        <f>VLOOKUP(A65,[2]Sheet!$A:$AC,29,0)</f>
        <v>0</v>
      </c>
      <c r="AD65" s="5"/>
      <c r="AE65" s="5">
        <f t="shared" si="27"/>
        <v>2.8000000000000114</v>
      </c>
      <c r="AF65" s="1">
        <f t="shared" si="7"/>
        <v>12.9</v>
      </c>
      <c r="AG65" s="1">
        <f t="shared" si="8"/>
        <v>12.666666666666666</v>
      </c>
      <c r="AH65" s="1">
        <v>8.4</v>
      </c>
      <c r="AI65" s="1">
        <v>7.2</v>
      </c>
      <c r="AJ65" s="1">
        <v>5.8</v>
      </c>
      <c r="AK65" s="1">
        <v>17.2</v>
      </c>
      <c r="AL65" s="1">
        <v>11.4</v>
      </c>
      <c r="AM65" s="1">
        <v>6</v>
      </c>
      <c r="AN65" s="1">
        <v>13.6</v>
      </c>
      <c r="AO65" s="1">
        <v>13.2</v>
      </c>
      <c r="AP65" s="1">
        <v>10.148</v>
      </c>
      <c r="AQ65" s="1"/>
      <c r="AR65" s="1">
        <f t="shared" si="9"/>
        <v>1</v>
      </c>
      <c r="AS65" s="1">
        <f t="shared" si="10"/>
        <v>0</v>
      </c>
      <c r="AT65" s="1">
        <f t="shared" si="11"/>
        <v>41.979200000000006</v>
      </c>
      <c r="AU65" s="1"/>
      <c r="AV65" s="1">
        <f t="shared" si="12"/>
        <v>0</v>
      </c>
      <c r="AW65" s="1"/>
      <c r="AX65" s="1"/>
      <c r="AY65" s="1"/>
      <c r="AZ65" s="1"/>
    </row>
    <row r="66" spans="1:52" x14ac:dyDescent="0.25">
      <c r="A66" s="1" t="s">
        <v>110</v>
      </c>
      <c r="B66" s="1" t="s">
        <v>46</v>
      </c>
      <c r="C66" s="1">
        <v>153</v>
      </c>
      <c r="D66" s="1">
        <v>215</v>
      </c>
      <c r="E66" s="1">
        <v>233</v>
      </c>
      <c r="F66" s="1">
        <v>85</v>
      </c>
      <c r="G66" s="7">
        <v>0.35</v>
      </c>
      <c r="H66" s="1">
        <v>40</v>
      </c>
      <c r="I66" s="1" t="s">
        <v>176</v>
      </c>
      <c r="J66" s="1"/>
      <c r="K66" s="1">
        <v>354</v>
      </c>
      <c r="L66" s="1">
        <f t="shared" si="23"/>
        <v>-121</v>
      </c>
      <c r="M66" s="1">
        <f t="shared" si="5"/>
        <v>203</v>
      </c>
      <c r="N66" s="1">
        <v>30</v>
      </c>
      <c r="O66" s="1"/>
      <c r="P66" s="1">
        <v>62.199999999999989</v>
      </c>
      <c r="Q66" s="1"/>
      <c r="R66" s="1"/>
      <c r="S66" s="10"/>
      <c r="T66" s="1"/>
      <c r="U66" s="1"/>
      <c r="V66" s="1"/>
      <c r="W66" s="1">
        <v>-318</v>
      </c>
      <c r="X66" s="1">
        <v>313.10000000000002</v>
      </c>
      <c r="Y66" s="1"/>
      <c r="Z66" s="1"/>
      <c r="AA66" s="1">
        <f t="shared" si="6"/>
        <v>40.6</v>
      </c>
      <c r="AB66" s="5">
        <f>10*AA66-Z66-Y66-X66-W66-V66-U66-T66-R66-Q66-P66-O66-F66</f>
        <v>263.7</v>
      </c>
      <c r="AC66" s="5">
        <f>VLOOKUP(A66,[2]Sheet!$A:$AC,29,0)</f>
        <v>0</v>
      </c>
      <c r="AD66" s="5"/>
      <c r="AE66" s="5">
        <f t="shared" si="27"/>
        <v>381.44</v>
      </c>
      <c r="AF66" s="1">
        <f t="shared" si="7"/>
        <v>12.9</v>
      </c>
      <c r="AG66" s="1">
        <f t="shared" si="8"/>
        <v>3.5049261083743843</v>
      </c>
      <c r="AH66" s="1">
        <v>41.6</v>
      </c>
      <c r="AI66" s="1">
        <v>46.2</v>
      </c>
      <c r="AJ66" s="1">
        <v>34.4</v>
      </c>
      <c r="AK66" s="1">
        <v>36.6</v>
      </c>
      <c r="AL66" s="1">
        <v>30</v>
      </c>
      <c r="AM66" s="1">
        <v>11.8</v>
      </c>
      <c r="AN66" s="1">
        <v>22.8</v>
      </c>
      <c r="AO66" s="1">
        <v>51.8</v>
      </c>
      <c r="AP66" s="1">
        <v>47.6</v>
      </c>
      <c r="AQ66" s="1"/>
      <c r="AR66" s="1">
        <f t="shared" si="9"/>
        <v>134</v>
      </c>
      <c r="AS66" s="1">
        <f t="shared" si="10"/>
        <v>0</v>
      </c>
      <c r="AT66" s="1">
        <f t="shared" si="11"/>
        <v>127.19</v>
      </c>
      <c r="AU66" s="1"/>
      <c r="AV66" s="1">
        <f t="shared" si="12"/>
        <v>0</v>
      </c>
      <c r="AW66" s="1"/>
      <c r="AX66" s="1"/>
      <c r="AY66" s="1"/>
      <c r="AZ66" s="1"/>
    </row>
    <row r="67" spans="1:52" x14ac:dyDescent="0.25">
      <c r="A67" s="1" t="s">
        <v>111</v>
      </c>
      <c r="B67" s="1" t="s">
        <v>46</v>
      </c>
      <c r="C67" s="1">
        <v>597</v>
      </c>
      <c r="D67" s="1">
        <v>185</v>
      </c>
      <c r="E67" s="1">
        <v>393</v>
      </c>
      <c r="F67" s="1">
        <v>327</v>
      </c>
      <c r="G67" s="7">
        <v>0.35</v>
      </c>
      <c r="H67" s="1">
        <v>45</v>
      </c>
      <c r="I67" s="1" t="s">
        <v>176</v>
      </c>
      <c r="J67" s="1"/>
      <c r="K67" s="1">
        <v>641</v>
      </c>
      <c r="L67" s="1">
        <f t="shared" si="23"/>
        <v>-248</v>
      </c>
      <c r="M67" s="1">
        <f t="shared" si="5"/>
        <v>363</v>
      </c>
      <c r="N67" s="1">
        <v>30</v>
      </c>
      <c r="O67" s="1"/>
      <c r="P67" s="1">
        <v>214</v>
      </c>
      <c r="Q67" s="1"/>
      <c r="R67" s="1"/>
      <c r="S67" s="10"/>
      <c r="T67" s="1"/>
      <c r="U67" s="1"/>
      <c r="V67" s="1"/>
      <c r="W67" s="1">
        <v>-258</v>
      </c>
      <c r="X67" s="1">
        <v>254</v>
      </c>
      <c r="Y67" s="1"/>
      <c r="Z67" s="1"/>
      <c r="AA67" s="1">
        <f t="shared" si="6"/>
        <v>72.599999999999994</v>
      </c>
      <c r="AB67" s="5">
        <f t="shared" si="19"/>
        <v>261.59999999999991</v>
      </c>
      <c r="AC67" s="5">
        <f>VLOOKUP(A67,[2]Sheet!$A:$AC,29,0)</f>
        <v>0</v>
      </c>
      <c r="AD67" s="5"/>
      <c r="AE67" s="5">
        <f t="shared" si="27"/>
        <v>399.53999999999996</v>
      </c>
      <c r="AF67" s="1">
        <f t="shared" si="7"/>
        <v>12.9</v>
      </c>
      <c r="AG67" s="1">
        <f t="shared" si="8"/>
        <v>7.3966942148760335</v>
      </c>
      <c r="AH67" s="1">
        <v>72.599999999999994</v>
      </c>
      <c r="AI67" s="1">
        <v>82</v>
      </c>
      <c r="AJ67" s="1">
        <v>85</v>
      </c>
      <c r="AK67" s="1">
        <v>80</v>
      </c>
      <c r="AL67" s="1">
        <v>70.599999999999994</v>
      </c>
      <c r="AM67" s="1">
        <v>69.400000000000006</v>
      </c>
      <c r="AN67" s="1">
        <v>121.4</v>
      </c>
      <c r="AO67" s="1">
        <v>133.4</v>
      </c>
      <c r="AP67" s="1">
        <v>75.8</v>
      </c>
      <c r="AQ67" s="1"/>
      <c r="AR67" s="1">
        <f t="shared" si="9"/>
        <v>140</v>
      </c>
      <c r="AS67" s="1">
        <f t="shared" si="10"/>
        <v>0</v>
      </c>
      <c r="AT67" s="1">
        <f t="shared" si="11"/>
        <v>301.98</v>
      </c>
      <c r="AU67" s="1"/>
      <c r="AV67" s="1">
        <f t="shared" si="12"/>
        <v>0</v>
      </c>
      <c r="AW67" s="1"/>
      <c r="AX67" s="1"/>
      <c r="AY67" s="1"/>
      <c r="AZ67" s="1"/>
    </row>
    <row r="68" spans="1:52" x14ac:dyDescent="0.25">
      <c r="A68" s="1" t="s">
        <v>112</v>
      </c>
      <c r="B68" s="1" t="s">
        <v>46</v>
      </c>
      <c r="C68" s="1">
        <v>23</v>
      </c>
      <c r="D68" s="1"/>
      <c r="E68" s="1">
        <v>1</v>
      </c>
      <c r="F68" s="1">
        <v>22</v>
      </c>
      <c r="G68" s="7">
        <v>0.4</v>
      </c>
      <c r="H68" s="1">
        <v>55</v>
      </c>
      <c r="I68" s="1" t="s">
        <v>176</v>
      </c>
      <c r="J68" s="1"/>
      <c r="K68" s="1">
        <v>41</v>
      </c>
      <c r="L68" s="1">
        <f t="shared" si="23"/>
        <v>-40</v>
      </c>
      <c r="M68" s="1">
        <f t="shared" si="5"/>
        <v>1</v>
      </c>
      <c r="N68" s="1"/>
      <c r="O68" s="1"/>
      <c r="P68" s="1">
        <v>15</v>
      </c>
      <c r="Q68" s="1"/>
      <c r="R68" s="1"/>
      <c r="S68" s="10"/>
      <c r="T68" s="1"/>
      <c r="U68" s="1"/>
      <c r="V68" s="1"/>
      <c r="W68" s="1"/>
      <c r="X68" s="1">
        <v>20.499999999999989</v>
      </c>
      <c r="Y68" s="1"/>
      <c r="Z68" s="1"/>
      <c r="AA68" s="1">
        <f t="shared" si="6"/>
        <v>0.2</v>
      </c>
      <c r="AB68" s="5"/>
      <c r="AC68" s="5">
        <f>VLOOKUP(A68,[2]Sheet!$A:$AC,29,0)</f>
        <v>-10</v>
      </c>
      <c r="AD68" s="5">
        <f>VLOOKUP(A68,[3]TDSheet!$A$1:$N$65536,14,0)*(-1)</f>
        <v>-4</v>
      </c>
      <c r="AE68" s="5">
        <f t="shared" si="14"/>
        <v>0</v>
      </c>
      <c r="AF68" s="1">
        <f t="shared" si="7"/>
        <v>267.49999999999989</v>
      </c>
      <c r="AG68" s="1">
        <f t="shared" si="8"/>
        <v>287.49999999999989</v>
      </c>
      <c r="AH68" s="1">
        <v>0.2</v>
      </c>
      <c r="AI68" s="1">
        <v>4.5999999999999996</v>
      </c>
      <c r="AJ68" s="1">
        <v>5</v>
      </c>
      <c r="AK68" s="1">
        <v>1</v>
      </c>
      <c r="AL68" s="1">
        <v>0.4</v>
      </c>
      <c r="AM68" s="1">
        <v>0</v>
      </c>
      <c r="AN68" s="1">
        <v>0</v>
      </c>
      <c r="AO68" s="1">
        <v>1</v>
      </c>
      <c r="AP68" s="1">
        <v>1</v>
      </c>
      <c r="AQ68" s="22" t="s">
        <v>182</v>
      </c>
      <c r="AR68" s="1">
        <f t="shared" si="9"/>
        <v>0</v>
      </c>
      <c r="AS68" s="1">
        <f t="shared" si="10"/>
        <v>4</v>
      </c>
      <c r="AT68" s="1">
        <f t="shared" si="11"/>
        <v>5.3599999999999994</v>
      </c>
      <c r="AU68" s="1"/>
      <c r="AV68" s="1">
        <f t="shared" si="12"/>
        <v>1.6</v>
      </c>
      <c r="AW68" s="1"/>
      <c r="AX68" s="1"/>
      <c r="AY68" s="1"/>
      <c r="AZ68" s="1"/>
    </row>
    <row r="69" spans="1:52" x14ac:dyDescent="0.25">
      <c r="A69" s="1" t="s">
        <v>113</v>
      </c>
      <c r="B69" s="1" t="s">
        <v>42</v>
      </c>
      <c r="C69" s="1">
        <v>66.683999999999997</v>
      </c>
      <c r="D69" s="1">
        <v>1.444</v>
      </c>
      <c r="E69" s="1">
        <v>5.6859999999999999</v>
      </c>
      <c r="F69" s="1">
        <v>60.997999999999998</v>
      </c>
      <c r="G69" s="7">
        <v>1</v>
      </c>
      <c r="H69" s="1">
        <v>55</v>
      </c>
      <c r="I69" s="1" t="s">
        <v>176</v>
      </c>
      <c r="J69" s="1"/>
      <c r="K69" s="1">
        <v>7.8</v>
      </c>
      <c r="L69" s="1">
        <f t="shared" si="23"/>
        <v>-2.1139999999999999</v>
      </c>
      <c r="M69" s="1">
        <f t="shared" si="5"/>
        <v>5.6859999999999999</v>
      </c>
      <c r="N69" s="1"/>
      <c r="O69" s="1"/>
      <c r="P69" s="1">
        <v>0</v>
      </c>
      <c r="Q69" s="1"/>
      <c r="R69" s="1"/>
      <c r="S69" s="10"/>
      <c r="T69" s="1"/>
      <c r="U69" s="1"/>
      <c r="V69" s="1"/>
      <c r="W69" s="1"/>
      <c r="X69" s="1">
        <v>0</v>
      </c>
      <c r="Y69" s="1"/>
      <c r="Z69" s="1"/>
      <c r="AA69" s="1">
        <f t="shared" si="6"/>
        <v>1.1372</v>
      </c>
      <c r="AB69" s="5"/>
      <c r="AC69" s="5">
        <f>VLOOKUP(A69,[2]Sheet!$A:$AC,29,0)</f>
        <v>-47.920200000000001</v>
      </c>
      <c r="AD69" s="5"/>
      <c r="AE69" s="5">
        <f t="shared" si="14"/>
        <v>0</v>
      </c>
      <c r="AF69" s="1">
        <f t="shared" si="7"/>
        <v>53.638761871262751</v>
      </c>
      <c r="AG69" s="1">
        <f t="shared" si="8"/>
        <v>53.638761871262751</v>
      </c>
      <c r="AH69" s="1">
        <v>1.4352</v>
      </c>
      <c r="AI69" s="1">
        <v>2.8454000000000002</v>
      </c>
      <c r="AJ69" s="1">
        <v>1.7416</v>
      </c>
      <c r="AK69" s="1">
        <v>3.1873999999999998</v>
      </c>
      <c r="AL69" s="1">
        <v>6.8353999999999999</v>
      </c>
      <c r="AM69" s="1">
        <v>3.2829999999999999</v>
      </c>
      <c r="AN69" s="1">
        <v>2.9152</v>
      </c>
      <c r="AO69" s="1">
        <v>5.6456</v>
      </c>
      <c r="AP69" s="1">
        <v>4.0502000000000002</v>
      </c>
      <c r="AQ69" s="22" t="s">
        <v>182</v>
      </c>
      <c r="AR69" s="1">
        <f t="shared" si="9"/>
        <v>0</v>
      </c>
      <c r="AS69" s="1">
        <f t="shared" si="10"/>
        <v>47.920200000000001</v>
      </c>
      <c r="AT69" s="1">
        <f t="shared" si="11"/>
        <v>33.0762</v>
      </c>
      <c r="AU69" s="1"/>
      <c r="AV69" s="1">
        <f t="shared" si="12"/>
        <v>0</v>
      </c>
      <c r="AW69" s="1"/>
      <c r="AX69" s="1"/>
      <c r="AY69" s="1"/>
      <c r="AZ69" s="1"/>
    </row>
    <row r="70" spans="1:52" x14ac:dyDescent="0.25">
      <c r="A70" s="1" t="s">
        <v>114</v>
      </c>
      <c r="B70" s="1" t="s">
        <v>42</v>
      </c>
      <c r="C70" s="1">
        <v>4990.4939999999997</v>
      </c>
      <c r="D70" s="1">
        <v>2199.4810000000002</v>
      </c>
      <c r="E70" s="1">
        <v>2512.5450000000001</v>
      </c>
      <c r="F70" s="1">
        <v>4448.7730000000001</v>
      </c>
      <c r="G70" s="7">
        <v>1</v>
      </c>
      <c r="H70" s="1">
        <v>60</v>
      </c>
      <c r="I70" s="1" t="s">
        <v>189</v>
      </c>
      <c r="J70" s="1"/>
      <c r="K70" s="1">
        <v>3650.3</v>
      </c>
      <c r="L70" s="1">
        <f t="shared" ref="L70:L99" si="28">E70-K70</f>
        <v>-1137.7550000000001</v>
      </c>
      <c r="M70" s="1">
        <f t="shared" si="5"/>
        <v>2431.0750000000003</v>
      </c>
      <c r="N70" s="1">
        <v>81.47</v>
      </c>
      <c r="O70" s="1"/>
      <c r="P70" s="1">
        <v>656.84412038656228</v>
      </c>
      <c r="Q70" s="1"/>
      <c r="R70" s="1"/>
      <c r="S70" s="10"/>
      <c r="T70" s="1"/>
      <c r="U70" s="1"/>
      <c r="V70" s="1"/>
      <c r="W70" s="1"/>
      <c r="X70" s="1">
        <v>1485.6944240000009</v>
      </c>
      <c r="Y70" s="1"/>
      <c r="Z70" s="1">
        <v>500</v>
      </c>
      <c r="AA70" s="1">
        <f t="shared" si="6"/>
        <v>486.21500000000003</v>
      </c>
      <c r="AB70" s="5"/>
      <c r="AC70" s="5">
        <f>VLOOKUP(A70,[2]Sheet!$A:$AC,29,0)</f>
        <v>-1500</v>
      </c>
      <c r="AD70" s="5">
        <f>VLOOKUP(A70,[3]TDSheet!$A$1:$N$65536,14,0)*(-1)</f>
        <v>-1053.54</v>
      </c>
      <c r="AE70" s="5">
        <f>IF(($AE$1-AG70)*AA70&lt;0,0,($AE$1-AG70)*AA70)</f>
        <v>0</v>
      </c>
      <c r="AF70" s="1">
        <f t="shared" si="7"/>
        <v>12.417904721957495</v>
      </c>
      <c r="AG70" s="1">
        <f t="shared" si="8"/>
        <v>14.584723927453005</v>
      </c>
      <c r="AH70" s="1">
        <v>545.07420000000002</v>
      </c>
      <c r="AI70" s="1">
        <v>663.97019999999998</v>
      </c>
      <c r="AJ70" s="1">
        <v>653.57219999999995</v>
      </c>
      <c r="AK70" s="1">
        <v>665.99520000000007</v>
      </c>
      <c r="AL70" s="1">
        <v>698.37220000000002</v>
      </c>
      <c r="AM70" s="1">
        <v>724.56380000000013</v>
      </c>
      <c r="AN70" s="1">
        <v>676.86879999999996</v>
      </c>
      <c r="AO70" s="1">
        <v>668.60320000000002</v>
      </c>
      <c r="AP70" s="1">
        <v>799.48800000000006</v>
      </c>
      <c r="AQ70" s="1"/>
      <c r="AR70" s="1">
        <f t="shared" si="9"/>
        <v>0</v>
      </c>
      <c r="AS70" s="1">
        <f t="shared" si="10"/>
        <v>1500</v>
      </c>
      <c r="AT70" s="1">
        <f t="shared" si="11"/>
        <v>6582.7227999999996</v>
      </c>
      <c r="AU70" s="1">
        <f>(F70+S70+U70+O70)/AA70</f>
        <v>9.1498061557130068</v>
      </c>
      <c r="AV70" s="1">
        <f t="shared" si="12"/>
        <v>1053.54</v>
      </c>
      <c r="AW70" s="1"/>
      <c r="AX70" s="1"/>
      <c r="AY70" s="1"/>
      <c r="AZ70" s="1"/>
    </row>
    <row r="71" spans="1:52" x14ac:dyDescent="0.25">
      <c r="A71" s="1" t="s">
        <v>115</v>
      </c>
      <c r="B71" s="1" t="s">
        <v>46</v>
      </c>
      <c r="C71" s="1">
        <v>257</v>
      </c>
      <c r="D71" s="1">
        <v>318</v>
      </c>
      <c r="E71" s="1">
        <v>98</v>
      </c>
      <c r="F71" s="1">
        <v>411</v>
      </c>
      <c r="G71" s="7">
        <v>0.3</v>
      </c>
      <c r="H71" s="1">
        <v>40</v>
      </c>
      <c r="I71" s="1" t="s">
        <v>176</v>
      </c>
      <c r="J71" s="1"/>
      <c r="K71" s="1">
        <v>178</v>
      </c>
      <c r="L71" s="1">
        <f t="shared" si="28"/>
        <v>-80</v>
      </c>
      <c r="M71" s="1">
        <f t="shared" ref="M71:M112" si="29">E71-N71</f>
        <v>98</v>
      </c>
      <c r="N71" s="1"/>
      <c r="O71" s="1"/>
      <c r="P71" s="1">
        <v>19.600000000000019</v>
      </c>
      <c r="Q71" s="1"/>
      <c r="R71" s="1"/>
      <c r="S71" s="10"/>
      <c r="T71" s="1"/>
      <c r="U71" s="1"/>
      <c r="V71" s="1"/>
      <c r="W71" s="1"/>
      <c r="X71" s="1">
        <v>0</v>
      </c>
      <c r="Y71" s="1"/>
      <c r="Z71" s="1"/>
      <c r="AA71" s="1">
        <f t="shared" ref="AA71:AA112" si="30">M71/5</f>
        <v>19.600000000000001</v>
      </c>
      <c r="AB71" s="5"/>
      <c r="AC71" s="5">
        <f>VLOOKUP(A71,[2]Sheet!$A:$AC,29,0)</f>
        <v>-205.20000000000002</v>
      </c>
      <c r="AD71" s="5">
        <f>VLOOKUP(A71,[3]TDSheet!$A$1:$N$65536,14,0)*(-1)</f>
        <v>-62</v>
      </c>
      <c r="AE71" s="5">
        <f t="shared" ref="AE71:AE131" si="31">AB71</f>
        <v>0</v>
      </c>
      <c r="AF71" s="1">
        <f t="shared" ref="AF71:AF131" si="32">(F71+O71+P71+Q71+R71+T71+U71+V71+W71+X71+Y71+Z71+AE71+AD71)/AA71</f>
        <v>18.806122448979593</v>
      </c>
      <c r="AG71" s="1">
        <f t="shared" ref="AG71:AG128" si="33">(F71+O71+P71+Q71+R71+T71+U71+V71+W71+X71+Y71+Z71)/AA71</f>
        <v>21.969387755102041</v>
      </c>
      <c r="AH71" s="1">
        <v>20.399999999999999</v>
      </c>
      <c r="AI71" s="1">
        <v>31.2</v>
      </c>
      <c r="AJ71" s="1">
        <v>47.6</v>
      </c>
      <c r="AK71" s="1">
        <v>47</v>
      </c>
      <c r="AL71" s="1">
        <v>39.799999999999997</v>
      </c>
      <c r="AM71" s="1">
        <v>42.6</v>
      </c>
      <c r="AN71" s="1">
        <v>36.200000000000003</v>
      </c>
      <c r="AO71" s="1">
        <v>40.200000000000003</v>
      </c>
      <c r="AP71" s="1">
        <v>53</v>
      </c>
      <c r="AQ71" s="22" t="s">
        <v>182</v>
      </c>
      <c r="AR71" s="1">
        <f t="shared" ref="AR71:AR131" si="34">ROUND(G71*AE71,0)</f>
        <v>0</v>
      </c>
      <c r="AS71" s="1">
        <f t="shared" ref="AS71:AS131" si="35">-1*AC71*G71</f>
        <v>61.56</v>
      </c>
      <c r="AT71" s="1">
        <f t="shared" ref="AT71:AT131" si="36">(AP71+AO71+AN71+AM71+AL71+AK71+AJ71+AI71+AH71+AA71)*G71</f>
        <v>113.28</v>
      </c>
      <c r="AU71" s="1"/>
      <c r="AV71" s="1">
        <f t="shared" ref="AV71:AV131" si="37">-1*AD71*G71</f>
        <v>18.599999999999998</v>
      </c>
      <c r="AW71" s="1"/>
      <c r="AX71" s="1"/>
      <c r="AY71" s="1"/>
      <c r="AZ71" s="1"/>
    </row>
    <row r="72" spans="1:52" x14ac:dyDescent="0.25">
      <c r="A72" s="1" t="s">
        <v>116</v>
      </c>
      <c r="B72" s="1" t="s">
        <v>42</v>
      </c>
      <c r="C72" s="1">
        <v>2074.7759999999998</v>
      </c>
      <c r="D72" s="1">
        <v>322.55700000000002</v>
      </c>
      <c r="E72" s="1">
        <v>1210.549</v>
      </c>
      <c r="F72" s="1">
        <v>1085.2550000000001</v>
      </c>
      <c r="G72" s="7">
        <v>1</v>
      </c>
      <c r="H72" s="1">
        <v>60</v>
      </c>
      <c r="I72" s="1" t="s">
        <v>189</v>
      </c>
      <c r="J72" s="1"/>
      <c r="K72" s="1">
        <v>1679.8</v>
      </c>
      <c r="L72" s="1">
        <f t="shared" si="28"/>
        <v>-469.25099999999998</v>
      </c>
      <c r="M72" s="1">
        <f t="shared" si="29"/>
        <v>1001.169</v>
      </c>
      <c r="N72" s="1">
        <v>209.38</v>
      </c>
      <c r="O72" s="1"/>
      <c r="P72" s="1">
        <v>580.65548686080001</v>
      </c>
      <c r="Q72" s="1"/>
      <c r="R72" s="1">
        <v>590.02089793920004</v>
      </c>
      <c r="S72" s="1">
        <f>VLOOKUP(A72,[1]TDSheet!$A:$B,2,0)</f>
        <v>595.88</v>
      </c>
      <c r="T72" s="1"/>
      <c r="U72" s="1"/>
      <c r="V72" s="1"/>
      <c r="W72" s="1"/>
      <c r="X72" s="1">
        <v>176.31462600000009</v>
      </c>
      <c r="Y72" s="1"/>
      <c r="Z72" s="1"/>
      <c r="AA72" s="1">
        <f t="shared" si="30"/>
        <v>200.2338</v>
      </c>
      <c r="AB72" s="5"/>
      <c r="AC72" s="5">
        <f>VLOOKUP(A72,[2]Sheet!$A:$AC,29,0)</f>
        <v>0</v>
      </c>
      <c r="AD72" s="5"/>
      <c r="AE72" s="5">
        <f>IF(($AE$1-AG72)*AA72&lt;0,0,($AE$1-AG72)*AA72)</f>
        <v>150.77000919999952</v>
      </c>
      <c r="AF72" s="1">
        <f t="shared" si="32"/>
        <v>12.9</v>
      </c>
      <c r="AG72" s="1">
        <f t="shared" si="33"/>
        <v>12.147030175724581</v>
      </c>
      <c r="AH72" s="1">
        <v>224.22739999999999</v>
      </c>
      <c r="AI72" s="1">
        <v>269.709</v>
      </c>
      <c r="AJ72" s="1">
        <v>297.4228</v>
      </c>
      <c r="AK72" s="1">
        <v>254.03819999999999</v>
      </c>
      <c r="AL72" s="1">
        <v>250.9092</v>
      </c>
      <c r="AM72" s="1">
        <v>349.91320000000002</v>
      </c>
      <c r="AN72" s="1">
        <v>349.47840000000002</v>
      </c>
      <c r="AO72" s="1">
        <v>308.02800000000002</v>
      </c>
      <c r="AP72" s="1">
        <v>301.47000000000003</v>
      </c>
      <c r="AQ72" s="1"/>
      <c r="AR72" s="1">
        <f t="shared" si="34"/>
        <v>151</v>
      </c>
      <c r="AS72" s="1">
        <f t="shared" si="35"/>
        <v>0</v>
      </c>
      <c r="AT72" s="1">
        <f t="shared" si="36"/>
        <v>2805.4299999999994</v>
      </c>
      <c r="AU72" s="1">
        <f t="shared" ref="AU72:AU74" si="38">(F72+S72+U72+O72)/AA72</f>
        <v>8.3958602393801662</v>
      </c>
      <c r="AV72" s="1">
        <f t="shared" si="37"/>
        <v>0</v>
      </c>
      <c r="AW72" s="1"/>
      <c r="AX72" s="1"/>
      <c r="AY72" s="1"/>
      <c r="AZ72" s="1"/>
    </row>
    <row r="73" spans="1:52" x14ac:dyDescent="0.25">
      <c r="A73" s="1" t="s">
        <v>117</v>
      </c>
      <c r="B73" s="1" t="s">
        <v>42</v>
      </c>
      <c r="C73" s="1">
        <v>5281.3029999999999</v>
      </c>
      <c r="D73" s="1">
        <v>1669.4939999999999</v>
      </c>
      <c r="E73" s="1">
        <v>3190.7959999999998</v>
      </c>
      <c r="F73" s="1">
        <v>3347.357</v>
      </c>
      <c r="G73" s="7">
        <v>1</v>
      </c>
      <c r="H73" s="1">
        <v>60</v>
      </c>
      <c r="I73" s="1" t="s">
        <v>189</v>
      </c>
      <c r="J73" s="1"/>
      <c r="K73" s="1">
        <v>4076.1</v>
      </c>
      <c r="L73" s="1">
        <f t="shared" si="28"/>
        <v>-885.30400000000009</v>
      </c>
      <c r="M73" s="1">
        <f t="shared" si="29"/>
        <v>2435.0559999999996</v>
      </c>
      <c r="N73" s="1">
        <v>755.74</v>
      </c>
      <c r="O73" s="1"/>
      <c r="P73" s="1">
        <v>809.15368426239968</v>
      </c>
      <c r="Q73" s="1">
        <v>1600</v>
      </c>
      <c r="R73" s="1">
        <v>822.20455013759977</v>
      </c>
      <c r="S73" s="1">
        <f>VLOOKUP(A73,[1]TDSheet!$A:$B,2,0)</f>
        <v>833.05</v>
      </c>
      <c r="T73" s="1"/>
      <c r="U73" s="14">
        <v>1400</v>
      </c>
      <c r="V73" s="1">
        <v>800</v>
      </c>
      <c r="W73" s="1"/>
      <c r="X73" s="1">
        <v>59.182534000000373</v>
      </c>
      <c r="Y73" s="1"/>
      <c r="Z73" s="1"/>
      <c r="AA73" s="1">
        <f t="shared" si="30"/>
        <v>487.01119999999992</v>
      </c>
      <c r="AB73" s="5"/>
      <c r="AC73" s="5">
        <f>VLOOKUP(A73,[2]Sheet!$A:$AC,29,0)</f>
        <v>-2700</v>
      </c>
      <c r="AD73" s="5"/>
      <c r="AE73" s="5">
        <f t="shared" ref="AE73:AE74" si="39">IF(($AE$1-AG73)*AA73&lt;0,0,($AE$1-AG73)*AA73)</f>
        <v>0</v>
      </c>
      <c r="AF73" s="1">
        <f t="shared" si="32"/>
        <v>18.147216672635043</v>
      </c>
      <c r="AG73" s="1">
        <f t="shared" si="33"/>
        <v>18.147216672635043</v>
      </c>
      <c r="AH73" s="1">
        <v>453.0684</v>
      </c>
      <c r="AI73" s="1">
        <v>606.41340000000002</v>
      </c>
      <c r="AJ73" s="1">
        <v>702.14319999999998</v>
      </c>
      <c r="AK73" s="1">
        <v>695.84860000000003</v>
      </c>
      <c r="AL73" s="1">
        <v>634.77740000000006</v>
      </c>
      <c r="AM73" s="1">
        <v>822.75660000000005</v>
      </c>
      <c r="AN73" s="1">
        <v>966.07039999999995</v>
      </c>
      <c r="AO73" s="1">
        <v>712.95320000000004</v>
      </c>
      <c r="AP73" s="1">
        <v>686.71839999999997</v>
      </c>
      <c r="AQ73" s="22" t="s">
        <v>74</v>
      </c>
      <c r="AR73" s="1">
        <f t="shared" si="34"/>
        <v>0</v>
      </c>
      <c r="AS73" s="1">
        <f t="shared" si="35"/>
        <v>2700</v>
      </c>
      <c r="AT73" s="1">
        <f t="shared" si="36"/>
        <v>6767.7608</v>
      </c>
      <c r="AU73" s="1">
        <f t="shared" si="38"/>
        <v>11.458477751641032</v>
      </c>
      <c r="AV73" s="1">
        <f t="shared" si="37"/>
        <v>0</v>
      </c>
      <c r="AW73" s="1"/>
      <c r="AX73" s="1"/>
      <c r="AY73" s="1"/>
      <c r="AZ73" s="1"/>
    </row>
    <row r="74" spans="1:52" x14ac:dyDescent="0.25">
      <c r="A74" s="1" t="s">
        <v>118</v>
      </c>
      <c r="B74" s="1" t="s">
        <v>42</v>
      </c>
      <c r="C74" s="1">
        <v>2425.6640000000002</v>
      </c>
      <c r="D74" s="1">
        <v>4845.3770000000004</v>
      </c>
      <c r="E74" s="1">
        <v>3450.34</v>
      </c>
      <c r="F74" s="1">
        <v>3311.1289999999999</v>
      </c>
      <c r="G74" s="7">
        <v>1</v>
      </c>
      <c r="H74" s="1">
        <v>60</v>
      </c>
      <c r="I74" s="1" t="s">
        <v>189</v>
      </c>
      <c r="J74" s="1"/>
      <c r="K74" s="1">
        <v>4449.7</v>
      </c>
      <c r="L74" s="1">
        <f t="shared" si="28"/>
        <v>-999.35999999999967</v>
      </c>
      <c r="M74" s="1">
        <f t="shared" si="29"/>
        <v>3138.9870000000001</v>
      </c>
      <c r="N74" s="1">
        <v>311.35300000000001</v>
      </c>
      <c r="O74" s="1"/>
      <c r="P74" s="1">
        <v>1365.7285088128001</v>
      </c>
      <c r="Q74" s="1">
        <v>2000</v>
      </c>
      <c r="R74" s="1">
        <v>1387.7563879872</v>
      </c>
      <c r="S74" s="1">
        <f>VLOOKUP(A74,[1]TDSheet!$A:$B,2,0)</f>
        <v>1399.9390000000001</v>
      </c>
      <c r="T74" s="1"/>
      <c r="U74" s="14">
        <v>1400</v>
      </c>
      <c r="V74" s="1">
        <v>800</v>
      </c>
      <c r="W74" s="1"/>
      <c r="X74" s="1">
        <v>39.952035999999453</v>
      </c>
      <c r="Y74" s="1"/>
      <c r="Z74" s="1"/>
      <c r="AA74" s="1">
        <f t="shared" si="30"/>
        <v>627.79740000000004</v>
      </c>
      <c r="AB74" s="5"/>
      <c r="AC74" s="5">
        <f>VLOOKUP(A74,[2]Sheet!$A:$AC,29,0)</f>
        <v>-2700</v>
      </c>
      <c r="AD74" s="5">
        <f>VLOOKUP(A74,[3]TDSheet!$A$1:$N$65536,14,0)*(-1)</f>
        <v>-1432.3</v>
      </c>
      <c r="AE74" s="5">
        <f t="shared" si="39"/>
        <v>0</v>
      </c>
      <c r="AF74" s="1">
        <f t="shared" si="32"/>
        <v>14.132371259900086</v>
      </c>
      <c r="AG74" s="1">
        <f t="shared" si="33"/>
        <v>16.413839771875445</v>
      </c>
      <c r="AH74" s="1">
        <v>577.65159999999992</v>
      </c>
      <c r="AI74" s="1">
        <v>698.26039999999989</v>
      </c>
      <c r="AJ74" s="1">
        <v>814.36879999999996</v>
      </c>
      <c r="AK74" s="1">
        <v>736.1662</v>
      </c>
      <c r="AL74" s="1">
        <v>609.91200000000003</v>
      </c>
      <c r="AM74" s="1">
        <v>659.83880000000011</v>
      </c>
      <c r="AN74" s="1">
        <v>775.93799999999987</v>
      </c>
      <c r="AO74" s="1">
        <v>804.43219999999997</v>
      </c>
      <c r="AP74" s="1">
        <v>793.85979999999995</v>
      </c>
      <c r="AQ74" s="22" t="s">
        <v>74</v>
      </c>
      <c r="AR74" s="1">
        <f t="shared" si="34"/>
        <v>0</v>
      </c>
      <c r="AS74" s="1">
        <f t="shared" si="35"/>
        <v>2700</v>
      </c>
      <c r="AT74" s="1">
        <f t="shared" si="36"/>
        <v>7098.2251999999999</v>
      </c>
      <c r="AU74" s="1">
        <f t="shared" si="38"/>
        <v>9.7341403452769946</v>
      </c>
      <c r="AV74" s="1">
        <f t="shared" si="37"/>
        <v>1432.3</v>
      </c>
      <c r="AW74" s="1"/>
      <c r="AX74" s="1"/>
      <c r="AY74" s="1"/>
      <c r="AZ74" s="1"/>
    </row>
    <row r="75" spans="1:52" x14ac:dyDescent="0.25">
      <c r="A75" s="1" t="s">
        <v>119</v>
      </c>
      <c r="B75" s="1" t="s">
        <v>42</v>
      </c>
      <c r="C75" s="1">
        <v>119.623</v>
      </c>
      <c r="D75" s="1">
        <v>1.35</v>
      </c>
      <c r="E75" s="1">
        <v>45.654000000000003</v>
      </c>
      <c r="F75" s="1">
        <v>73.968999999999994</v>
      </c>
      <c r="G75" s="7">
        <v>1</v>
      </c>
      <c r="H75" s="1">
        <v>55</v>
      </c>
      <c r="I75" s="1" t="s">
        <v>176</v>
      </c>
      <c r="J75" s="1"/>
      <c r="K75" s="1">
        <v>134</v>
      </c>
      <c r="L75" s="1">
        <f t="shared" si="28"/>
        <v>-88.346000000000004</v>
      </c>
      <c r="M75" s="1">
        <f t="shared" si="29"/>
        <v>45.654000000000003</v>
      </c>
      <c r="N75" s="1"/>
      <c r="O75" s="1"/>
      <c r="P75" s="1">
        <v>0</v>
      </c>
      <c r="Q75" s="1"/>
      <c r="R75" s="1"/>
      <c r="S75" s="10"/>
      <c r="T75" s="1"/>
      <c r="U75" s="1"/>
      <c r="V75" s="1"/>
      <c r="W75" s="1"/>
      <c r="X75" s="1">
        <v>0</v>
      </c>
      <c r="Y75" s="1"/>
      <c r="Z75" s="1"/>
      <c r="AA75" s="1">
        <f t="shared" si="30"/>
        <v>9.1308000000000007</v>
      </c>
      <c r="AB75" s="5">
        <f t="shared" si="19"/>
        <v>26.469800000000021</v>
      </c>
      <c r="AC75" s="5">
        <f>VLOOKUP(A75,[2]Sheet!$A:$AC,29,0)</f>
        <v>0</v>
      </c>
      <c r="AD75" s="5"/>
      <c r="AE75" s="5">
        <f>IF(($AE$1-AG75)*AA75&lt;0,0,($AE$1-AG75)*AA75)</f>
        <v>43.818320000000028</v>
      </c>
      <c r="AF75" s="1">
        <f t="shared" si="32"/>
        <v>12.900000000000002</v>
      </c>
      <c r="AG75" s="1">
        <f t="shared" si="33"/>
        <v>8.101042624961666</v>
      </c>
      <c r="AH75" s="1">
        <v>9.6712000000000007</v>
      </c>
      <c r="AI75" s="1">
        <v>9.3979999999999997</v>
      </c>
      <c r="AJ75" s="1">
        <v>9.9340000000000011</v>
      </c>
      <c r="AK75" s="1">
        <v>15.5474</v>
      </c>
      <c r="AL75" s="1">
        <v>15.0168</v>
      </c>
      <c r="AM75" s="1">
        <v>2.4350000000000001</v>
      </c>
      <c r="AN75" s="1">
        <v>1.0888</v>
      </c>
      <c r="AO75" s="1">
        <v>13.7394</v>
      </c>
      <c r="AP75" s="1">
        <v>13.4664</v>
      </c>
      <c r="AQ75" s="1"/>
      <c r="AR75" s="1">
        <f t="shared" si="34"/>
        <v>44</v>
      </c>
      <c r="AS75" s="1">
        <f t="shared" si="35"/>
        <v>0</v>
      </c>
      <c r="AT75" s="1">
        <f t="shared" si="36"/>
        <v>99.427799999999991</v>
      </c>
      <c r="AU75" s="1"/>
      <c r="AV75" s="1">
        <f t="shared" si="37"/>
        <v>0</v>
      </c>
      <c r="AW75" s="1"/>
      <c r="AX75" s="1"/>
      <c r="AY75" s="1"/>
      <c r="AZ75" s="1"/>
    </row>
    <row r="76" spans="1:52" x14ac:dyDescent="0.25">
      <c r="A76" s="10" t="s">
        <v>120</v>
      </c>
      <c r="B76" s="10" t="s">
        <v>42</v>
      </c>
      <c r="C76" s="10"/>
      <c r="D76" s="10"/>
      <c r="E76" s="10">
        <v>1.36</v>
      </c>
      <c r="F76" s="10">
        <v>-1.36</v>
      </c>
      <c r="G76" s="11">
        <v>0</v>
      </c>
      <c r="H76" s="10"/>
      <c r="I76" s="10" t="s">
        <v>122</v>
      </c>
      <c r="J76" s="10"/>
      <c r="K76" s="10">
        <v>1.3</v>
      </c>
      <c r="L76" s="10">
        <f t="shared" si="28"/>
        <v>6.0000000000000053E-2</v>
      </c>
      <c r="M76" s="10">
        <f t="shared" si="29"/>
        <v>1.36</v>
      </c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>
        <f t="shared" si="30"/>
        <v>0.27200000000000002</v>
      </c>
      <c r="AB76" s="12"/>
      <c r="AC76" s="5">
        <f>VLOOKUP(A76,[2]Sheet!$A:$AC,29,0)</f>
        <v>0</v>
      </c>
      <c r="AD76" s="5"/>
      <c r="AE76" s="5">
        <f t="shared" si="31"/>
        <v>0</v>
      </c>
      <c r="AF76" s="1">
        <f t="shared" si="32"/>
        <v>-5</v>
      </c>
      <c r="AG76" s="10">
        <f t="shared" si="33"/>
        <v>-5</v>
      </c>
      <c r="AH76" s="10">
        <v>0</v>
      </c>
      <c r="AI76" s="10">
        <v>0</v>
      </c>
      <c r="AJ76" s="10">
        <v>0</v>
      </c>
      <c r="AK76" s="10">
        <v>0</v>
      </c>
      <c r="AL76" s="10">
        <v>0</v>
      </c>
      <c r="AM76" s="10">
        <v>0</v>
      </c>
      <c r="AN76" s="10">
        <v>0</v>
      </c>
      <c r="AO76" s="10">
        <v>0</v>
      </c>
      <c r="AP76" s="10">
        <v>0</v>
      </c>
      <c r="AQ76" s="10"/>
      <c r="AR76" s="1">
        <f t="shared" si="34"/>
        <v>0</v>
      </c>
      <c r="AS76" s="1">
        <f t="shared" si="35"/>
        <v>0</v>
      </c>
      <c r="AT76" s="1">
        <f t="shared" si="36"/>
        <v>0</v>
      </c>
      <c r="AU76" s="1"/>
      <c r="AV76" s="1">
        <f t="shared" si="37"/>
        <v>0</v>
      </c>
      <c r="AW76" s="1"/>
      <c r="AX76" s="1"/>
      <c r="AY76" s="1"/>
      <c r="AZ76" s="1"/>
    </row>
    <row r="77" spans="1:52" x14ac:dyDescent="0.25">
      <c r="A77" s="10" t="s">
        <v>121</v>
      </c>
      <c r="B77" s="10" t="s">
        <v>42</v>
      </c>
      <c r="C77" s="10">
        <v>598.62300000000005</v>
      </c>
      <c r="D77" s="10">
        <v>2.7</v>
      </c>
      <c r="E77" s="10">
        <v>33.545000000000002</v>
      </c>
      <c r="F77" s="10">
        <v>565.07799999999997</v>
      </c>
      <c r="G77" s="11">
        <v>0</v>
      </c>
      <c r="H77" s="10"/>
      <c r="I77" s="10" t="s">
        <v>122</v>
      </c>
      <c r="J77" s="10"/>
      <c r="K77" s="10">
        <v>34.700000000000003</v>
      </c>
      <c r="L77" s="10">
        <f t="shared" si="28"/>
        <v>-1.1550000000000011</v>
      </c>
      <c r="M77" s="10">
        <f t="shared" si="29"/>
        <v>33.545000000000002</v>
      </c>
      <c r="N77" s="10"/>
      <c r="O77" s="10"/>
      <c r="P77" s="10">
        <v>0</v>
      </c>
      <c r="Q77" s="10"/>
      <c r="R77" s="10"/>
      <c r="S77" s="10"/>
      <c r="T77" s="10"/>
      <c r="U77" s="10"/>
      <c r="V77" s="10"/>
      <c r="W77" s="10"/>
      <c r="X77" s="10">
        <v>0</v>
      </c>
      <c r="Y77" s="10"/>
      <c r="Z77" s="10"/>
      <c r="AA77" s="10">
        <f t="shared" si="30"/>
        <v>6.7090000000000005</v>
      </c>
      <c r="AB77" s="12"/>
      <c r="AC77" s="5">
        <f>VLOOKUP(A77,[2]Sheet!$A:$AC,29,0)</f>
        <v>0</v>
      </c>
      <c r="AD77" s="5"/>
      <c r="AE77" s="5">
        <f t="shared" si="31"/>
        <v>0</v>
      </c>
      <c r="AF77" s="1">
        <f t="shared" si="32"/>
        <v>84.226859442539862</v>
      </c>
      <c r="AG77" s="10">
        <f t="shared" si="33"/>
        <v>84.226859442539862</v>
      </c>
      <c r="AH77" s="10">
        <v>6.706999999999999</v>
      </c>
      <c r="AI77" s="10">
        <v>13.973000000000001</v>
      </c>
      <c r="AJ77" s="10">
        <v>18.044</v>
      </c>
      <c r="AK77" s="10">
        <v>9.4331999999999994</v>
      </c>
      <c r="AL77" s="10">
        <v>0.53720000000000001</v>
      </c>
      <c r="AM77" s="10">
        <v>1.339</v>
      </c>
      <c r="AN77" s="10">
        <v>2.4163999999999999</v>
      </c>
      <c r="AO77" s="10">
        <v>1.0773999999999999</v>
      </c>
      <c r="AP77" s="10">
        <v>0</v>
      </c>
      <c r="AQ77" s="15" t="s">
        <v>94</v>
      </c>
      <c r="AR77" s="1">
        <f t="shared" si="34"/>
        <v>0</v>
      </c>
      <c r="AS77" s="1">
        <f>-1*AC77</f>
        <v>0</v>
      </c>
      <c r="AT77" s="1">
        <f t="shared" si="36"/>
        <v>0</v>
      </c>
      <c r="AU77" s="1"/>
      <c r="AV77" s="1">
        <f t="shared" si="37"/>
        <v>0</v>
      </c>
      <c r="AW77" s="1"/>
      <c r="AX77" s="1"/>
      <c r="AY77" s="1"/>
      <c r="AZ77" s="1"/>
    </row>
    <row r="78" spans="1:52" x14ac:dyDescent="0.25">
      <c r="A78" s="1" t="s">
        <v>123</v>
      </c>
      <c r="B78" s="1" t="s">
        <v>46</v>
      </c>
      <c r="C78" s="1">
        <v>222</v>
      </c>
      <c r="D78" s="1">
        <v>10</v>
      </c>
      <c r="E78" s="1">
        <v>101</v>
      </c>
      <c r="F78" s="1">
        <v>119</v>
      </c>
      <c r="G78" s="7">
        <v>0.3</v>
      </c>
      <c r="H78" s="1">
        <v>40</v>
      </c>
      <c r="I78" s="1" t="s">
        <v>176</v>
      </c>
      <c r="J78" s="1"/>
      <c r="K78" s="1">
        <v>144</v>
      </c>
      <c r="L78" s="1">
        <f t="shared" si="28"/>
        <v>-43</v>
      </c>
      <c r="M78" s="1">
        <f t="shared" si="29"/>
        <v>101</v>
      </c>
      <c r="N78" s="1"/>
      <c r="O78" s="1"/>
      <c r="P78" s="1">
        <v>0</v>
      </c>
      <c r="Q78" s="1"/>
      <c r="R78" s="1"/>
      <c r="S78" s="10"/>
      <c r="T78" s="1"/>
      <c r="U78" s="1"/>
      <c r="V78" s="1"/>
      <c r="W78" s="1"/>
      <c r="X78" s="1">
        <v>144.5</v>
      </c>
      <c r="Y78" s="1"/>
      <c r="Z78" s="1"/>
      <c r="AA78" s="1">
        <f t="shared" si="30"/>
        <v>20.2</v>
      </c>
      <c r="AB78" s="5"/>
      <c r="AC78" s="5">
        <f>VLOOKUP(A78,[2]Sheet!$A:$AC,29,0)</f>
        <v>0</v>
      </c>
      <c r="AD78" s="5"/>
      <c r="AE78" s="5">
        <f t="shared" si="31"/>
        <v>0</v>
      </c>
      <c r="AF78" s="1">
        <f t="shared" si="32"/>
        <v>13.044554455445544</v>
      </c>
      <c r="AG78" s="1">
        <f t="shared" si="33"/>
        <v>13.044554455445544</v>
      </c>
      <c r="AH78" s="1">
        <v>22.8</v>
      </c>
      <c r="AI78" s="1">
        <v>24.2</v>
      </c>
      <c r="AJ78" s="1">
        <v>18.2</v>
      </c>
      <c r="AK78" s="1">
        <v>15.4</v>
      </c>
      <c r="AL78" s="1">
        <v>28.2</v>
      </c>
      <c r="AM78" s="1">
        <v>24.4</v>
      </c>
      <c r="AN78" s="1">
        <v>9.8000000000000007</v>
      </c>
      <c r="AO78" s="1">
        <v>18.399999999999999</v>
      </c>
      <c r="AP78" s="1">
        <v>31.8</v>
      </c>
      <c r="AQ78" s="1"/>
      <c r="AR78" s="1">
        <f t="shared" si="34"/>
        <v>0</v>
      </c>
      <c r="AS78" s="1">
        <f t="shared" si="35"/>
        <v>0</v>
      </c>
      <c r="AT78" s="1">
        <f t="shared" si="36"/>
        <v>64.02</v>
      </c>
      <c r="AU78" s="1"/>
      <c r="AV78" s="1">
        <f t="shared" si="37"/>
        <v>0</v>
      </c>
      <c r="AW78" s="1"/>
      <c r="AX78" s="1"/>
      <c r="AY78" s="1"/>
      <c r="AZ78" s="1"/>
    </row>
    <row r="79" spans="1:52" x14ac:dyDescent="0.25">
      <c r="A79" s="1" t="s">
        <v>124</v>
      </c>
      <c r="B79" s="1" t="s">
        <v>46</v>
      </c>
      <c r="C79" s="1">
        <v>93</v>
      </c>
      <c r="D79" s="1"/>
      <c r="E79" s="1">
        <v>32</v>
      </c>
      <c r="F79" s="1">
        <v>61</v>
      </c>
      <c r="G79" s="7">
        <v>0.3</v>
      </c>
      <c r="H79" s="1">
        <v>40</v>
      </c>
      <c r="I79" s="1" t="s">
        <v>176</v>
      </c>
      <c r="J79" s="1"/>
      <c r="K79" s="1">
        <v>57</v>
      </c>
      <c r="L79" s="1">
        <f t="shared" si="28"/>
        <v>-25</v>
      </c>
      <c r="M79" s="1">
        <f t="shared" si="29"/>
        <v>32</v>
      </c>
      <c r="N79" s="1"/>
      <c r="O79" s="1"/>
      <c r="P79" s="1">
        <v>0</v>
      </c>
      <c r="Q79" s="1"/>
      <c r="R79" s="1"/>
      <c r="S79" s="10"/>
      <c r="T79" s="1"/>
      <c r="U79" s="1"/>
      <c r="V79" s="1"/>
      <c r="W79" s="1"/>
      <c r="X79" s="1">
        <v>0</v>
      </c>
      <c r="Y79" s="1"/>
      <c r="Z79" s="1"/>
      <c r="AA79" s="1">
        <f t="shared" si="30"/>
        <v>6.4</v>
      </c>
      <c r="AB79" s="5">
        <f t="shared" ref="AB79:AB81" si="40">11*AA79-Z79-Y79-X79-W79-V79-U79-T79-R79-Q79-P79-O79-F79</f>
        <v>9.4000000000000057</v>
      </c>
      <c r="AC79" s="5">
        <f>VLOOKUP(A79,[2]Sheet!$A:$AC,29,0)</f>
        <v>0</v>
      </c>
      <c r="AD79" s="5"/>
      <c r="AE79" s="5">
        <f>IF(($AE$1-AG79)*AA79&lt;0,0,($AE$1-AG79)*AA79)</f>
        <v>21.560000000000002</v>
      </c>
      <c r="AF79" s="1">
        <f t="shared" si="32"/>
        <v>12.9</v>
      </c>
      <c r="AG79" s="1">
        <f t="shared" si="33"/>
        <v>9.53125</v>
      </c>
      <c r="AH79" s="1">
        <v>1.4</v>
      </c>
      <c r="AI79" s="1">
        <v>2</v>
      </c>
      <c r="AJ79" s="1">
        <v>2.4</v>
      </c>
      <c r="AK79" s="1">
        <v>12.2</v>
      </c>
      <c r="AL79" s="1">
        <v>13.6</v>
      </c>
      <c r="AM79" s="1">
        <v>6.8</v>
      </c>
      <c r="AN79" s="1">
        <v>4.2</v>
      </c>
      <c r="AO79" s="1">
        <v>7.8</v>
      </c>
      <c r="AP79" s="1">
        <v>8.1999999999999993</v>
      </c>
      <c r="AQ79" s="1"/>
      <c r="AR79" s="1">
        <f t="shared" si="34"/>
        <v>6</v>
      </c>
      <c r="AS79" s="1">
        <f t="shared" si="35"/>
        <v>0</v>
      </c>
      <c r="AT79" s="1">
        <f t="shared" si="36"/>
        <v>19.5</v>
      </c>
      <c r="AU79" s="1"/>
      <c r="AV79" s="1">
        <f t="shared" si="37"/>
        <v>0</v>
      </c>
      <c r="AW79" s="1"/>
      <c r="AX79" s="1"/>
      <c r="AY79" s="1"/>
      <c r="AZ79" s="1"/>
    </row>
    <row r="80" spans="1:52" x14ac:dyDescent="0.25">
      <c r="A80" s="1" t="s">
        <v>125</v>
      </c>
      <c r="B80" s="1" t="s">
        <v>46</v>
      </c>
      <c r="C80" s="1">
        <v>107</v>
      </c>
      <c r="D80" s="1">
        <v>184</v>
      </c>
      <c r="E80" s="1">
        <v>113</v>
      </c>
      <c r="F80" s="1">
        <v>136</v>
      </c>
      <c r="G80" s="7">
        <v>7.0000000000000007E-2</v>
      </c>
      <c r="H80" s="1">
        <v>90</v>
      </c>
      <c r="I80" s="1" t="s">
        <v>176</v>
      </c>
      <c r="J80" s="1"/>
      <c r="K80" s="1">
        <v>228</v>
      </c>
      <c r="L80" s="1">
        <f t="shared" si="28"/>
        <v>-115</v>
      </c>
      <c r="M80" s="1">
        <f t="shared" si="29"/>
        <v>113</v>
      </c>
      <c r="N80" s="1"/>
      <c r="O80" s="1"/>
      <c r="P80" s="1">
        <v>66.318711999999977</v>
      </c>
      <c r="Q80" s="1"/>
      <c r="R80" s="1"/>
      <c r="S80" s="10"/>
      <c r="T80" s="1"/>
      <c r="U80" s="1"/>
      <c r="V80" s="1"/>
      <c r="W80" s="1"/>
      <c r="X80" s="1">
        <v>137.80000000000001</v>
      </c>
      <c r="Y80" s="1"/>
      <c r="Z80" s="1"/>
      <c r="AA80" s="1">
        <f t="shared" si="30"/>
        <v>22.6</v>
      </c>
      <c r="AB80" s="5"/>
      <c r="AC80" s="5">
        <f>VLOOKUP(A80,[2]Sheet!$A:$AC,29,0)</f>
        <v>-80.21871199999994</v>
      </c>
      <c r="AD80" s="5">
        <f>VLOOKUP(A80,[3]TDSheet!$A$1:$N$65536,14,0)*(-1)</f>
        <v>-6</v>
      </c>
      <c r="AE80" s="5">
        <f t="shared" si="31"/>
        <v>0</v>
      </c>
      <c r="AF80" s="1">
        <f t="shared" si="32"/>
        <v>14.784013805309732</v>
      </c>
      <c r="AG80" s="1">
        <f t="shared" si="33"/>
        <v>15.049500530973448</v>
      </c>
      <c r="AH80" s="1">
        <v>26.8</v>
      </c>
      <c r="AI80" s="1">
        <v>31.2</v>
      </c>
      <c r="AJ80" s="1">
        <v>29.2</v>
      </c>
      <c r="AK80" s="1">
        <v>24.8</v>
      </c>
      <c r="AL80" s="1">
        <v>22.8</v>
      </c>
      <c r="AM80" s="1">
        <v>19.600000000000001</v>
      </c>
      <c r="AN80" s="1">
        <v>16.8</v>
      </c>
      <c r="AO80" s="1">
        <v>16</v>
      </c>
      <c r="AP80" s="1">
        <v>16.399999999999999</v>
      </c>
      <c r="AQ80" s="1"/>
      <c r="AR80" s="1">
        <f t="shared" si="34"/>
        <v>0</v>
      </c>
      <c r="AS80" s="1">
        <f t="shared" si="35"/>
        <v>5.6153098399999966</v>
      </c>
      <c r="AT80" s="1">
        <f t="shared" si="36"/>
        <v>15.834000000000001</v>
      </c>
      <c r="AU80" s="1"/>
      <c r="AV80" s="1">
        <f t="shared" si="37"/>
        <v>0.42000000000000004</v>
      </c>
      <c r="AW80" s="1"/>
      <c r="AX80" s="1"/>
      <c r="AY80" s="1"/>
      <c r="AZ80" s="1"/>
    </row>
    <row r="81" spans="1:52" x14ac:dyDescent="0.25">
      <c r="A81" s="1" t="s">
        <v>126</v>
      </c>
      <c r="B81" s="1" t="s">
        <v>46</v>
      </c>
      <c r="C81" s="1">
        <v>143</v>
      </c>
      <c r="D81" s="1">
        <v>246</v>
      </c>
      <c r="E81" s="1">
        <v>131</v>
      </c>
      <c r="F81" s="1">
        <v>210</v>
      </c>
      <c r="G81" s="7">
        <v>7.0000000000000007E-2</v>
      </c>
      <c r="H81" s="1">
        <v>90</v>
      </c>
      <c r="I81" s="1" t="s">
        <v>176</v>
      </c>
      <c r="J81" s="1"/>
      <c r="K81" s="1">
        <v>214</v>
      </c>
      <c r="L81" s="1">
        <f t="shared" si="28"/>
        <v>-83</v>
      </c>
      <c r="M81" s="1">
        <f t="shared" si="29"/>
        <v>131</v>
      </c>
      <c r="N81" s="1"/>
      <c r="O81" s="1"/>
      <c r="P81" s="1">
        <v>0</v>
      </c>
      <c r="Q81" s="1"/>
      <c r="R81" s="1"/>
      <c r="S81" s="10"/>
      <c r="T81" s="1"/>
      <c r="U81" s="1"/>
      <c r="V81" s="1"/>
      <c r="W81" s="1"/>
      <c r="X81" s="1">
        <v>0</v>
      </c>
      <c r="Y81" s="1"/>
      <c r="Z81" s="1"/>
      <c r="AA81" s="1">
        <f t="shared" si="30"/>
        <v>26.2</v>
      </c>
      <c r="AB81" s="5">
        <f t="shared" si="40"/>
        <v>78.199999999999989</v>
      </c>
      <c r="AC81" s="5">
        <f>VLOOKUP(A81,[2]Sheet!$A:$AC,29,0)</f>
        <v>0</v>
      </c>
      <c r="AD81" s="5"/>
      <c r="AE81" s="5">
        <f>IF(($AE$1-AG81)*AA81&lt;0,0,($AE$1-AG81)*AA81)</f>
        <v>127.97999999999999</v>
      </c>
      <c r="AF81" s="1">
        <f t="shared" si="32"/>
        <v>12.9</v>
      </c>
      <c r="AG81" s="1">
        <f t="shared" si="33"/>
        <v>8.0152671755725198</v>
      </c>
      <c r="AH81" s="1">
        <v>20.399999999999999</v>
      </c>
      <c r="AI81" s="1">
        <v>22</v>
      </c>
      <c r="AJ81" s="1">
        <v>23.4</v>
      </c>
      <c r="AK81" s="1">
        <v>33</v>
      </c>
      <c r="AL81" s="1">
        <v>23.8</v>
      </c>
      <c r="AM81" s="1">
        <v>7.8</v>
      </c>
      <c r="AN81" s="1">
        <v>9.8000000000000007</v>
      </c>
      <c r="AO81" s="1">
        <v>23.8</v>
      </c>
      <c r="AP81" s="1">
        <v>23.6</v>
      </c>
      <c r="AQ81" s="1"/>
      <c r="AR81" s="1">
        <f t="shared" si="34"/>
        <v>9</v>
      </c>
      <c r="AS81" s="1">
        <f t="shared" si="35"/>
        <v>0</v>
      </c>
      <c r="AT81" s="1">
        <f t="shared" si="36"/>
        <v>14.966000000000001</v>
      </c>
      <c r="AU81" s="1"/>
      <c r="AV81" s="1">
        <f t="shared" si="37"/>
        <v>0</v>
      </c>
      <c r="AW81" s="1"/>
      <c r="AX81" s="1"/>
      <c r="AY81" s="1"/>
      <c r="AZ81" s="1"/>
    </row>
    <row r="82" spans="1:52" x14ac:dyDescent="0.25">
      <c r="A82" s="1" t="s">
        <v>127</v>
      </c>
      <c r="B82" s="1" t="s">
        <v>46</v>
      </c>
      <c r="C82" s="1">
        <v>82</v>
      </c>
      <c r="D82" s="1">
        <v>212</v>
      </c>
      <c r="E82" s="1">
        <v>92</v>
      </c>
      <c r="F82" s="1">
        <v>168</v>
      </c>
      <c r="G82" s="7">
        <v>7.0000000000000007E-2</v>
      </c>
      <c r="H82" s="1">
        <v>90</v>
      </c>
      <c r="I82" s="1" t="s">
        <v>176</v>
      </c>
      <c r="J82" s="1"/>
      <c r="K82" s="1">
        <v>150</v>
      </c>
      <c r="L82" s="1">
        <f t="shared" si="28"/>
        <v>-58</v>
      </c>
      <c r="M82" s="1">
        <f t="shared" si="29"/>
        <v>92</v>
      </c>
      <c r="N82" s="1"/>
      <c r="O82" s="1"/>
      <c r="P82" s="1">
        <v>0</v>
      </c>
      <c r="Q82" s="1"/>
      <c r="R82" s="1"/>
      <c r="S82" s="10"/>
      <c r="T82" s="1"/>
      <c r="U82" s="1"/>
      <c r="V82" s="1"/>
      <c r="W82" s="1"/>
      <c r="X82" s="1">
        <v>94.800000000000011</v>
      </c>
      <c r="Y82" s="1"/>
      <c r="Z82" s="1"/>
      <c r="AA82" s="1">
        <f t="shared" si="30"/>
        <v>18.399999999999999</v>
      </c>
      <c r="AB82" s="5"/>
      <c r="AC82" s="5">
        <f>VLOOKUP(A82,[2]Sheet!$A:$AC,29,0)</f>
        <v>-51.200000000000024</v>
      </c>
      <c r="AD82" s="5"/>
      <c r="AE82" s="5">
        <f t="shared" si="31"/>
        <v>0</v>
      </c>
      <c r="AF82" s="1">
        <f t="shared" si="32"/>
        <v>14.282608695652176</v>
      </c>
      <c r="AG82" s="1">
        <f t="shared" si="33"/>
        <v>14.282608695652176</v>
      </c>
      <c r="AH82" s="1">
        <v>20.6</v>
      </c>
      <c r="AI82" s="1">
        <v>22.8</v>
      </c>
      <c r="AJ82" s="1">
        <v>20.6</v>
      </c>
      <c r="AK82" s="1">
        <v>21.4</v>
      </c>
      <c r="AL82" s="1">
        <v>16.399999999999999</v>
      </c>
      <c r="AM82" s="1">
        <v>7</v>
      </c>
      <c r="AN82" s="1">
        <v>11.2</v>
      </c>
      <c r="AO82" s="1">
        <v>16.8</v>
      </c>
      <c r="AP82" s="1">
        <v>13.8</v>
      </c>
      <c r="AQ82" s="1"/>
      <c r="AR82" s="1">
        <f t="shared" si="34"/>
        <v>0</v>
      </c>
      <c r="AS82" s="1">
        <f t="shared" si="35"/>
        <v>3.5840000000000019</v>
      </c>
      <c r="AT82" s="1">
        <f t="shared" si="36"/>
        <v>11.830000000000002</v>
      </c>
      <c r="AU82" s="1"/>
      <c r="AV82" s="1">
        <f t="shared" si="37"/>
        <v>0</v>
      </c>
      <c r="AW82" s="1"/>
      <c r="AX82" s="1"/>
      <c r="AY82" s="1"/>
      <c r="AZ82" s="1"/>
    </row>
    <row r="83" spans="1:52" x14ac:dyDescent="0.25">
      <c r="A83" s="10" t="s">
        <v>128</v>
      </c>
      <c r="B83" s="10" t="s">
        <v>46</v>
      </c>
      <c r="C83" s="10">
        <v>37</v>
      </c>
      <c r="D83" s="10">
        <v>133</v>
      </c>
      <c r="E83" s="10">
        <v>49</v>
      </c>
      <c r="F83" s="10">
        <v>96</v>
      </c>
      <c r="G83" s="11">
        <v>0</v>
      </c>
      <c r="H83" s="10">
        <v>90</v>
      </c>
      <c r="I83" s="10" t="s">
        <v>122</v>
      </c>
      <c r="J83" s="10"/>
      <c r="K83" s="10">
        <v>166</v>
      </c>
      <c r="L83" s="10">
        <f t="shared" si="28"/>
        <v>-117</v>
      </c>
      <c r="M83" s="10">
        <f t="shared" si="29"/>
        <v>49</v>
      </c>
      <c r="N83" s="10"/>
      <c r="O83" s="10"/>
      <c r="P83" s="10">
        <v>89.200000000000017</v>
      </c>
      <c r="Q83" s="10"/>
      <c r="R83" s="10"/>
      <c r="S83" s="10"/>
      <c r="T83" s="10"/>
      <c r="U83" s="10"/>
      <c r="V83" s="10"/>
      <c r="W83" s="10"/>
      <c r="X83" s="10">
        <v>0</v>
      </c>
      <c r="Y83" s="10"/>
      <c r="Z83" s="10"/>
      <c r="AA83" s="10">
        <f t="shared" si="30"/>
        <v>9.8000000000000007</v>
      </c>
      <c r="AB83" s="12"/>
      <c r="AC83" s="5">
        <f>VLOOKUP(A83,[2]Sheet!$A:$AC,29,0)</f>
        <v>-96</v>
      </c>
      <c r="AD83" s="5">
        <f>VLOOKUP(A83,[3]TDSheet!$A$1:$N$65536,14,0)*(-1)</f>
        <v>-5</v>
      </c>
      <c r="AE83" s="5">
        <f t="shared" si="31"/>
        <v>0</v>
      </c>
      <c r="AF83" s="1">
        <f t="shared" si="32"/>
        <v>18.387755102040817</v>
      </c>
      <c r="AG83" s="10">
        <f t="shared" si="33"/>
        <v>18.897959183673471</v>
      </c>
      <c r="AH83" s="10">
        <v>11</v>
      </c>
      <c r="AI83" s="10">
        <v>12</v>
      </c>
      <c r="AJ83" s="10">
        <v>19.8</v>
      </c>
      <c r="AK83" s="10">
        <v>12.4</v>
      </c>
      <c r="AL83" s="10">
        <v>2.6</v>
      </c>
      <c r="AM83" s="10">
        <v>9.6</v>
      </c>
      <c r="AN83" s="10">
        <v>8</v>
      </c>
      <c r="AO83" s="10">
        <v>4.4000000000000004</v>
      </c>
      <c r="AP83" s="10">
        <v>8.4</v>
      </c>
      <c r="AQ83" s="10"/>
      <c r="AR83" s="1">
        <f t="shared" si="34"/>
        <v>0</v>
      </c>
      <c r="AS83" s="1">
        <f>-1*AC83*0.05</f>
        <v>4.8000000000000007</v>
      </c>
      <c r="AT83" s="1">
        <f t="shared" si="36"/>
        <v>0</v>
      </c>
      <c r="AU83" s="1"/>
      <c r="AV83" s="1">
        <f t="shared" si="37"/>
        <v>0</v>
      </c>
      <c r="AW83" s="1"/>
      <c r="AX83" s="1"/>
      <c r="AY83" s="1"/>
      <c r="AZ83" s="1"/>
    </row>
    <row r="84" spans="1:52" x14ac:dyDescent="0.25">
      <c r="A84" s="1" t="s">
        <v>129</v>
      </c>
      <c r="B84" s="1" t="s">
        <v>46</v>
      </c>
      <c r="C84" s="1">
        <v>54</v>
      </c>
      <c r="D84" s="1">
        <v>1</v>
      </c>
      <c r="E84" s="1">
        <v>8</v>
      </c>
      <c r="F84" s="1">
        <v>46</v>
      </c>
      <c r="G84" s="7">
        <v>0.3</v>
      </c>
      <c r="H84" s="1">
        <v>40</v>
      </c>
      <c r="I84" s="1" t="s">
        <v>176</v>
      </c>
      <c r="J84" s="1"/>
      <c r="K84" s="1">
        <v>69</v>
      </c>
      <c r="L84" s="1">
        <f t="shared" si="28"/>
        <v>-61</v>
      </c>
      <c r="M84" s="1">
        <f t="shared" si="29"/>
        <v>8</v>
      </c>
      <c r="N84" s="1"/>
      <c r="O84" s="1"/>
      <c r="P84" s="1">
        <v>0</v>
      </c>
      <c r="Q84" s="1"/>
      <c r="R84" s="1"/>
      <c r="S84" s="10"/>
      <c r="T84" s="1"/>
      <c r="U84" s="1"/>
      <c r="V84" s="1"/>
      <c r="W84" s="1"/>
      <c r="X84" s="1">
        <v>0</v>
      </c>
      <c r="Y84" s="1"/>
      <c r="Z84" s="1"/>
      <c r="AA84" s="1">
        <f t="shared" si="30"/>
        <v>1.6</v>
      </c>
      <c r="AB84" s="5"/>
      <c r="AC84" s="5">
        <f>VLOOKUP(A84,[2]Sheet!$A:$AC,29,0)</f>
        <v>-27.6</v>
      </c>
      <c r="AD84" s="5">
        <f>VLOOKUP(A84,[3]TDSheet!$A$1:$N$65536,14,0)*(-1)</f>
        <v>-8</v>
      </c>
      <c r="AE84" s="5">
        <f t="shared" si="31"/>
        <v>0</v>
      </c>
      <c r="AF84" s="1">
        <f t="shared" si="32"/>
        <v>23.75</v>
      </c>
      <c r="AG84" s="1">
        <f t="shared" si="33"/>
        <v>28.75</v>
      </c>
      <c r="AH84" s="1">
        <v>1.2</v>
      </c>
      <c r="AI84" s="1">
        <v>-0.2</v>
      </c>
      <c r="AJ84" s="1">
        <v>-0.4</v>
      </c>
      <c r="AK84" s="1">
        <v>7.8</v>
      </c>
      <c r="AL84" s="1">
        <v>8.1999999999999993</v>
      </c>
      <c r="AM84" s="1">
        <v>3.6</v>
      </c>
      <c r="AN84" s="1">
        <v>3</v>
      </c>
      <c r="AO84" s="1">
        <v>6.8</v>
      </c>
      <c r="AP84" s="1">
        <v>7.2</v>
      </c>
      <c r="AQ84" s="15" t="s">
        <v>94</v>
      </c>
      <c r="AR84" s="1">
        <f t="shared" si="34"/>
        <v>0</v>
      </c>
      <c r="AS84" s="1">
        <f t="shared" si="35"/>
        <v>8.2799999999999994</v>
      </c>
      <c r="AT84" s="1">
        <f t="shared" si="36"/>
        <v>11.64</v>
      </c>
      <c r="AU84" s="1"/>
      <c r="AV84" s="1">
        <f t="shared" si="37"/>
        <v>2.4</v>
      </c>
      <c r="AW84" s="1"/>
      <c r="AX84" s="1"/>
      <c r="AY84" s="1"/>
      <c r="AZ84" s="1"/>
    </row>
    <row r="85" spans="1:52" x14ac:dyDescent="0.25">
      <c r="A85" s="1" t="s">
        <v>130</v>
      </c>
      <c r="B85" s="1" t="s">
        <v>42</v>
      </c>
      <c r="C85" s="1">
        <v>41.65</v>
      </c>
      <c r="D85" s="1"/>
      <c r="E85" s="1">
        <v>16.195</v>
      </c>
      <c r="F85" s="1">
        <v>25.454999999999998</v>
      </c>
      <c r="G85" s="7">
        <v>1</v>
      </c>
      <c r="H85" s="1">
        <v>55</v>
      </c>
      <c r="I85" s="1" t="s">
        <v>176</v>
      </c>
      <c r="J85" s="1"/>
      <c r="K85" s="1">
        <v>16.571000000000002</v>
      </c>
      <c r="L85" s="1">
        <f t="shared" si="28"/>
        <v>-0.37600000000000122</v>
      </c>
      <c r="M85" s="1">
        <f t="shared" si="29"/>
        <v>16.195</v>
      </c>
      <c r="N85" s="1"/>
      <c r="O85" s="1"/>
      <c r="P85" s="1">
        <v>0</v>
      </c>
      <c r="Q85" s="1"/>
      <c r="R85" s="1"/>
      <c r="S85" s="10"/>
      <c r="T85" s="1"/>
      <c r="U85" s="1"/>
      <c r="V85" s="1"/>
      <c r="W85" s="1"/>
      <c r="X85" s="1">
        <v>0</v>
      </c>
      <c r="Y85" s="1"/>
      <c r="Z85" s="1"/>
      <c r="AA85" s="1">
        <f t="shared" si="30"/>
        <v>3.2389999999999999</v>
      </c>
      <c r="AB85" s="5">
        <f t="shared" ref="AB85:AB98" si="41">11*AA85-Z85-Y85-X85-W85-V85-U85-T85-R85-Q85-P85-O85-F85</f>
        <v>10.173999999999999</v>
      </c>
      <c r="AC85" s="5">
        <f>VLOOKUP(A85,[2]Sheet!$A:$AC,29,0)</f>
        <v>0</v>
      </c>
      <c r="AD85" s="5"/>
      <c r="AE85" s="5">
        <f t="shared" ref="AE85:AE86" si="42">IF(($AE$1-AG85)*AA85&lt;0,0,($AE$1-AG85)*AA85)</f>
        <v>16.328099999999999</v>
      </c>
      <c r="AF85" s="1">
        <f t="shared" si="32"/>
        <v>12.9</v>
      </c>
      <c r="AG85" s="1">
        <f t="shared" si="33"/>
        <v>7.858907070083359</v>
      </c>
      <c r="AH85" s="1">
        <v>3.242</v>
      </c>
      <c r="AI85" s="1">
        <v>2.7948</v>
      </c>
      <c r="AJ85" s="1">
        <v>2.4352</v>
      </c>
      <c r="AK85" s="1">
        <v>2.0659999999999998</v>
      </c>
      <c r="AL85" s="1">
        <v>1.2347999999999999</v>
      </c>
      <c r="AM85" s="1">
        <v>1.871</v>
      </c>
      <c r="AN85" s="1">
        <v>3.4733999999999998</v>
      </c>
      <c r="AO85" s="1">
        <v>3.5244</v>
      </c>
      <c r="AP85" s="1">
        <v>3.4784000000000002</v>
      </c>
      <c r="AQ85" s="1"/>
      <c r="AR85" s="1">
        <f t="shared" si="34"/>
        <v>16</v>
      </c>
      <c r="AS85" s="1">
        <f t="shared" si="35"/>
        <v>0</v>
      </c>
      <c r="AT85" s="1">
        <f t="shared" si="36"/>
        <v>27.358999999999998</v>
      </c>
      <c r="AU85" s="1"/>
      <c r="AV85" s="1">
        <f t="shared" si="37"/>
        <v>0</v>
      </c>
      <c r="AW85" s="1"/>
      <c r="AX85" s="1"/>
      <c r="AY85" s="1"/>
      <c r="AZ85" s="1"/>
    </row>
    <row r="86" spans="1:52" x14ac:dyDescent="0.25">
      <c r="A86" s="1" t="s">
        <v>131</v>
      </c>
      <c r="B86" s="1" t="s">
        <v>46</v>
      </c>
      <c r="C86" s="1"/>
      <c r="D86" s="1"/>
      <c r="E86" s="1">
        <v>4</v>
      </c>
      <c r="F86" s="1">
        <v>-4</v>
      </c>
      <c r="G86" s="7">
        <v>0.11</v>
      </c>
      <c r="H86" s="1">
        <v>30</v>
      </c>
      <c r="I86" s="1" t="s">
        <v>176</v>
      </c>
      <c r="J86" s="1"/>
      <c r="K86" s="1">
        <v>200</v>
      </c>
      <c r="L86" s="1">
        <f t="shared" si="28"/>
        <v>-196</v>
      </c>
      <c r="M86" s="1">
        <f t="shared" si="29"/>
        <v>4</v>
      </c>
      <c r="N86" s="1"/>
      <c r="O86" s="1"/>
      <c r="P86" s="1">
        <v>0</v>
      </c>
      <c r="Q86" s="1"/>
      <c r="R86" s="1"/>
      <c r="S86" s="10"/>
      <c r="T86" s="1"/>
      <c r="U86" s="1"/>
      <c r="V86" s="1"/>
      <c r="W86" s="1"/>
      <c r="X86" s="1">
        <v>0</v>
      </c>
      <c r="Y86" s="1"/>
      <c r="Z86" s="1"/>
      <c r="AA86" s="1">
        <f t="shared" si="30"/>
        <v>0.8</v>
      </c>
      <c r="AB86" s="5">
        <v>20</v>
      </c>
      <c r="AC86" s="5">
        <f>VLOOKUP(A86,[2]Sheet!$A:$AC,29,0)</f>
        <v>0</v>
      </c>
      <c r="AD86" s="5"/>
      <c r="AE86" s="5">
        <f t="shared" si="42"/>
        <v>14.32</v>
      </c>
      <c r="AF86" s="1">
        <f t="shared" si="32"/>
        <v>12.9</v>
      </c>
      <c r="AG86" s="1">
        <f t="shared" si="33"/>
        <v>-5</v>
      </c>
      <c r="AH86" s="1">
        <v>0.4</v>
      </c>
      <c r="AI86" s="1">
        <v>0.4</v>
      </c>
      <c r="AJ86" s="1">
        <v>0.6</v>
      </c>
      <c r="AK86" s="1">
        <v>9.1999999999999993</v>
      </c>
      <c r="AL86" s="1">
        <v>8.1999999999999993</v>
      </c>
      <c r="AM86" s="1">
        <v>4.2</v>
      </c>
      <c r="AN86" s="1">
        <v>6.2</v>
      </c>
      <c r="AO86" s="1">
        <v>2</v>
      </c>
      <c r="AP86" s="1">
        <v>0</v>
      </c>
      <c r="AQ86" s="1"/>
      <c r="AR86" s="1">
        <f t="shared" si="34"/>
        <v>2</v>
      </c>
      <c r="AS86" s="1">
        <f t="shared" si="35"/>
        <v>0</v>
      </c>
      <c r="AT86" s="1">
        <f t="shared" si="36"/>
        <v>3.5199999999999996</v>
      </c>
      <c r="AU86" s="1"/>
      <c r="AV86" s="1">
        <f t="shared" si="37"/>
        <v>0</v>
      </c>
      <c r="AW86" s="1"/>
      <c r="AX86" s="1"/>
      <c r="AY86" s="1"/>
      <c r="AZ86" s="1"/>
    </row>
    <row r="87" spans="1:52" x14ac:dyDescent="0.25">
      <c r="A87" s="1" t="s">
        <v>132</v>
      </c>
      <c r="B87" s="1" t="s">
        <v>46</v>
      </c>
      <c r="C87" s="1">
        <v>209</v>
      </c>
      <c r="D87" s="1">
        <v>322</v>
      </c>
      <c r="E87" s="1">
        <v>202</v>
      </c>
      <c r="F87" s="1">
        <v>248</v>
      </c>
      <c r="G87" s="7">
        <v>0.08</v>
      </c>
      <c r="H87" s="1">
        <v>45</v>
      </c>
      <c r="I87" s="1" t="s">
        <v>176</v>
      </c>
      <c r="J87" s="1"/>
      <c r="K87" s="1">
        <v>359</v>
      </c>
      <c r="L87" s="1">
        <f t="shared" si="28"/>
        <v>-157</v>
      </c>
      <c r="M87" s="1">
        <f t="shared" si="29"/>
        <v>202</v>
      </c>
      <c r="N87" s="1"/>
      <c r="O87" s="1"/>
      <c r="P87" s="1">
        <v>57.199999999999818</v>
      </c>
      <c r="Q87" s="1"/>
      <c r="R87" s="1"/>
      <c r="S87" s="10"/>
      <c r="T87" s="1"/>
      <c r="U87" s="1"/>
      <c r="V87" s="1"/>
      <c r="W87" s="1"/>
      <c r="X87" s="1">
        <v>256.10000000000002</v>
      </c>
      <c r="Y87" s="1"/>
      <c r="Z87" s="1"/>
      <c r="AA87" s="1">
        <f t="shared" si="30"/>
        <v>40.4</v>
      </c>
      <c r="AB87" s="5"/>
      <c r="AC87" s="5">
        <f>VLOOKUP(A87,[2]Sheet!$A:$AC,29,0)</f>
        <v>0</v>
      </c>
      <c r="AD87" s="5"/>
      <c r="AE87" s="5">
        <f t="shared" si="31"/>
        <v>0</v>
      </c>
      <c r="AF87" s="1">
        <f t="shared" si="32"/>
        <v>13.89356435643564</v>
      </c>
      <c r="AG87" s="1">
        <f t="shared" si="33"/>
        <v>13.89356435643564</v>
      </c>
      <c r="AH87" s="1">
        <v>39</v>
      </c>
      <c r="AI87" s="1">
        <v>49</v>
      </c>
      <c r="AJ87" s="1">
        <v>45.4</v>
      </c>
      <c r="AK87" s="1">
        <v>45.2</v>
      </c>
      <c r="AL87" s="1">
        <v>38.799999999999997</v>
      </c>
      <c r="AM87" s="1">
        <v>35.200000000000003</v>
      </c>
      <c r="AN87" s="1">
        <v>31.2</v>
      </c>
      <c r="AO87" s="1">
        <v>23.2</v>
      </c>
      <c r="AP87" s="1">
        <v>25.6</v>
      </c>
      <c r="AQ87" s="1"/>
      <c r="AR87" s="1">
        <f t="shared" si="34"/>
        <v>0</v>
      </c>
      <c r="AS87" s="1">
        <f t="shared" si="35"/>
        <v>0</v>
      </c>
      <c r="AT87" s="1">
        <f t="shared" si="36"/>
        <v>29.84</v>
      </c>
      <c r="AU87" s="1"/>
      <c r="AV87" s="1">
        <f t="shared" si="37"/>
        <v>0</v>
      </c>
      <c r="AW87" s="1"/>
      <c r="AX87" s="1"/>
      <c r="AY87" s="1"/>
      <c r="AZ87" s="1"/>
    </row>
    <row r="88" spans="1:52" x14ac:dyDescent="0.25">
      <c r="A88" s="1" t="s">
        <v>133</v>
      </c>
      <c r="B88" s="1" t="s">
        <v>46</v>
      </c>
      <c r="C88" s="1">
        <v>204</v>
      </c>
      <c r="D88" s="1">
        <v>57</v>
      </c>
      <c r="E88" s="1">
        <v>160</v>
      </c>
      <c r="F88" s="1">
        <v>39</v>
      </c>
      <c r="G88" s="7">
        <v>0.08</v>
      </c>
      <c r="H88" s="1">
        <v>45</v>
      </c>
      <c r="I88" s="1" t="s">
        <v>176</v>
      </c>
      <c r="J88" s="1"/>
      <c r="K88" s="1">
        <v>334</v>
      </c>
      <c r="L88" s="1">
        <f t="shared" si="28"/>
        <v>-174</v>
      </c>
      <c r="M88" s="1">
        <f t="shared" si="29"/>
        <v>160</v>
      </c>
      <c r="N88" s="1"/>
      <c r="O88" s="1"/>
      <c r="P88" s="1">
        <v>0</v>
      </c>
      <c r="Q88" s="1"/>
      <c r="R88" s="1"/>
      <c r="S88" s="10"/>
      <c r="T88" s="1"/>
      <c r="U88" s="1"/>
      <c r="V88" s="1"/>
      <c r="W88" s="1"/>
      <c r="X88" s="1">
        <v>253.3000000000001</v>
      </c>
      <c r="Y88" s="1"/>
      <c r="Z88" s="1"/>
      <c r="AA88" s="1">
        <f t="shared" si="30"/>
        <v>32</v>
      </c>
      <c r="AB88" s="5">
        <f t="shared" si="41"/>
        <v>59.699999999999903</v>
      </c>
      <c r="AC88" s="5">
        <f>VLOOKUP(A88,[2]Sheet!$A:$AC,29,0)</f>
        <v>0</v>
      </c>
      <c r="AD88" s="5"/>
      <c r="AE88" s="5">
        <f>IF(($AE$1-AG88)*AA88&lt;0,0,($AE$1-AG88)*AA88)</f>
        <v>120.49999999999994</v>
      </c>
      <c r="AF88" s="1">
        <f t="shared" si="32"/>
        <v>12.9</v>
      </c>
      <c r="AG88" s="1">
        <f t="shared" si="33"/>
        <v>9.1343750000000021</v>
      </c>
      <c r="AH88" s="1">
        <v>30.4</v>
      </c>
      <c r="AI88" s="1">
        <v>36.200000000000003</v>
      </c>
      <c r="AJ88" s="1">
        <v>26.6</v>
      </c>
      <c r="AK88" s="1">
        <v>26.8</v>
      </c>
      <c r="AL88" s="1">
        <v>29</v>
      </c>
      <c r="AM88" s="1">
        <v>16.8</v>
      </c>
      <c r="AN88" s="1">
        <v>6.8</v>
      </c>
      <c r="AO88" s="1">
        <v>16.2</v>
      </c>
      <c r="AP88" s="1">
        <v>28.6</v>
      </c>
      <c r="AQ88" s="1"/>
      <c r="AR88" s="1">
        <f t="shared" si="34"/>
        <v>10</v>
      </c>
      <c r="AS88" s="1">
        <f t="shared" si="35"/>
        <v>0</v>
      </c>
      <c r="AT88" s="1">
        <f t="shared" si="36"/>
        <v>19.952000000000002</v>
      </c>
      <c r="AU88" s="1"/>
      <c r="AV88" s="1">
        <f t="shared" si="37"/>
        <v>0</v>
      </c>
      <c r="AW88" s="1"/>
      <c r="AX88" s="1"/>
      <c r="AY88" s="1"/>
      <c r="AZ88" s="1"/>
    </row>
    <row r="89" spans="1:52" x14ac:dyDescent="0.25">
      <c r="A89" s="1" t="s">
        <v>134</v>
      </c>
      <c r="B89" s="1" t="s">
        <v>46</v>
      </c>
      <c r="C89" s="1">
        <v>21</v>
      </c>
      <c r="D89" s="1">
        <v>8</v>
      </c>
      <c r="E89" s="1">
        <v>16</v>
      </c>
      <c r="F89" s="1">
        <v>-1</v>
      </c>
      <c r="G89" s="7">
        <v>0.17</v>
      </c>
      <c r="H89" s="1">
        <v>30</v>
      </c>
      <c r="I89" s="1" t="s">
        <v>176</v>
      </c>
      <c r="J89" s="1"/>
      <c r="K89" s="1">
        <v>146</v>
      </c>
      <c r="L89" s="1">
        <f t="shared" si="28"/>
        <v>-130</v>
      </c>
      <c r="M89" s="1">
        <f t="shared" si="29"/>
        <v>16</v>
      </c>
      <c r="N89" s="1"/>
      <c r="O89" s="1"/>
      <c r="P89" s="1">
        <v>49.2</v>
      </c>
      <c r="Q89" s="1"/>
      <c r="R89" s="1"/>
      <c r="S89" s="10"/>
      <c r="T89" s="1"/>
      <c r="U89" s="1"/>
      <c r="V89" s="1"/>
      <c r="W89" s="1"/>
      <c r="X89" s="1">
        <v>66.799999999999983</v>
      </c>
      <c r="Y89" s="1"/>
      <c r="Z89" s="1"/>
      <c r="AA89" s="1">
        <f t="shared" si="30"/>
        <v>3.2</v>
      </c>
      <c r="AB89" s="5"/>
      <c r="AC89" s="5">
        <f>VLOOKUP(A89,[2]Sheet!$A:$AC,29,0)</f>
        <v>0</v>
      </c>
      <c r="AD89" s="5"/>
      <c r="AE89" s="5">
        <f t="shared" si="31"/>
        <v>0</v>
      </c>
      <c r="AF89" s="1">
        <f t="shared" si="32"/>
        <v>35.937499999999993</v>
      </c>
      <c r="AG89" s="1">
        <f t="shared" si="33"/>
        <v>35.937499999999993</v>
      </c>
      <c r="AH89" s="1">
        <v>8</v>
      </c>
      <c r="AI89" s="1">
        <v>9.1999999999999993</v>
      </c>
      <c r="AJ89" s="1">
        <v>7.8</v>
      </c>
      <c r="AK89" s="1">
        <v>2.6</v>
      </c>
      <c r="AL89" s="1">
        <v>1.4</v>
      </c>
      <c r="AM89" s="1">
        <v>5</v>
      </c>
      <c r="AN89" s="1">
        <v>3.2</v>
      </c>
      <c r="AO89" s="1">
        <v>-0.8</v>
      </c>
      <c r="AP89" s="1">
        <v>1.2</v>
      </c>
      <c r="AQ89" s="1"/>
      <c r="AR89" s="1">
        <f t="shared" si="34"/>
        <v>0</v>
      </c>
      <c r="AS89" s="1">
        <f t="shared" si="35"/>
        <v>0</v>
      </c>
      <c r="AT89" s="1">
        <f t="shared" si="36"/>
        <v>6.9359999999999999</v>
      </c>
      <c r="AU89" s="1"/>
      <c r="AV89" s="1">
        <f t="shared" si="37"/>
        <v>0</v>
      </c>
      <c r="AW89" s="1"/>
      <c r="AX89" s="1"/>
      <c r="AY89" s="1"/>
      <c r="AZ89" s="1"/>
    </row>
    <row r="90" spans="1:52" x14ac:dyDescent="0.25">
      <c r="A90" s="1" t="s">
        <v>135</v>
      </c>
      <c r="B90" s="1" t="s">
        <v>42</v>
      </c>
      <c r="C90" s="1">
        <v>292.358</v>
      </c>
      <c r="D90" s="1">
        <v>136.91</v>
      </c>
      <c r="E90" s="1">
        <v>207.99199999999999</v>
      </c>
      <c r="F90" s="1">
        <v>198.68899999999999</v>
      </c>
      <c r="G90" s="7">
        <v>1</v>
      </c>
      <c r="H90" s="1">
        <v>40</v>
      </c>
      <c r="I90" s="1" t="s">
        <v>176</v>
      </c>
      <c r="J90" s="1"/>
      <c r="K90" s="1">
        <v>343.91300000000001</v>
      </c>
      <c r="L90" s="1">
        <f t="shared" si="28"/>
        <v>-135.92100000000002</v>
      </c>
      <c r="M90" s="1">
        <f t="shared" si="29"/>
        <v>207.99199999999999</v>
      </c>
      <c r="N90" s="1"/>
      <c r="O90" s="1"/>
      <c r="P90" s="1">
        <v>176.36960000000019</v>
      </c>
      <c r="Q90" s="1"/>
      <c r="R90" s="1"/>
      <c r="S90" s="10"/>
      <c r="T90" s="1"/>
      <c r="U90" s="1"/>
      <c r="V90" s="1"/>
      <c r="W90" s="1"/>
      <c r="X90" s="1">
        <v>168.57199999999989</v>
      </c>
      <c r="Y90" s="1"/>
      <c r="Z90" s="1"/>
      <c r="AA90" s="1">
        <f t="shared" si="30"/>
        <v>41.598399999999998</v>
      </c>
      <c r="AB90" s="5"/>
      <c r="AC90" s="5">
        <f>VLOOKUP(A90,[2]Sheet!$A:$AC,29,0)</f>
        <v>0</v>
      </c>
      <c r="AD90" s="5"/>
      <c r="AE90" s="5">
        <f t="shared" si="31"/>
        <v>0</v>
      </c>
      <c r="AF90" s="1">
        <f t="shared" si="32"/>
        <v>13.068545905611757</v>
      </c>
      <c r="AG90" s="1">
        <f t="shared" si="33"/>
        <v>13.068545905611757</v>
      </c>
      <c r="AH90" s="1">
        <v>45.939</v>
      </c>
      <c r="AI90" s="1">
        <v>53.251199999999997</v>
      </c>
      <c r="AJ90" s="1">
        <v>53.023000000000003</v>
      </c>
      <c r="AK90" s="1">
        <v>48.691000000000003</v>
      </c>
      <c r="AL90" s="1">
        <v>50.067399999999999</v>
      </c>
      <c r="AM90" s="1">
        <v>53.2864</v>
      </c>
      <c r="AN90" s="1">
        <v>50.620199999999997</v>
      </c>
      <c r="AO90" s="1">
        <v>59.324399999999997</v>
      </c>
      <c r="AP90" s="1">
        <v>63.511800000000008</v>
      </c>
      <c r="AQ90" s="1"/>
      <c r="AR90" s="1">
        <f t="shared" si="34"/>
        <v>0</v>
      </c>
      <c r="AS90" s="1">
        <f t="shared" si="35"/>
        <v>0</v>
      </c>
      <c r="AT90" s="1">
        <f t="shared" si="36"/>
        <v>519.31280000000004</v>
      </c>
      <c r="AU90" s="1"/>
      <c r="AV90" s="1">
        <f t="shared" si="37"/>
        <v>0</v>
      </c>
      <c r="AW90" s="1"/>
      <c r="AX90" s="1"/>
      <c r="AY90" s="1"/>
      <c r="AZ90" s="1"/>
    </row>
    <row r="91" spans="1:52" x14ac:dyDescent="0.25">
      <c r="A91" s="1" t="s">
        <v>136</v>
      </c>
      <c r="B91" s="1" t="s">
        <v>42</v>
      </c>
      <c r="C91" s="1">
        <v>64.274000000000001</v>
      </c>
      <c r="D91" s="1">
        <v>114.304</v>
      </c>
      <c r="E91" s="1">
        <v>30.864000000000001</v>
      </c>
      <c r="F91" s="1">
        <v>144.83000000000001</v>
      </c>
      <c r="G91" s="7">
        <v>1</v>
      </c>
      <c r="H91" s="1">
        <v>40</v>
      </c>
      <c r="I91" s="1" t="s">
        <v>176</v>
      </c>
      <c r="J91" s="1"/>
      <c r="K91" s="1">
        <v>62.4</v>
      </c>
      <c r="L91" s="1">
        <f t="shared" si="28"/>
        <v>-31.535999999999998</v>
      </c>
      <c r="M91" s="1">
        <f t="shared" si="29"/>
        <v>30.864000000000001</v>
      </c>
      <c r="N91" s="1"/>
      <c r="O91" s="1"/>
      <c r="P91" s="1">
        <v>40.127200000000023</v>
      </c>
      <c r="Q91" s="1"/>
      <c r="R91" s="1"/>
      <c r="S91" s="10"/>
      <c r="T91" s="1"/>
      <c r="U91" s="1"/>
      <c r="V91" s="1"/>
      <c r="W91" s="1"/>
      <c r="X91" s="1">
        <v>0</v>
      </c>
      <c r="Y91" s="1"/>
      <c r="Z91" s="1"/>
      <c r="AA91" s="1">
        <f t="shared" si="30"/>
        <v>6.1728000000000005</v>
      </c>
      <c r="AB91" s="5"/>
      <c r="AC91" s="5">
        <f>VLOOKUP(A91,[2]Sheet!$A:$AC,29,0)</f>
        <v>-113.97000000000001</v>
      </c>
      <c r="AD91" s="5">
        <f>VLOOKUP(A91,[3]TDSheet!$A$1:$N$65536,14,0)*(-1)</f>
        <v>-43.28</v>
      </c>
      <c r="AE91" s="5">
        <f t="shared" si="31"/>
        <v>0</v>
      </c>
      <c r="AF91" s="1">
        <f t="shared" si="32"/>
        <v>22.95185329186107</v>
      </c>
      <c r="AG91" s="1">
        <f t="shared" si="33"/>
        <v>29.963258164852256</v>
      </c>
      <c r="AH91" s="1">
        <v>6.9261999999999997</v>
      </c>
      <c r="AI91" s="1">
        <v>11.025399999999999</v>
      </c>
      <c r="AJ91" s="1">
        <v>19.4436</v>
      </c>
      <c r="AK91" s="1">
        <v>17.420200000000001</v>
      </c>
      <c r="AL91" s="1">
        <v>11.458399999999999</v>
      </c>
      <c r="AM91" s="1">
        <v>14.843</v>
      </c>
      <c r="AN91" s="1">
        <v>14.2028</v>
      </c>
      <c r="AO91" s="1">
        <v>11.4068</v>
      </c>
      <c r="AP91" s="1">
        <v>14.0228</v>
      </c>
      <c r="AQ91" s="15" t="s">
        <v>94</v>
      </c>
      <c r="AR91" s="1">
        <f t="shared" si="34"/>
        <v>0</v>
      </c>
      <c r="AS91" s="1">
        <f t="shared" si="35"/>
        <v>113.97000000000001</v>
      </c>
      <c r="AT91" s="1">
        <f t="shared" si="36"/>
        <v>126.92200000000001</v>
      </c>
      <c r="AU91" s="1"/>
      <c r="AV91" s="1">
        <f t="shared" si="37"/>
        <v>43.28</v>
      </c>
      <c r="AW91" s="1"/>
      <c r="AX91" s="1"/>
      <c r="AY91" s="1"/>
      <c r="AZ91" s="1"/>
    </row>
    <row r="92" spans="1:52" x14ac:dyDescent="0.25">
      <c r="A92" s="1" t="s">
        <v>137</v>
      </c>
      <c r="B92" s="1" t="s">
        <v>42</v>
      </c>
      <c r="C92" s="1">
        <v>266.03300000000002</v>
      </c>
      <c r="D92" s="1">
        <v>166.10599999999999</v>
      </c>
      <c r="E92" s="1">
        <v>138.94399999999999</v>
      </c>
      <c r="F92" s="1">
        <v>281.971</v>
      </c>
      <c r="G92" s="7">
        <v>1</v>
      </c>
      <c r="H92" s="1">
        <v>40</v>
      </c>
      <c r="I92" s="1" t="s">
        <v>176</v>
      </c>
      <c r="J92" s="1"/>
      <c r="K92" s="1">
        <v>237.6</v>
      </c>
      <c r="L92" s="1">
        <f t="shared" si="28"/>
        <v>-98.656000000000006</v>
      </c>
      <c r="M92" s="1">
        <f t="shared" si="29"/>
        <v>138.94399999999999</v>
      </c>
      <c r="N92" s="1"/>
      <c r="O92" s="1"/>
      <c r="P92" s="1">
        <v>32.331799999999703</v>
      </c>
      <c r="Q92" s="1"/>
      <c r="R92" s="1"/>
      <c r="S92" s="10"/>
      <c r="T92" s="1"/>
      <c r="U92" s="1"/>
      <c r="V92" s="1"/>
      <c r="W92" s="1"/>
      <c r="X92" s="1">
        <v>68.684200000000061</v>
      </c>
      <c r="Y92" s="1"/>
      <c r="Z92" s="1"/>
      <c r="AA92" s="1">
        <f t="shared" si="30"/>
        <v>27.788799999999998</v>
      </c>
      <c r="AB92" s="5"/>
      <c r="AC92" s="5">
        <f>VLOOKUP(A92,[2]Sheet!$A:$AC,29,0)</f>
        <v>0</v>
      </c>
      <c r="AD92" s="5"/>
      <c r="AE92" s="5">
        <f t="shared" si="31"/>
        <v>0</v>
      </c>
      <c r="AF92" s="1">
        <f t="shared" si="32"/>
        <v>13.782063277291563</v>
      </c>
      <c r="AG92" s="1">
        <f t="shared" si="33"/>
        <v>13.782063277291563</v>
      </c>
      <c r="AH92" s="1">
        <v>32.3598</v>
      </c>
      <c r="AI92" s="1">
        <v>36.879600000000003</v>
      </c>
      <c r="AJ92" s="1">
        <v>41.132800000000003</v>
      </c>
      <c r="AK92" s="1">
        <v>45.424199999999999</v>
      </c>
      <c r="AL92" s="1">
        <v>42.593600000000002</v>
      </c>
      <c r="AM92" s="1">
        <v>39.310600000000001</v>
      </c>
      <c r="AN92" s="1">
        <v>37.340800000000002</v>
      </c>
      <c r="AO92" s="1">
        <v>46.566600000000001</v>
      </c>
      <c r="AP92" s="1">
        <v>47.993400000000001</v>
      </c>
      <c r="AQ92" s="1"/>
      <c r="AR92" s="1">
        <f t="shared" si="34"/>
        <v>0</v>
      </c>
      <c r="AS92" s="1">
        <f t="shared" si="35"/>
        <v>0</v>
      </c>
      <c r="AT92" s="1">
        <f t="shared" si="36"/>
        <v>397.39019999999994</v>
      </c>
      <c r="AU92" s="1"/>
      <c r="AV92" s="1">
        <f t="shared" si="37"/>
        <v>0</v>
      </c>
      <c r="AW92" s="1"/>
      <c r="AX92" s="1"/>
      <c r="AY92" s="1"/>
      <c r="AZ92" s="1"/>
    </row>
    <row r="93" spans="1:52" x14ac:dyDescent="0.25">
      <c r="A93" s="1" t="s">
        <v>138</v>
      </c>
      <c r="B93" s="1" t="s">
        <v>46</v>
      </c>
      <c r="C93" s="1">
        <v>1</v>
      </c>
      <c r="D93" s="1">
        <v>116</v>
      </c>
      <c r="E93" s="1">
        <v>3</v>
      </c>
      <c r="F93" s="1">
        <v>114</v>
      </c>
      <c r="G93" s="7">
        <v>0.3</v>
      </c>
      <c r="H93" s="1">
        <v>45</v>
      </c>
      <c r="I93" s="1" t="s">
        <v>176</v>
      </c>
      <c r="J93" s="1"/>
      <c r="K93" s="1">
        <v>62</v>
      </c>
      <c r="L93" s="1">
        <f t="shared" si="28"/>
        <v>-59</v>
      </c>
      <c r="M93" s="1">
        <f t="shared" si="29"/>
        <v>3</v>
      </c>
      <c r="N93" s="1"/>
      <c r="O93" s="1"/>
      <c r="P93" s="1">
        <v>23</v>
      </c>
      <c r="Q93" s="1"/>
      <c r="R93" s="1"/>
      <c r="S93" s="10"/>
      <c r="T93" s="1"/>
      <c r="U93" s="1"/>
      <c r="V93" s="1"/>
      <c r="W93" s="1"/>
      <c r="X93" s="1">
        <v>0</v>
      </c>
      <c r="Y93" s="1"/>
      <c r="Z93" s="1"/>
      <c r="AA93" s="1">
        <f t="shared" si="30"/>
        <v>0.6</v>
      </c>
      <c r="AB93" s="5"/>
      <c r="AC93" s="5">
        <f>VLOOKUP(A93,[2]Sheet!$A:$AC,29,0)</f>
        <v>-70</v>
      </c>
      <c r="AD93" s="5"/>
      <c r="AE93" s="5">
        <f t="shared" si="31"/>
        <v>0</v>
      </c>
      <c r="AF93" s="1">
        <f t="shared" si="32"/>
        <v>228.33333333333334</v>
      </c>
      <c r="AG93" s="1">
        <f t="shared" si="33"/>
        <v>228.33333333333334</v>
      </c>
      <c r="AH93" s="1">
        <v>0.6</v>
      </c>
      <c r="AI93" s="1">
        <v>3.8</v>
      </c>
      <c r="AJ93" s="1">
        <v>12.4</v>
      </c>
      <c r="AK93" s="1">
        <v>11.2</v>
      </c>
      <c r="AL93" s="1">
        <v>2.8</v>
      </c>
      <c r="AM93" s="1">
        <v>2.6</v>
      </c>
      <c r="AN93" s="1">
        <v>6.4</v>
      </c>
      <c r="AO93" s="1">
        <v>8</v>
      </c>
      <c r="AP93" s="1">
        <v>8.8000000000000007</v>
      </c>
      <c r="AQ93" s="1"/>
      <c r="AR93" s="1">
        <f t="shared" si="34"/>
        <v>0</v>
      </c>
      <c r="AS93" s="1">
        <f t="shared" si="35"/>
        <v>21</v>
      </c>
      <c r="AT93" s="1">
        <f t="shared" si="36"/>
        <v>17.16</v>
      </c>
      <c r="AU93" s="1"/>
      <c r="AV93" s="1">
        <f t="shared" si="37"/>
        <v>0</v>
      </c>
      <c r="AW93" s="1"/>
      <c r="AX93" s="1"/>
      <c r="AY93" s="1"/>
      <c r="AZ93" s="1"/>
    </row>
    <row r="94" spans="1:52" x14ac:dyDescent="0.25">
      <c r="A94" s="1" t="s">
        <v>139</v>
      </c>
      <c r="B94" s="1" t="s">
        <v>42</v>
      </c>
      <c r="C94" s="1">
        <v>2.7320000000000002</v>
      </c>
      <c r="D94" s="1"/>
      <c r="E94" s="1">
        <v>2.0249999999999999</v>
      </c>
      <c r="F94" s="1">
        <v>-8.0000000000000002E-3</v>
      </c>
      <c r="G94" s="7">
        <v>1</v>
      </c>
      <c r="H94" s="1">
        <v>55</v>
      </c>
      <c r="I94" s="1" t="s">
        <v>176</v>
      </c>
      <c r="J94" s="1"/>
      <c r="K94" s="1">
        <v>3.8</v>
      </c>
      <c r="L94" s="1">
        <f t="shared" si="28"/>
        <v>-1.7749999999999999</v>
      </c>
      <c r="M94" s="1">
        <f t="shared" si="29"/>
        <v>2.0249999999999999</v>
      </c>
      <c r="N94" s="1"/>
      <c r="O94" s="1"/>
      <c r="P94" s="1">
        <v>4</v>
      </c>
      <c r="Q94" s="1"/>
      <c r="R94" s="1"/>
      <c r="S94" s="10"/>
      <c r="T94" s="1"/>
      <c r="U94" s="1"/>
      <c r="V94" s="1"/>
      <c r="W94" s="1"/>
      <c r="X94" s="1">
        <v>8</v>
      </c>
      <c r="Y94" s="1"/>
      <c r="Z94" s="1"/>
      <c r="AA94" s="1">
        <f t="shared" si="30"/>
        <v>0.40499999999999997</v>
      </c>
      <c r="AB94" s="5"/>
      <c r="AC94" s="5">
        <f>VLOOKUP(A94,[2]Sheet!$A:$AC,29,0)</f>
        <v>0</v>
      </c>
      <c r="AD94" s="5"/>
      <c r="AE94" s="5">
        <f t="shared" si="31"/>
        <v>0</v>
      </c>
      <c r="AF94" s="1">
        <f t="shared" si="32"/>
        <v>29.609876543209882</v>
      </c>
      <c r="AG94" s="1">
        <f t="shared" si="33"/>
        <v>29.609876543209882</v>
      </c>
      <c r="AH94" s="1">
        <v>0.40500000000000003</v>
      </c>
      <c r="AI94" s="1">
        <v>1.224</v>
      </c>
      <c r="AJ94" s="1">
        <v>0.5544</v>
      </c>
      <c r="AK94" s="1">
        <v>-0.2646</v>
      </c>
      <c r="AL94" s="1">
        <v>0</v>
      </c>
      <c r="AM94" s="1">
        <v>0</v>
      </c>
      <c r="AN94" s="1">
        <v>0</v>
      </c>
      <c r="AO94" s="1">
        <v>-0.27200000000000002</v>
      </c>
      <c r="AP94" s="1">
        <v>0</v>
      </c>
      <c r="AQ94" s="1"/>
      <c r="AR94" s="1">
        <f t="shared" si="34"/>
        <v>0</v>
      </c>
      <c r="AS94" s="1">
        <f t="shared" si="35"/>
        <v>0</v>
      </c>
      <c r="AT94" s="1">
        <f t="shared" si="36"/>
        <v>2.0518000000000001</v>
      </c>
      <c r="AU94" s="1"/>
      <c r="AV94" s="1">
        <f t="shared" si="37"/>
        <v>0</v>
      </c>
      <c r="AW94" s="1"/>
      <c r="AX94" s="1"/>
      <c r="AY94" s="1"/>
      <c r="AZ94" s="1"/>
    </row>
    <row r="95" spans="1:52" x14ac:dyDescent="0.25">
      <c r="A95" s="1" t="s">
        <v>140</v>
      </c>
      <c r="B95" s="1" t="s">
        <v>46</v>
      </c>
      <c r="C95" s="1">
        <v>465</v>
      </c>
      <c r="D95" s="1">
        <v>418</v>
      </c>
      <c r="E95" s="1">
        <v>259</v>
      </c>
      <c r="F95" s="1">
        <v>531</v>
      </c>
      <c r="G95" s="7">
        <v>0.28000000000000003</v>
      </c>
      <c r="H95" s="1">
        <v>40</v>
      </c>
      <c r="I95" s="1" t="s">
        <v>176</v>
      </c>
      <c r="J95" s="1"/>
      <c r="K95" s="1">
        <v>463</v>
      </c>
      <c r="L95" s="1">
        <f t="shared" si="28"/>
        <v>-204</v>
      </c>
      <c r="M95" s="1">
        <f t="shared" si="29"/>
        <v>259</v>
      </c>
      <c r="N95" s="1"/>
      <c r="O95" s="1"/>
      <c r="P95" s="1">
        <v>70.12468599999977</v>
      </c>
      <c r="Q95" s="1"/>
      <c r="R95" s="1"/>
      <c r="S95" s="10"/>
      <c r="T95" s="1"/>
      <c r="U95" s="1"/>
      <c r="V95" s="1"/>
      <c r="W95" s="1"/>
      <c r="X95" s="1">
        <v>170.2</v>
      </c>
      <c r="Y95" s="1"/>
      <c r="Z95" s="1"/>
      <c r="AA95" s="1">
        <f t="shared" si="30"/>
        <v>51.8</v>
      </c>
      <c r="AB95" s="5"/>
      <c r="AC95" s="5">
        <f>VLOOKUP(A95,[2]Sheet!$A:$AC,29,0)</f>
        <v>-175.62468599999971</v>
      </c>
      <c r="AD95" s="5"/>
      <c r="AE95" s="5">
        <f t="shared" si="31"/>
        <v>0</v>
      </c>
      <c r="AF95" s="1">
        <f t="shared" si="32"/>
        <v>14.890437953667949</v>
      </c>
      <c r="AG95" s="1">
        <f t="shared" si="33"/>
        <v>14.890437953667949</v>
      </c>
      <c r="AH95" s="1">
        <v>57</v>
      </c>
      <c r="AI95" s="1">
        <v>70</v>
      </c>
      <c r="AJ95" s="1">
        <v>76.8</v>
      </c>
      <c r="AK95" s="1">
        <v>82.8</v>
      </c>
      <c r="AL95" s="1">
        <v>77.599999999999994</v>
      </c>
      <c r="AM95" s="1">
        <v>66.8</v>
      </c>
      <c r="AN95" s="1">
        <v>79.2</v>
      </c>
      <c r="AO95" s="1">
        <v>89.4</v>
      </c>
      <c r="AP95" s="1">
        <v>80.2</v>
      </c>
      <c r="AQ95" s="1"/>
      <c r="AR95" s="1">
        <f t="shared" si="34"/>
        <v>0</v>
      </c>
      <c r="AS95" s="1">
        <f t="shared" si="35"/>
        <v>49.174912079999928</v>
      </c>
      <c r="AT95" s="1">
        <f t="shared" si="36"/>
        <v>204.84800000000001</v>
      </c>
      <c r="AU95" s="1"/>
      <c r="AV95" s="1">
        <f t="shared" si="37"/>
        <v>0</v>
      </c>
      <c r="AW95" s="1"/>
      <c r="AX95" s="1"/>
      <c r="AY95" s="1"/>
      <c r="AZ95" s="1"/>
    </row>
    <row r="96" spans="1:52" x14ac:dyDescent="0.25">
      <c r="A96" s="1" t="s">
        <v>141</v>
      </c>
      <c r="B96" s="1" t="s">
        <v>46</v>
      </c>
      <c r="C96" s="1">
        <v>24</v>
      </c>
      <c r="D96" s="1">
        <v>325</v>
      </c>
      <c r="E96" s="1">
        <v>124.274</v>
      </c>
      <c r="F96" s="1">
        <v>187.726</v>
      </c>
      <c r="G96" s="7">
        <v>0.28000000000000003</v>
      </c>
      <c r="H96" s="1">
        <v>40</v>
      </c>
      <c r="I96" s="1" t="s">
        <v>176</v>
      </c>
      <c r="J96" s="1"/>
      <c r="K96" s="1">
        <v>346</v>
      </c>
      <c r="L96" s="1">
        <f t="shared" si="28"/>
        <v>-221.726</v>
      </c>
      <c r="M96" s="1">
        <f t="shared" si="29"/>
        <v>124.274</v>
      </c>
      <c r="N96" s="1"/>
      <c r="O96" s="1"/>
      <c r="P96" s="1">
        <v>275.27999999999997</v>
      </c>
      <c r="Q96" s="1"/>
      <c r="R96" s="1">
        <v>279.72000000000003</v>
      </c>
      <c r="S96" s="1">
        <f>VLOOKUP(A96,[1]TDSheet!$A:$B,2,0)</f>
        <v>282</v>
      </c>
      <c r="T96" s="1"/>
      <c r="U96" s="1"/>
      <c r="V96" s="1"/>
      <c r="W96" s="1"/>
      <c r="X96" s="1">
        <v>0</v>
      </c>
      <c r="Y96" s="1"/>
      <c r="Z96" s="1"/>
      <c r="AA96" s="1">
        <f t="shared" si="30"/>
        <v>24.854800000000001</v>
      </c>
      <c r="AB96" s="5"/>
      <c r="AC96" s="5">
        <f>VLOOKUP(A96,[2]Sheet!$A:$AC,29,0)</f>
        <v>-150</v>
      </c>
      <c r="AD96" s="5"/>
      <c r="AE96" s="5">
        <f t="shared" si="31"/>
        <v>0</v>
      </c>
      <c r="AF96" s="1">
        <f t="shared" si="32"/>
        <v>29.882598129938682</v>
      </c>
      <c r="AG96" s="1">
        <f t="shared" si="33"/>
        <v>29.882598129938682</v>
      </c>
      <c r="AH96" s="1">
        <v>32.654800000000002</v>
      </c>
      <c r="AI96" s="1">
        <v>50.4</v>
      </c>
      <c r="AJ96" s="1">
        <v>91.8</v>
      </c>
      <c r="AK96" s="1">
        <v>43.6</v>
      </c>
      <c r="AL96" s="1">
        <v>2</v>
      </c>
      <c r="AM96" s="1">
        <v>40.4</v>
      </c>
      <c r="AN96" s="1">
        <v>50.8</v>
      </c>
      <c r="AO96" s="1">
        <v>10.4</v>
      </c>
      <c r="AP96" s="1">
        <v>0</v>
      </c>
      <c r="AQ96" s="1"/>
      <c r="AR96" s="1">
        <f t="shared" si="34"/>
        <v>0</v>
      </c>
      <c r="AS96" s="1">
        <f t="shared" si="35"/>
        <v>42.000000000000007</v>
      </c>
      <c r="AT96" s="1">
        <f t="shared" si="36"/>
        <v>97.134688000000011</v>
      </c>
      <c r="AU96" s="1"/>
      <c r="AV96" s="1">
        <f t="shared" si="37"/>
        <v>0</v>
      </c>
      <c r="AW96" s="1"/>
      <c r="AX96" s="1"/>
      <c r="AY96" s="1"/>
      <c r="AZ96" s="1"/>
    </row>
    <row r="97" spans="1:52" x14ac:dyDescent="0.25">
      <c r="A97" s="1" t="s">
        <v>142</v>
      </c>
      <c r="B97" s="1" t="s">
        <v>46</v>
      </c>
      <c r="C97" s="1">
        <v>344</v>
      </c>
      <c r="D97" s="1">
        <v>716</v>
      </c>
      <c r="E97" s="1">
        <v>393.5</v>
      </c>
      <c r="F97" s="1">
        <v>552.5</v>
      </c>
      <c r="G97" s="7">
        <v>0.28000000000000003</v>
      </c>
      <c r="H97" s="1">
        <v>40</v>
      </c>
      <c r="I97" s="1" t="s">
        <v>176</v>
      </c>
      <c r="J97" s="1"/>
      <c r="K97" s="1">
        <v>717</v>
      </c>
      <c r="L97" s="1">
        <f t="shared" si="28"/>
        <v>-323.5</v>
      </c>
      <c r="M97" s="1">
        <f t="shared" si="29"/>
        <v>393.5</v>
      </c>
      <c r="N97" s="1"/>
      <c r="O97" s="1"/>
      <c r="P97" s="1">
        <v>175.5732580000001</v>
      </c>
      <c r="Q97" s="1"/>
      <c r="R97" s="1"/>
      <c r="S97" s="10"/>
      <c r="T97" s="1"/>
      <c r="U97" s="1"/>
      <c r="V97" s="1"/>
      <c r="W97" s="1"/>
      <c r="X97" s="1">
        <v>380.12000000000012</v>
      </c>
      <c r="Y97" s="1"/>
      <c r="Z97" s="1"/>
      <c r="AA97" s="1">
        <f t="shared" si="30"/>
        <v>78.7</v>
      </c>
      <c r="AB97" s="5"/>
      <c r="AC97" s="5">
        <f>VLOOKUP(A97,[2]Sheet!$A:$AC,29,0)</f>
        <v>-203.14325800000017</v>
      </c>
      <c r="AD97" s="5">
        <f>VLOOKUP(A97,[3]TDSheet!$A$1:$N$65536,14,0)*(-1)</f>
        <v>-60</v>
      </c>
      <c r="AE97" s="5">
        <f t="shared" si="31"/>
        <v>0</v>
      </c>
      <c r="AF97" s="1">
        <f t="shared" si="32"/>
        <v>13.31884698856417</v>
      </c>
      <c r="AG97" s="1">
        <f t="shared" si="33"/>
        <v>14.081235806861502</v>
      </c>
      <c r="AH97" s="1">
        <v>78.5</v>
      </c>
      <c r="AI97" s="1">
        <v>103.2</v>
      </c>
      <c r="AJ97" s="1">
        <v>101.8</v>
      </c>
      <c r="AK97" s="1">
        <v>99</v>
      </c>
      <c r="AL97" s="1">
        <v>77.8</v>
      </c>
      <c r="AM97" s="1">
        <v>86.6</v>
      </c>
      <c r="AN97" s="1">
        <v>107</v>
      </c>
      <c r="AO97" s="1">
        <v>107.8</v>
      </c>
      <c r="AP97" s="1">
        <v>88.6</v>
      </c>
      <c r="AQ97" s="1"/>
      <c r="AR97" s="1">
        <f t="shared" si="34"/>
        <v>0</v>
      </c>
      <c r="AS97" s="1">
        <f t="shared" si="35"/>
        <v>56.880112240000052</v>
      </c>
      <c r="AT97" s="1">
        <f t="shared" si="36"/>
        <v>260.12</v>
      </c>
      <c r="AU97" s="1"/>
      <c r="AV97" s="1">
        <f t="shared" si="37"/>
        <v>16.8</v>
      </c>
      <c r="AW97" s="1"/>
      <c r="AX97" s="1"/>
      <c r="AY97" s="1"/>
      <c r="AZ97" s="1"/>
    </row>
    <row r="98" spans="1:52" x14ac:dyDescent="0.25">
      <c r="A98" s="1" t="s">
        <v>143</v>
      </c>
      <c r="B98" s="1" t="s">
        <v>46</v>
      </c>
      <c r="C98" s="1">
        <v>50</v>
      </c>
      <c r="D98" s="1">
        <v>21</v>
      </c>
      <c r="E98" s="1">
        <v>49</v>
      </c>
      <c r="F98" s="1">
        <v>6</v>
      </c>
      <c r="G98" s="7">
        <v>0.09</v>
      </c>
      <c r="H98" s="1">
        <v>45</v>
      </c>
      <c r="I98" s="1" t="s">
        <v>176</v>
      </c>
      <c r="J98" s="1"/>
      <c r="K98" s="1">
        <v>146</v>
      </c>
      <c r="L98" s="1">
        <f t="shared" si="28"/>
        <v>-97</v>
      </c>
      <c r="M98" s="1">
        <f t="shared" si="29"/>
        <v>49</v>
      </c>
      <c r="N98" s="1"/>
      <c r="O98" s="1"/>
      <c r="P98" s="1">
        <v>0</v>
      </c>
      <c r="Q98" s="1"/>
      <c r="R98" s="1"/>
      <c r="S98" s="10"/>
      <c r="T98" s="1"/>
      <c r="U98" s="1"/>
      <c r="V98" s="1"/>
      <c r="W98" s="1"/>
      <c r="X98" s="1">
        <v>66.400000000000006</v>
      </c>
      <c r="Y98" s="1"/>
      <c r="Z98" s="1"/>
      <c r="AA98" s="1">
        <f t="shared" si="30"/>
        <v>9.8000000000000007</v>
      </c>
      <c r="AB98" s="5">
        <f t="shared" si="41"/>
        <v>35.400000000000006</v>
      </c>
      <c r="AC98" s="5">
        <f>VLOOKUP(A98,[2]Sheet!$A:$AC,29,0)</f>
        <v>0</v>
      </c>
      <c r="AD98" s="5"/>
      <c r="AE98" s="5">
        <f>IF(($AE$1-AG98)*AA98&lt;0,0,($AE$1-AG98)*AA98)</f>
        <v>54.02000000000001</v>
      </c>
      <c r="AF98" s="1">
        <f t="shared" si="32"/>
        <v>12.9</v>
      </c>
      <c r="AG98" s="1">
        <f t="shared" si="33"/>
        <v>7.3877551020408161</v>
      </c>
      <c r="AH98" s="1">
        <v>6.6</v>
      </c>
      <c r="AI98" s="1">
        <v>10</v>
      </c>
      <c r="AJ98" s="1">
        <v>8.1999999999999993</v>
      </c>
      <c r="AK98" s="1">
        <v>7.6</v>
      </c>
      <c r="AL98" s="1">
        <v>7.2</v>
      </c>
      <c r="AM98" s="1">
        <v>5.2</v>
      </c>
      <c r="AN98" s="1">
        <v>4</v>
      </c>
      <c r="AO98" s="1">
        <v>2</v>
      </c>
      <c r="AP98" s="1">
        <v>0</v>
      </c>
      <c r="AQ98" s="1"/>
      <c r="AR98" s="1">
        <f t="shared" si="34"/>
        <v>5</v>
      </c>
      <c r="AS98" s="1">
        <f t="shared" si="35"/>
        <v>0</v>
      </c>
      <c r="AT98" s="1">
        <f t="shared" si="36"/>
        <v>5.4540000000000006</v>
      </c>
      <c r="AU98" s="1"/>
      <c r="AV98" s="1">
        <f t="shared" si="37"/>
        <v>0</v>
      </c>
      <c r="AW98" s="1"/>
      <c r="AX98" s="1"/>
      <c r="AY98" s="1"/>
      <c r="AZ98" s="1"/>
    </row>
    <row r="99" spans="1:52" x14ac:dyDescent="0.25">
      <c r="A99" s="10" t="s">
        <v>144</v>
      </c>
      <c r="B99" s="10" t="s">
        <v>42</v>
      </c>
      <c r="C99" s="10">
        <v>78.311000000000007</v>
      </c>
      <c r="D99" s="10">
        <v>2.7349999999999999</v>
      </c>
      <c r="E99" s="10">
        <v>9.4969999999999999</v>
      </c>
      <c r="F99" s="10">
        <v>68.813999999999993</v>
      </c>
      <c r="G99" s="11">
        <v>0</v>
      </c>
      <c r="H99" s="10">
        <v>55</v>
      </c>
      <c r="I99" s="10" t="s">
        <v>122</v>
      </c>
      <c r="J99" s="10"/>
      <c r="K99" s="10">
        <v>11.9</v>
      </c>
      <c r="L99" s="10">
        <f t="shared" si="28"/>
        <v>-2.4030000000000005</v>
      </c>
      <c r="M99" s="10">
        <f t="shared" si="29"/>
        <v>9.4969999999999999</v>
      </c>
      <c r="N99" s="10"/>
      <c r="O99" s="10"/>
      <c r="P99" s="10">
        <v>0</v>
      </c>
      <c r="Q99" s="10"/>
      <c r="R99" s="10"/>
      <c r="S99" s="10"/>
      <c r="T99" s="10"/>
      <c r="U99" s="10"/>
      <c r="V99" s="10"/>
      <c r="W99" s="10"/>
      <c r="X99" s="10">
        <v>0</v>
      </c>
      <c r="Y99" s="10"/>
      <c r="Z99" s="10"/>
      <c r="AA99" s="10">
        <f t="shared" si="30"/>
        <v>1.8994</v>
      </c>
      <c r="AB99" s="12"/>
      <c r="AC99" s="5">
        <f>VLOOKUP(A99,[2]Sheet!$A:$AC,29,0)</f>
        <v>-69</v>
      </c>
      <c r="AD99" s="5"/>
      <c r="AE99" s="5">
        <f t="shared" si="31"/>
        <v>0</v>
      </c>
      <c r="AF99" s="1">
        <f t="shared" si="32"/>
        <v>36.229335579656727</v>
      </c>
      <c r="AG99" s="10">
        <f t="shared" si="33"/>
        <v>36.229335579656727</v>
      </c>
      <c r="AH99" s="10">
        <v>2.1669999999999998</v>
      </c>
      <c r="AI99" s="10">
        <v>2.1669999999999998</v>
      </c>
      <c r="AJ99" s="10">
        <v>0.80959999999999999</v>
      </c>
      <c r="AK99" s="10">
        <v>0</v>
      </c>
      <c r="AL99" s="10">
        <v>0</v>
      </c>
      <c r="AM99" s="10">
        <v>0</v>
      </c>
      <c r="AN99" s="10">
        <v>0</v>
      </c>
      <c r="AO99" s="10">
        <v>0</v>
      </c>
      <c r="AP99" s="10">
        <v>0</v>
      </c>
      <c r="AQ99" s="15" t="s">
        <v>94</v>
      </c>
      <c r="AR99" s="1">
        <f t="shared" si="34"/>
        <v>0</v>
      </c>
      <c r="AS99" s="1">
        <f>-1*AC99</f>
        <v>69</v>
      </c>
      <c r="AT99" s="1">
        <f t="shared" si="36"/>
        <v>0</v>
      </c>
      <c r="AU99" s="1"/>
      <c r="AV99" s="1">
        <f t="shared" si="37"/>
        <v>0</v>
      </c>
      <c r="AW99" s="1"/>
      <c r="AX99" s="1"/>
      <c r="AY99" s="1"/>
      <c r="AZ99" s="1"/>
    </row>
    <row r="100" spans="1:52" x14ac:dyDescent="0.25">
      <c r="A100" s="1" t="s">
        <v>145</v>
      </c>
      <c r="B100" s="1" t="s">
        <v>42</v>
      </c>
      <c r="C100" s="1">
        <v>114.937</v>
      </c>
      <c r="D100" s="1"/>
      <c r="E100" s="1">
        <v>32.725000000000001</v>
      </c>
      <c r="F100" s="1">
        <v>79.138999999999996</v>
      </c>
      <c r="G100" s="7">
        <v>1</v>
      </c>
      <c r="H100" s="1">
        <v>60</v>
      </c>
      <c r="I100" s="1" t="s">
        <v>176</v>
      </c>
      <c r="J100" s="1"/>
      <c r="K100" s="1">
        <v>55</v>
      </c>
      <c r="L100" s="1">
        <f t="shared" ref="L100:L112" si="43">E100-K100</f>
        <v>-22.274999999999999</v>
      </c>
      <c r="M100" s="1">
        <f t="shared" si="29"/>
        <v>32.725000000000001</v>
      </c>
      <c r="N100" s="1"/>
      <c r="O100" s="1"/>
      <c r="P100" s="1">
        <v>0</v>
      </c>
      <c r="Q100" s="1"/>
      <c r="R100" s="1"/>
      <c r="S100" s="10"/>
      <c r="T100" s="1"/>
      <c r="U100" s="1"/>
      <c r="V100" s="1"/>
      <c r="W100" s="1"/>
      <c r="X100" s="1">
        <v>50.29349999999998</v>
      </c>
      <c r="Y100" s="1"/>
      <c r="Z100" s="1"/>
      <c r="AA100" s="1">
        <f t="shared" si="30"/>
        <v>6.5449999999999999</v>
      </c>
      <c r="AB100" s="5"/>
      <c r="AC100" s="5">
        <f>VLOOKUP(A100,[2]Sheet!$A:$AC,29,0)</f>
        <v>-54.164999999999964</v>
      </c>
      <c r="AD100" s="5"/>
      <c r="AE100" s="5">
        <f t="shared" si="31"/>
        <v>0</v>
      </c>
      <c r="AF100" s="1">
        <f t="shared" si="32"/>
        <v>19.775783040488918</v>
      </c>
      <c r="AG100" s="1">
        <f t="shared" si="33"/>
        <v>19.775783040488918</v>
      </c>
      <c r="AH100" s="1">
        <v>9.0909999999999993</v>
      </c>
      <c r="AI100" s="1">
        <v>11.584199999999999</v>
      </c>
      <c r="AJ100" s="1">
        <v>9.4443999999999999</v>
      </c>
      <c r="AK100" s="1">
        <v>10.747999999999999</v>
      </c>
      <c r="AL100" s="1">
        <v>14.030799999999999</v>
      </c>
      <c r="AM100" s="1">
        <v>8.6370000000000005</v>
      </c>
      <c r="AN100" s="1">
        <v>10.106199999999999</v>
      </c>
      <c r="AO100" s="1">
        <v>14.573</v>
      </c>
      <c r="AP100" s="1">
        <v>12.059799999999999</v>
      </c>
      <c r="AQ100" s="15" t="s">
        <v>94</v>
      </c>
      <c r="AR100" s="1">
        <f t="shared" si="34"/>
        <v>0</v>
      </c>
      <c r="AS100" s="1">
        <f t="shared" si="35"/>
        <v>54.164999999999964</v>
      </c>
      <c r="AT100" s="1">
        <f t="shared" si="36"/>
        <v>106.81939999999999</v>
      </c>
      <c r="AU100" s="1"/>
      <c r="AV100" s="1">
        <f t="shared" si="37"/>
        <v>0</v>
      </c>
      <c r="AW100" s="1"/>
      <c r="AX100" s="1"/>
      <c r="AY100" s="1"/>
      <c r="AZ100" s="1"/>
    </row>
    <row r="101" spans="1:52" x14ac:dyDescent="0.25">
      <c r="A101" s="1" t="s">
        <v>146</v>
      </c>
      <c r="B101" s="1" t="s">
        <v>42</v>
      </c>
      <c r="C101" s="1">
        <v>184.91800000000001</v>
      </c>
      <c r="D101" s="1"/>
      <c r="E101" s="1">
        <v>15.388999999999999</v>
      </c>
      <c r="F101" s="1">
        <v>167.38900000000001</v>
      </c>
      <c r="G101" s="7">
        <v>1</v>
      </c>
      <c r="H101" s="1">
        <v>50</v>
      </c>
      <c r="I101" s="1" t="s">
        <v>176</v>
      </c>
      <c r="J101" s="1"/>
      <c r="K101" s="1">
        <v>27.5</v>
      </c>
      <c r="L101" s="1">
        <f t="shared" si="43"/>
        <v>-12.111000000000001</v>
      </c>
      <c r="M101" s="1">
        <f t="shared" si="29"/>
        <v>15.388999999999999</v>
      </c>
      <c r="N101" s="1"/>
      <c r="O101" s="1"/>
      <c r="P101" s="1">
        <v>0</v>
      </c>
      <c r="Q101" s="1"/>
      <c r="R101" s="1"/>
      <c r="S101" s="10"/>
      <c r="T101" s="1"/>
      <c r="U101" s="1"/>
      <c r="V101" s="1"/>
      <c r="W101" s="1"/>
      <c r="X101" s="1">
        <v>0</v>
      </c>
      <c r="Y101" s="1"/>
      <c r="Z101" s="1"/>
      <c r="AA101" s="1">
        <f t="shared" si="30"/>
        <v>3.0777999999999999</v>
      </c>
      <c r="AB101" s="5"/>
      <c r="AC101" s="5">
        <f>VLOOKUP(A101,[2]Sheet!$A:$AC,29,0)</f>
        <v>-131.99430000000001</v>
      </c>
      <c r="AD101" s="5">
        <f>VLOOKUP(A101,[3]TDSheet!$A$1:$N$65536,14,0)*(-1)</f>
        <v>-135.95500000000001</v>
      </c>
      <c r="AE101" s="5">
        <f t="shared" si="31"/>
        <v>0</v>
      </c>
      <c r="AF101" s="1">
        <f t="shared" si="32"/>
        <v>10.213139255312235</v>
      </c>
      <c r="AG101" s="1">
        <f t="shared" si="33"/>
        <v>54.385925011371768</v>
      </c>
      <c r="AH101" s="1">
        <v>4.9722</v>
      </c>
      <c r="AI101" s="1">
        <v>7.1712000000000007</v>
      </c>
      <c r="AJ101" s="1">
        <v>8.8970000000000002</v>
      </c>
      <c r="AK101" s="1">
        <v>7.3335999999999997</v>
      </c>
      <c r="AL101" s="1">
        <v>4.6264000000000003</v>
      </c>
      <c r="AM101" s="1">
        <v>9.5132000000000012</v>
      </c>
      <c r="AN101" s="1">
        <v>20.629000000000001</v>
      </c>
      <c r="AO101" s="1">
        <v>24.804400000000001</v>
      </c>
      <c r="AP101" s="1">
        <v>17.557400000000001</v>
      </c>
      <c r="AQ101" s="15" t="s">
        <v>94</v>
      </c>
      <c r="AR101" s="1">
        <f t="shared" si="34"/>
        <v>0</v>
      </c>
      <c r="AS101" s="1">
        <f t="shared" si="35"/>
        <v>131.99430000000001</v>
      </c>
      <c r="AT101" s="1">
        <f t="shared" si="36"/>
        <v>108.58220000000001</v>
      </c>
      <c r="AU101" s="1"/>
      <c r="AV101" s="1">
        <f t="shared" si="37"/>
        <v>135.95500000000001</v>
      </c>
      <c r="AW101" s="1"/>
      <c r="AX101" s="1"/>
      <c r="AY101" s="1"/>
      <c r="AZ101" s="1"/>
    </row>
    <row r="102" spans="1:52" x14ac:dyDescent="0.25">
      <c r="A102" s="1" t="s">
        <v>147</v>
      </c>
      <c r="B102" s="1" t="s">
        <v>46</v>
      </c>
      <c r="C102" s="1">
        <v>26</v>
      </c>
      <c r="D102" s="1">
        <v>101</v>
      </c>
      <c r="E102" s="1">
        <v>32</v>
      </c>
      <c r="F102" s="1">
        <v>76</v>
      </c>
      <c r="G102" s="7">
        <v>0.09</v>
      </c>
      <c r="H102" s="1">
        <v>45</v>
      </c>
      <c r="I102" s="1" t="s">
        <v>176</v>
      </c>
      <c r="J102" s="1"/>
      <c r="K102" s="1">
        <v>156</v>
      </c>
      <c r="L102" s="1">
        <f t="shared" si="43"/>
        <v>-124</v>
      </c>
      <c r="M102" s="1">
        <f t="shared" si="29"/>
        <v>32</v>
      </c>
      <c r="N102" s="1"/>
      <c r="O102" s="1"/>
      <c r="P102" s="1">
        <v>0</v>
      </c>
      <c r="Q102" s="1"/>
      <c r="R102" s="1"/>
      <c r="S102" s="10"/>
      <c r="T102" s="1"/>
      <c r="U102" s="1"/>
      <c r="V102" s="1"/>
      <c r="W102" s="1"/>
      <c r="X102" s="1">
        <v>0</v>
      </c>
      <c r="Y102" s="1"/>
      <c r="Z102" s="1"/>
      <c r="AA102" s="1">
        <f t="shared" si="30"/>
        <v>6.4</v>
      </c>
      <c r="AB102" s="5"/>
      <c r="AC102" s="5">
        <f>VLOOKUP(A102,[2]Sheet!$A:$AC,29,0)</f>
        <v>0</v>
      </c>
      <c r="AD102" s="5"/>
      <c r="AE102" s="5">
        <f>IF(($AE$1-AG102)*AA102&lt;0,0,($AE$1-AG102)*AA102)</f>
        <v>6.5600000000000023</v>
      </c>
      <c r="AF102" s="1">
        <f t="shared" si="32"/>
        <v>12.9</v>
      </c>
      <c r="AG102" s="1">
        <f t="shared" si="33"/>
        <v>11.875</v>
      </c>
      <c r="AH102" s="1">
        <v>4.8</v>
      </c>
      <c r="AI102" s="1">
        <v>6.4</v>
      </c>
      <c r="AJ102" s="1">
        <v>8.1999999999999993</v>
      </c>
      <c r="AK102" s="1">
        <v>9</v>
      </c>
      <c r="AL102" s="1">
        <v>5.6</v>
      </c>
      <c r="AM102" s="1">
        <v>3</v>
      </c>
      <c r="AN102" s="1">
        <v>3</v>
      </c>
      <c r="AO102" s="1">
        <v>2</v>
      </c>
      <c r="AP102" s="1">
        <v>0</v>
      </c>
      <c r="AQ102" s="1"/>
      <c r="AR102" s="1">
        <f t="shared" si="34"/>
        <v>1</v>
      </c>
      <c r="AS102" s="1">
        <f t="shared" si="35"/>
        <v>0</v>
      </c>
      <c r="AT102" s="1">
        <f t="shared" si="36"/>
        <v>4.3559999999999999</v>
      </c>
      <c r="AU102" s="1"/>
      <c r="AV102" s="1">
        <f t="shared" si="37"/>
        <v>0</v>
      </c>
      <c r="AW102" s="1"/>
      <c r="AX102" s="1"/>
      <c r="AY102" s="1"/>
      <c r="AZ102" s="1"/>
    </row>
    <row r="103" spans="1:52" x14ac:dyDescent="0.25">
      <c r="A103" s="1" t="s">
        <v>148</v>
      </c>
      <c r="B103" s="1" t="s">
        <v>46</v>
      </c>
      <c r="C103" s="1">
        <v>1</v>
      </c>
      <c r="D103" s="1">
        <v>85</v>
      </c>
      <c r="E103" s="1">
        <v>9</v>
      </c>
      <c r="F103" s="1">
        <v>72</v>
      </c>
      <c r="G103" s="7">
        <v>0.09</v>
      </c>
      <c r="H103" s="1">
        <v>45</v>
      </c>
      <c r="I103" s="1" t="s">
        <v>176</v>
      </c>
      <c r="J103" s="1"/>
      <c r="K103" s="1">
        <v>71</v>
      </c>
      <c r="L103" s="1">
        <f t="shared" si="43"/>
        <v>-62</v>
      </c>
      <c r="M103" s="1">
        <f t="shared" si="29"/>
        <v>9</v>
      </c>
      <c r="N103" s="1"/>
      <c r="O103" s="1"/>
      <c r="P103" s="1">
        <v>30</v>
      </c>
      <c r="Q103" s="1"/>
      <c r="R103" s="1"/>
      <c r="S103" s="10"/>
      <c r="T103" s="1"/>
      <c r="U103" s="1"/>
      <c r="V103" s="1"/>
      <c r="W103" s="1"/>
      <c r="X103" s="1">
        <v>0</v>
      </c>
      <c r="Y103" s="1"/>
      <c r="Z103" s="1"/>
      <c r="AA103" s="1">
        <f t="shared" si="30"/>
        <v>1.8</v>
      </c>
      <c r="AB103" s="5"/>
      <c r="AC103" s="5">
        <f>VLOOKUP(A103,[2]Sheet!$A:$AC,29,0)</f>
        <v>0</v>
      </c>
      <c r="AD103" s="5"/>
      <c r="AE103" s="5">
        <f t="shared" si="31"/>
        <v>0</v>
      </c>
      <c r="AF103" s="1">
        <f t="shared" si="32"/>
        <v>56.666666666666664</v>
      </c>
      <c r="AG103" s="1">
        <f t="shared" si="33"/>
        <v>56.666666666666664</v>
      </c>
      <c r="AH103" s="1">
        <v>1.4</v>
      </c>
      <c r="AI103" s="1">
        <v>0.2</v>
      </c>
      <c r="AJ103" s="1">
        <v>6</v>
      </c>
      <c r="AK103" s="1">
        <v>8</v>
      </c>
      <c r="AL103" s="1">
        <v>5.4</v>
      </c>
      <c r="AM103" s="1">
        <v>3.2</v>
      </c>
      <c r="AN103" s="1">
        <v>2</v>
      </c>
      <c r="AO103" s="1">
        <v>2</v>
      </c>
      <c r="AP103" s="1">
        <v>0</v>
      </c>
      <c r="AQ103" s="1" t="s">
        <v>149</v>
      </c>
      <c r="AR103" s="1">
        <f t="shared" si="34"/>
        <v>0</v>
      </c>
      <c r="AS103" s="1">
        <f t="shared" si="35"/>
        <v>0</v>
      </c>
      <c r="AT103" s="1">
        <f t="shared" si="36"/>
        <v>2.6999999999999997</v>
      </c>
      <c r="AU103" s="1"/>
      <c r="AV103" s="1">
        <f t="shared" si="37"/>
        <v>0</v>
      </c>
      <c r="AW103" s="1"/>
      <c r="AX103" s="1"/>
      <c r="AY103" s="1"/>
      <c r="AZ103" s="1"/>
    </row>
    <row r="104" spans="1:52" x14ac:dyDescent="0.25">
      <c r="A104" s="1" t="s">
        <v>150</v>
      </c>
      <c r="B104" s="1" t="s">
        <v>42</v>
      </c>
      <c r="C104" s="1">
        <v>551.68100000000004</v>
      </c>
      <c r="D104" s="1">
        <v>1.377</v>
      </c>
      <c r="E104" s="1">
        <v>41.066000000000003</v>
      </c>
      <c r="F104" s="1">
        <v>509.24599999999998</v>
      </c>
      <c r="G104" s="7">
        <v>1</v>
      </c>
      <c r="H104" s="1">
        <v>60</v>
      </c>
      <c r="I104" s="1" t="s">
        <v>176</v>
      </c>
      <c r="J104" s="1"/>
      <c r="K104" s="1">
        <v>60</v>
      </c>
      <c r="L104" s="1">
        <f t="shared" si="43"/>
        <v>-18.933999999999997</v>
      </c>
      <c r="M104" s="1">
        <f t="shared" si="29"/>
        <v>41.066000000000003</v>
      </c>
      <c r="N104" s="1"/>
      <c r="O104" s="1"/>
      <c r="P104" s="1">
        <v>0</v>
      </c>
      <c r="Q104" s="1"/>
      <c r="R104" s="1"/>
      <c r="S104" s="10"/>
      <c r="T104" s="1"/>
      <c r="U104" s="1"/>
      <c r="V104" s="1"/>
      <c r="W104" s="1"/>
      <c r="X104" s="1">
        <v>0</v>
      </c>
      <c r="Y104" s="1"/>
      <c r="Z104" s="1"/>
      <c r="AA104" s="1">
        <f t="shared" si="30"/>
        <v>8.2132000000000005</v>
      </c>
      <c r="AB104" s="5"/>
      <c r="AC104" s="5">
        <f>VLOOKUP(A104,[2]Sheet!$A:$AC,29,0)</f>
        <v>-414.79419999999999</v>
      </c>
      <c r="AD104" s="5">
        <f>VLOOKUP(A104,[3]TDSheet!$A$1:$N$65536,14,0)*(-1)</f>
        <v>-413.07600000000002</v>
      </c>
      <c r="AE104" s="5">
        <f t="shared" si="31"/>
        <v>0</v>
      </c>
      <c r="AF104" s="1">
        <f t="shared" si="32"/>
        <v>11.709199824672472</v>
      </c>
      <c r="AG104" s="1">
        <f t="shared" si="33"/>
        <v>62.00336044416305</v>
      </c>
      <c r="AH104" s="1">
        <v>7.9378000000000002</v>
      </c>
      <c r="AI104" s="1">
        <v>9.9105999999999987</v>
      </c>
      <c r="AJ104" s="1">
        <v>11.642799999999999</v>
      </c>
      <c r="AK104" s="1">
        <v>11.3886</v>
      </c>
      <c r="AL104" s="1">
        <v>6.3688000000000002</v>
      </c>
      <c r="AM104" s="1">
        <v>0</v>
      </c>
      <c r="AN104" s="1">
        <v>0.2742</v>
      </c>
      <c r="AO104" s="1">
        <v>0.2742</v>
      </c>
      <c r="AP104" s="1">
        <v>0</v>
      </c>
      <c r="AQ104" s="22" t="s">
        <v>184</v>
      </c>
      <c r="AR104" s="1">
        <f t="shared" si="34"/>
        <v>0</v>
      </c>
      <c r="AS104" s="1">
        <f t="shared" si="35"/>
        <v>414.79419999999999</v>
      </c>
      <c r="AT104" s="1">
        <f t="shared" si="36"/>
        <v>56.010200000000005</v>
      </c>
      <c r="AU104" s="1"/>
      <c r="AV104" s="1">
        <f t="shared" si="37"/>
        <v>413.07600000000002</v>
      </c>
      <c r="AW104" s="1"/>
      <c r="AX104" s="1"/>
      <c r="AY104" s="1"/>
      <c r="AZ104" s="1"/>
    </row>
    <row r="105" spans="1:52" x14ac:dyDescent="0.25">
      <c r="A105" s="1" t="s">
        <v>151</v>
      </c>
      <c r="B105" s="1" t="s">
        <v>42</v>
      </c>
      <c r="C105" s="1">
        <v>623.16700000000003</v>
      </c>
      <c r="D105" s="1">
        <v>386.66199999999998</v>
      </c>
      <c r="E105" s="1">
        <v>408.62700000000001</v>
      </c>
      <c r="F105" s="1">
        <v>558.59100000000001</v>
      </c>
      <c r="G105" s="7">
        <v>1</v>
      </c>
      <c r="H105" s="1">
        <v>60</v>
      </c>
      <c r="I105" s="1" t="s">
        <v>176</v>
      </c>
      <c r="J105" s="1"/>
      <c r="K105" s="1">
        <v>598.45699999999999</v>
      </c>
      <c r="L105" s="1">
        <f t="shared" si="43"/>
        <v>-189.82999999999998</v>
      </c>
      <c r="M105" s="1">
        <f t="shared" si="29"/>
        <v>408.62700000000001</v>
      </c>
      <c r="N105" s="1"/>
      <c r="O105" s="1"/>
      <c r="P105" s="1">
        <v>276.86043700000022</v>
      </c>
      <c r="Q105" s="1"/>
      <c r="R105" s="1"/>
      <c r="S105" s="10"/>
      <c r="T105" s="1"/>
      <c r="U105" s="1"/>
      <c r="V105" s="1"/>
      <c r="W105" s="1"/>
      <c r="X105" s="1">
        <v>286.21679000000012</v>
      </c>
      <c r="Y105" s="1"/>
      <c r="Z105" s="1"/>
      <c r="AA105" s="1">
        <f t="shared" si="30"/>
        <v>81.725400000000008</v>
      </c>
      <c r="AB105" s="5"/>
      <c r="AC105" s="5">
        <f>VLOOKUP(A105,[2]Sheet!$A:$AC,29,0)</f>
        <v>-160</v>
      </c>
      <c r="AD105" s="5"/>
      <c r="AE105" s="5">
        <f t="shared" si="31"/>
        <v>0</v>
      </c>
      <c r="AF105" s="1">
        <f t="shared" si="32"/>
        <v>13.724842301169529</v>
      </c>
      <c r="AG105" s="1">
        <f t="shared" si="33"/>
        <v>13.724842301169529</v>
      </c>
      <c r="AH105" s="1">
        <v>95.796599999999998</v>
      </c>
      <c r="AI105" s="1">
        <v>110.8334</v>
      </c>
      <c r="AJ105" s="1">
        <v>111.65</v>
      </c>
      <c r="AK105" s="1">
        <v>111.2154</v>
      </c>
      <c r="AL105" s="1">
        <v>108.0656</v>
      </c>
      <c r="AM105" s="1">
        <v>110.3446</v>
      </c>
      <c r="AN105" s="1">
        <v>88.266400000000004</v>
      </c>
      <c r="AO105" s="1">
        <v>50.457000000000001</v>
      </c>
      <c r="AP105" s="1">
        <v>79.408600000000007</v>
      </c>
      <c r="AQ105" s="1"/>
      <c r="AR105" s="1">
        <f t="shared" si="34"/>
        <v>0</v>
      </c>
      <c r="AS105" s="1">
        <f t="shared" si="35"/>
        <v>160</v>
      </c>
      <c r="AT105" s="1">
        <f t="shared" si="36"/>
        <v>947.76300000000003</v>
      </c>
      <c r="AU105" s="1"/>
      <c r="AV105" s="1">
        <f t="shared" si="37"/>
        <v>0</v>
      </c>
      <c r="AW105" s="1"/>
      <c r="AX105" s="1"/>
      <c r="AY105" s="1"/>
      <c r="AZ105" s="1"/>
    </row>
    <row r="106" spans="1:52" x14ac:dyDescent="0.25">
      <c r="A106" s="1" t="s">
        <v>152</v>
      </c>
      <c r="B106" s="1" t="s">
        <v>42</v>
      </c>
      <c r="C106" s="1">
        <v>460.87599999999998</v>
      </c>
      <c r="D106" s="1">
        <v>8.234</v>
      </c>
      <c r="E106" s="1">
        <v>49.579000000000001</v>
      </c>
      <c r="F106" s="1">
        <v>411.29700000000003</v>
      </c>
      <c r="G106" s="7">
        <v>1</v>
      </c>
      <c r="H106" s="1">
        <v>60</v>
      </c>
      <c r="I106" s="1" t="s">
        <v>176</v>
      </c>
      <c r="J106" s="1"/>
      <c r="K106" s="1">
        <v>69.975999999999999</v>
      </c>
      <c r="L106" s="1">
        <f t="shared" si="43"/>
        <v>-20.396999999999998</v>
      </c>
      <c r="M106" s="1">
        <f t="shared" si="29"/>
        <v>49.579000000000001</v>
      </c>
      <c r="N106" s="1"/>
      <c r="O106" s="1"/>
      <c r="P106" s="1">
        <v>0</v>
      </c>
      <c r="Q106" s="1"/>
      <c r="R106" s="1"/>
      <c r="S106" s="10"/>
      <c r="T106" s="1"/>
      <c r="U106" s="1"/>
      <c r="V106" s="1"/>
      <c r="W106" s="1"/>
      <c r="X106" s="1">
        <v>0</v>
      </c>
      <c r="Y106" s="1"/>
      <c r="Z106" s="1"/>
      <c r="AA106" s="1">
        <f t="shared" si="30"/>
        <v>9.9158000000000008</v>
      </c>
      <c r="AB106" s="5"/>
      <c r="AC106" s="5">
        <f>VLOOKUP(A106,[2]Sheet!$A:$AC,29,0)</f>
        <v>-320</v>
      </c>
      <c r="AD106" s="5"/>
      <c r="AE106" s="5">
        <f t="shared" si="31"/>
        <v>0</v>
      </c>
      <c r="AF106" s="1">
        <f t="shared" si="32"/>
        <v>41.478952782428046</v>
      </c>
      <c r="AG106" s="1">
        <f t="shared" si="33"/>
        <v>41.478952782428046</v>
      </c>
      <c r="AH106" s="1">
        <v>6.5962000000000014</v>
      </c>
      <c r="AI106" s="1">
        <v>6.8528000000000002</v>
      </c>
      <c r="AJ106" s="1">
        <v>7.9191999999999991</v>
      </c>
      <c r="AK106" s="1">
        <v>6.2633999999999999</v>
      </c>
      <c r="AL106" s="1">
        <v>4.6247999999999996</v>
      </c>
      <c r="AM106" s="1">
        <v>1.9012</v>
      </c>
      <c r="AN106" s="1">
        <v>0.27400000000000002</v>
      </c>
      <c r="AO106" s="1">
        <v>0</v>
      </c>
      <c r="AP106" s="1">
        <v>0.54699999999999993</v>
      </c>
      <c r="AQ106" s="22" t="s">
        <v>185</v>
      </c>
      <c r="AR106" s="1">
        <f t="shared" si="34"/>
        <v>0</v>
      </c>
      <c r="AS106" s="1">
        <f t="shared" si="35"/>
        <v>320</v>
      </c>
      <c r="AT106" s="1">
        <f t="shared" si="36"/>
        <v>44.894400000000005</v>
      </c>
      <c r="AU106" s="1"/>
      <c r="AV106" s="1">
        <f t="shared" si="37"/>
        <v>0</v>
      </c>
      <c r="AW106" s="1"/>
      <c r="AX106" s="1"/>
      <c r="AY106" s="1"/>
      <c r="AZ106" s="1"/>
    </row>
    <row r="107" spans="1:52" x14ac:dyDescent="0.25">
      <c r="A107" s="1" t="s">
        <v>153</v>
      </c>
      <c r="B107" s="1" t="s">
        <v>42</v>
      </c>
      <c r="C107" s="1">
        <v>1139.403</v>
      </c>
      <c r="D107" s="1">
        <v>118.685</v>
      </c>
      <c r="E107" s="1">
        <v>728.93700000000001</v>
      </c>
      <c r="F107" s="1">
        <v>412.53100000000001</v>
      </c>
      <c r="G107" s="7">
        <v>1</v>
      </c>
      <c r="H107" s="1">
        <v>60</v>
      </c>
      <c r="I107" s="1" t="s">
        <v>189</v>
      </c>
      <c r="J107" s="1"/>
      <c r="K107" s="1">
        <v>1185.229</v>
      </c>
      <c r="L107" s="1">
        <f t="shared" si="43"/>
        <v>-456.29200000000003</v>
      </c>
      <c r="M107" s="1">
        <f t="shared" si="29"/>
        <v>728.93700000000001</v>
      </c>
      <c r="N107" s="1"/>
      <c r="O107" s="1"/>
      <c r="P107" s="1">
        <v>266.92666560000009</v>
      </c>
      <c r="Q107" s="1">
        <v>400</v>
      </c>
      <c r="R107" s="1">
        <v>271.23193440000011</v>
      </c>
      <c r="S107" s="1">
        <f>VLOOKUP(A107,[1]TDSheet!$A:$B,2,0)</f>
        <v>281.54399999999998</v>
      </c>
      <c r="T107" s="1"/>
      <c r="U107" s="14">
        <v>900</v>
      </c>
      <c r="V107" s="1"/>
      <c r="W107" s="1"/>
      <c r="X107" s="1">
        <v>1023.9594</v>
      </c>
      <c r="Y107" s="1"/>
      <c r="Z107" s="1">
        <v>500</v>
      </c>
      <c r="AA107" s="1">
        <f t="shared" si="30"/>
        <v>145.78739999999999</v>
      </c>
      <c r="AB107" s="5"/>
      <c r="AC107" s="5">
        <f>VLOOKUP(A107,[2]Sheet!$A:$AC,29,0)</f>
        <v>-500</v>
      </c>
      <c r="AD107" s="5"/>
      <c r="AE107" s="5">
        <f>IF(($AE$1-AG107)*AA107&lt;0,0,($AE$1-AG107)*AA107)</f>
        <v>0</v>
      </c>
      <c r="AF107" s="1">
        <f t="shared" si="32"/>
        <v>25.891462499502705</v>
      </c>
      <c r="AG107" s="1">
        <f t="shared" si="33"/>
        <v>25.891462499502705</v>
      </c>
      <c r="AH107" s="1">
        <v>165.05019999999999</v>
      </c>
      <c r="AI107" s="1">
        <v>223.18119999999999</v>
      </c>
      <c r="AJ107" s="1">
        <v>152.50559999999999</v>
      </c>
      <c r="AK107" s="1">
        <v>24.672599999999999</v>
      </c>
      <c r="AL107" s="1">
        <v>20.073399999999999</v>
      </c>
      <c r="AM107" s="1">
        <v>94.601399999999998</v>
      </c>
      <c r="AN107" s="1">
        <v>159.07579999999999</v>
      </c>
      <c r="AO107" s="1">
        <v>185.3526</v>
      </c>
      <c r="AP107" s="1">
        <v>199.28919999999999</v>
      </c>
      <c r="AQ107" s="22" t="s">
        <v>186</v>
      </c>
      <c r="AR107" s="1">
        <f t="shared" si="34"/>
        <v>0</v>
      </c>
      <c r="AS107" s="1">
        <f t="shared" si="35"/>
        <v>500</v>
      </c>
      <c r="AT107" s="1">
        <f t="shared" si="36"/>
        <v>1369.5893999999998</v>
      </c>
      <c r="AU107" s="1">
        <f>(F107+S107+U107+O107)/AA107</f>
        <v>10.93424397444498</v>
      </c>
      <c r="AV107" s="1">
        <f t="shared" si="37"/>
        <v>0</v>
      </c>
      <c r="AW107" s="1"/>
      <c r="AX107" s="1"/>
      <c r="AY107" s="1"/>
      <c r="AZ107" s="1"/>
    </row>
    <row r="108" spans="1:52" x14ac:dyDescent="0.25">
      <c r="A108" s="1" t="s">
        <v>154</v>
      </c>
      <c r="B108" s="1" t="s">
        <v>46</v>
      </c>
      <c r="C108" s="1">
        <v>258</v>
      </c>
      <c r="D108" s="1">
        <v>61</v>
      </c>
      <c r="E108" s="1">
        <v>122</v>
      </c>
      <c r="F108" s="1">
        <v>160</v>
      </c>
      <c r="G108" s="7">
        <v>0.3</v>
      </c>
      <c r="H108" s="1">
        <v>40</v>
      </c>
      <c r="I108" s="1" t="s">
        <v>176</v>
      </c>
      <c r="J108" s="1"/>
      <c r="K108" s="1">
        <v>243</v>
      </c>
      <c r="L108" s="1">
        <f t="shared" si="43"/>
        <v>-121</v>
      </c>
      <c r="M108" s="1">
        <f t="shared" si="29"/>
        <v>122</v>
      </c>
      <c r="N108" s="1"/>
      <c r="O108" s="1"/>
      <c r="P108" s="1">
        <v>81.799999999999898</v>
      </c>
      <c r="Q108" s="1"/>
      <c r="R108" s="1"/>
      <c r="S108" s="10"/>
      <c r="T108" s="1"/>
      <c r="U108" s="1"/>
      <c r="V108" s="1"/>
      <c r="W108" s="1"/>
      <c r="X108" s="1">
        <v>80.700000000000045</v>
      </c>
      <c r="Y108" s="1"/>
      <c r="Z108" s="1"/>
      <c r="AA108" s="1">
        <f t="shared" si="30"/>
        <v>24.4</v>
      </c>
      <c r="AB108" s="5"/>
      <c r="AC108" s="5">
        <f>VLOOKUP(A108,[2]Sheet!$A:$AC,29,0)</f>
        <v>0</v>
      </c>
      <c r="AD108" s="5"/>
      <c r="AE108" s="5">
        <f t="shared" si="31"/>
        <v>0</v>
      </c>
      <c r="AF108" s="1">
        <f t="shared" si="32"/>
        <v>13.217213114754097</v>
      </c>
      <c r="AG108" s="1">
        <f t="shared" si="33"/>
        <v>13.217213114754097</v>
      </c>
      <c r="AH108" s="1">
        <v>27</v>
      </c>
      <c r="AI108" s="1">
        <v>31.4</v>
      </c>
      <c r="AJ108" s="1">
        <v>32.799999999999997</v>
      </c>
      <c r="AK108" s="1">
        <v>29.8</v>
      </c>
      <c r="AL108" s="1">
        <v>35.799999999999997</v>
      </c>
      <c r="AM108" s="1">
        <v>35.6</v>
      </c>
      <c r="AN108" s="1">
        <v>31</v>
      </c>
      <c r="AO108" s="1">
        <v>35.799999999999997</v>
      </c>
      <c r="AP108" s="1">
        <v>40</v>
      </c>
      <c r="AQ108" s="1"/>
      <c r="AR108" s="1">
        <f t="shared" si="34"/>
        <v>0</v>
      </c>
      <c r="AS108" s="1">
        <f t="shared" si="35"/>
        <v>0</v>
      </c>
      <c r="AT108" s="1">
        <f t="shared" si="36"/>
        <v>97.079999999999984</v>
      </c>
      <c r="AU108" s="1"/>
      <c r="AV108" s="1">
        <f t="shared" si="37"/>
        <v>0</v>
      </c>
      <c r="AW108" s="1"/>
      <c r="AX108" s="1"/>
      <c r="AY108" s="1"/>
      <c r="AZ108" s="1"/>
    </row>
    <row r="109" spans="1:52" x14ac:dyDescent="0.25">
      <c r="A109" s="1" t="s">
        <v>155</v>
      </c>
      <c r="B109" s="1" t="s">
        <v>46</v>
      </c>
      <c r="C109" s="1">
        <v>140</v>
      </c>
      <c r="D109" s="1">
        <v>46</v>
      </c>
      <c r="E109" s="1">
        <v>115</v>
      </c>
      <c r="F109" s="1">
        <v>48</v>
      </c>
      <c r="G109" s="7">
        <v>0.3</v>
      </c>
      <c r="H109" s="1">
        <v>40</v>
      </c>
      <c r="I109" s="1" t="s">
        <v>176</v>
      </c>
      <c r="J109" s="1"/>
      <c r="K109" s="1">
        <v>196</v>
      </c>
      <c r="L109" s="1">
        <f t="shared" si="43"/>
        <v>-81</v>
      </c>
      <c r="M109" s="1">
        <f t="shared" si="29"/>
        <v>115</v>
      </c>
      <c r="N109" s="1"/>
      <c r="O109" s="1"/>
      <c r="P109" s="1">
        <v>91.999999999999972</v>
      </c>
      <c r="Q109" s="1"/>
      <c r="R109" s="1"/>
      <c r="S109" s="10"/>
      <c r="T109" s="1"/>
      <c r="U109" s="1"/>
      <c r="V109" s="1"/>
      <c r="W109" s="1"/>
      <c r="X109" s="1">
        <v>118.3</v>
      </c>
      <c r="Y109" s="1"/>
      <c r="Z109" s="1"/>
      <c r="AA109" s="1">
        <f t="shared" si="30"/>
        <v>23</v>
      </c>
      <c r="AB109" s="5"/>
      <c r="AC109" s="5">
        <f>VLOOKUP(A109,[2]Sheet!$A:$AC,29,0)</f>
        <v>0</v>
      </c>
      <c r="AD109" s="5"/>
      <c r="AE109" s="5">
        <f>IF(($AE$1-AG109)*AA109&lt;0,0,($AE$1-AG109)*AA109)</f>
        <v>38.400000000000063</v>
      </c>
      <c r="AF109" s="1">
        <f t="shared" si="32"/>
        <v>12.900000000000002</v>
      </c>
      <c r="AG109" s="1">
        <f t="shared" si="33"/>
        <v>11.230434782608693</v>
      </c>
      <c r="AH109" s="1">
        <v>22</v>
      </c>
      <c r="AI109" s="1">
        <v>25.8</v>
      </c>
      <c r="AJ109" s="1">
        <v>23.2</v>
      </c>
      <c r="AK109" s="1">
        <v>20.6</v>
      </c>
      <c r="AL109" s="1">
        <v>23.8</v>
      </c>
      <c r="AM109" s="1">
        <v>26.2</v>
      </c>
      <c r="AN109" s="1">
        <v>17.8</v>
      </c>
      <c r="AO109" s="1">
        <v>7.4</v>
      </c>
      <c r="AP109" s="1">
        <v>16</v>
      </c>
      <c r="AQ109" s="1"/>
      <c r="AR109" s="1">
        <f t="shared" si="34"/>
        <v>12</v>
      </c>
      <c r="AS109" s="1">
        <f t="shared" si="35"/>
        <v>0</v>
      </c>
      <c r="AT109" s="1">
        <f t="shared" si="36"/>
        <v>61.74</v>
      </c>
      <c r="AU109" s="1"/>
      <c r="AV109" s="1">
        <f t="shared" si="37"/>
        <v>0</v>
      </c>
      <c r="AW109" s="1"/>
      <c r="AX109" s="1"/>
      <c r="AY109" s="1"/>
      <c r="AZ109" s="1"/>
    </row>
    <row r="110" spans="1:52" x14ac:dyDescent="0.25">
      <c r="A110" s="1" t="s">
        <v>156</v>
      </c>
      <c r="B110" s="1" t="s">
        <v>42</v>
      </c>
      <c r="C110" s="1">
        <v>157.917</v>
      </c>
      <c r="D110" s="1">
        <v>1.31</v>
      </c>
      <c r="E110" s="1">
        <v>44.786000000000001</v>
      </c>
      <c r="F110" s="1">
        <v>113.131</v>
      </c>
      <c r="G110" s="7">
        <v>1</v>
      </c>
      <c r="H110" s="1">
        <v>50</v>
      </c>
      <c r="I110" s="1" t="s">
        <v>176</v>
      </c>
      <c r="J110" s="1"/>
      <c r="K110" s="1">
        <v>83</v>
      </c>
      <c r="L110" s="1">
        <f t="shared" si="43"/>
        <v>-38.213999999999999</v>
      </c>
      <c r="M110" s="1">
        <f t="shared" si="29"/>
        <v>44.786000000000001</v>
      </c>
      <c r="N110" s="1"/>
      <c r="O110" s="1"/>
      <c r="P110" s="1">
        <v>0</v>
      </c>
      <c r="Q110" s="1"/>
      <c r="R110" s="1"/>
      <c r="S110" s="10"/>
      <c r="T110" s="1"/>
      <c r="U110" s="1"/>
      <c r="V110" s="1"/>
      <c r="W110" s="1"/>
      <c r="X110" s="1">
        <v>17.07599999999999</v>
      </c>
      <c r="Y110" s="1"/>
      <c r="Z110" s="1"/>
      <c r="AA110" s="1">
        <f t="shared" si="30"/>
        <v>8.9572000000000003</v>
      </c>
      <c r="AB110" s="5"/>
      <c r="AC110" s="5">
        <f>VLOOKUP(A110,[2]Sheet!$A:$AC,29,0)</f>
        <v>-27.199199999999998</v>
      </c>
      <c r="AD110" s="5"/>
      <c r="AE110" s="5">
        <f t="shared" si="31"/>
        <v>0</v>
      </c>
      <c r="AF110" s="1">
        <f t="shared" si="32"/>
        <v>14.536573929352922</v>
      </c>
      <c r="AG110" s="1">
        <f t="shared" si="33"/>
        <v>14.536573929352922</v>
      </c>
      <c r="AH110" s="1">
        <v>9.7802000000000007</v>
      </c>
      <c r="AI110" s="1">
        <v>11.72</v>
      </c>
      <c r="AJ110" s="1">
        <v>12.3124</v>
      </c>
      <c r="AK110" s="1">
        <v>10.629799999999999</v>
      </c>
      <c r="AL110" s="1">
        <v>12.518000000000001</v>
      </c>
      <c r="AM110" s="1">
        <v>18.366</v>
      </c>
      <c r="AN110" s="1">
        <v>10.7338</v>
      </c>
      <c r="AO110" s="1">
        <v>3.254</v>
      </c>
      <c r="AP110" s="1">
        <v>12.4718</v>
      </c>
      <c r="AQ110" s="1"/>
      <c r="AR110" s="1">
        <f t="shared" si="34"/>
        <v>0</v>
      </c>
      <c r="AS110" s="1">
        <f t="shared" si="35"/>
        <v>27.199199999999998</v>
      </c>
      <c r="AT110" s="1">
        <f t="shared" si="36"/>
        <v>110.7432</v>
      </c>
      <c r="AU110" s="1"/>
      <c r="AV110" s="1">
        <f t="shared" si="37"/>
        <v>0</v>
      </c>
      <c r="AW110" s="1"/>
      <c r="AX110" s="1"/>
      <c r="AY110" s="1"/>
      <c r="AZ110" s="1"/>
    </row>
    <row r="111" spans="1:52" x14ac:dyDescent="0.25">
      <c r="A111" s="1" t="s">
        <v>157</v>
      </c>
      <c r="B111" s="1" t="s">
        <v>46</v>
      </c>
      <c r="C111" s="1">
        <v>98</v>
      </c>
      <c r="D111" s="1">
        <v>19</v>
      </c>
      <c r="E111" s="1">
        <v>37</v>
      </c>
      <c r="F111" s="1">
        <v>65</v>
      </c>
      <c r="G111" s="7">
        <v>0.3</v>
      </c>
      <c r="H111" s="1">
        <v>40</v>
      </c>
      <c r="I111" s="1" t="s">
        <v>176</v>
      </c>
      <c r="J111" s="1"/>
      <c r="K111" s="1">
        <v>71</v>
      </c>
      <c r="L111" s="1">
        <f t="shared" si="43"/>
        <v>-34</v>
      </c>
      <c r="M111" s="1">
        <f t="shared" si="29"/>
        <v>37</v>
      </c>
      <c r="N111" s="1"/>
      <c r="O111" s="1"/>
      <c r="P111" s="1">
        <v>0</v>
      </c>
      <c r="Q111" s="1"/>
      <c r="R111" s="1"/>
      <c r="S111" s="10"/>
      <c r="T111" s="1"/>
      <c r="U111" s="1"/>
      <c r="V111" s="1"/>
      <c r="W111" s="1"/>
      <c r="X111" s="1">
        <v>53.600000000000009</v>
      </c>
      <c r="Y111" s="1"/>
      <c r="Z111" s="1"/>
      <c r="AA111" s="1">
        <f t="shared" si="30"/>
        <v>7.4</v>
      </c>
      <c r="AB111" s="5"/>
      <c r="AC111" s="5">
        <f>VLOOKUP(A111,[2]Sheet!$A:$AC,29,0)</f>
        <v>0</v>
      </c>
      <c r="AD111" s="5"/>
      <c r="AE111" s="5">
        <f t="shared" si="31"/>
        <v>0</v>
      </c>
      <c r="AF111" s="1">
        <f t="shared" si="32"/>
        <v>16.027027027027028</v>
      </c>
      <c r="AG111" s="1">
        <f t="shared" si="33"/>
        <v>16.027027027027028</v>
      </c>
      <c r="AH111" s="1">
        <v>8.1999999999999993</v>
      </c>
      <c r="AI111" s="1">
        <v>10.4</v>
      </c>
      <c r="AJ111" s="1">
        <v>9</v>
      </c>
      <c r="AK111" s="1">
        <v>10.199999999999999</v>
      </c>
      <c r="AL111" s="1">
        <v>9.8000000000000007</v>
      </c>
      <c r="AM111" s="1">
        <v>6.4</v>
      </c>
      <c r="AN111" s="1">
        <v>5.6</v>
      </c>
      <c r="AO111" s="1">
        <v>9.4</v>
      </c>
      <c r="AP111" s="1">
        <v>13.4</v>
      </c>
      <c r="AQ111" s="1"/>
      <c r="AR111" s="1">
        <f t="shared" si="34"/>
        <v>0</v>
      </c>
      <c r="AS111" s="1">
        <f t="shared" si="35"/>
        <v>0</v>
      </c>
      <c r="AT111" s="1">
        <f t="shared" si="36"/>
        <v>26.94</v>
      </c>
      <c r="AU111" s="1"/>
      <c r="AV111" s="1">
        <f t="shared" si="37"/>
        <v>0</v>
      </c>
      <c r="AW111" s="1"/>
      <c r="AX111" s="1"/>
      <c r="AY111" s="1"/>
      <c r="AZ111" s="1"/>
    </row>
    <row r="112" spans="1:52" x14ac:dyDescent="0.25">
      <c r="A112" s="1" t="s">
        <v>158</v>
      </c>
      <c r="B112" s="1" t="s">
        <v>46</v>
      </c>
      <c r="C112" s="1">
        <v>14</v>
      </c>
      <c r="D112" s="1">
        <v>85</v>
      </c>
      <c r="E112" s="1">
        <v>11</v>
      </c>
      <c r="F112" s="1">
        <v>77</v>
      </c>
      <c r="G112" s="7">
        <v>0.12</v>
      </c>
      <c r="H112" s="1">
        <v>45</v>
      </c>
      <c r="I112" s="1" t="s">
        <v>176</v>
      </c>
      <c r="J112" s="1"/>
      <c r="K112" s="1">
        <v>46</v>
      </c>
      <c r="L112" s="1">
        <f t="shared" si="43"/>
        <v>-35</v>
      </c>
      <c r="M112" s="1">
        <f t="shared" si="29"/>
        <v>11</v>
      </c>
      <c r="N112" s="1"/>
      <c r="O112" s="1"/>
      <c r="P112" s="1">
        <v>45.800000000000011</v>
      </c>
      <c r="Q112" s="1"/>
      <c r="R112" s="1"/>
      <c r="S112" s="10"/>
      <c r="T112" s="1"/>
      <c r="U112" s="1"/>
      <c r="V112" s="1"/>
      <c r="W112" s="1"/>
      <c r="X112" s="1">
        <v>0</v>
      </c>
      <c r="Y112" s="1"/>
      <c r="Z112" s="1"/>
      <c r="AA112" s="1">
        <f t="shared" si="30"/>
        <v>2.2000000000000002</v>
      </c>
      <c r="AB112" s="5"/>
      <c r="AC112" s="5">
        <f>VLOOKUP(A112,[2]Sheet!$A:$AC,29,0)</f>
        <v>-50</v>
      </c>
      <c r="AD112" s="5"/>
      <c r="AE112" s="5">
        <f t="shared" si="31"/>
        <v>0</v>
      </c>
      <c r="AF112" s="1">
        <f t="shared" si="32"/>
        <v>55.81818181818182</v>
      </c>
      <c r="AG112" s="1">
        <f t="shared" si="33"/>
        <v>55.81818181818182</v>
      </c>
      <c r="AH112" s="1">
        <v>3.6</v>
      </c>
      <c r="AI112" s="1">
        <v>6.6</v>
      </c>
      <c r="AJ112" s="1">
        <v>11.8</v>
      </c>
      <c r="AK112" s="1">
        <v>7</v>
      </c>
      <c r="AL112" s="1">
        <v>-0.4</v>
      </c>
      <c r="AM112" s="1">
        <v>4.2</v>
      </c>
      <c r="AN112" s="1">
        <v>4.8</v>
      </c>
      <c r="AO112" s="1">
        <v>0.6</v>
      </c>
      <c r="AP112" s="1">
        <v>3.8</v>
      </c>
      <c r="AQ112" s="22" t="s">
        <v>74</v>
      </c>
      <c r="AR112" s="1">
        <f t="shared" si="34"/>
        <v>0</v>
      </c>
      <c r="AS112" s="1">
        <f t="shared" si="35"/>
        <v>6</v>
      </c>
      <c r="AT112" s="1">
        <f t="shared" si="36"/>
        <v>5.3040000000000003</v>
      </c>
      <c r="AU112" s="1"/>
      <c r="AV112" s="1">
        <f t="shared" si="37"/>
        <v>0</v>
      </c>
      <c r="AW112" s="1"/>
      <c r="AX112" s="1"/>
      <c r="AY112" s="1"/>
      <c r="AZ112" s="1"/>
    </row>
    <row r="113" spans="1:52" x14ac:dyDescent="0.25">
      <c r="A113" s="10" t="s">
        <v>159</v>
      </c>
      <c r="B113" s="13" t="s">
        <v>42</v>
      </c>
      <c r="C113" s="10"/>
      <c r="D113" s="10"/>
      <c r="E113" s="10"/>
      <c r="F113" s="10"/>
      <c r="G113" s="11">
        <v>0</v>
      </c>
      <c r="H113" s="10"/>
      <c r="I113" s="10" t="s">
        <v>176</v>
      </c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>
        <f t="shared" ref="AA113" si="44">M113/5</f>
        <v>0</v>
      </c>
      <c r="AB113" s="12"/>
      <c r="AC113" s="5">
        <f>VLOOKUP(A113,[2]Sheet!$A:$AC,29,0)</f>
        <v>0</v>
      </c>
      <c r="AD113" s="5"/>
      <c r="AE113" s="5">
        <f t="shared" si="31"/>
        <v>0</v>
      </c>
      <c r="AF113" s="1" t="e">
        <f t="shared" si="32"/>
        <v>#DIV/0!</v>
      </c>
      <c r="AG113" s="10" t="e">
        <f t="shared" si="33"/>
        <v>#DIV/0!</v>
      </c>
      <c r="AH113" s="10">
        <v>0</v>
      </c>
      <c r="AI113" s="10">
        <v>0</v>
      </c>
      <c r="AJ113" s="10">
        <v>0</v>
      </c>
      <c r="AK113" s="10">
        <v>0</v>
      </c>
      <c r="AL113" s="10">
        <v>0</v>
      </c>
      <c r="AM113" s="10">
        <v>0</v>
      </c>
      <c r="AN113" s="10">
        <v>0</v>
      </c>
      <c r="AO113" s="10">
        <v>0</v>
      </c>
      <c r="AP113" s="10">
        <v>0</v>
      </c>
      <c r="AQ113" s="13" t="s">
        <v>160</v>
      </c>
      <c r="AR113" s="1">
        <f t="shared" si="34"/>
        <v>0</v>
      </c>
      <c r="AS113" s="1">
        <f t="shared" si="35"/>
        <v>0</v>
      </c>
      <c r="AT113" s="1">
        <f t="shared" si="36"/>
        <v>0</v>
      </c>
      <c r="AU113" s="1"/>
      <c r="AV113" s="1">
        <f t="shared" si="37"/>
        <v>0</v>
      </c>
      <c r="AW113" s="1"/>
      <c r="AX113" s="1"/>
      <c r="AY113" s="1"/>
      <c r="AZ113" s="1"/>
    </row>
    <row r="114" spans="1:52" x14ac:dyDescent="0.25">
      <c r="A114" s="10" t="s">
        <v>161</v>
      </c>
      <c r="B114" s="13" t="s">
        <v>42</v>
      </c>
      <c r="C114" s="10"/>
      <c r="D114" s="10"/>
      <c r="E114" s="10"/>
      <c r="F114" s="10"/>
      <c r="G114" s="11">
        <v>0</v>
      </c>
      <c r="H114" s="10"/>
      <c r="I114" s="10" t="s">
        <v>176</v>
      </c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>
        <f t="shared" ref="AA114" si="45">M114/5</f>
        <v>0</v>
      </c>
      <c r="AB114" s="12"/>
      <c r="AC114" s="5">
        <f>VLOOKUP(A114,[2]Sheet!$A:$AC,29,0)</f>
        <v>0</v>
      </c>
      <c r="AD114" s="5"/>
      <c r="AE114" s="5">
        <f t="shared" si="31"/>
        <v>0</v>
      </c>
      <c r="AF114" s="1" t="e">
        <f t="shared" si="32"/>
        <v>#DIV/0!</v>
      </c>
      <c r="AG114" s="10" t="e">
        <f t="shared" si="33"/>
        <v>#DIV/0!</v>
      </c>
      <c r="AH114" s="10">
        <v>0</v>
      </c>
      <c r="AI114" s="10">
        <v>0</v>
      </c>
      <c r="AJ114" s="10">
        <v>0</v>
      </c>
      <c r="AK114" s="10">
        <v>0</v>
      </c>
      <c r="AL114" s="10">
        <v>0</v>
      </c>
      <c r="AM114" s="10">
        <v>0</v>
      </c>
      <c r="AN114" s="10">
        <v>0</v>
      </c>
      <c r="AO114" s="10">
        <v>0</v>
      </c>
      <c r="AP114" s="10">
        <v>0</v>
      </c>
      <c r="AQ114" s="13" t="s">
        <v>160</v>
      </c>
      <c r="AR114" s="1">
        <f t="shared" si="34"/>
        <v>0</v>
      </c>
      <c r="AS114" s="1">
        <f t="shared" si="35"/>
        <v>0</v>
      </c>
      <c r="AT114" s="1">
        <f t="shared" si="36"/>
        <v>0</v>
      </c>
      <c r="AU114" s="1"/>
      <c r="AV114" s="1">
        <f t="shared" si="37"/>
        <v>0</v>
      </c>
      <c r="AW114" s="1"/>
      <c r="AX114" s="1"/>
      <c r="AY114" s="1"/>
      <c r="AZ114" s="1"/>
    </row>
    <row r="115" spans="1:52" x14ac:dyDescent="0.25">
      <c r="A115" s="10" t="s">
        <v>162</v>
      </c>
      <c r="B115" s="13" t="s">
        <v>42</v>
      </c>
      <c r="C115" s="10"/>
      <c r="D115" s="10"/>
      <c r="E115" s="10"/>
      <c r="F115" s="10"/>
      <c r="G115" s="11">
        <v>0</v>
      </c>
      <c r="H115" s="10"/>
      <c r="I115" s="10" t="s">
        <v>176</v>
      </c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>
        <f t="shared" ref="AA115" si="46">M115/5</f>
        <v>0</v>
      </c>
      <c r="AB115" s="12"/>
      <c r="AC115" s="5">
        <f>VLOOKUP(A115,[2]Sheet!$A:$AC,29,0)</f>
        <v>0</v>
      </c>
      <c r="AD115" s="5"/>
      <c r="AE115" s="5">
        <f t="shared" si="31"/>
        <v>0</v>
      </c>
      <c r="AF115" s="1" t="e">
        <f t="shared" si="32"/>
        <v>#DIV/0!</v>
      </c>
      <c r="AG115" s="10" t="e">
        <f t="shared" si="33"/>
        <v>#DIV/0!</v>
      </c>
      <c r="AH115" s="10">
        <v>0</v>
      </c>
      <c r="AI115" s="10">
        <v>0</v>
      </c>
      <c r="AJ115" s="10">
        <v>0</v>
      </c>
      <c r="AK115" s="10">
        <v>0</v>
      </c>
      <c r="AL115" s="10">
        <v>0</v>
      </c>
      <c r="AM115" s="10">
        <v>0</v>
      </c>
      <c r="AN115" s="10">
        <v>0</v>
      </c>
      <c r="AO115" s="10">
        <v>0</v>
      </c>
      <c r="AP115" s="10">
        <v>0</v>
      </c>
      <c r="AQ115" s="13" t="s">
        <v>160</v>
      </c>
      <c r="AR115" s="1">
        <f t="shared" si="34"/>
        <v>0</v>
      </c>
      <c r="AS115" s="1">
        <f t="shared" si="35"/>
        <v>0</v>
      </c>
      <c r="AT115" s="1">
        <f t="shared" si="36"/>
        <v>0</v>
      </c>
      <c r="AU115" s="1"/>
      <c r="AV115" s="1">
        <f t="shared" si="37"/>
        <v>0</v>
      </c>
      <c r="AW115" s="1"/>
      <c r="AX115" s="1"/>
      <c r="AY115" s="1"/>
      <c r="AZ115" s="1"/>
    </row>
    <row r="116" spans="1:52" x14ac:dyDescent="0.25">
      <c r="A116" s="10" t="s">
        <v>163</v>
      </c>
      <c r="B116" s="13" t="s">
        <v>42</v>
      </c>
      <c r="C116" s="10"/>
      <c r="D116" s="10"/>
      <c r="E116" s="10"/>
      <c r="F116" s="10"/>
      <c r="G116" s="11">
        <v>0</v>
      </c>
      <c r="H116" s="10"/>
      <c r="I116" s="10" t="s">
        <v>176</v>
      </c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>
        <f t="shared" ref="AA116" si="47">M116/5</f>
        <v>0</v>
      </c>
      <c r="AB116" s="12"/>
      <c r="AC116" s="5">
        <f>VLOOKUP(A116,[2]Sheet!$A:$AC,29,0)</f>
        <v>0</v>
      </c>
      <c r="AD116" s="5"/>
      <c r="AE116" s="5">
        <f t="shared" si="31"/>
        <v>0</v>
      </c>
      <c r="AF116" s="1" t="e">
        <f t="shared" si="32"/>
        <v>#DIV/0!</v>
      </c>
      <c r="AG116" s="10" t="e">
        <f t="shared" si="33"/>
        <v>#DIV/0!</v>
      </c>
      <c r="AH116" s="10">
        <v>0</v>
      </c>
      <c r="AI116" s="10">
        <v>0</v>
      </c>
      <c r="AJ116" s="10">
        <v>0</v>
      </c>
      <c r="AK116" s="10">
        <v>0</v>
      </c>
      <c r="AL116" s="10">
        <v>0</v>
      </c>
      <c r="AM116" s="10">
        <v>0</v>
      </c>
      <c r="AN116" s="10">
        <v>0</v>
      </c>
      <c r="AO116" s="10">
        <v>0</v>
      </c>
      <c r="AP116" s="10">
        <v>0</v>
      </c>
      <c r="AQ116" s="13" t="s">
        <v>160</v>
      </c>
      <c r="AR116" s="1">
        <f t="shared" si="34"/>
        <v>0</v>
      </c>
      <c r="AS116" s="1">
        <f t="shared" si="35"/>
        <v>0</v>
      </c>
      <c r="AT116" s="1">
        <f t="shared" si="36"/>
        <v>0</v>
      </c>
      <c r="AU116" s="1"/>
      <c r="AV116" s="1">
        <f t="shared" si="37"/>
        <v>0</v>
      </c>
      <c r="AW116" s="1"/>
      <c r="AX116" s="1"/>
      <c r="AY116" s="1"/>
      <c r="AZ116" s="1"/>
    </row>
    <row r="117" spans="1:52" x14ac:dyDescent="0.25">
      <c r="A117" s="10" t="s">
        <v>164</v>
      </c>
      <c r="B117" s="13" t="s">
        <v>42</v>
      </c>
      <c r="C117" s="10"/>
      <c r="D117" s="10"/>
      <c r="E117" s="10"/>
      <c r="F117" s="10"/>
      <c r="G117" s="11">
        <v>0</v>
      </c>
      <c r="H117" s="10"/>
      <c r="I117" s="10" t="s">
        <v>176</v>
      </c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>
        <f t="shared" ref="AA117" si="48">M117/5</f>
        <v>0</v>
      </c>
      <c r="AB117" s="12"/>
      <c r="AC117" s="5">
        <f>VLOOKUP(A117,[2]Sheet!$A:$AC,29,0)</f>
        <v>0</v>
      </c>
      <c r="AD117" s="5"/>
      <c r="AE117" s="5">
        <f t="shared" si="31"/>
        <v>0</v>
      </c>
      <c r="AF117" s="1" t="e">
        <f t="shared" si="32"/>
        <v>#DIV/0!</v>
      </c>
      <c r="AG117" s="10" t="e">
        <f t="shared" si="33"/>
        <v>#DIV/0!</v>
      </c>
      <c r="AH117" s="10">
        <v>0</v>
      </c>
      <c r="AI117" s="10">
        <v>0</v>
      </c>
      <c r="AJ117" s="10">
        <v>0</v>
      </c>
      <c r="AK117" s="10">
        <v>0</v>
      </c>
      <c r="AL117" s="10">
        <v>0</v>
      </c>
      <c r="AM117" s="10">
        <v>0</v>
      </c>
      <c r="AN117" s="10">
        <v>0</v>
      </c>
      <c r="AO117" s="10">
        <v>0</v>
      </c>
      <c r="AP117" s="10">
        <v>0</v>
      </c>
      <c r="AQ117" s="13" t="s">
        <v>160</v>
      </c>
      <c r="AR117" s="1">
        <f t="shared" si="34"/>
        <v>0</v>
      </c>
      <c r="AS117" s="1">
        <f t="shared" si="35"/>
        <v>0</v>
      </c>
      <c r="AT117" s="1">
        <f t="shared" si="36"/>
        <v>0</v>
      </c>
      <c r="AU117" s="1"/>
      <c r="AV117" s="1">
        <f t="shared" si="37"/>
        <v>0</v>
      </c>
      <c r="AW117" s="1"/>
      <c r="AX117" s="1"/>
      <c r="AY117" s="1"/>
      <c r="AZ117" s="1"/>
    </row>
    <row r="118" spans="1:52" x14ac:dyDescent="0.25">
      <c r="A118" s="10" t="s">
        <v>165</v>
      </c>
      <c r="B118" s="13" t="s">
        <v>46</v>
      </c>
      <c r="C118" s="10"/>
      <c r="D118" s="10"/>
      <c r="E118" s="10"/>
      <c r="F118" s="10"/>
      <c r="G118" s="11">
        <v>0</v>
      </c>
      <c r="H118" s="10"/>
      <c r="I118" s="10" t="s">
        <v>176</v>
      </c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>
        <f t="shared" ref="AA118" si="49">M118/5</f>
        <v>0</v>
      </c>
      <c r="AB118" s="12"/>
      <c r="AC118" s="5">
        <f>VLOOKUP(A118,[2]Sheet!$A:$AC,29,0)</f>
        <v>0</v>
      </c>
      <c r="AD118" s="5"/>
      <c r="AE118" s="5">
        <f t="shared" si="31"/>
        <v>0</v>
      </c>
      <c r="AF118" s="1" t="e">
        <f t="shared" si="32"/>
        <v>#DIV/0!</v>
      </c>
      <c r="AG118" s="10" t="e">
        <f t="shared" si="33"/>
        <v>#DIV/0!</v>
      </c>
      <c r="AH118" s="10">
        <v>0</v>
      </c>
      <c r="AI118" s="10">
        <v>0</v>
      </c>
      <c r="AJ118" s="10">
        <v>0</v>
      </c>
      <c r="AK118" s="10">
        <v>0</v>
      </c>
      <c r="AL118" s="10">
        <v>0</v>
      </c>
      <c r="AM118" s="10">
        <v>0</v>
      </c>
      <c r="AN118" s="10">
        <v>0</v>
      </c>
      <c r="AO118" s="10">
        <v>0</v>
      </c>
      <c r="AP118" s="10">
        <v>0</v>
      </c>
      <c r="AQ118" s="13" t="s">
        <v>160</v>
      </c>
      <c r="AR118" s="1">
        <f t="shared" si="34"/>
        <v>0</v>
      </c>
      <c r="AS118" s="1">
        <f t="shared" si="35"/>
        <v>0</v>
      </c>
      <c r="AT118" s="1">
        <f t="shared" si="36"/>
        <v>0</v>
      </c>
      <c r="AU118" s="1"/>
      <c r="AV118" s="1">
        <f t="shared" si="37"/>
        <v>0</v>
      </c>
      <c r="AW118" s="1"/>
      <c r="AX118" s="1"/>
      <c r="AY118" s="1"/>
      <c r="AZ118" s="1"/>
    </row>
    <row r="119" spans="1:52" x14ac:dyDescent="0.25">
      <c r="A119" s="10" t="s">
        <v>166</v>
      </c>
      <c r="B119" s="13" t="s">
        <v>42</v>
      </c>
      <c r="C119" s="10"/>
      <c r="D119" s="10"/>
      <c r="E119" s="10"/>
      <c r="F119" s="10"/>
      <c r="G119" s="11">
        <v>0</v>
      </c>
      <c r="H119" s="10"/>
      <c r="I119" s="10" t="s">
        <v>176</v>
      </c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>
        <f t="shared" ref="AA119" si="50">M119/5</f>
        <v>0</v>
      </c>
      <c r="AB119" s="12"/>
      <c r="AC119" s="5">
        <f>VLOOKUP(A119,[2]Sheet!$A:$AC,29,0)</f>
        <v>0</v>
      </c>
      <c r="AD119" s="5"/>
      <c r="AE119" s="5">
        <f t="shared" si="31"/>
        <v>0</v>
      </c>
      <c r="AF119" s="1" t="e">
        <f t="shared" si="32"/>
        <v>#DIV/0!</v>
      </c>
      <c r="AG119" s="10" t="e">
        <f t="shared" si="33"/>
        <v>#DIV/0!</v>
      </c>
      <c r="AH119" s="10">
        <v>0</v>
      </c>
      <c r="AI119" s="10">
        <v>0</v>
      </c>
      <c r="AJ119" s="10">
        <v>0</v>
      </c>
      <c r="AK119" s="10">
        <v>0</v>
      </c>
      <c r="AL119" s="10">
        <v>0</v>
      </c>
      <c r="AM119" s="10">
        <v>0</v>
      </c>
      <c r="AN119" s="10">
        <v>0</v>
      </c>
      <c r="AO119" s="10">
        <v>0</v>
      </c>
      <c r="AP119" s="10">
        <v>0</v>
      </c>
      <c r="AQ119" s="13" t="s">
        <v>160</v>
      </c>
      <c r="AR119" s="1">
        <f t="shared" si="34"/>
        <v>0</v>
      </c>
      <c r="AS119" s="1">
        <f t="shared" si="35"/>
        <v>0</v>
      </c>
      <c r="AT119" s="1">
        <f t="shared" si="36"/>
        <v>0</v>
      </c>
      <c r="AU119" s="1"/>
      <c r="AV119" s="1">
        <f t="shared" si="37"/>
        <v>0</v>
      </c>
      <c r="AW119" s="1"/>
      <c r="AX119" s="1"/>
      <c r="AY119" s="1"/>
      <c r="AZ119" s="1"/>
    </row>
    <row r="120" spans="1:52" x14ac:dyDescent="0.25">
      <c r="A120" s="10" t="s">
        <v>167</v>
      </c>
      <c r="B120" s="13" t="s">
        <v>42</v>
      </c>
      <c r="C120" s="10"/>
      <c r="D120" s="10"/>
      <c r="E120" s="10"/>
      <c r="F120" s="10"/>
      <c r="G120" s="11">
        <v>0</v>
      </c>
      <c r="H120" s="10"/>
      <c r="I120" s="10" t="s">
        <v>176</v>
      </c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>
        <f t="shared" ref="AA120" si="51">M120/5</f>
        <v>0</v>
      </c>
      <c r="AB120" s="12"/>
      <c r="AC120" s="5">
        <f>VLOOKUP(A120,[2]Sheet!$A:$AC,29,0)</f>
        <v>0</v>
      </c>
      <c r="AD120" s="5"/>
      <c r="AE120" s="5">
        <f t="shared" si="31"/>
        <v>0</v>
      </c>
      <c r="AF120" s="1" t="e">
        <f t="shared" si="32"/>
        <v>#DIV/0!</v>
      </c>
      <c r="AG120" s="10" t="e">
        <f t="shared" si="33"/>
        <v>#DIV/0!</v>
      </c>
      <c r="AH120" s="10">
        <v>0</v>
      </c>
      <c r="AI120" s="10">
        <v>0</v>
      </c>
      <c r="AJ120" s="10">
        <v>0</v>
      </c>
      <c r="AK120" s="10">
        <v>0</v>
      </c>
      <c r="AL120" s="10">
        <v>0</v>
      </c>
      <c r="AM120" s="10">
        <v>0</v>
      </c>
      <c r="AN120" s="10">
        <v>0</v>
      </c>
      <c r="AO120" s="10">
        <v>0</v>
      </c>
      <c r="AP120" s="10">
        <v>0</v>
      </c>
      <c r="AQ120" s="13" t="s">
        <v>160</v>
      </c>
      <c r="AR120" s="1">
        <f t="shared" si="34"/>
        <v>0</v>
      </c>
      <c r="AS120" s="1">
        <f t="shared" si="35"/>
        <v>0</v>
      </c>
      <c r="AT120" s="1">
        <f t="shared" si="36"/>
        <v>0</v>
      </c>
      <c r="AU120" s="1"/>
      <c r="AV120" s="1">
        <f t="shared" si="37"/>
        <v>0</v>
      </c>
      <c r="AW120" s="1"/>
      <c r="AX120" s="1"/>
      <c r="AY120" s="1"/>
      <c r="AZ120" s="1"/>
    </row>
    <row r="121" spans="1:52" x14ac:dyDescent="0.25">
      <c r="A121" s="10" t="s">
        <v>168</v>
      </c>
      <c r="B121" s="13" t="s">
        <v>46</v>
      </c>
      <c r="C121" s="10"/>
      <c r="D121" s="10"/>
      <c r="E121" s="10"/>
      <c r="F121" s="10"/>
      <c r="G121" s="11">
        <v>0</v>
      </c>
      <c r="H121" s="10"/>
      <c r="I121" s="10" t="s">
        <v>176</v>
      </c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>
        <f t="shared" ref="AA121" si="52">M121/5</f>
        <v>0</v>
      </c>
      <c r="AB121" s="12"/>
      <c r="AC121" s="5">
        <f>VLOOKUP(A121,[2]Sheet!$A:$AC,29,0)</f>
        <v>0</v>
      </c>
      <c r="AD121" s="5"/>
      <c r="AE121" s="5">
        <f t="shared" si="31"/>
        <v>0</v>
      </c>
      <c r="AF121" s="1" t="e">
        <f t="shared" si="32"/>
        <v>#DIV/0!</v>
      </c>
      <c r="AG121" s="10" t="e">
        <f t="shared" si="33"/>
        <v>#DIV/0!</v>
      </c>
      <c r="AH121" s="10">
        <v>0</v>
      </c>
      <c r="AI121" s="10">
        <v>0</v>
      </c>
      <c r="AJ121" s="10">
        <v>0</v>
      </c>
      <c r="AK121" s="10">
        <v>0</v>
      </c>
      <c r="AL121" s="10">
        <v>0</v>
      </c>
      <c r="AM121" s="10">
        <v>0</v>
      </c>
      <c r="AN121" s="10">
        <v>0</v>
      </c>
      <c r="AO121" s="10">
        <v>0</v>
      </c>
      <c r="AP121" s="10">
        <v>0</v>
      </c>
      <c r="AQ121" s="13" t="s">
        <v>160</v>
      </c>
      <c r="AR121" s="1">
        <f t="shared" si="34"/>
        <v>0</v>
      </c>
      <c r="AS121" s="1">
        <f t="shared" si="35"/>
        <v>0</v>
      </c>
      <c r="AT121" s="1">
        <f t="shared" si="36"/>
        <v>0</v>
      </c>
      <c r="AU121" s="1"/>
      <c r="AV121" s="1">
        <f t="shared" si="37"/>
        <v>0</v>
      </c>
      <c r="AW121" s="1"/>
      <c r="AX121" s="1"/>
      <c r="AY121" s="1"/>
      <c r="AZ121" s="1"/>
    </row>
    <row r="122" spans="1:52" x14ac:dyDescent="0.25">
      <c r="A122" s="10" t="s">
        <v>169</v>
      </c>
      <c r="B122" s="13" t="s">
        <v>46</v>
      </c>
      <c r="C122" s="10"/>
      <c r="D122" s="10"/>
      <c r="E122" s="10"/>
      <c r="F122" s="10"/>
      <c r="G122" s="11">
        <v>0</v>
      </c>
      <c r="H122" s="10"/>
      <c r="I122" s="10" t="s">
        <v>176</v>
      </c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>
        <f t="shared" ref="AA122" si="53">M122/5</f>
        <v>0</v>
      </c>
      <c r="AB122" s="12"/>
      <c r="AC122" s="5">
        <f>VLOOKUP(A122,[2]Sheet!$A:$AC,29,0)</f>
        <v>0</v>
      </c>
      <c r="AD122" s="5"/>
      <c r="AE122" s="5">
        <f t="shared" si="31"/>
        <v>0</v>
      </c>
      <c r="AF122" s="1" t="e">
        <f t="shared" si="32"/>
        <v>#DIV/0!</v>
      </c>
      <c r="AG122" s="10" t="e">
        <f t="shared" si="33"/>
        <v>#DIV/0!</v>
      </c>
      <c r="AH122" s="10">
        <v>0</v>
      </c>
      <c r="AI122" s="10">
        <v>0</v>
      </c>
      <c r="AJ122" s="10">
        <v>0</v>
      </c>
      <c r="AK122" s="10">
        <v>0</v>
      </c>
      <c r="AL122" s="10">
        <v>0</v>
      </c>
      <c r="AM122" s="10">
        <v>0</v>
      </c>
      <c r="AN122" s="10">
        <v>0</v>
      </c>
      <c r="AO122" s="10">
        <v>0</v>
      </c>
      <c r="AP122" s="10">
        <v>0</v>
      </c>
      <c r="AQ122" s="13" t="s">
        <v>160</v>
      </c>
      <c r="AR122" s="1">
        <f t="shared" si="34"/>
        <v>0</v>
      </c>
      <c r="AS122" s="1">
        <f t="shared" si="35"/>
        <v>0</v>
      </c>
      <c r="AT122" s="1">
        <f t="shared" si="36"/>
        <v>0</v>
      </c>
      <c r="AU122" s="1"/>
      <c r="AV122" s="1">
        <f t="shared" si="37"/>
        <v>0</v>
      </c>
      <c r="AW122" s="1"/>
      <c r="AX122" s="1"/>
      <c r="AY122" s="1"/>
      <c r="AZ122" s="1"/>
    </row>
    <row r="123" spans="1:52" x14ac:dyDescent="0.25">
      <c r="A123" s="10" t="s">
        <v>170</v>
      </c>
      <c r="B123" s="13" t="s">
        <v>42</v>
      </c>
      <c r="C123" s="10"/>
      <c r="D123" s="10"/>
      <c r="E123" s="10"/>
      <c r="F123" s="10"/>
      <c r="G123" s="11">
        <v>0</v>
      </c>
      <c r="H123" s="10"/>
      <c r="I123" s="10" t="s">
        <v>176</v>
      </c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>
        <f t="shared" ref="AA123" si="54">M123/5</f>
        <v>0</v>
      </c>
      <c r="AB123" s="12"/>
      <c r="AC123" s="5">
        <f>VLOOKUP(A123,[2]Sheet!$A:$AC,29,0)</f>
        <v>0</v>
      </c>
      <c r="AD123" s="5"/>
      <c r="AE123" s="5">
        <f t="shared" si="31"/>
        <v>0</v>
      </c>
      <c r="AF123" s="1" t="e">
        <f t="shared" si="32"/>
        <v>#DIV/0!</v>
      </c>
      <c r="AG123" s="10" t="e">
        <f t="shared" si="33"/>
        <v>#DIV/0!</v>
      </c>
      <c r="AH123" s="10">
        <v>0</v>
      </c>
      <c r="AI123" s="10">
        <v>0</v>
      </c>
      <c r="AJ123" s="10">
        <v>0</v>
      </c>
      <c r="AK123" s="10">
        <v>0</v>
      </c>
      <c r="AL123" s="10">
        <v>0</v>
      </c>
      <c r="AM123" s="10">
        <v>0</v>
      </c>
      <c r="AN123" s="10">
        <v>0</v>
      </c>
      <c r="AO123" s="10">
        <v>0</v>
      </c>
      <c r="AP123" s="10">
        <v>0</v>
      </c>
      <c r="AQ123" s="13" t="s">
        <v>160</v>
      </c>
      <c r="AR123" s="1">
        <f t="shared" si="34"/>
        <v>0</v>
      </c>
      <c r="AS123" s="1">
        <f t="shared" si="35"/>
        <v>0</v>
      </c>
      <c r="AT123" s="1">
        <f t="shared" si="36"/>
        <v>0</v>
      </c>
      <c r="AU123" s="1"/>
      <c r="AV123" s="1">
        <f t="shared" si="37"/>
        <v>0</v>
      </c>
      <c r="AW123" s="1"/>
      <c r="AX123" s="1"/>
      <c r="AY123" s="1"/>
      <c r="AZ123" s="1"/>
    </row>
    <row r="124" spans="1:52" x14ac:dyDescent="0.25">
      <c r="A124" s="10" t="s">
        <v>171</v>
      </c>
      <c r="B124" s="13" t="s">
        <v>42</v>
      </c>
      <c r="C124" s="10"/>
      <c r="D124" s="10"/>
      <c r="E124" s="10"/>
      <c r="F124" s="10"/>
      <c r="G124" s="11">
        <v>0</v>
      </c>
      <c r="H124" s="10"/>
      <c r="I124" s="10" t="s">
        <v>176</v>
      </c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>
        <f t="shared" ref="AA124" si="55">M124/5</f>
        <v>0</v>
      </c>
      <c r="AB124" s="12"/>
      <c r="AC124" s="5">
        <f>VLOOKUP(A124,[2]Sheet!$A:$AC,29,0)</f>
        <v>0</v>
      </c>
      <c r="AD124" s="5"/>
      <c r="AE124" s="5">
        <f t="shared" si="31"/>
        <v>0</v>
      </c>
      <c r="AF124" s="1" t="e">
        <f t="shared" si="32"/>
        <v>#DIV/0!</v>
      </c>
      <c r="AG124" s="10" t="e">
        <f t="shared" si="33"/>
        <v>#DIV/0!</v>
      </c>
      <c r="AH124" s="10">
        <v>0</v>
      </c>
      <c r="AI124" s="10">
        <v>0</v>
      </c>
      <c r="AJ124" s="10">
        <v>0</v>
      </c>
      <c r="AK124" s="10">
        <v>0</v>
      </c>
      <c r="AL124" s="10">
        <v>0</v>
      </c>
      <c r="AM124" s="10">
        <v>0</v>
      </c>
      <c r="AN124" s="10">
        <v>0</v>
      </c>
      <c r="AO124" s="10">
        <v>0</v>
      </c>
      <c r="AP124" s="10">
        <v>0</v>
      </c>
      <c r="AQ124" s="13" t="s">
        <v>160</v>
      </c>
      <c r="AR124" s="1">
        <f t="shared" si="34"/>
        <v>0</v>
      </c>
      <c r="AS124" s="1">
        <f t="shared" si="35"/>
        <v>0</v>
      </c>
      <c r="AT124" s="1">
        <f t="shared" si="36"/>
        <v>0</v>
      </c>
      <c r="AU124" s="1"/>
      <c r="AV124" s="1">
        <f t="shared" si="37"/>
        <v>0</v>
      </c>
      <c r="AW124" s="1"/>
      <c r="AX124" s="1"/>
      <c r="AY124" s="1"/>
      <c r="AZ124" s="1"/>
    </row>
    <row r="125" spans="1:52" x14ac:dyDescent="0.25">
      <c r="A125" s="10" t="s">
        <v>172</v>
      </c>
      <c r="B125" s="13" t="s">
        <v>42</v>
      </c>
      <c r="C125" s="10"/>
      <c r="D125" s="10"/>
      <c r="E125" s="10"/>
      <c r="F125" s="10"/>
      <c r="G125" s="11">
        <v>0</v>
      </c>
      <c r="H125" s="10"/>
      <c r="I125" s="10" t="s">
        <v>176</v>
      </c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>
        <f t="shared" ref="AA125" si="56">M125/5</f>
        <v>0</v>
      </c>
      <c r="AB125" s="12"/>
      <c r="AC125" s="5">
        <f>VLOOKUP(A125,[2]Sheet!$A:$AC,29,0)</f>
        <v>0</v>
      </c>
      <c r="AD125" s="5"/>
      <c r="AE125" s="5">
        <f t="shared" si="31"/>
        <v>0</v>
      </c>
      <c r="AF125" s="1" t="e">
        <f t="shared" si="32"/>
        <v>#DIV/0!</v>
      </c>
      <c r="AG125" s="10" t="e">
        <f t="shared" si="33"/>
        <v>#DIV/0!</v>
      </c>
      <c r="AH125" s="10">
        <v>0</v>
      </c>
      <c r="AI125" s="10">
        <v>0</v>
      </c>
      <c r="AJ125" s="10">
        <v>0</v>
      </c>
      <c r="AK125" s="10">
        <v>0</v>
      </c>
      <c r="AL125" s="10">
        <v>0</v>
      </c>
      <c r="AM125" s="10">
        <v>0</v>
      </c>
      <c r="AN125" s="10">
        <v>0</v>
      </c>
      <c r="AO125" s="10">
        <v>0</v>
      </c>
      <c r="AP125" s="10">
        <v>0</v>
      </c>
      <c r="AQ125" s="13" t="s">
        <v>160</v>
      </c>
      <c r="AR125" s="1">
        <f t="shared" si="34"/>
        <v>0</v>
      </c>
      <c r="AS125" s="1">
        <f t="shared" si="35"/>
        <v>0</v>
      </c>
      <c r="AT125" s="1">
        <f t="shared" si="36"/>
        <v>0</v>
      </c>
      <c r="AU125" s="1"/>
      <c r="AV125" s="1">
        <f t="shared" si="37"/>
        <v>0</v>
      </c>
      <c r="AW125" s="1"/>
      <c r="AX125" s="1"/>
      <c r="AY125" s="1"/>
      <c r="AZ125" s="1"/>
    </row>
    <row r="126" spans="1:52" x14ac:dyDescent="0.25">
      <c r="A126" s="10" t="s">
        <v>173</v>
      </c>
      <c r="B126" s="13" t="s">
        <v>42</v>
      </c>
      <c r="C126" s="10"/>
      <c r="D126" s="10"/>
      <c r="E126" s="10"/>
      <c r="F126" s="10"/>
      <c r="G126" s="11">
        <v>0</v>
      </c>
      <c r="H126" s="10"/>
      <c r="I126" s="10" t="s">
        <v>176</v>
      </c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>
        <f t="shared" ref="AA126" si="57">M126/5</f>
        <v>0</v>
      </c>
      <c r="AB126" s="12"/>
      <c r="AC126" s="5">
        <f>VLOOKUP(A126,[2]Sheet!$A:$AC,29,0)</f>
        <v>0</v>
      </c>
      <c r="AD126" s="5"/>
      <c r="AE126" s="5">
        <f t="shared" si="31"/>
        <v>0</v>
      </c>
      <c r="AF126" s="1" t="e">
        <f t="shared" si="32"/>
        <v>#DIV/0!</v>
      </c>
      <c r="AG126" s="10" t="e">
        <f t="shared" si="33"/>
        <v>#DIV/0!</v>
      </c>
      <c r="AH126" s="10">
        <v>0</v>
      </c>
      <c r="AI126" s="10">
        <v>0</v>
      </c>
      <c r="AJ126" s="10">
        <v>0</v>
      </c>
      <c r="AK126" s="10">
        <v>0</v>
      </c>
      <c r="AL126" s="10">
        <v>0</v>
      </c>
      <c r="AM126" s="10">
        <v>0</v>
      </c>
      <c r="AN126" s="10">
        <v>0</v>
      </c>
      <c r="AO126" s="10">
        <v>0</v>
      </c>
      <c r="AP126" s="10">
        <v>0</v>
      </c>
      <c r="AQ126" s="13" t="s">
        <v>160</v>
      </c>
      <c r="AR126" s="1">
        <f t="shared" si="34"/>
        <v>0</v>
      </c>
      <c r="AS126" s="1">
        <f t="shared" si="35"/>
        <v>0</v>
      </c>
      <c r="AT126" s="1">
        <f t="shared" si="36"/>
        <v>0</v>
      </c>
      <c r="AU126" s="1"/>
      <c r="AV126" s="1">
        <f t="shared" si="37"/>
        <v>0</v>
      </c>
      <c r="AW126" s="1"/>
      <c r="AX126" s="1"/>
      <c r="AY126" s="1"/>
      <c r="AZ126" s="1"/>
    </row>
    <row r="127" spans="1:52" x14ac:dyDescent="0.25">
      <c r="A127" s="10" t="s">
        <v>174</v>
      </c>
      <c r="B127" s="13" t="s">
        <v>46</v>
      </c>
      <c r="C127" s="10"/>
      <c r="D127" s="10"/>
      <c r="E127" s="10"/>
      <c r="F127" s="10"/>
      <c r="G127" s="11">
        <v>0</v>
      </c>
      <c r="H127" s="10"/>
      <c r="I127" s="10" t="s">
        <v>176</v>
      </c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>
        <f t="shared" ref="AA127" si="58">M127/5</f>
        <v>0</v>
      </c>
      <c r="AB127" s="12"/>
      <c r="AC127" s="5">
        <f>VLOOKUP(A127,[2]Sheet!$A:$AC,29,0)</f>
        <v>0</v>
      </c>
      <c r="AD127" s="5"/>
      <c r="AE127" s="5">
        <f t="shared" si="31"/>
        <v>0</v>
      </c>
      <c r="AF127" s="1" t="e">
        <f t="shared" si="32"/>
        <v>#DIV/0!</v>
      </c>
      <c r="AG127" s="10" t="e">
        <f t="shared" si="33"/>
        <v>#DIV/0!</v>
      </c>
      <c r="AH127" s="10">
        <v>0</v>
      </c>
      <c r="AI127" s="10">
        <v>0</v>
      </c>
      <c r="AJ127" s="10">
        <v>0</v>
      </c>
      <c r="AK127" s="10">
        <v>0</v>
      </c>
      <c r="AL127" s="10">
        <v>0</v>
      </c>
      <c r="AM127" s="10">
        <v>0</v>
      </c>
      <c r="AN127" s="10">
        <v>0</v>
      </c>
      <c r="AO127" s="10">
        <v>0</v>
      </c>
      <c r="AP127" s="10">
        <v>0</v>
      </c>
      <c r="AQ127" s="13" t="s">
        <v>160</v>
      </c>
      <c r="AR127" s="1">
        <f t="shared" si="34"/>
        <v>0</v>
      </c>
      <c r="AS127" s="1">
        <f t="shared" si="35"/>
        <v>0</v>
      </c>
      <c r="AT127" s="1">
        <f t="shared" si="36"/>
        <v>0</v>
      </c>
      <c r="AU127" s="1"/>
      <c r="AV127" s="1">
        <f t="shared" si="37"/>
        <v>0</v>
      </c>
      <c r="AW127" s="1"/>
      <c r="AX127" s="1"/>
      <c r="AY127" s="1"/>
      <c r="AZ127" s="1"/>
    </row>
    <row r="128" spans="1:52" x14ac:dyDescent="0.25">
      <c r="A128" s="10" t="s">
        <v>175</v>
      </c>
      <c r="B128" s="13" t="s">
        <v>46</v>
      </c>
      <c r="C128" s="10"/>
      <c r="D128" s="10"/>
      <c r="E128" s="10"/>
      <c r="F128" s="10"/>
      <c r="G128" s="11">
        <v>0</v>
      </c>
      <c r="H128" s="10"/>
      <c r="I128" s="10" t="s">
        <v>176</v>
      </c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>
        <f t="shared" ref="AA128" si="59">M128/5</f>
        <v>0</v>
      </c>
      <c r="AB128" s="12"/>
      <c r="AC128" s="5">
        <f>VLOOKUP(A128,[2]Sheet!$A:$AC,29,0)</f>
        <v>0</v>
      </c>
      <c r="AD128" s="5"/>
      <c r="AE128" s="5">
        <f t="shared" si="31"/>
        <v>0</v>
      </c>
      <c r="AF128" s="1" t="e">
        <f t="shared" si="32"/>
        <v>#DIV/0!</v>
      </c>
      <c r="AG128" s="10" t="e">
        <f t="shared" si="33"/>
        <v>#DIV/0!</v>
      </c>
      <c r="AH128" s="10">
        <v>0</v>
      </c>
      <c r="AI128" s="10">
        <v>0</v>
      </c>
      <c r="AJ128" s="10">
        <v>0</v>
      </c>
      <c r="AK128" s="10">
        <v>0</v>
      </c>
      <c r="AL128" s="10">
        <v>0</v>
      </c>
      <c r="AM128" s="10">
        <v>0</v>
      </c>
      <c r="AN128" s="10">
        <v>0</v>
      </c>
      <c r="AO128" s="10">
        <v>0</v>
      </c>
      <c r="AP128" s="10">
        <v>0</v>
      </c>
      <c r="AQ128" s="13" t="s">
        <v>160</v>
      </c>
      <c r="AR128" s="1">
        <f t="shared" si="34"/>
        <v>0</v>
      </c>
      <c r="AS128" s="1">
        <f t="shared" si="35"/>
        <v>0</v>
      </c>
      <c r="AT128" s="1">
        <f t="shared" si="36"/>
        <v>0</v>
      </c>
      <c r="AU128" s="1"/>
      <c r="AV128" s="1">
        <f t="shared" si="37"/>
        <v>0</v>
      </c>
      <c r="AW128" s="1"/>
      <c r="AX128" s="1"/>
      <c r="AY128" s="1"/>
      <c r="AZ128" s="1"/>
    </row>
    <row r="129" spans="1:52" x14ac:dyDescent="0.25">
      <c r="A129" s="17" t="s">
        <v>177</v>
      </c>
      <c r="B129" s="17" t="s">
        <v>46</v>
      </c>
      <c r="C129" s="18"/>
      <c r="D129" s="18"/>
      <c r="E129" s="18"/>
      <c r="F129" s="18"/>
      <c r="G129" s="19">
        <v>0.32500000000000001</v>
      </c>
      <c r="H129" s="18"/>
      <c r="I129" s="17" t="s">
        <v>176</v>
      </c>
      <c r="J129" s="18"/>
      <c r="K129" s="18"/>
      <c r="L129" s="18"/>
      <c r="M129" s="18"/>
      <c r="N129" s="18"/>
      <c r="O129" s="18"/>
      <c r="P129" s="18"/>
      <c r="Q129" s="18"/>
      <c r="R129" s="18"/>
      <c r="S129" s="10"/>
      <c r="T129" s="18"/>
      <c r="U129" s="18"/>
      <c r="V129" s="18"/>
      <c r="W129" s="18"/>
      <c r="X129" s="18"/>
      <c r="Y129" s="18"/>
      <c r="Z129" s="18"/>
      <c r="AA129" s="18">
        <f t="shared" ref="AA129" si="60">M129/5</f>
        <v>0</v>
      </c>
      <c r="AB129" s="20">
        <v>200</v>
      </c>
      <c r="AC129" s="5">
        <f>VLOOKUP(A129,[2]Sheet!$A:$AC,29,0)</f>
        <v>0</v>
      </c>
      <c r="AD129" s="5"/>
      <c r="AE129" s="5">
        <f t="shared" si="31"/>
        <v>200</v>
      </c>
      <c r="AF129" s="1" t="e">
        <f t="shared" si="32"/>
        <v>#DIV/0!</v>
      </c>
      <c r="AG129" s="18" t="e">
        <f t="shared" ref="AG129" si="61">(F129+O129+P129+Q129+R129+T129+U129+V129+W129+X129+Y129+Z129)/AA129</f>
        <v>#DIV/0!</v>
      </c>
      <c r="AH129" s="18">
        <v>0</v>
      </c>
      <c r="AI129" s="18">
        <v>0</v>
      </c>
      <c r="AJ129" s="18">
        <v>0</v>
      </c>
      <c r="AK129" s="18">
        <v>0</v>
      </c>
      <c r="AL129" s="18">
        <v>0</v>
      </c>
      <c r="AM129" s="18">
        <v>0</v>
      </c>
      <c r="AN129" s="18">
        <v>0</v>
      </c>
      <c r="AO129" s="18">
        <v>0</v>
      </c>
      <c r="AP129" s="18">
        <v>0</v>
      </c>
      <c r="AQ129" s="17" t="s">
        <v>178</v>
      </c>
      <c r="AR129" s="1">
        <f t="shared" si="34"/>
        <v>65</v>
      </c>
      <c r="AS129" s="1">
        <f t="shared" si="35"/>
        <v>0</v>
      </c>
      <c r="AT129" s="1">
        <f t="shared" si="36"/>
        <v>0</v>
      </c>
      <c r="AU129" s="1"/>
      <c r="AV129" s="1">
        <f t="shared" si="37"/>
        <v>0</v>
      </c>
      <c r="AW129" s="1"/>
      <c r="AX129" s="1"/>
      <c r="AY129" s="1"/>
      <c r="AZ129" s="1"/>
    </row>
    <row r="130" spans="1:52" x14ac:dyDescent="0.25">
      <c r="A130" s="17" t="s">
        <v>179</v>
      </c>
      <c r="B130" s="17" t="s">
        <v>46</v>
      </c>
      <c r="C130" s="18"/>
      <c r="D130" s="18"/>
      <c r="E130" s="18"/>
      <c r="F130" s="18"/>
      <c r="G130" s="19">
        <v>0.25</v>
      </c>
      <c r="H130" s="18"/>
      <c r="I130" s="17" t="s">
        <v>176</v>
      </c>
      <c r="J130" s="18"/>
      <c r="K130" s="18"/>
      <c r="L130" s="18"/>
      <c r="M130" s="18"/>
      <c r="N130" s="18"/>
      <c r="O130" s="18"/>
      <c r="P130" s="18"/>
      <c r="Q130" s="18"/>
      <c r="R130" s="18"/>
      <c r="S130" s="10"/>
      <c r="T130" s="18"/>
      <c r="U130" s="18"/>
      <c r="V130" s="18"/>
      <c r="W130" s="18"/>
      <c r="X130" s="18"/>
      <c r="Y130" s="18"/>
      <c r="Z130" s="18"/>
      <c r="AA130" s="18">
        <f t="shared" ref="AA130" si="62">M130/5</f>
        <v>0</v>
      </c>
      <c r="AB130" s="20">
        <v>200</v>
      </c>
      <c r="AC130" s="5">
        <f>VLOOKUP(A130,[2]Sheet!$A:$AC,29,0)</f>
        <v>0</v>
      </c>
      <c r="AD130" s="5"/>
      <c r="AE130" s="5">
        <f t="shared" si="31"/>
        <v>200</v>
      </c>
      <c r="AF130" s="1" t="e">
        <f t="shared" si="32"/>
        <v>#DIV/0!</v>
      </c>
      <c r="AG130" s="18" t="e">
        <f t="shared" ref="AG130" si="63">(F130+O130+P130+Q130+R130+T130+U130+V130+W130+X130+Y130+Z130)/AA130</f>
        <v>#DIV/0!</v>
      </c>
      <c r="AH130" s="18">
        <v>0</v>
      </c>
      <c r="AI130" s="18">
        <v>0</v>
      </c>
      <c r="AJ130" s="18">
        <v>0</v>
      </c>
      <c r="AK130" s="18">
        <v>0</v>
      </c>
      <c r="AL130" s="18">
        <v>0</v>
      </c>
      <c r="AM130" s="18">
        <v>0</v>
      </c>
      <c r="AN130" s="18">
        <v>0</v>
      </c>
      <c r="AO130" s="18">
        <v>0</v>
      </c>
      <c r="AP130" s="18">
        <v>0</v>
      </c>
      <c r="AQ130" s="17" t="s">
        <v>178</v>
      </c>
      <c r="AR130" s="1">
        <f t="shared" si="34"/>
        <v>50</v>
      </c>
      <c r="AS130" s="1">
        <f t="shared" si="35"/>
        <v>0</v>
      </c>
      <c r="AT130" s="1">
        <f t="shared" si="36"/>
        <v>0</v>
      </c>
      <c r="AU130" s="1"/>
      <c r="AV130" s="1">
        <f t="shared" si="37"/>
        <v>0</v>
      </c>
      <c r="AW130" s="1"/>
      <c r="AX130" s="1"/>
      <c r="AY130" s="1"/>
      <c r="AZ130" s="1"/>
    </row>
    <row r="131" spans="1:52" x14ac:dyDescent="0.25">
      <c r="A131" s="17" t="s">
        <v>180</v>
      </c>
      <c r="B131" s="17" t="s">
        <v>46</v>
      </c>
      <c r="C131" s="18"/>
      <c r="D131" s="18"/>
      <c r="E131" s="18"/>
      <c r="F131" s="18"/>
      <c r="G131" s="19">
        <v>0.25</v>
      </c>
      <c r="H131" s="18"/>
      <c r="I131" s="17" t="s">
        <v>176</v>
      </c>
      <c r="J131" s="18"/>
      <c r="K131" s="18"/>
      <c r="L131" s="18"/>
      <c r="M131" s="18"/>
      <c r="N131" s="18"/>
      <c r="O131" s="18"/>
      <c r="P131" s="18"/>
      <c r="Q131" s="18"/>
      <c r="R131" s="18"/>
      <c r="S131" s="10"/>
      <c r="T131" s="18"/>
      <c r="U131" s="18"/>
      <c r="V131" s="18"/>
      <c r="W131" s="18"/>
      <c r="X131" s="18"/>
      <c r="Y131" s="18"/>
      <c r="Z131" s="18"/>
      <c r="AA131" s="18">
        <f t="shared" ref="AA131" si="64">M131/5</f>
        <v>0</v>
      </c>
      <c r="AB131" s="20">
        <v>200</v>
      </c>
      <c r="AC131" s="5">
        <f>VLOOKUP(A131,[2]Sheet!$A:$AC,29,0)</f>
        <v>0</v>
      </c>
      <c r="AD131" s="5"/>
      <c r="AE131" s="5">
        <f t="shared" si="31"/>
        <v>200</v>
      </c>
      <c r="AF131" s="1" t="e">
        <f t="shared" si="32"/>
        <v>#DIV/0!</v>
      </c>
      <c r="AG131" s="18" t="e">
        <f t="shared" ref="AG131" si="65">(F131+O131+P131+Q131+R131+T131+U131+V131+W131+X131+Y131+Z131)/AA131</f>
        <v>#DIV/0!</v>
      </c>
      <c r="AH131" s="18">
        <v>0</v>
      </c>
      <c r="AI131" s="18">
        <v>0</v>
      </c>
      <c r="AJ131" s="18">
        <v>0</v>
      </c>
      <c r="AK131" s="18">
        <v>0</v>
      </c>
      <c r="AL131" s="18">
        <v>0</v>
      </c>
      <c r="AM131" s="18">
        <v>0</v>
      </c>
      <c r="AN131" s="18">
        <v>0</v>
      </c>
      <c r="AO131" s="18">
        <v>0</v>
      </c>
      <c r="AP131" s="18">
        <v>0</v>
      </c>
      <c r="AQ131" s="17" t="s">
        <v>178</v>
      </c>
      <c r="AR131" s="1">
        <f t="shared" si="34"/>
        <v>50</v>
      </c>
      <c r="AS131" s="1">
        <f t="shared" si="35"/>
        <v>0</v>
      </c>
      <c r="AT131" s="1">
        <f t="shared" si="36"/>
        <v>0</v>
      </c>
      <c r="AU131" s="1"/>
      <c r="AV131" s="1">
        <f t="shared" si="37"/>
        <v>0</v>
      </c>
      <c r="AW131" s="1"/>
      <c r="AX131" s="1"/>
      <c r="AY131" s="1"/>
      <c r="AZ131" s="1"/>
    </row>
    <row r="132" spans="1:52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0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</row>
    <row r="133" spans="1:52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0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</row>
    <row r="134" spans="1:52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0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</row>
    <row r="135" spans="1:52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0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</row>
    <row r="136" spans="1:52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0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</row>
    <row r="137" spans="1:52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0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</row>
    <row r="138" spans="1:52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0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</row>
    <row r="139" spans="1:52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0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</row>
    <row r="140" spans="1:52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0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</row>
    <row r="141" spans="1:52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0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</row>
    <row r="142" spans="1:52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0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</row>
    <row r="143" spans="1:52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0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</row>
    <row r="144" spans="1:52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0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</row>
    <row r="145" spans="1:52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0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</row>
    <row r="146" spans="1:52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0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</row>
    <row r="147" spans="1:52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0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</row>
    <row r="148" spans="1:52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0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</row>
    <row r="149" spans="1:52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0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</row>
    <row r="150" spans="1:52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0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</row>
    <row r="151" spans="1:52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0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</row>
    <row r="152" spans="1:52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0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</row>
    <row r="153" spans="1:52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0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</row>
    <row r="154" spans="1:52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0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</row>
    <row r="155" spans="1:52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0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</row>
    <row r="156" spans="1:52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0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</row>
    <row r="157" spans="1:52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0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</row>
    <row r="158" spans="1:52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0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</row>
    <row r="159" spans="1:52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0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</row>
    <row r="160" spans="1:52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0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</row>
    <row r="161" spans="1:52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0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</row>
    <row r="162" spans="1:52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0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</row>
    <row r="163" spans="1:52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0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</row>
    <row r="164" spans="1:52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0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</row>
    <row r="165" spans="1:52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0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</row>
    <row r="166" spans="1:52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0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</row>
    <row r="167" spans="1:52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0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</row>
    <row r="168" spans="1:52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0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</row>
    <row r="169" spans="1:52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0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</row>
    <row r="170" spans="1:52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0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</row>
    <row r="171" spans="1:52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0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</row>
    <row r="172" spans="1:52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0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</row>
    <row r="173" spans="1:52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0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</row>
    <row r="174" spans="1:52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0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</row>
    <row r="175" spans="1:52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0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</row>
    <row r="176" spans="1:52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0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</row>
    <row r="177" spans="1:52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0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</row>
    <row r="178" spans="1:52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0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</row>
    <row r="179" spans="1:52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0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</row>
    <row r="180" spans="1:52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0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</row>
    <row r="181" spans="1:52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0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</row>
    <row r="182" spans="1:52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0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</row>
    <row r="183" spans="1:52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0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</row>
    <row r="184" spans="1:52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0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</row>
    <row r="185" spans="1:52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0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</row>
    <row r="186" spans="1:52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0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</row>
    <row r="187" spans="1:52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0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</row>
    <row r="188" spans="1:52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0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</row>
    <row r="189" spans="1:52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0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</row>
    <row r="190" spans="1:52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0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</row>
    <row r="191" spans="1:52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0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</row>
    <row r="192" spans="1:52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0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</row>
    <row r="193" spans="1:52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0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</row>
    <row r="194" spans="1:52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0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</row>
    <row r="195" spans="1:52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0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</row>
    <row r="196" spans="1:52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0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</row>
    <row r="197" spans="1:52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0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</row>
    <row r="198" spans="1:52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0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</row>
    <row r="199" spans="1:52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0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</row>
    <row r="200" spans="1:52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0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</row>
    <row r="201" spans="1:52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0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</row>
    <row r="202" spans="1:52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0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</row>
    <row r="203" spans="1:52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0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</row>
    <row r="204" spans="1:52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0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</row>
    <row r="205" spans="1:52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0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</row>
    <row r="206" spans="1:52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0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</row>
    <row r="207" spans="1:52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0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</row>
    <row r="208" spans="1:52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0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</row>
    <row r="209" spans="1:52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0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</row>
    <row r="210" spans="1:52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0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</row>
    <row r="211" spans="1:52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0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</row>
    <row r="212" spans="1:52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0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</row>
    <row r="213" spans="1:52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0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</row>
    <row r="214" spans="1:52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0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</row>
    <row r="215" spans="1:52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0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</row>
    <row r="216" spans="1:52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0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</row>
    <row r="217" spans="1:52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0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</row>
    <row r="218" spans="1:52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0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</row>
    <row r="219" spans="1:52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0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</row>
    <row r="220" spans="1:52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0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</row>
    <row r="221" spans="1:52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0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</row>
    <row r="222" spans="1:52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0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</row>
    <row r="223" spans="1:52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0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</row>
    <row r="224" spans="1:52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0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</row>
    <row r="225" spans="1:52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0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</row>
    <row r="226" spans="1:52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0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</row>
    <row r="227" spans="1:52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0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</row>
    <row r="228" spans="1:52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0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</row>
    <row r="229" spans="1:52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0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</row>
    <row r="230" spans="1:52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0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</row>
    <row r="231" spans="1:52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0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</row>
    <row r="232" spans="1:52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0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</row>
    <row r="233" spans="1:52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0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</row>
    <row r="234" spans="1:52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0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</row>
    <row r="235" spans="1:52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0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</row>
    <row r="236" spans="1:52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0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</row>
    <row r="237" spans="1:52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0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</row>
    <row r="238" spans="1:52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0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</row>
    <row r="239" spans="1:52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0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</row>
    <row r="240" spans="1:52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0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</row>
    <row r="241" spans="1:52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0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</row>
    <row r="242" spans="1:52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0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</row>
    <row r="243" spans="1:52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0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</row>
    <row r="244" spans="1:52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0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</row>
    <row r="245" spans="1:52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0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</row>
    <row r="246" spans="1:52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0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</row>
    <row r="247" spans="1:52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0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</row>
    <row r="248" spans="1:52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0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</row>
    <row r="249" spans="1:52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0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</row>
    <row r="250" spans="1:52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0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</row>
    <row r="251" spans="1:52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0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</row>
    <row r="252" spans="1:52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0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</row>
    <row r="253" spans="1:52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0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</row>
    <row r="254" spans="1:52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0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</row>
    <row r="255" spans="1:52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0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</row>
    <row r="256" spans="1:52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0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</row>
    <row r="257" spans="1:52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0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</row>
    <row r="258" spans="1:52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0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</row>
    <row r="259" spans="1:52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0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</row>
    <row r="260" spans="1:52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0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</row>
    <row r="261" spans="1:52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0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</row>
    <row r="262" spans="1:52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0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</row>
    <row r="263" spans="1:52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0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</row>
    <row r="264" spans="1:52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0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</row>
    <row r="265" spans="1:52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0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</row>
    <row r="266" spans="1:52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0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</row>
    <row r="267" spans="1:52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0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</row>
    <row r="268" spans="1:52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0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</row>
    <row r="269" spans="1:52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0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</row>
    <row r="270" spans="1:52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0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</row>
    <row r="271" spans="1:52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0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</row>
    <row r="272" spans="1:52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0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</row>
    <row r="273" spans="1:52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0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</row>
    <row r="274" spans="1:52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0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</row>
    <row r="275" spans="1:52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0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</row>
    <row r="276" spans="1:52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0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</row>
    <row r="277" spans="1:52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0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</row>
    <row r="278" spans="1:52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0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</row>
    <row r="279" spans="1:52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0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</row>
    <row r="280" spans="1:52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0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</row>
    <row r="281" spans="1:52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0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</row>
    <row r="282" spans="1:52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0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</row>
    <row r="283" spans="1:52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0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</row>
    <row r="284" spans="1:52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0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</row>
    <row r="285" spans="1:52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0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</row>
    <row r="286" spans="1:52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0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</row>
    <row r="287" spans="1:52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0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</row>
    <row r="288" spans="1:52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0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</row>
    <row r="289" spans="1:52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0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</row>
    <row r="290" spans="1:52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0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</row>
    <row r="291" spans="1:52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0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</row>
    <row r="292" spans="1:52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0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</row>
    <row r="293" spans="1:52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0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</row>
    <row r="294" spans="1:52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0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</row>
    <row r="295" spans="1:52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0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</row>
    <row r="296" spans="1:52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0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</row>
    <row r="297" spans="1:52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0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</row>
    <row r="298" spans="1:52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0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</row>
    <row r="299" spans="1:52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0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</row>
    <row r="300" spans="1:52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0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</row>
    <row r="301" spans="1:52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0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</row>
    <row r="302" spans="1:52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0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</row>
    <row r="303" spans="1:52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0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</row>
    <row r="304" spans="1:52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0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</row>
    <row r="305" spans="1:52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0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</row>
    <row r="306" spans="1:52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0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</row>
    <row r="307" spans="1:52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0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</row>
    <row r="308" spans="1:52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0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</row>
    <row r="309" spans="1:52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0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</row>
    <row r="310" spans="1:52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0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</row>
    <row r="311" spans="1:52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0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</row>
    <row r="312" spans="1:52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0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</row>
    <row r="313" spans="1:52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0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</row>
    <row r="314" spans="1:52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0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</row>
    <row r="315" spans="1:52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0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</row>
    <row r="316" spans="1:52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0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</row>
    <row r="317" spans="1:52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0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</row>
    <row r="318" spans="1:52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0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</row>
    <row r="319" spans="1:52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0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</row>
    <row r="320" spans="1:52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0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</row>
    <row r="321" spans="1:52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0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</row>
    <row r="322" spans="1:52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0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</row>
    <row r="323" spans="1:52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0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</row>
    <row r="324" spans="1:52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0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</row>
    <row r="325" spans="1:52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0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</row>
    <row r="326" spans="1:52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0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</row>
    <row r="327" spans="1:52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0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</row>
    <row r="328" spans="1:52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0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</row>
    <row r="329" spans="1:52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0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</row>
    <row r="330" spans="1:52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0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</row>
    <row r="331" spans="1:52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0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</row>
    <row r="332" spans="1:52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0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</row>
    <row r="333" spans="1:52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0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</row>
    <row r="334" spans="1:52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0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</row>
    <row r="335" spans="1:52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0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</row>
    <row r="336" spans="1:52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0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</row>
    <row r="337" spans="1:52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0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</row>
    <row r="338" spans="1:52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0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</row>
    <row r="339" spans="1:52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0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</row>
    <row r="340" spans="1:52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0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</row>
    <row r="341" spans="1:52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0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</row>
    <row r="342" spans="1:52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0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</row>
    <row r="343" spans="1:52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0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</row>
    <row r="344" spans="1:52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0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</row>
    <row r="345" spans="1:52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0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</row>
    <row r="346" spans="1:52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0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</row>
    <row r="347" spans="1:52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0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</row>
    <row r="348" spans="1:52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0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</row>
    <row r="349" spans="1:52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0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</row>
    <row r="350" spans="1:52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0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</row>
    <row r="351" spans="1:52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0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</row>
    <row r="352" spans="1:52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0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</row>
    <row r="353" spans="1:52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0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</row>
    <row r="354" spans="1:52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0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</row>
    <row r="355" spans="1:52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0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</row>
    <row r="356" spans="1:52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0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</row>
    <row r="357" spans="1:52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0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</row>
    <row r="358" spans="1:52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0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</row>
    <row r="359" spans="1:52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0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</row>
    <row r="360" spans="1:52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0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</row>
    <row r="361" spans="1:52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0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</row>
    <row r="362" spans="1:52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0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</row>
    <row r="363" spans="1:52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0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</row>
    <row r="364" spans="1:52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0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</row>
    <row r="365" spans="1:52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0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</row>
    <row r="366" spans="1:52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0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</row>
    <row r="367" spans="1:52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0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</row>
    <row r="368" spans="1:52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0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</row>
    <row r="369" spans="1:52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0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</row>
    <row r="370" spans="1:52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0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</row>
    <row r="371" spans="1:52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0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</row>
    <row r="372" spans="1:52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0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</row>
    <row r="373" spans="1:52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0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</row>
    <row r="374" spans="1:52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0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</row>
    <row r="375" spans="1:52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0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</row>
    <row r="376" spans="1:52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0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</row>
    <row r="377" spans="1:52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0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</row>
    <row r="378" spans="1:52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0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</row>
    <row r="379" spans="1:52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0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</row>
    <row r="380" spans="1:52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0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</row>
    <row r="381" spans="1:52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0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</row>
    <row r="382" spans="1:52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0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</row>
    <row r="383" spans="1:52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0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</row>
    <row r="384" spans="1:52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0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</row>
    <row r="385" spans="1:52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0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</row>
    <row r="386" spans="1:52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0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</row>
    <row r="387" spans="1:52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0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</row>
    <row r="388" spans="1:52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0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</row>
    <row r="389" spans="1:52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0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</row>
    <row r="390" spans="1:52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0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</row>
    <row r="391" spans="1:52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0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</row>
    <row r="392" spans="1:52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0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</row>
    <row r="393" spans="1:52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0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</row>
    <row r="394" spans="1:52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0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</row>
    <row r="395" spans="1:52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0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</row>
    <row r="396" spans="1:52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0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</row>
    <row r="397" spans="1:52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0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</row>
    <row r="398" spans="1:52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0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</row>
    <row r="399" spans="1:52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0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</row>
    <row r="400" spans="1:52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0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</row>
    <row r="401" spans="1:52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0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</row>
    <row r="402" spans="1:52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0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</row>
    <row r="403" spans="1:52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0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</row>
    <row r="404" spans="1:52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0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</row>
    <row r="405" spans="1:52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0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</row>
    <row r="406" spans="1:52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0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</row>
    <row r="407" spans="1:52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0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</row>
    <row r="408" spans="1:52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0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</row>
    <row r="409" spans="1:52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0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</row>
    <row r="410" spans="1:52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0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</row>
    <row r="411" spans="1:52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0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</row>
    <row r="412" spans="1:52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0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</row>
    <row r="413" spans="1:52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0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</row>
    <row r="414" spans="1:52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0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</row>
    <row r="415" spans="1:52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0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</row>
    <row r="416" spans="1:52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0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</row>
    <row r="417" spans="1:52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0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</row>
    <row r="418" spans="1:52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0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</row>
    <row r="419" spans="1:52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0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</row>
    <row r="420" spans="1:52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0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</row>
    <row r="421" spans="1:52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0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</row>
    <row r="422" spans="1:52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0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</row>
    <row r="423" spans="1:52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0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</row>
    <row r="424" spans="1:52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0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</row>
    <row r="425" spans="1:52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0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</row>
    <row r="426" spans="1:52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0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</row>
    <row r="427" spans="1:52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0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</row>
    <row r="428" spans="1:52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0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</row>
    <row r="429" spans="1:52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0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</row>
    <row r="430" spans="1:52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0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</row>
    <row r="431" spans="1:52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0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</row>
    <row r="432" spans="1:52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0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</row>
    <row r="433" spans="1:52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0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</row>
    <row r="434" spans="1:52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0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</row>
    <row r="435" spans="1:52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0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</row>
    <row r="436" spans="1:52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0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</row>
    <row r="437" spans="1:52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0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</row>
    <row r="438" spans="1:52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0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</row>
    <row r="439" spans="1:52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0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</row>
    <row r="440" spans="1:52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0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</row>
    <row r="441" spans="1:52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0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</row>
    <row r="442" spans="1:52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0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</row>
    <row r="443" spans="1:52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0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</row>
    <row r="444" spans="1:52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0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</row>
    <row r="445" spans="1:52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0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</row>
    <row r="446" spans="1:52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0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</row>
    <row r="447" spans="1:52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0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</row>
    <row r="448" spans="1:52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0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</row>
    <row r="449" spans="1:52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0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</row>
    <row r="450" spans="1:52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0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</row>
    <row r="451" spans="1:52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0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</row>
    <row r="452" spans="1:52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0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</row>
    <row r="453" spans="1:52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0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</row>
    <row r="454" spans="1:52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0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</row>
    <row r="455" spans="1:52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0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</row>
    <row r="456" spans="1:52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0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</row>
    <row r="457" spans="1:52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0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</row>
    <row r="458" spans="1:52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0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</row>
    <row r="459" spans="1:52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0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</row>
    <row r="460" spans="1:52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0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</row>
    <row r="461" spans="1:52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0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</row>
    <row r="462" spans="1:52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0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</row>
    <row r="463" spans="1:52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0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</row>
    <row r="464" spans="1:52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0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</row>
    <row r="465" spans="1:52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0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</row>
    <row r="466" spans="1:52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0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</row>
    <row r="467" spans="1:52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0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</row>
    <row r="468" spans="1:52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0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</row>
    <row r="469" spans="1:52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0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</row>
    <row r="470" spans="1:52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0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</row>
    <row r="471" spans="1:52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0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</row>
    <row r="472" spans="1:52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0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</row>
    <row r="473" spans="1:52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0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</row>
    <row r="474" spans="1:52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0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</row>
    <row r="475" spans="1:52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0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</row>
    <row r="476" spans="1:52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0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</row>
    <row r="477" spans="1:52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0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</row>
    <row r="478" spans="1:52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0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</row>
    <row r="479" spans="1:52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0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</row>
    <row r="480" spans="1:52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0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</row>
    <row r="481" spans="1:52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0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</row>
    <row r="482" spans="1:52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0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</row>
    <row r="483" spans="1:52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0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</row>
    <row r="484" spans="1:52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0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</row>
    <row r="485" spans="1:52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0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</row>
    <row r="486" spans="1:52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0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</row>
    <row r="487" spans="1:52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0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</row>
    <row r="488" spans="1:52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0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</row>
    <row r="489" spans="1:52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0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</row>
    <row r="490" spans="1:52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0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</row>
    <row r="491" spans="1:52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0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</row>
    <row r="492" spans="1:52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0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</row>
    <row r="493" spans="1:52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0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</row>
    <row r="494" spans="1:52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0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</row>
    <row r="495" spans="1:52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0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</row>
    <row r="496" spans="1:52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0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</row>
    <row r="497" spans="1:52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0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</row>
  </sheetData>
  <autoFilter ref="A3:AT131" xr:uid="{18811085-CE07-4FF9-87B7-64329BF7CD33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2026-07-21T08:45:43Z</dcterms:created>
  <dcterms:modified xsi:type="dcterms:W3CDTF">2026-07-23T07:05:35Z</dcterms:modified>
</cp:coreProperties>
</file>