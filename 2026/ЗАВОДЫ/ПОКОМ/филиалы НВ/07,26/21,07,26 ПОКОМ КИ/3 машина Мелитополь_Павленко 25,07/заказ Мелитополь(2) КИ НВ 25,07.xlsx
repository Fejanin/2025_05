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24930D1-7D77-40D2-AFAE-829C6758E64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8" i="1"/>
  <c r="Y407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Y400" i="1" s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Y382" i="1" s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5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Y368" i="1" s="1"/>
  <c r="P362" i="1"/>
  <c r="BP361" i="1"/>
  <c r="BO361" i="1"/>
  <c r="BN361" i="1"/>
  <c r="BM361" i="1"/>
  <c r="Z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Y349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S551" i="1" s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Y342" i="1" s="1"/>
  <c r="P340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Y313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Y267" i="1" s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60" i="1"/>
  <c r="Y159" i="1"/>
  <c r="X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51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5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541" i="1" s="1"/>
  <c r="X24" i="1"/>
  <c r="X545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BP167" i="1"/>
  <c r="BN167" i="1"/>
  <c r="Z167" i="1"/>
  <c r="Z178" i="1" s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BP214" i="1"/>
  <c r="BN214" i="1"/>
  <c r="Z214" i="1"/>
  <c r="Z227" i="1" s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55" i="1"/>
  <c r="BN255" i="1"/>
  <c r="Z255" i="1"/>
  <c r="Z256" i="1" s="1"/>
  <c r="Y257" i="1"/>
  <c r="H9" i="1"/>
  <c r="B551" i="1"/>
  <c r="X542" i="1"/>
  <c r="X543" i="1"/>
  <c r="Z23" i="1"/>
  <c r="Z24" i="1" s="1"/>
  <c r="BN23" i="1"/>
  <c r="Y542" i="1" s="1"/>
  <c r="Y24" i="1"/>
  <c r="Z27" i="1"/>
  <c r="BN27" i="1"/>
  <c r="BP27" i="1"/>
  <c r="Y543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51" i="1"/>
  <c r="Z60" i="1"/>
  <c r="Z67" i="1" s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F551" i="1"/>
  <c r="Z89" i="1"/>
  <c r="Z92" i="1" s="1"/>
  <c r="BN89" i="1"/>
  <c r="Z91" i="1"/>
  <c r="BN91" i="1"/>
  <c r="Y92" i="1"/>
  <c r="Z95" i="1"/>
  <c r="BN95" i="1"/>
  <c r="BP95" i="1"/>
  <c r="Z97" i="1"/>
  <c r="BN97" i="1"/>
  <c r="G551" i="1"/>
  <c r="Z104" i="1"/>
  <c r="Z109" i="1" s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51" i="1"/>
  <c r="Y134" i="1"/>
  <c r="Y139" i="1"/>
  <c r="BP143" i="1"/>
  <c r="BN143" i="1"/>
  <c r="Z143" i="1"/>
  <c r="Z144" i="1" s="1"/>
  <c r="Y145" i="1"/>
  <c r="I551" i="1"/>
  <c r="Y153" i="1"/>
  <c r="BP148" i="1"/>
  <c r="BN148" i="1"/>
  <c r="Z148" i="1"/>
  <c r="Z152" i="1" s="1"/>
  <c r="Y152" i="1"/>
  <c r="BP157" i="1"/>
  <c r="BN157" i="1"/>
  <c r="Z157" i="1"/>
  <c r="Z159" i="1" s="1"/>
  <c r="Y178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Y189" i="1"/>
  <c r="BP199" i="1"/>
  <c r="BN199" i="1"/>
  <c r="Z199" i="1"/>
  <c r="Z205" i="1" s="1"/>
  <c r="BP203" i="1"/>
  <c r="BN203" i="1"/>
  <c r="Z203" i="1"/>
  <c r="Y227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J551" i="1"/>
  <c r="Y160" i="1"/>
  <c r="K551" i="1"/>
  <c r="Y206" i="1"/>
  <c r="L551" i="1"/>
  <c r="Y211" i="1"/>
  <c r="Z259" i="1"/>
  <c r="BN259" i="1"/>
  <c r="BP259" i="1"/>
  <c r="Z261" i="1"/>
  <c r="BN261" i="1"/>
  <c r="Z263" i="1"/>
  <c r="BN263" i="1"/>
  <c r="Z265" i="1"/>
  <c r="BN265" i="1"/>
  <c r="BP266" i="1"/>
  <c r="BN266" i="1"/>
  <c r="Z266" i="1"/>
  <c r="Y268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BP295" i="1"/>
  <c r="BN295" i="1"/>
  <c r="Z295" i="1"/>
  <c r="BP311" i="1"/>
  <c r="BN311" i="1"/>
  <c r="Z311" i="1"/>
  <c r="P551" i="1"/>
  <c r="Y321" i="1"/>
  <c r="BP316" i="1"/>
  <c r="BN316" i="1"/>
  <c r="Z316" i="1"/>
  <c r="BP320" i="1"/>
  <c r="BN320" i="1"/>
  <c r="Z320" i="1"/>
  <c r="Y322" i="1"/>
  <c r="Q551" i="1"/>
  <c r="Y328" i="1"/>
  <c r="BP325" i="1"/>
  <c r="BN325" i="1"/>
  <c r="Z325" i="1"/>
  <c r="BP334" i="1"/>
  <c r="BN334" i="1"/>
  <c r="Z334" i="1"/>
  <c r="BP347" i="1"/>
  <c r="BN347" i="1"/>
  <c r="Z347" i="1"/>
  <c r="Z349" i="1" s="1"/>
  <c r="BP356" i="1"/>
  <c r="BN356" i="1"/>
  <c r="Z356" i="1"/>
  <c r="Y369" i="1"/>
  <c r="BP364" i="1"/>
  <c r="BN364" i="1"/>
  <c r="Z364" i="1"/>
  <c r="BP372" i="1"/>
  <c r="BN372" i="1"/>
  <c r="Z372" i="1"/>
  <c r="BP380" i="1"/>
  <c r="BN380" i="1"/>
  <c r="Z380" i="1"/>
  <c r="Y389" i="1"/>
  <c r="BP384" i="1"/>
  <c r="BN384" i="1"/>
  <c r="Z384" i="1"/>
  <c r="Y388" i="1"/>
  <c r="BP392" i="1"/>
  <c r="BN392" i="1"/>
  <c r="Z392" i="1"/>
  <c r="Z394" i="1" s="1"/>
  <c r="Y401" i="1"/>
  <c r="BP405" i="1"/>
  <c r="BN405" i="1"/>
  <c r="Z405" i="1"/>
  <c r="Z407" i="1" s="1"/>
  <c r="BP415" i="1"/>
  <c r="BN415" i="1"/>
  <c r="Z415" i="1"/>
  <c r="O551" i="1"/>
  <c r="BP272" i="1"/>
  <c r="BN272" i="1"/>
  <c r="Z272" i="1"/>
  <c r="BP276" i="1"/>
  <c r="BN276" i="1"/>
  <c r="Z276" i="1"/>
  <c r="BP280" i="1"/>
  <c r="BN280" i="1"/>
  <c r="Z280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2" i="1" s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Z337" i="1" s="1"/>
  <c r="BP336" i="1"/>
  <c r="BN336" i="1"/>
  <c r="Z336" i="1"/>
  <c r="Y338" i="1"/>
  <c r="Y343" i="1"/>
  <c r="BP340" i="1"/>
  <c r="BN340" i="1"/>
  <c r="Z340" i="1"/>
  <c r="Z342" i="1" s="1"/>
  <c r="BP354" i="1"/>
  <c r="BN354" i="1"/>
  <c r="Z354" i="1"/>
  <c r="Z358" i="1" s="1"/>
  <c r="Y358" i="1"/>
  <c r="BP362" i="1"/>
  <c r="BN362" i="1"/>
  <c r="Z362" i="1"/>
  <c r="BP366" i="1"/>
  <c r="BN366" i="1"/>
  <c r="Z366" i="1"/>
  <c r="Z368" i="1" s="1"/>
  <c r="BP374" i="1"/>
  <c r="BN374" i="1"/>
  <c r="Z374" i="1"/>
  <c r="Y376" i="1"/>
  <c r="Y381" i="1"/>
  <c r="BP378" i="1"/>
  <c r="BN378" i="1"/>
  <c r="Z378" i="1"/>
  <c r="Z381" i="1" s="1"/>
  <c r="BP386" i="1"/>
  <c r="BN386" i="1"/>
  <c r="Z386" i="1"/>
  <c r="Z400" i="1"/>
  <c r="BP398" i="1"/>
  <c r="BN398" i="1"/>
  <c r="Z398" i="1"/>
  <c r="BP413" i="1"/>
  <c r="BN413" i="1"/>
  <c r="Z413" i="1"/>
  <c r="BP417" i="1"/>
  <c r="BN417" i="1"/>
  <c r="Z417" i="1"/>
  <c r="Z420" i="1" s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Z534" i="1" s="1"/>
  <c r="AA551" i="1"/>
  <c r="Y535" i="1"/>
  <c r="AB551" i="1"/>
  <c r="Y539" i="1"/>
  <c r="BP538" i="1"/>
  <c r="BN538" i="1"/>
  <c r="Z538" i="1"/>
  <c r="Z539" i="1" s="1"/>
  <c r="Y540" i="1"/>
  <c r="W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8" i="1"/>
  <c r="BP435" i="1"/>
  <c r="BN435" i="1"/>
  <c r="Z435" i="1"/>
  <c r="Z437" i="1" s="1"/>
  <c r="Y443" i="1"/>
  <c r="BP452" i="1"/>
  <c r="BN452" i="1"/>
  <c r="Z452" i="1"/>
  <c r="X551" i="1"/>
  <c r="Y465" i="1"/>
  <c r="BP458" i="1"/>
  <c r="BN458" i="1"/>
  <c r="Z458" i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Y544" i="1" l="1"/>
  <c r="Z494" i="1"/>
  <c r="Z464" i="1"/>
  <c r="Z480" i="1"/>
  <c r="Z375" i="1"/>
  <c r="Z321" i="1"/>
  <c r="Z282" i="1"/>
  <c r="Z267" i="1"/>
  <c r="Z124" i="1"/>
  <c r="Z99" i="1"/>
  <c r="Z74" i="1"/>
  <c r="Z55" i="1"/>
  <c r="Z46" i="1"/>
  <c r="Z32" i="1"/>
  <c r="Z546" i="1" s="1"/>
  <c r="Z241" i="1"/>
  <c r="Z235" i="1"/>
  <c r="Y541" i="1"/>
  <c r="Z510" i="1"/>
  <c r="Z453" i="1"/>
  <c r="Z432" i="1"/>
  <c r="Z388" i="1"/>
  <c r="Z328" i="1"/>
  <c r="Z298" i="1"/>
  <c r="Y545" i="1"/>
  <c r="X544" i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<sst xmlns="http://schemas.openxmlformats.org/spreadsheetml/2006/main" count="2448" uniqueCount="889">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</sst>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45</v>
      </c>
      <c r="Y66" s="616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46.900000000000006</v>
      </c>
      <c r="BN66" s="64">
        <f t="shared" si="2"/>
        <v>46.900000000000006</v>
      </c>
      <c r="BO66" s="64">
        <f t="shared" si="3"/>
        <v>7.575757575757576E-2</v>
      </c>
      <c r="BP66" s="64">
        <f t="shared" si="4"/>
        <v>7.575757575757576E-2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10</v>
      </c>
      <c r="Y67" s="617">
        <f>IFERROR(Y59/H59,"0")+IFERROR(Y60/H60,"0")+IFERROR(Y61/H61,"0")+IFERROR(Y62/H62,"0")+IFERROR(Y63/H63,"0")+IFERROR(Y64/H64,"0")+IFERROR(Y65/H65,"0")+IFERROR(Y66/H66,"0")</f>
        <v>10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9.0200000000000002E-2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45</v>
      </c>
      <c r="Y68" s="617">
        <f>IFERROR(SUM(Y59:Y66),"0")</f>
        <v>45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200</v>
      </c>
      <c r="Y82" s="616">
        <f>IFERROR(IF(X82="",0,CEILING((X82/$H82),1)*$H82),"")</f>
        <v>202.79999999999998</v>
      </c>
      <c r="Z82" s="36">
        <f>IFERROR(IF(Y82=0,"",ROUNDUP(Y82/H82,0)*0.01898),"")</f>
        <v>0.49348000000000003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210.51282051282055</v>
      </c>
      <c r="BN82" s="64">
        <f>IFERROR(Y82*I82/H82,"0")</f>
        <v>213.46</v>
      </c>
      <c r="BO82" s="64">
        <f>IFERROR(1/J82*(X82/H82),"0")</f>
        <v>0.40064102564102566</v>
      </c>
      <c r="BP82" s="64">
        <f>IFERROR(1/J82*(Y82/H82),"0")</f>
        <v>0.40625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25.641025641025642</v>
      </c>
      <c r="Y84" s="617">
        <f>IFERROR(Y82/H82,"0")+IFERROR(Y83/H83,"0")</f>
        <v>26</v>
      </c>
      <c r="Z84" s="617">
        <f>IFERROR(IF(Z82="",0,Z82),"0")+IFERROR(IF(Z83="",0,Z83),"0")</f>
        <v>0.49348000000000003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200</v>
      </c>
      <c r="Y85" s="617">
        <f>IFERROR(SUM(Y82:Y83),"0")</f>
        <v>202.79999999999998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400</v>
      </c>
      <c r="Y95" s="616">
        <f>IFERROR(IF(X95="",0,CEILING((X95/$H95),1)*$H95),"")</f>
        <v>405</v>
      </c>
      <c r="Z95" s="36">
        <f>IFERROR(IF(Y95=0,"",ROUNDUP(Y95/H95,0)*0.01898),"")</f>
        <v>0.94900000000000007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424.39506172839509</v>
      </c>
      <c r="BN95" s="64">
        <f>IFERROR(Y95*I95/H95,"0")</f>
        <v>429.7</v>
      </c>
      <c r="BO95" s="64">
        <f>IFERROR(1/J95*(X95/H95),"0")</f>
        <v>0.77160493827160492</v>
      </c>
      <c r="BP95" s="64">
        <f>IFERROR(1/J95*(Y95/H95),"0")</f>
        <v>0.78125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90</v>
      </c>
      <c r="Y97" s="616">
        <f>IFERROR(IF(X97="",0,CEILING((X97/$H97),1)*$H97),"")</f>
        <v>91.800000000000011</v>
      </c>
      <c r="Z97" s="36">
        <f>IFERROR(IF(Y97=0,"",ROUNDUP(Y97/H97,0)*0.00651),"")</f>
        <v>0.22134000000000001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98.399999999999991</v>
      </c>
      <c r="BN97" s="64">
        <f>IFERROR(Y97*I97/H97,"0")</f>
        <v>100.36799999999999</v>
      </c>
      <c r="BO97" s="64">
        <f>IFERROR(1/J97*(X97/H97),"0")</f>
        <v>0.18315018315018314</v>
      </c>
      <c r="BP97" s="64">
        <f>IFERROR(1/J97*(Y97/H97),"0")</f>
        <v>0.18681318681318682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82.716049382716051</v>
      </c>
      <c r="Y99" s="617">
        <f>IFERROR(Y95/H95,"0")+IFERROR(Y96/H96,"0")+IFERROR(Y97/H97,"0")+IFERROR(Y98/H98,"0")</f>
        <v>84</v>
      </c>
      <c r="Z99" s="617">
        <f>IFERROR(IF(Z95="",0,Z95),"0")+IFERROR(IF(Z96="",0,Z96),"0")+IFERROR(IF(Z97="",0,Z97),"0")+IFERROR(IF(Z98="",0,Z98),"0")</f>
        <v>1.1703400000000002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490</v>
      </c>
      <c r="Y100" s="617">
        <f>IFERROR(SUM(Y95:Y98),"0")</f>
        <v>496.8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45</v>
      </c>
      <c r="Y107" s="616">
        <f t="shared" si="5"/>
        <v>45</v>
      </c>
      <c r="Z107" s="36">
        <f>IFERROR(IF(Y107=0,"",ROUNDUP(Y107/H107,0)*0.00902),"")</f>
        <v>9.0200000000000002E-2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46.900000000000006</v>
      </c>
      <c r="BN107" s="64">
        <f t="shared" si="7"/>
        <v>46.900000000000006</v>
      </c>
      <c r="BO107" s="64">
        <f t="shared" si="8"/>
        <v>7.575757575757576E-2</v>
      </c>
      <c r="BP107" s="64">
        <f t="shared" si="9"/>
        <v>7.575757575757576E-2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10</v>
      </c>
      <c r="Y109" s="617">
        <f>IFERROR(Y103/H103,"0")+IFERROR(Y104/H104,"0")+IFERROR(Y105/H105,"0")+IFERROR(Y106/H106,"0")+IFERROR(Y107/H107,"0")+IFERROR(Y108/H108,"0")</f>
        <v>10</v>
      </c>
      <c r="Z109" s="617">
        <f>IFERROR(IF(Z103="",0,Z103),"0")+IFERROR(IF(Z104="",0,Z104),"0")+IFERROR(IF(Z105="",0,Z105),"0")+IFERROR(IF(Z106="",0,Z106),"0")+IFERROR(IF(Z107="",0,Z107),"0")+IFERROR(IF(Z108="",0,Z108),"0")</f>
        <v>9.0200000000000002E-2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45</v>
      </c>
      <c r="Y110" s="617">
        <f>IFERROR(SUM(Y103:Y108),"0")</f>
        <v>45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40</v>
      </c>
      <c r="Y116" s="616">
        <f>IFERROR(IF(X116="",0,CEILING((X116/$H116),1)*$H116),"")</f>
        <v>40.799999999999997</v>
      </c>
      <c r="Z116" s="36">
        <f>IFERROR(IF(Y116=0,"",ROUNDUP(Y116/H116,0)*0.00651),"")</f>
        <v>0.11067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43</v>
      </c>
      <c r="BN116" s="64">
        <f>IFERROR(Y116*I116/H116,"0")</f>
        <v>43.86</v>
      </c>
      <c r="BO116" s="64">
        <f>IFERROR(1/J116*(X116/H116),"0")</f>
        <v>9.1575091575091583E-2</v>
      </c>
      <c r="BP116" s="64">
        <f>IFERROR(1/J116*(Y116/H116),"0")</f>
        <v>9.3406593406593408E-2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16.666666666666668</v>
      </c>
      <c r="Y117" s="617">
        <f>IFERROR(Y112/H112,"0")+IFERROR(Y113/H113,"0")+IFERROR(Y114/H114,"0")+IFERROR(Y115/H115,"0")+IFERROR(Y116/H116,"0")</f>
        <v>17</v>
      </c>
      <c r="Z117" s="617">
        <f>IFERROR(IF(Z112="",0,Z112),"0")+IFERROR(IF(Z113="",0,Z113),"0")+IFERROR(IF(Z114="",0,Z114),"0")+IFERROR(IF(Z115="",0,Z115),"0")+IFERROR(IF(Z116="",0,Z116),"0")</f>
        <v>0.11067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40</v>
      </c>
      <c r="Y118" s="617">
        <f>IFERROR(SUM(Y112:Y116),"0")</f>
        <v>40.799999999999997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400</v>
      </c>
      <c r="Y120" s="616">
        <f>IFERROR(IF(X120="",0,CEILING((X120/$H120),1)*$H120),"")</f>
        <v>405</v>
      </c>
      <c r="Z120" s="36">
        <f>IFERROR(IF(Y120=0,"",ROUNDUP(Y120/H120,0)*0.01898),"")</f>
        <v>0.94900000000000007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424.09876543209879</v>
      </c>
      <c r="BN120" s="64">
        <f>IFERROR(Y120*I120/H120,"0")</f>
        <v>429.4</v>
      </c>
      <c r="BO120" s="64">
        <f>IFERROR(1/J120*(X120/H120),"0")</f>
        <v>0.77160493827160492</v>
      </c>
      <c r="BP120" s="64">
        <f>IFERROR(1/J120*(Y120/H120),"0")</f>
        <v>0.78125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68</v>
      </c>
      <c r="Y122" s="616">
        <f>IFERROR(IF(X122="",0,CEILING((X122/$H122),1)*$H122),"")</f>
        <v>70.2</v>
      </c>
      <c r="Z122" s="36">
        <f>IFERROR(IF(Y122=0,"",ROUNDUP(Y122/H122,0)*0.00651),"")</f>
        <v>0.16925999999999999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74.346666666666664</v>
      </c>
      <c r="BN122" s="64">
        <f>IFERROR(Y122*I122/H122,"0")</f>
        <v>76.751999999999995</v>
      </c>
      <c r="BO122" s="64">
        <f>IFERROR(1/J122*(X122/H122),"0")</f>
        <v>0.13838013838013838</v>
      </c>
      <c r="BP122" s="64">
        <f>IFERROR(1/J122*(Y122/H122),"0")</f>
        <v>0.14285714285714288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74.567901234567898</v>
      </c>
      <c r="Y124" s="617">
        <f>IFERROR(Y120/H120,"0")+IFERROR(Y121/H121,"0")+IFERROR(Y122/H122,"0")+IFERROR(Y123/H123,"0")</f>
        <v>76</v>
      </c>
      <c r="Z124" s="617">
        <f>IFERROR(IF(Z120="",0,Z120),"0")+IFERROR(IF(Z121="",0,Z121),"0")+IFERROR(IF(Z122="",0,Z122),"0")+IFERROR(IF(Z123="",0,Z123),"0")</f>
        <v>1.11826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468</v>
      </c>
      <c r="Y125" s="617">
        <f>IFERROR(SUM(Y120:Y123),"0")</f>
        <v>475.2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200</v>
      </c>
      <c r="Y166" s="616">
        <f t="shared" ref="Y166:Y177" si="10">IFERROR(IF(X166="",0,CEILING((X166/$H166),1)*$H166),"")</f>
        <v>203</v>
      </c>
      <c r="Z166" s="36">
        <f>IFERROR(IF(Y166=0,"",ROUNDUP(Y166/H166,0)*0.00902),"")</f>
        <v>0.52316000000000007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210.85714285714286</v>
      </c>
      <c r="BN166" s="64">
        <f t="shared" ref="BN166:BN177" si="12">IFERROR(Y166*I166/H166,"0")</f>
        <v>214.01999999999998</v>
      </c>
      <c r="BO166" s="64">
        <f t="shared" ref="BO166:BO177" si="13">IFERROR(1/J166*(X166/H166),"0")</f>
        <v>0.43290043290043295</v>
      </c>
      <c r="BP166" s="64">
        <f t="shared" ref="BP166:BP177" si="14">IFERROR(1/J166*(Y166/H166),"0")</f>
        <v>0.43939393939393939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28</v>
      </c>
      <c r="Y175" s="616">
        <f t="shared" si="10"/>
        <v>28.56</v>
      </c>
      <c r="Z175" s="36">
        <f>IFERROR(IF(Y175=0,"",ROUNDUP(Y175/H175,0)*0.00502),"")</f>
        <v>8.5339999999999999E-2</v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29.666666666666671</v>
      </c>
      <c r="BN175" s="64">
        <f t="shared" si="12"/>
        <v>30.259999999999998</v>
      </c>
      <c r="BO175" s="64">
        <f t="shared" si="13"/>
        <v>7.122507122507124E-2</v>
      </c>
      <c r="BP175" s="64">
        <f t="shared" si="14"/>
        <v>7.2649572649572655E-2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73.80952380952381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75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0.60850000000000004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228</v>
      </c>
      <c r="Y179" s="617">
        <f>IFERROR(SUM(Y166:Y177),"0")</f>
        <v>231.56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50</v>
      </c>
      <c r="Y215" s="616">
        <f t="shared" si="21"/>
        <v>50.400000000000006</v>
      </c>
      <c r="Z215" s="36">
        <f>IFERROR(IF(Y215=0,"",ROUNDUP(Y215/H215,0)*0.00902),"")</f>
        <v>0.10824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52.261904761904752</v>
      </c>
      <c r="BN215" s="64">
        <f t="shared" si="23"/>
        <v>52.68</v>
      </c>
      <c r="BO215" s="64">
        <f t="shared" si="24"/>
        <v>9.0187590187590191E-2</v>
      </c>
      <c r="BP215" s="64">
        <f t="shared" si="25"/>
        <v>9.0909090909090912E-2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35</v>
      </c>
      <c r="Y217" s="616">
        <f t="shared" si="21"/>
        <v>35.700000000000003</v>
      </c>
      <c r="Z217" s="36">
        <f t="shared" ref="Z217:Z222" si="26">IFERROR(IF(Y217=0,"",ROUNDUP(Y217/H217,0)*0.00502),"")</f>
        <v>8.5339999999999999E-2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37.166666666666664</v>
      </c>
      <c r="BN217" s="64">
        <f t="shared" si="23"/>
        <v>37.910000000000004</v>
      </c>
      <c r="BO217" s="64">
        <f t="shared" si="24"/>
        <v>7.1225071225071226E-2</v>
      </c>
      <c r="BP217" s="64">
        <f t="shared" si="25"/>
        <v>7.2649572649572655E-2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70</v>
      </c>
      <c r="Y224" s="616">
        <f t="shared" si="21"/>
        <v>71.400000000000006</v>
      </c>
      <c r="Z224" s="36">
        <f>IFERROR(IF(Y224=0,"",ROUNDUP(Y224/H224,0)*0.00502),"")</f>
        <v>0.17068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73.333333333333329</v>
      </c>
      <c r="BN224" s="64">
        <f t="shared" si="23"/>
        <v>74.8</v>
      </c>
      <c r="BO224" s="64">
        <f t="shared" si="24"/>
        <v>0.14245014245014245</v>
      </c>
      <c r="BP224" s="64">
        <f t="shared" si="25"/>
        <v>0.14529914529914531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61.904761904761898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63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0.36426000000000003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155</v>
      </c>
      <c r="Y228" s="617">
        <f>IFERROR(SUM(Y213:Y226),"0")</f>
        <v>157.5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34</v>
      </c>
      <c r="Y260" s="616">
        <f t="shared" si="27"/>
        <v>37.800000000000004</v>
      </c>
      <c r="Z260" s="36">
        <f>IFERROR(IF(Y260=0,"",ROUNDUP(Y260/H260,0)*0.00902),"")</f>
        <v>6.3140000000000002E-2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35.196296296296296</v>
      </c>
      <c r="BN260" s="64">
        <f t="shared" si="29"/>
        <v>39.130000000000003</v>
      </c>
      <c r="BO260" s="64">
        <f t="shared" si="30"/>
        <v>4.7699214365881031E-2</v>
      </c>
      <c r="BP260" s="64">
        <f t="shared" si="31"/>
        <v>5.3030303030303032E-2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200</v>
      </c>
      <c r="Y261" s="616">
        <f t="shared" si="27"/>
        <v>205.20000000000002</v>
      </c>
      <c r="Z261" s="36">
        <f>IFERROR(IF(Y261=0,"",ROUNDUP(Y261/H261,0)*0.00902),"")</f>
        <v>0.34276000000000001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207.03703703703701</v>
      </c>
      <c r="BN261" s="64">
        <f t="shared" si="29"/>
        <v>212.42</v>
      </c>
      <c r="BO261" s="64">
        <f t="shared" si="30"/>
        <v>0.28058361391694725</v>
      </c>
      <c r="BP261" s="64">
        <f t="shared" si="31"/>
        <v>0.2878787878787879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60</v>
      </c>
      <c r="Y263" s="616">
        <f t="shared" si="27"/>
        <v>61.2</v>
      </c>
      <c r="Z263" s="36">
        <f>IFERROR(IF(Y263=0,"",ROUNDUP(Y263/H263,0)*0.00502),"")</f>
        <v>0.17068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64.333333333333329</v>
      </c>
      <c r="BN263" s="64">
        <f t="shared" si="29"/>
        <v>65.62</v>
      </c>
      <c r="BO263" s="64">
        <f t="shared" si="30"/>
        <v>0.14245014245014248</v>
      </c>
      <c r="BP263" s="64">
        <f t="shared" si="31"/>
        <v>0.14529914529914531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76.666666666666671</v>
      </c>
      <c r="Y267" s="617">
        <f>IFERROR(Y259/H259,"0")+IFERROR(Y260/H260,"0")+IFERROR(Y261/H261,"0")+IFERROR(Y262/H262,"0")+IFERROR(Y263/H263,"0")+IFERROR(Y264/H264,"0")+IFERROR(Y265/H265,"0")+IFERROR(Y266/H266,"0")</f>
        <v>79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0.57658000000000009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294</v>
      </c>
      <c r="Y268" s="617">
        <f>IFERROR(SUM(Y259:Y266),"0")</f>
        <v>304.20000000000005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20</v>
      </c>
      <c r="Y273" s="616">
        <f t="shared" si="32"/>
        <v>21.599999999999998</v>
      </c>
      <c r="Z273" s="36">
        <f>IFERROR(IF(Y273=0,"",ROUNDUP(Y273/H273,0)*0.00651),"")</f>
        <v>5.8590000000000003E-2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22.25</v>
      </c>
      <c r="BN273" s="64">
        <f t="shared" si="34"/>
        <v>24.029999999999998</v>
      </c>
      <c r="BO273" s="64">
        <f t="shared" si="35"/>
        <v>4.5787545787545791E-2</v>
      </c>
      <c r="BP273" s="64">
        <f t="shared" si="36"/>
        <v>4.9450549450549455E-2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200</v>
      </c>
      <c r="Y276" s="616">
        <f t="shared" si="32"/>
        <v>201.6</v>
      </c>
      <c r="Z276" s="36">
        <f>IFERROR(IF(Y276=0,"",ROUNDUP(Y276/H276,0)*0.00651),"")</f>
        <v>0.54683999999999999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221</v>
      </c>
      <c r="BN276" s="64">
        <f t="shared" si="34"/>
        <v>222.768</v>
      </c>
      <c r="BO276" s="64">
        <f t="shared" si="35"/>
        <v>0.45787545787545797</v>
      </c>
      <c r="BP276" s="64">
        <f t="shared" si="36"/>
        <v>0.46153846153846156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40</v>
      </c>
      <c r="Y278" s="616">
        <f t="shared" si="32"/>
        <v>40.799999999999997</v>
      </c>
      <c r="Z278" s="36">
        <f>IFERROR(IF(Y278=0,"",ROUNDUP(Y278/H278,0)*0.00651),"")</f>
        <v>0.11067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44.20000000000001</v>
      </c>
      <c r="BN278" s="64">
        <f t="shared" si="34"/>
        <v>45.084000000000003</v>
      </c>
      <c r="BO278" s="64">
        <f t="shared" si="35"/>
        <v>9.1575091575091583E-2</v>
      </c>
      <c r="BP278" s="64">
        <f t="shared" si="36"/>
        <v>9.3406593406593408E-2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40</v>
      </c>
      <c r="Y280" s="616">
        <f t="shared" si="32"/>
        <v>40.799999999999997</v>
      </c>
      <c r="Z280" s="36">
        <f>IFERROR(IF(Y280=0,"",ROUNDUP(Y280/H280,0)*0.00651),"")</f>
        <v>0.11067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44.3</v>
      </c>
      <c r="BN280" s="64">
        <f t="shared" si="34"/>
        <v>45.185999999999993</v>
      </c>
      <c r="BO280" s="64">
        <f t="shared" si="35"/>
        <v>9.1575091575091583E-2</v>
      </c>
      <c r="BP280" s="64">
        <f t="shared" si="36"/>
        <v>9.3406593406593408E-2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125.00000000000001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127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0.82677000000000012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300</v>
      </c>
      <c r="Y283" s="617">
        <f>IFERROR(SUM(Y270:Y281),"0")</f>
        <v>304.8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20</v>
      </c>
      <c r="Y285" s="616">
        <f>IFERROR(IF(X285="",0,CEILING((X285/$H285),1)*$H285),"")</f>
        <v>21.599999999999998</v>
      </c>
      <c r="Z285" s="36">
        <f>IFERROR(IF(Y285=0,"",ROUNDUP(Y285/H285,0)*0.00651),"")</f>
        <v>5.8590000000000003E-2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22.100000000000005</v>
      </c>
      <c r="BN285" s="64">
        <f>IFERROR(Y285*I285/H285,"0")</f>
        <v>23.868000000000002</v>
      </c>
      <c r="BO285" s="64">
        <f>IFERROR(1/J285*(X285/H285),"0")</f>
        <v>4.5787545787545791E-2</v>
      </c>
      <c r="BP285" s="64">
        <f>IFERROR(1/J285*(Y285/H285),"0")</f>
        <v>4.9450549450549455E-2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20</v>
      </c>
      <c r="Y286" s="616">
        <f>IFERROR(IF(X286="",0,CEILING((X286/$H286),1)*$H286),"")</f>
        <v>21.599999999999998</v>
      </c>
      <c r="Z286" s="36">
        <f>IFERROR(IF(Y286=0,"",ROUNDUP(Y286/H286,0)*0.00651),"")</f>
        <v>5.8590000000000003E-2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22.100000000000005</v>
      </c>
      <c r="BN286" s="64">
        <f>IFERROR(Y286*I286/H286,"0")</f>
        <v>23.868000000000002</v>
      </c>
      <c r="BO286" s="64">
        <f>IFERROR(1/J286*(X286/H286),"0")</f>
        <v>4.5787545787545791E-2</v>
      </c>
      <c r="BP286" s="64">
        <f>IFERROR(1/J286*(Y286/H286),"0")</f>
        <v>4.9450549450549455E-2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16.666666666666668</v>
      </c>
      <c r="Y287" s="617">
        <f>IFERROR(Y285/H285,"0")+IFERROR(Y286/H286,"0")</f>
        <v>18</v>
      </c>
      <c r="Z287" s="617">
        <f>IFERROR(IF(Z285="",0,Z285),"0")+IFERROR(IF(Z286="",0,Z286),"0")</f>
        <v>0.11718000000000001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40</v>
      </c>
      <c r="Y288" s="617">
        <f>IFERROR(SUM(Y285:Y286),"0")</f>
        <v>43.199999999999996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20</v>
      </c>
      <c r="Y327" s="616">
        <f>IFERROR(IF(X327="",0,CEILING((X327/$H327),1)*$H327),"")</f>
        <v>21.599999999999998</v>
      </c>
      <c r="Z327" s="36">
        <f>IFERROR(IF(Y327=0,"",ROUNDUP(Y327/H327,0)*0.00651),"")</f>
        <v>5.8590000000000003E-2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21.5</v>
      </c>
      <c r="BN327" s="64">
        <f>IFERROR(Y327*I327/H327,"0")</f>
        <v>23.22</v>
      </c>
      <c r="BO327" s="64">
        <f>IFERROR(1/J327*(X327/H327),"0")</f>
        <v>4.5787545787545791E-2</v>
      </c>
      <c r="BP327" s="64">
        <f>IFERROR(1/J327*(Y327/H327),"0")</f>
        <v>4.9450549450549455E-2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8.3333333333333339</v>
      </c>
      <c r="Y328" s="617">
        <f>IFERROR(Y325/H325,"0")+IFERROR(Y326/H326,"0")+IFERROR(Y327/H327,"0")</f>
        <v>9</v>
      </c>
      <c r="Z328" s="617">
        <f>IFERROR(IF(Z325="",0,Z325),"0")+IFERROR(IF(Z326="",0,Z326),"0")+IFERROR(IF(Z327="",0,Z327),"0")</f>
        <v>5.8590000000000003E-2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20</v>
      </c>
      <c r="Y329" s="617">
        <f>IFERROR(SUM(Y325:Y327),"0")</f>
        <v>21.599999999999998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100</v>
      </c>
      <c r="Y347" s="616">
        <f>IFERROR(IF(X347="",0,CEILING((X347/$H347),1)*$H347),"")</f>
        <v>101.39999999999999</v>
      </c>
      <c r="Z347" s="36">
        <f>IFERROR(IF(Y347=0,"",ROUNDUP(Y347/H347,0)*0.01898),"")</f>
        <v>0.24674000000000001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105.25641025641028</v>
      </c>
      <c r="BN347" s="64">
        <f>IFERROR(Y347*I347/H347,"0")</f>
        <v>106.73</v>
      </c>
      <c r="BO347" s="64">
        <f>IFERROR(1/J347*(X347/H347),"0")</f>
        <v>0.20032051282051283</v>
      </c>
      <c r="BP347" s="64">
        <f>IFERROR(1/J347*(Y347/H347),"0")</f>
        <v>0.203125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12.820512820512821</v>
      </c>
      <c r="Y349" s="617">
        <f>IFERROR(Y346/H346,"0")+IFERROR(Y347/H347,"0")+IFERROR(Y348/H348,"0")</f>
        <v>13</v>
      </c>
      <c r="Z349" s="617">
        <f>IFERROR(IF(Z346="",0,Z346),"0")+IFERROR(IF(Z347="",0,Z347),"0")+IFERROR(IF(Z348="",0,Z348),"0")</f>
        <v>0.24674000000000001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100</v>
      </c>
      <c r="Y350" s="617">
        <f>IFERROR(SUM(Y346:Y348),"0")</f>
        <v>101.39999999999999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300</v>
      </c>
      <c r="Y379" s="616">
        <f>IFERROR(IF(X379="",0,CEILING((X379/$H379),1)*$H379),"")</f>
        <v>304.2</v>
      </c>
      <c r="Z379" s="36">
        <f>IFERROR(IF(Y379=0,"",ROUNDUP(Y379/H379,0)*0.01898),"")</f>
        <v>0.74021999999999999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319.00000000000006</v>
      </c>
      <c r="BN379" s="64">
        <f>IFERROR(Y379*I379/H379,"0")</f>
        <v>323.46600000000001</v>
      </c>
      <c r="BO379" s="64">
        <f>IFERROR(1/J379*(X379/H379),"0")</f>
        <v>0.60096153846153844</v>
      </c>
      <c r="BP379" s="64">
        <f>IFERROR(1/J379*(Y379/H379),"0")</f>
        <v>0.609375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38.46153846153846</v>
      </c>
      <c r="Y381" s="617">
        <f>IFERROR(Y378/H378,"0")+IFERROR(Y379/H379,"0")+IFERROR(Y380/H380,"0")</f>
        <v>39</v>
      </c>
      <c r="Z381" s="617">
        <f>IFERROR(IF(Z378="",0,Z378),"0")+IFERROR(IF(Z379="",0,Z379),"0")+IFERROR(IF(Z380="",0,Z380),"0")</f>
        <v>0.74021999999999999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300</v>
      </c>
      <c r="Y382" s="617">
        <f>IFERROR(SUM(Y378:Y380),"0")</f>
        <v>304.2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10</v>
      </c>
      <c r="Y393" s="616">
        <f>IFERROR(IF(X393="",0,CEILING((X393/$H393),1)*$H393),"")</f>
        <v>10</v>
      </c>
      <c r="Z393" s="36">
        <f>IFERROR(IF(Y393=0,"",ROUNDUP(Y393/H393,0)*0.00474),"")</f>
        <v>2.3700000000000002E-2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11.200000000000001</v>
      </c>
      <c r="BN393" s="64">
        <f>IFERROR(Y393*I393/H393,"0")</f>
        <v>11.200000000000001</v>
      </c>
      <c r="BO393" s="64">
        <f>IFERROR(1/J393*(X393/H393),"0")</f>
        <v>2.1008403361344536E-2</v>
      </c>
      <c r="BP393" s="64">
        <f>IFERROR(1/J393*(Y393/H393),"0")</f>
        <v>2.1008403361344536E-2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5</v>
      </c>
      <c r="Y394" s="617">
        <f>IFERROR(Y391/H391,"0")+IFERROR(Y392/H392,"0")+IFERROR(Y393/H393,"0")</f>
        <v>5</v>
      </c>
      <c r="Z394" s="617">
        <f>IFERROR(IF(Z391="",0,Z391),"0")+IFERROR(IF(Z392="",0,Z392),"0")+IFERROR(IF(Z393="",0,Z393),"0")</f>
        <v>2.3700000000000002E-2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10</v>
      </c>
      <c r="Y395" s="617">
        <f>IFERROR(SUM(Y391:Y393),"0")</f>
        <v>10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50</v>
      </c>
      <c r="Y397" s="616">
        <f>IFERROR(IF(X397="",0,CEILING((X397/$H397),1)*$H397),"")</f>
        <v>51</v>
      </c>
      <c r="Z397" s="36">
        <f>IFERROR(IF(Y397=0,"",ROUNDUP(Y397/H397,0)*0.0045),"")</f>
        <v>7.6499999999999999E-2</v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53.666666666666664</v>
      </c>
      <c r="BN397" s="64">
        <f>IFERROR(Y397*I397/H397,"0")</f>
        <v>54.74</v>
      </c>
      <c r="BO397" s="64">
        <f>IFERROR(1/J397*(X397/H397),"0")</f>
        <v>7.4404761904761904E-2</v>
      </c>
      <c r="BP397" s="64">
        <f>IFERROR(1/J397*(Y397/H397),"0")</f>
        <v>7.5892857142857137E-2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65</v>
      </c>
      <c r="Y398" s="616">
        <f>IFERROR(IF(X398="",0,CEILING((X398/$H398),1)*$H398),"")</f>
        <v>66.3</v>
      </c>
      <c r="Z398" s="36">
        <f>IFERROR(IF(Y398=0,"",ROUNDUP(Y398/H398,0)*0.006),"")</f>
        <v>0.10200000000000001</v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69.5</v>
      </c>
      <c r="BN398" s="64">
        <f>IFERROR(Y398*I398/H398,"0")</f>
        <v>70.89</v>
      </c>
      <c r="BO398" s="64">
        <f>IFERROR(1/J398*(X398/H398),"0")</f>
        <v>0.11574074074074074</v>
      </c>
      <c r="BP398" s="64">
        <f>IFERROR(1/J398*(Y398/H398),"0")</f>
        <v>0.11805555555555555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50</v>
      </c>
      <c r="Y399" s="616">
        <f>IFERROR(IF(X399="",0,CEILING((X399/$H399),1)*$H399),"")</f>
        <v>51</v>
      </c>
      <c r="Z399" s="36">
        <f>IFERROR(IF(Y399=0,"",ROUNDUP(Y399/H399,0)*0.0045),"")</f>
        <v>7.6499999999999999E-2</v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53.666666666666664</v>
      </c>
      <c r="BN399" s="64">
        <f>IFERROR(Y399*I399/H399,"0")</f>
        <v>54.74</v>
      </c>
      <c r="BO399" s="64">
        <f>IFERROR(1/J399*(X399/H399),"0")</f>
        <v>7.4404761904761904E-2</v>
      </c>
      <c r="BP399" s="64">
        <f>IFERROR(1/J399*(Y399/H399),"0")</f>
        <v>7.5892857142857137E-2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50</v>
      </c>
      <c r="Y400" s="617">
        <f>IFERROR(Y397/H397,"0")+IFERROR(Y398/H398,"0")+IFERROR(Y399/H399,"0")</f>
        <v>51</v>
      </c>
      <c r="Z400" s="617">
        <f>IFERROR(IF(Z397="",0,Z397),"0")+IFERROR(IF(Z398="",0,Z398),"0")+IFERROR(IF(Z399="",0,Z399),"0")</f>
        <v>0.255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165</v>
      </c>
      <c r="Y401" s="617">
        <f>IFERROR(SUM(Y397:Y399),"0")</f>
        <v>168.3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300</v>
      </c>
      <c r="Y413" s="616">
        <f t="shared" si="47"/>
        <v>300</v>
      </c>
      <c r="Z413" s="36">
        <f>IFERROR(IF(Y413=0,"",ROUNDUP(Y413/H413,0)*0.02175),"")</f>
        <v>0.43499999999999994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309.39999999999998</v>
      </c>
      <c r="BN413" s="64">
        <f t="shared" si="49"/>
        <v>309.39999999999998</v>
      </c>
      <c r="BO413" s="64">
        <f t="shared" si="50"/>
        <v>0.41666666666666663</v>
      </c>
      <c r="BP413" s="64">
        <f t="shared" si="51"/>
        <v>0.41666666666666663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400</v>
      </c>
      <c r="Y414" s="616">
        <f t="shared" si="47"/>
        <v>405</v>
      </c>
      <c r="Z414" s="36">
        <f>IFERROR(IF(Y414=0,"",ROUNDUP(Y414/H414,0)*0.02175),"")</f>
        <v>0.58724999999999994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412.53333333333336</v>
      </c>
      <c r="BN414" s="64">
        <f t="shared" si="49"/>
        <v>417.69</v>
      </c>
      <c r="BO414" s="64">
        <f t="shared" si="50"/>
        <v>0.55555555555555558</v>
      </c>
      <c r="BP414" s="64">
        <f t="shared" si="51"/>
        <v>0.5625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100</v>
      </c>
      <c r="Y415" s="616">
        <f t="shared" si="47"/>
        <v>105</v>
      </c>
      <c r="Z415" s="36">
        <f>IFERROR(IF(Y415=0,"",ROUNDUP(Y415/H415,0)*0.02175),"")</f>
        <v>0.15225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103.13333333333334</v>
      </c>
      <c r="BN415" s="64">
        <f t="shared" si="49"/>
        <v>108.29</v>
      </c>
      <c r="BO415" s="64">
        <f t="shared" si="50"/>
        <v>0.1388888888888889</v>
      </c>
      <c r="BP415" s="64">
        <f t="shared" si="51"/>
        <v>0.14583333333333331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200</v>
      </c>
      <c r="Y416" s="616">
        <f t="shared" si="47"/>
        <v>210</v>
      </c>
      <c r="Z416" s="36">
        <f>IFERROR(IF(Y416=0,"",ROUNDUP(Y416/H416,0)*0.02175),"")</f>
        <v>0.30449999999999999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206.26666666666668</v>
      </c>
      <c r="BN416" s="64">
        <f t="shared" si="49"/>
        <v>216.58</v>
      </c>
      <c r="BO416" s="64">
        <f t="shared" si="50"/>
        <v>0.27777777777777779</v>
      </c>
      <c r="BP416" s="64">
        <f t="shared" si="51"/>
        <v>0.29166666666666663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66.666666666666671</v>
      </c>
      <c r="Y420" s="617">
        <f>IFERROR(Y412/H412,"0")+IFERROR(Y413/H413,"0")+IFERROR(Y414/H414,"0")+IFERROR(Y415/H415,"0")+IFERROR(Y416/H416,"0")+IFERROR(Y417/H417,"0")+IFERROR(Y418/H418,"0")+IFERROR(Y419/H419,"0")</f>
        <v>68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1.4789999999999999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1000</v>
      </c>
      <c r="Y421" s="617">
        <f>IFERROR(SUM(Y412:Y419),"0")</f>
        <v>1020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1000</v>
      </c>
      <c r="Y423" s="616">
        <f>IFERROR(IF(X423="",0,CEILING((X423/$H423),1)*$H423),"")</f>
        <v>1005</v>
      </c>
      <c r="Z423" s="36">
        <f>IFERROR(IF(Y423=0,"",ROUNDUP(Y423/H423,0)*0.02175),"")</f>
        <v>1.4572499999999999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1031.3333333333333</v>
      </c>
      <c r="BN423" s="64">
        <f>IFERROR(Y423*I423/H423,"0")</f>
        <v>1036.49</v>
      </c>
      <c r="BO423" s="64">
        <f>IFERROR(1/J423*(X423/H423),"0")</f>
        <v>1.3888888888888888</v>
      </c>
      <c r="BP423" s="64">
        <f>IFERROR(1/J423*(Y423/H423),"0")</f>
        <v>1.3958333333333333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66.666666666666671</v>
      </c>
      <c r="Y426" s="617">
        <f>IFERROR(Y423/H423,"0")+IFERROR(Y424/H424,"0")+IFERROR(Y425/H425,"0")</f>
        <v>67</v>
      </c>
      <c r="Z426" s="617">
        <f>IFERROR(IF(Z423="",0,Z423),"0")+IFERROR(IF(Z424="",0,Z424),"0")+IFERROR(IF(Z425="",0,Z425),"0")</f>
        <v>1.4572499999999999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1000</v>
      </c>
      <c r="Y427" s="617">
        <f>IFERROR(SUM(Y423:Y425),"0")</f>
        <v>1005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200</v>
      </c>
      <c r="Y436" s="616">
        <f>IFERROR(IF(X436="",0,CEILING((X436/$H436),1)*$H436),"")</f>
        <v>207</v>
      </c>
      <c r="Z436" s="36">
        <f>IFERROR(IF(Y436=0,"",ROUNDUP(Y436/H436,0)*0.01898),"")</f>
        <v>0.43653999999999998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210.97777777777776</v>
      </c>
      <c r="BN436" s="64">
        <f>IFERROR(Y436*I436/H436,"0")</f>
        <v>218.36199999999999</v>
      </c>
      <c r="BO436" s="64">
        <f>IFERROR(1/J436*(X436/H436),"0")</f>
        <v>0.34722222222222221</v>
      </c>
      <c r="BP436" s="64">
        <f>IFERROR(1/J436*(Y436/H436),"0")</f>
        <v>0.359375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22.222222222222221</v>
      </c>
      <c r="Y437" s="617">
        <f>IFERROR(Y435/H435,"0")+IFERROR(Y436/H436,"0")</f>
        <v>23</v>
      </c>
      <c r="Z437" s="617">
        <f>IFERROR(IF(Z435="",0,Z435),"0")+IFERROR(IF(Z436="",0,Z436),"0")</f>
        <v>0.43653999999999998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200</v>
      </c>
      <c r="Y438" s="617">
        <f>IFERROR(SUM(Y435:Y436),"0")</f>
        <v>207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200</v>
      </c>
      <c r="Y450" s="616">
        <f>IFERROR(IF(X450="",0,CEILING((X450/$H450),1)*$H450),"")</f>
        <v>207</v>
      </c>
      <c r="Z450" s="36">
        <f>IFERROR(IF(Y450=0,"",ROUNDUP(Y450/H450,0)*0.01898),"")</f>
        <v>0.43653999999999998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210.97777777777776</v>
      </c>
      <c r="BN450" s="64">
        <f>IFERROR(Y450*I450/H450,"0")</f>
        <v>218.36199999999999</v>
      </c>
      <c r="BO450" s="64">
        <f>IFERROR(1/J450*(X450/H450),"0")</f>
        <v>0.34722222222222221</v>
      </c>
      <c r="BP450" s="64">
        <f>IFERROR(1/J450*(Y450/H450),"0")</f>
        <v>0.359375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22.222222222222221</v>
      </c>
      <c r="Y453" s="617">
        <f>IFERROR(Y450/H450,"0")+IFERROR(Y451/H451,"0")+IFERROR(Y452/H452,"0")</f>
        <v>23</v>
      </c>
      <c r="Z453" s="617">
        <f>IFERROR(IF(Z450="",0,Z450),"0")+IFERROR(IF(Z451="",0,Z451),"0")+IFERROR(IF(Z452="",0,Z452),"0")</f>
        <v>0.43653999999999998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200</v>
      </c>
      <c r="Y454" s="617">
        <f>IFERROR(SUM(Y450:Y452),"0")</f>
        <v>207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200</v>
      </c>
      <c r="Y490" s="616">
        <f t="shared" si="57"/>
        <v>200.64000000000001</v>
      </c>
      <c r="Z490" s="36">
        <f t="shared" si="58"/>
        <v>0.45448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213.25757575757575</v>
      </c>
      <c r="BN490" s="64">
        <f t="shared" si="60"/>
        <v>213.94</v>
      </c>
      <c r="BO490" s="64">
        <f t="shared" si="61"/>
        <v>0.36421911421911418</v>
      </c>
      <c r="BP490" s="64">
        <f t="shared" si="62"/>
        <v>0.36538461538461542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37.878787878787875</v>
      </c>
      <c r="Y494" s="617">
        <f>IFERROR(Y485/H485,"0")+IFERROR(Y486/H486,"0")+IFERROR(Y487/H487,"0")+IFERROR(Y488/H488,"0")+IFERROR(Y489/H489,"0")+IFERROR(Y490/H490,"0")+IFERROR(Y491/H491,"0")+IFERROR(Y492/H492,"0")+IFERROR(Y493/H493,"0")</f>
        <v>38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0.45448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200</v>
      </c>
      <c r="Y495" s="617">
        <f>IFERROR(SUM(Y485:Y493),"0")</f>
        <v>200.64000000000001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300</v>
      </c>
      <c r="Y497" s="616">
        <f>IFERROR(IF(X497="",0,CEILING((X497/$H497),1)*$H497),"")</f>
        <v>300.96000000000004</v>
      </c>
      <c r="Z497" s="36">
        <f>IFERROR(IF(Y497=0,"",ROUNDUP(Y497/H497,0)*0.01196),"")</f>
        <v>0.68171999999999999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319.88636363636363</v>
      </c>
      <c r="BN497" s="64">
        <f>IFERROR(Y497*I497/H497,"0")</f>
        <v>320.91000000000003</v>
      </c>
      <c r="BO497" s="64">
        <f>IFERROR(1/J497*(X497/H497),"0")</f>
        <v>0.54632867132867136</v>
      </c>
      <c r="BP497" s="64">
        <f>IFERROR(1/J497*(Y497/H497),"0")</f>
        <v>0.54807692307692313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56.818181818181813</v>
      </c>
      <c r="Y500" s="617">
        <f>IFERROR(Y497/H497,"0")+IFERROR(Y498/H498,"0")+IFERROR(Y499/H499,"0")</f>
        <v>57.000000000000007</v>
      </c>
      <c r="Z500" s="617">
        <f>IFERROR(IF(Z497="",0,Z497),"0")+IFERROR(IF(Z498="",0,Z498),"0")+IFERROR(IF(Z499="",0,Z499),"0")</f>
        <v>0.68171999999999999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300</v>
      </c>
      <c r="Y501" s="617">
        <f>IFERROR(SUM(Y497:Y499),"0")</f>
        <v>300.96000000000004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150</v>
      </c>
      <c r="Y504" s="616">
        <f t="shared" si="63"/>
        <v>153.12</v>
      </c>
      <c r="Z504" s="36">
        <f>IFERROR(IF(Y504=0,"",ROUNDUP(Y504/H504,0)*0.01196),"")</f>
        <v>0.34683999999999998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159.94318181818181</v>
      </c>
      <c r="BN504" s="64">
        <f t="shared" si="65"/>
        <v>163.26999999999998</v>
      </c>
      <c r="BO504" s="64">
        <f t="shared" si="66"/>
        <v>0.27316433566433568</v>
      </c>
      <c r="BP504" s="64">
        <f t="shared" si="67"/>
        <v>0.27884615384615385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50</v>
      </c>
      <c r="Y505" s="616">
        <f t="shared" si="63"/>
        <v>52.800000000000004</v>
      </c>
      <c r="Z505" s="36">
        <f>IFERROR(IF(Y505=0,"",ROUNDUP(Y505/H505,0)*0.01196),"")</f>
        <v>0.1196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53.314393939393938</v>
      </c>
      <c r="BN505" s="64">
        <f t="shared" si="65"/>
        <v>56.3</v>
      </c>
      <c r="BO505" s="64">
        <f t="shared" si="66"/>
        <v>9.1054778554778545E-2</v>
      </c>
      <c r="BP505" s="64">
        <f t="shared" si="67"/>
        <v>9.6153846153846159E-2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37.878787878787875</v>
      </c>
      <c r="Y510" s="617">
        <f>IFERROR(Y503/H503,"0")+IFERROR(Y504/H504,"0")+IFERROR(Y505/H505,"0")+IFERROR(Y506/H506,"0")+IFERROR(Y507/H507,"0")+IFERROR(Y508/H508,"0")+IFERROR(Y509/H509,"0")</f>
        <v>39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0.46643999999999997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200</v>
      </c>
      <c r="Y511" s="617">
        <f>IFERROR(SUM(Y503:Y509),"0")</f>
        <v>205.92000000000002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6000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6098.88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6319.169176255843</v>
      </c>
      <c r="Y542" s="617">
        <f>IFERROR(SUM(BN22:BN538),"0")</f>
        <v>6423.5639999999994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11</v>
      </c>
      <c r="Y543" s="38">
        <f>ROUNDUP(SUM(BP22:BP538),0)</f>
        <v>11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6594.169176255843</v>
      </c>
      <c r="Y544" s="617">
        <f>GrossWeightTotalR+PalletQtyTotalR*25</f>
        <v>6698.5639999999994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998.60818194151523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1017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12.302660000000001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247.79999999999998</v>
      </c>
      <c r="F551" s="46">
        <f>IFERROR(Y88*1,"0")+IFERROR(Y89*1,"0")+IFERROR(Y90*1,"0")+IFERROR(Y91*1,"0")+IFERROR(Y95*1,"0")+IFERROR(Y96*1,"0")+IFERROR(Y97*1,"0")+IFERROR(Y98*1,"0")</f>
        <v>496.8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561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231.56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157.5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652.20000000000005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21.599999999999998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101.39999999999999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482.5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2232</v>
      </c>
      <c r="W551" s="46">
        <f>IFERROR(Y441*1,"0")+IFERROR(Y442*1,"0")+IFERROR(Y446*1,"0")+IFERROR(Y450*1,"0")+IFERROR(Y451*1,"0")+IFERROR(Y452*1,"0")</f>
        <v>207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707.52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2026-07-22T09:42:58Z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