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9ABB9CE-8E10-45BC-A14D-C59A235560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67" i="1" l="1"/>
  <c r="V66" i="1"/>
  <c r="V53" i="1"/>
  <c r="V52" i="1"/>
  <c r="V35" i="1"/>
  <c r="V34" i="1"/>
  <c r="V30" i="1"/>
  <c r="M7" i="1"/>
  <c r="Z7" i="1" s="1"/>
  <c r="AM7" i="1" s="1"/>
  <c r="M8" i="1"/>
  <c r="Z8" i="1" s="1"/>
  <c r="M9" i="1"/>
  <c r="Z9" i="1" s="1"/>
  <c r="AM9" i="1" s="1"/>
  <c r="M10" i="1"/>
  <c r="Z10" i="1" s="1"/>
  <c r="M11" i="1"/>
  <c r="Z11" i="1" s="1"/>
  <c r="AM11" i="1" s="1"/>
  <c r="M12" i="1"/>
  <c r="Z12" i="1" s="1"/>
  <c r="M13" i="1"/>
  <c r="Z13" i="1" s="1"/>
  <c r="AM13" i="1" s="1"/>
  <c r="M14" i="1"/>
  <c r="Z14" i="1" s="1"/>
  <c r="M15" i="1"/>
  <c r="Z15" i="1" s="1"/>
  <c r="AM15" i="1" s="1"/>
  <c r="M16" i="1"/>
  <c r="Z16" i="1" s="1"/>
  <c r="M17" i="1"/>
  <c r="Z17" i="1" s="1"/>
  <c r="AM17" i="1" s="1"/>
  <c r="M18" i="1"/>
  <c r="Z18" i="1" s="1"/>
  <c r="M19" i="1"/>
  <c r="Z19" i="1" s="1"/>
  <c r="AM19" i="1" s="1"/>
  <c r="M20" i="1"/>
  <c r="Z20" i="1" s="1"/>
  <c r="M21" i="1"/>
  <c r="Z21" i="1" s="1"/>
  <c r="AM21" i="1" s="1"/>
  <c r="M22" i="1"/>
  <c r="Z22" i="1" s="1"/>
  <c r="M23" i="1"/>
  <c r="Z23" i="1" s="1"/>
  <c r="AM23" i="1" s="1"/>
  <c r="M24" i="1"/>
  <c r="Z24" i="1" s="1"/>
  <c r="M25" i="1"/>
  <c r="Z25" i="1" s="1"/>
  <c r="AM25" i="1" s="1"/>
  <c r="M26" i="1"/>
  <c r="Z26" i="1" s="1"/>
  <c r="M27" i="1"/>
  <c r="Z27" i="1" s="1"/>
  <c r="AM27" i="1" s="1"/>
  <c r="M28" i="1"/>
  <c r="Z28" i="1" s="1"/>
  <c r="M29" i="1"/>
  <c r="Z29" i="1" s="1"/>
  <c r="AM29" i="1" s="1"/>
  <c r="M30" i="1"/>
  <c r="Z30" i="1" s="1"/>
  <c r="AA30" i="1" s="1"/>
  <c r="AM30" i="1" s="1"/>
  <c r="M31" i="1"/>
  <c r="Z31" i="1" s="1"/>
  <c r="AM31" i="1" s="1"/>
  <c r="M32" i="1"/>
  <c r="Z32" i="1" s="1"/>
  <c r="M33" i="1"/>
  <c r="Z33" i="1" s="1"/>
  <c r="AM33" i="1" s="1"/>
  <c r="M34" i="1"/>
  <c r="Z34" i="1" s="1"/>
  <c r="M35" i="1"/>
  <c r="Z35" i="1" s="1"/>
  <c r="M36" i="1"/>
  <c r="Z36" i="1" s="1"/>
  <c r="M37" i="1"/>
  <c r="Z37" i="1" s="1"/>
  <c r="AM37" i="1" s="1"/>
  <c r="M38" i="1"/>
  <c r="Z38" i="1" s="1"/>
  <c r="M39" i="1"/>
  <c r="Z39" i="1" s="1"/>
  <c r="M40" i="1"/>
  <c r="Z40" i="1" s="1"/>
  <c r="M41" i="1"/>
  <c r="Z41" i="1" s="1"/>
  <c r="M42" i="1"/>
  <c r="Z42" i="1" s="1"/>
  <c r="M43" i="1"/>
  <c r="Z43" i="1" s="1"/>
  <c r="M44" i="1"/>
  <c r="Z44" i="1" s="1"/>
  <c r="M45" i="1"/>
  <c r="Z45" i="1" s="1"/>
  <c r="M46" i="1"/>
  <c r="Z46" i="1" s="1"/>
  <c r="M47" i="1"/>
  <c r="Z47" i="1" s="1"/>
  <c r="M48" i="1"/>
  <c r="Z48" i="1" s="1"/>
  <c r="M49" i="1"/>
  <c r="Z49" i="1" s="1"/>
  <c r="M50" i="1"/>
  <c r="Z50" i="1" s="1"/>
  <c r="M51" i="1"/>
  <c r="Z51" i="1" s="1"/>
  <c r="M52" i="1"/>
  <c r="Z52" i="1" s="1"/>
  <c r="M53" i="1"/>
  <c r="Z53" i="1" s="1"/>
  <c r="M54" i="1"/>
  <c r="Z54" i="1" s="1"/>
  <c r="M55" i="1"/>
  <c r="Z55" i="1" s="1"/>
  <c r="M56" i="1"/>
  <c r="Z56" i="1" s="1"/>
  <c r="M57" i="1"/>
  <c r="Z57" i="1" s="1"/>
  <c r="M58" i="1"/>
  <c r="Z58" i="1" s="1"/>
  <c r="M59" i="1"/>
  <c r="Z59" i="1" s="1"/>
  <c r="M60" i="1"/>
  <c r="Z60" i="1" s="1"/>
  <c r="M61" i="1"/>
  <c r="Z61" i="1" s="1"/>
  <c r="M62" i="1"/>
  <c r="Z62" i="1" s="1"/>
  <c r="M63" i="1"/>
  <c r="Z63" i="1" s="1"/>
  <c r="M64" i="1"/>
  <c r="Z64" i="1" s="1"/>
  <c r="M65" i="1"/>
  <c r="Z65" i="1" s="1"/>
  <c r="M66" i="1"/>
  <c r="Z66" i="1" s="1"/>
  <c r="M67" i="1"/>
  <c r="Z67" i="1" s="1"/>
  <c r="M68" i="1"/>
  <c r="Z68" i="1" s="1"/>
  <c r="M69" i="1"/>
  <c r="Z69" i="1" s="1"/>
  <c r="M70" i="1"/>
  <c r="Z70" i="1" s="1"/>
  <c r="M71" i="1"/>
  <c r="Z71" i="1" s="1"/>
  <c r="M72" i="1"/>
  <c r="Z72" i="1" s="1"/>
  <c r="M73" i="1"/>
  <c r="Z73" i="1" s="1"/>
  <c r="M74" i="1"/>
  <c r="Z74" i="1" s="1"/>
  <c r="M75" i="1"/>
  <c r="Z75" i="1" s="1"/>
  <c r="M76" i="1"/>
  <c r="Z76" i="1" s="1"/>
  <c r="AB76" i="1" s="1"/>
  <c r="M77" i="1"/>
  <c r="Z77" i="1" s="1"/>
  <c r="M78" i="1"/>
  <c r="Z78" i="1" s="1"/>
  <c r="AM78" i="1" s="1"/>
  <c r="M79" i="1"/>
  <c r="Z79" i="1" s="1"/>
  <c r="M80" i="1"/>
  <c r="Z80" i="1" s="1"/>
  <c r="AM80" i="1" s="1"/>
  <c r="M81" i="1"/>
  <c r="Z81" i="1" s="1"/>
  <c r="M82" i="1"/>
  <c r="Z82" i="1" s="1"/>
  <c r="AM82" i="1" s="1"/>
  <c r="M83" i="1"/>
  <c r="Z83" i="1" s="1"/>
  <c r="AB83" i="1" s="1"/>
  <c r="M84" i="1"/>
  <c r="Z84" i="1" s="1"/>
  <c r="AB84" i="1" s="1"/>
  <c r="M85" i="1"/>
  <c r="Z85" i="1" s="1"/>
  <c r="M86" i="1"/>
  <c r="Z86" i="1" s="1"/>
  <c r="AA86" i="1" s="1"/>
  <c r="AM86" i="1" s="1"/>
  <c r="M87" i="1"/>
  <c r="Z87" i="1" s="1"/>
  <c r="M88" i="1"/>
  <c r="Z88" i="1" s="1"/>
  <c r="AM88" i="1" s="1"/>
  <c r="M89" i="1"/>
  <c r="Z89" i="1" s="1"/>
  <c r="M90" i="1"/>
  <c r="Z90" i="1" s="1"/>
  <c r="AM90" i="1" s="1"/>
  <c r="M91" i="1"/>
  <c r="Z91" i="1" s="1"/>
  <c r="M92" i="1"/>
  <c r="Z92" i="1" s="1"/>
  <c r="AM92" i="1" s="1"/>
  <c r="M93" i="1"/>
  <c r="Z93" i="1" s="1"/>
  <c r="M94" i="1"/>
  <c r="Z94" i="1" s="1"/>
  <c r="AM94" i="1" s="1"/>
  <c r="M95" i="1"/>
  <c r="Z95" i="1" s="1"/>
  <c r="M96" i="1"/>
  <c r="Z96" i="1" s="1"/>
  <c r="AM96" i="1" s="1"/>
  <c r="M97" i="1"/>
  <c r="Z97" i="1" s="1"/>
  <c r="M98" i="1"/>
  <c r="Z98" i="1" s="1"/>
  <c r="AM98" i="1" s="1"/>
  <c r="M99" i="1"/>
  <c r="Z99" i="1" s="1"/>
  <c r="M100" i="1"/>
  <c r="Z100" i="1" s="1"/>
  <c r="AM100" i="1" s="1"/>
  <c r="M101" i="1"/>
  <c r="Z101" i="1" s="1"/>
  <c r="M102" i="1"/>
  <c r="Z102" i="1" s="1"/>
  <c r="AM102" i="1" s="1"/>
  <c r="M103" i="1"/>
  <c r="Z103" i="1" s="1"/>
  <c r="M104" i="1"/>
  <c r="Z104" i="1" s="1"/>
  <c r="AM104" i="1" s="1"/>
  <c r="M105" i="1"/>
  <c r="Z105" i="1" s="1"/>
  <c r="M106" i="1"/>
  <c r="Z106" i="1" s="1"/>
  <c r="AM106" i="1" s="1"/>
  <c r="M107" i="1"/>
  <c r="Z107" i="1" s="1"/>
  <c r="M108" i="1"/>
  <c r="Z108" i="1" s="1"/>
  <c r="AM108" i="1" s="1"/>
  <c r="M109" i="1"/>
  <c r="Z109" i="1" s="1"/>
  <c r="M110" i="1"/>
  <c r="Z110" i="1" s="1"/>
  <c r="AM110" i="1" s="1"/>
  <c r="M111" i="1"/>
  <c r="Z111" i="1" s="1"/>
  <c r="M112" i="1"/>
  <c r="Z112" i="1" s="1"/>
  <c r="AM112" i="1" s="1"/>
  <c r="M113" i="1"/>
  <c r="Z113" i="1" s="1"/>
  <c r="M6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AM84" i="1"/>
  <c r="L84" i="1"/>
  <c r="AM83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X5" i="1"/>
  <c r="W5" i="1"/>
  <c r="U5" i="1"/>
  <c r="T5" i="1"/>
  <c r="S5" i="1"/>
  <c r="R5" i="1"/>
  <c r="Q5" i="1"/>
  <c r="P5" i="1"/>
  <c r="O5" i="1"/>
  <c r="N5" i="1"/>
  <c r="K5" i="1"/>
  <c r="F5" i="1"/>
  <c r="E5" i="1"/>
  <c r="AA67" i="1" l="1"/>
  <c r="AM67" i="1" s="1"/>
  <c r="AA53" i="1"/>
  <c r="AM53" i="1" s="1"/>
  <c r="AA35" i="1"/>
  <c r="AM35" i="1" s="1"/>
  <c r="AM113" i="1"/>
  <c r="AM111" i="1"/>
  <c r="AM109" i="1"/>
  <c r="AM107" i="1"/>
  <c r="AM105" i="1"/>
  <c r="AM103" i="1"/>
  <c r="AM101" i="1"/>
  <c r="AM99" i="1"/>
  <c r="AM97" i="1"/>
  <c r="AM95" i="1"/>
  <c r="AM93" i="1"/>
  <c r="AM91" i="1"/>
  <c r="AA89" i="1"/>
  <c r="AM89" i="1" s="1"/>
  <c r="AA87" i="1"/>
  <c r="AM87" i="1" s="1"/>
  <c r="AM85" i="1"/>
  <c r="AM81" i="1"/>
  <c r="AM79" i="1"/>
  <c r="AM77" i="1"/>
  <c r="AM39" i="1"/>
  <c r="AA43" i="1"/>
  <c r="AM43" i="1" s="1"/>
  <c r="AM47" i="1"/>
  <c r="AM51" i="1"/>
  <c r="AM55" i="1"/>
  <c r="AM59" i="1"/>
  <c r="AM63" i="1"/>
  <c r="AM71" i="1"/>
  <c r="AA75" i="1"/>
  <c r="AM75" i="1" s="1"/>
  <c r="AA66" i="1"/>
  <c r="AM66" i="1" s="1"/>
  <c r="AA52" i="1"/>
  <c r="AM52" i="1" s="1"/>
  <c r="AM34" i="1"/>
  <c r="AM41" i="1"/>
  <c r="AM45" i="1"/>
  <c r="AM49" i="1"/>
  <c r="AM57" i="1"/>
  <c r="AM61" i="1"/>
  <c r="AM65" i="1"/>
  <c r="AM69" i="1"/>
  <c r="AM73" i="1"/>
  <c r="AM8" i="1"/>
  <c r="AM10" i="1"/>
  <c r="AM12" i="1"/>
  <c r="AM14" i="1"/>
  <c r="AM16" i="1"/>
  <c r="AM18" i="1"/>
  <c r="AM20" i="1"/>
  <c r="AM22" i="1"/>
  <c r="AA24" i="1"/>
  <c r="AM24" i="1" s="1"/>
  <c r="AA26" i="1"/>
  <c r="AM26" i="1" s="1"/>
  <c r="AM28" i="1"/>
  <c r="AM32" i="1"/>
  <c r="AM36" i="1"/>
  <c r="AM38" i="1"/>
  <c r="AM40" i="1"/>
  <c r="AM42" i="1"/>
  <c r="AM44" i="1"/>
  <c r="AM46" i="1"/>
  <c r="AM48" i="1"/>
  <c r="AM50" i="1"/>
  <c r="AM54" i="1"/>
  <c r="AM56" i="1"/>
  <c r="AM58" i="1"/>
  <c r="AM60" i="1"/>
  <c r="AM62" i="1"/>
  <c r="AA64" i="1"/>
  <c r="AM64" i="1" s="1"/>
  <c r="AM68" i="1"/>
  <c r="AM70" i="1"/>
  <c r="AM72" i="1"/>
  <c r="AM74" i="1"/>
  <c r="AB112" i="1"/>
  <c r="AB110" i="1"/>
  <c r="AB108" i="1"/>
  <c r="AB106" i="1"/>
  <c r="AB104" i="1"/>
  <c r="AB102" i="1"/>
  <c r="AB100" i="1"/>
  <c r="AB98" i="1"/>
  <c r="AB96" i="1"/>
  <c r="AB94" i="1"/>
  <c r="AB92" i="1"/>
  <c r="AB90" i="1"/>
  <c r="AB88" i="1"/>
  <c r="AB86" i="1"/>
  <c r="AB82" i="1"/>
  <c r="AB80" i="1"/>
  <c r="AB78" i="1"/>
  <c r="AC110" i="1"/>
  <c r="AC106" i="1"/>
  <c r="AC102" i="1"/>
  <c r="AC98" i="1"/>
  <c r="AC94" i="1"/>
  <c r="AC67" i="1"/>
  <c r="AC53" i="1"/>
  <c r="AC35" i="1"/>
  <c r="AC112" i="1"/>
  <c r="AC108" i="1"/>
  <c r="AC104" i="1"/>
  <c r="AC100" i="1"/>
  <c r="AC96" i="1"/>
  <c r="AC92" i="1"/>
  <c r="AB37" i="1"/>
  <c r="AC37" i="1"/>
  <c r="AB33" i="1"/>
  <c r="AC33" i="1"/>
  <c r="AB31" i="1"/>
  <c r="AC31" i="1"/>
  <c r="AB29" i="1"/>
  <c r="AC29" i="1"/>
  <c r="AB27" i="1"/>
  <c r="AC27" i="1"/>
  <c r="AB25" i="1"/>
  <c r="AC25" i="1"/>
  <c r="AB23" i="1"/>
  <c r="AC23" i="1"/>
  <c r="AB21" i="1"/>
  <c r="AC21" i="1"/>
  <c r="AB19" i="1"/>
  <c r="AC19" i="1"/>
  <c r="AB17" i="1"/>
  <c r="AC17" i="1"/>
  <c r="AB15" i="1"/>
  <c r="AC15" i="1"/>
  <c r="AB13" i="1"/>
  <c r="AC13" i="1"/>
  <c r="AB11" i="1"/>
  <c r="AC11" i="1"/>
  <c r="AB9" i="1"/>
  <c r="AC9" i="1"/>
  <c r="AB7" i="1"/>
  <c r="AC7" i="1"/>
  <c r="AB34" i="1"/>
  <c r="AC34" i="1"/>
  <c r="AC52" i="1"/>
  <c r="AC66" i="1"/>
  <c r="AC89" i="1"/>
  <c r="AC85" i="1"/>
  <c r="AC81" i="1"/>
  <c r="AC77" i="1"/>
  <c r="AC73" i="1"/>
  <c r="AC69" i="1"/>
  <c r="AC65" i="1"/>
  <c r="AC61" i="1"/>
  <c r="AC57" i="1"/>
  <c r="AC49" i="1"/>
  <c r="AC45" i="1"/>
  <c r="AC41" i="1"/>
  <c r="AC113" i="1"/>
  <c r="AC111" i="1"/>
  <c r="AC109" i="1"/>
  <c r="AC107" i="1"/>
  <c r="AC105" i="1"/>
  <c r="AC103" i="1"/>
  <c r="AC101" i="1"/>
  <c r="AC99" i="1"/>
  <c r="AC97" i="1"/>
  <c r="AC95" i="1"/>
  <c r="AC93" i="1"/>
  <c r="AC91" i="1"/>
  <c r="AC87" i="1"/>
  <c r="AC83" i="1"/>
  <c r="AC79" i="1"/>
  <c r="AC75" i="1"/>
  <c r="AC71" i="1"/>
  <c r="AC63" i="1"/>
  <c r="AC59" i="1"/>
  <c r="AC55" i="1"/>
  <c r="AC51" i="1"/>
  <c r="AC47" i="1"/>
  <c r="AC43" i="1"/>
  <c r="AC39" i="1"/>
  <c r="AB30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4" i="1"/>
  <c r="AC62" i="1"/>
  <c r="AC60" i="1"/>
  <c r="AC58" i="1"/>
  <c r="AC56" i="1"/>
  <c r="AC54" i="1"/>
  <c r="AC50" i="1"/>
  <c r="AC48" i="1"/>
  <c r="AC46" i="1"/>
  <c r="AC44" i="1"/>
  <c r="AC42" i="1"/>
  <c r="AC40" i="1"/>
  <c r="AC38" i="1"/>
  <c r="AC36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L5" i="1"/>
  <c r="M5" i="1"/>
  <c r="V5" i="1"/>
  <c r="Z6" i="1"/>
  <c r="AM6" i="1" s="1"/>
  <c r="AB67" i="1" l="1"/>
  <c r="AB35" i="1"/>
  <c r="AB59" i="1"/>
  <c r="AB53" i="1"/>
  <c r="AB66" i="1"/>
  <c r="AB10" i="1"/>
  <c r="AB18" i="1"/>
  <c r="AB26" i="1"/>
  <c r="AB38" i="1"/>
  <c r="AB46" i="1"/>
  <c r="AB56" i="1"/>
  <c r="AB64" i="1"/>
  <c r="AB74" i="1"/>
  <c r="AB14" i="1"/>
  <c r="AB22" i="1"/>
  <c r="AB32" i="1"/>
  <c r="AB42" i="1"/>
  <c r="AB50" i="1"/>
  <c r="AB60" i="1"/>
  <c r="AB70" i="1"/>
  <c r="AB45" i="1"/>
  <c r="AB73" i="1"/>
  <c r="AB41" i="1"/>
  <c r="AB49" i="1"/>
  <c r="AB55" i="1"/>
  <c r="AB63" i="1"/>
  <c r="AB69" i="1"/>
  <c r="AM5" i="1"/>
  <c r="AB52" i="1"/>
  <c r="AB8" i="1"/>
  <c r="AB12" i="1"/>
  <c r="AB16" i="1"/>
  <c r="AB20" i="1"/>
  <c r="AB24" i="1"/>
  <c r="AB28" i="1"/>
  <c r="AB36" i="1"/>
  <c r="AB40" i="1"/>
  <c r="AB44" i="1"/>
  <c r="AB48" i="1"/>
  <c r="AB54" i="1"/>
  <c r="AB58" i="1"/>
  <c r="AB62" i="1"/>
  <c r="AB68" i="1"/>
  <c r="AB72" i="1"/>
  <c r="AB39" i="1"/>
  <c r="AB43" i="1"/>
  <c r="AB47" i="1"/>
  <c r="AB51" i="1"/>
  <c r="AB57" i="1"/>
  <c r="AB61" i="1"/>
  <c r="AB65" i="1"/>
  <c r="AB71" i="1"/>
  <c r="AB75" i="1"/>
  <c r="AB77" i="1"/>
  <c r="AB79" i="1"/>
  <c r="AB81" i="1"/>
  <c r="AB85" i="1"/>
  <c r="AB87" i="1"/>
  <c r="AB89" i="1"/>
  <c r="AB91" i="1"/>
  <c r="AB93" i="1"/>
  <c r="AB95" i="1"/>
  <c r="AB97" i="1"/>
  <c r="AB99" i="1"/>
  <c r="AB101" i="1"/>
  <c r="AB103" i="1"/>
  <c r="AB105" i="1"/>
  <c r="AB107" i="1"/>
  <c r="AB109" i="1"/>
  <c r="AB111" i="1"/>
  <c r="AB113" i="1"/>
  <c r="AA5" i="1"/>
  <c r="Z5" i="1"/>
  <c r="AC6" i="1"/>
  <c r="AB6" i="1"/>
</calcChain>
</file>

<file path=xl/sharedStrings.xml><?xml version="1.0" encoding="utf-8"?>
<sst xmlns="http://schemas.openxmlformats.org/spreadsheetml/2006/main" count="399" uniqueCount="269">
  <si>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</si>
  <si>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</si>
  <si>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</si>
  <si>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</si>
  <si>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</si>
  <si>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</si>
  <si>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</si>
  <si>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</si>
  <si>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</si>
  <si>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</si>
  <si>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</si>
  <si>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</si>
  <si>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</si>
  <si>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</si>
  <si>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</si>
  <si>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</si>
  <si>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</si>
  <si>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</si>
  <si>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</si>
  <si>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</si>
  <si>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</si>
  <si>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брак</t>
  </si>
  <si>
    <t>14,07,</t>
  </si>
  <si>
    <t>18,07,</t>
  </si>
  <si>
    <t>18,07,(дозаказ)</t>
  </si>
  <si>
    <t>19,07,</t>
  </si>
  <si>
    <t>19,07,(недогруз)</t>
  </si>
  <si>
    <t>19,07,(дозаказ)</t>
  </si>
  <si>
    <t>20,07,(дозаказ)</t>
  </si>
  <si>
    <t>20,07,(недогруз)</t>
  </si>
  <si>
    <t>20,07,</t>
  </si>
  <si>
    <t>21,07,</t>
  </si>
  <si>
    <t>21,07,(2)</t>
  </si>
  <si>
    <t>16,07,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</si>
  <si>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</si>
  <si>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</si>
  <si>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</si>
  <si>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</si>
  <si>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</si>
  <si>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</si>
  <si>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</si>
  <si>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</si>
  <si>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</si>
  <si>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</si>
  <si>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</si>
  <si>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</si>
  <si>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</si>
  <si>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</si>
  <si>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</si>
  <si>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</si>
  <si>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19 шт списано (12,07,26)</t>
  </si>
  <si>
    <t xml:space="preserve"> 030  Сосиски Вязанка Молочные, Вязанка вискофан МГС, 0.45кг, ПОКОМ</t>
  </si>
  <si>
    <t>ВНИМАНИЕ / P003985</t>
  </si>
  <si>
    <t>1000шт под ЮТЛ (Хмель 15,07,26)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</si>
  <si>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</si>
  <si>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</si>
  <si>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</si>
  <si>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</si>
  <si>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</si>
  <si>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</si>
  <si>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</si>
  <si>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</si>
  <si>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</si>
  <si>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</si>
  <si>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</si>
  <si>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</si>
  <si>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</si>
  <si>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</si>
  <si>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</si>
  <si>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</si>
  <si>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</si>
  <si>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</si>
  <si>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</si>
  <si>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</si>
  <si>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</si>
  <si>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</si>
  <si>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</si>
  <si>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</si>
  <si>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</si>
  <si>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</si>
  <si>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</si>
  <si>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</si>
  <si>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</si>
  <si>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</si>
  <si>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</si>
  <si>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</si>
  <si>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</si>
  <si>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</si>
  <si>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</si>
  <si>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</si>
  <si>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нужно увеличить продажи / 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</si>
  <si>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</si>
  <si>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</si>
  <si>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</si>
  <si>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</si>
  <si>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</si>
  <si>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</si>
  <si>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</si>
  <si>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</si>
  <si>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</si>
  <si>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</si>
  <si>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>нужно увеличить продажи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</si>
  <si>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</si>
  <si>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</si>
  <si>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</si>
  <si>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</si>
  <si>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</si>
  <si>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</si>
  <si>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</si>
  <si>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</si>
  <si>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</si>
  <si>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</si>
  <si>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</si>
  <si>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</si>
  <si>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</si>
  <si>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</si>
  <si>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</si>
  <si>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</si>
  <si>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</si>
  <si>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</si>
  <si>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</si>
  <si>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</si>
  <si>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</si>
  <si>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</si>
  <si>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</si>
  <si>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</si>
  <si>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</si>
  <si>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</si>
  <si>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</si>
  <si>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</si>
  <si>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</si>
  <si>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</si>
  <si>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</si>
  <si>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</si>
  <si>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</si>
  <si>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</si>
  <si>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</si>
  <si>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</si>
  <si>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</si>
  <si>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>нужно увеличить продажи!!!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</si>
  <si>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</si>
  <si>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</si>
  <si>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</si>
  <si>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</si>
  <si>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</si>
  <si>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</si>
  <si>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</si>
  <si>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</si>
  <si>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</si>
  <si>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</si>
  <si>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</si>
  <si>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</si>
  <si>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</si>
  <si>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снизить запас / P003883</t>
  </si>
  <si>
    <t>убрать из заказа (Рекуто 15,07,26)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</si>
  <si>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</si>
  <si>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</si>
  <si>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</si>
  <si>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</si>
  <si>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</si>
  <si>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</si>
  <si>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</si>
  <si>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</si>
  <si>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</si>
  <si>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ВНИМАНИЕ / P004923</t>
  </si>
  <si>
    <t>500шт под ЮТЛ (Хмель 15,07,26)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</si>
  <si>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</si>
  <si>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</si>
  <si>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</si>
  <si>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</si>
  <si>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</si>
  <si>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</si>
  <si>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</si>
  <si>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</si>
  <si>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</si>
  <si>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</si>
  <si>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</si>
  <si>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</si>
  <si>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</si>
  <si>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</si>
  <si>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</si>
  <si>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</si>
  <si>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</si>
  <si>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</si>
  <si>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</si>
  <si>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</si>
  <si>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</si>
  <si>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</si>
  <si>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</si>
  <si>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</si>
  <si>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</si>
  <si>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</si>
  <si>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</si>
  <si>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</si>
  <si>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</si>
  <si>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</si>
  <si>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</si>
  <si>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</si>
  <si>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</si>
  <si>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</si>
  <si>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</si>
  <si>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</si>
  <si>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</si>
  <si>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</si>
  <si>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</si>
  <si>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</si>
  <si>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</si>
  <si>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</si>
  <si>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</si>
  <si>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</si>
  <si>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</si>
  <si>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</si>
  <si>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</si>
  <si>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</si>
  <si>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</si>
  <si>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</si>
  <si>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</si>
  <si>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</si>
  <si>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</si>
  <si>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</si>
  <si>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</si>
  <si>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</si>
  <si>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</si>
  <si>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</si>
  <si>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</si>
  <si>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</si>
  <si>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</si>
  <si>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</si>
  <si>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</si>
  <si>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</si>
  <si>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</si>
  <si>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</si>
  <si>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</si>
  <si>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</si>
  <si>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</si>
  <si>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</si>
  <si>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</si>
  <si>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</si>
  <si>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</si>
  <si>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</si>
  <si>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</si>
  <si>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</si>
  <si>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</si>
  <si>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</si>
  <si>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</si>
  <si>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</si>
  <si>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P004212</t>
  </si>
  <si>
    <t>нужно увеличить продажи!!! / 08,07,26 +350кг (задача от завода для ТК / просили 450кг)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</si>
  <si>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</si>
  <si>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</si>
  <si>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</si>
  <si>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</si>
  <si>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нужно увеличить продажи!!! / 08,07,26 +250кг (задача от завода для ТК / просили 350кг)</t>
  </si>
  <si>
    <t xml:space="preserve"> 597  Колбаса Классическая ТМ Особый рецепт в оболочке полиамид ВЕС. ПОКОМ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</si>
  <si>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</si>
  <si>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</si>
  <si>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</si>
  <si>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</si>
  <si>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</si>
  <si>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</si>
  <si>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</si>
  <si>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</si>
  <si>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</si>
  <si>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</si>
  <si>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</si>
  <si>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</si>
  <si>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3500кг БРАК!!!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</si>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</sst>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theme="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7" borderId="1" xfId="1" applyNumberFormat="1" applyFont="1" applyFill="1"/>
    <xf numFmtId="164" fontId="4" fillId="8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8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50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3" width="7" customWidth="1"/>
    <col min="14" max="15" width="6.140625" customWidth="1"/>
    <col min="16" max="16" width="7" customWidth="1"/>
    <col min="17" max="17" width="6.140625" customWidth="1"/>
    <col min="18" max="18" width="7" customWidth="1"/>
    <col min="19" max="22" width="6.42578125" customWidth="1"/>
    <col min="23" max="23" width="7" customWidth="1"/>
    <col min="24" max="25" width="6.28515625" customWidth="1"/>
    <col min="26" max="27" width="7" customWidth="1"/>
    <col min="28" max="29" width="5" customWidth="1"/>
    <col min="30" max="37" width="7" customWidth="1"/>
    <col min="38" max="38" width="27.85546875" customWidth="1"/>
    <col min="39" max="39" width="7" customWidth="1"/>
    <col min="40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15</v>
      </c>
      <c r="AA3" s="3" t="s">
        <v>267</v>
      </c>
      <c r="AB3" s="2" t="s">
        <v>16</v>
      </c>
      <c r="AC3" s="2" t="s">
        <v>17</v>
      </c>
      <c r="AD3" s="2" t="s">
        <v>18</v>
      </c>
      <c r="AE3" s="2" t="s">
        <v>18</v>
      </c>
      <c r="AF3" s="2" t="s">
        <v>18</v>
      </c>
      <c r="AG3" s="2" t="s">
        <v>18</v>
      </c>
      <c r="AH3" s="2" t="s">
        <v>18</v>
      </c>
      <c r="AI3" s="2" t="s">
        <v>18</v>
      </c>
      <c r="AJ3" s="2" t="s">
        <v>18</v>
      </c>
      <c r="AK3" s="2" t="s">
        <v>18</v>
      </c>
      <c r="AL3" s="2" t="s">
        <v>19</v>
      </c>
      <c r="AM3" s="2" t="s">
        <v>20</v>
      </c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23</v>
      </c>
      <c r="Q4" s="1" t="s">
        <v>24</v>
      </c>
      <c r="R4" s="1" t="s">
        <v>25</v>
      </c>
      <c r="S4" s="1" t="s">
        <v>26</v>
      </c>
      <c r="T4" s="19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 t="s">
        <v>32</v>
      </c>
      <c r="Z4" s="1" t="s">
        <v>30</v>
      </c>
      <c r="AA4" s="1" t="s">
        <v>268</v>
      </c>
      <c r="AB4" s="1"/>
      <c r="AC4" s="1"/>
      <c r="AD4" s="1" t="s">
        <v>33</v>
      </c>
      <c r="AE4" s="1" t="s">
        <v>22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SUM(E6:E498)</f>
        <v>60971.721999999994</v>
      </c>
      <c r="F5" s="4">
        <f>SUM(F6:F498)</f>
        <v>98798.671999999991</v>
      </c>
      <c r="G5" s="7"/>
      <c r="H5" s="1"/>
      <c r="I5" s="1"/>
      <c r="J5" s="1"/>
      <c r="K5" s="4">
        <f t="shared" ref="K5:AA5" si="0">SUM(K6:K498)</f>
        <v>83656.510000000068</v>
      </c>
      <c r="L5" s="4">
        <f t="shared" si="0"/>
        <v>-22684.787999999993</v>
      </c>
      <c r="M5" s="4">
        <f t="shared" si="0"/>
        <v>58669.996999999996</v>
      </c>
      <c r="N5" s="4">
        <f t="shared" si="0"/>
        <v>2301.7250000000004</v>
      </c>
      <c r="O5" s="4">
        <f t="shared" si="0"/>
        <v>-3500</v>
      </c>
      <c r="P5" s="4">
        <f t="shared" si="0"/>
        <v>21673.42295480047</v>
      </c>
      <c r="Q5" s="4">
        <f t="shared" si="0"/>
        <v>4000</v>
      </c>
      <c r="R5" s="4">
        <f t="shared" si="0"/>
        <v>15680.571047421266</v>
      </c>
      <c r="S5" s="4">
        <f t="shared" si="0"/>
        <v>-4381</v>
      </c>
      <c r="T5" s="4">
        <f t="shared" si="0"/>
        <v>4000</v>
      </c>
      <c r="U5" s="4">
        <f t="shared" si="0"/>
        <v>1700</v>
      </c>
      <c r="V5" s="4">
        <f t="shared" si="0"/>
        <v>-3234.6</v>
      </c>
      <c r="W5" s="4">
        <f t="shared" si="0"/>
        <v>22072.497033999993</v>
      </c>
      <c r="X5" s="4">
        <f t="shared" si="0"/>
        <v>4563</v>
      </c>
      <c r="Y5" s="4">
        <f t="shared" si="0"/>
        <v>4230</v>
      </c>
      <c r="Z5" s="4">
        <f t="shared" si="0"/>
        <v>11733.999399999999</v>
      </c>
      <c r="AA5" s="4">
        <f t="shared" si="0"/>
        <v>3173.5071856848044</v>
      </c>
      <c r="AB5" s="1"/>
      <c r="AC5" s="1"/>
      <c r="AD5" s="4">
        <f t="shared" ref="AD5:AK5" si="1">SUM(AD6:AD498)</f>
        <v>14138.268400000004</v>
      </c>
      <c r="AE5" s="4">
        <f t="shared" si="1"/>
        <v>14538.5352</v>
      </c>
      <c r="AF5" s="4">
        <f t="shared" si="1"/>
        <v>14055.493399999999</v>
      </c>
      <c r="AG5" s="4">
        <f t="shared" si="1"/>
        <v>13132.7868</v>
      </c>
      <c r="AH5" s="4">
        <f t="shared" si="1"/>
        <v>13790.886000000006</v>
      </c>
      <c r="AI5" s="4">
        <f t="shared" si="1"/>
        <v>14807.386599999994</v>
      </c>
      <c r="AJ5" s="4">
        <f t="shared" si="1"/>
        <v>14449.542000000005</v>
      </c>
      <c r="AK5" s="4">
        <f t="shared" si="1"/>
        <v>14334.903199999997</v>
      </c>
      <c r="AL5" s="1"/>
      <c r="AM5" s="4">
        <f>SUM(AM6:AM498)</f>
        <v>2494.7898877139237</v>
      </c>
      <c r="AN5" s="1"/>
      <c r="AO5" s="1"/>
      <c r="AP5" s="1"/>
      <c r="AQ5" s="1"/>
      <c r="AR5" s="1"/>
    </row>
    <row r="6" spans="1:44" x14ac:dyDescent="0.25">
      <c r="A6" s="1" t="s">
        <v>40</v>
      </c>
      <c r="B6" s="1" t="s">
        <v>41</v>
      </c>
      <c r="C6" s="1">
        <v>1922.7329999999999</v>
      </c>
      <c r="D6" s="1">
        <v>3141.42</v>
      </c>
      <c r="E6" s="1">
        <v>2347.1930000000002</v>
      </c>
      <c r="F6" s="1">
        <v>2148.0569999999998</v>
      </c>
      <c r="G6" s="7">
        <v>1</v>
      </c>
      <c r="H6" s="1">
        <v>50</v>
      </c>
      <c r="I6" s="1" t="s">
        <v>42</v>
      </c>
      <c r="J6" s="1"/>
      <c r="K6" s="1">
        <v>2860.2440000000001</v>
      </c>
      <c r="L6" s="1">
        <f t="shared" ref="L6:L37" si="2">E6-K6</f>
        <v>-513.05099999999993</v>
      </c>
      <c r="M6" s="1">
        <f>E6-N6</f>
        <v>1937.2490000000003</v>
      </c>
      <c r="N6" s="1">
        <v>409.94400000000002</v>
      </c>
      <c r="O6" s="1"/>
      <c r="P6" s="1">
        <v>1462.6171972223999</v>
      </c>
      <c r="Q6" s="1"/>
      <c r="R6" s="1">
        <v>1486.2077971776</v>
      </c>
      <c r="S6" s="1"/>
      <c r="T6" s="1"/>
      <c r="U6" s="1"/>
      <c r="V6" s="1"/>
      <c r="W6" s="1">
        <v>138.62062799999981</v>
      </c>
      <c r="X6" s="1"/>
      <c r="Y6" s="1"/>
      <c r="Z6" s="1">
        <f>M6/5</f>
        <v>387.44980000000004</v>
      </c>
      <c r="AA6" s="5"/>
      <c r="AB6" s="1">
        <f>(F6+O6+P6+Q6+R6+S6+T6+U6+V6+W6+X6+Y6+AA6)/Z6</f>
        <v>13.512725061156306</v>
      </c>
      <c r="AC6" s="1">
        <f>(F6+O6+P6+Q6+R6+S6+T6+U6+V6+W6+X6+Y6)/Z6</f>
        <v>13.512725061156306</v>
      </c>
      <c r="AD6" s="1">
        <v>475.30520000000001</v>
      </c>
      <c r="AE6" s="1">
        <v>548.64239999999995</v>
      </c>
      <c r="AF6" s="1">
        <v>471.7946</v>
      </c>
      <c r="AG6" s="1">
        <v>438.9076</v>
      </c>
      <c r="AH6" s="1">
        <v>507.63760000000002</v>
      </c>
      <c r="AI6" s="1">
        <v>550.45600000000002</v>
      </c>
      <c r="AJ6" s="1">
        <v>574.12580000000003</v>
      </c>
      <c r="AK6" s="1">
        <v>568.09579999999994</v>
      </c>
      <c r="AL6" s="1"/>
      <c r="AM6" s="1">
        <f t="shared" ref="AM6:AM37" si="3">G6*AA6</f>
        <v>0</v>
      </c>
      <c r="AN6" s="1"/>
      <c r="AO6" s="1"/>
      <c r="AP6" s="1"/>
      <c r="AQ6" s="1"/>
      <c r="AR6" s="1"/>
    </row>
    <row r="7" spans="1:44" x14ac:dyDescent="0.25">
      <c r="A7" s="1" t="s">
        <v>43</v>
      </c>
      <c r="B7" s="1" t="s">
        <v>41</v>
      </c>
      <c r="C7" s="1">
        <v>803.14099999999996</v>
      </c>
      <c r="D7" s="1">
        <v>1303.702</v>
      </c>
      <c r="E7" s="1">
        <v>767.72</v>
      </c>
      <c r="F7" s="1">
        <v>1255.4929999999999</v>
      </c>
      <c r="G7" s="7">
        <v>1</v>
      </c>
      <c r="H7" s="1">
        <v>45</v>
      </c>
      <c r="I7" s="1" t="s">
        <v>44</v>
      </c>
      <c r="J7" s="1"/>
      <c r="K7" s="1">
        <v>988.6</v>
      </c>
      <c r="L7" s="1">
        <f t="shared" si="2"/>
        <v>-220.88</v>
      </c>
      <c r="M7" s="1">
        <f t="shared" ref="M7:M70" si="4">E7-N7</f>
        <v>767.72</v>
      </c>
      <c r="N7" s="1"/>
      <c r="O7" s="1"/>
      <c r="P7" s="1">
        <v>373.73589619910399</v>
      </c>
      <c r="Q7" s="1"/>
      <c r="R7" s="1">
        <v>379.7638945248961</v>
      </c>
      <c r="S7" s="1"/>
      <c r="T7" s="1"/>
      <c r="U7" s="1"/>
      <c r="V7" s="1"/>
      <c r="W7" s="1">
        <v>227.7324500000002</v>
      </c>
      <c r="X7" s="1"/>
      <c r="Y7" s="1"/>
      <c r="Z7" s="1">
        <f t="shared" ref="Z7:Z70" si="5">M7/5</f>
        <v>153.54400000000001</v>
      </c>
      <c r="AA7" s="5"/>
      <c r="AB7" s="1">
        <f t="shared" ref="AB7:AB70" si="6">(F7+O7+P7+Q7+R7+S7+T7+U7+V7+W7+X7+Y7+AA7)/Z7</f>
        <v>14.567324289610797</v>
      </c>
      <c r="AC7" s="1">
        <f t="shared" ref="AC7:AC70" si="7">(F7+O7+P7+Q7+R7+S7+T7+U7+V7+W7+X7+Y7)/Z7</f>
        <v>14.567324289610797</v>
      </c>
      <c r="AD7" s="1">
        <v>198.9838</v>
      </c>
      <c r="AE7" s="1">
        <v>211.20099999999999</v>
      </c>
      <c r="AF7" s="1">
        <v>193.32560000000001</v>
      </c>
      <c r="AG7" s="1">
        <v>182.81979999999999</v>
      </c>
      <c r="AH7" s="1">
        <v>175.50360000000001</v>
      </c>
      <c r="AI7" s="1">
        <v>191.05959999999999</v>
      </c>
      <c r="AJ7" s="1">
        <v>216.93260000000001</v>
      </c>
      <c r="AK7" s="1">
        <v>206.46279999999999</v>
      </c>
      <c r="AL7" s="1"/>
      <c r="AM7" s="1">
        <f t="shared" si="3"/>
        <v>0</v>
      </c>
      <c r="AN7" s="1"/>
      <c r="AO7" s="1"/>
      <c r="AP7" s="1"/>
      <c r="AQ7" s="1"/>
      <c r="AR7" s="1"/>
    </row>
    <row r="8" spans="1:44" x14ac:dyDescent="0.25">
      <c r="A8" s="1" t="s">
        <v>45</v>
      </c>
      <c r="B8" s="1" t="s">
        <v>41</v>
      </c>
      <c r="C8" s="1">
        <v>1354.6859999999999</v>
      </c>
      <c r="D8" s="1">
        <v>4992.2380000000003</v>
      </c>
      <c r="E8" s="1">
        <v>2523.5819999999999</v>
      </c>
      <c r="F8" s="1">
        <v>3517.9189999999999</v>
      </c>
      <c r="G8" s="7">
        <v>1</v>
      </c>
      <c r="H8" s="1">
        <v>45</v>
      </c>
      <c r="I8" s="1" t="s">
        <v>46</v>
      </c>
      <c r="J8" s="1"/>
      <c r="K8" s="1">
        <v>3340.482</v>
      </c>
      <c r="L8" s="1">
        <f t="shared" si="2"/>
        <v>-816.90000000000009</v>
      </c>
      <c r="M8" s="1">
        <f t="shared" si="4"/>
        <v>2523.5819999999999</v>
      </c>
      <c r="N8" s="1"/>
      <c r="O8" s="1"/>
      <c r="P8" s="1">
        <v>998.37705574111988</v>
      </c>
      <c r="Q8" s="1"/>
      <c r="R8" s="1">
        <v>1014.47991147888</v>
      </c>
      <c r="S8" s="1"/>
      <c r="T8" s="1"/>
      <c r="U8" s="1"/>
      <c r="V8" s="1"/>
      <c r="W8" s="1">
        <v>1013.029752000002</v>
      </c>
      <c r="X8" s="1"/>
      <c r="Y8" s="1">
        <v>500</v>
      </c>
      <c r="Z8" s="1">
        <f t="shared" si="5"/>
        <v>504.71639999999996</v>
      </c>
      <c r="AA8" s="5"/>
      <c r="AB8" s="1">
        <f t="shared" si="6"/>
        <v>13.955967587381751</v>
      </c>
      <c r="AC8" s="1">
        <f t="shared" si="7"/>
        <v>13.955967587381751</v>
      </c>
      <c r="AD8" s="1">
        <v>603.90640000000008</v>
      </c>
      <c r="AE8" s="1">
        <v>611.28559999999993</v>
      </c>
      <c r="AF8" s="1">
        <v>564.65660000000003</v>
      </c>
      <c r="AG8" s="1">
        <v>559.11500000000001</v>
      </c>
      <c r="AH8" s="1">
        <v>520.86239999999998</v>
      </c>
      <c r="AI8" s="1">
        <v>595.93939999999998</v>
      </c>
      <c r="AJ8" s="1">
        <v>645.5598</v>
      </c>
      <c r="AK8" s="1">
        <v>584.85239999999999</v>
      </c>
      <c r="AL8" s="1"/>
      <c r="AM8" s="1">
        <f t="shared" si="3"/>
        <v>0</v>
      </c>
      <c r="AN8" s="1"/>
      <c r="AO8" s="1"/>
      <c r="AP8" s="1"/>
      <c r="AQ8" s="1"/>
      <c r="AR8" s="1"/>
    </row>
    <row r="9" spans="1:44" x14ac:dyDescent="0.25">
      <c r="A9" s="9" t="s">
        <v>47</v>
      </c>
      <c r="B9" s="1" t="s">
        <v>48</v>
      </c>
      <c r="C9" s="1"/>
      <c r="D9" s="1"/>
      <c r="E9" s="1"/>
      <c r="F9" s="1"/>
      <c r="G9" s="7">
        <v>0.4</v>
      </c>
      <c r="H9" s="1">
        <v>50</v>
      </c>
      <c r="I9" s="1" t="s">
        <v>49</v>
      </c>
      <c r="J9" s="1"/>
      <c r="K9" s="1"/>
      <c r="L9" s="1">
        <f t="shared" si="2"/>
        <v>0</v>
      </c>
      <c r="M9" s="1">
        <f t="shared" si="4"/>
        <v>0</v>
      </c>
      <c r="N9" s="1"/>
      <c r="O9" s="1"/>
      <c r="P9" s="1">
        <v>15</v>
      </c>
      <c r="Q9" s="1"/>
      <c r="R9" s="1"/>
      <c r="S9" s="1"/>
      <c r="T9" s="1"/>
      <c r="U9" s="1"/>
      <c r="V9" s="1"/>
      <c r="W9" s="1">
        <v>0</v>
      </c>
      <c r="X9" s="1"/>
      <c r="Y9" s="1"/>
      <c r="Z9" s="1">
        <f t="shared" si="5"/>
        <v>0</v>
      </c>
      <c r="AA9" s="5"/>
      <c r="AB9" s="1" t="e">
        <f t="shared" si="6"/>
        <v>#DIV/0!</v>
      </c>
      <c r="AC9" s="1" t="e">
        <f t="shared" si="7"/>
        <v>#DIV/0!</v>
      </c>
      <c r="AD9" s="1">
        <v>0</v>
      </c>
      <c r="AE9" s="1">
        <v>0.6</v>
      </c>
      <c r="AF9" s="1">
        <v>0.6</v>
      </c>
      <c r="AG9" s="1">
        <v>0</v>
      </c>
      <c r="AH9" s="1">
        <v>0</v>
      </c>
      <c r="AI9" s="1">
        <v>0.2</v>
      </c>
      <c r="AJ9" s="1">
        <v>4.2</v>
      </c>
      <c r="AK9" s="1">
        <v>5.8</v>
      </c>
      <c r="AL9" s="1" t="s">
        <v>50</v>
      </c>
      <c r="AM9" s="1">
        <f t="shared" si="3"/>
        <v>0</v>
      </c>
      <c r="AN9" s="1"/>
      <c r="AO9" s="1"/>
      <c r="AP9" s="1"/>
      <c r="AQ9" s="1"/>
      <c r="AR9" s="1"/>
    </row>
    <row r="10" spans="1:44" x14ac:dyDescent="0.25">
      <c r="A10" s="1" t="s">
        <v>51</v>
      </c>
      <c r="B10" s="1" t="s">
        <v>48</v>
      </c>
      <c r="C10" s="1">
        <v>2701</v>
      </c>
      <c r="D10" s="1">
        <v>2179</v>
      </c>
      <c r="E10" s="1">
        <v>2818</v>
      </c>
      <c r="F10" s="1">
        <v>1357</v>
      </c>
      <c r="G10" s="7">
        <v>0.45</v>
      </c>
      <c r="H10" s="1">
        <v>45</v>
      </c>
      <c r="I10" s="13" t="s">
        <v>52</v>
      </c>
      <c r="J10" s="1"/>
      <c r="K10" s="1">
        <v>3757</v>
      </c>
      <c r="L10" s="1">
        <f t="shared" si="2"/>
        <v>-939</v>
      </c>
      <c r="M10" s="1">
        <f t="shared" si="4"/>
        <v>2818</v>
      </c>
      <c r="N10" s="1"/>
      <c r="O10" s="1"/>
      <c r="P10" s="1">
        <v>1000</v>
      </c>
      <c r="Q10" s="1"/>
      <c r="R10" s="1"/>
      <c r="S10" s="1"/>
      <c r="T10" s="1"/>
      <c r="U10" s="1"/>
      <c r="V10" s="1"/>
      <c r="W10" s="1">
        <v>1000</v>
      </c>
      <c r="X10" s="1">
        <v>500</v>
      </c>
      <c r="Y10" s="1">
        <v>1000</v>
      </c>
      <c r="Z10" s="1">
        <f t="shared" si="5"/>
        <v>563.6</v>
      </c>
      <c r="AA10" s="5"/>
      <c r="AB10" s="1">
        <f t="shared" si="6"/>
        <v>8.6178140525195168</v>
      </c>
      <c r="AC10" s="1">
        <f t="shared" si="7"/>
        <v>8.6178140525195168</v>
      </c>
      <c r="AD10" s="1">
        <v>673.6</v>
      </c>
      <c r="AE10" s="1">
        <v>380.8</v>
      </c>
      <c r="AF10" s="1">
        <v>376.4</v>
      </c>
      <c r="AG10" s="1">
        <v>381.8</v>
      </c>
      <c r="AH10" s="1">
        <v>353.6</v>
      </c>
      <c r="AI10" s="1">
        <v>327.60000000000002</v>
      </c>
      <c r="AJ10" s="1">
        <v>392</v>
      </c>
      <c r="AK10" s="1">
        <v>376.6</v>
      </c>
      <c r="AL10" s="1" t="s">
        <v>53</v>
      </c>
      <c r="AM10" s="1">
        <f t="shared" si="3"/>
        <v>0</v>
      </c>
      <c r="AN10" s="1"/>
      <c r="AO10" s="1"/>
      <c r="AP10" s="1"/>
      <c r="AQ10" s="1"/>
      <c r="AR10" s="1"/>
    </row>
    <row r="11" spans="1:44" x14ac:dyDescent="0.25">
      <c r="A11" s="1" t="s">
        <v>54</v>
      </c>
      <c r="B11" s="1" t="s">
        <v>48</v>
      </c>
      <c r="C11" s="1">
        <v>1791</v>
      </c>
      <c r="D11" s="1">
        <v>6933</v>
      </c>
      <c r="E11" s="1">
        <v>2476</v>
      </c>
      <c r="F11" s="1">
        <v>5310</v>
      </c>
      <c r="G11" s="7">
        <v>0.45</v>
      </c>
      <c r="H11" s="1">
        <v>45</v>
      </c>
      <c r="I11" s="1" t="s">
        <v>55</v>
      </c>
      <c r="J11" s="1"/>
      <c r="K11" s="1">
        <v>3807</v>
      </c>
      <c r="L11" s="1">
        <f t="shared" si="2"/>
        <v>-1331</v>
      </c>
      <c r="M11" s="1">
        <f t="shared" si="4"/>
        <v>2476</v>
      </c>
      <c r="N11" s="1"/>
      <c r="O11" s="1"/>
      <c r="P11" s="1">
        <v>649.09806342206957</v>
      </c>
      <c r="Q11" s="1"/>
      <c r="R11" s="1">
        <v>659.56738702565144</v>
      </c>
      <c r="S11" s="1"/>
      <c r="T11" s="1"/>
      <c r="U11" s="1"/>
      <c r="V11" s="1"/>
      <c r="W11" s="1">
        <v>823.24719999999888</v>
      </c>
      <c r="X11" s="1">
        <v>500</v>
      </c>
      <c r="Y11" s="1"/>
      <c r="Z11" s="1">
        <f t="shared" si="5"/>
        <v>495.2</v>
      </c>
      <c r="AA11" s="5"/>
      <c r="AB11" s="1">
        <f t="shared" si="6"/>
        <v>16.037788066332229</v>
      </c>
      <c r="AC11" s="1">
        <f t="shared" si="7"/>
        <v>16.037788066332229</v>
      </c>
      <c r="AD11" s="1">
        <v>660.46</v>
      </c>
      <c r="AE11" s="1">
        <v>717.66000000000008</v>
      </c>
      <c r="AF11" s="1">
        <v>698.8</v>
      </c>
      <c r="AG11" s="1">
        <v>602.20000000000005</v>
      </c>
      <c r="AH11" s="1">
        <v>550.4</v>
      </c>
      <c r="AI11" s="1">
        <v>621.79999999999995</v>
      </c>
      <c r="AJ11" s="1">
        <v>638.6</v>
      </c>
      <c r="AK11" s="1">
        <v>583.79999999999995</v>
      </c>
      <c r="AL11" s="1"/>
      <c r="AM11" s="1">
        <f t="shared" si="3"/>
        <v>0</v>
      </c>
      <c r="AN11" s="1"/>
      <c r="AO11" s="1"/>
      <c r="AP11" s="1"/>
      <c r="AQ11" s="1"/>
      <c r="AR11" s="1"/>
    </row>
    <row r="12" spans="1:44" x14ac:dyDescent="0.25">
      <c r="A12" s="1" t="s">
        <v>56</v>
      </c>
      <c r="B12" s="1" t="s">
        <v>48</v>
      </c>
      <c r="C12" s="1">
        <v>63</v>
      </c>
      <c r="D12" s="1">
        <v>108</v>
      </c>
      <c r="E12" s="1">
        <v>63</v>
      </c>
      <c r="F12" s="1">
        <v>105</v>
      </c>
      <c r="G12" s="7">
        <v>0.17</v>
      </c>
      <c r="H12" s="1">
        <v>180</v>
      </c>
      <c r="I12" s="1" t="s">
        <v>57</v>
      </c>
      <c r="J12" s="1"/>
      <c r="K12" s="1">
        <v>117</v>
      </c>
      <c r="L12" s="1">
        <f t="shared" si="2"/>
        <v>-54</v>
      </c>
      <c r="M12" s="1">
        <f t="shared" si="4"/>
        <v>63</v>
      </c>
      <c r="N12" s="1"/>
      <c r="O12" s="1"/>
      <c r="P12" s="1">
        <v>109.8</v>
      </c>
      <c r="Q12" s="1"/>
      <c r="R12" s="1"/>
      <c r="S12" s="1"/>
      <c r="T12" s="1"/>
      <c r="U12" s="1"/>
      <c r="V12" s="1"/>
      <c r="W12" s="1">
        <v>10</v>
      </c>
      <c r="X12" s="1"/>
      <c r="Y12" s="1"/>
      <c r="Z12" s="1">
        <f t="shared" si="5"/>
        <v>12.6</v>
      </c>
      <c r="AA12" s="5"/>
      <c r="AB12" s="1">
        <f t="shared" si="6"/>
        <v>17.841269841269842</v>
      </c>
      <c r="AC12" s="1">
        <f t="shared" si="7"/>
        <v>17.841269841269842</v>
      </c>
      <c r="AD12" s="1">
        <v>17.2</v>
      </c>
      <c r="AE12" s="1">
        <v>21</v>
      </c>
      <c r="AF12" s="1">
        <v>14.4</v>
      </c>
      <c r="AG12" s="1">
        <v>13.6</v>
      </c>
      <c r="AH12" s="1">
        <v>11.2</v>
      </c>
      <c r="AI12" s="1">
        <v>12.6</v>
      </c>
      <c r="AJ12" s="1">
        <v>17</v>
      </c>
      <c r="AK12" s="1">
        <v>16.2</v>
      </c>
      <c r="AL12" s="1"/>
      <c r="AM12" s="1">
        <f t="shared" si="3"/>
        <v>0</v>
      </c>
      <c r="AN12" s="1"/>
      <c r="AO12" s="1"/>
      <c r="AP12" s="1"/>
      <c r="AQ12" s="1"/>
      <c r="AR12" s="1"/>
    </row>
    <row r="13" spans="1:44" x14ac:dyDescent="0.25">
      <c r="A13" s="1" t="s">
        <v>58</v>
      </c>
      <c r="B13" s="1" t="s">
        <v>48</v>
      </c>
      <c r="C13" s="1">
        <v>18</v>
      </c>
      <c r="D13" s="1">
        <v>2</v>
      </c>
      <c r="E13" s="1">
        <v>13</v>
      </c>
      <c r="F13" s="1">
        <v>3</v>
      </c>
      <c r="G13" s="7">
        <v>0.3</v>
      </c>
      <c r="H13" s="1">
        <v>40</v>
      </c>
      <c r="I13" s="1" t="s">
        <v>59</v>
      </c>
      <c r="J13" s="1"/>
      <c r="K13" s="1">
        <v>50</v>
      </c>
      <c r="L13" s="1">
        <f t="shared" si="2"/>
        <v>-37</v>
      </c>
      <c r="M13" s="1">
        <f t="shared" si="4"/>
        <v>13</v>
      </c>
      <c r="N13" s="1"/>
      <c r="O13" s="1"/>
      <c r="P13" s="1">
        <v>84.8</v>
      </c>
      <c r="Q13" s="1"/>
      <c r="R13" s="1"/>
      <c r="S13" s="1"/>
      <c r="T13" s="1"/>
      <c r="U13" s="1"/>
      <c r="V13" s="1"/>
      <c r="W13" s="1">
        <v>26.7</v>
      </c>
      <c r="X13" s="1"/>
      <c r="Y13" s="1"/>
      <c r="Z13" s="1">
        <f t="shared" si="5"/>
        <v>2.6</v>
      </c>
      <c r="AA13" s="5"/>
      <c r="AB13" s="1">
        <f t="shared" si="6"/>
        <v>44.03846153846154</v>
      </c>
      <c r="AC13" s="1">
        <f t="shared" si="7"/>
        <v>44.03846153846154</v>
      </c>
      <c r="AD13" s="1">
        <v>9.4</v>
      </c>
      <c r="AE13" s="1">
        <v>13.4</v>
      </c>
      <c r="AF13" s="1">
        <v>4.4000000000000004</v>
      </c>
      <c r="AG13" s="1">
        <v>0.4</v>
      </c>
      <c r="AH13" s="1">
        <v>5.8</v>
      </c>
      <c r="AI13" s="1">
        <v>7</v>
      </c>
      <c r="AJ13" s="1">
        <v>1.6</v>
      </c>
      <c r="AK13" s="1">
        <v>-0.4</v>
      </c>
      <c r="AL13" s="1"/>
      <c r="AM13" s="1">
        <f t="shared" si="3"/>
        <v>0</v>
      </c>
      <c r="AN13" s="1"/>
      <c r="AO13" s="1"/>
      <c r="AP13" s="1"/>
      <c r="AQ13" s="1"/>
      <c r="AR13" s="1"/>
    </row>
    <row r="14" spans="1:44" x14ac:dyDescent="0.25">
      <c r="A14" s="1" t="s">
        <v>60</v>
      </c>
      <c r="B14" s="1" t="s">
        <v>48</v>
      </c>
      <c r="C14" s="1">
        <v>18</v>
      </c>
      <c r="D14" s="1">
        <v>832</v>
      </c>
      <c r="E14" s="1">
        <v>81</v>
      </c>
      <c r="F14" s="1">
        <v>732</v>
      </c>
      <c r="G14" s="7">
        <v>0.17</v>
      </c>
      <c r="H14" s="1">
        <v>180</v>
      </c>
      <c r="I14" s="1" t="s">
        <v>61</v>
      </c>
      <c r="J14" s="1"/>
      <c r="K14" s="1">
        <v>232</v>
      </c>
      <c r="L14" s="1">
        <f t="shared" si="2"/>
        <v>-151</v>
      </c>
      <c r="M14" s="1">
        <f t="shared" si="4"/>
        <v>81</v>
      </c>
      <c r="N14" s="1"/>
      <c r="O14" s="1"/>
      <c r="P14" s="1">
        <v>55.200000000000159</v>
      </c>
      <c r="Q14" s="1"/>
      <c r="R14" s="1"/>
      <c r="S14" s="1"/>
      <c r="T14" s="1"/>
      <c r="U14" s="1"/>
      <c r="V14" s="1"/>
      <c r="W14" s="1">
        <v>0</v>
      </c>
      <c r="X14" s="1"/>
      <c r="Y14" s="1"/>
      <c r="Z14" s="1">
        <f t="shared" si="5"/>
        <v>16.2</v>
      </c>
      <c r="AA14" s="5"/>
      <c r="AB14" s="1">
        <f t="shared" si="6"/>
        <v>48.592592592592602</v>
      </c>
      <c r="AC14" s="1">
        <f t="shared" si="7"/>
        <v>48.592592592592602</v>
      </c>
      <c r="AD14" s="1">
        <v>29.4</v>
      </c>
      <c r="AE14" s="1">
        <v>74.2</v>
      </c>
      <c r="AF14" s="1">
        <v>73.8</v>
      </c>
      <c r="AG14" s="1">
        <v>37.6</v>
      </c>
      <c r="AH14" s="1">
        <v>35.200000000000003</v>
      </c>
      <c r="AI14" s="1">
        <v>46.2</v>
      </c>
      <c r="AJ14" s="1">
        <v>49.6</v>
      </c>
      <c r="AK14" s="1">
        <v>43.2</v>
      </c>
      <c r="AL14" s="1"/>
      <c r="AM14" s="1">
        <f t="shared" si="3"/>
        <v>0</v>
      </c>
      <c r="AN14" s="1"/>
      <c r="AO14" s="1"/>
      <c r="AP14" s="1"/>
      <c r="AQ14" s="1"/>
      <c r="AR14" s="1"/>
    </row>
    <row r="15" spans="1:44" x14ac:dyDescent="0.25">
      <c r="A15" s="1" t="s">
        <v>62</v>
      </c>
      <c r="B15" s="1" t="s">
        <v>41</v>
      </c>
      <c r="C15" s="1">
        <v>3119.3510000000001</v>
      </c>
      <c r="D15" s="1">
        <v>5323.5410000000002</v>
      </c>
      <c r="E15" s="1">
        <v>3045.4609999999998</v>
      </c>
      <c r="F15" s="1">
        <v>5074.2049999999999</v>
      </c>
      <c r="G15" s="7">
        <v>1</v>
      </c>
      <c r="H15" s="1">
        <v>70</v>
      </c>
      <c r="I15" s="1" t="s">
        <v>63</v>
      </c>
      <c r="J15" s="1"/>
      <c r="K15" s="1">
        <v>3810.7550000000001</v>
      </c>
      <c r="L15" s="1">
        <f t="shared" si="2"/>
        <v>-765.29400000000032</v>
      </c>
      <c r="M15" s="1">
        <f t="shared" si="4"/>
        <v>3045.4609999999998</v>
      </c>
      <c r="N15" s="1"/>
      <c r="O15" s="1"/>
      <c r="P15" s="1">
        <v>650.32179464705507</v>
      </c>
      <c r="Q15" s="1"/>
      <c r="R15" s="1">
        <v>660.81085585103995</v>
      </c>
      <c r="S15" s="1"/>
      <c r="T15" s="1"/>
      <c r="U15" s="1"/>
      <c r="V15" s="1"/>
      <c r="W15" s="1">
        <v>800</v>
      </c>
      <c r="X15" s="1">
        <v>500</v>
      </c>
      <c r="Y15" s="1">
        <v>500</v>
      </c>
      <c r="Z15" s="1">
        <f t="shared" si="5"/>
        <v>609.09219999999993</v>
      </c>
      <c r="AA15" s="5"/>
      <c r="AB15" s="1">
        <f t="shared" si="6"/>
        <v>13.438585571278201</v>
      </c>
      <c r="AC15" s="1">
        <f t="shared" si="7"/>
        <v>13.438585571278201</v>
      </c>
      <c r="AD15" s="1">
        <v>717.98599999999999</v>
      </c>
      <c r="AE15" s="1">
        <v>729.06079999999997</v>
      </c>
      <c r="AF15" s="1">
        <v>733.47640000000001</v>
      </c>
      <c r="AG15" s="1">
        <v>698.62239999999997</v>
      </c>
      <c r="AH15" s="1">
        <v>743.16840000000002</v>
      </c>
      <c r="AI15" s="1">
        <v>777.8900000000001</v>
      </c>
      <c r="AJ15" s="1">
        <v>793.41980000000001</v>
      </c>
      <c r="AK15" s="1">
        <v>813.2912</v>
      </c>
      <c r="AL15" s="1"/>
      <c r="AM15" s="1">
        <f t="shared" si="3"/>
        <v>0</v>
      </c>
      <c r="AN15" s="1"/>
      <c r="AO15" s="1"/>
      <c r="AP15" s="1"/>
      <c r="AQ15" s="1"/>
      <c r="AR15" s="1"/>
    </row>
    <row r="16" spans="1:44" x14ac:dyDescent="0.25">
      <c r="A16" s="16" t="s">
        <v>64</v>
      </c>
      <c r="B16" s="1" t="s">
        <v>41</v>
      </c>
      <c r="C16" s="1">
        <v>4344.6660000000002</v>
      </c>
      <c r="D16" s="1">
        <v>2586.3760000000002</v>
      </c>
      <c r="E16" s="1">
        <v>2572.6579999999999</v>
      </c>
      <c r="F16" s="1">
        <v>4087.2020000000002</v>
      </c>
      <c r="G16" s="7">
        <v>1</v>
      </c>
      <c r="H16" s="1">
        <v>50</v>
      </c>
      <c r="I16" s="1" t="s">
        <v>65</v>
      </c>
      <c r="J16" s="1"/>
      <c r="K16" s="1">
        <v>3536.51</v>
      </c>
      <c r="L16" s="1">
        <f t="shared" si="2"/>
        <v>-963.85200000000032</v>
      </c>
      <c r="M16" s="1">
        <f t="shared" si="4"/>
        <v>2572.6579999999999</v>
      </c>
      <c r="N16" s="1"/>
      <c r="O16" s="1"/>
      <c r="P16" s="1">
        <v>924.85034467840137</v>
      </c>
      <c r="Q16" s="1"/>
      <c r="R16" s="1">
        <v>939.76728572160141</v>
      </c>
      <c r="S16" s="1">
        <v>-940</v>
      </c>
      <c r="T16" s="1"/>
      <c r="U16" s="1"/>
      <c r="V16" s="1"/>
      <c r="W16" s="1">
        <v>1226.0137919999991</v>
      </c>
      <c r="X16" s="1">
        <v>500</v>
      </c>
      <c r="Y16" s="1"/>
      <c r="Z16" s="1">
        <f t="shared" si="5"/>
        <v>514.53160000000003</v>
      </c>
      <c r="AA16" s="5"/>
      <c r="AB16" s="1">
        <f t="shared" si="6"/>
        <v>13.095081861638821</v>
      </c>
      <c r="AC16" s="1">
        <f t="shared" si="7"/>
        <v>13.095081861638821</v>
      </c>
      <c r="AD16" s="1">
        <v>650.99779999999998</v>
      </c>
      <c r="AE16" s="1">
        <v>665.4226000000001</v>
      </c>
      <c r="AF16" s="1">
        <v>618.9745999999999</v>
      </c>
      <c r="AG16" s="1">
        <v>533.11019999999996</v>
      </c>
      <c r="AH16" s="1">
        <v>718.05599999999993</v>
      </c>
      <c r="AI16" s="1">
        <v>883.88040000000001</v>
      </c>
      <c r="AJ16" s="1">
        <v>762.78340000000003</v>
      </c>
      <c r="AK16" s="1">
        <v>722.84620000000007</v>
      </c>
      <c r="AL16" s="1"/>
      <c r="AM16" s="1">
        <f t="shared" si="3"/>
        <v>0</v>
      </c>
      <c r="AN16" s="1"/>
      <c r="AO16" s="1"/>
      <c r="AP16" s="1"/>
      <c r="AQ16" s="1"/>
      <c r="AR16" s="1"/>
    </row>
    <row r="17" spans="1:44" x14ac:dyDescent="0.25">
      <c r="A17" s="1" t="s">
        <v>66</v>
      </c>
      <c r="B17" s="1" t="s">
        <v>41</v>
      </c>
      <c r="C17" s="1">
        <v>808.827</v>
      </c>
      <c r="D17" s="1">
        <v>66.594999999999999</v>
      </c>
      <c r="E17" s="1">
        <v>233.779</v>
      </c>
      <c r="F17" s="1">
        <v>575.048</v>
      </c>
      <c r="G17" s="7">
        <v>1</v>
      </c>
      <c r="H17" s="1">
        <v>60</v>
      </c>
      <c r="I17" s="1" t="s">
        <v>67</v>
      </c>
      <c r="J17" s="1"/>
      <c r="K17" s="1">
        <v>320.05</v>
      </c>
      <c r="L17" s="1">
        <f t="shared" si="2"/>
        <v>-86.271000000000015</v>
      </c>
      <c r="M17" s="1">
        <f t="shared" si="4"/>
        <v>233.779</v>
      </c>
      <c r="N17" s="1"/>
      <c r="O17" s="1"/>
      <c r="P17" s="1">
        <v>0</v>
      </c>
      <c r="Q17" s="1"/>
      <c r="R17" s="1"/>
      <c r="S17" s="1"/>
      <c r="T17" s="1"/>
      <c r="U17" s="1"/>
      <c r="V17" s="1"/>
      <c r="W17" s="1">
        <v>32.171500000000037</v>
      </c>
      <c r="X17" s="1"/>
      <c r="Y17" s="1"/>
      <c r="Z17" s="1">
        <f t="shared" si="5"/>
        <v>46.755800000000001</v>
      </c>
      <c r="AA17" s="5"/>
      <c r="AB17" s="1">
        <f t="shared" si="6"/>
        <v>12.987041179917787</v>
      </c>
      <c r="AC17" s="1">
        <f t="shared" si="7"/>
        <v>12.987041179917787</v>
      </c>
      <c r="AD17" s="1">
        <v>52.686199999999999</v>
      </c>
      <c r="AE17" s="1">
        <v>53.1126</v>
      </c>
      <c r="AF17" s="1">
        <v>49.364400000000003</v>
      </c>
      <c r="AG17" s="1">
        <v>53.144799999999996</v>
      </c>
      <c r="AH17" s="1">
        <v>67.895600000000002</v>
      </c>
      <c r="AI17" s="1">
        <v>65.342600000000004</v>
      </c>
      <c r="AJ17" s="1">
        <v>56.481399999999987</v>
      </c>
      <c r="AK17" s="1">
        <v>55.717200000000012</v>
      </c>
      <c r="AL17" s="1"/>
      <c r="AM17" s="1">
        <f t="shared" si="3"/>
        <v>0</v>
      </c>
      <c r="AN17" s="1"/>
      <c r="AO17" s="1"/>
      <c r="AP17" s="1"/>
      <c r="AQ17" s="1"/>
      <c r="AR17" s="1"/>
    </row>
    <row r="18" spans="1:44" x14ac:dyDescent="0.25">
      <c r="A18" s="1" t="s">
        <v>68</v>
      </c>
      <c r="B18" s="1" t="s">
        <v>41</v>
      </c>
      <c r="C18" s="1">
        <v>11.438000000000001</v>
      </c>
      <c r="D18" s="1">
        <v>1.079</v>
      </c>
      <c r="E18" s="1">
        <v>3.173</v>
      </c>
      <c r="F18" s="1">
        <v>7.9029999999999996</v>
      </c>
      <c r="G18" s="7">
        <v>1</v>
      </c>
      <c r="H18" s="1">
        <v>180</v>
      </c>
      <c r="I18" s="1" t="s">
        <v>69</v>
      </c>
      <c r="J18" s="1"/>
      <c r="K18" s="1">
        <v>7.65</v>
      </c>
      <c r="L18" s="1">
        <f t="shared" si="2"/>
        <v>-4.4770000000000003</v>
      </c>
      <c r="M18" s="1">
        <f t="shared" si="4"/>
        <v>3.173</v>
      </c>
      <c r="N18" s="1"/>
      <c r="O18" s="1"/>
      <c r="P18" s="1">
        <v>4</v>
      </c>
      <c r="Q18" s="1"/>
      <c r="R18" s="1"/>
      <c r="S18" s="1"/>
      <c r="T18" s="1"/>
      <c r="U18" s="1"/>
      <c r="V18" s="1"/>
      <c r="W18" s="1">
        <v>4</v>
      </c>
      <c r="X18" s="1"/>
      <c r="Y18" s="1"/>
      <c r="Z18" s="1">
        <f t="shared" si="5"/>
        <v>0.63460000000000005</v>
      </c>
      <c r="AA18" s="5"/>
      <c r="AB18" s="1">
        <f t="shared" si="6"/>
        <v>25.059880239520954</v>
      </c>
      <c r="AC18" s="1">
        <f t="shared" si="7"/>
        <v>25.059880239520954</v>
      </c>
      <c r="AD18" s="1">
        <v>1.0533999999999999</v>
      </c>
      <c r="AE18" s="1">
        <v>1.054</v>
      </c>
      <c r="AF18" s="1">
        <v>0.2838</v>
      </c>
      <c r="AG18" s="1">
        <v>6.9999999999999993E-2</v>
      </c>
      <c r="AH18" s="1">
        <v>0.49559999999999998</v>
      </c>
      <c r="AI18" s="1">
        <v>0.99740000000000006</v>
      </c>
      <c r="AJ18" s="1">
        <v>1.117</v>
      </c>
      <c r="AK18" s="1">
        <v>0.61639999999999995</v>
      </c>
      <c r="AL18" s="1"/>
      <c r="AM18" s="1">
        <f t="shared" si="3"/>
        <v>0</v>
      </c>
      <c r="AN18" s="1"/>
      <c r="AO18" s="1"/>
      <c r="AP18" s="1"/>
      <c r="AQ18" s="1"/>
      <c r="AR18" s="1"/>
    </row>
    <row r="19" spans="1:44" x14ac:dyDescent="0.25">
      <c r="A19" s="1" t="s">
        <v>70</v>
      </c>
      <c r="B19" s="1" t="s">
        <v>41</v>
      </c>
      <c r="C19" s="1">
        <v>3531.3820000000001</v>
      </c>
      <c r="D19" s="1">
        <v>7368.893</v>
      </c>
      <c r="E19" s="1">
        <v>3624.0940000000001</v>
      </c>
      <c r="F19" s="1">
        <v>6781.7420000000002</v>
      </c>
      <c r="G19" s="7">
        <v>1</v>
      </c>
      <c r="H19" s="1">
        <v>60</v>
      </c>
      <c r="I19" s="1" t="s">
        <v>71</v>
      </c>
      <c r="J19" s="1"/>
      <c r="K19" s="1">
        <v>4722.3999999999996</v>
      </c>
      <c r="L19" s="1">
        <f t="shared" si="2"/>
        <v>-1098.3059999999996</v>
      </c>
      <c r="M19" s="1">
        <f t="shared" si="4"/>
        <v>3624.0940000000001</v>
      </c>
      <c r="N19" s="1"/>
      <c r="O19" s="1"/>
      <c r="P19" s="1">
        <v>493.59247989370459</v>
      </c>
      <c r="Q19" s="1"/>
      <c r="R19" s="1">
        <v>501.55364892424819</v>
      </c>
      <c r="S19" s="1"/>
      <c r="T19" s="1"/>
      <c r="U19" s="1"/>
      <c r="V19" s="1"/>
      <c r="W19" s="1">
        <v>1064.1240119999991</v>
      </c>
      <c r="X19" s="1">
        <v>900</v>
      </c>
      <c r="Y19" s="1">
        <v>500</v>
      </c>
      <c r="Z19" s="1">
        <f t="shared" si="5"/>
        <v>724.81880000000001</v>
      </c>
      <c r="AA19" s="5"/>
      <c r="AB19" s="1">
        <f t="shared" si="6"/>
        <v>14.129065279236622</v>
      </c>
      <c r="AC19" s="1">
        <f t="shared" si="7"/>
        <v>14.129065279236622</v>
      </c>
      <c r="AD19" s="1">
        <v>877.02520000000004</v>
      </c>
      <c r="AE19" s="1">
        <v>881.83860000000004</v>
      </c>
      <c r="AF19" s="1">
        <v>955.75059999999996</v>
      </c>
      <c r="AG19" s="1">
        <v>939.14380000000006</v>
      </c>
      <c r="AH19" s="1">
        <v>972.13600000000008</v>
      </c>
      <c r="AI19" s="1">
        <v>972.09439999999995</v>
      </c>
      <c r="AJ19" s="1">
        <v>939.87340000000006</v>
      </c>
      <c r="AK19" s="1">
        <v>926.64840000000004</v>
      </c>
      <c r="AL19" s="1"/>
      <c r="AM19" s="1">
        <f t="shared" si="3"/>
        <v>0</v>
      </c>
      <c r="AN19" s="1"/>
      <c r="AO19" s="1"/>
      <c r="AP19" s="1"/>
      <c r="AQ19" s="1"/>
      <c r="AR19" s="1"/>
    </row>
    <row r="20" spans="1:44" x14ac:dyDescent="0.25">
      <c r="A20" s="1" t="s">
        <v>72</v>
      </c>
      <c r="B20" s="1" t="s">
        <v>41</v>
      </c>
      <c r="C20" s="1">
        <v>744.98199999999997</v>
      </c>
      <c r="D20" s="1">
        <v>775.90899999999999</v>
      </c>
      <c r="E20" s="1">
        <v>422.23</v>
      </c>
      <c r="F20" s="1">
        <v>1019.198</v>
      </c>
      <c r="G20" s="7">
        <v>1</v>
      </c>
      <c r="H20" s="1">
        <v>70</v>
      </c>
      <c r="I20" s="1" t="s">
        <v>73</v>
      </c>
      <c r="J20" s="1"/>
      <c r="K20" s="1">
        <v>566.1</v>
      </c>
      <c r="L20" s="1">
        <f t="shared" si="2"/>
        <v>-143.87</v>
      </c>
      <c r="M20" s="1">
        <f t="shared" si="4"/>
        <v>422.23</v>
      </c>
      <c r="N20" s="1"/>
      <c r="O20" s="1"/>
      <c r="P20" s="1">
        <v>0</v>
      </c>
      <c r="Q20" s="1"/>
      <c r="R20" s="1"/>
      <c r="S20" s="1"/>
      <c r="T20" s="1"/>
      <c r="U20" s="1"/>
      <c r="V20" s="1"/>
      <c r="W20" s="1">
        <v>0</v>
      </c>
      <c r="X20" s="1"/>
      <c r="Y20" s="1"/>
      <c r="Z20" s="1">
        <f t="shared" si="5"/>
        <v>84.445999999999998</v>
      </c>
      <c r="AA20" s="5"/>
      <c r="AB20" s="1">
        <f t="shared" si="6"/>
        <v>12.06922767212183</v>
      </c>
      <c r="AC20" s="1">
        <f t="shared" si="7"/>
        <v>12.06922767212183</v>
      </c>
      <c r="AD20" s="1">
        <v>87.766999999999996</v>
      </c>
      <c r="AE20" s="1">
        <v>81.984399999999994</v>
      </c>
      <c r="AF20" s="1">
        <v>105.79219999999999</v>
      </c>
      <c r="AG20" s="1">
        <v>91.558999999999997</v>
      </c>
      <c r="AH20" s="1">
        <v>105.01179999999999</v>
      </c>
      <c r="AI20" s="1">
        <v>101.4824</v>
      </c>
      <c r="AJ20" s="1">
        <v>87.5822</v>
      </c>
      <c r="AK20" s="1">
        <v>89.291799999999995</v>
      </c>
      <c r="AL20" s="1"/>
      <c r="AM20" s="1">
        <f t="shared" si="3"/>
        <v>0</v>
      </c>
      <c r="AN20" s="1"/>
      <c r="AO20" s="1"/>
      <c r="AP20" s="1"/>
      <c r="AQ20" s="1"/>
      <c r="AR20" s="1"/>
    </row>
    <row r="21" spans="1:44" x14ac:dyDescent="0.25">
      <c r="A21" s="1" t="s">
        <v>74</v>
      </c>
      <c r="B21" s="1" t="s">
        <v>41</v>
      </c>
      <c r="C21" s="1">
        <v>1742.758</v>
      </c>
      <c r="D21" s="1">
        <v>825.18299999999999</v>
      </c>
      <c r="E21" s="1">
        <v>1052.1389999999999</v>
      </c>
      <c r="F21" s="1">
        <v>1382.63</v>
      </c>
      <c r="G21" s="7">
        <v>1</v>
      </c>
      <c r="H21" s="1">
        <v>70</v>
      </c>
      <c r="I21" s="1" t="s">
        <v>75</v>
      </c>
      <c r="J21" s="1"/>
      <c r="K21" s="1">
        <v>1288.377</v>
      </c>
      <c r="L21" s="1">
        <f t="shared" si="2"/>
        <v>-236.23800000000006</v>
      </c>
      <c r="M21" s="1">
        <f t="shared" si="4"/>
        <v>1052.1389999999999</v>
      </c>
      <c r="N21" s="1"/>
      <c r="O21" s="1"/>
      <c r="P21" s="1">
        <v>259.85550588160021</v>
      </c>
      <c r="Q21" s="1"/>
      <c r="R21" s="1">
        <v>264.04672371840007</v>
      </c>
      <c r="S21" s="1"/>
      <c r="T21" s="1"/>
      <c r="U21" s="1"/>
      <c r="V21" s="1"/>
      <c r="W21" s="1">
        <v>437.60030000000012</v>
      </c>
      <c r="X21" s="1">
        <v>400</v>
      </c>
      <c r="Y21" s="1"/>
      <c r="Z21" s="1">
        <f t="shared" si="5"/>
        <v>210.42779999999999</v>
      </c>
      <c r="AA21" s="5"/>
      <c r="AB21" s="1">
        <f t="shared" si="6"/>
        <v>13.040731926104824</v>
      </c>
      <c r="AC21" s="1">
        <f t="shared" si="7"/>
        <v>13.040731926104824</v>
      </c>
      <c r="AD21" s="1">
        <v>235.95099999999999</v>
      </c>
      <c r="AE21" s="1">
        <v>225.54</v>
      </c>
      <c r="AF21" s="1">
        <v>220.38339999999999</v>
      </c>
      <c r="AG21" s="1">
        <v>213.50020000000001</v>
      </c>
      <c r="AH21" s="1">
        <v>289.41840000000002</v>
      </c>
      <c r="AI21" s="1">
        <v>307.0924</v>
      </c>
      <c r="AJ21" s="1">
        <v>271.95859999999999</v>
      </c>
      <c r="AK21" s="1">
        <v>269.67360000000002</v>
      </c>
      <c r="AL21" s="1"/>
      <c r="AM21" s="1">
        <f t="shared" si="3"/>
        <v>0</v>
      </c>
      <c r="AN21" s="1"/>
      <c r="AO21" s="1"/>
      <c r="AP21" s="1"/>
      <c r="AQ21" s="1"/>
      <c r="AR21" s="1"/>
    </row>
    <row r="22" spans="1:44" x14ac:dyDescent="0.25">
      <c r="A22" s="1" t="s">
        <v>76</v>
      </c>
      <c r="B22" s="1" t="s">
        <v>41</v>
      </c>
      <c r="C22" s="1">
        <v>1545.0239999999999</v>
      </c>
      <c r="D22" s="1">
        <v>3336.3130000000001</v>
      </c>
      <c r="E22" s="1">
        <v>1889.932</v>
      </c>
      <c r="F22" s="1">
        <v>2799.0129999999999</v>
      </c>
      <c r="G22" s="7">
        <v>1</v>
      </c>
      <c r="H22" s="1">
        <v>70</v>
      </c>
      <c r="I22" s="1" t="s">
        <v>77</v>
      </c>
      <c r="J22" s="1"/>
      <c r="K22" s="1">
        <v>2298.116</v>
      </c>
      <c r="L22" s="1">
        <f t="shared" si="2"/>
        <v>-408.18399999999997</v>
      </c>
      <c r="M22" s="1">
        <f t="shared" si="4"/>
        <v>1889.932</v>
      </c>
      <c r="N22" s="1"/>
      <c r="O22" s="1"/>
      <c r="P22" s="1">
        <v>434.92934343984001</v>
      </c>
      <c r="Q22" s="1"/>
      <c r="R22" s="1">
        <v>441.94433285015998</v>
      </c>
      <c r="S22" s="1"/>
      <c r="T22" s="1"/>
      <c r="U22" s="1"/>
      <c r="V22" s="1"/>
      <c r="W22" s="1">
        <v>705.53755199999955</v>
      </c>
      <c r="X22" s="1">
        <v>400</v>
      </c>
      <c r="Y22" s="1">
        <v>230</v>
      </c>
      <c r="Z22" s="1">
        <f t="shared" si="5"/>
        <v>377.9864</v>
      </c>
      <c r="AA22" s="5"/>
      <c r="AB22" s="1">
        <f t="shared" si="6"/>
        <v>13.258213068750621</v>
      </c>
      <c r="AC22" s="1">
        <f t="shared" si="7"/>
        <v>13.258213068750621</v>
      </c>
      <c r="AD22" s="1">
        <v>429.1764</v>
      </c>
      <c r="AE22" s="1">
        <v>423.87560000000002</v>
      </c>
      <c r="AF22" s="1">
        <v>418.34640000000002</v>
      </c>
      <c r="AG22" s="1">
        <v>400.0342</v>
      </c>
      <c r="AH22" s="1">
        <v>384.5324</v>
      </c>
      <c r="AI22" s="1">
        <v>404.67020000000002</v>
      </c>
      <c r="AJ22" s="1">
        <v>469.15940000000001</v>
      </c>
      <c r="AK22" s="1">
        <v>501.86099999999999</v>
      </c>
      <c r="AL22" s="1"/>
      <c r="AM22" s="1">
        <f t="shared" si="3"/>
        <v>0</v>
      </c>
      <c r="AN22" s="1"/>
      <c r="AO22" s="1"/>
      <c r="AP22" s="1"/>
      <c r="AQ22" s="1"/>
      <c r="AR22" s="1"/>
    </row>
    <row r="23" spans="1:44" x14ac:dyDescent="0.25">
      <c r="A23" s="1" t="s">
        <v>78</v>
      </c>
      <c r="B23" s="1" t="s">
        <v>41</v>
      </c>
      <c r="C23" s="1">
        <v>41.323999999999998</v>
      </c>
      <c r="D23" s="1">
        <v>94.049000000000007</v>
      </c>
      <c r="E23" s="1">
        <v>29.74</v>
      </c>
      <c r="F23" s="1">
        <v>103.453</v>
      </c>
      <c r="G23" s="7">
        <v>1</v>
      </c>
      <c r="H23" s="1">
        <v>40</v>
      </c>
      <c r="I23" s="1" t="s">
        <v>79</v>
      </c>
      <c r="J23" s="1"/>
      <c r="K23" s="1">
        <v>42.9</v>
      </c>
      <c r="L23" s="1">
        <f t="shared" si="2"/>
        <v>-13.16</v>
      </c>
      <c r="M23" s="1">
        <f t="shared" si="4"/>
        <v>29.74</v>
      </c>
      <c r="N23" s="1"/>
      <c r="O23" s="1"/>
      <c r="P23" s="1">
        <v>0</v>
      </c>
      <c r="Q23" s="1"/>
      <c r="R23" s="1"/>
      <c r="S23" s="1"/>
      <c r="T23" s="1"/>
      <c r="U23" s="1"/>
      <c r="V23" s="1"/>
      <c r="W23" s="1">
        <v>0</v>
      </c>
      <c r="X23" s="1"/>
      <c r="Y23" s="1"/>
      <c r="Z23" s="1">
        <f t="shared" si="5"/>
        <v>5.9479999999999995</v>
      </c>
      <c r="AA23" s="5"/>
      <c r="AB23" s="1">
        <f t="shared" si="6"/>
        <v>17.392905178211166</v>
      </c>
      <c r="AC23" s="1">
        <f t="shared" si="7"/>
        <v>17.392905178211166</v>
      </c>
      <c r="AD23" s="1">
        <v>7.4024000000000001</v>
      </c>
      <c r="AE23" s="1">
        <v>6.2479999999999993</v>
      </c>
      <c r="AF23" s="1">
        <v>11.03</v>
      </c>
      <c r="AG23" s="1">
        <v>9.5733999999999995</v>
      </c>
      <c r="AH23" s="1">
        <v>1.4523999999999999</v>
      </c>
      <c r="AI23" s="1">
        <v>1.8864000000000001</v>
      </c>
      <c r="AJ23" s="1">
        <v>3.0478000000000001</v>
      </c>
      <c r="AK23" s="1">
        <v>2.6137999999999999</v>
      </c>
      <c r="AL23" s="1"/>
      <c r="AM23" s="1">
        <f t="shared" si="3"/>
        <v>0</v>
      </c>
      <c r="AN23" s="1"/>
      <c r="AO23" s="1"/>
      <c r="AP23" s="1"/>
      <c r="AQ23" s="1"/>
      <c r="AR23" s="1"/>
    </row>
    <row r="24" spans="1:44" x14ac:dyDescent="0.25">
      <c r="A24" s="16" t="s">
        <v>80</v>
      </c>
      <c r="B24" s="1" t="s">
        <v>41</v>
      </c>
      <c r="C24" s="1">
        <v>3583.4960000000001</v>
      </c>
      <c r="D24" s="1">
        <v>4847.509</v>
      </c>
      <c r="E24" s="1">
        <v>2066.0509999999999</v>
      </c>
      <c r="F24" s="1">
        <v>5922.5730000000003</v>
      </c>
      <c r="G24" s="7">
        <v>1</v>
      </c>
      <c r="H24" s="1">
        <v>30</v>
      </c>
      <c r="I24" s="1" t="s">
        <v>81</v>
      </c>
      <c r="J24" s="1"/>
      <c r="K24" s="1">
        <v>2679.7620000000002</v>
      </c>
      <c r="L24" s="1">
        <f t="shared" si="2"/>
        <v>-613.71100000000024</v>
      </c>
      <c r="M24" s="1">
        <f t="shared" si="4"/>
        <v>2066.0509999999999</v>
      </c>
      <c r="N24" s="1"/>
      <c r="O24" s="1">
        <v>-3500</v>
      </c>
      <c r="P24" s="1">
        <v>700</v>
      </c>
      <c r="Q24" s="1"/>
      <c r="R24" s="1">
        <v>700</v>
      </c>
      <c r="S24" s="1">
        <v>-700</v>
      </c>
      <c r="T24" s="1"/>
      <c r="U24" s="1"/>
      <c r="V24" s="1">
        <v>-405.6</v>
      </c>
      <c r="W24" s="1">
        <v>400</v>
      </c>
      <c r="X24" s="1">
        <v>300</v>
      </c>
      <c r="Y24" s="1"/>
      <c r="Z24" s="1">
        <f t="shared" si="5"/>
        <v>413.21019999999999</v>
      </c>
      <c r="AA24" s="5">
        <f t="shared" ref="AA24:AA67" si="8">11*Z24-Y24-X24-W24-V24-U24-T24-S24-R24-Q24-P24-O24-F24</f>
        <v>1128.3392000000003</v>
      </c>
      <c r="AB24" s="1">
        <f t="shared" si="6"/>
        <v>11.000000000000002</v>
      </c>
      <c r="AC24" s="1">
        <f t="shared" si="7"/>
        <v>8.2693336224517218</v>
      </c>
      <c r="AD24" s="1">
        <v>344.91699999999997</v>
      </c>
      <c r="AE24" s="1">
        <v>256.0514</v>
      </c>
      <c r="AF24" s="1">
        <v>349.7722</v>
      </c>
      <c r="AG24" s="1">
        <v>272.06720000000001</v>
      </c>
      <c r="AH24" s="1">
        <v>228.89760000000001</v>
      </c>
      <c r="AI24" s="1">
        <v>443.47500000000002</v>
      </c>
      <c r="AJ24" s="1">
        <v>527.50740000000008</v>
      </c>
      <c r="AK24" s="1">
        <v>438.75599999999997</v>
      </c>
      <c r="AL24" s="19" t="s">
        <v>266</v>
      </c>
      <c r="AM24" s="1">
        <f t="shared" si="3"/>
        <v>1128.3392000000003</v>
      </c>
      <c r="AN24" s="1"/>
      <c r="AO24" s="1"/>
      <c r="AP24" s="1"/>
      <c r="AQ24" s="1"/>
      <c r="AR24" s="1"/>
    </row>
    <row r="25" spans="1:44" x14ac:dyDescent="0.25">
      <c r="A25" s="1" t="s">
        <v>82</v>
      </c>
      <c r="B25" s="1" t="s">
        <v>41</v>
      </c>
      <c r="C25" s="1">
        <v>2.6680000000000001</v>
      </c>
      <c r="D25" s="1">
        <v>127.42</v>
      </c>
      <c r="E25" s="1">
        <v>5.2869999999999999</v>
      </c>
      <c r="F25" s="1">
        <v>124.801</v>
      </c>
      <c r="G25" s="7">
        <v>1</v>
      </c>
      <c r="H25" s="1">
        <v>40</v>
      </c>
      <c r="I25" s="1" t="s">
        <v>83</v>
      </c>
      <c r="J25" s="1"/>
      <c r="K25" s="1">
        <v>56.1</v>
      </c>
      <c r="L25" s="1">
        <f t="shared" si="2"/>
        <v>-50.813000000000002</v>
      </c>
      <c r="M25" s="1">
        <f t="shared" si="4"/>
        <v>5.2869999999999999</v>
      </c>
      <c r="N25" s="1"/>
      <c r="O25" s="1"/>
      <c r="P25" s="1">
        <v>0</v>
      </c>
      <c r="Q25" s="1"/>
      <c r="R25" s="1"/>
      <c r="S25" s="1"/>
      <c r="T25" s="1"/>
      <c r="U25" s="1"/>
      <c r="V25" s="1"/>
      <c r="W25" s="1">
        <v>0</v>
      </c>
      <c r="X25" s="1"/>
      <c r="Y25" s="1"/>
      <c r="Z25" s="1">
        <f t="shared" si="5"/>
        <v>1.0573999999999999</v>
      </c>
      <c r="AA25" s="5"/>
      <c r="AB25" s="1">
        <f t="shared" si="6"/>
        <v>118.02629090221299</v>
      </c>
      <c r="AC25" s="1">
        <f t="shared" si="7"/>
        <v>118.02629090221299</v>
      </c>
      <c r="AD25" s="1">
        <v>8.8558000000000003</v>
      </c>
      <c r="AE25" s="1">
        <v>9.4266000000000005</v>
      </c>
      <c r="AF25" s="1">
        <v>13.422000000000001</v>
      </c>
      <c r="AG25" s="1">
        <v>12.8826</v>
      </c>
      <c r="AH25" s="1">
        <v>1.8428</v>
      </c>
      <c r="AI25" s="1">
        <v>1.2907999999999999</v>
      </c>
      <c r="AJ25" s="1">
        <v>8.7688000000000006</v>
      </c>
      <c r="AK25" s="1">
        <v>8.7688000000000006</v>
      </c>
      <c r="AL25" s="1"/>
      <c r="AM25" s="1">
        <f t="shared" si="3"/>
        <v>0</v>
      </c>
      <c r="AN25" s="1"/>
      <c r="AO25" s="1"/>
      <c r="AP25" s="1"/>
      <c r="AQ25" s="1"/>
      <c r="AR25" s="1"/>
    </row>
    <row r="26" spans="1:44" x14ac:dyDescent="0.25">
      <c r="A26" s="16" t="s">
        <v>84</v>
      </c>
      <c r="B26" s="1" t="s">
        <v>41</v>
      </c>
      <c r="C26" s="1">
        <v>7454.2839999999997</v>
      </c>
      <c r="D26" s="1">
        <v>10792.822</v>
      </c>
      <c r="E26" s="1">
        <v>7330.9930000000004</v>
      </c>
      <c r="F26" s="1">
        <v>9159.5169999999998</v>
      </c>
      <c r="G26" s="7">
        <v>1</v>
      </c>
      <c r="H26" s="1">
        <v>40</v>
      </c>
      <c r="I26" s="1" t="s">
        <v>85</v>
      </c>
      <c r="J26" s="1"/>
      <c r="K26" s="1">
        <v>8512.9629999999997</v>
      </c>
      <c r="L26" s="1">
        <f t="shared" si="2"/>
        <v>-1181.9699999999993</v>
      </c>
      <c r="M26" s="1">
        <f t="shared" si="4"/>
        <v>6043.7270000000008</v>
      </c>
      <c r="N26" s="1">
        <v>1287.2660000000001</v>
      </c>
      <c r="O26" s="1"/>
      <c r="P26" s="1">
        <v>2697.241814681599</v>
      </c>
      <c r="Q26" s="1"/>
      <c r="R26" s="1">
        <v>2740.7457149184002</v>
      </c>
      <c r="S26" s="1">
        <v>-2741</v>
      </c>
      <c r="T26" s="1"/>
      <c r="U26" s="1"/>
      <c r="V26" s="1">
        <v>-621</v>
      </c>
      <c r="W26" s="1">
        <v>613.95624799999973</v>
      </c>
      <c r="X26" s="1">
        <v>500</v>
      </c>
      <c r="Y26" s="1"/>
      <c r="Z26" s="1">
        <f t="shared" si="5"/>
        <v>1208.7454000000002</v>
      </c>
      <c r="AA26" s="5">
        <f t="shared" si="8"/>
        <v>946.73862240000381</v>
      </c>
      <c r="AB26" s="1">
        <f t="shared" si="6"/>
        <v>11</v>
      </c>
      <c r="AC26" s="1">
        <f t="shared" si="7"/>
        <v>10.216759275857427</v>
      </c>
      <c r="AD26" s="1">
        <v>1373.8782000000001</v>
      </c>
      <c r="AE26" s="1">
        <v>1608.1394</v>
      </c>
      <c r="AF26" s="1">
        <v>1503.0753999999999</v>
      </c>
      <c r="AG26" s="1">
        <v>1112.3946000000001</v>
      </c>
      <c r="AH26" s="1">
        <v>1252.3152</v>
      </c>
      <c r="AI26" s="1">
        <v>1806.3748000000001</v>
      </c>
      <c r="AJ26" s="1">
        <v>1535.5788</v>
      </c>
      <c r="AK26" s="1">
        <v>1474.7154</v>
      </c>
      <c r="AL26" s="1"/>
      <c r="AM26" s="1">
        <f t="shared" si="3"/>
        <v>946.73862240000381</v>
      </c>
      <c r="AN26" s="1"/>
      <c r="AO26" s="1"/>
      <c r="AP26" s="1"/>
      <c r="AQ26" s="1"/>
      <c r="AR26" s="1"/>
    </row>
    <row r="27" spans="1:44" x14ac:dyDescent="0.25">
      <c r="A27" s="1" t="s">
        <v>86</v>
      </c>
      <c r="B27" s="1" t="s">
        <v>48</v>
      </c>
      <c r="C27" s="1">
        <v>2374</v>
      </c>
      <c r="D27" s="1">
        <v>7703</v>
      </c>
      <c r="E27" s="1">
        <v>3188</v>
      </c>
      <c r="F27" s="1">
        <v>6120</v>
      </c>
      <c r="G27" s="7">
        <v>0.4</v>
      </c>
      <c r="H27" s="1">
        <v>45</v>
      </c>
      <c r="I27" s="1" t="s">
        <v>87</v>
      </c>
      <c r="J27" s="1"/>
      <c r="K27" s="1">
        <v>4586</v>
      </c>
      <c r="L27" s="1">
        <f t="shared" si="2"/>
        <v>-1398</v>
      </c>
      <c r="M27" s="1">
        <f t="shared" si="4"/>
        <v>3188</v>
      </c>
      <c r="N27" s="1"/>
      <c r="O27" s="1"/>
      <c r="P27" s="1">
        <v>1015.896950679909</v>
      </c>
      <c r="Q27" s="1"/>
      <c r="R27" s="1">
        <v>1032.2823853682939</v>
      </c>
      <c r="S27" s="1"/>
      <c r="T27" s="1"/>
      <c r="U27" s="1"/>
      <c r="V27" s="1"/>
      <c r="W27" s="1">
        <v>824.21199999999953</v>
      </c>
      <c r="X27" s="1"/>
      <c r="Y27" s="1">
        <v>500</v>
      </c>
      <c r="Z27" s="1">
        <f t="shared" si="5"/>
        <v>637.6</v>
      </c>
      <c r="AA27" s="5"/>
      <c r="AB27" s="1">
        <f t="shared" si="6"/>
        <v>14.887690301204836</v>
      </c>
      <c r="AC27" s="1">
        <f t="shared" si="7"/>
        <v>14.887690301204836</v>
      </c>
      <c r="AD27" s="1">
        <v>816</v>
      </c>
      <c r="AE27" s="1">
        <v>898.6</v>
      </c>
      <c r="AF27" s="1">
        <v>865</v>
      </c>
      <c r="AG27" s="1">
        <v>794.6</v>
      </c>
      <c r="AH27" s="1">
        <v>770.4</v>
      </c>
      <c r="AI27" s="1">
        <v>777.8</v>
      </c>
      <c r="AJ27" s="1">
        <v>836.4</v>
      </c>
      <c r="AK27" s="1">
        <v>934.6</v>
      </c>
      <c r="AL27" s="1"/>
      <c r="AM27" s="1">
        <f t="shared" si="3"/>
        <v>0</v>
      </c>
      <c r="AN27" s="1"/>
      <c r="AO27" s="1"/>
      <c r="AP27" s="1"/>
      <c r="AQ27" s="1"/>
      <c r="AR27" s="1"/>
    </row>
    <row r="28" spans="1:44" x14ac:dyDescent="0.25">
      <c r="A28" s="1" t="s">
        <v>88</v>
      </c>
      <c r="B28" s="1" t="s">
        <v>48</v>
      </c>
      <c r="C28" s="1">
        <v>7.75</v>
      </c>
      <c r="D28" s="1">
        <v>3542.25</v>
      </c>
      <c r="E28" s="1">
        <v>547</v>
      </c>
      <c r="F28" s="17">
        <v>2899.75</v>
      </c>
      <c r="G28" s="7">
        <v>0.45</v>
      </c>
      <c r="H28" s="1">
        <v>50</v>
      </c>
      <c r="I28" s="13" t="s">
        <v>89</v>
      </c>
      <c r="J28" s="1"/>
      <c r="K28" s="1">
        <v>817</v>
      </c>
      <c r="L28" s="1">
        <f t="shared" si="2"/>
        <v>-270</v>
      </c>
      <c r="M28" s="1">
        <f t="shared" si="4"/>
        <v>547</v>
      </c>
      <c r="N28" s="1"/>
      <c r="O28" s="1"/>
      <c r="P28" s="1">
        <v>0</v>
      </c>
      <c r="Q28" s="1"/>
      <c r="R28" s="1"/>
      <c r="S28" s="1"/>
      <c r="T28" s="1"/>
      <c r="U28" s="1"/>
      <c r="V28" s="1"/>
      <c r="W28" s="1">
        <v>0</v>
      </c>
      <c r="X28" s="1"/>
      <c r="Y28" s="1"/>
      <c r="Z28" s="1">
        <f t="shared" si="5"/>
        <v>109.4</v>
      </c>
      <c r="AA28" s="5"/>
      <c r="AB28" s="1">
        <f t="shared" si="6"/>
        <v>26.505941499085921</v>
      </c>
      <c r="AC28" s="1">
        <f t="shared" si="7"/>
        <v>26.505941499085921</v>
      </c>
      <c r="AD28" s="1">
        <v>109.6</v>
      </c>
      <c r="AE28" s="1">
        <v>174.8</v>
      </c>
      <c r="AF28" s="1">
        <v>277.8</v>
      </c>
      <c r="AG28" s="1">
        <v>284.8</v>
      </c>
      <c r="AH28" s="1">
        <v>208.4</v>
      </c>
      <c r="AI28" s="1">
        <v>87.4</v>
      </c>
      <c r="AJ28" s="1">
        <v>111.2</v>
      </c>
      <c r="AK28" s="1">
        <v>94.2</v>
      </c>
      <c r="AL28" s="1" t="s">
        <v>90</v>
      </c>
      <c r="AM28" s="1">
        <f t="shared" si="3"/>
        <v>0</v>
      </c>
      <c r="AN28" s="1"/>
      <c r="AO28" s="1"/>
      <c r="AP28" s="1"/>
      <c r="AQ28" s="1"/>
      <c r="AR28" s="1"/>
    </row>
    <row r="29" spans="1:44" x14ac:dyDescent="0.25">
      <c r="A29" s="1" t="s">
        <v>91</v>
      </c>
      <c r="B29" s="1" t="s">
        <v>48</v>
      </c>
      <c r="C29" s="1">
        <v>795</v>
      </c>
      <c r="D29" s="1">
        <v>1869</v>
      </c>
      <c r="E29" s="1">
        <v>745</v>
      </c>
      <c r="F29" s="1">
        <v>1610</v>
      </c>
      <c r="G29" s="7">
        <v>0.4</v>
      </c>
      <c r="H29" s="1">
        <v>45</v>
      </c>
      <c r="I29" s="1" t="s">
        <v>92</v>
      </c>
      <c r="J29" s="1"/>
      <c r="K29" s="1">
        <v>1307</v>
      </c>
      <c r="L29" s="1">
        <f t="shared" si="2"/>
        <v>-562</v>
      </c>
      <c r="M29" s="1">
        <f t="shared" si="4"/>
        <v>745</v>
      </c>
      <c r="N29" s="1"/>
      <c r="O29" s="1"/>
      <c r="P29" s="1">
        <v>286.83060425766388</v>
      </c>
      <c r="Q29" s="1"/>
      <c r="R29" s="1">
        <v>291.45690432633592</v>
      </c>
      <c r="S29" s="1"/>
      <c r="T29" s="1"/>
      <c r="U29" s="1"/>
      <c r="V29" s="1"/>
      <c r="W29" s="1">
        <v>166.15400000000031</v>
      </c>
      <c r="X29" s="1"/>
      <c r="Y29" s="1"/>
      <c r="Z29" s="1">
        <f t="shared" si="5"/>
        <v>149</v>
      </c>
      <c r="AA29" s="5"/>
      <c r="AB29" s="1">
        <f t="shared" si="6"/>
        <v>15.801620862979867</v>
      </c>
      <c r="AC29" s="1">
        <f t="shared" si="7"/>
        <v>15.801620862979867</v>
      </c>
      <c r="AD29" s="1">
        <v>204.2</v>
      </c>
      <c r="AE29" s="1">
        <v>235.2</v>
      </c>
      <c r="AF29" s="1">
        <v>211</v>
      </c>
      <c r="AG29" s="1">
        <v>165</v>
      </c>
      <c r="AH29" s="1">
        <v>174</v>
      </c>
      <c r="AI29" s="1">
        <v>215.2</v>
      </c>
      <c r="AJ29" s="1">
        <v>201.2</v>
      </c>
      <c r="AK29" s="1">
        <v>198.2</v>
      </c>
      <c r="AL29" s="1"/>
      <c r="AM29" s="1">
        <f t="shared" si="3"/>
        <v>0</v>
      </c>
      <c r="AN29" s="1"/>
      <c r="AO29" s="1"/>
      <c r="AP29" s="1"/>
      <c r="AQ29" s="1"/>
      <c r="AR29" s="1"/>
    </row>
    <row r="30" spans="1:44" x14ac:dyDescent="0.25">
      <c r="A30" s="16" t="s">
        <v>93</v>
      </c>
      <c r="B30" s="1" t="s">
        <v>48</v>
      </c>
      <c r="C30" s="1">
        <v>172</v>
      </c>
      <c r="D30" s="1">
        <v>1264</v>
      </c>
      <c r="E30" s="1">
        <v>445</v>
      </c>
      <c r="F30" s="1">
        <v>776</v>
      </c>
      <c r="G30" s="7">
        <v>0.4</v>
      </c>
      <c r="H30" s="1">
        <v>40</v>
      </c>
      <c r="I30" s="1" t="s">
        <v>94</v>
      </c>
      <c r="J30" s="1"/>
      <c r="K30" s="1">
        <v>696</v>
      </c>
      <c r="L30" s="1">
        <f t="shared" si="2"/>
        <v>-251</v>
      </c>
      <c r="M30" s="1">
        <f t="shared" si="4"/>
        <v>445</v>
      </c>
      <c r="N30" s="1"/>
      <c r="O30" s="1"/>
      <c r="P30" s="1">
        <v>0</v>
      </c>
      <c r="Q30" s="1"/>
      <c r="R30" s="1"/>
      <c r="S30" s="1"/>
      <c r="T30" s="1"/>
      <c r="U30" s="1"/>
      <c r="V30" s="1">
        <f>-208.8/G30</f>
        <v>-522</v>
      </c>
      <c r="W30" s="1">
        <v>517.19000000000005</v>
      </c>
      <c r="X30" s="1"/>
      <c r="Y30" s="1"/>
      <c r="Z30" s="1">
        <f t="shared" si="5"/>
        <v>89</v>
      </c>
      <c r="AA30" s="5">
        <f t="shared" si="8"/>
        <v>207.80999999999995</v>
      </c>
      <c r="AB30" s="1">
        <f t="shared" si="6"/>
        <v>11</v>
      </c>
      <c r="AC30" s="1">
        <f t="shared" si="7"/>
        <v>8.6650561797752808</v>
      </c>
      <c r="AD30" s="1">
        <v>117.4</v>
      </c>
      <c r="AE30" s="1">
        <v>80.400000000000006</v>
      </c>
      <c r="AF30" s="1">
        <v>83.2</v>
      </c>
      <c r="AG30" s="1">
        <v>136</v>
      </c>
      <c r="AH30" s="1">
        <v>101.6</v>
      </c>
      <c r="AI30" s="1">
        <v>63.2</v>
      </c>
      <c r="AJ30" s="1">
        <v>73.2</v>
      </c>
      <c r="AK30" s="1">
        <v>81.8</v>
      </c>
      <c r="AL30" s="1"/>
      <c r="AM30" s="1">
        <f t="shared" si="3"/>
        <v>83.123999999999981</v>
      </c>
      <c r="AN30" s="1"/>
      <c r="AO30" s="1"/>
      <c r="AP30" s="1"/>
      <c r="AQ30" s="1"/>
      <c r="AR30" s="1"/>
    </row>
    <row r="31" spans="1:44" x14ac:dyDescent="0.25">
      <c r="A31" s="1" t="s">
        <v>95</v>
      </c>
      <c r="B31" s="1" t="s">
        <v>48</v>
      </c>
      <c r="C31" s="1">
        <v>315</v>
      </c>
      <c r="D31" s="1">
        <v>192</v>
      </c>
      <c r="E31" s="1">
        <v>230</v>
      </c>
      <c r="F31" s="1">
        <v>261</v>
      </c>
      <c r="G31" s="7">
        <v>0.1</v>
      </c>
      <c r="H31" s="1">
        <v>731</v>
      </c>
      <c r="I31" s="1" t="s">
        <v>96</v>
      </c>
      <c r="J31" s="1"/>
      <c r="K31" s="1">
        <v>262</v>
      </c>
      <c r="L31" s="1">
        <f t="shared" si="2"/>
        <v>-32</v>
      </c>
      <c r="M31" s="1">
        <f t="shared" si="4"/>
        <v>230</v>
      </c>
      <c r="N31" s="1"/>
      <c r="O31" s="1"/>
      <c r="P31" s="1">
        <v>14</v>
      </c>
      <c r="Q31" s="1"/>
      <c r="R31" s="1"/>
      <c r="S31" s="1"/>
      <c r="T31" s="1"/>
      <c r="U31" s="1"/>
      <c r="V31" s="1"/>
      <c r="W31" s="1">
        <v>236</v>
      </c>
      <c r="X31" s="1"/>
      <c r="Y31" s="1"/>
      <c r="Z31" s="1">
        <f t="shared" si="5"/>
        <v>46</v>
      </c>
      <c r="AA31" s="5"/>
      <c r="AB31" s="1">
        <f t="shared" si="6"/>
        <v>11.108695652173912</v>
      </c>
      <c r="AC31" s="1">
        <f t="shared" si="7"/>
        <v>11.108695652173912</v>
      </c>
      <c r="AD31" s="1">
        <v>46</v>
      </c>
      <c r="AE31" s="1">
        <v>42</v>
      </c>
      <c r="AF31" s="1">
        <v>46</v>
      </c>
      <c r="AG31" s="1">
        <v>39</v>
      </c>
      <c r="AH31" s="1">
        <v>48.2</v>
      </c>
      <c r="AI31" s="1">
        <v>46.8</v>
      </c>
      <c r="AJ31" s="1">
        <v>41.2</v>
      </c>
      <c r="AK31" s="1">
        <v>42.4</v>
      </c>
      <c r="AL31" s="1"/>
      <c r="AM31" s="1">
        <f t="shared" si="3"/>
        <v>0</v>
      </c>
      <c r="AN31" s="1"/>
      <c r="AO31" s="1"/>
      <c r="AP31" s="1"/>
      <c r="AQ31" s="1"/>
      <c r="AR31" s="1"/>
    </row>
    <row r="32" spans="1:44" x14ac:dyDescent="0.25">
      <c r="A32" s="1" t="s">
        <v>97</v>
      </c>
      <c r="B32" s="1" t="s">
        <v>48</v>
      </c>
      <c r="C32" s="1">
        <v>33</v>
      </c>
      <c r="D32" s="1">
        <v>191</v>
      </c>
      <c r="E32" s="1">
        <v>24</v>
      </c>
      <c r="F32" s="1">
        <v>191</v>
      </c>
      <c r="G32" s="7">
        <v>0.35</v>
      </c>
      <c r="H32" s="1">
        <v>40</v>
      </c>
      <c r="I32" s="1" t="s">
        <v>98</v>
      </c>
      <c r="J32" s="1"/>
      <c r="K32" s="1">
        <v>84</v>
      </c>
      <c r="L32" s="1">
        <f t="shared" si="2"/>
        <v>-60</v>
      </c>
      <c r="M32" s="1">
        <f t="shared" si="4"/>
        <v>24</v>
      </c>
      <c r="N32" s="1"/>
      <c r="O32" s="1"/>
      <c r="P32" s="1">
        <v>118</v>
      </c>
      <c r="Q32" s="1"/>
      <c r="R32" s="1"/>
      <c r="S32" s="1"/>
      <c r="T32" s="1"/>
      <c r="U32" s="1"/>
      <c r="V32" s="1"/>
      <c r="W32" s="1">
        <v>0</v>
      </c>
      <c r="X32" s="1"/>
      <c r="Y32" s="1"/>
      <c r="Z32" s="1">
        <f t="shared" si="5"/>
        <v>4.8</v>
      </c>
      <c r="AA32" s="5"/>
      <c r="AB32" s="1">
        <f t="shared" si="6"/>
        <v>64.375</v>
      </c>
      <c r="AC32" s="1">
        <f t="shared" si="7"/>
        <v>64.375</v>
      </c>
      <c r="AD32" s="1">
        <v>13</v>
      </c>
      <c r="AE32" s="1">
        <v>28.4</v>
      </c>
      <c r="AF32" s="1">
        <v>24.2</v>
      </c>
      <c r="AG32" s="1">
        <v>16.399999999999999</v>
      </c>
      <c r="AH32" s="1">
        <v>18.399999999999999</v>
      </c>
      <c r="AI32" s="1">
        <v>15.6</v>
      </c>
      <c r="AJ32" s="1">
        <v>17.2</v>
      </c>
      <c r="AK32" s="1">
        <v>15</v>
      </c>
      <c r="AL32" s="1"/>
      <c r="AM32" s="1">
        <f t="shared" si="3"/>
        <v>0</v>
      </c>
      <c r="AN32" s="1"/>
      <c r="AO32" s="1"/>
      <c r="AP32" s="1"/>
      <c r="AQ32" s="1"/>
      <c r="AR32" s="1"/>
    </row>
    <row r="33" spans="1:44" x14ac:dyDescent="0.25">
      <c r="A33" s="1" t="s">
        <v>99</v>
      </c>
      <c r="B33" s="1" t="s">
        <v>41</v>
      </c>
      <c r="C33" s="1">
        <v>24.18</v>
      </c>
      <c r="D33" s="1">
        <v>23.071999999999999</v>
      </c>
      <c r="E33" s="1">
        <v>9.7799999999999994</v>
      </c>
      <c r="F33" s="1">
        <v>34.985999999999997</v>
      </c>
      <c r="G33" s="7">
        <v>1</v>
      </c>
      <c r="H33" s="1">
        <v>40</v>
      </c>
      <c r="I33" s="1" t="s">
        <v>100</v>
      </c>
      <c r="J33" s="1"/>
      <c r="K33" s="1">
        <v>15.5</v>
      </c>
      <c r="L33" s="1">
        <f t="shared" si="2"/>
        <v>-5.7200000000000006</v>
      </c>
      <c r="M33" s="1">
        <f t="shared" si="4"/>
        <v>9.7799999999999994</v>
      </c>
      <c r="N33" s="1"/>
      <c r="O33" s="1"/>
      <c r="P33" s="1">
        <v>0</v>
      </c>
      <c r="Q33" s="1"/>
      <c r="R33" s="1"/>
      <c r="S33" s="1"/>
      <c r="T33" s="1"/>
      <c r="U33" s="1"/>
      <c r="V33" s="1"/>
      <c r="W33" s="1">
        <v>0</v>
      </c>
      <c r="X33" s="1"/>
      <c r="Y33" s="1"/>
      <c r="Z33" s="1">
        <f t="shared" si="5"/>
        <v>1.956</v>
      </c>
      <c r="AA33" s="5"/>
      <c r="AB33" s="1">
        <f t="shared" si="6"/>
        <v>17.886503067484661</v>
      </c>
      <c r="AC33" s="1">
        <f t="shared" si="7"/>
        <v>17.886503067484661</v>
      </c>
      <c r="AD33" s="1">
        <v>1.4396</v>
      </c>
      <c r="AE33" s="1">
        <v>2.4447999999999999</v>
      </c>
      <c r="AF33" s="1">
        <v>3.2065999999999999</v>
      </c>
      <c r="AG33" s="1">
        <v>2.0581999999999998</v>
      </c>
      <c r="AH33" s="1">
        <v>2.5327999999999999</v>
      </c>
      <c r="AI33" s="1">
        <v>3.35</v>
      </c>
      <c r="AJ33" s="1">
        <v>4.3372000000000002</v>
      </c>
      <c r="AK33" s="1">
        <v>4.6543999999999999</v>
      </c>
      <c r="AL33" s="1" t="s">
        <v>101</v>
      </c>
      <c r="AM33" s="1">
        <f t="shared" si="3"/>
        <v>0</v>
      </c>
      <c r="AN33" s="1"/>
      <c r="AO33" s="1"/>
      <c r="AP33" s="1"/>
      <c r="AQ33" s="1"/>
      <c r="AR33" s="1"/>
    </row>
    <row r="34" spans="1:44" x14ac:dyDescent="0.25">
      <c r="A34" s="16" t="s">
        <v>102</v>
      </c>
      <c r="B34" s="1" t="s">
        <v>48</v>
      </c>
      <c r="C34" s="1">
        <v>6</v>
      </c>
      <c r="D34" s="1">
        <v>2</v>
      </c>
      <c r="E34" s="1">
        <v>-6</v>
      </c>
      <c r="F34" s="1">
        <v>1</v>
      </c>
      <c r="G34" s="7">
        <v>0.4</v>
      </c>
      <c r="H34" s="1">
        <v>40</v>
      </c>
      <c r="I34" s="1" t="s">
        <v>103</v>
      </c>
      <c r="J34" s="1"/>
      <c r="K34" s="1">
        <v>303</v>
      </c>
      <c r="L34" s="1">
        <f t="shared" si="2"/>
        <v>-309</v>
      </c>
      <c r="M34" s="1">
        <f t="shared" si="4"/>
        <v>-6</v>
      </c>
      <c r="N34" s="1"/>
      <c r="O34" s="1"/>
      <c r="P34" s="1">
        <v>300</v>
      </c>
      <c r="Q34" s="1"/>
      <c r="R34" s="1"/>
      <c r="S34" s="1"/>
      <c r="T34" s="1"/>
      <c r="U34" s="1"/>
      <c r="V34" s="1">
        <f>-81.6/G34</f>
        <v>-203.99999999999997</v>
      </c>
      <c r="W34" s="1">
        <v>200</v>
      </c>
      <c r="X34" s="1"/>
      <c r="Y34" s="1"/>
      <c r="Z34" s="1">
        <f t="shared" si="5"/>
        <v>-1.2</v>
      </c>
      <c r="AA34" s="5"/>
      <c r="AB34" s="1">
        <f t="shared" si="6"/>
        <v>-247.5</v>
      </c>
      <c r="AC34" s="1">
        <f t="shared" si="7"/>
        <v>-247.5</v>
      </c>
      <c r="AD34" s="1">
        <v>-1</v>
      </c>
      <c r="AE34" s="1">
        <v>-1</v>
      </c>
      <c r="AF34" s="1">
        <v>12</v>
      </c>
      <c r="AG34" s="1">
        <v>65.400000000000006</v>
      </c>
      <c r="AH34" s="1">
        <v>80.2</v>
      </c>
      <c r="AI34" s="1">
        <v>44.4</v>
      </c>
      <c r="AJ34" s="1">
        <v>31.2</v>
      </c>
      <c r="AK34" s="1">
        <v>40.4</v>
      </c>
      <c r="AL34" s="1"/>
      <c r="AM34" s="1">
        <f t="shared" si="3"/>
        <v>0</v>
      </c>
      <c r="AN34" s="1"/>
      <c r="AO34" s="1"/>
      <c r="AP34" s="1"/>
      <c r="AQ34" s="1"/>
      <c r="AR34" s="1"/>
    </row>
    <row r="35" spans="1:44" x14ac:dyDescent="0.25">
      <c r="A35" s="16" t="s">
        <v>104</v>
      </c>
      <c r="B35" s="1" t="s">
        <v>48</v>
      </c>
      <c r="C35" s="1">
        <v>208</v>
      </c>
      <c r="D35" s="1">
        <v>464</v>
      </c>
      <c r="E35" s="1">
        <v>235</v>
      </c>
      <c r="F35" s="1">
        <v>404</v>
      </c>
      <c r="G35" s="7">
        <v>0.4</v>
      </c>
      <c r="H35" s="1">
        <v>45</v>
      </c>
      <c r="I35" s="1" t="s">
        <v>105</v>
      </c>
      <c r="J35" s="1"/>
      <c r="K35" s="1">
        <v>318</v>
      </c>
      <c r="L35" s="1">
        <f t="shared" si="2"/>
        <v>-83</v>
      </c>
      <c r="M35" s="1">
        <f t="shared" si="4"/>
        <v>235</v>
      </c>
      <c r="N35" s="1"/>
      <c r="O35" s="1"/>
      <c r="P35" s="1">
        <v>0</v>
      </c>
      <c r="Q35" s="1"/>
      <c r="R35" s="1"/>
      <c r="S35" s="1"/>
      <c r="T35" s="1"/>
      <c r="U35" s="1"/>
      <c r="V35" s="1">
        <f>-93.6/G35</f>
        <v>-233.99999999999997</v>
      </c>
      <c r="W35" s="1">
        <v>232.7</v>
      </c>
      <c r="X35" s="1"/>
      <c r="Y35" s="1"/>
      <c r="Z35" s="1">
        <f t="shared" si="5"/>
        <v>47</v>
      </c>
      <c r="AA35" s="5">
        <f t="shared" si="8"/>
        <v>114.29999999999995</v>
      </c>
      <c r="AB35" s="1">
        <f t="shared" si="6"/>
        <v>11</v>
      </c>
      <c r="AC35" s="1">
        <f t="shared" si="7"/>
        <v>8.5680851063829788</v>
      </c>
      <c r="AD35" s="1">
        <v>52.2</v>
      </c>
      <c r="AE35" s="1">
        <v>48.4</v>
      </c>
      <c r="AF35" s="1">
        <v>56.4</v>
      </c>
      <c r="AG35" s="1">
        <v>42</v>
      </c>
      <c r="AH35" s="1">
        <v>27.6</v>
      </c>
      <c r="AI35" s="1">
        <v>34.799999999999997</v>
      </c>
      <c r="AJ35" s="1">
        <v>54.8</v>
      </c>
      <c r="AK35" s="1">
        <v>53.6</v>
      </c>
      <c r="AL35" s="1"/>
      <c r="AM35" s="1">
        <f t="shared" si="3"/>
        <v>45.719999999999985</v>
      </c>
      <c r="AN35" s="1"/>
      <c r="AO35" s="1"/>
      <c r="AP35" s="1"/>
      <c r="AQ35" s="1"/>
      <c r="AR35" s="1"/>
    </row>
    <row r="36" spans="1:44" x14ac:dyDescent="0.25">
      <c r="A36" s="1" t="s">
        <v>106</v>
      </c>
      <c r="B36" s="1" t="s">
        <v>41</v>
      </c>
      <c r="C36" s="1">
        <v>32.954000000000001</v>
      </c>
      <c r="D36" s="1">
        <v>15.500999999999999</v>
      </c>
      <c r="E36" s="1">
        <v>20.280999999999999</v>
      </c>
      <c r="F36" s="1">
        <v>25.667999999999999</v>
      </c>
      <c r="G36" s="7">
        <v>1</v>
      </c>
      <c r="H36" s="1">
        <v>40</v>
      </c>
      <c r="I36" s="1" t="s">
        <v>107</v>
      </c>
      <c r="J36" s="1"/>
      <c r="K36" s="1">
        <v>23.9</v>
      </c>
      <c r="L36" s="1">
        <f t="shared" si="2"/>
        <v>-3.6189999999999998</v>
      </c>
      <c r="M36" s="1">
        <f t="shared" si="4"/>
        <v>20.280999999999999</v>
      </c>
      <c r="N36" s="1"/>
      <c r="O36" s="1"/>
      <c r="P36" s="1">
        <v>18.178999999999991</v>
      </c>
      <c r="Q36" s="1"/>
      <c r="R36" s="1"/>
      <c r="S36" s="1"/>
      <c r="T36" s="1"/>
      <c r="U36" s="1"/>
      <c r="V36" s="1"/>
      <c r="W36" s="1">
        <v>13.53950000000002</v>
      </c>
      <c r="X36" s="1"/>
      <c r="Y36" s="1"/>
      <c r="Z36" s="1">
        <f t="shared" si="5"/>
        <v>4.0561999999999996</v>
      </c>
      <c r="AA36" s="5"/>
      <c r="AB36" s="1">
        <f t="shared" si="6"/>
        <v>14.147847739263355</v>
      </c>
      <c r="AC36" s="1">
        <f t="shared" si="7"/>
        <v>14.147847739263355</v>
      </c>
      <c r="AD36" s="1">
        <v>5.2270000000000003</v>
      </c>
      <c r="AE36" s="1">
        <v>5.5009999999999986</v>
      </c>
      <c r="AF36" s="1">
        <v>4.4914000000000014</v>
      </c>
      <c r="AG36" s="1">
        <v>6.1063999999999998</v>
      </c>
      <c r="AH36" s="1">
        <v>6.3879999999999999</v>
      </c>
      <c r="AI36" s="1">
        <v>3.4708000000000001</v>
      </c>
      <c r="AJ36" s="1">
        <v>4.7606000000000002</v>
      </c>
      <c r="AK36" s="1">
        <v>6.7906000000000004</v>
      </c>
      <c r="AL36" s="1"/>
      <c r="AM36" s="1">
        <f t="shared" si="3"/>
        <v>0</v>
      </c>
      <c r="AN36" s="1"/>
      <c r="AO36" s="1"/>
      <c r="AP36" s="1"/>
      <c r="AQ36" s="1"/>
      <c r="AR36" s="1"/>
    </row>
    <row r="37" spans="1:44" x14ac:dyDescent="0.25">
      <c r="A37" s="1" t="s">
        <v>108</v>
      </c>
      <c r="B37" s="1" t="s">
        <v>48</v>
      </c>
      <c r="C37" s="1">
        <v>965</v>
      </c>
      <c r="D37" s="1">
        <v>67</v>
      </c>
      <c r="E37" s="1">
        <v>447</v>
      </c>
      <c r="F37" s="1">
        <v>511</v>
      </c>
      <c r="G37" s="7">
        <v>0.35</v>
      </c>
      <c r="H37" s="1">
        <v>40</v>
      </c>
      <c r="I37" s="13" t="s">
        <v>109</v>
      </c>
      <c r="J37" s="1"/>
      <c r="K37" s="1">
        <v>864</v>
      </c>
      <c r="L37" s="1">
        <f t="shared" si="2"/>
        <v>-417</v>
      </c>
      <c r="M37" s="1">
        <f t="shared" si="4"/>
        <v>447</v>
      </c>
      <c r="N37" s="1"/>
      <c r="O37" s="1"/>
      <c r="P37" s="1">
        <v>200</v>
      </c>
      <c r="Q37" s="1"/>
      <c r="R37" s="1"/>
      <c r="S37" s="1"/>
      <c r="T37" s="1"/>
      <c r="U37" s="1"/>
      <c r="V37" s="1"/>
      <c r="W37" s="1">
        <v>490.5</v>
      </c>
      <c r="X37" s="1"/>
      <c r="Y37" s="1"/>
      <c r="Z37" s="1">
        <f t="shared" si="5"/>
        <v>89.4</v>
      </c>
      <c r="AA37" s="5"/>
      <c r="AB37" s="1">
        <f t="shared" si="6"/>
        <v>13.439597315436242</v>
      </c>
      <c r="AC37" s="1">
        <f t="shared" si="7"/>
        <v>13.439597315436242</v>
      </c>
      <c r="AD37" s="1">
        <v>110</v>
      </c>
      <c r="AE37" s="1">
        <v>269.2</v>
      </c>
      <c r="AF37" s="1">
        <v>266.39999999999998</v>
      </c>
      <c r="AG37" s="1">
        <v>466.2</v>
      </c>
      <c r="AH37" s="1">
        <v>465.2</v>
      </c>
      <c r="AI37" s="1">
        <v>121.2</v>
      </c>
      <c r="AJ37" s="1">
        <v>128.6</v>
      </c>
      <c r="AK37" s="1">
        <v>118</v>
      </c>
      <c r="AL37" s="1" t="s">
        <v>110</v>
      </c>
      <c r="AM37" s="1">
        <f t="shared" si="3"/>
        <v>0</v>
      </c>
      <c r="AN37" s="1"/>
      <c r="AO37" s="1"/>
      <c r="AP37" s="1"/>
      <c r="AQ37" s="1"/>
      <c r="AR37" s="1"/>
    </row>
    <row r="38" spans="1:44" x14ac:dyDescent="0.25">
      <c r="A38" s="1" t="s">
        <v>111</v>
      </c>
      <c r="B38" s="1" t="s">
        <v>48</v>
      </c>
      <c r="C38" s="1">
        <v>136</v>
      </c>
      <c r="D38" s="1">
        <v>367</v>
      </c>
      <c r="E38" s="1">
        <v>319</v>
      </c>
      <c r="F38" s="1">
        <v>116</v>
      </c>
      <c r="G38" s="7">
        <v>0.4</v>
      </c>
      <c r="H38" s="1">
        <v>40</v>
      </c>
      <c r="I38" s="1" t="s">
        <v>112</v>
      </c>
      <c r="J38" s="1"/>
      <c r="K38" s="1">
        <v>538</v>
      </c>
      <c r="L38" s="1">
        <f t="shared" ref="L38:L69" si="9">E38-K38</f>
        <v>-219</v>
      </c>
      <c r="M38" s="1">
        <f t="shared" si="4"/>
        <v>319</v>
      </c>
      <c r="N38" s="1"/>
      <c r="O38" s="1"/>
      <c r="P38" s="1">
        <v>251.6</v>
      </c>
      <c r="Q38" s="1"/>
      <c r="R38" s="1"/>
      <c r="S38" s="1"/>
      <c r="T38" s="1"/>
      <c r="U38" s="1"/>
      <c r="V38" s="1"/>
      <c r="W38" s="1">
        <v>501.4</v>
      </c>
      <c r="X38" s="1"/>
      <c r="Y38" s="1"/>
      <c r="Z38" s="1">
        <f t="shared" si="5"/>
        <v>63.8</v>
      </c>
      <c r="AA38" s="5"/>
      <c r="AB38" s="1">
        <f t="shared" si="6"/>
        <v>13.620689655172415</v>
      </c>
      <c r="AC38" s="1">
        <f t="shared" si="7"/>
        <v>13.620689655172415</v>
      </c>
      <c r="AD38" s="1">
        <v>76</v>
      </c>
      <c r="AE38" s="1">
        <v>54.6</v>
      </c>
      <c r="AF38" s="1">
        <v>57.4</v>
      </c>
      <c r="AG38" s="1">
        <v>95.4</v>
      </c>
      <c r="AH38" s="1">
        <v>87.2</v>
      </c>
      <c r="AI38" s="1">
        <v>75.599999999999994</v>
      </c>
      <c r="AJ38" s="1">
        <v>88.2</v>
      </c>
      <c r="AK38" s="1">
        <v>91.4</v>
      </c>
      <c r="AL38" s="1"/>
      <c r="AM38" s="1">
        <f t="shared" ref="AM38:AM69" si="10">G38*AA38</f>
        <v>0</v>
      </c>
      <c r="AN38" s="1"/>
      <c r="AO38" s="1"/>
      <c r="AP38" s="1"/>
      <c r="AQ38" s="1"/>
      <c r="AR38" s="1"/>
    </row>
    <row r="39" spans="1:44" x14ac:dyDescent="0.25">
      <c r="A39" s="1" t="s">
        <v>113</v>
      </c>
      <c r="B39" s="1" t="s">
        <v>41</v>
      </c>
      <c r="C39" s="1">
        <v>106.373</v>
      </c>
      <c r="D39" s="1">
        <v>132.93100000000001</v>
      </c>
      <c r="E39" s="1">
        <v>83.438000000000002</v>
      </c>
      <c r="F39" s="1">
        <v>141.11199999999999</v>
      </c>
      <c r="G39" s="7">
        <v>1</v>
      </c>
      <c r="H39" s="1">
        <v>50</v>
      </c>
      <c r="I39" s="1" t="s">
        <v>114</v>
      </c>
      <c r="J39" s="1"/>
      <c r="K39" s="1">
        <v>140.9</v>
      </c>
      <c r="L39" s="1">
        <f t="shared" si="9"/>
        <v>-57.462000000000003</v>
      </c>
      <c r="M39" s="1">
        <f t="shared" si="4"/>
        <v>83.438000000000002</v>
      </c>
      <c r="N39" s="1"/>
      <c r="O39" s="1"/>
      <c r="P39" s="1">
        <v>16.167200000000008</v>
      </c>
      <c r="Q39" s="1"/>
      <c r="R39" s="1"/>
      <c r="S39" s="1"/>
      <c r="T39" s="1"/>
      <c r="U39" s="1"/>
      <c r="V39" s="1"/>
      <c r="W39" s="1">
        <v>79.456299999999999</v>
      </c>
      <c r="X39" s="1"/>
      <c r="Y39" s="1"/>
      <c r="Z39" s="1">
        <f t="shared" si="5"/>
        <v>16.6876</v>
      </c>
      <c r="AA39" s="5"/>
      <c r="AB39" s="1">
        <f t="shared" si="6"/>
        <v>14.186311992137876</v>
      </c>
      <c r="AC39" s="1">
        <f t="shared" si="7"/>
        <v>14.186311992137876</v>
      </c>
      <c r="AD39" s="1">
        <v>20.451000000000001</v>
      </c>
      <c r="AE39" s="1">
        <v>20.7852</v>
      </c>
      <c r="AF39" s="1">
        <v>18.385200000000001</v>
      </c>
      <c r="AG39" s="1">
        <v>26.343</v>
      </c>
      <c r="AH39" s="1">
        <v>19.9468</v>
      </c>
      <c r="AI39" s="1">
        <v>21.797999999999998</v>
      </c>
      <c r="AJ39" s="1">
        <v>22.839600000000001</v>
      </c>
      <c r="AK39" s="1">
        <v>22.878599999999999</v>
      </c>
      <c r="AL39" s="1"/>
      <c r="AM39" s="1">
        <f t="shared" si="10"/>
        <v>0</v>
      </c>
      <c r="AN39" s="1"/>
      <c r="AO39" s="1"/>
      <c r="AP39" s="1"/>
      <c r="AQ39" s="1"/>
      <c r="AR39" s="1"/>
    </row>
    <row r="40" spans="1:44" x14ac:dyDescent="0.25">
      <c r="A40" s="1" t="s">
        <v>115</v>
      </c>
      <c r="B40" s="1" t="s">
        <v>41</v>
      </c>
      <c r="C40" s="1">
        <v>695.69399999999996</v>
      </c>
      <c r="D40" s="1">
        <v>92.480999999999995</v>
      </c>
      <c r="E40" s="1">
        <v>314.11799999999999</v>
      </c>
      <c r="F40" s="1">
        <v>431.75200000000001</v>
      </c>
      <c r="G40" s="7">
        <v>1</v>
      </c>
      <c r="H40" s="1">
        <v>50</v>
      </c>
      <c r="I40" s="1" t="s">
        <v>116</v>
      </c>
      <c r="J40" s="1"/>
      <c r="K40" s="1">
        <v>580.79999999999995</v>
      </c>
      <c r="L40" s="1">
        <f t="shared" si="9"/>
        <v>-266.68199999999996</v>
      </c>
      <c r="M40" s="1">
        <f t="shared" si="4"/>
        <v>314.11799999999999</v>
      </c>
      <c r="N40" s="1"/>
      <c r="O40" s="1"/>
      <c r="P40" s="1">
        <v>279.68899999999991</v>
      </c>
      <c r="Q40" s="1"/>
      <c r="R40" s="1"/>
      <c r="S40" s="1"/>
      <c r="T40" s="1">
        <v>300</v>
      </c>
      <c r="U40" s="1">
        <v>100</v>
      </c>
      <c r="V40" s="1"/>
      <c r="W40" s="1">
        <v>192.2442999999999</v>
      </c>
      <c r="X40" s="1"/>
      <c r="Y40" s="1"/>
      <c r="Z40" s="1">
        <f t="shared" si="5"/>
        <v>62.823599999999999</v>
      </c>
      <c r="AA40" s="5"/>
      <c r="AB40" s="1">
        <f t="shared" si="6"/>
        <v>20.751521721136637</v>
      </c>
      <c r="AC40" s="1">
        <f t="shared" si="7"/>
        <v>20.751521721136637</v>
      </c>
      <c r="AD40" s="1">
        <v>78.122199999999992</v>
      </c>
      <c r="AE40" s="1">
        <v>85.384200000000007</v>
      </c>
      <c r="AF40" s="1">
        <v>84.619600000000005</v>
      </c>
      <c r="AG40" s="1">
        <v>57.522199999999998</v>
      </c>
      <c r="AH40" s="1">
        <v>111.0634</v>
      </c>
      <c r="AI40" s="1">
        <v>151.00360000000001</v>
      </c>
      <c r="AJ40" s="1">
        <v>105.7694</v>
      </c>
      <c r="AK40" s="1">
        <v>88.509799999999998</v>
      </c>
      <c r="AL40" s="1"/>
      <c r="AM40" s="1">
        <f t="shared" si="10"/>
        <v>0</v>
      </c>
      <c r="AN40" s="1"/>
      <c r="AO40" s="1"/>
      <c r="AP40" s="1"/>
      <c r="AQ40" s="1"/>
      <c r="AR40" s="1"/>
    </row>
    <row r="41" spans="1:44" x14ac:dyDescent="0.25">
      <c r="A41" s="1" t="s">
        <v>117</v>
      </c>
      <c r="B41" s="1" t="s">
        <v>48</v>
      </c>
      <c r="C41" s="1">
        <v>310</v>
      </c>
      <c r="D41" s="1">
        <v>891</v>
      </c>
      <c r="E41" s="1">
        <v>371</v>
      </c>
      <c r="F41" s="1">
        <v>671</v>
      </c>
      <c r="G41" s="7">
        <v>0.45</v>
      </c>
      <c r="H41" s="1">
        <v>50</v>
      </c>
      <c r="I41" s="1" t="s">
        <v>118</v>
      </c>
      <c r="J41" s="1"/>
      <c r="K41" s="1">
        <v>626</v>
      </c>
      <c r="L41" s="1">
        <f t="shared" si="9"/>
        <v>-255</v>
      </c>
      <c r="M41" s="1">
        <f t="shared" si="4"/>
        <v>371</v>
      </c>
      <c r="N41" s="1"/>
      <c r="O41" s="1"/>
      <c r="P41" s="1">
        <v>195.67769929999989</v>
      </c>
      <c r="Q41" s="1"/>
      <c r="R41" s="1"/>
      <c r="S41" s="1"/>
      <c r="T41" s="1"/>
      <c r="U41" s="1"/>
      <c r="V41" s="1"/>
      <c r="W41" s="1">
        <v>306.2</v>
      </c>
      <c r="X41" s="1"/>
      <c r="Y41" s="1"/>
      <c r="Z41" s="1">
        <f t="shared" si="5"/>
        <v>74.2</v>
      </c>
      <c r="AA41" s="5"/>
      <c r="AB41" s="1">
        <f t="shared" si="6"/>
        <v>15.806977079514823</v>
      </c>
      <c r="AC41" s="1">
        <f t="shared" si="7"/>
        <v>15.806977079514823</v>
      </c>
      <c r="AD41" s="1">
        <v>96</v>
      </c>
      <c r="AE41" s="1">
        <v>96.8</v>
      </c>
      <c r="AF41" s="1">
        <v>97.4</v>
      </c>
      <c r="AG41" s="1">
        <v>102</v>
      </c>
      <c r="AH41" s="1">
        <v>99.8</v>
      </c>
      <c r="AI41" s="1">
        <v>86.137</v>
      </c>
      <c r="AJ41" s="1">
        <v>64.936999999999998</v>
      </c>
      <c r="AK41" s="1">
        <v>81.20320000000001</v>
      </c>
      <c r="AL41" s="1"/>
      <c r="AM41" s="1">
        <f t="shared" si="10"/>
        <v>0</v>
      </c>
      <c r="AN41" s="1"/>
      <c r="AO41" s="1"/>
      <c r="AP41" s="1"/>
      <c r="AQ41" s="1"/>
      <c r="AR41" s="1"/>
    </row>
    <row r="42" spans="1:44" x14ac:dyDescent="0.25">
      <c r="A42" s="1" t="s">
        <v>119</v>
      </c>
      <c r="B42" s="1" t="s">
        <v>48</v>
      </c>
      <c r="C42" s="1">
        <v>330</v>
      </c>
      <c r="D42" s="1">
        <v>1191</v>
      </c>
      <c r="E42" s="1">
        <v>476</v>
      </c>
      <c r="F42" s="1">
        <v>794</v>
      </c>
      <c r="G42" s="7">
        <v>0.45</v>
      </c>
      <c r="H42" s="1">
        <v>50</v>
      </c>
      <c r="I42" s="1" t="s">
        <v>120</v>
      </c>
      <c r="J42" s="1"/>
      <c r="K42" s="1">
        <v>896</v>
      </c>
      <c r="L42" s="1">
        <f t="shared" si="9"/>
        <v>-420</v>
      </c>
      <c r="M42" s="1">
        <f t="shared" si="4"/>
        <v>476</v>
      </c>
      <c r="N42" s="1"/>
      <c r="O42" s="1"/>
      <c r="P42" s="1">
        <v>194.65135311824011</v>
      </c>
      <c r="Q42" s="1"/>
      <c r="R42" s="1">
        <v>197.79089107176009</v>
      </c>
      <c r="S42" s="1"/>
      <c r="T42" s="1"/>
      <c r="U42" s="1"/>
      <c r="V42" s="1"/>
      <c r="W42" s="1">
        <v>322.90999999999968</v>
      </c>
      <c r="X42" s="1"/>
      <c r="Y42" s="1"/>
      <c r="Z42" s="1">
        <f t="shared" si="5"/>
        <v>95.2</v>
      </c>
      <c r="AA42" s="5"/>
      <c r="AB42" s="1">
        <f t="shared" si="6"/>
        <v>15.854540380147055</v>
      </c>
      <c r="AC42" s="1">
        <f t="shared" si="7"/>
        <v>15.854540380147055</v>
      </c>
      <c r="AD42" s="1">
        <v>128.6</v>
      </c>
      <c r="AE42" s="1">
        <v>132</v>
      </c>
      <c r="AF42" s="1">
        <v>114.6</v>
      </c>
      <c r="AG42" s="1">
        <v>104.4</v>
      </c>
      <c r="AH42" s="1">
        <v>96.4</v>
      </c>
      <c r="AI42" s="1">
        <v>86</v>
      </c>
      <c r="AJ42" s="1">
        <v>79.2</v>
      </c>
      <c r="AK42" s="1">
        <v>98.6</v>
      </c>
      <c r="AL42" s="1"/>
      <c r="AM42" s="1">
        <f t="shared" si="10"/>
        <v>0</v>
      </c>
      <c r="AN42" s="1"/>
      <c r="AO42" s="1"/>
      <c r="AP42" s="1"/>
      <c r="AQ42" s="1"/>
      <c r="AR42" s="1"/>
    </row>
    <row r="43" spans="1:44" x14ac:dyDescent="0.25">
      <c r="A43" s="1" t="s">
        <v>121</v>
      </c>
      <c r="B43" s="1" t="s">
        <v>48</v>
      </c>
      <c r="C43" s="1">
        <v>10</v>
      </c>
      <c r="D43" s="1">
        <v>45</v>
      </c>
      <c r="E43" s="1">
        <v>19</v>
      </c>
      <c r="F43" s="1">
        <v>23</v>
      </c>
      <c r="G43" s="7">
        <v>0.4</v>
      </c>
      <c r="H43" s="1">
        <v>40</v>
      </c>
      <c r="I43" s="1" t="s">
        <v>122</v>
      </c>
      <c r="J43" s="1"/>
      <c r="K43" s="1">
        <v>50</v>
      </c>
      <c r="L43" s="1">
        <f t="shared" si="9"/>
        <v>-31</v>
      </c>
      <c r="M43" s="1">
        <f t="shared" si="4"/>
        <v>19</v>
      </c>
      <c r="N43" s="1"/>
      <c r="O43" s="1"/>
      <c r="P43" s="1">
        <v>0</v>
      </c>
      <c r="Q43" s="1"/>
      <c r="R43" s="1"/>
      <c r="S43" s="1"/>
      <c r="T43" s="1"/>
      <c r="U43" s="1"/>
      <c r="V43" s="1"/>
      <c r="W43" s="1">
        <v>18.5</v>
      </c>
      <c r="X43" s="1"/>
      <c r="Y43" s="1"/>
      <c r="Z43" s="1">
        <f t="shared" si="5"/>
        <v>3.8</v>
      </c>
      <c r="AA43" s="5">
        <f t="shared" si="8"/>
        <v>0.29999999999999716</v>
      </c>
      <c r="AB43" s="1">
        <f t="shared" si="6"/>
        <v>11</v>
      </c>
      <c r="AC43" s="1">
        <f t="shared" si="7"/>
        <v>10.921052631578949</v>
      </c>
      <c r="AD43" s="1">
        <v>3.8</v>
      </c>
      <c r="AE43" s="1">
        <v>-0.6</v>
      </c>
      <c r="AF43" s="1">
        <v>0.8</v>
      </c>
      <c r="AG43" s="1">
        <v>12.2</v>
      </c>
      <c r="AH43" s="1">
        <v>12.4</v>
      </c>
      <c r="AI43" s="1">
        <v>5</v>
      </c>
      <c r="AJ43" s="1">
        <v>4.2</v>
      </c>
      <c r="AK43" s="1">
        <v>6.2</v>
      </c>
      <c r="AL43" s="1"/>
      <c r="AM43" s="1">
        <f t="shared" si="10"/>
        <v>0.11999999999999887</v>
      </c>
      <c r="AN43" s="1"/>
      <c r="AO43" s="1"/>
      <c r="AP43" s="1"/>
      <c r="AQ43" s="1"/>
      <c r="AR43" s="1"/>
    </row>
    <row r="44" spans="1:44" x14ac:dyDescent="0.25">
      <c r="A44" s="1" t="s">
        <v>123</v>
      </c>
      <c r="B44" s="1" t="s">
        <v>41</v>
      </c>
      <c r="C44" s="1">
        <v>339.19499999999999</v>
      </c>
      <c r="D44" s="1">
        <v>836.52700000000004</v>
      </c>
      <c r="E44" s="1">
        <v>315.45600000000002</v>
      </c>
      <c r="F44" s="1">
        <v>823.37699999999995</v>
      </c>
      <c r="G44" s="7">
        <v>1</v>
      </c>
      <c r="H44" s="1">
        <v>50</v>
      </c>
      <c r="I44" s="1" t="s">
        <v>124</v>
      </c>
      <c r="J44" s="1"/>
      <c r="K44" s="1">
        <v>552.5</v>
      </c>
      <c r="L44" s="1">
        <f t="shared" si="9"/>
        <v>-237.04399999999998</v>
      </c>
      <c r="M44" s="1">
        <f t="shared" si="4"/>
        <v>315.45600000000002</v>
      </c>
      <c r="N44" s="1"/>
      <c r="O44" s="1"/>
      <c r="P44" s="1">
        <v>298.38560000000012</v>
      </c>
      <c r="Q44" s="1"/>
      <c r="R44" s="1"/>
      <c r="S44" s="1"/>
      <c r="T44" s="1"/>
      <c r="U44" s="1"/>
      <c r="V44" s="1"/>
      <c r="W44" s="1">
        <v>0</v>
      </c>
      <c r="X44" s="1"/>
      <c r="Y44" s="1"/>
      <c r="Z44" s="1">
        <f t="shared" si="5"/>
        <v>63.091200000000001</v>
      </c>
      <c r="AA44" s="5"/>
      <c r="AB44" s="1">
        <f t="shared" si="6"/>
        <v>17.780016864475552</v>
      </c>
      <c r="AC44" s="1">
        <f t="shared" si="7"/>
        <v>17.780016864475552</v>
      </c>
      <c r="AD44" s="1">
        <v>69.980199999999996</v>
      </c>
      <c r="AE44" s="1">
        <v>120.0566</v>
      </c>
      <c r="AF44" s="1">
        <v>112.971</v>
      </c>
      <c r="AG44" s="1">
        <v>95.999600000000001</v>
      </c>
      <c r="AH44" s="1">
        <v>109.7628</v>
      </c>
      <c r="AI44" s="1">
        <v>96.142200000000003</v>
      </c>
      <c r="AJ44" s="1">
        <v>102.41540000000001</v>
      </c>
      <c r="AK44" s="1">
        <v>98.602599999999995</v>
      </c>
      <c r="AL44" s="1"/>
      <c r="AM44" s="1">
        <f t="shared" si="10"/>
        <v>0</v>
      </c>
      <c r="AN44" s="1"/>
      <c r="AO44" s="1"/>
      <c r="AP44" s="1"/>
      <c r="AQ44" s="1"/>
      <c r="AR44" s="1"/>
    </row>
    <row r="45" spans="1:44" x14ac:dyDescent="0.25">
      <c r="A45" s="1" t="s">
        <v>125</v>
      </c>
      <c r="B45" s="1" t="s">
        <v>48</v>
      </c>
      <c r="C45" s="1">
        <v>167</v>
      </c>
      <c r="D45" s="1">
        <v>149</v>
      </c>
      <c r="E45" s="1">
        <v>109</v>
      </c>
      <c r="F45" s="1">
        <v>198</v>
      </c>
      <c r="G45" s="7">
        <v>0.1</v>
      </c>
      <c r="H45" s="1">
        <v>731</v>
      </c>
      <c r="I45" s="1" t="s">
        <v>126</v>
      </c>
      <c r="J45" s="1"/>
      <c r="K45" s="1">
        <v>139</v>
      </c>
      <c r="L45" s="1">
        <f t="shared" si="9"/>
        <v>-30</v>
      </c>
      <c r="M45" s="1">
        <f t="shared" si="4"/>
        <v>109</v>
      </c>
      <c r="N45" s="1"/>
      <c r="O45" s="1"/>
      <c r="P45" s="1">
        <v>35.199999999999989</v>
      </c>
      <c r="Q45" s="1"/>
      <c r="R45" s="1"/>
      <c r="S45" s="1"/>
      <c r="T45" s="1"/>
      <c r="U45" s="1"/>
      <c r="V45" s="1"/>
      <c r="W45" s="1">
        <v>72.800000000000011</v>
      </c>
      <c r="X45" s="1"/>
      <c r="Y45" s="1"/>
      <c r="Z45" s="1">
        <f t="shared" si="5"/>
        <v>21.8</v>
      </c>
      <c r="AA45" s="5"/>
      <c r="AB45" s="1">
        <f t="shared" si="6"/>
        <v>14.036697247706421</v>
      </c>
      <c r="AC45" s="1">
        <f t="shared" si="7"/>
        <v>14.036697247706421</v>
      </c>
      <c r="AD45" s="1">
        <v>26.4</v>
      </c>
      <c r="AE45" s="1">
        <v>29.2</v>
      </c>
      <c r="AF45" s="1">
        <v>30</v>
      </c>
      <c r="AG45" s="1">
        <v>19.600000000000001</v>
      </c>
      <c r="AH45" s="1">
        <v>25.6</v>
      </c>
      <c r="AI45" s="1">
        <v>36</v>
      </c>
      <c r="AJ45" s="1">
        <v>27.6</v>
      </c>
      <c r="AK45" s="1">
        <v>21.6</v>
      </c>
      <c r="AL45" s="1"/>
      <c r="AM45" s="1">
        <f t="shared" si="10"/>
        <v>0</v>
      </c>
      <c r="AN45" s="1"/>
      <c r="AO45" s="1"/>
      <c r="AP45" s="1"/>
      <c r="AQ45" s="1"/>
      <c r="AR45" s="1"/>
    </row>
    <row r="46" spans="1:44" x14ac:dyDescent="0.25">
      <c r="A46" s="1" t="s">
        <v>127</v>
      </c>
      <c r="B46" s="1" t="s">
        <v>41</v>
      </c>
      <c r="C46" s="1">
        <v>757.43200000000002</v>
      </c>
      <c r="D46" s="1">
        <v>459.77100000000002</v>
      </c>
      <c r="E46" s="1">
        <v>398.78300000000002</v>
      </c>
      <c r="F46" s="1">
        <v>763.702</v>
      </c>
      <c r="G46" s="7">
        <v>1</v>
      </c>
      <c r="H46" s="1">
        <v>50</v>
      </c>
      <c r="I46" s="1" t="s">
        <v>128</v>
      </c>
      <c r="J46" s="1"/>
      <c r="K46" s="1">
        <v>568.29999999999995</v>
      </c>
      <c r="L46" s="1">
        <f t="shared" si="9"/>
        <v>-169.51699999999994</v>
      </c>
      <c r="M46" s="1">
        <f t="shared" si="4"/>
        <v>398.78300000000002</v>
      </c>
      <c r="N46" s="1"/>
      <c r="O46" s="1"/>
      <c r="P46" s="1">
        <v>0</v>
      </c>
      <c r="Q46" s="1"/>
      <c r="R46" s="1"/>
      <c r="S46" s="1"/>
      <c r="T46" s="1"/>
      <c r="U46" s="1"/>
      <c r="V46" s="1"/>
      <c r="W46" s="1">
        <v>152.80499999999989</v>
      </c>
      <c r="X46" s="1"/>
      <c r="Y46" s="1"/>
      <c r="Z46" s="1">
        <f t="shared" si="5"/>
        <v>79.756600000000006</v>
      </c>
      <c r="AA46" s="5"/>
      <c r="AB46" s="1">
        <f t="shared" si="6"/>
        <v>11.491299779579368</v>
      </c>
      <c r="AC46" s="1">
        <f t="shared" si="7"/>
        <v>11.491299779579368</v>
      </c>
      <c r="AD46" s="1">
        <v>81.925600000000003</v>
      </c>
      <c r="AE46" s="1">
        <v>86.080600000000004</v>
      </c>
      <c r="AF46" s="1">
        <v>92.588999999999999</v>
      </c>
      <c r="AG46" s="1">
        <v>122.23399999999999</v>
      </c>
      <c r="AH46" s="1">
        <v>127.477</v>
      </c>
      <c r="AI46" s="1">
        <v>116.47839999999999</v>
      </c>
      <c r="AJ46" s="1">
        <v>107.4956</v>
      </c>
      <c r="AK46" s="1">
        <v>89.548199999999994</v>
      </c>
      <c r="AL46" s="1"/>
      <c r="AM46" s="1">
        <f t="shared" si="10"/>
        <v>0</v>
      </c>
      <c r="AN46" s="1"/>
      <c r="AO46" s="1"/>
      <c r="AP46" s="1"/>
      <c r="AQ46" s="1"/>
      <c r="AR46" s="1"/>
    </row>
    <row r="47" spans="1:44" x14ac:dyDescent="0.25">
      <c r="A47" s="1" t="s">
        <v>129</v>
      </c>
      <c r="B47" s="1" t="s">
        <v>41</v>
      </c>
      <c r="C47" s="1">
        <v>75.415000000000006</v>
      </c>
      <c r="D47" s="1">
        <v>9.4190000000000005</v>
      </c>
      <c r="E47" s="1">
        <v>21.206</v>
      </c>
      <c r="F47" s="1">
        <v>53.904000000000003</v>
      </c>
      <c r="G47" s="7">
        <v>1</v>
      </c>
      <c r="H47" s="1">
        <v>55</v>
      </c>
      <c r="I47" s="1" t="s">
        <v>130</v>
      </c>
      <c r="J47" s="1"/>
      <c r="K47" s="1">
        <v>31.5</v>
      </c>
      <c r="L47" s="1">
        <f t="shared" si="9"/>
        <v>-10.294</v>
      </c>
      <c r="M47" s="1">
        <f t="shared" si="4"/>
        <v>21.206</v>
      </c>
      <c r="N47" s="1"/>
      <c r="O47" s="1"/>
      <c r="P47" s="1">
        <v>0</v>
      </c>
      <c r="Q47" s="1"/>
      <c r="R47" s="1"/>
      <c r="S47" s="1"/>
      <c r="T47" s="1"/>
      <c r="U47" s="1"/>
      <c r="V47" s="1"/>
      <c r="W47" s="1">
        <v>7.1900000000000048</v>
      </c>
      <c r="X47" s="1"/>
      <c r="Y47" s="1"/>
      <c r="Z47" s="1">
        <f t="shared" si="5"/>
        <v>4.2412000000000001</v>
      </c>
      <c r="AA47" s="5"/>
      <c r="AB47" s="1">
        <f t="shared" si="6"/>
        <v>14.404885409789683</v>
      </c>
      <c r="AC47" s="1">
        <f t="shared" si="7"/>
        <v>14.404885409789683</v>
      </c>
      <c r="AD47" s="1">
        <v>5.3171999999999997</v>
      </c>
      <c r="AE47" s="1">
        <v>3.4356</v>
      </c>
      <c r="AF47" s="1">
        <v>4.8685999999999998</v>
      </c>
      <c r="AG47" s="1">
        <v>7.0706000000000007</v>
      </c>
      <c r="AH47" s="1">
        <v>8.1921999999999997</v>
      </c>
      <c r="AI47" s="1">
        <v>4.92</v>
      </c>
      <c r="AJ47" s="1">
        <v>4.6549999999999994</v>
      </c>
      <c r="AK47" s="1">
        <v>5.2093999999999996</v>
      </c>
      <c r="AL47" s="1"/>
      <c r="AM47" s="1">
        <f t="shared" si="10"/>
        <v>0</v>
      </c>
      <c r="AN47" s="1"/>
      <c r="AO47" s="1"/>
      <c r="AP47" s="1"/>
      <c r="AQ47" s="1"/>
      <c r="AR47" s="1"/>
    </row>
    <row r="48" spans="1:44" x14ac:dyDescent="0.25">
      <c r="A48" s="1" t="s">
        <v>131</v>
      </c>
      <c r="B48" s="1" t="s">
        <v>48</v>
      </c>
      <c r="C48" s="1">
        <v>190</v>
      </c>
      <c r="D48" s="1">
        <v>149</v>
      </c>
      <c r="E48" s="1">
        <v>104</v>
      </c>
      <c r="F48" s="1">
        <v>226</v>
      </c>
      <c r="G48" s="7">
        <v>0.1</v>
      </c>
      <c r="H48" s="1">
        <v>731</v>
      </c>
      <c r="I48" s="1" t="s">
        <v>132</v>
      </c>
      <c r="J48" s="1"/>
      <c r="K48" s="1">
        <v>125</v>
      </c>
      <c r="L48" s="1">
        <f t="shared" si="9"/>
        <v>-21</v>
      </c>
      <c r="M48" s="1">
        <f t="shared" si="4"/>
        <v>104</v>
      </c>
      <c r="N48" s="1"/>
      <c r="O48" s="1"/>
      <c r="P48" s="1">
        <v>8</v>
      </c>
      <c r="Q48" s="1"/>
      <c r="R48" s="1"/>
      <c r="S48" s="1"/>
      <c r="T48" s="1"/>
      <c r="U48" s="1"/>
      <c r="V48" s="1"/>
      <c r="W48" s="1">
        <v>42.199999999999989</v>
      </c>
      <c r="X48" s="1"/>
      <c r="Y48" s="1"/>
      <c r="Z48" s="1">
        <f t="shared" si="5"/>
        <v>20.8</v>
      </c>
      <c r="AA48" s="5"/>
      <c r="AB48" s="1">
        <f t="shared" si="6"/>
        <v>13.278846153846153</v>
      </c>
      <c r="AC48" s="1">
        <f t="shared" si="7"/>
        <v>13.278846153846153</v>
      </c>
      <c r="AD48" s="1">
        <v>23.6</v>
      </c>
      <c r="AE48" s="1">
        <v>27.2</v>
      </c>
      <c r="AF48" s="1">
        <v>30.4</v>
      </c>
      <c r="AG48" s="1">
        <v>17.600000000000001</v>
      </c>
      <c r="AH48" s="1">
        <v>19.8</v>
      </c>
      <c r="AI48" s="1">
        <v>31.4</v>
      </c>
      <c r="AJ48" s="1">
        <v>23.4</v>
      </c>
      <c r="AK48" s="1">
        <v>19.600000000000001</v>
      </c>
      <c r="AL48" s="1"/>
      <c r="AM48" s="1">
        <f t="shared" si="10"/>
        <v>0</v>
      </c>
      <c r="AN48" s="1"/>
      <c r="AO48" s="1"/>
      <c r="AP48" s="1"/>
      <c r="AQ48" s="1"/>
      <c r="AR48" s="1"/>
    </row>
    <row r="49" spans="1:44" x14ac:dyDescent="0.25">
      <c r="A49" s="1" t="s">
        <v>133</v>
      </c>
      <c r="B49" s="1" t="s">
        <v>48</v>
      </c>
      <c r="C49" s="1"/>
      <c r="D49" s="1">
        <v>10</v>
      </c>
      <c r="E49" s="1">
        <v>1</v>
      </c>
      <c r="F49" s="1">
        <v>9</v>
      </c>
      <c r="G49" s="7">
        <v>0.4</v>
      </c>
      <c r="H49" s="1">
        <v>50</v>
      </c>
      <c r="I49" s="1" t="s">
        <v>134</v>
      </c>
      <c r="J49" s="1"/>
      <c r="K49" s="1">
        <v>1</v>
      </c>
      <c r="L49" s="1">
        <f t="shared" si="9"/>
        <v>0</v>
      </c>
      <c r="M49" s="1">
        <f t="shared" si="4"/>
        <v>1</v>
      </c>
      <c r="N49" s="1"/>
      <c r="O49" s="1"/>
      <c r="P49" s="1">
        <v>17.8</v>
      </c>
      <c r="Q49" s="1"/>
      <c r="R49" s="1"/>
      <c r="S49" s="1"/>
      <c r="T49" s="1"/>
      <c r="U49" s="1"/>
      <c r="V49" s="1"/>
      <c r="W49" s="1">
        <v>0</v>
      </c>
      <c r="X49" s="1"/>
      <c r="Y49" s="1"/>
      <c r="Z49" s="1">
        <f t="shared" si="5"/>
        <v>0.2</v>
      </c>
      <c r="AA49" s="5"/>
      <c r="AB49" s="1">
        <f t="shared" si="6"/>
        <v>134</v>
      </c>
      <c r="AC49" s="1">
        <f t="shared" si="7"/>
        <v>134</v>
      </c>
      <c r="AD49" s="1">
        <v>1.6</v>
      </c>
      <c r="AE49" s="1">
        <v>2.8</v>
      </c>
      <c r="AF49" s="1">
        <v>1.2</v>
      </c>
      <c r="AG49" s="1">
        <v>0</v>
      </c>
      <c r="AH49" s="1">
        <v>0.4</v>
      </c>
      <c r="AI49" s="1">
        <v>0.4</v>
      </c>
      <c r="AJ49" s="1">
        <v>0</v>
      </c>
      <c r="AK49" s="1">
        <v>0</v>
      </c>
      <c r="AL49" s="1"/>
      <c r="AM49" s="1">
        <f t="shared" si="10"/>
        <v>0</v>
      </c>
      <c r="AN49" s="1"/>
      <c r="AO49" s="1"/>
      <c r="AP49" s="1"/>
      <c r="AQ49" s="1"/>
      <c r="AR49" s="1"/>
    </row>
    <row r="50" spans="1:44" x14ac:dyDescent="0.25">
      <c r="A50" s="1" t="s">
        <v>135</v>
      </c>
      <c r="B50" s="1" t="s">
        <v>41</v>
      </c>
      <c r="C50" s="1">
        <v>91.832999999999998</v>
      </c>
      <c r="D50" s="1">
        <v>41.773000000000003</v>
      </c>
      <c r="E50" s="1">
        <v>48.395000000000003</v>
      </c>
      <c r="F50" s="1">
        <v>77.706999999999994</v>
      </c>
      <c r="G50" s="7">
        <v>1</v>
      </c>
      <c r="H50" s="1">
        <v>40</v>
      </c>
      <c r="I50" s="1" t="s">
        <v>136</v>
      </c>
      <c r="J50" s="1"/>
      <c r="K50" s="1">
        <v>84.4</v>
      </c>
      <c r="L50" s="1">
        <f t="shared" si="9"/>
        <v>-36.005000000000003</v>
      </c>
      <c r="M50" s="1">
        <f t="shared" si="4"/>
        <v>48.395000000000003</v>
      </c>
      <c r="N50" s="1"/>
      <c r="O50" s="1"/>
      <c r="P50" s="1">
        <v>39.049999999999983</v>
      </c>
      <c r="Q50" s="1"/>
      <c r="R50" s="1"/>
      <c r="S50" s="1"/>
      <c r="T50" s="1"/>
      <c r="U50" s="1"/>
      <c r="V50" s="1"/>
      <c r="W50" s="1">
        <v>4</v>
      </c>
      <c r="X50" s="1"/>
      <c r="Y50" s="1"/>
      <c r="Z50" s="1">
        <f t="shared" si="5"/>
        <v>9.6790000000000003</v>
      </c>
      <c r="AA50" s="5"/>
      <c r="AB50" s="1">
        <f t="shared" si="6"/>
        <v>12.476185556359125</v>
      </c>
      <c r="AC50" s="1">
        <f t="shared" si="7"/>
        <v>12.476185556359125</v>
      </c>
      <c r="AD50" s="1">
        <v>10.668799999999999</v>
      </c>
      <c r="AE50" s="1">
        <v>14.4322</v>
      </c>
      <c r="AF50" s="1">
        <v>12.6326</v>
      </c>
      <c r="AG50" s="1">
        <v>14.220599999999999</v>
      </c>
      <c r="AH50" s="1">
        <v>11.2966</v>
      </c>
      <c r="AI50" s="1">
        <v>0.4582</v>
      </c>
      <c r="AJ50" s="1">
        <v>4.8795999999999999</v>
      </c>
      <c r="AK50" s="1">
        <v>24.591000000000001</v>
      </c>
      <c r="AL50" s="1"/>
      <c r="AM50" s="1">
        <f t="shared" si="10"/>
        <v>0</v>
      </c>
      <c r="AN50" s="1"/>
      <c r="AO50" s="1"/>
      <c r="AP50" s="1"/>
      <c r="AQ50" s="1"/>
      <c r="AR50" s="1"/>
    </row>
    <row r="51" spans="1:44" x14ac:dyDescent="0.25">
      <c r="A51" s="1" t="s">
        <v>137</v>
      </c>
      <c r="B51" s="1" t="s">
        <v>41</v>
      </c>
      <c r="C51" s="1">
        <v>57.689</v>
      </c>
      <c r="D51" s="1"/>
      <c r="E51" s="1">
        <v>8.0389999999999997</v>
      </c>
      <c r="F51" s="1">
        <v>49.65</v>
      </c>
      <c r="G51" s="7">
        <v>1</v>
      </c>
      <c r="H51" s="1">
        <v>40</v>
      </c>
      <c r="I51" s="1" t="s">
        <v>138</v>
      </c>
      <c r="J51" s="1"/>
      <c r="K51" s="1">
        <v>7.6</v>
      </c>
      <c r="L51" s="1">
        <f t="shared" si="9"/>
        <v>0.43900000000000006</v>
      </c>
      <c r="M51" s="1">
        <f t="shared" si="4"/>
        <v>8.0389999999999997</v>
      </c>
      <c r="N51" s="1"/>
      <c r="O51" s="1"/>
      <c r="P51" s="1">
        <v>0</v>
      </c>
      <c r="Q51" s="1"/>
      <c r="R51" s="1"/>
      <c r="S51" s="1"/>
      <c r="T51" s="1"/>
      <c r="U51" s="1"/>
      <c r="V51" s="1"/>
      <c r="W51" s="1">
        <v>0</v>
      </c>
      <c r="X51" s="1"/>
      <c r="Y51" s="1"/>
      <c r="Z51" s="1">
        <f t="shared" si="5"/>
        <v>1.6077999999999999</v>
      </c>
      <c r="AA51" s="5"/>
      <c r="AB51" s="1">
        <f t="shared" si="6"/>
        <v>30.880706555541735</v>
      </c>
      <c r="AC51" s="1">
        <f t="shared" si="7"/>
        <v>30.880706555541735</v>
      </c>
      <c r="AD51" s="1">
        <v>1.6292</v>
      </c>
      <c r="AE51" s="1">
        <v>1.1017999999999999</v>
      </c>
      <c r="AF51" s="1">
        <v>0.30680000000000002</v>
      </c>
      <c r="AG51" s="1">
        <v>0.37080000000000002</v>
      </c>
      <c r="AH51" s="1">
        <v>0.44779999999999998</v>
      </c>
      <c r="AI51" s="1">
        <v>3.7235999999999998</v>
      </c>
      <c r="AJ51" s="1">
        <v>8.1310000000000002</v>
      </c>
      <c r="AK51" s="1">
        <v>7.1864000000000008</v>
      </c>
      <c r="AL51" s="1" t="s">
        <v>139</v>
      </c>
      <c r="AM51" s="1">
        <f t="shared" si="10"/>
        <v>0</v>
      </c>
      <c r="AN51" s="1"/>
      <c r="AO51" s="1"/>
      <c r="AP51" s="1"/>
      <c r="AQ51" s="1"/>
      <c r="AR51" s="1"/>
    </row>
    <row r="52" spans="1:44" x14ac:dyDescent="0.25">
      <c r="A52" s="16" t="s">
        <v>140</v>
      </c>
      <c r="B52" s="1" t="s">
        <v>48</v>
      </c>
      <c r="C52" s="1">
        <v>166</v>
      </c>
      <c r="D52" s="1">
        <v>1050</v>
      </c>
      <c r="E52" s="1">
        <v>539</v>
      </c>
      <c r="F52" s="1">
        <v>532</v>
      </c>
      <c r="G52" s="7">
        <v>0.4</v>
      </c>
      <c r="H52" s="1">
        <v>40</v>
      </c>
      <c r="I52" s="1" t="s">
        <v>141</v>
      </c>
      <c r="J52" s="1"/>
      <c r="K52" s="1">
        <v>857</v>
      </c>
      <c r="L52" s="1">
        <f t="shared" si="9"/>
        <v>-318</v>
      </c>
      <c r="M52" s="1">
        <f t="shared" si="4"/>
        <v>539</v>
      </c>
      <c r="N52" s="1"/>
      <c r="O52" s="1"/>
      <c r="P52" s="1">
        <v>310.49599999999998</v>
      </c>
      <c r="Q52" s="1"/>
      <c r="R52" s="1">
        <v>315.50400000000002</v>
      </c>
      <c r="S52" s="1"/>
      <c r="T52" s="1"/>
      <c r="U52" s="1"/>
      <c r="V52" s="1">
        <f>-98.4/G52</f>
        <v>-246</v>
      </c>
      <c r="W52" s="1">
        <v>243.61999999999961</v>
      </c>
      <c r="X52" s="1"/>
      <c r="Y52" s="1"/>
      <c r="Z52" s="1">
        <f t="shared" si="5"/>
        <v>107.8</v>
      </c>
      <c r="AA52" s="5">
        <f t="shared" si="8"/>
        <v>30.180000000000291</v>
      </c>
      <c r="AB52" s="1">
        <f t="shared" si="6"/>
        <v>11</v>
      </c>
      <c r="AC52" s="1">
        <f t="shared" si="7"/>
        <v>10.720037105751389</v>
      </c>
      <c r="AD52" s="1">
        <v>129.19999999999999</v>
      </c>
      <c r="AE52" s="1">
        <v>139.4</v>
      </c>
      <c r="AF52" s="1">
        <v>108.2</v>
      </c>
      <c r="AG52" s="1">
        <v>105.6</v>
      </c>
      <c r="AH52" s="1">
        <v>124.6</v>
      </c>
      <c r="AI52" s="1">
        <v>83.8</v>
      </c>
      <c r="AJ52" s="1">
        <v>22.4</v>
      </c>
      <c r="AK52" s="1">
        <v>59.2</v>
      </c>
      <c r="AL52" s="1"/>
      <c r="AM52" s="1">
        <f t="shared" si="10"/>
        <v>12.072000000000116</v>
      </c>
      <c r="AN52" s="1"/>
      <c r="AO52" s="1"/>
      <c r="AP52" s="1"/>
      <c r="AQ52" s="1"/>
      <c r="AR52" s="1"/>
    </row>
    <row r="53" spans="1:44" x14ac:dyDescent="0.25">
      <c r="A53" s="16" t="s">
        <v>142</v>
      </c>
      <c r="B53" s="1" t="s">
        <v>48</v>
      </c>
      <c r="C53" s="1">
        <v>669</v>
      </c>
      <c r="D53" s="1">
        <v>418</v>
      </c>
      <c r="E53" s="1">
        <v>478</v>
      </c>
      <c r="F53" s="1">
        <v>525</v>
      </c>
      <c r="G53" s="7">
        <v>0.4</v>
      </c>
      <c r="H53" s="1">
        <v>40</v>
      </c>
      <c r="I53" s="1" t="s">
        <v>143</v>
      </c>
      <c r="J53" s="1"/>
      <c r="K53" s="1">
        <v>640</v>
      </c>
      <c r="L53" s="1">
        <f t="shared" si="9"/>
        <v>-162</v>
      </c>
      <c r="M53" s="1">
        <f t="shared" si="4"/>
        <v>478</v>
      </c>
      <c r="N53" s="1"/>
      <c r="O53" s="1"/>
      <c r="P53" s="1">
        <v>193.73283671519991</v>
      </c>
      <c r="Q53" s="1"/>
      <c r="R53" s="1"/>
      <c r="S53" s="1"/>
      <c r="T53" s="1"/>
      <c r="U53" s="1"/>
      <c r="V53" s="1">
        <f>-170.4/G53</f>
        <v>-426</v>
      </c>
      <c r="W53" s="1">
        <v>424.45999999999992</v>
      </c>
      <c r="X53" s="1"/>
      <c r="Y53" s="1"/>
      <c r="Z53" s="1">
        <f t="shared" si="5"/>
        <v>95.6</v>
      </c>
      <c r="AA53" s="5">
        <f t="shared" si="8"/>
        <v>334.40716328479994</v>
      </c>
      <c r="AB53" s="1">
        <f t="shared" si="6"/>
        <v>11</v>
      </c>
      <c r="AC53" s="1">
        <f t="shared" si="7"/>
        <v>7.5020171204518817</v>
      </c>
      <c r="AD53" s="1">
        <v>103.6</v>
      </c>
      <c r="AE53" s="1">
        <v>96.2</v>
      </c>
      <c r="AF53" s="1">
        <v>93</v>
      </c>
      <c r="AG53" s="1">
        <v>100.6</v>
      </c>
      <c r="AH53" s="1">
        <v>103.2</v>
      </c>
      <c r="AI53" s="1">
        <v>92.8</v>
      </c>
      <c r="AJ53" s="1">
        <v>85.8</v>
      </c>
      <c r="AK53" s="1">
        <v>85.6</v>
      </c>
      <c r="AL53" s="1"/>
      <c r="AM53" s="1">
        <f t="shared" si="10"/>
        <v>133.76286531391997</v>
      </c>
      <c r="AN53" s="1"/>
      <c r="AO53" s="1"/>
      <c r="AP53" s="1"/>
      <c r="AQ53" s="1"/>
      <c r="AR53" s="1"/>
    </row>
    <row r="54" spans="1:44" x14ac:dyDescent="0.25">
      <c r="A54" s="1" t="s">
        <v>144</v>
      </c>
      <c r="B54" s="1" t="s">
        <v>41</v>
      </c>
      <c r="C54" s="1">
        <v>149.708</v>
      </c>
      <c r="D54" s="1">
        <v>28.111000000000001</v>
      </c>
      <c r="E54" s="1">
        <v>42.991</v>
      </c>
      <c r="F54" s="1">
        <v>128.49600000000001</v>
      </c>
      <c r="G54" s="7">
        <v>1</v>
      </c>
      <c r="H54" s="1">
        <v>40</v>
      </c>
      <c r="I54" s="1" t="s">
        <v>145</v>
      </c>
      <c r="J54" s="1"/>
      <c r="K54" s="1">
        <v>59.2</v>
      </c>
      <c r="L54" s="1">
        <f t="shared" si="9"/>
        <v>-16.209000000000003</v>
      </c>
      <c r="M54" s="1">
        <f t="shared" si="4"/>
        <v>42.991</v>
      </c>
      <c r="N54" s="1"/>
      <c r="O54" s="1"/>
      <c r="P54" s="1">
        <v>0</v>
      </c>
      <c r="Q54" s="1"/>
      <c r="R54" s="1"/>
      <c r="S54" s="1"/>
      <c r="T54" s="1"/>
      <c r="U54" s="1"/>
      <c r="V54" s="1"/>
      <c r="W54" s="1">
        <v>0</v>
      </c>
      <c r="X54" s="1"/>
      <c r="Y54" s="1"/>
      <c r="Z54" s="1">
        <f t="shared" si="5"/>
        <v>8.5982000000000003</v>
      </c>
      <c r="AA54" s="5"/>
      <c r="AB54" s="1">
        <f t="shared" si="6"/>
        <v>14.944523272312811</v>
      </c>
      <c r="AC54" s="1">
        <f t="shared" si="7"/>
        <v>14.944523272312811</v>
      </c>
      <c r="AD54" s="1">
        <v>10.3788</v>
      </c>
      <c r="AE54" s="1">
        <v>10.9048</v>
      </c>
      <c r="AF54" s="1">
        <v>10.0128</v>
      </c>
      <c r="AG54" s="1">
        <v>18.179400000000001</v>
      </c>
      <c r="AH54" s="1">
        <v>18.554600000000001</v>
      </c>
      <c r="AI54" s="1">
        <v>5.6436000000000002</v>
      </c>
      <c r="AJ54" s="1">
        <v>0.72619999999999996</v>
      </c>
      <c r="AK54" s="1">
        <v>-0.1802</v>
      </c>
      <c r="AL54" s="1"/>
      <c r="AM54" s="1">
        <f t="shared" si="10"/>
        <v>0</v>
      </c>
      <c r="AN54" s="1"/>
      <c r="AO54" s="1"/>
      <c r="AP54" s="1"/>
      <c r="AQ54" s="1"/>
      <c r="AR54" s="1"/>
    </row>
    <row r="55" spans="1:44" x14ac:dyDescent="0.25">
      <c r="A55" s="1" t="s">
        <v>146</v>
      </c>
      <c r="B55" s="1" t="s">
        <v>41</v>
      </c>
      <c r="C55" s="1">
        <v>39.451000000000001</v>
      </c>
      <c r="D55" s="1">
        <v>162.01</v>
      </c>
      <c r="E55" s="1">
        <v>55.893999999999998</v>
      </c>
      <c r="F55" s="1">
        <v>139.26300000000001</v>
      </c>
      <c r="G55" s="7">
        <v>1</v>
      </c>
      <c r="H55" s="1">
        <v>40</v>
      </c>
      <c r="I55" s="1" t="s">
        <v>147</v>
      </c>
      <c r="J55" s="1"/>
      <c r="K55" s="1">
        <v>64</v>
      </c>
      <c r="L55" s="1">
        <f t="shared" si="9"/>
        <v>-8.1060000000000016</v>
      </c>
      <c r="M55" s="1">
        <f t="shared" si="4"/>
        <v>55.893999999999998</v>
      </c>
      <c r="N55" s="1"/>
      <c r="O55" s="1"/>
      <c r="P55" s="1">
        <v>0</v>
      </c>
      <c r="Q55" s="1"/>
      <c r="R55" s="1"/>
      <c r="S55" s="1"/>
      <c r="T55" s="1"/>
      <c r="U55" s="1"/>
      <c r="V55" s="1"/>
      <c r="W55" s="1">
        <v>16.926800000000011</v>
      </c>
      <c r="X55" s="1"/>
      <c r="Y55" s="1"/>
      <c r="Z55" s="1">
        <f t="shared" si="5"/>
        <v>11.178799999999999</v>
      </c>
      <c r="AA55" s="5"/>
      <c r="AB55" s="1">
        <f t="shared" si="6"/>
        <v>13.971964790496299</v>
      </c>
      <c r="AC55" s="1">
        <f t="shared" si="7"/>
        <v>13.971964790496299</v>
      </c>
      <c r="AD55" s="1">
        <v>12.990399999999999</v>
      </c>
      <c r="AE55" s="1">
        <v>13.3424</v>
      </c>
      <c r="AF55" s="1">
        <v>17.515799999999999</v>
      </c>
      <c r="AG55" s="1">
        <v>14.6234</v>
      </c>
      <c r="AH55" s="1">
        <v>4.8811999999999998</v>
      </c>
      <c r="AI55" s="1">
        <v>5.7866</v>
      </c>
      <c r="AJ55" s="1">
        <v>13.375400000000001</v>
      </c>
      <c r="AK55" s="1">
        <v>12.828799999999999</v>
      </c>
      <c r="AL55" s="1"/>
      <c r="AM55" s="1">
        <f t="shared" si="10"/>
        <v>0</v>
      </c>
      <c r="AN55" s="1"/>
      <c r="AO55" s="1"/>
      <c r="AP55" s="1"/>
      <c r="AQ55" s="1"/>
      <c r="AR55" s="1"/>
    </row>
    <row r="56" spans="1:44" x14ac:dyDescent="0.25">
      <c r="A56" s="1" t="s">
        <v>148</v>
      </c>
      <c r="B56" s="1" t="s">
        <v>41</v>
      </c>
      <c r="C56" s="1">
        <v>1354.577</v>
      </c>
      <c r="D56" s="1">
        <v>23.88</v>
      </c>
      <c r="E56" s="1">
        <v>607.77700000000004</v>
      </c>
      <c r="F56" s="1">
        <v>737.55399999999997</v>
      </c>
      <c r="G56" s="7">
        <v>1</v>
      </c>
      <c r="H56" s="1">
        <v>40</v>
      </c>
      <c r="I56" s="1" t="s">
        <v>149</v>
      </c>
      <c r="J56" s="1"/>
      <c r="K56" s="1">
        <v>667.01199999999994</v>
      </c>
      <c r="L56" s="1">
        <f t="shared" si="9"/>
        <v>-59.2349999999999</v>
      </c>
      <c r="M56" s="1">
        <f t="shared" si="4"/>
        <v>607.77700000000004</v>
      </c>
      <c r="N56" s="1"/>
      <c r="O56" s="1"/>
      <c r="P56" s="1">
        <v>298.72145599999999</v>
      </c>
      <c r="Q56" s="1"/>
      <c r="R56" s="1">
        <v>303.53954399999998</v>
      </c>
      <c r="S56" s="1"/>
      <c r="T56" s="1"/>
      <c r="U56" s="1"/>
      <c r="V56" s="1"/>
      <c r="W56" s="1">
        <v>689.29949999999985</v>
      </c>
      <c r="X56" s="1">
        <v>63</v>
      </c>
      <c r="Y56" s="1"/>
      <c r="Z56" s="1">
        <f t="shared" si="5"/>
        <v>121.55540000000001</v>
      </c>
      <c r="AA56" s="5"/>
      <c r="AB56" s="1">
        <f t="shared" si="6"/>
        <v>17.211201641391494</v>
      </c>
      <c r="AC56" s="1">
        <f t="shared" si="7"/>
        <v>17.211201641391494</v>
      </c>
      <c r="AD56" s="1">
        <v>176.9426</v>
      </c>
      <c r="AE56" s="1">
        <v>160.39500000000001</v>
      </c>
      <c r="AF56" s="1">
        <v>105.7924</v>
      </c>
      <c r="AG56" s="1">
        <v>94.529399999999995</v>
      </c>
      <c r="AH56" s="1">
        <v>94.002600000000001</v>
      </c>
      <c r="AI56" s="1">
        <v>120.4922</v>
      </c>
      <c r="AJ56" s="1">
        <v>204.0352</v>
      </c>
      <c r="AK56" s="1">
        <v>200.19560000000001</v>
      </c>
      <c r="AL56" s="1"/>
      <c r="AM56" s="1">
        <f t="shared" si="10"/>
        <v>0</v>
      </c>
      <c r="AN56" s="1"/>
      <c r="AO56" s="1"/>
      <c r="AP56" s="1"/>
      <c r="AQ56" s="1"/>
      <c r="AR56" s="1"/>
    </row>
    <row r="57" spans="1:44" x14ac:dyDescent="0.25">
      <c r="A57" s="1" t="s">
        <v>150</v>
      </c>
      <c r="B57" s="1" t="s">
        <v>41</v>
      </c>
      <c r="C57" s="1">
        <v>57.02</v>
      </c>
      <c r="D57" s="1">
        <v>61.634999999999998</v>
      </c>
      <c r="E57" s="1">
        <v>53.232999999999997</v>
      </c>
      <c r="F57" s="1">
        <v>35.573</v>
      </c>
      <c r="G57" s="7">
        <v>1</v>
      </c>
      <c r="H57" s="1">
        <v>40</v>
      </c>
      <c r="I57" s="1" t="s">
        <v>151</v>
      </c>
      <c r="J57" s="1"/>
      <c r="K57" s="1">
        <v>102.3</v>
      </c>
      <c r="L57" s="1">
        <f t="shared" si="9"/>
        <v>-49.067</v>
      </c>
      <c r="M57" s="1">
        <f t="shared" si="4"/>
        <v>53.232999999999997</v>
      </c>
      <c r="N57" s="1"/>
      <c r="O57" s="1"/>
      <c r="P57" s="1">
        <v>75.207600000000014</v>
      </c>
      <c r="Q57" s="1"/>
      <c r="R57" s="1"/>
      <c r="S57" s="1"/>
      <c r="T57" s="1"/>
      <c r="U57" s="1"/>
      <c r="V57" s="1"/>
      <c r="W57" s="1">
        <v>27.868500000000001</v>
      </c>
      <c r="X57" s="1"/>
      <c r="Y57" s="1"/>
      <c r="Z57" s="1">
        <f t="shared" si="5"/>
        <v>10.646599999999999</v>
      </c>
      <c r="AA57" s="5"/>
      <c r="AB57" s="1">
        <f t="shared" si="6"/>
        <v>13.022852366013566</v>
      </c>
      <c r="AC57" s="1">
        <f t="shared" si="7"/>
        <v>13.022852366013566</v>
      </c>
      <c r="AD57" s="1">
        <v>11.2418</v>
      </c>
      <c r="AE57" s="1">
        <v>12.716799999999999</v>
      </c>
      <c r="AF57" s="1">
        <v>8.7721999999999998</v>
      </c>
      <c r="AG57" s="1">
        <v>8.0261999999999993</v>
      </c>
      <c r="AH57" s="1">
        <v>9.0599999999999987</v>
      </c>
      <c r="AI57" s="1">
        <v>10.198</v>
      </c>
      <c r="AJ57" s="1">
        <v>9.1614000000000004</v>
      </c>
      <c r="AK57" s="1">
        <v>9.3217999999999996</v>
      </c>
      <c r="AL57" s="1"/>
      <c r="AM57" s="1">
        <f t="shared" si="10"/>
        <v>0</v>
      </c>
      <c r="AN57" s="1"/>
      <c r="AO57" s="1"/>
      <c r="AP57" s="1"/>
      <c r="AQ57" s="1"/>
      <c r="AR57" s="1"/>
    </row>
    <row r="58" spans="1:44" x14ac:dyDescent="0.25">
      <c r="A58" s="1" t="s">
        <v>152</v>
      </c>
      <c r="B58" s="1" t="s">
        <v>41</v>
      </c>
      <c r="C58" s="1">
        <v>239.12</v>
      </c>
      <c r="D58" s="1">
        <v>660.43299999999999</v>
      </c>
      <c r="E58" s="1">
        <v>456.51900000000001</v>
      </c>
      <c r="F58" s="1">
        <v>363.16199999999998</v>
      </c>
      <c r="G58" s="7">
        <v>1</v>
      </c>
      <c r="H58" s="1">
        <v>30</v>
      </c>
      <c r="I58" s="1" t="s">
        <v>153</v>
      </c>
      <c r="J58" s="1"/>
      <c r="K58" s="1">
        <v>647.798</v>
      </c>
      <c r="L58" s="1">
        <f t="shared" si="9"/>
        <v>-191.279</v>
      </c>
      <c r="M58" s="1">
        <f t="shared" si="4"/>
        <v>456.51900000000001</v>
      </c>
      <c r="N58" s="1"/>
      <c r="O58" s="1"/>
      <c r="P58" s="1">
        <v>0</v>
      </c>
      <c r="Q58" s="1"/>
      <c r="R58" s="1"/>
      <c r="S58" s="1"/>
      <c r="T58" s="1"/>
      <c r="U58" s="1"/>
      <c r="V58" s="1"/>
      <c r="W58" s="1">
        <v>918.31219000000021</v>
      </c>
      <c r="X58" s="1"/>
      <c r="Y58" s="1"/>
      <c r="Z58" s="1">
        <f t="shared" si="5"/>
        <v>91.303799999999995</v>
      </c>
      <c r="AA58" s="5"/>
      <c r="AB58" s="1">
        <f t="shared" si="6"/>
        <v>14.035277721190139</v>
      </c>
      <c r="AC58" s="1">
        <f t="shared" si="7"/>
        <v>14.035277721190139</v>
      </c>
      <c r="AD58" s="1">
        <v>116.23739999999999</v>
      </c>
      <c r="AE58" s="1">
        <v>91.614599999999996</v>
      </c>
      <c r="AF58" s="1">
        <v>122.62739999999999</v>
      </c>
      <c r="AG58" s="1">
        <v>181.6866</v>
      </c>
      <c r="AH58" s="1">
        <v>114.6506</v>
      </c>
      <c r="AI58" s="1">
        <v>69.47999999999999</v>
      </c>
      <c r="AJ58" s="1">
        <v>56.1828</v>
      </c>
      <c r="AK58" s="1">
        <v>55.811199999999999</v>
      </c>
      <c r="AL58" s="1" t="s">
        <v>154</v>
      </c>
      <c r="AM58" s="1">
        <f t="shared" si="10"/>
        <v>0</v>
      </c>
      <c r="AN58" s="1"/>
      <c r="AO58" s="1"/>
      <c r="AP58" s="1"/>
      <c r="AQ58" s="1"/>
      <c r="AR58" s="1"/>
    </row>
    <row r="59" spans="1:44" x14ac:dyDescent="0.25">
      <c r="A59" s="1" t="s">
        <v>155</v>
      </c>
      <c r="B59" s="1" t="s">
        <v>48</v>
      </c>
      <c r="C59" s="1">
        <v>896</v>
      </c>
      <c r="D59" s="1">
        <v>281</v>
      </c>
      <c r="E59" s="1">
        <v>370</v>
      </c>
      <c r="F59" s="1">
        <v>588</v>
      </c>
      <c r="G59" s="7">
        <v>0.6</v>
      </c>
      <c r="H59" s="1">
        <v>60</v>
      </c>
      <c r="I59" s="1" t="s">
        <v>156</v>
      </c>
      <c r="J59" s="1"/>
      <c r="K59" s="1">
        <v>630</v>
      </c>
      <c r="L59" s="1">
        <f t="shared" si="9"/>
        <v>-260</v>
      </c>
      <c r="M59" s="1">
        <f t="shared" si="4"/>
        <v>370</v>
      </c>
      <c r="N59" s="1"/>
      <c r="O59" s="1"/>
      <c r="P59" s="1">
        <v>242.64319999999989</v>
      </c>
      <c r="Q59" s="1"/>
      <c r="R59" s="1">
        <v>246.5567999999999</v>
      </c>
      <c r="S59" s="1"/>
      <c r="T59" s="1"/>
      <c r="U59" s="1"/>
      <c r="V59" s="1"/>
      <c r="W59" s="1">
        <v>302.10000000000008</v>
      </c>
      <c r="X59" s="1"/>
      <c r="Y59" s="1"/>
      <c r="Z59" s="1">
        <f t="shared" si="5"/>
        <v>74</v>
      </c>
      <c r="AA59" s="5"/>
      <c r="AB59" s="1">
        <f t="shared" si="6"/>
        <v>18.639189189189189</v>
      </c>
      <c r="AC59" s="1">
        <f t="shared" si="7"/>
        <v>18.639189189189189</v>
      </c>
      <c r="AD59" s="1">
        <v>122</v>
      </c>
      <c r="AE59" s="1">
        <v>127.6</v>
      </c>
      <c r="AF59" s="1">
        <v>96.2</v>
      </c>
      <c r="AG59" s="1">
        <v>82</v>
      </c>
      <c r="AH59" s="1">
        <v>93.4</v>
      </c>
      <c r="AI59" s="1">
        <v>153</v>
      </c>
      <c r="AJ59" s="1">
        <v>154</v>
      </c>
      <c r="AK59" s="1">
        <v>159</v>
      </c>
      <c r="AL59" s="1"/>
      <c r="AM59" s="1">
        <f t="shared" si="10"/>
        <v>0</v>
      </c>
      <c r="AN59" s="1"/>
      <c r="AO59" s="1"/>
      <c r="AP59" s="1"/>
      <c r="AQ59" s="1"/>
      <c r="AR59" s="1"/>
    </row>
    <row r="60" spans="1:44" x14ac:dyDescent="0.25">
      <c r="A60" s="1" t="s">
        <v>157</v>
      </c>
      <c r="B60" s="1" t="s">
        <v>48</v>
      </c>
      <c r="C60" s="1">
        <v>497</v>
      </c>
      <c r="D60" s="1">
        <v>643</v>
      </c>
      <c r="E60" s="1">
        <v>343</v>
      </c>
      <c r="F60" s="1">
        <v>632</v>
      </c>
      <c r="G60" s="7">
        <v>0.6</v>
      </c>
      <c r="H60" s="1">
        <v>60</v>
      </c>
      <c r="I60" s="1" t="s">
        <v>158</v>
      </c>
      <c r="J60" s="1"/>
      <c r="K60" s="1">
        <v>625</v>
      </c>
      <c r="L60" s="1">
        <f t="shared" si="9"/>
        <v>-282</v>
      </c>
      <c r="M60" s="1">
        <f t="shared" si="4"/>
        <v>343</v>
      </c>
      <c r="N60" s="1"/>
      <c r="O60" s="1"/>
      <c r="P60" s="1">
        <v>151.1808</v>
      </c>
      <c r="Q60" s="1"/>
      <c r="R60" s="1">
        <v>153.61920000000001</v>
      </c>
      <c r="S60" s="1"/>
      <c r="T60" s="1"/>
      <c r="U60" s="1"/>
      <c r="V60" s="1"/>
      <c r="W60" s="1">
        <v>280.30999999999977</v>
      </c>
      <c r="X60" s="1"/>
      <c r="Y60" s="1"/>
      <c r="Z60" s="1">
        <f t="shared" si="5"/>
        <v>68.599999999999994</v>
      </c>
      <c r="AA60" s="5"/>
      <c r="AB60" s="1">
        <f t="shared" si="6"/>
        <v>17.742128279883378</v>
      </c>
      <c r="AC60" s="1">
        <f t="shared" si="7"/>
        <v>17.742128279883378</v>
      </c>
      <c r="AD60" s="1">
        <v>104.6</v>
      </c>
      <c r="AE60" s="1">
        <v>112.2</v>
      </c>
      <c r="AF60" s="1">
        <v>95.2</v>
      </c>
      <c r="AG60" s="1">
        <v>77.400000000000006</v>
      </c>
      <c r="AH60" s="1">
        <v>92.4</v>
      </c>
      <c r="AI60" s="1">
        <v>121.2</v>
      </c>
      <c r="AJ60" s="1">
        <v>86.6</v>
      </c>
      <c r="AK60" s="1">
        <v>75.2</v>
      </c>
      <c r="AL60" s="1"/>
      <c r="AM60" s="1">
        <f t="shared" si="10"/>
        <v>0</v>
      </c>
      <c r="AN60" s="1"/>
      <c r="AO60" s="1"/>
      <c r="AP60" s="1"/>
      <c r="AQ60" s="1"/>
      <c r="AR60" s="1"/>
    </row>
    <row r="61" spans="1:44" x14ac:dyDescent="0.25">
      <c r="A61" s="1" t="s">
        <v>159</v>
      </c>
      <c r="B61" s="1" t="s">
        <v>48</v>
      </c>
      <c r="C61" s="1">
        <v>101</v>
      </c>
      <c r="D61" s="1">
        <v>54</v>
      </c>
      <c r="E61" s="1">
        <v>41</v>
      </c>
      <c r="F61" s="1">
        <v>106</v>
      </c>
      <c r="G61" s="7">
        <v>0.35</v>
      </c>
      <c r="H61" s="1">
        <v>90</v>
      </c>
      <c r="I61" s="1" t="s">
        <v>160</v>
      </c>
      <c r="J61" s="1"/>
      <c r="K61" s="1">
        <v>50</v>
      </c>
      <c r="L61" s="1">
        <f t="shared" si="9"/>
        <v>-9</v>
      </c>
      <c r="M61" s="1">
        <f t="shared" si="4"/>
        <v>41</v>
      </c>
      <c r="N61" s="1"/>
      <c r="O61" s="1"/>
      <c r="P61" s="1">
        <v>68.799999999999955</v>
      </c>
      <c r="Q61" s="1"/>
      <c r="R61" s="1"/>
      <c r="S61" s="1"/>
      <c r="T61" s="1"/>
      <c r="U61" s="1"/>
      <c r="V61" s="1"/>
      <c r="W61" s="1">
        <v>0</v>
      </c>
      <c r="X61" s="1"/>
      <c r="Y61" s="1"/>
      <c r="Z61" s="1">
        <f t="shared" si="5"/>
        <v>8.1999999999999993</v>
      </c>
      <c r="AA61" s="5"/>
      <c r="AB61" s="1">
        <f t="shared" si="6"/>
        <v>21.317073170731703</v>
      </c>
      <c r="AC61" s="1">
        <f t="shared" si="7"/>
        <v>21.317073170731703</v>
      </c>
      <c r="AD61" s="1">
        <v>11.2</v>
      </c>
      <c r="AE61" s="1">
        <v>17.399999999999999</v>
      </c>
      <c r="AF61" s="1">
        <v>13.8</v>
      </c>
      <c r="AG61" s="1">
        <v>7.8</v>
      </c>
      <c r="AH61" s="1">
        <v>5.6</v>
      </c>
      <c r="AI61" s="1">
        <v>8.8000000000000007</v>
      </c>
      <c r="AJ61" s="1">
        <v>17</v>
      </c>
      <c r="AK61" s="1">
        <v>11</v>
      </c>
      <c r="AL61" s="1"/>
      <c r="AM61" s="1">
        <f t="shared" si="10"/>
        <v>0</v>
      </c>
      <c r="AN61" s="1"/>
      <c r="AO61" s="1"/>
      <c r="AP61" s="1"/>
      <c r="AQ61" s="1"/>
      <c r="AR61" s="1"/>
    </row>
    <row r="62" spans="1:44" x14ac:dyDescent="0.25">
      <c r="A62" s="1" t="s">
        <v>161</v>
      </c>
      <c r="B62" s="1" t="s">
        <v>48</v>
      </c>
      <c r="C62" s="1">
        <v>21</v>
      </c>
      <c r="D62" s="1">
        <v>379</v>
      </c>
      <c r="E62" s="1">
        <v>145</v>
      </c>
      <c r="F62" s="1">
        <v>224</v>
      </c>
      <c r="G62" s="7">
        <v>0.37</v>
      </c>
      <c r="H62" s="1">
        <v>50</v>
      </c>
      <c r="I62" s="1" t="s">
        <v>162</v>
      </c>
      <c r="J62" s="1"/>
      <c r="K62" s="1">
        <v>232</v>
      </c>
      <c r="L62" s="1">
        <f t="shared" si="9"/>
        <v>-87</v>
      </c>
      <c r="M62" s="1">
        <f t="shared" si="4"/>
        <v>145</v>
      </c>
      <c r="N62" s="1"/>
      <c r="O62" s="1"/>
      <c r="P62" s="1">
        <v>0</v>
      </c>
      <c r="Q62" s="1"/>
      <c r="R62" s="1"/>
      <c r="S62" s="1"/>
      <c r="T62" s="1"/>
      <c r="U62" s="1"/>
      <c r="V62" s="1"/>
      <c r="W62" s="1">
        <v>155.50000000000011</v>
      </c>
      <c r="X62" s="1"/>
      <c r="Y62" s="1"/>
      <c r="Z62" s="1">
        <f t="shared" si="5"/>
        <v>29</v>
      </c>
      <c r="AA62" s="5"/>
      <c r="AB62" s="1">
        <f t="shared" si="6"/>
        <v>13.086206896551728</v>
      </c>
      <c r="AC62" s="1">
        <f t="shared" si="7"/>
        <v>13.086206896551728</v>
      </c>
      <c r="AD62" s="1">
        <v>32.200000000000003</v>
      </c>
      <c r="AE62" s="1">
        <v>29.2</v>
      </c>
      <c r="AF62" s="1">
        <v>33</v>
      </c>
      <c r="AG62" s="1">
        <v>30</v>
      </c>
      <c r="AH62" s="1">
        <v>16.600000000000001</v>
      </c>
      <c r="AI62" s="1">
        <v>15.8</v>
      </c>
      <c r="AJ62" s="1">
        <v>23.6</v>
      </c>
      <c r="AK62" s="1">
        <v>31</v>
      </c>
      <c r="AL62" s="1"/>
      <c r="AM62" s="1">
        <f t="shared" si="10"/>
        <v>0</v>
      </c>
      <c r="AN62" s="1"/>
      <c r="AO62" s="1"/>
      <c r="AP62" s="1"/>
      <c r="AQ62" s="1"/>
      <c r="AR62" s="1"/>
    </row>
    <row r="63" spans="1:44" x14ac:dyDescent="0.25">
      <c r="A63" s="1" t="s">
        <v>163</v>
      </c>
      <c r="B63" s="1" t="s">
        <v>48</v>
      </c>
      <c r="C63" s="1">
        <v>1414</v>
      </c>
      <c r="D63" s="1">
        <v>547</v>
      </c>
      <c r="E63" s="1">
        <v>1345</v>
      </c>
      <c r="F63" s="1">
        <v>573</v>
      </c>
      <c r="G63" s="7">
        <v>0.6</v>
      </c>
      <c r="H63" s="1">
        <v>70</v>
      </c>
      <c r="I63" s="13" t="s">
        <v>164</v>
      </c>
      <c r="J63" s="1"/>
      <c r="K63" s="1">
        <v>1411</v>
      </c>
      <c r="L63" s="1">
        <f t="shared" si="9"/>
        <v>-66</v>
      </c>
      <c r="M63" s="1">
        <f t="shared" si="4"/>
        <v>1345</v>
      </c>
      <c r="N63" s="1"/>
      <c r="O63" s="1"/>
      <c r="P63" s="1">
        <v>500</v>
      </c>
      <c r="Q63" s="1"/>
      <c r="R63" s="1"/>
      <c r="S63" s="1"/>
      <c r="T63" s="1"/>
      <c r="U63" s="1"/>
      <c r="V63" s="1"/>
      <c r="W63" s="1">
        <v>100</v>
      </c>
      <c r="X63" s="1"/>
      <c r="Y63" s="1"/>
      <c r="Z63" s="1">
        <f t="shared" si="5"/>
        <v>269</v>
      </c>
      <c r="AA63" s="5"/>
      <c r="AB63" s="1">
        <f t="shared" si="6"/>
        <v>4.3605947955390336</v>
      </c>
      <c r="AC63" s="1">
        <f t="shared" si="7"/>
        <v>4.3605947955390336</v>
      </c>
      <c r="AD63" s="1">
        <v>267.2</v>
      </c>
      <c r="AE63" s="1">
        <v>46.4</v>
      </c>
      <c r="AF63" s="1">
        <v>45.849400000000003</v>
      </c>
      <c r="AG63" s="1">
        <v>42.6494</v>
      </c>
      <c r="AH63" s="1">
        <v>44.8</v>
      </c>
      <c r="AI63" s="1">
        <v>51.4</v>
      </c>
      <c r="AJ63" s="1">
        <v>44.4</v>
      </c>
      <c r="AK63" s="1">
        <v>22.8</v>
      </c>
      <c r="AL63" s="1" t="s">
        <v>165</v>
      </c>
      <c r="AM63" s="1">
        <f t="shared" si="10"/>
        <v>0</v>
      </c>
      <c r="AN63" s="1"/>
      <c r="AO63" s="1"/>
      <c r="AP63" s="1"/>
      <c r="AQ63" s="1"/>
      <c r="AR63" s="1"/>
    </row>
    <row r="64" spans="1:44" x14ac:dyDescent="0.25">
      <c r="A64" s="1" t="s">
        <v>166</v>
      </c>
      <c r="B64" s="1" t="s">
        <v>48</v>
      </c>
      <c r="C64" s="1">
        <v>112</v>
      </c>
      <c r="D64" s="1">
        <v>247</v>
      </c>
      <c r="E64" s="1">
        <v>174</v>
      </c>
      <c r="F64" s="1">
        <v>64</v>
      </c>
      <c r="G64" s="7">
        <v>0.33</v>
      </c>
      <c r="H64" s="1">
        <v>40</v>
      </c>
      <c r="I64" s="1" t="s">
        <v>167</v>
      </c>
      <c r="J64" s="1"/>
      <c r="K64" s="1">
        <v>386</v>
      </c>
      <c r="L64" s="1">
        <f t="shared" si="9"/>
        <v>-212</v>
      </c>
      <c r="M64" s="1">
        <f t="shared" si="4"/>
        <v>174</v>
      </c>
      <c r="N64" s="1"/>
      <c r="O64" s="1"/>
      <c r="P64" s="1">
        <v>54.800000000000011</v>
      </c>
      <c r="Q64" s="1"/>
      <c r="R64" s="1"/>
      <c r="S64" s="1"/>
      <c r="T64" s="1"/>
      <c r="U64" s="1"/>
      <c r="V64" s="1"/>
      <c r="W64" s="1">
        <v>217.2</v>
      </c>
      <c r="X64" s="1"/>
      <c r="Y64" s="1"/>
      <c r="Z64" s="1">
        <f t="shared" si="5"/>
        <v>34.799999999999997</v>
      </c>
      <c r="AA64" s="5">
        <f t="shared" si="8"/>
        <v>46.799999999999955</v>
      </c>
      <c r="AB64" s="1">
        <f t="shared" si="6"/>
        <v>11</v>
      </c>
      <c r="AC64" s="1">
        <f t="shared" si="7"/>
        <v>9.655172413793105</v>
      </c>
      <c r="AD64" s="1">
        <v>35.6</v>
      </c>
      <c r="AE64" s="1">
        <v>19.8</v>
      </c>
      <c r="AF64" s="1">
        <v>12.8</v>
      </c>
      <c r="AG64" s="1">
        <v>23.4</v>
      </c>
      <c r="AH64" s="1">
        <v>19.399999999999999</v>
      </c>
      <c r="AI64" s="1">
        <v>9.6</v>
      </c>
      <c r="AJ64" s="1">
        <v>4.2</v>
      </c>
      <c r="AK64" s="1">
        <v>12</v>
      </c>
      <c r="AL64" s="1"/>
      <c r="AM64" s="1">
        <f t="shared" si="10"/>
        <v>15.443999999999985</v>
      </c>
      <c r="AN64" s="1"/>
      <c r="AO64" s="1"/>
      <c r="AP64" s="1"/>
      <c r="AQ64" s="1"/>
      <c r="AR64" s="1"/>
    </row>
    <row r="65" spans="1:44" x14ac:dyDescent="0.25">
      <c r="A65" s="1" t="s">
        <v>168</v>
      </c>
      <c r="B65" s="1" t="s">
        <v>48</v>
      </c>
      <c r="C65" s="1">
        <v>2</v>
      </c>
      <c r="D65" s="1">
        <v>217</v>
      </c>
      <c r="E65" s="1">
        <v>42</v>
      </c>
      <c r="F65" s="1">
        <v>170</v>
      </c>
      <c r="G65" s="7">
        <v>0.4</v>
      </c>
      <c r="H65" s="1">
        <v>55</v>
      </c>
      <c r="I65" s="1" t="s">
        <v>169</v>
      </c>
      <c r="J65" s="1"/>
      <c r="K65" s="1">
        <v>76</v>
      </c>
      <c r="L65" s="1">
        <f t="shared" si="9"/>
        <v>-34</v>
      </c>
      <c r="M65" s="1">
        <f t="shared" si="4"/>
        <v>42</v>
      </c>
      <c r="N65" s="1"/>
      <c r="O65" s="1"/>
      <c r="P65" s="1">
        <v>0</v>
      </c>
      <c r="Q65" s="1"/>
      <c r="R65" s="1"/>
      <c r="S65" s="1"/>
      <c r="T65" s="1"/>
      <c r="U65" s="1"/>
      <c r="V65" s="1"/>
      <c r="W65" s="1">
        <v>0</v>
      </c>
      <c r="X65" s="1"/>
      <c r="Y65" s="1"/>
      <c r="Z65" s="1">
        <f t="shared" si="5"/>
        <v>8.4</v>
      </c>
      <c r="AA65" s="5"/>
      <c r="AB65" s="1">
        <f t="shared" si="6"/>
        <v>20.238095238095237</v>
      </c>
      <c r="AC65" s="1">
        <f t="shared" si="7"/>
        <v>20.238095238095237</v>
      </c>
      <c r="AD65" s="1">
        <v>7.2</v>
      </c>
      <c r="AE65" s="1">
        <v>5.8</v>
      </c>
      <c r="AF65" s="1">
        <v>17.2</v>
      </c>
      <c r="AG65" s="1">
        <v>11.4</v>
      </c>
      <c r="AH65" s="1">
        <v>6</v>
      </c>
      <c r="AI65" s="1">
        <v>13.6</v>
      </c>
      <c r="AJ65" s="1">
        <v>13.2</v>
      </c>
      <c r="AK65" s="1">
        <v>10.148</v>
      </c>
      <c r="AL65" s="1"/>
      <c r="AM65" s="1">
        <f t="shared" si="10"/>
        <v>0</v>
      </c>
      <c r="AN65" s="1"/>
      <c r="AO65" s="1"/>
      <c r="AP65" s="1"/>
      <c r="AQ65" s="1"/>
      <c r="AR65" s="1"/>
    </row>
    <row r="66" spans="1:44" x14ac:dyDescent="0.25">
      <c r="A66" s="16" t="s">
        <v>170</v>
      </c>
      <c r="B66" s="1" t="s">
        <v>48</v>
      </c>
      <c r="C66" s="1">
        <v>76</v>
      </c>
      <c r="D66" s="1">
        <v>341</v>
      </c>
      <c r="E66" s="1">
        <v>208</v>
      </c>
      <c r="F66" s="1">
        <v>159</v>
      </c>
      <c r="G66" s="7">
        <v>0.35</v>
      </c>
      <c r="H66" s="1">
        <v>40</v>
      </c>
      <c r="I66" s="1" t="s">
        <v>171</v>
      </c>
      <c r="J66" s="1"/>
      <c r="K66" s="1">
        <v>312</v>
      </c>
      <c r="L66" s="1">
        <f t="shared" si="9"/>
        <v>-104</v>
      </c>
      <c r="M66" s="1">
        <f t="shared" si="4"/>
        <v>208</v>
      </c>
      <c r="N66" s="1"/>
      <c r="O66" s="1"/>
      <c r="P66" s="1">
        <v>62.199999999999989</v>
      </c>
      <c r="Q66" s="1"/>
      <c r="R66" s="1"/>
      <c r="S66" s="1"/>
      <c r="T66" s="1"/>
      <c r="U66" s="1"/>
      <c r="V66" s="1">
        <f>-111.3/G66</f>
        <v>-318</v>
      </c>
      <c r="W66" s="1">
        <v>313.10000000000002</v>
      </c>
      <c r="X66" s="1"/>
      <c r="Y66" s="1"/>
      <c r="Z66" s="1">
        <f t="shared" si="5"/>
        <v>41.6</v>
      </c>
      <c r="AA66" s="5">
        <f t="shared" si="8"/>
        <v>241.3</v>
      </c>
      <c r="AB66" s="1">
        <f t="shared" si="6"/>
        <v>11</v>
      </c>
      <c r="AC66" s="1">
        <f t="shared" si="7"/>
        <v>5.1995192307692308</v>
      </c>
      <c r="AD66" s="1">
        <v>46.2</v>
      </c>
      <c r="AE66" s="1">
        <v>34.4</v>
      </c>
      <c r="AF66" s="1">
        <v>36.6</v>
      </c>
      <c r="AG66" s="1">
        <v>30</v>
      </c>
      <c r="AH66" s="1">
        <v>11.8</v>
      </c>
      <c r="AI66" s="1">
        <v>22.8</v>
      </c>
      <c r="AJ66" s="1">
        <v>51.8</v>
      </c>
      <c r="AK66" s="1">
        <v>47.6</v>
      </c>
      <c r="AL66" s="1"/>
      <c r="AM66" s="1">
        <f t="shared" si="10"/>
        <v>84.454999999999998</v>
      </c>
      <c r="AN66" s="1"/>
      <c r="AO66" s="1"/>
      <c r="AP66" s="1"/>
      <c r="AQ66" s="1"/>
      <c r="AR66" s="1"/>
    </row>
    <row r="67" spans="1:44" x14ac:dyDescent="0.25">
      <c r="A67" s="16" t="s">
        <v>172</v>
      </c>
      <c r="B67" s="1" t="s">
        <v>48</v>
      </c>
      <c r="C67" s="1">
        <v>725</v>
      </c>
      <c r="D67" s="1">
        <v>185</v>
      </c>
      <c r="E67" s="1">
        <v>363</v>
      </c>
      <c r="F67" s="1">
        <v>484</v>
      </c>
      <c r="G67" s="7">
        <v>0.35</v>
      </c>
      <c r="H67" s="1">
        <v>45</v>
      </c>
      <c r="I67" s="1" t="s">
        <v>173</v>
      </c>
      <c r="J67" s="1"/>
      <c r="K67" s="1">
        <v>534</v>
      </c>
      <c r="L67" s="1">
        <f t="shared" si="9"/>
        <v>-171</v>
      </c>
      <c r="M67" s="1">
        <f t="shared" si="4"/>
        <v>363</v>
      </c>
      <c r="N67" s="1"/>
      <c r="O67" s="1"/>
      <c r="P67" s="1">
        <v>214</v>
      </c>
      <c r="Q67" s="1"/>
      <c r="R67" s="1"/>
      <c r="S67" s="1"/>
      <c r="T67" s="1"/>
      <c r="U67" s="1"/>
      <c r="V67" s="1">
        <f>-90.3/G67</f>
        <v>-258</v>
      </c>
      <c r="W67" s="1">
        <v>254</v>
      </c>
      <c r="X67" s="1"/>
      <c r="Y67" s="1"/>
      <c r="Z67" s="1">
        <f t="shared" si="5"/>
        <v>72.599999999999994</v>
      </c>
      <c r="AA67" s="5">
        <f t="shared" si="8"/>
        <v>104.59999999999991</v>
      </c>
      <c r="AB67" s="1">
        <f t="shared" si="6"/>
        <v>11</v>
      </c>
      <c r="AC67" s="1">
        <f t="shared" si="7"/>
        <v>9.5592286501377419</v>
      </c>
      <c r="AD67" s="1">
        <v>82</v>
      </c>
      <c r="AE67" s="1">
        <v>85</v>
      </c>
      <c r="AF67" s="1">
        <v>80</v>
      </c>
      <c r="AG67" s="1">
        <v>70.599999999999994</v>
      </c>
      <c r="AH67" s="1">
        <v>69.400000000000006</v>
      </c>
      <c r="AI67" s="1">
        <v>121.4</v>
      </c>
      <c r="AJ67" s="1">
        <v>133.4</v>
      </c>
      <c r="AK67" s="1">
        <v>75.8</v>
      </c>
      <c r="AL67" s="1"/>
      <c r="AM67" s="1">
        <f t="shared" si="10"/>
        <v>36.609999999999964</v>
      </c>
      <c r="AN67" s="1"/>
      <c r="AO67" s="1"/>
      <c r="AP67" s="1"/>
      <c r="AQ67" s="1"/>
      <c r="AR67" s="1"/>
    </row>
    <row r="68" spans="1:44" x14ac:dyDescent="0.25">
      <c r="A68" s="1" t="s">
        <v>174</v>
      </c>
      <c r="B68" s="1" t="s">
        <v>48</v>
      </c>
      <c r="C68" s="1">
        <v>23</v>
      </c>
      <c r="D68" s="1"/>
      <c r="E68" s="1">
        <v>1</v>
      </c>
      <c r="F68" s="1">
        <v>22</v>
      </c>
      <c r="G68" s="7">
        <v>0.4</v>
      </c>
      <c r="H68" s="1">
        <v>55</v>
      </c>
      <c r="I68" s="1" t="s">
        <v>175</v>
      </c>
      <c r="J68" s="1"/>
      <c r="K68" s="1">
        <v>21</v>
      </c>
      <c r="L68" s="1">
        <f t="shared" si="9"/>
        <v>-20</v>
      </c>
      <c r="M68" s="1">
        <f t="shared" si="4"/>
        <v>1</v>
      </c>
      <c r="N68" s="1"/>
      <c r="O68" s="1"/>
      <c r="P68" s="1">
        <v>15</v>
      </c>
      <c r="Q68" s="1"/>
      <c r="R68" s="1"/>
      <c r="S68" s="1"/>
      <c r="T68" s="1"/>
      <c r="U68" s="1"/>
      <c r="V68" s="1"/>
      <c r="W68" s="1">
        <v>20.499999999999989</v>
      </c>
      <c r="X68" s="1"/>
      <c r="Y68" s="1"/>
      <c r="Z68" s="1">
        <f t="shared" si="5"/>
        <v>0.2</v>
      </c>
      <c r="AA68" s="5"/>
      <c r="AB68" s="1">
        <f t="shared" si="6"/>
        <v>287.49999999999989</v>
      </c>
      <c r="AC68" s="1">
        <f t="shared" si="7"/>
        <v>287.49999999999989</v>
      </c>
      <c r="AD68" s="1">
        <v>4.5999999999999996</v>
      </c>
      <c r="AE68" s="1">
        <v>5</v>
      </c>
      <c r="AF68" s="1">
        <v>1</v>
      </c>
      <c r="AG68" s="1">
        <v>0.4</v>
      </c>
      <c r="AH68" s="1">
        <v>0</v>
      </c>
      <c r="AI68" s="1">
        <v>0</v>
      </c>
      <c r="AJ68" s="1">
        <v>1</v>
      </c>
      <c r="AK68" s="1">
        <v>1</v>
      </c>
      <c r="AL68" s="1"/>
      <c r="AM68" s="1">
        <f t="shared" si="10"/>
        <v>0</v>
      </c>
      <c r="AN68" s="1"/>
      <c r="AO68" s="1"/>
      <c r="AP68" s="1"/>
      <c r="AQ68" s="1"/>
      <c r="AR68" s="1"/>
    </row>
    <row r="69" spans="1:44" x14ac:dyDescent="0.25">
      <c r="A69" s="1" t="s">
        <v>176</v>
      </c>
      <c r="B69" s="1" t="s">
        <v>41</v>
      </c>
      <c r="C69" s="1">
        <v>34.573999999999998</v>
      </c>
      <c r="D69" s="1">
        <v>36.414999999999999</v>
      </c>
      <c r="E69" s="1">
        <v>7.1760000000000002</v>
      </c>
      <c r="F69" s="1">
        <v>62.369</v>
      </c>
      <c r="G69" s="7">
        <v>1</v>
      </c>
      <c r="H69" s="1">
        <v>55</v>
      </c>
      <c r="I69" s="1" t="s">
        <v>177</v>
      </c>
      <c r="J69" s="1"/>
      <c r="K69" s="1">
        <v>9.4</v>
      </c>
      <c r="L69" s="1">
        <f t="shared" si="9"/>
        <v>-2.2240000000000002</v>
      </c>
      <c r="M69" s="1">
        <f t="shared" si="4"/>
        <v>7.1760000000000002</v>
      </c>
      <c r="N69" s="1"/>
      <c r="O69" s="1"/>
      <c r="P69" s="1">
        <v>0</v>
      </c>
      <c r="Q69" s="1"/>
      <c r="R69" s="1"/>
      <c r="S69" s="1"/>
      <c r="T69" s="1"/>
      <c r="U69" s="1"/>
      <c r="V69" s="1"/>
      <c r="W69" s="1">
        <v>0</v>
      </c>
      <c r="X69" s="1"/>
      <c r="Y69" s="1"/>
      <c r="Z69" s="1">
        <f t="shared" si="5"/>
        <v>1.4352</v>
      </c>
      <c r="AA69" s="5"/>
      <c r="AB69" s="1">
        <f t="shared" si="6"/>
        <v>43.456661092530659</v>
      </c>
      <c r="AC69" s="1">
        <f t="shared" si="7"/>
        <v>43.456661092530659</v>
      </c>
      <c r="AD69" s="1">
        <v>2.8454000000000002</v>
      </c>
      <c r="AE69" s="1">
        <v>1.7416</v>
      </c>
      <c r="AF69" s="1">
        <v>3.1873999999999998</v>
      </c>
      <c r="AG69" s="1">
        <v>6.8353999999999999</v>
      </c>
      <c r="AH69" s="1">
        <v>3.2829999999999999</v>
      </c>
      <c r="AI69" s="1">
        <v>2.9152</v>
      </c>
      <c r="AJ69" s="1">
        <v>5.6456</v>
      </c>
      <c r="AK69" s="1">
        <v>4.0502000000000002</v>
      </c>
      <c r="AL69" s="1" t="s">
        <v>139</v>
      </c>
      <c r="AM69" s="1">
        <f t="shared" si="10"/>
        <v>0</v>
      </c>
      <c r="AN69" s="1"/>
      <c r="AO69" s="1"/>
      <c r="AP69" s="1"/>
      <c r="AQ69" s="1"/>
      <c r="AR69" s="1"/>
    </row>
    <row r="70" spans="1:44" x14ac:dyDescent="0.25">
      <c r="A70" s="1" t="s">
        <v>178</v>
      </c>
      <c r="B70" s="1" t="s">
        <v>41</v>
      </c>
      <c r="C70" s="1">
        <v>3042.6950000000002</v>
      </c>
      <c r="D70" s="1">
        <v>5101.1710000000003</v>
      </c>
      <c r="E70" s="1">
        <v>2725.3710000000001</v>
      </c>
      <c r="F70" s="1">
        <v>5155.4880000000003</v>
      </c>
      <c r="G70" s="7">
        <v>1</v>
      </c>
      <c r="H70" s="1">
        <v>60</v>
      </c>
      <c r="I70" s="1" t="s">
        <v>179</v>
      </c>
      <c r="J70" s="1"/>
      <c r="K70" s="1">
        <v>3496.93</v>
      </c>
      <c r="L70" s="1">
        <f t="shared" ref="L70:L101" si="11">E70-K70</f>
        <v>-771.55899999999974</v>
      </c>
      <c r="M70" s="1">
        <f t="shared" si="4"/>
        <v>2725.3710000000001</v>
      </c>
      <c r="N70" s="1"/>
      <c r="O70" s="1"/>
      <c r="P70" s="1">
        <v>656.84412038656228</v>
      </c>
      <c r="Q70" s="1"/>
      <c r="R70" s="1"/>
      <c r="S70" s="1"/>
      <c r="T70" s="1"/>
      <c r="U70" s="1"/>
      <c r="V70" s="1"/>
      <c r="W70" s="1">
        <v>1485.6944240000009</v>
      </c>
      <c r="X70" s="1"/>
      <c r="Y70" s="1">
        <v>500</v>
      </c>
      <c r="Z70" s="1">
        <f t="shared" si="5"/>
        <v>545.07420000000002</v>
      </c>
      <c r="AA70" s="5"/>
      <c r="AB70" s="1">
        <f t="shared" si="6"/>
        <v>14.306357821350861</v>
      </c>
      <c r="AC70" s="1">
        <f t="shared" si="7"/>
        <v>14.306357821350861</v>
      </c>
      <c r="AD70" s="1">
        <v>663.97019999999998</v>
      </c>
      <c r="AE70" s="1">
        <v>653.57219999999995</v>
      </c>
      <c r="AF70" s="1">
        <v>665.99520000000007</v>
      </c>
      <c r="AG70" s="1">
        <v>698.37220000000002</v>
      </c>
      <c r="AH70" s="1">
        <v>724.56380000000013</v>
      </c>
      <c r="AI70" s="1">
        <v>676.86879999999996</v>
      </c>
      <c r="AJ70" s="1">
        <v>668.60320000000002</v>
      </c>
      <c r="AK70" s="1">
        <v>799.48800000000006</v>
      </c>
      <c r="AL70" s="1"/>
      <c r="AM70" s="1">
        <f t="shared" ref="AM70:AM75" si="12">G70*AA70</f>
        <v>0</v>
      </c>
      <c r="AN70" s="1"/>
      <c r="AO70" s="1"/>
      <c r="AP70" s="1"/>
      <c r="AQ70" s="1"/>
      <c r="AR70" s="1"/>
    </row>
    <row r="71" spans="1:44" x14ac:dyDescent="0.25">
      <c r="A71" s="1" t="s">
        <v>180</v>
      </c>
      <c r="B71" s="1" t="s">
        <v>48</v>
      </c>
      <c r="C71" s="1">
        <v>264</v>
      </c>
      <c r="D71" s="1">
        <v>318</v>
      </c>
      <c r="E71" s="1">
        <v>102</v>
      </c>
      <c r="F71" s="17">
        <v>413</v>
      </c>
      <c r="G71" s="7">
        <v>0.3</v>
      </c>
      <c r="H71" s="1">
        <v>40</v>
      </c>
      <c r="I71" s="1" t="s">
        <v>181</v>
      </c>
      <c r="J71" s="1"/>
      <c r="K71" s="1">
        <v>179</v>
      </c>
      <c r="L71" s="1">
        <f t="shared" si="11"/>
        <v>-77</v>
      </c>
      <c r="M71" s="1">
        <f t="shared" ref="M71:M113" si="13">E71-N71</f>
        <v>102</v>
      </c>
      <c r="N71" s="1"/>
      <c r="O71" s="1"/>
      <c r="P71" s="1">
        <v>19.600000000000019</v>
      </c>
      <c r="Q71" s="1"/>
      <c r="R71" s="1"/>
      <c r="S71" s="1"/>
      <c r="T71" s="1"/>
      <c r="U71" s="1"/>
      <c r="V71" s="1"/>
      <c r="W71" s="1">
        <v>0</v>
      </c>
      <c r="X71" s="1"/>
      <c r="Y71" s="1"/>
      <c r="Z71" s="1">
        <f t="shared" ref="Z71:Z113" si="14">M71/5</f>
        <v>20.399999999999999</v>
      </c>
      <c r="AA71" s="5"/>
      <c r="AB71" s="1">
        <f t="shared" ref="AB71:AB113" si="15">(F71+O71+P71+Q71+R71+S71+T71+U71+V71+W71+X71+Y71+AA71)/Z71</f>
        <v>21.205882352941178</v>
      </c>
      <c r="AC71" s="1">
        <f t="shared" ref="AC71:AC113" si="16">(F71+O71+P71+Q71+R71+S71+T71+U71+V71+W71+X71+Y71)/Z71</f>
        <v>21.205882352941178</v>
      </c>
      <c r="AD71" s="1">
        <v>31.2</v>
      </c>
      <c r="AE71" s="1">
        <v>47.6</v>
      </c>
      <c r="AF71" s="1">
        <v>47</v>
      </c>
      <c r="AG71" s="1">
        <v>39.799999999999997</v>
      </c>
      <c r="AH71" s="1">
        <v>42.6</v>
      </c>
      <c r="AI71" s="1">
        <v>36.200000000000003</v>
      </c>
      <c r="AJ71" s="1">
        <v>40.200000000000003</v>
      </c>
      <c r="AK71" s="1">
        <v>53</v>
      </c>
      <c r="AL71" s="1"/>
      <c r="AM71" s="1">
        <f t="shared" si="12"/>
        <v>0</v>
      </c>
      <c r="AN71" s="1"/>
      <c r="AO71" s="1"/>
      <c r="AP71" s="1"/>
      <c r="AQ71" s="1"/>
      <c r="AR71" s="1"/>
    </row>
    <row r="72" spans="1:44" x14ac:dyDescent="0.25">
      <c r="A72" s="1" t="s">
        <v>182</v>
      </c>
      <c r="B72" s="1" t="s">
        <v>41</v>
      </c>
      <c r="C72" s="1">
        <v>1795.8109999999999</v>
      </c>
      <c r="D72" s="1">
        <v>1040.8969999999999</v>
      </c>
      <c r="E72" s="1">
        <v>1121.1369999999999</v>
      </c>
      <c r="F72" s="1">
        <v>1597.575</v>
      </c>
      <c r="G72" s="7">
        <v>1</v>
      </c>
      <c r="H72" s="1">
        <v>60</v>
      </c>
      <c r="I72" s="1" t="s">
        <v>183</v>
      </c>
      <c r="J72" s="1"/>
      <c r="K72" s="1">
        <v>1502.3</v>
      </c>
      <c r="L72" s="1">
        <f t="shared" si="11"/>
        <v>-381.16300000000001</v>
      </c>
      <c r="M72" s="1">
        <f t="shared" si="13"/>
        <v>1121.1369999999999</v>
      </c>
      <c r="N72" s="1"/>
      <c r="O72" s="1"/>
      <c r="P72" s="1">
        <v>580.65548686080001</v>
      </c>
      <c r="Q72" s="1"/>
      <c r="R72" s="1">
        <v>590.02089793920004</v>
      </c>
      <c r="S72" s="1"/>
      <c r="T72" s="1"/>
      <c r="U72" s="1"/>
      <c r="V72" s="1"/>
      <c r="W72" s="1">
        <v>176.31462600000009</v>
      </c>
      <c r="X72" s="1"/>
      <c r="Y72" s="1"/>
      <c r="Z72" s="1">
        <f t="shared" si="14"/>
        <v>224.22739999999999</v>
      </c>
      <c r="AA72" s="5"/>
      <c r="AB72" s="1">
        <f t="shared" si="15"/>
        <v>13.132052598388958</v>
      </c>
      <c r="AC72" s="1">
        <f t="shared" si="16"/>
        <v>13.132052598388958</v>
      </c>
      <c r="AD72" s="1">
        <v>269.709</v>
      </c>
      <c r="AE72" s="1">
        <v>297.4228</v>
      </c>
      <c r="AF72" s="1">
        <v>254.03819999999999</v>
      </c>
      <c r="AG72" s="1">
        <v>250.9092</v>
      </c>
      <c r="AH72" s="1">
        <v>349.91320000000002</v>
      </c>
      <c r="AI72" s="1">
        <v>349.47840000000002</v>
      </c>
      <c r="AJ72" s="1">
        <v>308.02800000000002</v>
      </c>
      <c r="AK72" s="1">
        <v>301.47000000000003</v>
      </c>
      <c r="AL72" s="1"/>
      <c r="AM72" s="1">
        <f t="shared" si="12"/>
        <v>0</v>
      </c>
      <c r="AN72" s="1"/>
      <c r="AO72" s="1"/>
      <c r="AP72" s="1"/>
      <c r="AQ72" s="1"/>
      <c r="AR72" s="1"/>
    </row>
    <row r="73" spans="1:44" x14ac:dyDescent="0.25">
      <c r="A73" s="1" t="s">
        <v>184</v>
      </c>
      <c r="B73" s="1" t="s">
        <v>41</v>
      </c>
      <c r="C73" s="1">
        <v>4341.0010000000002</v>
      </c>
      <c r="D73" s="1">
        <v>3693.9459999999999</v>
      </c>
      <c r="E73" s="1">
        <v>2568.6460000000002</v>
      </c>
      <c r="F73" s="1">
        <v>5023.509</v>
      </c>
      <c r="G73" s="7">
        <v>1</v>
      </c>
      <c r="H73" s="1">
        <v>60</v>
      </c>
      <c r="I73" s="1" t="s">
        <v>185</v>
      </c>
      <c r="J73" s="1"/>
      <c r="K73" s="1">
        <v>3201.1039999999998</v>
      </c>
      <c r="L73" s="1">
        <f t="shared" si="11"/>
        <v>-632.45799999999963</v>
      </c>
      <c r="M73" s="1">
        <f t="shared" si="13"/>
        <v>2265.3420000000001</v>
      </c>
      <c r="N73" s="1">
        <v>303.30399999999997</v>
      </c>
      <c r="O73" s="1"/>
      <c r="P73" s="1">
        <v>809.15368426239968</v>
      </c>
      <c r="Q73" s="1">
        <v>1600</v>
      </c>
      <c r="R73" s="1">
        <v>822.20455013759977</v>
      </c>
      <c r="S73" s="1"/>
      <c r="T73" s="1">
        <v>1400</v>
      </c>
      <c r="U73" s="1">
        <v>800</v>
      </c>
      <c r="V73" s="1"/>
      <c r="W73" s="1">
        <v>59.182534000000373</v>
      </c>
      <c r="X73" s="1"/>
      <c r="Y73" s="1"/>
      <c r="Z73" s="1">
        <f t="shared" si="14"/>
        <v>453.0684</v>
      </c>
      <c r="AA73" s="5"/>
      <c r="AB73" s="1">
        <f t="shared" si="15"/>
        <v>23.206318887832388</v>
      </c>
      <c r="AC73" s="1">
        <f t="shared" si="16"/>
        <v>23.206318887832388</v>
      </c>
      <c r="AD73" s="1">
        <v>606.41340000000002</v>
      </c>
      <c r="AE73" s="1">
        <v>702.14319999999998</v>
      </c>
      <c r="AF73" s="1">
        <v>695.84860000000003</v>
      </c>
      <c r="AG73" s="1">
        <v>634.77740000000006</v>
      </c>
      <c r="AH73" s="1">
        <v>822.75660000000005</v>
      </c>
      <c r="AI73" s="1">
        <v>966.07039999999995</v>
      </c>
      <c r="AJ73" s="1">
        <v>712.95320000000004</v>
      </c>
      <c r="AK73" s="1">
        <v>686.71839999999997</v>
      </c>
      <c r="AL73" s="1"/>
      <c r="AM73" s="1">
        <f t="shared" si="12"/>
        <v>0</v>
      </c>
      <c r="AN73" s="1"/>
      <c r="AO73" s="1"/>
      <c r="AP73" s="1"/>
      <c r="AQ73" s="1"/>
      <c r="AR73" s="1"/>
    </row>
    <row r="74" spans="1:44" x14ac:dyDescent="0.25">
      <c r="A74" s="1" t="s">
        <v>186</v>
      </c>
      <c r="B74" s="1" t="s">
        <v>41</v>
      </c>
      <c r="C74" s="1">
        <v>2485.569</v>
      </c>
      <c r="D74" s="1">
        <v>6051.3639999999996</v>
      </c>
      <c r="E74" s="1">
        <v>3189.4690000000001</v>
      </c>
      <c r="F74" s="1">
        <v>4785.2659999999996</v>
      </c>
      <c r="G74" s="7">
        <v>1</v>
      </c>
      <c r="H74" s="1">
        <v>60</v>
      </c>
      <c r="I74" s="1" t="s">
        <v>187</v>
      </c>
      <c r="J74" s="1"/>
      <c r="K74" s="1">
        <v>3956.4110000000001</v>
      </c>
      <c r="L74" s="1">
        <f t="shared" si="11"/>
        <v>-766.94200000000001</v>
      </c>
      <c r="M74" s="1">
        <f t="shared" si="13"/>
        <v>2888.2579999999998</v>
      </c>
      <c r="N74" s="1">
        <v>301.21100000000001</v>
      </c>
      <c r="O74" s="1"/>
      <c r="P74" s="1">
        <v>1365.7285088128001</v>
      </c>
      <c r="Q74" s="1">
        <v>2000</v>
      </c>
      <c r="R74" s="1">
        <v>1387.7563879872</v>
      </c>
      <c r="S74" s="1"/>
      <c r="T74" s="1">
        <v>1400</v>
      </c>
      <c r="U74" s="1">
        <v>800</v>
      </c>
      <c r="V74" s="1"/>
      <c r="W74" s="1">
        <v>39.952035999999453</v>
      </c>
      <c r="X74" s="1"/>
      <c r="Y74" s="1"/>
      <c r="Z74" s="1">
        <f t="shared" si="14"/>
        <v>577.65159999999992</v>
      </c>
      <c r="AA74" s="5"/>
      <c r="AB74" s="1">
        <f t="shared" si="15"/>
        <v>20.390669623004595</v>
      </c>
      <c r="AC74" s="1">
        <f t="shared" si="16"/>
        <v>20.390669623004595</v>
      </c>
      <c r="AD74" s="1">
        <v>698.26039999999989</v>
      </c>
      <c r="AE74" s="1">
        <v>814.36879999999996</v>
      </c>
      <c r="AF74" s="1">
        <v>736.1662</v>
      </c>
      <c r="AG74" s="1">
        <v>609.91200000000003</v>
      </c>
      <c r="AH74" s="1">
        <v>659.83880000000011</v>
      </c>
      <c r="AI74" s="1">
        <v>775.93799999999987</v>
      </c>
      <c r="AJ74" s="1">
        <v>804.43219999999997</v>
      </c>
      <c r="AK74" s="1">
        <v>793.85979999999995</v>
      </c>
      <c r="AL74" s="1"/>
      <c r="AM74" s="1">
        <f t="shared" si="12"/>
        <v>0</v>
      </c>
      <c r="AN74" s="1"/>
      <c r="AO74" s="1"/>
      <c r="AP74" s="1"/>
      <c r="AQ74" s="1"/>
      <c r="AR74" s="1"/>
    </row>
    <row r="75" spans="1:44" x14ac:dyDescent="0.25">
      <c r="A75" s="1" t="s">
        <v>188</v>
      </c>
      <c r="B75" s="1" t="s">
        <v>41</v>
      </c>
      <c r="C75" s="1">
        <v>143.54900000000001</v>
      </c>
      <c r="D75" s="1">
        <v>12.324999999999999</v>
      </c>
      <c r="E75" s="1">
        <v>48.356000000000002</v>
      </c>
      <c r="F75" s="1">
        <v>106.16800000000001</v>
      </c>
      <c r="G75" s="7">
        <v>1</v>
      </c>
      <c r="H75" s="1">
        <v>55</v>
      </c>
      <c r="I75" s="1" t="s">
        <v>189</v>
      </c>
      <c r="J75" s="1"/>
      <c r="K75" s="1">
        <v>76.599999999999994</v>
      </c>
      <c r="L75" s="1">
        <f t="shared" si="11"/>
        <v>-28.243999999999993</v>
      </c>
      <c r="M75" s="1">
        <f t="shared" si="13"/>
        <v>48.356000000000002</v>
      </c>
      <c r="N75" s="1"/>
      <c r="O75" s="1"/>
      <c r="P75" s="1">
        <v>0</v>
      </c>
      <c r="Q75" s="1"/>
      <c r="R75" s="1"/>
      <c r="S75" s="1"/>
      <c r="T75" s="1"/>
      <c r="U75" s="1"/>
      <c r="V75" s="1"/>
      <c r="W75" s="1">
        <v>0</v>
      </c>
      <c r="X75" s="1"/>
      <c r="Y75" s="1"/>
      <c r="Z75" s="1">
        <f t="shared" si="14"/>
        <v>9.6712000000000007</v>
      </c>
      <c r="AA75" s="5">
        <f t="shared" ref="AA75" si="17">11*Z75-Y75-X75-W75-V75-U75-T75-S75-R75-Q75-P75-O75-F75</f>
        <v>0.21519999999999584</v>
      </c>
      <c r="AB75" s="1">
        <f t="shared" si="15"/>
        <v>11</v>
      </c>
      <c r="AC75" s="1">
        <f t="shared" si="16"/>
        <v>10.977748366283398</v>
      </c>
      <c r="AD75" s="1">
        <v>9.3979999999999997</v>
      </c>
      <c r="AE75" s="1">
        <v>9.9340000000000011</v>
      </c>
      <c r="AF75" s="1">
        <v>15.5474</v>
      </c>
      <c r="AG75" s="1">
        <v>15.0168</v>
      </c>
      <c r="AH75" s="1">
        <v>2.4350000000000001</v>
      </c>
      <c r="AI75" s="1">
        <v>1.0888</v>
      </c>
      <c r="AJ75" s="1">
        <v>13.7394</v>
      </c>
      <c r="AK75" s="1">
        <v>13.4664</v>
      </c>
      <c r="AL75" s="1"/>
      <c r="AM75" s="1">
        <f t="shared" si="12"/>
        <v>0.21519999999999584</v>
      </c>
      <c r="AN75" s="1"/>
      <c r="AO75" s="1"/>
      <c r="AP75" s="1"/>
      <c r="AQ75" s="1"/>
      <c r="AR75" s="1"/>
    </row>
    <row r="76" spans="1:44" x14ac:dyDescent="0.25">
      <c r="A76" s="10" t="s">
        <v>190</v>
      </c>
      <c r="B76" s="10" t="s">
        <v>41</v>
      </c>
      <c r="C76" s="10">
        <v>601.30799999999999</v>
      </c>
      <c r="D76" s="10">
        <v>2.7</v>
      </c>
      <c r="E76" s="10">
        <v>33.534999999999997</v>
      </c>
      <c r="F76" s="10">
        <v>567.77300000000002</v>
      </c>
      <c r="G76" s="11">
        <v>0</v>
      </c>
      <c r="H76" s="10"/>
      <c r="I76" s="10" t="s">
        <v>191</v>
      </c>
      <c r="J76" s="10"/>
      <c r="K76" s="10">
        <v>34.700000000000003</v>
      </c>
      <c r="L76" s="10">
        <f t="shared" si="11"/>
        <v>-1.1650000000000063</v>
      </c>
      <c r="M76" s="10">
        <f t="shared" si="13"/>
        <v>33.534999999999997</v>
      </c>
      <c r="N76" s="10"/>
      <c r="O76" s="10"/>
      <c r="P76" s="10">
        <v>0</v>
      </c>
      <c r="Q76" s="10"/>
      <c r="R76" s="10"/>
      <c r="S76" s="10"/>
      <c r="T76" s="10"/>
      <c r="U76" s="10"/>
      <c r="V76" s="10"/>
      <c r="W76" s="10">
        <v>0</v>
      </c>
      <c r="X76" s="10"/>
      <c r="Y76" s="10"/>
      <c r="Z76" s="10">
        <f t="shared" si="14"/>
        <v>6.706999999999999</v>
      </c>
      <c r="AA76" s="12"/>
      <c r="AB76" s="10">
        <f t="shared" si="15"/>
        <v>84.653794543014783</v>
      </c>
      <c r="AC76" s="10">
        <f t="shared" si="16"/>
        <v>84.653794543014783</v>
      </c>
      <c r="AD76" s="10">
        <v>13.973000000000001</v>
      </c>
      <c r="AE76" s="10">
        <v>18.044</v>
      </c>
      <c r="AF76" s="10">
        <v>9.4331999999999994</v>
      </c>
      <c r="AG76" s="10">
        <v>0.53720000000000001</v>
      </c>
      <c r="AH76" s="10">
        <v>1.339</v>
      </c>
      <c r="AI76" s="10">
        <v>2.4163999999999999</v>
      </c>
      <c r="AJ76" s="10">
        <v>1.0773999999999999</v>
      </c>
      <c r="AK76" s="10">
        <v>0</v>
      </c>
      <c r="AL76" s="20" t="s">
        <v>139</v>
      </c>
      <c r="AM76" s="10"/>
      <c r="AN76" s="1"/>
      <c r="AO76" s="1"/>
      <c r="AP76" s="1"/>
      <c r="AQ76" s="1"/>
      <c r="AR76" s="1"/>
    </row>
    <row r="77" spans="1:44" x14ac:dyDescent="0.25">
      <c r="A77" s="1" t="s">
        <v>192</v>
      </c>
      <c r="B77" s="1" t="s">
        <v>48</v>
      </c>
      <c r="C77" s="1">
        <v>200</v>
      </c>
      <c r="D77" s="1">
        <v>70</v>
      </c>
      <c r="E77" s="1">
        <v>114</v>
      </c>
      <c r="F77" s="1">
        <v>141</v>
      </c>
      <c r="G77" s="7">
        <v>0.3</v>
      </c>
      <c r="H77" s="1">
        <v>40</v>
      </c>
      <c r="I77" s="1" t="s">
        <v>193</v>
      </c>
      <c r="J77" s="1"/>
      <c r="K77" s="1">
        <v>153</v>
      </c>
      <c r="L77" s="1">
        <f t="shared" si="11"/>
        <v>-39</v>
      </c>
      <c r="M77" s="1">
        <f t="shared" si="13"/>
        <v>114</v>
      </c>
      <c r="N77" s="1"/>
      <c r="O77" s="1"/>
      <c r="P77" s="1">
        <v>0</v>
      </c>
      <c r="Q77" s="1"/>
      <c r="R77" s="1"/>
      <c r="S77" s="1"/>
      <c r="T77" s="1"/>
      <c r="U77" s="1"/>
      <c r="V77" s="1"/>
      <c r="W77" s="1">
        <v>144.5</v>
      </c>
      <c r="X77" s="1"/>
      <c r="Y77" s="1"/>
      <c r="Z77" s="1">
        <f t="shared" si="14"/>
        <v>22.8</v>
      </c>
      <c r="AA77" s="5"/>
      <c r="AB77" s="1">
        <f t="shared" si="15"/>
        <v>12.521929824561402</v>
      </c>
      <c r="AC77" s="1">
        <f t="shared" si="16"/>
        <v>12.521929824561402</v>
      </c>
      <c r="AD77" s="1">
        <v>24.2</v>
      </c>
      <c r="AE77" s="1">
        <v>18.2</v>
      </c>
      <c r="AF77" s="1">
        <v>15.4</v>
      </c>
      <c r="AG77" s="1">
        <v>28.2</v>
      </c>
      <c r="AH77" s="1">
        <v>24.4</v>
      </c>
      <c r="AI77" s="1">
        <v>9.8000000000000007</v>
      </c>
      <c r="AJ77" s="1">
        <v>18.399999999999999</v>
      </c>
      <c r="AK77" s="1">
        <v>31.8</v>
      </c>
      <c r="AL77" s="1"/>
      <c r="AM77" s="1">
        <f t="shared" ref="AM77:AM113" si="18">G77*AA77</f>
        <v>0</v>
      </c>
      <c r="AN77" s="1"/>
      <c r="AO77" s="1"/>
      <c r="AP77" s="1"/>
      <c r="AQ77" s="1"/>
      <c r="AR77" s="1"/>
    </row>
    <row r="78" spans="1:44" x14ac:dyDescent="0.25">
      <c r="A78" s="1" t="s">
        <v>194</v>
      </c>
      <c r="B78" s="1" t="s">
        <v>48</v>
      </c>
      <c r="C78" s="1">
        <v>9</v>
      </c>
      <c r="D78" s="1">
        <v>84</v>
      </c>
      <c r="E78" s="1">
        <v>7</v>
      </c>
      <c r="F78" s="1">
        <v>85</v>
      </c>
      <c r="G78" s="7">
        <v>0.3</v>
      </c>
      <c r="H78" s="1">
        <v>40</v>
      </c>
      <c r="I78" s="1" t="s">
        <v>195</v>
      </c>
      <c r="J78" s="1"/>
      <c r="K78" s="1">
        <v>93</v>
      </c>
      <c r="L78" s="1">
        <f t="shared" si="11"/>
        <v>-86</v>
      </c>
      <c r="M78" s="1">
        <f t="shared" si="13"/>
        <v>7</v>
      </c>
      <c r="N78" s="1"/>
      <c r="O78" s="1"/>
      <c r="P78" s="1">
        <v>0</v>
      </c>
      <c r="Q78" s="1"/>
      <c r="R78" s="1"/>
      <c r="S78" s="1"/>
      <c r="T78" s="1"/>
      <c r="U78" s="1"/>
      <c r="V78" s="1"/>
      <c r="W78" s="1">
        <v>0</v>
      </c>
      <c r="X78" s="1"/>
      <c r="Y78" s="1"/>
      <c r="Z78" s="1">
        <f t="shared" si="14"/>
        <v>1.4</v>
      </c>
      <c r="AA78" s="5"/>
      <c r="AB78" s="1">
        <f t="shared" si="15"/>
        <v>60.714285714285715</v>
      </c>
      <c r="AC78" s="1">
        <f t="shared" si="16"/>
        <v>60.714285714285715</v>
      </c>
      <c r="AD78" s="1">
        <v>2</v>
      </c>
      <c r="AE78" s="1">
        <v>2.4</v>
      </c>
      <c r="AF78" s="1">
        <v>12.2</v>
      </c>
      <c r="AG78" s="1">
        <v>13.6</v>
      </c>
      <c r="AH78" s="1">
        <v>6.8</v>
      </c>
      <c r="AI78" s="1">
        <v>4.2</v>
      </c>
      <c r="AJ78" s="1">
        <v>7.8</v>
      </c>
      <c r="AK78" s="1">
        <v>8.1999999999999993</v>
      </c>
      <c r="AL78" s="1"/>
      <c r="AM78" s="1">
        <f t="shared" si="18"/>
        <v>0</v>
      </c>
      <c r="AN78" s="1"/>
      <c r="AO78" s="1"/>
      <c r="AP78" s="1"/>
      <c r="AQ78" s="1"/>
      <c r="AR78" s="1"/>
    </row>
    <row r="79" spans="1:44" x14ac:dyDescent="0.25">
      <c r="A79" s="1" t="s">
        <v>196</v>
      </c>
      <c r="B79" s="1" t="s">
        <v>48</v>
      </c>
      <c r="C79" s="1">
        <v>84</v>
      </c>
      <c r="D79" s="1">
        <v>256</v>
      </c>
      <c r="E79" s="1">
        <v>134</v>
      </c>
      <c r="F79" s="1">
        <v>166</v>
      </c>
      <c r="G79" s="7">
        <v>7.0000000000000007E-2</v>
      </c>
      <c r="H79" s="1">
        <v>90</v>
      </c>
      <c r="I79" s="1" t="s">
        <v>197</v>
      </c>
      <c r="J79" s="1"/>
      <c r="K79" s="1">
        <v>221</v>
      </c>
      <c r="L79" s="1">
        <f t="shared" si="11"/>
        <v>-87</v>
      </c>
      <c r="M79" s="1">
        <f t="shared" si="13"/>
        <v>134</v>
      </c>
      <c r="N79" s="1"/>
      <c r="O79" s="1"/>
      <c r="P79" s="1">
        <v>66.318711999999977</v>
      </c>
      <c r="Q79" s="1"/>
      <c r="R79" s="1"/>
      <c r="S79" s="1"/>
      <c r="T79" s="1"/>
      <c r="U79" s="1"/>
      <c r="V79" s="1"/>
      <c r="W79" s="1">
        <v>137.80000000000001</v>
      </c>
      <c r="X79" s="1"/>
      <c r="Y79" s="1"/>
      <c r="Z79" s="1">
        <f t="shared" si="14"/>
        <v>26.8</v>
      </c>
      <c r="AA79" s="5"/>
      <c r="AB79" s="1">
        <f t="shared" si="15"/>
        <v>13.810399701492535</v>
      </c>
      <c r="AC79" s="1">
        <f t="shared" si="16"/>
        <v>13.810399701492535</v>
      </c>
      <c r="AD79" s="1">
        <v>31.2</v>
      </c>
      <c r="AE79" s="1">
        <v>29.2</v>
      </c>
      <c r="AF79" s="1">
        <v>24.8</v>
      </c>
      <c r="AG79" s="1">
        <v>22.8</v>
      </c>
      <c r="AH79" s="1">
        <v>19.600000000000001</v>
      </c>
      <c r="AI79" s="1">
        <v>16.8</v>
      </c>
      <c r="AJ79" s="1">
        <v>16</v>
      </c>
      <c r="AK79" s="1">
        <v>16.399999999999999</v>
      </c>
      <c r="AL79" s="1"/>
      <c r="AM79" s="1">
        <f t="shared" si="18"/>
        <v>0</v>
      </c>
      <c r="AN79" s="1"/>
      <c r="AO79" s="1"/>
      <c r="AP79" s="1"/>
      <c r="AQ79" s="1"/>
      <c r="AR79" s="1"/>
    </row>
    <row r="80" spans="1:44" x14ac:dyDescent="0.25">
      <c r="A80" s="1" t="s">
        <v>198</v>
      </c>
      <c r="B80" s="1" t="s">
        <v>48</v>
      </c>
      <c r="C80" s="1">
        <v>1</v>
      </c>
      <c r="D80" s="1">
        <v>390</v>
      </c>
      <c r="E80" s="1">
        <v>102</v>
      </c>
      <c r="F80" s="1">
        <v>241</v>
      </c>
      <c r="G80" s="7">
        <v>7.0000000000000007E-2</v>
      </c>
      <c r="H80" s="1">
        <v>90</v>
      </c>
      <c r="I80" s="1" t="s">
        <v>199</v>
      </c>
      <c r="J80" s="1"/>
      <c r="K80" s="1">
        <v>185</v>
      </c>
      <c r="L80" s="1">
        <f t="shared" si="11"/>
        <v>-83</v>
      </c>
      <c r="M80" s="1">
        <f t="shared" si="13"/>
        <v>102</v>
      </c>
      <c r="N80" s="1"/>
      <c r="O80" s="1"/>
      <c r="P80" s="1">
        <v>0</v>
      </c>
      <c r="Q80" s="1"/>
      <c r="R80" s="1"/>
      <c r="S80" s="1"/>
      <c r="T80" s="1"/>
      <c r="U80" s="1"/>
      <c r="V80" s="1"/>
      <c r="W80" s="1">
        <v>0</v>
      </c>
      <c r="X80" s="1"/>
      <c r="Y80" s="1"/>
      <c r="Z80" s="1">
        <f t="shared" si="14"/>
        <v>20.399999999999999</v>
      </c>
      <c r="AA80" s="5"/>
      <c r="AB80" s="1">
        <f t="shared" si="15"/>
        <v>11.813725490196079</v>
      </c>
      <c r="AC80" s="1">
        <f t="shared" si="16"/>
        <v>11.813725490196079</v>
      </c>
      <c r="AD80" s="1">
        <v>22</v>
      </c>
      <c r="AE80" s="1">
        <v>23.4</v>
      </c>
      <c r="AF80" s="1">
        <v>33</v>
      </c>
      <c r="AG80" s="1">
        <v>23.8</v>
      </c>
      <c r="AH80" s="1">
        <v>7.8</v>
      </c>
      <c r="AI80" s="1">
        <v>9.8000000000000007</v>
      </c>
      <c r="AJ80" s="1">
        <v>23.8</v>
      </c>
      <c r="AK80" s="1">
        <v>23.6</v>
      </c>
      <c r="AL80" s="1"/>
      <c r="AM80" s="1">
        <f t="shared" si="18"/>
        <v>0</v>
      </c>
      <c r="AN80" s="1"/>
      <c r="AO80" s="1"/>
      <c r="AP80" s="1"/>
      <c r="AQ80" s="1"/>
      <c r="AR80" s="1"/>
    </row>
    <row r="81" spans="1:44" x14ac:dyDescent="0.25">
      <c r="A81" s="1" t="s">
        <v>200</v>
      </c>
      <c r="B81" s="1" t="s">
        <v>48</v>
      </c>
      <c r="C81" s="1">
        <v>37</v>
      </c>
      <c r="D81" s="1">
        <v>284</v>
      </c>
      <c r="E81" s="1">
        <v>103</v>
      </c>
      <c r="F81" s="1">
        <v>184</v>
      </c>
      <c r="G81" s="7">
        <v>7.0000000000000007E-2</v>
      </c>
      <c r="H81" s="1">
        <v>90</v>
      </c>
      <c r="I81" s="1" t="s">
        <v>201</v>
      </c>
      <c r="J81" s="1"/>
      <c r="K81" s="1">
        <v>160</v>
      </c>
      <c r="L81" s="1">
        <f t="shared" si="11"/>
        <v>-57</v>
      </c>
      <c r="M81" s="1">
        <f t="shared" si="13"/>
        <v>103</v>
      </c>
      <c r="N81" s="1"/>
      <c r="O81" s="1"/>
      <c r="P81" s="1">
        <v>0</v>
      </c>
      <c r="Q81" s="1"/>
      <c r="R81" s="1"/>
      <c r="S81" s="1"/>
      <c r="T81" s="1"/>
      <c r="U81" s="1"/>
      <c r="V81" s="1"/>
      <c r="W81" s="1">
        <v>94.800000000000011</v>
      </c>
      <c r="X81" s="1"/>
      <c r="Y81" s="1"/>
      <c r="Z81" s="1">
        <f t="shared" si="14"/>
        <v>20.6</v>
      </c>
      <c r="AA81" s="5"/>
      <c r="AB81" s="1">
        <f t="shared" si="15"/>
        <v>13.533980582524272</v>
      </c>
      <c r="AC81" s="1">
        <f t="shared" si="16"/>
        <v>13.533980582524272</v>
      </c>
      <c r="AD81" s="1">
        <v>22.8</v>
      </c>
      <c r="AE81" s="1">
        <v>20.6</v>
      </c>
      <c r="AF81" s="1">
        <v>21.4</v>
      </c>
      <c r="AG81" s="1">
        <v>16.399999999999999</v>
      </c>
      <c r="AH81" s="1">
        <v>7</v>
      </c>
      <c r="AI81" s="1">
        <v>11.2</v>
      </c>
      <c r="AJ81" s="1">
        <v>16.8</v>
      </c>
      <c r="AK81" s="1">
        <v>13.8</v>
      </c>
      <c r="AL81" s="1"/>
      <c r="AM81" s="1">
        <f t="shared" si="18"/>
        <v>0</v>
      </c>
      <c r="AN81" s="1"/>
      <c r="AO81" s="1"/>
      <c r="AP81" s="1"/>
      <c r="AQ81" s="1"/>
      <c r="AR81" s="1"/>
    </row>
    <row r="82" spans="1:44" x14ac:dyDescent="0.25">
      <c r="A82" s="1" t="s">
        <v>202</v>
      </c>
      <c r="B82" s="1" t="s">
        <v>48</v>
      </c>
      <c r="C82" s="1">
        <v>65</v>
      </c>
      <c r="D82" s="1">
        <v>133</v>
      </c>
      <c r="E82" s="1">
        <v>55</v>
      </c>
      <c r="F82" s="1">
        <v>117</v>
      </c>
      <c r="G82" s="7">
        <v>0.05</v>
      </c>
      <c r="H82" s="1">
        <v>90</v>
      </c>
      <c r="I82" s="1" t="s">
        <v>203</v>
      </c>
      <c r="J82" s="1"/>
      <c r="K82" s="1">
        <v>153</v>
      </c>
      <c r="L82" s="1">
        <f t="shared" si="11"/>
        <v>-98</v>
      </c>
      <c r="M82" s="1">
        <f t="shared" si="13"/>
        <v>55</v>
      </c>
      <c r="N82" s="1"/>
      <c r="O82" s="1"/>
      <c r="P82" s="1">
        <v>89.200000000000017</v>
      </c>
      <c r="Q82" s="1"/>
      <c r="R82" s="1"/>
      <c r="S82" s="1"/>
      <c r="T82" s="1"/>
      <c r="U82" s="1"/>
      <c r="V82" s="1"/>
      <c r="W82" s="1">
        <v>0</v>
      </c>
      <c r="X82" s="1"/>
      <c r="Y82" s="1"/>
      <c r="Z82" s="1">
        <f t="shared" si="14"/>
        <v>11</v>
      </c>
      <c r="AA82" s="5"/>
      <c r="AB82" s="1">
        <f t="shared" si="15"/>
        <v>18.745454545454546</v>
      </c>
      <c r="AC82" s="1">
        <f t="shared" si="16"/>
        <v>18.745454545454546</v>
      </c>
      <c r="AD82" s="1">
        <v>12</v>
      </c>
      <c r="AE82" s="1">
        <v>19.8</v>
      </c>
      <c r="AF82" s="1">
        <v>12.4</v>
      </c>
      <c r="AG82" s="1">
        <v>2.6</v>
      </c>
      <c r="AH82" s="1">
        <v>9.6</v>
      </c>
      <c r="AI82" s="1">
        <v>8</v>
      </c>
      <c r="AJ82" s="1">
        <v>4.4000000000000004</v>
      </c>
      <c r="AK82" s="1">
        <v>8.4</v>
      </c>
      <c r="AL82" s="1"/>
      <c r="AM82" s="1">
        <f t="shared" si="18"/>
        <v>0</v>
      </c>
      <c r="AN82" s="1"/>
      <c r="AO82" s="1"/>
      <c r="AP82" s="1"/>
      <c r="AQ82" s="1"/>
      <c r="AR82" s="1"/>
    </row>
    <row r="83" spans="1:44" x14ac:dyDescent="0.25">
      <c r="A83" s="13" t="s">
        <v>204</v>
      </c>
      <c r="B83" s="13" t="s">
        <v>48</v>
      </c>
      <c r="C83" s="13"/>
      <c r="D83" s="13"/>
      <c r="E83" s="13"/>
      <c r="F83" s="13"/>
      <c r="G83" s="14">
        <v>0.05</v>
      </c>
      <c r="H83" s="13"/>
      <c r="I83" s="13" t="s">
        <v>205</v>
      </c>
      <c r="J83" s="13"/>
      <c r="K83" s="13">
        <v>54</v>
      </c>
      <c r="L83" s="13">
        <f t="shared" si="11"/>
        <v>-54</v>
      </c>
      <c r="M83" s="13">
        <f t="shared" si="13"/>
        <v>0</v>
      </c>
      <c r="N83" s="13"/>
      <c r="O83" s="13"/>
      <c r="P83" s="13">
        <v>0</v>
      </c>
      <c r="Q83" s="13"/>
      <c r="R83" s="13"/>
      <c r="S83" s="13"/>
      <c r="T83" s="13"/>
      <c r="U83" s="13"/>
      <c r="V83" s="13"/>
      <c r="W83" s="13">
        <v>0</v>
      </c>
      <c r="X83" s="13"/>
      <c r="Y83" s="13"/>
      <c r="Z83" s="13">
        <f t="shared" si="14"/>
        <v>0</v>
      </c>
      <c r="AA83" s="15"/>
      <c r="AB83" s="13" t="e">
        <f t="shared" si="15"/>
        <v>#DIV/0!</v>
      </c>
      <c r="AC83" s="13" t="e">
        <f t="shared" si="16"/>
        <v>#DIV/0!</v>
      </c>
      <c r="AD83" s="13">
        <v>-0.4</v>
      </c>
      <c r="AE83" s="13">
        <v>-1.2</v>
      </c>
      <c r="AF83" s="13">
        <v>-1</v>
      </c>
      <c r="AG83" s="13">
        <v>3.2</v>
      </c>
      <c r="AH83" s="13">
        <v>14</v>
      </c>
      <c r="AI83" s="13">
        <v>15.8</v>
      </c>
      <c r="AJ83" s="13">
        <v>10.199999999999999</v>
      </c>
      <c r="AK83" s="13">
        <v>5.6</v>
      </c>
      <c r="AL83" s="13" t="s">
        <v>206</v>
      </c>
      <c r="AM83" s="13">
        <f t="shared" si="18"/>
        <v>0</v>
      </c>
      <c r="AN83" s="1"/>
      <c r="AO83" s="1"/>
      <c r="AP83" s="1"/>
      <c r="AQ83" s="1"/>
      <c r="AR83" s="1"/>
    </row>
    <row r="84" spans="1:44" x14ac:dyDescent="0.25">
      <c r="A84" s="13" t="s">
        <v>207</v>
      </c>
      <c r="B84" s="13" t="s">
        <v>48</v>
      </c>
      <c r="C84" s="13"/>
      <c r="D84" s="13"/>
      <c r="E84" s="13">
        <v>-1</v>
      </c>
      <c r="F84" s="13"/>
      <c r="G84" s="14">
        <v>5.5E-2</v>
      </c>
      <c r="H84" s="13"/>
      <c r="I84" s="13" t="s">
        <v>208</v>
      </c>
      <c r="J84" s="13"/>
      <c r="K84" s="13">
        <v>12</v>
      </c>
      <c r="L84" s="13">
        <f t="shared" si="11"/>
        <v>-13</v>
      </c>
      <c r="M84" s="13">
        <f t="shared" si="13"/>
        <v>-1</v>
      </c>
      <c r="N84" s="13"/>
      <c r="O84" s="13"/>
      <c r="P84" s="13">
        <v>0</v>
      </c>
      <c r="Q84" s="13"/>
      <c r="R84" s="13"/>
      <c r="S84" s="13"/>
      <c r="T84" s="13"/>
      <c r="U84" s="13"/>
      <c r="V84" s="13"/>
      <c r="W84" s="13">
        <v>0</v>
      </c>
      <c r="X84" s="13"/>
      <c r="Y84" s="13"/>
      <c r="Z84" s="13">
        <f t="shared" si="14"/>
        <v>-0.2</v>
      </c>
      <c r="AA84" s="15"/>
      <c r="AB84" s="13">
        <f t="shared" si="15"/>
        <v>0</v>
      </c>
      <c r="AC84" s="13">
        <f t="shared" si="16"/>
        <v>0</v>
      </c>
      <c r="AD84" s="13">
        <v>-0.2</v>
      </c>
      <c r="AE84" s="13">
        <v>2.4</v>
      </c>
      <c r="AF84" s="13">
        <v>10.8</v>
      </c>
      <c r="AG84" s="13">
        <v>13.4</v>
      </c>
      <c r="AH84" s="13">
        <v>10.8</v>
      </c>
      <c r="AI84" s="13">
        <v>10.4</v>
      </c>
      <c r="AJ84" s="13">
        <v>10.4</v>
      </c>
      <c r="AK84" s="13">
        <v>8.8000000000000007</v>
      </c>
      <c r="AL84" s="13" t="s">
        <v>206</v>
      </c>
      <c r="AM84" s="13">
        <f t="shared" si="18"/>
        <v>0</v>
      </c>
      <c r="AN84" s="1"/>
      <c r="AO84" s="1"/>
      <c r="AP84" s="1"/>
      <c r="AQ84" s="1"/>
      <c r="AR84" s="1"/>
    </row>
    <row r="85" spans="1:44" x14ac:dyDescent="0.25">
      <c r="A85" s="1" t="s">
        <v>209</v>
      </c>
      <c r="B85" s="1" t="s">
        <v>48</v>
      </c>
      <c r="C85" s="1"/>
      <c r="D85" s="1">
        <v>55</v>
      </c>
      <c r="E85" s="1">
        <v>6</v>
      </c>
      <c r="F85" s="1">
        <v>47</v>
      </c>
      <c r="G85" s="7">
        <v>0.3</v>
      </c>
      <c r="H85" s="1">
        <v>40</v>
      </c>
      <c r="I85" s="1" t="s">
        <v>210</v>
      </c>
      <c r="J85" s="1"/>
      <c r="K85" s="1">
        <v>97</v>
      </c>
      <c r="L85" s="1">
        <f t="shared" si="11"/>
        <v>-91</v>
      </c>
      <c r="M85" s="1">
        <f t="shared" si="13"/>
        <v>6</v>
      </c>
      <c r="N85" s="1"/>
      <c r="O85" s="1"/>
      <c r="P85" s="1">
        <v>0</v>
      </c>
      <c r="Q85" s="1"/>
      <c r="R85" s="1"/>
      <c r="S85" s="1"/>
      <c r="T85" s="1"/>
      <c r="U85" s="1"/>
      <c r="V85" s="1"/>
      <c r="W85" s="1">
        <v>0</v>
      </c>
      <c r="X85" s="1"/>
      <c r="Y85" s="1"/>
      <c r="Z85" s="1">
        <f t="shared" si="14"/>
        <v>1.2</v>
      </c>
      <c r="AA85" s="5"/>
      <c r="AB85" s="1">
        <f t="shared" si="15"/>
        <v>39.166666666666671</v>
      </c>
      <c r="AC85" s="1">
        <f t="shared" si="16"/>
        <v>39.166666666666671</v>
      </c>
      <c r="AD85" s="1">
        <v>-0.2</v>
      </c>
      <c r="AE85" s="1">
        <v>-0.4</v>
      </c>
      <c r="AF85" s="1">
        <v>7.8</v>
      </c>
      <c r="AG85" s="1">
        <v>8.1999999999999993</v>
      </c>
      <c r="AH85" s="1">
        <v>3.6</v>
      </c>
      <c r="AI85" s="1">
        <v>3</v>
      </c>
      <c r="AJ85" s="1">
        <v>6.8</v>
      </c>
      <c r="AK85" s="1">
        <v>7.2</v>
      </c>
      <c r="AL85" s="1"/>
      <c r="AM85" s="1">
        <f t="shared" si="18"/>
        <v>0</v>
      </c>
      <c r="AN85" s="1"/>
      <c r="AO85" s="1"/>
      <c r="AP85" s="1"/>
      <c r="AQ85" s="1"/>
      <c r="AR85" s="1"/>
    </row>
    <row r="86" spans="1:44" x14ac:dyDescent="0.25">
      <c r="A86" s="1" t="s">
        <v>211</v>
      </c>
      <c r="B86" s="1" t="s">
        <v>41</v>
      </c>
      <c r="C86" s="1">
        <v>44.854999999999997</v>
      </c>
      <c r="D86" s="1"/>
      <c r="E86" s="1">
        <v>16.21</v>
      </c>
      <c r="F86" s="1">
        <v>28.645</v>
      </c>
      <c r="G86" s="7">
        <v>1</v>
      </c>
      <c r="H86" s="1">
        <v>55</v>
      </c>
      <c r="I86" s="1" t="s">
        <v>212</v>
      </c>
      <c r="J86" s="1"/>
      <c r="K86" s="1">
        <v>14.971</v>
      </c>
      <c r="L86" s="1">
        <f t="shared" si="11"/>
        <v>1.2390000000000008</v>
      </c>
      <c r="M86" s="1">
        <f t="shared" si="13"/>
        <v>16.21</v>
      </c>
      <c r="N86" s="1"/>
      <c r="O86" s="1"/>
      <c r="P86" s="1">
        <v>0</v>
      </c>
      <c r="Q86" s="1"/>
      <c r="R86" s="1"/>
      <c r="S86" s="1"/>
      <c r="T86" s="1"/>
      <c r="U86" s="1"/>
      <c r="V86" s="1"/>
      <c r="W86" s="1">
        <v>0</v>
      </c>
      <c r="X86" s="1"/>
      <c r="Y86" s="1"/>
      <c r="Z86" s="1">
        <f t="shared" si="14"/>
        <v>3.242</v>
      </c>
      <c r="AA86" s="5">
        <f t="shared" ref="AA86:AA89" si="19">11*Z86-Y86-X86-W86-V86-U86-T86-S86-R86-Q86-P86-O86-F86</f>
        <v>7.0169999999999995</v>
      </c>
      <c r="AB86" s="1">
        <f t="shared" si="15"/>
        <v>11</v>
      </c>
      <c r="AC86" s="1">
        <f t="shared" si="16"/>
        <v>8.835595311536089</v>
      </c>
      <c r="AD86" s="1">
        <v>2.7948</v>
      </c>
      <c r="AE86" s="1">
        <v>2.4352</v>
      </c>
      <c r="AF86" s="1">
        <v>2.0659999999999998</v>
      </c>
      <c r="AG86" s="1">
        <v>1.2347999999999999</v>
      </c>
      <c r="AH86" s="1">
        <v>1.871</v>
      </c>
      <c r="AI86" s="1">
        <v>3.4733999999999998</v>
      </c>
      <c r="AJ86" s="1">
        <v>3.5244</v>
      </c>
      <c r="AK86" s="1">
        <v>3.4784000000000002</v>
      </c>
      <c r="AL86" s="1" t="s">
        <v>101</v>
      </c>
      <c r="AM86" s="1">
        <f t="shared" si="18"/>
        <v>7.0169999999999995</v>
      </c>
      <c r="AN86" s="1"/>
      <c r="AO86" s="1"/>
      <c r="AP86" s="1"/>
      <c r="AQ86" s="1"/>
      <c r="AR86" s="1"/>
    </row>
    <row r="87" spans="1:44" x14ac:dyDescent="0.25">
      <c r="A87" s="1" t="s">
        <v>213</v>
      </c>
      <c r="B87" s="1" t="s">
        <v>48</v>
      </c>
      <c r="C87" s="1"/>
      <c r="D87" s="1"/>
      <c r="E87" s="1">
        <v>2</v>
      </c>
      <c r="F87" s="1">
        <v>-4</v>
      </c>
      <c r="G87" s="7">
        <v>0.11</v>
      </c>
      <c r="H87" s="1">
        <v>30</v>
      </c>
      <c r="I87" s="1" t="s">
        <v>214</v>
      </c>
      <c r="J87" s="1"/>
      <c r="K87" s="1">
        <v>189</v>
      </c>
      <c r="L87" s="1">
        <f t="shared" si="11"/>
        <v>-187</v>
      </c>
      <c r="M87" s="1">
        <f t="shared" si="13"/>
        <v>2</v>
      </c>
      <c r="N87" s="1"/>
      <c r="O87" s="1"/>
      <c r="P87" s="1">
        <v>0</v>
      </c>
      <c r="Q87" s="1"/>
      <c r="R87" s="1"/>
      <c r="S87" s="1"/>
      <c r="T87" s="1"/>
      <c r="U87" s="1"/>
      <c r="V87" s="1"/>
      <c r="W87" s="1">
        <v>0</v>
      </c>
      <c r="X87" s="1"/>
      <c r="Y87" s="1"/>
      <c r="Z87" s="1">
        <f t="shared" si="14"/>
        <v>0.4</v>
      </c>
      <c r="AA87" s="5">
        <f t="shared" si="19"/>
        <v>8.4</v>
      </c>
      <c r="AB87" s="1">
        <f t="shared" si="15"/>
        <v>11</v>
      </c>
      <c r="AC87" s="1">
        <f t="shared" si="16"/>
        <v>-10</v>
      </c>
      <c r="AD87" s="1">
        <v>0.4</v>
      </c>
      <c r="AE87" s="1">
        <v>0.6</v>
      </c>
      <c r="AF87" s="1">
        <v>9.1999999999999993</v>
      </c>
      <c r="AG87" s="1">
        <v>8.1999999999999993</v>
      </c>
      <c r="AH87" s="1">
        <v>4.2</v>
      </c>
      <c r="AI87" s="1">
        <v>6.2</v>
      </c>
      <c r="AJ87" s="1">
        <v>2</v>
      </c>
      <c r="AK87" s="1">
        <v>0</v>
      </c>
      <c r="AL87" s="1"/>
      <c r="AM87" s="1">
        <f t="shared" si="18"/>
        <v>0.92400000000000004</v>
      </c>
      <c r="AN87" s="1"/>
      <c r="AO87" s="1"/>
      <c r="AP87" s="1"/>
      <c r="AQ87" s="1"/>
      <c r="AR87" s="1"/>
    </row>
    <row r="88" spans="1:44" x14ac:dyDescent="0.25">
      <c r="A88" s="1" t="s">
        <v>215</v>
      </c>
      <c r="B88" s="1" t="s">
        <v>48</v>
      </c>
      <c r="C88" s="1">
        <v>156</v>
      </c>
      <c r="D88" s="1">
        <v>422</v>
      </c>
      <c r="E88" s="1">
        <v>195</v>
      </c>
      <c r="F88" s="1">
        <v>297</v>
      </c>
      <c r="G88" s="7">
        <v>0.08</v>
      </c>
      <c r="H88" s="1">
        <v>45</v>
      </c>
      <c r="I88" s="1" t="s">
        <v>216</v>
      </c>
      <c r="J88" s="1"/>
      <c r="K88" s="1">
        <v>331</v>
      </c>
      <c r="L88" s="1">
        <f t="shared" si="11"/>
        <v>-136</v>
      </c>
      <c r="M88" s="1">
        <f t="shared" si="13"/>
        <v>195</v>
      </c>
      <c r="N88" s="1"/>
      <c r="O88" s="1"/>
      <c r="P88" s="1">
        <v>57.199999999999818</v>
      </c>
      <c r="Q88" s="1"/>
      <c r="R88" s="1"/>
      <c r="S88" s="1"/>
      <c r="T88" s="1"/>
      <c r="U88" s="1"/>
      <c r="V88" s="1"/>
      <c r="W88" s="1">
        <v>256.10000000000002</v>
      </c>
      <c r="X88" s="1"/>
      <c r="Y88" s="1"/>
      <c r="Z88" s="1">
        <f t="shared" si="14"/>
        <v>39</v>
      </c>
      <c r="AA88" s="5"/>
      <c r="AB88" s="1">
        <f t="shared" si="15"/>
        <v>15.648717948717945</v>
      </c>
      <c r="AC88" s="1">
        <f t="shared" si="16"/>
        <v>15.648717948717945</v>
      </c>
      <c r="AD88" s="1">
        <v>49</v>
      </c>
      <c r="AE88" s="1">
        <v>45.4</v>
      </c>
      <c r="AF88" s="1">
        <v>45.2</v>
      </c>
      <c r="AG88" s="1">
        <v>38.799999999999997</v>
      </c>
      <c r="AH88" s="1">
        <v>35.200000000000003</v>
      </c>
      <c r="AI88" s="1">
        <v>31.2</v>
      </c>
      <c r="AJ88" s="1">
        <v>23.2</v>
      </c>
      <c r="AK88" s="1">
        <v>25.6</v>
      </c>
      <c r="AL88" s="1"/>
      <c r="AM88" s="1">
        <f t="shared" si="18"/>
        <v>0</v>
      </c>
      <c r="AN88" s="1"/>
      <c r="AO88" s="1"/>
      <c r="AP88" s="1"/>
      <c r="AQ88" s="1"/>
      <c r="AR88" s="1"/>
    </row>
    <row r="89" spans="1:44" x14ac:dyDescent="0.25">
      <c r="A89" s="1" t="s">
        <v>217</v>
      </c>
      <c r="B89" s="1" t="s">
        <v>48</v>
      </c>
      <c r="C89" s="1">
        <v>222</v>
      </c>
      <c r="D89" s="1">
        <v>77</v>
      </c>
      <c r="E89" s="1">
        <v>152</v>
      </c>
      <c r="F89" s="1">
        <v>78</v>
      </c>
      <c r="G89" s="7">
        <v>0.08</v>
      </c>
      <c r="H89" s="1">
        <v>45</v>
      </c>
      <c r="I89" s="1" t="s">
        <v>218</v>
      </c>
      <c r="J89" s="1"/>
      <c r="K89" s="1">
        <v>311</v>
      </c>
      <c r="L89" s="1">
        <f t="shared" si="11"/>
        <v>-159</v>
      </c>
      <c r="M89" s="1">
        <f t="shared" si="13"/>
        <v>152</v>
      </c>
      <c r="N89" s="1"/>
      <c r="O89" s="1"/>
      <c r="P89" s="1">
        <v>0</v>
      </c>
      <c r="Q89" s="1"/>
      <c r="R89" s="1"/>
      <c r="S89" s="1"/>
      <c r="T89" s="1"/>
      <c r="U89" s="1"/>
      <c r="V89" s="1"/>
      <c r="W89" s="1">
        <v>253.3000000000001</v>
      </c>
      <c r="X89" s="1"/>
      <c r="Y89" s="1"/>
      <c r="Z89" s="1">
        <f t="shared" si="14"/>
        <v>30.4</v>
      </c>
      <c r="AA89" s="5">
        <f t="shared" si="19"/>
        <v>3.0999999999998806</v>
      </c>
      <c r="AB89" s="1">
        <f t="shared" si="15"/>
        <v>11</v>
      </c>
      <c r="AC89" s="1">
        <f t="shared" si="16"/>
        <v>10.898026315789476</v>
      </c>
      <c r="AD89" s="1">
        <v>36.200000000000003</v>
      </c>
      <c r="AE89" s="1">
        <v>26.6</v>
      </c>
      <c r="AF89" s="1">
        <v>26.8</v>
      </c>
      <c r="AG89" s="1">
        <v>29</v>
      </c>
      <c r="AH89" s="1">
        <v>16.8</v>
      </c>
      <c r="AI89" s="1">
        <v>6.8</v>
      </c>
      <c r="AJ89" s="1">
        <v>16.2</v>
      </c>
      <c r="AK89" s="1">
        <v>28.6</v>
      </c>
      <c r="AL89" s="1"/>
      <c r="AM89" s="1">
        <f t="shared" si="18"/>
        <v>0.24799999999999045</v>
      </c>
      <c r="AN89" s="1"/>
      <c r="AO89" s="1"/>
      <c r="AP89" s="1"/>
      <c r="AQ89" s="1"/>
      <c r="AR89" s="1"/>
    </row>
    <row r="90" spans="1:44" x14ac:dyDescent="0.25">
      <c r="A90" s="1" t="s">
        <v>219</v>
      </c>
      <c r="B90" s="1" t="s">
        <v>48</v>
      </c>
      <c r="C90" s="1">
        <v>51</v>
      </c>
      <c r="D90" s="1">
        <v>8</v>
      </c>
      <c r="E90" s="1">
        <v>40</v>
      </c>
      <c r="F90" s="1">
        <v>-1</v>
      </c>
      <c r="G90" s="7">
        <v>0.17</v>
      </c>
      <c r="H90" s="1">
        <v>30</v>
      </c>
      <c r="I90" s="1" t="s">
        <v>220</v>
      </c>
      <c r="J90" s="1"/>
      <c r="K90" s="1">
        <v>140</v>
      </c>
      <c r="L90" s="1">
        <f t="shared" si="11"/>
        <v>-100</v>
      </c>
      <c r="M90" s="1">
        <f t="shared" si="13"/>
        <v>40</v>
      </c>
      <c r="N90" s="1"/>
      <c r="O90" s="1"/>
      <c r="P90" s="1">
        <v>49.2</v>
      </c>
      <c r="Q90" s="1"/>
      <c r="R90" s="1"/>
      <c r="S90" s="1"/>
      <c r="T90" s="1"/>
      <c r="U90" s="1"/>
      <c r="V90" s="1"/>
      <c r="W90" s="1">
        <v>66.799999999999983</v>
      </c>
      <c r="X90" s="1"/>
      <c r="Y90" s="1"/>
      <c r="Z90" s="1">
        <f t="shared" si="14"/>
        <v>8</v>
      </c>
      <c r="AA90" s="5"/>
      <c r="AB90" s="1">
        <f t="shared" si="15"/>
        <v>14.374999999999998</v>
      </c>
      <c r="AC90" s="1">
        <f t="shared" si="16"/>
        <v>14.374999999999998</v>
      </c>
      <c r="AD90" s="1">
        <v>9.1999999999999993</v>
      </c>
      <c r="AE90" s="1">
        <v>7.8</v>
      </c>
      <c r="AF90" s="1">
        <v>2.6</v>
      </c>
      <c r="AG90" s="1">
        <v>1.4</v>
      </c>
      <c r="AH90" s="1">
        <v>5</v>
      </c>
      <c r="AI90" s="1">
        <v>3.2</v>
      </c>
      <c r="AJ90" s="1">
        <v>-0.8</v>
      </c>
      <c r="AK90" s="1">
        <v>1.2</v>
      </c>
      <c r="AL90" s="1"/>
      <c r="AM90" s="1">
        <f t="shared" si="18"/>
        <v>0</v>
      </c>
      <c r="AN90" s="1"/>
      <c r="AO90" s="1"/>
      <c r="AP90" s="1"/>
      <c r="AQ90" s="1"/>
      <c r="AR90" s="1"/>
    </row>
    <row r="91" spans="1:44" x14ac:dyDescent="0.25">
      <c r="A91" s="1" t="s">
        <v>221</v>
      </c>
      <c r="B91" s="1" t="s">
        <v>41</v>
      </c>
      <c r="C91" s="1">
        <v>319.68400000000003</v>
      </c>
      <c r="D91" s="1">
        <v>205.90299999999999</v>
      </c>
      <c r="E91" s="1">
        <v>229.69499999999999</v>
      </c>
      <c r="F91" s="1">
        <v>270.42899999999997</v>
      </c>
      <c r="G91" s="7">
        <v>1</v>
      </c>
      <c r="H91" s="1">
        <v>40</v>
      </c>
      <c r="I91" s="1" t="s">
        <v>222</v>
      </c>
      <c r="J91" s="1"/>
      <c r="K91" s="1">
        <v>348.21300000000002</v>
      </c>
      <c r="L91" s="1">
        <f t="shared" si="11"/>
        <v>-118.51800000000003</v>
      </c>
      <c r="M91" s="1">
        <f t="shared" si="13"/>
        <v>229.69499999999999</v>
      </c>
      <c r="N91" s="1"/>
      <c r="O91" s="1"/>
      <c r="P91" s="1">
        <v>176.36960000000019</v>
      </c>
      <c r="Q91" s="1"/>
      <c r="R91" s="1"/>
      <c r="S91" s="1"/>
      <c r="T91" s="1"/>
      <c r="U91" s="1"/>
      <c r="V91" s="1"/>
      <c r="W91" s="1">
        <v>168.57199999999989</v>
      </c>
      <c r="X91" s="1"/>
      <c r="Y91" s="1"/>
      <c r="Z91" s="1">
        <f t="shared" si="14"/>
        <v>45.939</v>
      </c>
      <c r="AA91" s="5"/>
      <c r="AB91" s="1">
        <f t="shared" si="15"/>
        <v>13.395385184701453</v>
      </c>
      <c r="AC91" s="1">
        <f t="shared" si="16"/>
        <v>13.395385184701453</v>
      </c>
      <c r="AD91" s="1">
        <v>53.251199999999997</v>
      </c>
      <c r="AE91" s="1">
        <v>53.023000000000003</v>
      </c>
      <c r="AF91" s="1">
        <v>48.691000000000003</v>
      </c>
      <c r="AG91" s="1">
        <v>50.067399999999999</v>
      </c>
      <c r="AH91" s="1">
        <v>53.2864</v>
      </c>
      <c r="AI91" s="1">
        <v>50.620199999999997</v>
      </c>
      <c r="AJ91" s="1">
        <v>59.324399999999997</v>
      </c>
      <c r="AK91" s="1">
        <v>63.511800000000008</v>
      </c>
      <c r="AL91" s="1"/>
      <c r="AM91" s="1">
        <f t="shared" si="18"/>
        <v>0</v>
      </c>
      <c r="AN91" s="1"/>
      <c r="AO91" s="1"/>
      <c r="AP91" s="1"/>
      <c r="AQ91" s="1"/>
      <c r="AR91" s="1"/>
    </row>
    <row r="92" spans="1:44" x14ac:dyDescent="0.25">
      <c r="A92" s="1" t="s">
        <v>223</v>
      </c>
      <c r="B92" s="1" t="s">
        <v>41</v>
      </c>
      <c r="C92" s="1">
        <v>76.605000000000004</v>
      </c>
      <c r="D92" s="1">
        <v>114.304</v>
      </c>
      <c r="E92" s="1">
        <v>34.631</v>
      </c>
      <c r="F92" s="17">
        <v>150.51499999999999</v>
      </c>
      <c r="G92" s="7">
        <v>1</v>
      </c>
      <c r="H92" s="1">
        <v>40</v>
      </c>
      <c r="I92" s="1" t="s">
        <v>224</v>
      </c>
      <c r="J92" s="1"/>
      <c r="K92" s="1">
        <v>60.6</v>
      </c>
      <c r="L92" s="1">
        <f t="shared" si="11"/>
        <v>-25.969000000000001</v>
      </c>
      <c r="M92" s="1">
        <f t="shared" si="13"/>
        <v>34.631</v>
      </c>
      <c r="N92" s="1"/>
      <c r="O92" s="1"/>
      <c r="P92" s="1">
        <v>40.127200000000023</v>
      </c>
      <c r="Q92" s="1"/>
      <c r="R92" s="1"/>
      <c r="S92" s="1"/>
      <c r="T92" s="1"/>
      <c r="U92" s="1"/>
      <c r="V92" s="1"/>
      <c r="W92" s="1">
        <v>0</v>
      </c>
      <c r="X92" s="1"/>
      <c r="Y92" s="1"/>
      <c r="Z92" s="1">
        <f t="shared" si="14"/>
        <v>6.9261999999999997</v>
      </c>
      <c r="AA92" s="5"/>
      <c r="AB92" s="1">
        <f t="shared" si="15"/>
        <v>27.524789928099104</v>
      </c>
      <c r="AC92" s="1">
        <f t="shared" si="16"/>
        <v>27.524789928099104</v>
      </c>
      <c r="AD92" s="1">
        <v>11.025399999999999</v>
      </c>
      <c r="AE92" s="1">
        <v>19.4436</v>
      </c>
      <c r="AF92" s="1">
        <v>17.420200000000001</v>
      </c>
      <c r="AG92" s="1">
        <v>11.458399999999999</v>
      </c>
      <c r="AH92" s="1">
        <v>14.843</v>
      </c>
      <c r="AI92" s="1">
        <v>14.2028</v>
      </c>
      <c r="AJ92" s="1">
        <v>11.4068</v>
      </c>
      <c r="AK92" s="1">
        <v>14.0228</v>
      </c>
      <c r="AL92" s="1"/>
      <c r="AM92" s="1">
        <f t="shared" si="18"/>
        <v>0</v>
      </c>
      <c r="AN92" s="1"/>
      <c r="AO92" s="1"/>
      <c r="AP92" s="1"/>
      <c r="AQ92" s="1"/>
      <c r="AR92" s="1"/>
    </row>
    <row r="93" spans="1:44" x14ac:dyDescent="0.25">
      <c r="A93" s="1" t="s">
        <v>225</v>
      </c>
      <c r="B93" s="1" t="s">
        <v>41</v>
      </c>
      <c r="C93" s="1">
        <v>193.03200000000001</v>
      </c>
      <c r="D93" s="1">
        <v>307.084</v>
      </c>
      <c r="E93" s="1">
        <v>161.79900000000001</v>
      </c>
      <c r="F93" s="1">
        <v>327.09300000000002</v>
      </c>
      <c r="G93" s="7">
        <v>1</v>
      </c>
      <c r="H93" s="1">
        <v>40</v>
      </c>
      <c r="I93" s="1" t="s">
        <v>226</v>
      </c>
      <c r="J93" s="1"/>
      <c r="K93" s="1">
        <v>239.3</v>
      </c>
      <c r="L93" s="1">
        <f t="shared" si="11"/>
        <v>-77.501000000000005</v>
      </c>
      <c r="M93" s="1">
        <f t="shared" si="13"/>
        <v>161.79900000000001</v>
      </c>
      <c r="N93" s="1"/>
      <c r="O93" s="1"/>
      <c r="P93" s="1">
        <v>32.331799999999703</v>
      </c>
      <c r="Q93" s="1"/>
      <c r="R93" s="1"/>
      <c r="S93" s="1"/>
      <c r="T93" s="1"/>
      <c r="U93" s="1"/>
      <c r="V93" s="1"/>
      <c r="W93" s="1">
        <v>68.684200000000061</v>
      </c>
      <c r="X93" s="1"/>
      <c r="Y93" s="1"/>
      <c r="Z93" s="1">
        <f t="shared" si="14"/>
        <v>32.3598</v>
      </c>
      <c r="AA93" s="5"/>
      <c r="AB93" s="1">
        <f t="shared" si="15"/>
        <v>13.229655313073623</v>
      </c>
      <c r="AC93" s="1">
        <f t="shared" si="16"/>
        <v>13.229655313073623</v>
      </c>
      <c r="AD93" s="1">
        <v>36.879600000000003</v>
      </c>
      <c r="AE93" s="1">
        <v>41.132800000000003</v>
      </c>
      <c r="AF93" s="1">
        <v>45.424199999999999</v>
      </c>
      <c r="AG93" s="1">
        <v>42.593600000000002</v>
      </c>
      <c r="AH93" s="1">
        <v>39.310600000000001</v>
      </c>
      <c r="AI93" s="1">
        <v>37.340800000000002</v>
      </c>
      <c r="AJ93" s="1">
        <v>46.566600000000001</v>
      </c>
      <c r="AK93" s="1">
        <v>47.993400000000001</v>
      </c>
      <c r="AL93" s="1"/>
      <c r="AM93" s="1">
        <f t="shared" si="18"/>
        <v>0</v>
      </c>
      <c r="AN93" s="1"/>
      <c r="AO93" s="1"/>
      <c r="AP93" s="1"/>
      <c r="AQ93" s="1"/>
      <c r="AR93" s="1"/>
    </row>
    <row r="94" spans="1:44" x14ac:dyDescent="0.25">
      <c r="A94" s="1" t="s">
        <v>227</v>
      </c>
      <c r="B94" s="1" t="s">
        <v>48</v>
      </c>
      <c r="C94" s="1">
        <v>5</v>
      </c>
      <c r="D94" s="1">
        <v>116</v>
      </c>
      <c r="E94" s="1">
        <v>3</v>
      </c>
      <c r="F94" s="1">
        <v>116</v>
      </c>
      <c r="G94" s="7">
        <v>0.3</v>
      </c>
      <c r="H94" s="1">
        <v>45</v>
      </c>
      <c r="I94" s="1" t="s">
        <v>228</v>
      </c>
      <c r="J94" s="1"/>
      <c r="K94" s="1">
        <v>62</v>
      </c>
      <c r="L94" s="1">
        <f t="shared" si="11"/>
        <v>-59</v>
      </c>
      <c r="M94" s="1">
        <f t="shared" si="13"/>
        <v>3</v>
      </c>
      <c r="N94" s="1"/>
      <c r="O94" s="1"/>
      <c r="P94" s="1">
        <v>23</v>
      </c>
      <c r="Q94" s="1"/>
      <c r="R94" s="1"/>
      <c r="S94" s="1"/>
      <c r="T94" s="1"/>
      <c r="U94" s="1"/>
      <c r="V94" s="1"/>
      <c r="W94" s="1">
        <v>0</v>
      </c>
      <c r="X94" s="1"/>
      <c r="Y94" s="1"/>
      <c r="Z94" s="1">
        <f t="shared" si="14"/>
        <v>0.6</v>
      </c>
      <c r="AA94" s="5"/>
      <c r="AB94" s="1">
        <f t="shared" si="15"/>
        <v>231.66666666666669</v>
      </c>
      <c r="AC94" s="1">
        <f t="shared" si="16"/>
        <v>231.66666666666669</v>
      </c>
      <c r="AD94" s="1">
        <v>3.8</v>
      </c>
      <c r="AE94" s="1">
        <v>12.4</v>
      </c>
      <c r="AF94" s="1">
        <v>11.2</v>
      </c>
      <c r="AG94" s="1">
        <v>2.8</v>
      </c>
      <c r="AH94" s="1">
        <v>2.6</v>
      </c>
      <c r="AI94" s="1">
        <v>6.4</v>
      </c>
      <c r="AJ94" s="1">
        <v>8</v>
      </c>
      <c r="AK94" s="1">
        <v>8.8000000000000007</v>
      </c>
      <c r="AL94" s="1"/>
      <c r="AM94" s="1">
        <f t="shared" si="18"/>
        <v>0</v>
      </c>
      <c r="AN94" s="1"/>
      <c r="AO94" s="1"/>
      <c r="AP94" s="1"/>
      <c r="AQ94" s="1"/>
      <c r="AR94" s="1"/>
    </row>
    <row r="95" spans="1:44" x14ac:dyDescent="0.25">
      <c r="A95" s="1" t="s">
        <v>229</v>
      </c>
      <c r="B95" s="1" t="s">
        <v>41</v>
      </c>
      <c r="C95" s="1">
        <v>2.7320000000000002</v>
      </c>
      <c r="D95" s="1"/>
      <c r="E95" s="1">
        <v>2.0249999999999999</v>
      </c>
      <c r="F95" s="1">
        <v>-8.0000000000000002E-3</v>
      </c>
      <c r="G95" s="7">
        <v>1</v>
      </c>
      <c r="H95" s="1">
        <v>55</v>
      </c>
      <c r="I95" s="1" t="s">
        <v>230</v>
      </c>
      <c r="J95" s="1"/>
      <c r="K95" s="1">
        <v>3.8</v>
      </c>
      <c r="L95" s="1">
        <f t="shared" si="11"/>
        <v>-1.7749999999999999</v>
      </c>
      <c r="M95" s="1">
        <f t="shared" si="13"/>
        <v>2.0249999999999999</v>
      </c>
      <c r="N95" s="1"/>
      <c r="O95" s="1"/>
      <c r="P95" s="1">
        <v>4</v>
      </c>
      <c r="Q95" s="1"/>
      <c r="R95" s="1"/>
      <c r="S95" s="1"/>
      <c r="T95" s="1"/>
      <c r="U95" s="1"/>
      <c r="V95" s="1"/>
      <c r="W95" s="1">
        <v>8</v>
      </c>
      <c r="X95" s="1"/>
      <c r="Y95" s="1"/>
      <c r="Z95" s="1">
        <f t="shared" si="14"/>
        <v>0.40499999999999997</v>
      </c>
      <c r="AA95" s="5"/>
      <c r="AB95" s="1">
        <f t="shared" si="15"/>
        <v>29.609876543209882</v>
      </c>
      <c r="AC95" s="1">
        <f t="shared" si="16"/>
        <v>29.609876543209882</v>
      </c>
      <c r="AD95" s="1">
        <v>1.224</v>
      </c>
      <c r="AE95" s="1">
        <v>0.5544</v>
      </c>
      <c r="AF95" s="1">
        <v>-0.2646</v>
      </c>
      <c r="AG95" s="1">
        <v>0</v>
      </c>
      <c r="AH95" s="1">
        <v>0</v>
      </c>
      <c r="AI95" s="1">
        <v>0</v>
      </c>
      <c r="AJ95" s="1">
        <v>-0.27200000000000002</v>
      </c>
      <c r="AK95" s="1">
        <v>0</v>
      </c>
      <c r="AL95" s="1"/>
      <c r="AM95" s="1">
        <f t="shared" si="18"/>
        <v>0</v>
      </c>
      <c r="AN95" s="1"/>
      <c r="AO95" s="1"/>
      <c r="AP95" s="1"/>
      <c r="AQ95" s="1"/>
      <c r="AR95" s="1"/>
    </row>
    <row r="96" spans="1:44" x14ac:dyDescent="0.25">
      <c r="A96" s="1" t="s">
        <v>231</v>
      </c>
      <c r="B96" s="1" t="s">
        <v>48</v>
      </c>
      <c r="C96" s="1">
        <v>287</v>
      </c>
      <c r="D96" s="1">
        <v>694</v>
      </c>
      <c r="E96" s="1">
        <v>285</v>
      </c>
      <c r="F96" s="1">
        <v>584</v>
      </c>
      <c r="G96" s="7">
        <v>0.28000000000000003</v>
      </c>
      <c r="H96" s="1">
        <v>40</v>
      </c>
      <c r="I96" s="1" t="s">
        <v>232</v>
      </c>
      <c r="J96" s="1"/>
      <c r="K96" s="1">
        <v>495</v>
      </c>
      <c r="L96" s="1">
        <f t="shared" si="11"/>
        <v>-210</v>
      </c>
      <c r="M96" s="1">
        <f t="shared" si="13"/>
        <v>285</v>
      </c>
      <c r="N96" s="1"/>
      <c r="O96" s="1"/>
      <c r="P96" s="1">
        <v>70.12468599999977</v>
      </c>
      <c r="Q96" s="1"/>
      <c r="R96" s="1"/>
      <c r="S96" s="1"/>
      <c r="T96" s="1"/>
      <c r="U96" s="1"/>
      <c r="V96" s="1"/>
      <c r="W96" s="1">
        <v>170.2</v>
      </c>
      <c r="X96" s="1"/>
      <c r="Y96" s="1"/>
      <c r="Z96" s="1">
        <f t="shared" si="14"/>
        <v>57</v>
      </c>
      <c r="AA96" s="5"/>
      <c r="AB96" s="1">
        <f t="shared" si="15"/>
        <v>14.461836596491223</v>
      </c>
      <c r="AC96" s="1">
        <f t="shared" si="16"/>
        <v>14.461836596491223</v>
      </c>
      <c r="AD96" s="1">
        <v>70</v>
      </c>
      <c r="AE96" s="1">
        <v>76.8</v>
      </c>
      <c r="AF96" s="1">
        <v>82.8</v>
      </c>
      <c r="AG96" s="1">
        <v>77.599999999999994</v>
      </c>
      <c r="AH96" s="1">
        <v>66.8</v>
      </c>
      <c r="AI96" s="1">
        <v>79.2</v>
      </c>
      <c r="AJ96" s="1">
        <v>89.4</v>
      </c>
      <c r="AK96" s="1">
        <v>80.2</v>
      </c>
      <c r="AL96" s="1"/>
      <c r="AM96" s="1">
        <f t="shared" si="18"/>
        <v>0</v>
      </c>
      <c r="AN96" s="1"/>
      <c r="AO96" s="1"/>
      <c r="AP96" s="1"/>
      <c r="AQ96" s="1"/>
      <c r="AR96" s="1"/>
    </row>
    <row r="97" spans="1:44" x14ac:dyDescent="0.25">
      <c r="A97" s="1" t="s">
        <v>233</v>
      </c>
      <c r="B97" s="1" t="s">
        <v>48</v>
      </c>
      <c r="C97" s="1">
        <v>127</v>
      </c>
      <c r="D97" s="1">
        <v>325</v>
      </c>
      <c r="E97" s="1">
        <v>163.274</v>
      </c>
      <c r="F97" s="17">
        <v>215.726</v>
      </c>
      <c r="G97" s="7">
        <v>0.28000000000000003</v>
      </c>
      <c r="H97" s="1">
        <v>40</v>
      </c>
      <c r="I97" s="1"/>
      <c r="J97" s="1"/>
      <c r="K97" s="1">
        <v>366</v>
      </c>
      <c r="L97" s="1">
        <f t="shared" si="11"/>
        <v>-202.726</v>
      </c>
      <c r="M97" s="1">
        <f t="shared" si="13"/>
        <v>163.274</v>
      </c>
      <c r="N97" s="1"/>
      <c r="O97" s="1"/>
      <c r="P97" s="1">
        <v>275.27999999999997</v>
      </c>
      <c r="Q97" s="1"/>
      <c r="R97" s="1">
        <v>279.72000000000003</v>
      </c>
      <c r="S97" s="1"/>
      <c r="T97" s="1"/>
      <c r="U97" s="1"/>
      <c r="V97" s="1"/>
      <c r="W97" s="1">
        <v>0</v>
      </c>
      <c r="X97" s="1"/>
      <c r="Y97" s="1"/>
      <c r="Z97" s="1">
        <f t="shared" si="14"/>
        <v>32.654800000000002</v>
      </c>
      <c r="AA97" s="5"/>
      <c r="AB97" s="1">
        <f t="shared" si="15"/>
        <v>23.602226931415903</v>
      </c>
      <c r="AC97" s="1">
        <f t="shared" si="16"/>
        <v>23.602226931415903</v>
      </c>
      <c r="AD97" s="1">
        <v>50.4</v>
      </c>
      <c r="AE97" s="1">
        <v>91.8</v>
      </c>
      <c r="AF97" s="1">
        <v>43.6</v>
      </c>
      <c r="AG97" s="1">
        <v>2</v>
      </c>
      <c r="AH97" s="1">
        <v>40.4</v>
      </c>
      <c r="AI97" s="1">
        <v>50.8</v>
      </c>
      <c r="AJ97" s="1">
        <v>10.4</v>
      </c>
      <c r="AK97" s="1">
        <v>0</v>
      </c>
      <c r="AL97" s="1"/>
      <c r="AM97" s="1">
        <f t="shared" si="18"/>
        <v>0</v>
      </c>
      <c r="AN97" s="1"/>
      <c r="AO97" s="1"/>
      <c r="AP97" s="1"/>
      <c r="AQ97" s="1"/>
      <c r="AR97" s="1"/>
    </row>
    <row r="98" spans="1:44" x14ac:dyDescent="0.25">
      <c r="A98" s="1" t="s">
        <v>234</v>
      </c>
      <c r="B98" s="1" t="s">
        <v>48</v>
      </c>
      <c r="C98" s="1">
        <v>397</v>
      </c>
      <c r="D98" s="1">
        <v>740</v>
      </c>
      <c r="E98" s="1">
        <v>392.5</v>
      </c>
      <c r="F98" s="1">
        <v>627.5</v>
      </c>
      <c r="G98" s="7">
        <v>0.28000000000000003</v>
      </c>
      <c r="H98" s="1">
        <v>40</v>
      </c>
      <c r="I98" s="1" t="s">
        <v>235</v>
      </c>
      <c r="J98" s="1"/>
      <c r="K98" s="1">
        <v>687</v>
      </c>
      <c r="L98" s="1">
        <f t="shared" si="11"/>
        <v>-294.5</v>
      </c>
      <c r="M98" s="1">
        <f t="shared" si="13"/>
        <v>392.5</v>
      </c>
      <c r="N98" s="1"/>
      <c r="O98" s="1"/>
      <c r="P98" s="1">
        <v>175.5732580000001</v>
      </c>
      <c r="Q98" s="1"/>
      <c r="R98" s="1"/>
      <c r="S98" s="1"/>
      <c r="T98" s="1"/>
      <c r="U98" s="1"/>
      <c r="V98" s="1"/>
      <c r="W98" s="1">
        <v>380.12000000000012</v>
      </c>
      <c r="X98" s="1"/>
      <c r="Y98" s="1"/>
      <c r="Z98" s="1">
        <f t="shared" si="14"/>
        <v>78.5</v>
      </c>
      <c r="AA98" s="5"/>
      <c r="AB98" s="1">
        <f t="shared" si="15"/>
        <v>15.072525579617837</v>
      </c>
      <c r="AC98" s="1">
        <f t="shared" si="16"/>
        <v>15.072525579617837</v>
      </c>
      <c r="AD98" s="1">
        <v>103.2</v>
      </c>
      <c r="AE98" s="1">
        <v>101.8</v>
      </c>
      <c r="AF98" s="1">
        <v>99</v>
      </c>
      <c r="AG98" s="1">
        <v>77.8</v>
      </c>
      <c r="AH98" s="1">
        <v>86.6</v>
      </c>
      <c r="AI98" s="1">
        <v>107</v>
      </c>
      <c r="AJ98" s="1">
        <v>107.8</v>
      </c>
      <c r="AK98" s="1">
        <v>88.6</v>
      </c>
      <c r="AL98" s="1"/>
      <c r="AM98" s="1">
        <f t="shared" si="18"/>
        <v>0</v>
      </c>
      <c r="AN98" s="1"/>
      <c r="AO98" s="1"/>
      <c r="AP98" s="1"/>
      <c r="AQ98" s="1"/>
      <c r="AR98" s="1"/>
    </row>
    <row r="99" spans="1:44" x14ac:dyDescent="0.25">
      <c r="A99" s="1" t="s">
        <v>236</v>
      </c>
      <c r="B99" s="1" t="s">
        <v>48</v>
      </c>
      <c r="C99" s="1">
        <v>17</v>
      </c>
      <c r="D99" s="1">
        <v>61</v>
      </c>
      <c r="E99" s="1">
        <v>33</v>
      </c>
      <c r="F99" s="1">
        <v>24</v>
      </c>
      <c r="G99" s="7">
        <v>0.09</v>
      </c>
      <c r="H99" s="1">
        <v>45</v>
      </c>
      <c r="I99" s="1"/>
      <c r="J99" s="1"/>
      <c r="K99" s="1">
        <v>118</v>
      </c>
      <c r="L99" s="1">
        <f t="shared" si="11"/>
        <v>-85</v>
      </c>
      <c r="M99" s="1">
        <f t="shared" si="13"/>
        <v>33</v>
      </c>
      <c r="N99" s="1"/>
      <c r="O99" s="1"/>
      <c r="P99" s="1">
        <v>0</v>
      </c>
      <c r="Q99" s="1"/>
      <c r="R99" s="1"/>
      <c r="S99" s="1"/>
      <c r="T99" s="1"/>
      <c r="U99" s="1"/>
      <c r="V99" s="1"/>
      <c r="W99" s="1">
        <v>66.400000000000006</v>
      </c>
      <c r="X99" s="1"/>
      <c r="Y99" s="1"/>
      <c r="Z99" s="1">
        <f t="shared" si="14"/>
        <v>6.6</v>
      </c>
      <c r="AA99" s="5"/>
      <c r="AB99" s="1">
        <f t="shared" si="15"/>
        <v>13.696969696969699</v>
      </c>
      <c r="AC99" s="1">
        <f t="shared" si="16"/>
        <v>13.696969696969699</v>
      </c>
      <c r="AD99" s="1">
        <v>10</v>
      </c>
      <c r="AE99" s="1">
        <v>8.1999999999999993</v>
      </c>
      <c r="AF99" s="1">
        <v>7.6</v>
      </c>
      <c r="AG99" s="1">
        <v>7.2</v>
      </c>
      <c r="AH99" s="1">
        <v>5.2</v>
      </c>
      <c r="AI99" s="1">
        <v>4</v>
      </c>
      <c r="AJ99" s="1">
        <v>2</v>
      </c>
      <c r="AK99" s="1">
        <v>0</v>
      </c>
      <c r="AL99" s="1"/>
      <c r="AM99" s="1">
        <f t="shared" si="18"/>
        <v>0</v>
      </c>
      <c r="AN99" s="1"/>
      <c r="AO99" s="1"/>
      <c r="AP99" s="1"/>
      <c r="AQ99" s="1"/>
      <c r="AR99" s="1"/>
    </row>
    <row r="100" spans="1:44" x14ac:dyDescent="0.25">
      <c r="A100" s="1" t="s">
        <v>237</v>
      </c>
      <c r="B100" s="1" t="s">
        <v>41</v>
      </c>
      <c r="C100" s="1">
        <v>82.358999999999995</v>
      </c>
      <c r="D100" s="1">
        <v>2.7349999999999999</v>
      </c>
      <c r="E100" s="1">
        <v>10.835000000000001</v>
      </c>
      <c r="F100" s="1">
        <v>71.524000000000001</v>
      </c>
      <c r="G100" s="7">
        <v>1</v>
      </c>
      <c r="H100" s="1">
        <v>55</v>
      </c>
      <c r="I100" s="1"/>
      <c r="J100" s="1"/>
      <c r="K100" s="1">
        <v>14.5</v>
      </c>
      <c r="L100" s="1">
        <f t="shared" si="11"/>
        <v>-3.6649999999999991</v>
      </c>
      <c r="M100" s="1">
        <f t="shared" si="13"/>
        <v>10.835000000000001</v>
      </c>
      <c r="N100" s="1"/>
      <c r="O100" s="1"/>
      <c r="P100" s="1">
        <v>0</v>
      </c>
      <c r="Q100" s="1"/>
      <c r="R100" s="1"/>
      <c r="S100" s="1"/>
      <c r="T100" s="1"/>
      <c r="U100" s="1"/>
      <c r="V100" s="1"/>
      <c r="W100" s="1">
        <v>0</v>
      </c>
      <c r="X100" s="1"/>
      <c r="Y100" s="1"/>
      <c r="Z100" s="1">
        <f t="shared" si="14"/>
        <v>2.1670000000000003</v>
      </c>
      <c r="AA100" s="5"/>
      <c r="AB100" s="1">
        <f t="shared" si="15"/>
        <v>33.005999077065063</v>
      </c>
      <c r="AC100" s="1">
        <f t="shared" si="16"/>
        <v>33.005999077065063</v>
      </c>
      <c r="AD100" s="1">
        <v>2.1669999999999998</v>
      </c>
      <c r="AE100" s="1">
        <v>0.80959999999999999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 t="s">
        <v>139</v>
      </c>
      <c r="AM100" s="1">
        <f t="shared" si="18"/>
        <v>0</v>
      </c>
      <c r="AN100" s="1"/>
      <c r="AO100" s="1"/>
      <c r="AP100" s="1"/>
      <c r="AQ100" s="1"/>
      <c r="AR100" s="1"/>
    </row>
    <row r="101" spans="1:44" x14ac:dyDescent="0.25">
      <c r="A101" s="1" t="s">
        <v>238</v>
      </c>
      <c r="B101" s="1" t="s">
        <v>41</v>
      </c>
      <c r="C101" s="1">
        <v>74.171000000000006</v>
      </c>
      <c r="D101" s="1">
        <v>61.216000000000001</v>
      </c>
      <c r="E101" s="1">
        <v>45.454999999999998</v>
      </c>
      <c r="F101" s="1">
        <v>86.858999999999995</v>
      </c>
      <c r="G101" s="7">
        <v>1</v>
      </c>
      <c r="H101" s="1">
        <v>60</v>
      </c>
      <c r="I101" s="1" t="s">
        <v>239</v>
      </c>
      <c r="J101" s="1"/>
      <c r="K101" s="1">
        <v>62.5</v>
      </c>
      <c r="L101" s="1">
        <f t="shared" si="11"/>
        <v>-17.045000000000002</v>
      </c>
      <c r="M101" s="1">
        <f t="shared" si="13"/>
        <v>45.454999999999998</v>
      </c>
      <c r="N101" s="1"/>
      <c r="O101" s="1"/>
      <c r="P101" s="1">
        <v>0</v>
      </c>
      <c r="Q101" s="1"/>
      <c r="R101" s="1"/>
      <c r="S101" s="1"/>
      <c r="T101" s="1"/>
      <c r="U101" s="1"/>
      <c r="V101" s="1"/>
      <c r="W101" s="1">
        <v>50.29349999999998</v>
      </c>
      <c r="X101" s="1"/>
      <c r="Y101" s="1"/>
      <c r="Z101" s="1">
        <f t="shared" si="14"/>
        <v>9.0909999999999993</v>
      </c>
      <c r="AA101" s="5"/>
      <c r="AB101" s="1">
        <f t="shared" si="15"/>
        <v>15.086624133758662</v>
      </c>
      <c r="AC101" s="1">
        <f t="shared" si="16"/>
        <v>15.086624133758662</v>
      </c>
      <c r="AD101" s="1">
        <v>11.584199999999999</v>
      </c>
      <c r="AE101" s="1">
        <v>9.4443999999999999</v>
      </c>
      <c r="AF101" s="1">
        <v>10.747999999999999</v>
      </c>
      <c r="AG101" s="1">
        <v>14.030799999999999</v>
      </c>
      <c r="AH101" s="1">
        <v>8.6370000000000005</v>
      </c>
      <c r="AI101" s="1">
        <v>10.106199999999999</v>
      </c>
      <c r="AJ101" s="1">
        <v>14.573</v>
      </c>
      <c r="AK101" s="1">
        <v>12.059799999999999</v>
      </c>
      <c r="AL101" s="1"/>
      <c r="AM101" s="1">
        <f t="shared" si="18"/>
        <v>0</v>
      </c>
      <c r="AN101" s="1"/>
      <c r="AO101" s="1"/>
      <c r="AP101" s="1"/>
      <c r="AQ101" s="1"/>
      <c r="AR101" s="1"/>
    </row>
    <row r="102" spans="1:44" x14ac:dyDescent="0.25">
      <c r="A102" s="1" t="s">
        <v>240</v>
      </c>
      <c r="B102" s="1" t="s">
        <v>41</v>
      </c>
      <c r="C102" s="1">
        <v>194.8</v>
      </c>
      <c r="D102" s="1"/>
      <c r="E102" s="1">
        <v>24.861000000000001</v>
      </c>
      <c r="F102" s="17">
        <v>167.38900000000001</v>
      </c>
      <c r="G102" s="7">
        <v>1</v>
      </c>
      <c r="H102" s="1">
        <v>50</v>
      </c>
      <c r="I102" s="1" t="s">
        <v>241</v>
      </c>
      <c r="J102" s="1"/>
      <c r="K102" s="1">
        <v>32.5</v>
      </c>
      <c r="L102" s="1">
        <f t="shared" ref="L102:L113" si="20">E102-K102</f>
        <v>-7.6389999999999993</v>
      </c>
      <c r="M102" s="1">
        <f t="shared" si="13"/>
        <v>24.861000000000001</v>
      </c>
      <c r="N102" s="1"/>
      <c r="O102" s="1"/>
      <c r="P102" s="1">
        <v>0</v>
      </c>
      <c r="Q102" s="1"/>
      <c r="R102" s="1"/>
      <c r="S102" s="1"/>
      <c r="T102" s="1"/>
      <c r="U102" s="1"/>
      <c r="V102" s="1"/>
      <c r="W102" s="1">
        <v>0</v>
      </c>
      <c r="X102" s="1"/>
      <c r="Y102" s="1"/>
      <c r="Z102" s="1">
        <f t="shared" si="14"/>
        <v>4.9722</v>
      </c>
      <c r="AA102" s="5"/>
      <c r="AB102" s="1">
        <f t="shared" si="15"/>
        <v>33.664977273641448</v>
      </c>
      <c r="AC102" s="1">
        <f t="shared" si="16"/>
        <v>33.664977273641448</v>
      </c>
      <c r="AD102" s="1">
        <v>7.1712000000000007</v>
      </c>
      <c r="AE102" s="1">
        <v>8.8970000000000002</v>
      </c>
      <c r="AF102" s="1">
        <v>7.3335999999999997</v>
      </c>
      <c r="AG102" s="1">
        <v>4.6264000000000003</v>
      </c>
      <c r="AH102" s="1">
        <v>9.5132000000000012</v>
      </c>
      <c r="AI102" s="1">
        <v>20.629000000000001</v>
      </c>
      <c r="AJ102" s="1">
        <v>24.804400000000001</v>
      </c>
      <c r="AK102" s="1">
        <v>17.557400000000001</v>
      </c>
      <c r="AL102" s="1" t="s">
        <v>139</v>
      </c>
      <c r="AM102" s="1">
        <f t="shared" si="18"/>
        <v>0</v>
      </c>
      <c r="AN102" s="1"/>
      <c r="AO102" s="1"/>
      <c r="AP102" s="1"/>
      <c r="AQ102" s="1"/>
      <c r="AR102" s="1"/>
    </row>
    <row r="103" spans="1:44" x14ac:dyDescent="0.25">
      <c r="A103" s="1" t="s">
        <v>242</v>
      </c>
      <c r="B103" s="1" t="s">
        <v>48</v>
      </c>
      <c r="C103" s="1">
        <v>1</v>
      </c>
      <c r="D103" s="1">
        <v>131</v>
      </c>
      <c r="E103" s="1">
        <v>24</v>
      </c>
      <c r="F103" s="1">
        <v>84</v>
      </c>
      <c r="G103" s="7">
        <v>0.09</v>
      </c>
      <c r="H103" s="1">
        <v>45</v>
      </c>
      <c r="I103" s="1"/>
      <c r="J103" s="1"/>
      <c r="K103" s="1">
        <v>129</v>
      </c>
      <c r="L103" s="1">
        <f t="shared" si="20"/>
        <v>-105</v>
      </c>
      <c r="M103" s="1">
        <f t="shared" si="13"/>
        <v>24</v>
      </c>
      <c r="N103" s="1"/>
      <c r="O103" s="1"/>
      <c r="P103" s="1">
        <v>0</v>
      </c>
      <c r="Q103" s="1"/>
      <c r="R103" s="1"/>
      <c r="S103" s="1"/>
      <c r="T103" s="1"/>
      <c r="U103" s="1"/>
      <c r="V103" s="1"/>
      <c r="W103" s="1">
        <v>0</v>
      </c>
      <c r="X103" s="1"/>
      <c r="Y103" s="1"/>
      <c r="Z103" s="1">
        <f t="shared" si="14"/>
        <v>4.8</v>
      </c>
      <c r="AA103" s="5"/>
      <c r="AB103" s="1">
        <f t="shared" si="15"/>
        <v>17.5</v>
      </c>
      <c r="AC103" s="1">
        <f t="shared" si="16"/>
        <v>17.5</v>
      </c>
      <c r="AD103" s="1">
        <v>6.4</v>
      </c>
      <c r="AE103" s="1">
        <v>8.1999999999999993</v>
      </c>
      <c r="AF103" s="1">
        <v>9</v>
      </c>
      <c r="AG103" s="1">
        <v>5.6</v>
      </c>
      <c r="AH103" s="1">
        <v>3</v>
      </c>
      <c r="AI103" s="1">
        <v>3</v>
      </c>
      <c r="AJ103" s="1">
        <v>2</v>
      </c>
      <c r="AK103" s="1">
        <v>0</v>
      </c>
      <c r="AL103" s="1"/>
      <c r="AM103" s="1">
        <f t="shared" si="18"/>
        <v>0</v>
      </c>
      <c r="AN103" s="1"/>
      <c r="AO103" s="1"/>
      <c r="AP103" s="1"/>
      <c r="AQ103" s="1"/>
      <c r="AR103" s="1"/>
    </row>
    <row r="104" spans="1:44" x14ac:dyDescent="0.25">
      <c r="A104" s="1" t="s">
        <v>243</v>
      </c>
      <c r="B104" s="1" t="s">
        <v>48</v>
      </c>
      <c r="C104" s="1">
        <v>1</v>
      </c>
      <c r="D104" s="1">
        <v>85</v>
      </c>
      <c r="E104" s="1">
        <v>7</v>
      </c>
      <c r="F104" s="1">
        <v>74</v>
      </c>
      <c r="G104" s="7">
        <v>0.09</v>
      </c>
      <c r="H104" s="1">
        <v>45</v>
      </c>
      <c r="I104" s="1"/>
      <c r="J104" s="1"/>
      <c r="K104" s="1">
        <v>59</v>
      </c>
      <c r="L104" s="1">
        <f t="shared" si="20"/>
        <v>-52</v>
      </c>
      <c r="M104" s="1">
        <f t="shared" si="13"/>
        <v>7</v>
      </c>
      <c r="N104" s="1"/>
      <c r="O104" s="1"/>
      <c r="P104" s="1">
        <v>30</v>
      </c>
      <c r="Q104" s="1"/>
      <c r="R104" s="1"/>
      <c r="S104" s="1"/>
      <c r="T104" s="1"/>
      <c r="U104" s="1"/>
      <c r="V104" s="1"/>
      <c r="W104" s="1">
        <v>0</v>
      </c>
      <c r="X104" s="1"/>
      <c r="Y104" s="1"/>
      <c r="Z104" s="1">
        <f t="shared" si="14"/>
        <v>1.4</v>
      </c>
      <c r="AA104" s="5"/>
      <c r="AB104" s="1">
        <f t="shared" si="15"/>
        <v>74.285714285714292</v>
      </c>
      <c r="AC104" s="1">
        <f t="shared" si="16"/>
        <v>74.285714285714292</v>
      </c>
      <c r="AD104" s="1">
        <v>0.2</v>
      </c>
      <c r="AE104" s="1">
        <v>6</v>
      </c>
      <c r="AF104" s="1">
        <v>8</v>
      </c>
      <c r="AG104" s="1">
        <v>5.4</v>
      </c>
      <c r="AH104" s="1">
        <v>3.2</v>
      </c>
      <c r="AI104" s="1">
        <v>2</v>
      </c>
      <c r="AJ104" s="1">
        <v>2</v>
      </c>
      <c r="AK104" s="1">
        <v>0</v>
      </c>
      <c r="AL104" s="1" t="s">
        <v>244</v>
      </c>
      <c r="AM104" s="1">
        <f t="shared" si="18"/>
        <v>0</v>
      </c>
      <c r="AN104" s="1"/>
      <c r="AO104" s="1"/>
      <c r="AP104" s="1"/>
      <c r="AQ104" s="1"/>
      <c r="AR104" s="1"/>
    </row>
    <row r="105" spans="1:44" x14ac:dyDescent="0.25">
      <c r="A105" s="1" t="s">
        <v>245</v>
      </c>
      <c r="B105" s="1" t="s">
        <v>41</v>
      </c>
      <c r="C105" s="1">
        <v>200.56800000000001</v>
      </c>
      <c r="D105" s="1">
        <v>359.37900000000002</v>
      </c>
      <c r="E105" s="1">
        <v>39.689</v>
      </c>
      <c r="F105" s="18">
        <v>517.51199999999994</v>
      </c>
      <c r="G105" s="7">
        <v>1</v>
      </c>
      <c r="H105" s="1">
        <v>60</v>
      </c>
      <c r="I105" s="1" t="s">
        <v>246</v>
      </c>
      <c r="J105" s="1"/>
      <c r="K105" s="1">
        <v>48.6</v>
      </c>
      <c r="L105" s="1">
        <f t="shared" si="20"/>
        <v>-8.9110000000000014</v>
      </c>
      <c r="M105" s="1">
        <f t="shared" si="13"/>
        <v>39.689</v>
      </c>
      <c r="N105" s="1"/>
      <c r="O105" s="1"/>
      <c r="P105" s="1">
        <v>0</v>
      </c>
      <c r="Q105" s="1"/>
      <c r="R105" s="1"/>
      <c r="S105" s="1"/>
      <c r="T105" s="1"/>
      <c r="U105" s="1"/>
      <c r="V105" s="1"/>
      <c r="W105" s="1">
        <v>0</v>
      </c>
      <c r="X105" s="1"/>
      <c r="Y105" s="1"/>
      <c r="Z105" s="1">
        <f t="shared" si="14"/>
        <v>7.9378000000000002</v>
      </c>
      <c r="AA105" s="5"/>
      <c r="AB105" s="1">
        <f t="shared" si="15"/>
        <v>65.19589810778804</v>
      </c>
      <c r="AC105" s="1">
        <f t="shared" si="16"/>
        <v>65.19589810778804</v>
      </c>
      <c r="AD105" s="1">
        <v>9.9105999999999987</v>
      </c>
      <c r="AE105" s="1">
        <v>11.642799999999999</v>
      </c>
      <c r="AF105" s="1">
        <v>11.3886</v>
      </c>
      <c r="AG105" s="1">
        <v>6.3688000000000002</v>
      </c>
      <c r="AH105" s="1">
        <v>0</v>
      </c>
      <c r="AI105" s="1">
        <v>0.2742</v>
      </c>
      <c r="AJ105" s="1">
        <v>0.2742</v>
      </c>
      <c r="AK105" s="1">
        <v>0</v>
      </c>
      <c r="AL105" s="1" t="s">
        <v>247</v>
      </c>
      <c r="AM105" s="1">
        <f t="shared" si="18"/>
        <v>0</v>
      </c>
      <c r="AN105" s="1"/>
      <c r="AO105" s="1"/>
      <c r="AP105" s="1"/>
      <c r="AQ105" s="1"/>
      <c r="AR105" s="1"/>
    </row>
    <row r="106" spans="1:44" x14ac:dyDescent="0.25">
      <c r="A106" s="1" t="s">
        <v>248</v>
      </c>
      <c r="B106" s="1" t="s">
        <v>41</v>
      </c>
      <c r="C106" s="1">
        <v>302.05799999999999</v>
      </c>
      <c r="D106" s="1">
        <v>894.33100000000002</v>
      </c>
      <c r="E106" s="1">
        <v>478.983</v>
      </c>
      <c r="F106" s="1">
        <v>674.87199999999996</v>
      </c>
      <c r="G106" s="7">
        <v>1</v>
      </c>
      <c r="H106" s="1">
        <v>60</v>
      </c>
      <c r="I106" s="1" t="s">
        <v>249</v>
      </c>
      <c r="J106" s="1"/>
      <c r="K106" s="1">
        <v>596.55700000000002</v>
      </c>
      <c r="L106" s="1">
        <f t="shared" si="20"/>
        <v>-117.57400000000001</v>
      </c>
      <c r="M106" s="1">
        <f t="shared" si="13"/>
        <v>478.983</v>
      </c>
      <c r="N106" s="1"/>
      <c r="O106" s="1"/>
      <c r="P106" s="1">
        <v>276.86043700000022</v>
      </c>
      <c r="Q106" s="1"/>
      <c r="R106" s="1"/>
      <c r="S106" s="1"/>
      <c r="T106" s="1"/>
      <c r="U106" s="1"/>
      <c r="V106" s="1"/>
      <c r="W106" s="1">
        <v>286.21679000000012</v>
      </c>
      <c r="X106" s="1"/>
      <c r="Y106" s="1"/>
      <c r="Z106" s="1">
        <f t="shared" si="14"/>
        <v>95.796599999999998</v>
      </c>
      <c r="AA106" s="5"/>
      <c r="AB106" s="1">
        <f t="shared" si="15"/>
        <v>12.922684385458361</v>
      </c>
      <c r="AC106" s="1">
        <f t="shared" si="16"/>
        <v>12.922684385458361</v>
      </c>
      <c r="AD106" s="1">
        <v>110.8334</v>
      </c>
      <c r="AE106" s="1">
        <v>111.65</v>
      </c>
      <c r="AF106" s="1">
        <v>111.2154</v>
      </c>
      <c r="AG106" s="1">
        <v>108.0656</v>
      </c>
      <c r="AH106" s="1">
        <v>110.3446</v>
      </c>
      <c r="AI106" s="1">
        <v>88.266400000000004</v>
      </c>
      <c r="AJ106" s="1">
        <v>50.457000000000001</v>
      </c>
      <c r="AK106" s="1">
        <v>79.408600000000007</v>
      </c>
      <c r="AL106" s="1"/>
      <c r="AM106" s="1">
        <f t="shared" si="18"/>
        <v>0</v>
      </c>
      <c r="AN106" s="1"/>
      <c r="AO106" s="1"/>
      <c r="AP106" s="1"/>
      <c r="AQ106" s="1"/>
      <c r="AR106" s="1"/>
    </row>
    <row r="107" spans="1:44" x14ac:dyDescent="0.25">
      <c r="A107" s="1" t="s">
        <v>250</v>
      </c>
      <c r="B107" s="1" t="s">
        <v>41</v>
      </c>
      <c r="C107" s="1">
        <v>211.06100000000001</v>
      </c>
      <c r="D107" s="1">
        <v>269.01</v>
      </c>
      <c r="E107" s="1">
        <v>32.981000000000002</v>
      </c>
      <c r="F107" s="18">
        <v>438.85599999999999</v>
      </c>
      <c r="G107" s="7">
        <v>1</v>
      </c>
      <c r="H107" s="1">
        <v>60</v>
      </c>
      <c r="I107" s="1" t="s">
        <v>251</v>
      </c>
      <c r="J107" s="1"/>
      <c r="K107" s="1">
        <v>53.676000000000002</v>
      </c>
      <c r="L107" s="1">
        <f t="shared" si="20"/>
        <v>-20.695</v>
      </c>
      <c r="M107" s="1">
        <f t="shared" si="13"/>
        <v>32.981000000000002</v>
      </c>
      <c r="N107" s="1"/>
      <c r="O107" s="1"/>
      <c r="P107" s="1">
        <v>0</v>
      </c>
      <c r="Q107" s="1"/>
      <c r="R107" s="1"/>
      <c r="S107" s="1"/>
      <c r="T107" s="1"/>
      <c r="U107" s="1"/>
      <c r="V107" s="1"/>
      <c r="W107" s="1">
        <v>0</v>
      </c>
      <c r="X107" s="1"/>
      <c r="Y107" s="1"/>
      <c r="Z107" s="1">
        <f t="shared" si="14"/>
        <v>6.5962000000000005</v>
      </c>
      <c r="AA107" s="5"/>
      <c r="AB107" s="1">
        <f t="shared" si="15"/>
        <v>66.531639428762006</v>
      </c>
      <c r="AC107" s="1">
        <f t="shared" si="16"/>
        <v>66.531639428762006</v>
      </c>
      <c r="AD107" s="1">
        <v>6.8528000000000002</v>
      </c>
      <c r="AE107" s="1">
        <v>7.9191999999999991</v>
      </c>
      <c r="AF107" s="1">
        <v>6.2633999999999999</v>
      </c>
      <c r="AG107" s="1">
        <v>4.6247999999999996</v>
      </c>
      <c r="AH107" s="1">
        <v>1.9012</v>
      </c>
      <c r="AI107" s="1">
        <v>0.27400000000000002</v>
      </c>
      <c r="AJ107" s="1">
        <v>0</v>
      </c>
      <c r="AK107" s="1">
        <v>0.54699999999999993</v>
      </c>
      <c r="AL107" s="1" t="s">
        <v>252</v>
      </c>
      <c r="AM107" s="1">
        <f t="shared" si="18"/>
        <v>0</v>
      </c>
      <c r="AN107" s="1"/>
      <c r="AO107" s="1"/>
      <c r="AP107" s="1"/>
      <c r="AQ107" s="1"/>
      <c r="AR107" s="1"/>
    </row>
    <row r="108" spans="1:44" x14ac:dyDescent="0.25">
      <c r="A108" s="1" t="s">
        <v>253</v>
      </c>
      <c r="B108" s="1" t="s">
        <v>41</v>
      </c>
      <c r="C108" s="1">
        <v>1388.3219999999999</v>
      </c>
      <c r="D108" s="1">
        <v>118.685</v>
      </c>
      <c r="E108" s="1">
        <v>825.25099999999998</v>
      </c>
      <c r="F108" s="1">
        <v>563.07100000000003</v>
      </c>
      <c r="G108" s="7">
        <v>1</v>
      </c>
      <c r="H108" s="1">
        <v>60</v>
      </c>
      <c r="I108" s="1" t="s">
        <v>254</v>
      </c>
      <c r="J108" s="1"/>
      <c r="K108" s="1">
        <v>1182.729</v>
      </c>
      <c r="L108" s="1">
        <f t="shared" si="20"/>
        <v>-357.47800000000007</v>
      </c>
      <c r="M108" s="1">
        <f t="shared" si="13"/>
        <v>825.25099999999998</v>
      </c>
      <c r="N108" s="1"/>
      <c r="O108" s="1"/>
      <c r="P108" s="1">
        <v>266.92666560000009</v>
      </c>
      <c r="Q108" s="1">
        <v>400</v>
      </c>
      <c r="R108" s="1">
        <v>271.23193440000011</v>
      </c>
      <c r="S108" s="1"/>
      <c r="T108" s="1">
        <v>900</v>
      </c>
      <c r="U108" s="1"/>
      <c r="V108" s="1"/>
      <c r="W108" s="1">
        <v>1023.9594</v>
      </c>
      <c r="X108" s="1"/>
      <c r="Y108" s="1">
        <v>500</v>
      </c>
      <c r="Z108" s="1">
        <f t="shared" si="14"/>
        <v>165.05019999999999</v>
      </c>
      <c r="AA108" s="5"/>
      <c r="AB108" s="1">
        <f t="shared" si="15"/>
        <v>23.781788813342853</v>
      </c>
      <c r="AC108" s="1">
        <f t="shared" si="16"/>
        <v>23.781788813342853</v>
      </c>
      <c r="AD108" s="1">
        <v>223.18119999999999</v>
      </c>
      <c r="AE108" s="1">
        <v>152.50559999999999</v>
      </c>
      <c r="AF108" s="1">
        <v>24.672599999999999</v>
      </c>
      <c r="AG108" s="1">
        <v>20.073399999999999</v>
      </c>
      <c r="AH108" s="1">
        <v>94.601399999999998</v>
      </c>
      <c r="AI108" s="1">
        <v>159.07579999999999</v>
      </c>
      <c r="AJ108" s="1">
        <v>185.3526</v>
      </c>
      <c r="AK108" s="1">
        <v>199.28919999999999</v>
      </c>
      <c r="AL108" s="1" t="s">
        <v>255</v>
      </c>
      <c r="AM108" s="1">
        <f t="shared" si="18"/>
        <v>0</v>
      </c>
      <c r="AN108" s="1"/>
      <c r="AO108" s="1"/>
      <c r="AP108" s="1"/>
      <c r="AQ108" s="1"/>
      <c r="AR108" s="1"/>
    </row>
    <row r="109" spans="1:44" x14ac:dyDescent="0.25">
      <c r="A109" s="1" t="s">
        <v>256</v>
      </c>
      <c r="B109" s="1" t="s">
        <v>48</v>
      </c>
      <c r="C109" s="1">
        <v>258</v>
      </c>
      <c r="D109" s="1">
        <v>115</v>
      </c>
      <c r="E109" s="1">
        <v>135</v>
      </c>
      <c r="F109" s="1">
        <v>200</v>
      </c>
      <c r="G109" s="7">
        <v>0.3</v>
      </c>
      <c r="H109" s="1">
        <v>40</v>
      </c>
      <c r="I109" s="1" t="s">
        <v>257</v>
      </c>
      <c r="J109" s="1"/>
      <c r="K109" s="1">
        <v>226</v>
      </c>
      <c r="L109" s="1">
        <f t="shared" si="20"/>
        <v>-91</v>
      </c>
      <c r="M109" s="1">
        <f t="shared" si="13"/>
        <v>135</v>
      </c>
      <c r="N109" s="1"/>
      <c r="O109" s="1"/>
      <c r="P109" s="1">
        <v>81.799999999999898</v>
      </c>
      <c r="Q109" s="1"/>
      <c r="R109" s="1"/>
      <c r="S109" s="1"/>
      <c r="T109" s="1"/>
      <c r="U109" s="1"/>
      <c r="V109" s="1"/>
      <c r="W109" s="1">
        <v>80.700000000000045</v>
      </c>
      <c r="X109" s="1"/>
      <c r="Y109" s="1"/>
      <c r="Z109" s="1">
        <f t="shared" si="14"/>
        <v>27</v>
      </c>
      <c r="AA109" s="5"/>
      <c r="AB109" s="1">
        <f t="shared" si="15"/>
        <v>13.425925925925924</v>
      </c>
      <c r="AC109" s="1">
        <f t="shared" si="16"/>
        <v>13.425925925925924</v>
      </c>
      <c r="AD109" s="1">
        <v>31.4</v>
      </c>
      <c r="AE109" s="1">
        <v>32.799999999999997</v>
      </c>
      <c r="AF109" s="1">
        <v>29.8</v>
      </c>
      <c r="AG109" s="1">
        <v>35.799999999999997</v>
      </c>
      <c r="AH109" s="1">
        <v>35.6</v>
      </c>
      <c r="AI109" s="1">
        <v>31</v>
      </c>
      <c r="AJ109" s="1">
        <v>35.799999999999997</v>
      </c>
      <c r="AK109" s="1">
        <v>40</v>
      </c>
      <c r="AL109" s="1"/>
      <c r="AM109" s="1">
        <f t="shared" si="18"/>
        <v>0</v>
      </c>
      <c r="AN109" s="1"/>
      <c r="AO109" s="1"/>
      <c r="AP109" s="1"/>
      <c r="AQ109" s="1"/>
      <c r="AR109" s="1"/>
    </row>
    <row r="110" spans="1:44" x14ac:dyDescent="0.25">
      <c r="A110" s="1" t="s">
        <v>258</v>
      </c>
      <c r="B110" s="1" t="s">
        <v>48</v>
      </c>
      <c r="C110" s="1">
        <v>164</v>
      </c>
      <c r="D110" s="1">
        <v>58</v>
      </c>
      <c r="E110" s="1">
        <v>110</v>
      </c>
      <c r="F110" s="1">
        <v>86</v>
      </c>
      <c r="G110" s="7">
        <v>0.3</v>
      </c>
      <c r="H110" s="1">
        <v>40</v>
      </c>
      <c r="I110" s="1" t="s">
        <v>259</v>
      </c>
      <c r="J110" s="1"/>
      <c r="K110" s="1">
        <v>166</v>
      </c>
      <c r="L110" s="1">
        <f t="shared" si="20"/>
        <v>-56</v>
      </c>
      <c r="M110" s="1">
        <f t="shared" si="13"/>
        <v>110</v>
      </c>
      <c r="N110" s="1"/>
      <c r="O110" s="1"/>
      <c r="P110" s="1">
        <v>91.999999999999972</v>
      </c>
      <c r="Q110" s="1"/>
      <c r="R110" s="1"/>
      <c r="S110" s="1"/>
      <c r="T110" s="1"/>
      <c r="U110" s="1"/>
      <c r="V110" s="1"/>
      <c r="W110" s="1">
        <v>118.3</v>
      </c>
      <c r="X110" s="1"/>
      <c r="Y110" s="1"/>
      <c r="Z110" s="1">
        <f t="shared" si="14"/>
        <v>22</v>
      </c>
      <c r="AA110" s="5"/>
      <c r="AB110" s="1">
        <f t="shared" si="15"/>
        <v>13.468181818181817</v>
      </c>
      <c r="AC110" s="1">
        <f t="shared" si="16"/>
        <v>13.468181818181817</v>
      </c>
      <c r="AD110" s="1">
        <v>25.8</v>
      </c>
      <c r="AE110" s="1">
        <v>23.2</v>
      </c>
      <c r="AF110" s="1">
        <v>20.6</v>
      </c>
      <c r="AG110" s="1">
        <v>23.8</v>
      </c>
      <c r="AH110" s="1">
        <v>26.2</v>
      </c>
      <c r="AI110" s="1">
        <v>17.8</v>
      </c>
      <c r="AJ110" s="1">
        <v>7.4</v>
      </c>
      <c r="AK110" s="1">
        <v>16</v>
      </c>
      <c r="AL110" s="1"/>
      <c r="AM110" s="1">
        <f t="shared" si="18"/>
        <v>0</v>
      </c>
      <c r="AN110" s="1"/>
      <c r="AO110" s="1"/>
      <c r="AP110" s="1"/>
      <c r="AQ110" s="1"/>
      <c r="AR110" s="1"/>
    </row>
    <row r="111" spans="1:44" x14ac:dyDescent="0.25">
      <c r="A111" s="1" t="s">
        <v>260</v>
      </c>
      <c r="B111" s="1" t="s">
        <v>41</v>
      </c>
      <c r="C111" s="1">
        <v>162.03200000000001</v>
      </c>
      <c r="D111" s="1">
        <v>1.31</v>
      </c>
      <c r="E111" s="1">
        <v>48.901000000000003</v>
      </c>
      <c r="F111" s="1">
        <v>113.131</v>
      </c>
      <c r="G111" s="7">
        <v>1</v>
      </c>
      <c r="H111" s="1">
        <v>50</v>
      </c>
      <c r="I111" s="1" t="s">
        <v>261</v>
      </c>
      <c r="J111" s="1"/>
      <c r="K111" s="1">
        <v>80.400000000000006</v>
      </c>
      <c r="L111" s="1">
        <f t="shared" si="20"/>
        <v>-31.499000000000002</v>
      </c>
      <c r="M111" s="1">
        <f t="shared" si="13"/>
        <v>48.901000000000003</v>
      </c>
      <c r="N111" s="1"/>
      <c r="O111" s="1"/>
      <c r="P111" s="1">
        <v>0</v>
      </c>
      <c r="Q111" s="1"/>
      <c r="R111" s="1"/>
      <c r="S111" s="1"/>
      <c r="T111" s="1"/>
      <c r="U111" s="1"/>
      <c r="V111" s="1"/>
      <c r="W111" s="1">
        <v>17.07599999999999</v>
      </c>
      <c r="X111" s="1"/>
      <c r="Y111" s="1"/>
      <c r="Z111" s="1">
        <f t="shared" si="14"/>
        <v>9.7802000000000007</v>
      </c>
      <c r="AA111" s="5"/>
      <c r="AB111" s="1">
        <f t="shared" si="15"/>
        <v>13.313326925829736</v>
      </c>
      <c r="AC111" s="1">
        <f t="shared" si="16"/>
        <v>13.313326925829736</v>
      </c>
      <c r="AD111" s="1">
        <v>11.72</v>
      </c>
      <c r="AE111" s="1">
        <v>12.3124</v>
      </c>
      <c r="AF111" s="1">
        <v>10.629799999999999</v>
      </c>
      <c r="AG111" s="1">
        <v>12.518000000000001</v>
      </c>
      <c r="AH111" s="1">
        <v>18.366</v>
      </c>
      <c r="AI111" s="1">
        <v>10.7338</v>
      </c>
      <c r="AJ111" s="1">
        <v>3.254</v>
      </c>
      <c r="AK111" s="1">
        <v>12.4718</v>
      </c>
      <c r="AL111" s="1"/>
      <c r="AM111" s="1">
        <f t="shared" si="18"/>
        <v>0</v>
      </c>
      <c r="AN111" s="1"/>
      <c r="AO111" s="1"/>
      <c r="AP111" s="1"/>
      <c r="AQ111" s="1"/>
      <c r="AR111" s="1"/>
    </row>
    <row r="112" spans="1:44" x14ac:dyDescent="0.25">
      <c r="A112" s="1" t="s">
        <v>262</v>
      </c>
      <c r="B112" s="1" t="s">
        <v>48</v>
      </c>
      <c r="C112" s="1">
        <v>106</v>
      </c>
      <c r="D112" s="1">
        <v>19</v>
      </c>
      <c r="E112" s="1">
        <v>41</v>
      </c>
      <c r="F112" s="1">
        <v>69</v>
      </c>
      <c r="G112" s="7">
        <v>0.3</v>
      </c>
      <c r="H112" s="1">
        <v>40</v>
      </c>
      <c r="I112" s="1" t="s">
        <v>263</v>
      </c>
      <c r="J112" s="1"/>
      <c r="K112" s="1">
        <v>68</v>
      </c>
      <c r="L112" s="1">
        <f t="shared" si="20"/>
        <v>-27</v>
      </c>
      <c r="M112" s="1">
        <f t="shared" si="13"/>
        <v>41</v>
      </c>
      <c r="N112" s="1"/>
      <c r="O112" s="1"/>
      <c r="P112" s="1">
        <v>0</v>
      </c>
      <c r="Q112" s="1"/>
      <c r="R112" s="1"/>
      <c r="S112" s="1"/>
      <c r="T112" s="1"/>
      <c r="U112" s="1"/>
      <c r="V112" s="1"/>
      <c r="W112" s="1">
        <v>53.600000000000009</v>
      </c>
      <c r="X112" s="1"/>
      <c r="Y112" s="1"/>
      <c r="Z112" s="1">
        <f t="shared" si="14"/>
        <v>8.1999999999999993</v>
      </c>
      <c r="AA112" s="5"/>
      <c r="AB112" s="1">
        <f t="shared" si="15"/>
        <v>14.951219512195124</v>
      </c>
      <c r="AC112" s="1">
        <f t="shared" si="16"/>
        <v>14.951219512195124</v>
      </c>
      <c r="AD112" s="1">
        <v>10.4</v>
      </c>
      <c r="AE112" s="1">
        <v>9</v>
      </c>
      <c r="AF112" s="1">
        <v>10.199999999999999</v>
      </c>
      <c r="AG112" s="1">
        <v>9.8000000000000007</v>
      </c>
      <c r="AH112" s="1">
        <v>6.4</v>
      </c>
      <c r="AI112" s="1">
        <v>5.6</v>
      </c>
      <c r="AJ112" s="1">
        <v>9.4</v>
      </c>
      <c r="AK112" s="1">
        <v>13.4</v>
      </c>
      <c r="AL112" s="1"/>
      <c r="AM112" s="1">
        <f t="shared" si="18"/>
        <v>0</v>
      </c>
      <c r="AN112" s="1"/>
      <c r="AO112" s="1"/>
      <c r="AP112" s="1"/>
      <c r="AQ112" s="1"/>
      <c r="AR112" s="1"/>
    </row>
    <row r="113" spans="1:44" x14ac:dyDescent="0.25">
      <c r="A113" s="1" t="s">
        <v>264</v>
      </c>
      <c r="B113" s="1" t="s">
        <v>48</v>
      </c>
      <c r="C113" s="1">
        <v>31</v>
      </c>
      <c r="D113" s="1">
        <v>85</v>
      </c>
      <c r="E113" s="1">
        <v>18</v>
      </c>
      <c r="F113" s="1">
        <v>85</v>
      </c>
      <c r="G113" s="7">
        <v>0.12</v>
      </c>
      <c r="H113" s="1">
        <v>45</v>
      </c>
      <c r="I113" s="1" t="s">
        <v>265</v>
      </c>
      <c r="J113" s="1"/>
      <c r="K113" s="1">
        <v>61</v>
      </c>
      <c r="L113" s="1">
        <f t="shared" si="20"/>
        <v>-43</v>
      </c>
      <c r="M113" s="1">
        <f t="shared" si="13"/>
        <v>18</v>
      </c>
      <c r="N113" s="1"/>
      <c r="O113" s="1"/>
      <c r="P113" s="1">
        <v>45.800000000000011</v>
      </c>
      <c r="Q113" s="1"/>
      <c r="R113" s="1"/>
      <c r="S113" s="1"/>
      <c r="T113" s="1"/>
      <c r="U113" s="1"/>
      <c r="V113" s="1"/>
      <c r="W113" s="1">
        <v>0</v>
      </c>
      <c r="X113" s="1"/>
      <c r="Y113" s="1"/>
      <c r="Z113" s="1">
        <f t="shared" si="14"/>
        <v>3.6</v>
      </c>
      <c r="AA113" s="5"/>
      <c r="AB113" s="1">
        <f t="shared" si="15"/>
        <v>36.333333333333336</v>
      </c>
      <c r="AC113" s="1">
        <f t="shared" si="16"/>
        <v>36.333333333333336</v>
      </c>
      <c r="AD113" s="1">
        <v>6.6</v>
      </c>
      <c r="AE113" s="1">
        <v>11.8</v>
      </c>
      <c r="AF113" s="1">
        <v>7</v>
      </c>
      <c r="AG113" s="1">
        <v>-0.4</v>
      </c>
      <c r="AH113" s="1">
        <v>4.2</v>
      </c>
      <c r="AI113" s="1">
        <v>4.8</v>
      </c>
      <c r="AJ113" s="1">
        <v>0.6</v>
      </c>
      <c r="AK113" s="1">
        <v>3.8</v>
      </c>
      <c r="AL113" s="1"/>
      <c r="AM113" s="1">
        <f t="shared" si="18"/>
        <v>0</v>
      </c>
      <c r="AN113" s="1"/>
      <c r="AO113" s="1"/>
      <c r="AP113" s="1"/>
      <c r="AQ113" s="1"/>
      <c r="AR113" s="1"/>
    </row>
    <row r="114" spans="1:4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</sheetData>
  <autoFilter ref="A3:AM113" xr:uid="{D3160786-BEF7-489D-B311-F2F91EE27FF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2026-07-20T10:52:52Z</dcterms:created>
  <dcterms:modified xsi:type="dcterms:W3CDTF">2026-07-21T08:16:49Z</dcterms:modified>
</cp:coreProperties>
</file>