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191B4C4-9306-48DE-B26C-0CAB1B2080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Y553" i="1" l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<sst xmlns="http://schemas.openxmlformats.org/spreadsheetml/2006/main" count="2500" uniqueCount="907">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</sst>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33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10</v>
      </c>
      <c r="Y51" s="628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10.37962962962963</v>
      </c>
      <c r="BN51" s="64">
        <f>IFERROR(Y51*I51/H51,"0")</f>
        <v>11.21</v>
      </c>
      <c r="BO51" s="64">
        <f>IFERROR(1/J51*(X51/H51),"0")</f>
        <v>1.4467592592592591E-2</v>
      </c>
      <c r="BP51" s="64">
        <f>IFERROR(1/J51*(Y51/H51),"0")</f>
        <v>1.5625E-2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0.92592592592592582</v>
      </c>
      <c r="Y55" s="629">
        <f>IFERROR(Y51/H51,"0")+IFERROR(Y52/H52,"0")+IFERROR(Y53/H53,"0")+IFERROR(Y54/H54,"0")</f>
        <v>1</v>
      </c>
      <c r="Z55" s="629">
        <f>IFERROR(IF(Z51="",0,Z51),"0")+IFERROR(IF(Z52="",0,Z52),"0")+IFERROR(IF(Z53="",0,Z53),"0")+IFERROR(IF(Z54="",0,Z54),"0")</f>
        <v>1.898E-2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10</v>
      </c>
      <c r="Y56" s="629">
        <f>IFERROR(SUM(Y51:Y54),"0")</f>
        <v>10.8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4</v>
      </c>
      <c r="Y64" s="628">
        <f t="shared" si="0"/>
        <v>4</v>
      </c>
      <c r="Z64" s="36">
        <f>IFERROR(IF(Y64=0,"",ROUNDUP(Y64/H64,0)*0.00902),"")</f>
        <v>9.0200000000000002E-3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4.1900000000000004</v>
      </c>
      <c r="BN64" s="64">
        <f t="shared" si="2"/>
        <v>4.1900000000000004</v>
      </c>
      <c r="BO64" s="64">
        <f t="shared" si="3"/>
        <v>7.575757575757576E-3</v>
      </c>
      <c r="BP64" s="64">
        <f t="shared" si="4"/>
        <v>7.575757575757576E-3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111</v>
      </c>
      <c r="Y66" s="628">
        <f t="shared" si="0"/>
        <v>112.5</v>
      </c>
      <c r="Z66" s="36">
        <f>IFERROR(IF(Y66=0,"",ROUNDUP(Y66/H66,0)*0.00902),"")</f>
        <v>0.22550000000000001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115.68666666666667</v>
      </c>
      <c r="BN66" s="64">
        <f t="shared" si="2"/>
        <v>117.25</v>
      </c>
      <c r="BO66" s="64">
        <f t="shared" si="3"/>
        <v>0.18686868686868688</v>
      </c>
      <c r="BP66" s="64">
        <f t="shared" si="4"/>
        <v>0.18939393939393939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25.666666666666668</v>
      </c>
      <c r="Y67" s="629">
        <f>IFERROR(Y59/H59,"0")+IFERROR(Y60/H60,"0")+IFERROR(Y61/H61,"0")+IFERROR(Y62/H62,"0")+IFERROR(Y63/H63,"0")+IFERROR(Y64/H64,"0")+IFERROR(Y65/H65,"0")+IFERROR(Y66/H66,"0")</f>
        <v>26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0.23452000000000001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115</v>
      </c>
      <c r="Y68" s="629">
        <f>IFERROR(SUM(Y59:Y66),"0")</f>
        <v>116.5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92</v>
      </c>
      <c r="Y70" s="628">
        <f>IFERROR(IF(X70="",0,CEILING((X70/$H70),1)*$H70),"")</f>
        <v>97.2</v>
      </c>
      <c r="Z70" s="36">
        <f>IFERROR(IF(Y70=0,"",ROUNDUP(Y70/H70,0)*0.01898),"")</f>
        <v>0.17082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95.492592592592601</v>
      </c>
      <c r="BN70" s="64">
        <f>IFERROR(Y70*I70/H70,"0")</f>
        <v>100.89</v>
      </c>
      <c r="BO70" s="64">
        <f>IFERROR(1/J70*(X70/H70),"0")</f>
        <v>0.13310185185185183</v>
      </c>
      <c r="BP70" s="64">
        <f>IFERROR(1/J70*(Y70/H70),"0")</f>
        <v>0.140625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8.5185185185185173</v>
      </c>
      <c r="Y74" s="629">
        <f>IFERROR(Y70/H70,"0")+IFERROR(Y71/H71,"0")+IFERROR(Y72/H72,"0")+IFERROR(Y73/H73,"0")</f>
        <v>9</v>
      </c>
      <c r="Z74" s="629">
        <f>IFERROR(IF(Z70="",0,Z70),"0")+IFERROR(IF(Z71="",0,Z71),"0")+IFERROR(IF(Z72="",0,Z72),"0")+IFERROR(IF(Z73="",0,Z73),"0")</f>
        <v>0.17082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92</v>
      </c>
      <c r="Y75" s="629">
        <f>IFERROR(SUM(Y70:Y73),"0")</f>
        <v>97.2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4</v>
      </c>
      <c r="Y82" s="628">
        <f>IFERROR(IF(X82="",0,CEILING((X82/$H82),1)*$H82),"")</f>
        <v>7.8</v>
      </c>
      <c r="Z82" s="36">
        <f>IFERROR(IF(Y82=0,"",ROUNDUP(Y82/H82,0)*0.01898),"")</f>
        <v>1.898E-2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4.2102564102564104</v>
      </c>
      <c r="BN82" s="64">
        <f>IFERROR(Y82*I82/H82,"0")</f>
        <v>8.2100000000000009</v>
      </c>
      <c r="BO82" s="64">
        <f>IFERROR(1/J82*(X82/H82),"0")</f>
        <v>8.0128205128205138E-3</v>
      </c>
      <c r="BP82" s="64">
        <f>IFERROR(1/J82*(Y82/H82),"0")</f>
        <v>1.5625E-2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0.51282051282051289</v>
      </c>
      <c r="Y84" s="629">
        <f>IFERROR(Y82/H82,"0")+IFERROR(Y83/H83,"0")</f>
        <v>1</v>
      </c>
      <c r="Z84" s="629">
        <f>IFERROR(IF(Z82="",0,Z82),"0")+IFERROR(IF(Z83="",0,Z83),"0")</f>
        <v>1.898E-2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4</v>
      </c>
      <c r="Y85" s="629">
        <f>IFERROR(SUM(Y82:Y83),"0")</f>
        <v>7.8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39</v>
      </c>
      <c r="Y88" s="628">
        <f>IFERROR(IF(X88="",0,CEILING((X88/$H88),1)*$H88),"")</f>
        <v>43.2</v>
      </c>
      <c r="Z88" s="36">
        <f>IFERROR(IF(Y88=0,"",ROUNDUP(Y88/H88,0)*0.01898),"")</f>
        <v>7.5920000000000001E-2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40.480555555555561</v>
      </c>
      <c r="BN88" s="64">
        <f>IFERROR(Y88*I88/H88,"0")</f>
        <v>44.84</v>
      </c>
      <c r="BO88" s="64">
        <f>IFERROR(1/J88*(X88/H88),"0")</f>
        <v>5.6423611111111105E-2</v>
      </c>
      <c r="BP88" s="64">
        <f>IFERROR(1/J88*(Y88/H88),"0")</f>
        <v>6.25E-2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166</v>
      </c>
      <c r="Y91" s="628">
        <f>IFERROR(IF(X91="",0,CEILING((X91/$H91),1)*$H91),"")</f>
        <v>166.5</v>
      </c>
      <c r="Z91" s="36">
        <f>IFERROR(IF(Y91=0,"",ROUNDUP(Y91/H91,0)*0.00902),"")</f>
        <v>0.33374000000000004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173.00888888888892</v>
      </c>
      <c r="BN91" s="64">
        <f>IFERROR(Y91*I91/H91,"0")</f>
        <v>173.53000000000003</v>
      </c>
      <c r="BO91" s="64">
        <f>IFERROR(1/J91*(X91/H91),"0")</f>
        <v>0.27946127946127947</v>
      </c>
      <c r="BP91" s="64">
        <f>IFERROR(1/J91*(Y91/H91),"0")</f>
        <v>0.28030303030303033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40.5</v>
      </c>
      <c r="Y92" s="629">
        <f>IFERROR(Y88/H88,"0")+IFERROR(Y89/H89,"0")+IFERROR(Y90/H90,"0")+IFERROR(Y91/H91,"0")</f>
        <v>41</v>
      </c>
      <c r="Z92" s="629">
        <f>IFERROR(IF(Z88="",0,Z88),"0")+IFERROR(IF(Z89="",0,Z89),"0")+IFERROR(IF(Z90="",0,Z90),"0")+IFERROR(IF(Z91="",0,Z91),"0")</f>
        <v>0.40966000000000002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205</v>
      </c>
      <c r="Y93" s="629">
        <f>IFERROR(SUM(Y88:Y91),"0")</f>
        <v>209.7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138</v>
      </c>
      <c r="Y97" s="628">
        <f>IFERROR(IF(X97="",0,CEILING((X97/$H97),1)*$H97),"")</f>
        <v>140.4</v>
      </c>
      <c r="Z97" s="36">
        <f>IFERROR(IF(Y97=0,"",ROUNDUP(Y97/H97,0)*0.00651),"")</f>
        <v>0.33851999999999999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150.88</v>
      </c>
      <c r="BN97" s="64">
        <f>IFERROR(Y97*I97/H97,"0")</f>
        <v>153.50399999999999</v>
      </c>
      <c r="BO97" s="64">
        <f>IFERROR(1/J97*(X97/H97),"0")</f>
        <v>0.28083028083028083</v>
      </c>
      <c r="BP97" s="64">
        <f>IFERROR(1/J97*(Y97/H97),"0")</f>
        <v>0.28571428571428575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51.111111111111107</v>
      </c>
      <c r="Y99" s="629">
        <f>IFERROR(Y95/H95,"0")+IFERROR(Y96/H96,"0")+IFERROR(Y97/H97,"0")+IFERROR(Y98/H98,"0")</f>
        <v>52</v>
      </c>
      <c r="Z99" s="629">
        <f>IFERROR(IF(Z95="",0,Z95),"0")+IFERROR(IF(Z96="",0,Z96),"0")+IFERROR(IF(Z97="",0,Z97),"0")+IFERROR(IF(Z98="",0,Z98),"0")</f>
        <v>0.33851999999999999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138</v>
      </c>
      <c r="Y100" s="629">
        <f>IFERROR(SUM(Y95:Y98),"0")</f>
        <v>140.4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3</v>
      </c>
      <c r="Y104" s="628">
        <f t="shared" si="5"/>
        <v>3.3000000000000003</v>
      </c>
      <c r="Z104" s="36">
        <f>IFERROR(IF(Y104=0,"",ROUNDUP(Y104/H104,0)*0.00726),"")</f>
        <v>2.1780000000000001E-2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3.5727272727272728</v>
      </c>
      <c r="BN104" s="64">
        <f t="shared" si="7"/>
        <v>3.93</v>
      </c>
      <c r="BO104" s="64">
        <f t="shared" si="8"/>
        <v>1.4204545454545452E-2</v>
      </c>
      <c r="BP104" s="64">
        <f t="shared" si="9"/>
        <v>1.5625E-2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300</v>
      </c>
      <c r="Y107" s="628">
        <f t="shared" si="5"/>
        <v>301.5</v>
      </c>
      <c r="Z107" s="36">
        <f>IFERROR(IF(Y107=0,"",ROUNDUP(Y107/H107,0)*0.00902),"")</f>
        <v>0.60433999999999999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312.66666666666674</v>
      </c>
      <c r="BN107" s="64">
        <f t="shared" si="7"/>
        <v>314.23</v>
      </c>
      <c r="BO107" s="64">
        <f t="shared" si="8"/>
        <v>0.50505050505050508</v>
      </c>
      <c r="BP107" s="64">
        <f t="shared" si="9"/>
        <v>0.50757575757575757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69.393939393939405</v>
      </c>
      <c r="Y109" s="629">
        <f>IFERROR(Y103/H103,"0")+IFERROR(Y104/H104,"0")+IFERROR(Y105/H105,"0")+IFERROR(Y106/H106,"0")+IFERROR(Y107/H107,"0")+IFERROR(Y108/H108,"0")</f>
        <v>70</v>
      </c>
      <c r="Z109" s="629">
        <f>IFERROR(IF(Z103="",0,Z103),"0")+IFERROR(IF(Z104="",0,Z104),"0")+IFERROR(IF(Z105="",0,Z105),"0")+IFERROR(IF(Z106="",0,Z106),"0")+IFERROR(IF(Z107="",0,Z107),"0")+IFERROR(IF(Z108="",0,Z108),"0")</f>
        <v>0.62612000000000001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303</v>
      </c>
      <c r="Y110" s="629">
        <f>IFERROR(SUM(Y103:Y108),"0")</f>
        <v>304.8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12</v>
      </c>
      <c r="Y112" s="628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12.455555555555556</v>
      </c>
      <c r="BN112" s="64">
        <f>IFERROR(Y112*I112/H112,"0")</f>
        <v>22.42</v>
      </c>
      <c r="BO112" s="64">
        <f>IFERROR(1/J112*(X112/H112),"0")</f>
        <v>1.7361111111111108E-2</v>
      </c>
      <c r="BP112" s="64">
        <f>IFERROR(1/J112*(Y112/H112),"0")</f>
        <v>3.125E-2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1.1111111111111109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3.7960000000000001E-2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12</v>
      </c>
      <c r="Y118" s="629">
        <f>IFERROR(SUM(Y112:Y116),"0")</f>
        <v>21.6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472</v>
      </c>
      <c r="Y122" s="628">
        <f>IFERROR(IF(X122="",0,CEILING((X122/$H122),1)*$H122),"")</f>
        <v>472.50000000000006</v>
      </c>
      <c r="Z122" s="36">
        <f>IFERROR(IF(Y122=0,"",ROUNDUP(Y122/H122,0)*0.00651),"")</f>
        <v>1.1392500000000001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516.05333333333328</v>
      </c>
      <c r="BN122" s="64">
        <f>IFERROR(Y122*I122/H122,"0")</f>
        <v>516.6</v>
      </c>
      <c r="BO122" s="64">
        <f>IFERROR(1/J122*(X122/H122),"0")</f>
        <v>0.96052096052096059</v>
      </c>
      <c r="BP122" s="64">
        <f>IFERROR(1/J122*(Y122/H122),"0")</f>
        <v>0.96153846153846156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174.81481481481481</v>
      </c>
      <c r="Y124" s="629">
        <f>IFERROR(Y120/H120,"0")+IFERROR(Y121/H121,"0")+IFERROR(Y122/H122,"0")+IFERROR(Y123/H123,"0")</f>
        <v>175</v>
      </c>
      <c r="Z124" s="629">
        <f>IFERROR(IF(Z120="",0,Z120),"0")+IFERROR(IF(Z121="",0,Z121),"0")+IFERROR(IF(Z122="",0,Z122),"0")+IFERROR(IF(Z123="",0,Z123),"0")</f>
        <v>1.1392500000000001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472</v>
      </c>
      <c r="Y125" s="629">
        <f>IFERROR(SUM(Y120:Y123),"0")</f>
        <v>472.50000000000006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36</v>
      </c>
      <c r="Y127" s="628">
        <f>IFERROR(IF(X127="",0,CEILING((X127/$H127),1)*$H127),"")</f>
        <v>37.619999999999997</v>
      </c>
      <c r="Z127" s="36">
        <f>IFERROR(IF(Y127=0,"",ROUNDUP(Y127/H127,0)*0.00651),"")</f>
        <v>0.12369000000000001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40.690909090909088</v>
      </c>
      <c r="BN127" s="64">
        <f>IFERROR(Y127*I127/H127,"0")</f>
        <v>42.521999999999998</v>
      </c>
      <c r="BO127" s="64">
        <f>IFERROR(1/J127*(X127/H127),"0")</f>
        <v>9.9900099900099917E-2</v>
      </c>
      <c r="BP127" s="64">
        <f>IFERROR(1/J127*(Y127/H127),"0")</f>
        <v>0.1043956043956044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18.181818181818183</v>
      </c>
      <c r="Y128" s="629">
        <f>IFERROR(Y127/H127,"0")</f>
        <v>19</v>
      </c>
      <c r="Z128" s="629">
        <f>IFERROR(IF(Z127="",0,Z127),"0")</f>
        <v>0.12369000000000001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36</v>
      </c>
      <c r="Y129" s="629">
        <f>IFERROR(SUM(Y127:Y127),"0")</f>
        <v>37.619999999999997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25</v>
      </c>
      <c r="Y141" s="628">
        <f>IFERROR(IF(X141="",0,CEILING((X141/$H141),1)*$H141),"")</f>
        <v>25.2</v>
      </c>
      <c r="Z141" s="36">
        <f>IFERROR(IF(Y141=0,"",ROUNDUP(Y141/H141,0)*0.00651),"")</f>
        <v>5.8590000000000003E-2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27.392857142857146</v>
      </c>
      <c r="BN141" s="64">
        <f>IFERROR(Y141*I141/H141,"0")</f>
        <v>27.611999999999998</v>
      </c>
      <c r="BO141" s="64">
        <f>IFERROR(1/J141*(X141/H141),"0")</f>
        <v>4.9058084772370489E-2</v>
      </c>
      <c r="BP141" s="64">
        <f>IFERROR(1/J141*(Y141/H141),"0")</f>
        <v>4.9450549450549455E-2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8.9285714285714288</v>
      </c>
      <c r="Y143" s="629">
        <f>IFERROR(Y139/H139,"0")+IFERROR(Y140/H140,"0")+IFERROR(Y141/H141,"0")+IFERROR(Y142/H142,"0")</f>
        <v>9</v>
      </c>
      <c r="Z143" s="629">
        <f>IFERROR(IF(Z139="",0,Z139),"0")+IFERROR(IF(Z140="",0,Z140),"0")+IFERROR(IF(Z141="",0,Z141),"0")+IFERROR(IF(Z142="",0,Z142),"0")</f>
        <v>5.8590000000000003E-2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25</v>
      </c>
      <c r="Y144" s="629">
        <f>IFERROR(SUM(Y139:Y142),"0")</f>
        <v>25.2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37</v>
      </c>
      <c r="Y148" s="628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40.756060606060608</v>
      </c>
      <c r="BN148" s="64">
        <f>IFERROR(Y148*I148/H148,"0")</f>
        <v>43.62</v>
      </c>
      <c r="BO148" s="64">
        <f>IFERROR(1/J148*(X148/H148),"0")</f>
        <v>7.7006327006327008E-2</v>
      </c>
      <c r="BP148" s="64">
        <f>IFERROR(1/J148*(Y148/H148),"0")</f>
        <v>8.241758241758243E-2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14.015151515151514</v>
      </c>
      <c r="Y150" s="629">
        <f>IFERROR(Y146/H146,"0")+IFERROR(Y147/H147,"0")+IFERROR(Y148/H148,"0")+IFERROR(Y149/H149,"0")</f>
        <v>15</v>
      </c>
      <c r="Z150" s="629">
        <f>IFERROR(IF(Z146="",0,Z146),"0")+IFERROR(IF(Z147="",0,Z147),"0")+IFERROR(IF(Z148="",0,Z148),"0")+IFERROR(IF(Z149="",0,Z149),"0")</f>
        <v>9.7650000000000001E-2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37</v>
      </c>
      <c r="Y151" s="629">
        <f>IFERROR(SUM(Y146:Y149),"0")</f>
        <v>39.6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101</v>
      </c>
      <c r="Y177" s="628">
        <f t="shared" ref="Y177:Y187" si="10">IFERROR(IF(X177="",0,CEILING((X177/$H177),1)*$H177),"")</f>
        <v>101.5</v>
      </c>
      <c r="Z177" s="36">
        <f>IFERROR(IF(Y177=0,"",ROUNDUP(Y177/H177,0)*0.00902),"")</f>
        <v>0.26158000000000003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106.48285714285714</v>
      </c>
      <c r="BN177" s="64">
        <f t="shared" ref="BN177:BN187" si="12">IFERROR(Y177*I177/H177,"0")</f>
        <v>107.00999999999999</v>
      </c>
      <c r="BO177" s="64">
        <f t="shared" ref="BO177:BO187" si="13">IFERROR(1/J177*(X177/H177),"0")</f>
        <v>0.21861471861471862</v>
      </c>
      <c r="BP177" s="64">
        <f t="shared" ref="BP177:BP187" si="14">IFERROR(1/J177*(Y177/H177),"0")</f>
        <v>0.2196969696969697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6</v>
      </c>
      <c r="Y181" s="628">
        <f t="shared" si="10"/>
        <v>6.3</v>
      </c>
      <c r="Z181" s="36">
        <f>IFERROR(IF(Y181=0,"",ROUNDUP(Y181/H181,0)*0.00417),"")</f>
        <v>2.9190000000000001E-2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7.4</v>
      </c>
      <c r="BN181" s="64">
        <f t="shared" si="12"/>
        <v>7.7700000000000005</v>
      </c>
      <c r="BO181" s="64">
        <f t="shared" si="13"/>
        <v>1.9841269841269837E-2</v>
      </c>
      <c r="BP181" s="64">
        <f t="shared" si="14"/>
        <v>2.0833333333333332E-2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1</v>
      </c>
      <c r="Y183" s="628">
        <f t="shared" si="10"/>
        <v>1.8</v>
      </c>
      <c r="Z183" s="36">
        <f>IFERROR(IF(Y183=0,"",ROUNDUP(Y183/H183,0)*0.00417),"")</f>
        <v>8.3400000000000002E-3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1.2333333333333334</v>
      </c>
      <c r="BN183" s="64">
        <f t="shared" si="12"/>
        <v>2.2200000000000002</v>
      </c>
      <c r="BO183" s="64">
        <f t="shared" si="13"/>
        <v>3.3068783068783067E-3</v>
      </c>
      <c r="BP183" s="64">
        <f t="shared" si="14"/>
        <v>5.9523809523809521E-3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4</v>
      </c>
      <c r="Y186" s="628">
        <f t="shared" si="10"/>
        <v>4.5</v>
      </c>
      <c r="Z186" s="36">
        <f>IFERROR(IF(Y186=0,"",ROUNDUP(Y186/H186,0)*0.00417),"")</f>
        <v>2.085E-2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4.4444444444444446</v>
      </c>
      <c r="BN186" s="64">
        <f t="shared" si="12"/>
        <v>5</v>
      </c>
      <c r="BO186" s="64">
        <f t="shared" si="13"/>
        <v>1.3227513227513227E-2</v>
      </c>
      <c r="BP186" s="64">
        <f t="shared" si="14"/>
        <v>1.488095238095238E-2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1</v>
      </c>
      <c r="Y187" s="628">
        <f t="shared" si="10"/>
        <v>1.68</v>
      </c>
      <c r="Z187" s="36">
        <f>IFERROR(IF(Y187=0,"",ROUNDUP(Y187/H187,0)*0.00502),"")</f>
        <v>5.0200000000000002E-3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1.0595238095238095</v>
      </c>
      <c r="BN187" s="64">
        <f t="shared" si="12"/>
        <v>1.7799999999999998</v>
      </c>
      <c r="BO187" s="64">
        <f t="shared" si="13"/>
        <v>2.5437525437525441E-3</v>
      </c>
      <c r="BP187" s="64">
        <f t="shared" si="14"/>
        <v>4.2735042735042739E-3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41.674603174603178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0.32498000000000005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113</v>
      </c>
      <c r="Y189" s="629">
        <f>IFERROR(SUM(Y177:Y187),"0")</f>
        <v>115.78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90</v>
      </c>
      <c r="Y223" s="628">
        <f t="shared" ref="Y223:Y236" si="21">IFERROR(IF(X223="",0,CEILING((X223/$H223),1)*$H223),"")</f>
        <v>92.4</v>
      </c>
      <c r="Z223" s="36">
        <f>IFERROR(IF(Y223=0,"",ROUNDUP(Y223/H223,0)*0.00902),"")</f>
        <v>0.19844000000000001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95.357142857142847</v>
      </c>
      <c r="BN223" s="64">
        <f t="shared" ref="BN223:BN236" si="23">IFERROR(Y223*I223/H223,"0")</f>
        <v>97.9</v>
      </c>
      <c r="BO223" s="64">
        <f t="shared" ref="BO223:BO236" si="24">IFERROR(1/J223*(X223/H223),"0")</f>
        <v>0.16233766233766234</v>
      </c>
      <c r="BP223" s="64">
        <f t="shared" ref="BP223:BP236" si="25">IFERROR(1/J223*(Y223/H223),"0")</f>
        <v>0.16666666666666669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102</v>
      </c>
      <c r="Y225" s="628">
        <f t="shared" si="21"/>
        <v>105</v>
      </c>
      <c r="Z225" s="36">
        <f>IFERROR(IF(Y225=0,"",ROUNDUP(Y225/H225,0)*0.00902),"")</f>
        <v>0.22550000000000001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106.6142857142857</v>
      </c>
      <c r="BN225" s="64">
        <f t="shared" si="23"/>
        <v>109.74999999999999</v>
      </c>
      <c r="BO225" s="64">
        <f t="shared" si="24"/>
        <v>0.18398268398268397</v>
      </c>
      <c r="BP225" s="64">
        <f t="shared" si="25"/>
        <v>0.18939393939393939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7</v>
      </c>
      <c r="Y226" s="628">
        <f t="shared" si="21"/>
        <v>7.2</v>
      </c>
      <c r="Z226" s="36">
        <f>IFERROR(IF(Y226=0,"",ROUNDUP(Y226/H226,0)*0.00556),"")</f>
        <v>5.0040000000000001E-2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8.1375000000000011</v>
      </c>
      <c r="BN226" s="64">
        <f t="shared" si="23"/>
        <v>8.370000000000001</v>
      </c>
      <c r="BO226" s="64">
        <f t="shared" si="24"/>
        <v>3.4722222222222224E-2</v>
      </c>
      <c r="BP226" s="64">
        <f t="shared" si="25"/>
        <v>3.5714285714285712E-2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84</v>
      </c>
      <c r="Y227" s="628">
        <f t="shared" si="21"/>
        <v>84</v>
      </c>
      <c r="Z227" s="36">
        <f t="shared" ref="Z227:Z232" si="26">IFERROR(IF(Y227=0,"",ROUNDUP(Y227/H227,0)*0.00502),"")</f>
        <v>0.20080000000000001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89.199999999999989</v>
      </c>
      <c r="BN227" s="64">
        <f t="shared" si="23"/>
        <v>89.199999999999989</v>
      </c>
      <c r="BO227" s="64">
        <f t="shared" si="24"/>
        <v>0.17094017094017094</v>
      </c>
      <c r="BP227" s="64">
        <f t="shared" si="25"/>
        <v>0.17094017094017094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4</v>
      </c>
      <c r="Y233" s="628">
        <f t="shared" si="21"/>
        <v>4</v>
      </c>
      <c r="Z233" s="36">
        <f>IFERROR(IF(Y233=0,"",ROUNDUP(Y233/H233,0)*0.00417),"")</f>
        <v>2.085E-2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5.05</v>
      </c>
      <c r="BN233" s="64">
        <f t="shared" si="23"/>
        <v>5.05</v>
      </c>
      <c r="BO233" s="64">
        <f t="shared" si="24"/>
        <v>1.488095238095238E-2</v>
      </c>
      <c r="BP233" s="64">
        <f t="shared" si="25"/>
        <v>1.488095238095238E-2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99.464285714285708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101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0.69562999999999997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287</v>
      </c>
      <c r="Y238" s="629">
        <f>IFERROR(SUM(Y223:Y236),"0")</f>
        <v>292.60000000000002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3</v>
      </c>
      <c r="Y249" s="628">
        <f>IFERROR(IF(X249="",0,CEILING((X249/$H249),1)*$H249),"")</f>
        <v>3.7800000000000002</v>
      </c>
      <c r="Z249" s="36">
        <f>IFERROR(IF(Y249=0,"",ROUNDUP(Y249/H249,0)*0.0059),"")</f>
        <v>1.77E-2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3.4523809523809521</v>
      </c>
      <c r="BN249" s="64">
        <f>IFERROR(Y249*I249/H249,"0")</f>
        <v>4.3499999999999996</v>
      </c>
      <c r="BO249" s="64">
        <f>IFERROR(1/J249*(X249/H249),"0")</f>
        <v>1.1022927689594356E-2</v>
      </c>
      <c r="BP249" s="64">
        <f>IFERROR(1/J249*(Y249/H249),"0")</f>
        <v>1.3888888888888888E-2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7</v>
      </c>
      <c r="Y250" s="628">
        <f>IFERROR(IF(X250="",0,CEILING((X250/$H250),1)*$H250),"")</f>
        <v>7.5600000000000005</v>
      </c>
      <c r="Z250" s="36">
        <f>IFERROR(IF(Y250=0,"",ROUNDUP(Y250/H250,0)*0.0059),"")</f>
        <v>3.5400000000000001E-2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8.0555555555555554</v>
      </c>
      <c r="BN250" s="64">
        <f>IFERROR(Y250*I250/H250,"0")</f>
        <v>8.6999999999999993</v>
      </c>
      <c r="BO250" s="64">
        <f>IFERROR(1/J250*(X250/H250),"0")</f>
        <v>2.5720164609053495E-2</v>
      </c>
      <c r="BP250" s="64">
        <f>IFERROR(1/J250*(Y250/H250),"0")</f>
        <v>2.7777777777777776E-2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7.9365079365079367</v>
      </c>
      <c r="Y251" s="629">
        <f>IFERROR(Y248/H248,"0")+IFERROR(Y249/H249,"0")+IFERROR(Y250/H250,"0")</f>
        <v>9</v>
      </c>
      <c r="Z251" s="629">
        <f>IFERROR(IF(Z248="",0,Z248),"0")+IFERROR(IF(Z249="",0,Z249),"0")+IFERROR(IF(Z250="",0,Z250),"0")</f>
        <v>5.3100000000000001E-2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10</v>
      </c>
      <c r="Y252" s="629">
        <f>IFERROR(SUM(Y248:Y250),"0")</f>
        <v>11.34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4</v>
      </c>
      <c r="Y254" s="628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3.1746031746031744</v>
      </c>
      <c r="Y255" s="629">
        <f>IFERROR(Y254/H254,"0")</f>
        <v>4</v>
      </c>
      <c r="Z255" s="629">
        <f>IFERROR(IF(Z254="",0,Z254),"0")</f>
        <v>2.3599999999999999E-2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4</v>
      </c>
      <c r="Y256" s="629">
        <f>IFERROR(SUM(Y254:Y254),"0")</f>
        <v>5.04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82</v>
      </c>
      <c r="Y269" s="628">
        <f t="shared" ref="Y269:Y276" si="27">IFERROR(IF(X269="",0,CEILING((X269/$H269),1)*$H269),"")</f>
        <v>86.4</v>
      </c>
      <c r="Z269" s="36">
        <f>IFERROR(IF(Y269=0,"",ROUNDUP(Y269/H269,0)*0.00902),"")</f>
        <v>0.14432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84.885185185185179</v>
      </c>
      <c r="BN269" s="64">
        <f t="shared" ref="BN269:BN276" si="29">IFERROR(Y269*I269/H269,"0")</f>
        <v>89.44</v>
      </c>
      <c r="BO269" s="64">
        <f t="shared" ref="BO269:BO276" si="30">IFERROR(1/J269*(X269/H269),"0")</f>
        <v>0.11503928170594836</v>
      </c>
      <c r="BP269" s="64">
        <f t="shared" ref="BP269:BP276" si="31">IFERROR(1/J269*(Y269/H269),"0")</f>
        <v>0.12121212121212122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14</v>
      </c>
      <c r="Y271" s="628">
        <f t="shared" si="27"/>
        <v>16.200000000000003</v>
      </c>
      <c r="Z271" s="36">
        <f>IFERROR(IF(Y271=0,"",ROUNDUP(Y271/H271,0)*0.00902),"")</f>
        <v>2.7060000000000001E-2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14.49259259259259</v>
      </c>
      <c r="BN271" s="64">
        <f t="shared" si="29"/>
        <v>16.77</v>
      </c>
      <c r="BO271" s="64">
        <f t="shared" si="30"/>
        <v>1.9640852974186308E-2</v>
      </c>
      <c r="BP271" s="64">
        <f t="shared" si="31"/>
        <v>2.2727272727272731E-2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50</v>
      </c>
      <c r="Y273" s="628">
        <f t="shared" si="27"/>
        <v>50.4</v>
      </c>
      <c r="Z273" s="36">
        <f>IFERROR(IF(Y273=0,"",ROUNDUP(Y273/H273,0)*0.00502),"")</f>
        <v>0.14056000000000002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53.611111111111107</v>
      </c>
      <c r="BN273" s="64">
        <f t="shared" si="29"/>
        <v>54.039999999999992</v>
      </c>
      <c r="BO273" s="64">
        <f t="shared" si="30"/>
        <v>0.11870845204178539</v>
      </c>
      <c r="BP273" s="64">
        <f t="shared" si="31"/>
        <v>0.11965811965811968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49</v>
      </c>
      <c r="Y276" s="628">
        <f t="shared" si="27"/>
        <v>50.4</v>
      </c>
      <c r="Z276" s="36">
        <f>IFERROR(IF(Y276=0,"",ROUNDUP(Y276/H276,0)*0.00502),"")</f>
        <v>0.14056000000000002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51.722222222222214</v>
      </c>
      <c r="BN276" s="64">
        <f t="shared" si="29"/>
        <v>53.199999999999996</v>
      </c>
      <c r="BO276" s="64">
        <f t="shared" si="30"/>
        <v>0.11633428300094968</v>
      </c>
      <c r="BP276" s="64">
        <f t="shared" si="31"/>
        <v>0.11965811965811968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72.777777777777771</v>
      </c>
      <c r="Y277" s="629">
        <f>IFERROR(Y269/H269,"0")+IFERROR(Y270/H270,"0")+IFERROR(Y271/H271,"0")+IFERROR(Y272/H272,"0")+IFERROR(Y273/H273,"0")+IFERROR(Y274/H274,"0")+IFERROR(Y275/H275,"0")+IFERROR(Y276/H276,"0")</f>
        <v>75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0.45250000000000001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195</v>
      </c>
      <c r="Y278" s="629">
        <f>IFERROR(SUM(Y269:Y276),"0")</f>
        <v>203.4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26</v>
      </c>
      <c r="Y280" s="628">
        <f t="shared" ref="Y280:Y291" si="32">IFERROR(IF(X280="",0,CEILING((X280/$H280),1)*$H280),"")</f>
        <v>32.4</v>
      </c>
      <c r="Z280" s="36">
        <f>IFERROR(IF(Y280=0,"",ROUNDUP(Y280/H280,0)*0.01898),"")</f>
        <v>7.5920000000000001E-2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27.585679012345679</v>
      </c>
      <c r="BN280" s="64">
        <f t="shared" ref="BN280:BN291" si="34">IFERROR(Y280*I280/H280,"0")</f>
        <v>34.375999999999998</v>
      </c>
      <c r="BO280" s="64">
        <f t="shared" ref="BO280:BO291" si="35">IFERROR(1/J280*(X280/H280),"0")</f>
        <v>5.0154320987654322E-2</v>
      </c>
      <c r="BP280" s="64">
        <f t="shared" ref="BP280:BP291" si="36">IFERROR(1/J280*(Y280/H280),"0")</f>
        <v>6.25E-2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70</v>
      </c>
      <c r="Y281" s="628">
        <f t="shared" si="32"/>
        <v>72.899999999999991</v>
      </c>
      <c r="Z281" s="36">
        <f>IFERROR(IF(Y281=0,"",ROUNDUP(Y281/H281,0)*0.01898),"")</f>
        <v>0.17082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74.113580246913585</v>
      </c>
      <c r="BN281" s="64">
        <f t="shared" si="34"/>
        <v>77.183999999999997</v>
      </c>
      <c r="BO281" s="64">
        <f t="shared" si="35"/>
        <v>0.13503086419753088</v>
      </c>
      <c r="BP281" s="64">
        <f t="shared" si="36"/>
        <v>0.140625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40</v>
      </c>
      <c r="Y282" s="628">
        <f t="shared" si="32"/>
        <v>43.5</v>
      </c>
      <c r="Z282" s="36">
        <f>IFERROR(IF(Y282=0,"",ROUNDUP(Y282/H282,0)*0.01898),"")</f>
        <v>9.4899999999999998E-2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42.271264367816102</v>
      </c>
      <c r="BN282" s="64">
        <f t="shared" si="34"/>
        <v>45.970000000000006</v>
      </c>
      <c r="BO282" s="64">
        <f t="shared" si="35"/>
        <v>7.1839080459770124E-2</v>
      </c>
      <c r="BP282" s="64">
        <f t="shared" si="36"/>
        <v>7.8125E-2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191</v>
      </c>
      <c r="Y283" s="628">
        <f t="shared" si="32"/>
        <v>192</v>
      </c>
      <c r="Z283" s="36">
        <f>IFERROR(IF(Y283=0,"",ROUNDUP(Y283/H283,0)*0.00651),"")</f>
        <v>0.52080000000000004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212.48749999999998</v>
      </c>
      <c r="BN283" s="64">
        <f t="shared" si="34"/>
        <v>213.6</v>
      </c>
      <c r="BO283" s="64">
        <f t="shared" si="35"/>
        <v>0.43727106227106238</v>
      </c>
      <c r="BP283" s="64">
        <f t="shared" si="36"/>
        <v>0.43956043956043961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177</v>
      </c>
      <c r="Y288" s="628">
        <f t="shared" si="32"/>
        <v>177.6</v>
      </c>
      <c r="Z288" s="36">
        <f>IFERROR(IF(Y288=0,"",ROUNDUP(Y288/H288,0)*0.00651),"")</f>
        <v>0.48174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195.58500000000001</v>
      </c>
      <c r="BN288" s="64">
        <f t="shared" si="34"/>
        <v>196.24800000000002</v>
      </c>
      <c r="BO288" s="64">
        <f t="shared" si="35"/>
        <v>0.40521978021978028</v>
      </c>
      <c r="BP288" s="64">
        <f t="shared" si="36"/>
        <v>0.40659340659340665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60</v>
      </c>
      <c r="Y289" s="628">
        <f t="shared" si="32"/>
        <v>60</v>
      </c>
      <c r="Z289" s="36">
        <f>IFERROR(IF(Y289=0,"",ROUNDUP(Y289/H289,0)*0.00651),"")</f>
        <v>0.16275000000000001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66.300000000000011</v>
      </c>
      <c r="BN289" s="64">
        <f t="shared" si="34"/>
        <v>66.300000000000011</v>
      </c>
      <c r="BO289" s="64">
        <f t="shared" si="35"/>
        <v>0.13736263736263737</v>
      </c>
      <c r="BP289" s="64">
        <f t="shared" si="36"/>
        <v>0.13736263736263737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194.78288633461048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197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1.5069300000000001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564</v>
      </c>
      <c r="Y293" s="629">
        <f>IFERROR(SUM(Y280:Y291),"0")</f>
        <v>578.4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2</v>
      </c>
      <c r="Y295" s="628">
        <f>IFERROR(IF(X295="",0,CEILING((X295/$H295),1)*$H295),"")</f>
        <v>2.4</v>
      </c>
      <c r="Z295" s="36">
        <f>IFERROR(IF(Y295=0,"",ROUNDUP(Y295/H295,0)*0.00651),"")</f>
        <v>6.5100000000000002E-3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2.2100000000000004</v>
      </c>
      <c r="BN295" s="64">
        <f>IFERROR(Y295*I295/H295,"0")</f>
        <v>2.6520000000000001</v>
      </c>
      <c r="BO295" s="64">
        <f>IFERROR(1/J295*(X295/H295),"0")</f>
        <v>4.578754578754579E-3</v>
      </c>
      <c r="BP295" s="64">
        <f>IFERROR(1/J295*(Y295/H295),"0")</f>
        <v>5.4945054945054949E-3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0.83333333333333337</v>
      </c>
      <c r="Y297" s="629">
        <f>IFERROR(Y295/H295,"0")+IFERROR(Y296/H296,"0")</f>
        <v>1</v>
      </c>
      <c r="Z297" s="629">
        <f>IFERROR(IF(Z295="",0,Z295),"0")+IFERROR(IF(Z296="",0,Z296),"0")</f>
        <v>6.5100000000000002E-3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2</v>
      </c>
      <c r="Y298" s="629">
        <f>IFERROR(SUM(Y295:Y296),"0")</f>
        <v>2.4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8.3333333333333339</v>
      </c>
      <c r="Y338" s="629">
        <f>IFERROR(Y335/H335,"0")+IFERROR(Y336/H336,"0")+IFERROR(Y337/H337,"0")</f>
        <v>9</v>
      </c>
      <c r="Z338" s="629">
        <f>IFERROR(IF(Z335="",0,Z335),"0")+IFERROR(IF(Z336="",0,Z336),"0")+IFERROR(IF(Z337="",0,Z337),"0")</f>
        <v>5.8590000000000003E-2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20</v>
      </c>
      <c r="Y339" s="629">
        <f>IFERROR(SUM(Y335:Y337),"0")</f>
        <v>21.599999999999998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22</v>
      </c>
      <c r="Y377" s="628">
        <f t="shared" si="42"/>
        <v>23.400000000000002</v>
      </c>
      <c r="Z377" s="36">
        <f>IFERROR(IF(Y377=0,"",ROUNDUP(Y377/H377,0)*0.00651),"")</f>
        <v>8.4629999999999997E-2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24.786666666666665</v>
      </c>
      <c r="BN377" s="64">
        <f t="shared" si="44"/>
        <v>26.364000000000001</v>
      </c>
      <c r="BO377" s="64">
        <f t="shared" si="45"/>
        <v>6.7155067155067152E-2</v>
      </c>
      <c r="BP377" s="64">
        <f t="shared" si="46"/>
        <v>7.1428571428571438E-2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12.222222222222221</v>
      </c>
      <c r="Y378" s="629">
        <f>IFERROR(Y371/H371,"0")+IFERROR(Y372/H372,"0")+IFERROR(Y373/H373,"0")+IFERROR(Y374/H374,"0")+IFERROR(Y375/H375,"0")+IFERROR(Y376/H376,"0")+IFERROR(Y377/H377,"0")</f>
        <v>13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8.4629999999999997E-2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22</v>
      </c>
      <c r="Y379" s="629">
        <f>IFERROR(SUM(Y371:Y377),"0")</f>
        <v>23.400000000000002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1</v>
      </c>
      <c r="Y401" s="628">
        <f>IFERROR(IF(X401="",0,CEILING((X401/$H401),1)*$H401),"")</f>
        <v>2</v>
      </c>
      <c r="Z401" s="36">
        <f>IFERROR(IF(Y401=0,"",ROUNDUP(Y401/H401,0)*0.00474),"")</f>
        <v>4.7400000000000003E-3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1.1200000000000001</v>
      </c>
      <c r="BN401" s="64">
        <f>IFERROR(Y401*I401/H401,"0")</f>
        <v>2.2400000000000002</v>
      </c>
      <c r="BO401" s="64">
        <f>IFERROR(1/J401*(X401/H401),"0")</f>
        <v>2.1008403361344537E-3</v>
      </c>
      <c r="BP401" s="64">
        <f>IFERROR(1/J401*(Y401/H401),"0")</f>
        <v>4.2016806722689074E-3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8</v>
      </c>
      <c r="Y402" s="628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8.9600000000000009</v>
      </c>
      <c r="BN402" s="64">
        <f>IFERROR(Y402*I402/H402,"0")</f>
        <v>8.9600000000000009</v>
      </c>
      <c r="BO402" s="64">
        <f>IFERROR(1/J402*(X402/H402),"0")</f>
        <v>1.680672268907563E-2</v>
      </c>
      <c r="BP402" s="64">
        <f>IFERROR(1/J402*(Y402/H402),"0")</f>
        <v>1.680672268907563E-2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10</v>
      </c>
      <c r="Y403" s="628">
        <f>IFERROR(IF(X403="",0,CEILING((X403/$H403),1)*$H403),"")</f>
        <v>10</v>
      </c>
      <c r="Z403" s="36">
        <f>IFERROR(IF(Y403=0,"",ROUNDUP(Y403/H403,0)*0.00474),"")</f>
        <v>2.3700000000000002E-2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11.200000000000001</v>
      </c>
      <c r="BN403" s="64">
        <f>IFERROR(Y403*I403/H403,"0")</f>
        <v>11.200000000000001</v>
      </c>
      <c r="BO403" s="64">
        <f>IFERROR(1/J403*(X403/H403),"0")</f>
        <v>2.1008403361344536E-2</v>
      </c>
      <c r="BP403" s="64">
        <f>IFERROR(1/J403*(Y403/H403),"0")</f>
        <v>2.1008403361344536E-2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9.5</v>
      </c>
      <c r="Y404" s="629">
        <f>IFERROR(Y401/H401,"0")+IFERROR(Y402/H402,"0")+IFERROR(Y403/H403,"0")</f>
        <v>10</v>
      </c>
      <c r="Z404" s="629">
        <f>IFERROR(IF(Z401="",0,Z401),"0")+IFERROR(IF(Z402="",0,Z402),"0")+IFERROR(IF(Z403="",0,Z403),"0")</f>
        <v>4.7400000000000005E-2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19</v>
      </c>
      <c r="Y405" s="629">
        <f>IFERROR(SUM(Y401:Y403),"0")</f>
        <v>20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55</v>
      </c>
      <c r="Y415" s="628">
        <f>IFERROR(IF(X415="",0,CEILING((X415/$H415),1)*$H415),"")</f>
        <v>56.7</v>
      </c>
      <c r="Z415" s="36">
        <f>IFERROR(IF(Y415=0,"",ROUNDUP(Y415/H415,0)*0.00651),"")</f>
        <v>0.17577000000000001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61.599999999999987</v>
      </c>
      <c r="BN415" s="64">
        <f>IFERROR(Y415*I415/H415,"0")</f>
        <v>63.503999999999991</v>
      </c>
      <c r="BO415" s="64">
        <f>IFERROR(1/J415*(X415/H415),"0")</f>
        <v>0.14390371533228677</v>
      </c>
      <c r="BP415" s="64">
        <f>IFERROR(1/J415*(Y415/H415),"0")</f>
        <v>0.14835164835164835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6</v>
      </c>
      <c r="Y416" s="628">
        <f>IFERROR(IF(X416="",0,CEILING((X416/$H416),1)*$H416),"")</f>
        <v>6.3000000000000007</v>
      </c>
      <c r="Z416" s="36">
        <f>IFERROR(IF(Y416=0,"",ROUNDUP(Y416/H416,0)*0.00651),"")</f>
        <v>1.9529999999999999E-2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6.6857142857142851</v>
      </c>
      <c r="BN416" s="64">
        <f>IFERROR(Y416*I416/H416,"0")</f>
        <v>7.0200000000000005</v>
      </c>
      <c r="BO416" s="64">
        <f>IFERROR(1/J416*(X416/H416),"0")</f>
        <v>1.5698587127158558E-2</v>
      </c>
      <c r="BP416" s="64">
        <f>IFERROR(1/J416*(Y416/H416),"0")</f>
        <v>1.6483516483516484E-2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29.047619047619047</v>
      </c>
      <c r="Y417" s="629">
        <f>IFERROR(Y414/H414,"0")+IFERROR(Y415/H415,"0")+IFERROR(Y416/H416,"0")</f>
        <v>30</v>
      </c>
      <c r="Z417" s="629">
        <f>IFERROR(IF(Z414="",0,Z414),"0")+IFERROR(IF(Z415="",0,Z415),"0")+IFERROR(IF(Z416="",0,Z416),"0")</f>
        <v>0.1953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61</v>
      </c>
      <c r="Y418" s="629">
        <f>IFERROR(SUM(Y414:Y416),"0")</f>
        <v>63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493</v>
      </c>
      <c r="Y423" s="628">
        <f t="shared" si="47"/>
        <v>495</v>
      </c>
      <c r="Z423" s="36">
        <f>IFERROR(IF(Y423=0,"",ROUNDUP(Y423/H423,0)*0.02175),"")</f>
        <v>0.71775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508.44733333333335</v>
      </c>
      <c r="BN423" s="64">
        <f t="shared" si="49"/>
        <v>510.51000000000005</v>
      </c>
      <c r="BO423" s="64">
        <f t="shared" si="50"/>
        <v>0.68472222222222223</v>
      </c>
      <c r="BP423" s="64">
        <f t="shared" si="51"/>
        <v>0.6875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32.866666666666667</v>
      </c>
      <c r="Y430" s="629">
        <f>IFERROR(Y422/H422,"0")+IFERROR(Y423/H423,"0")+IFERROR(Y424/H424,"0")+IFERROR(Y425/H425,"0")+IFERROR(Y426/H426,"0")+IFERROR(Y427/H427,"0")+IFERROR(Y428/H428,"0")+IFERROR(Y429/H429,"0")</f>
        <v>33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0.71775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493</v>
      </c>
      <c r="Y431" s="629">
        <f>IFERROR(SUM(Y422:Y429),"0")</f>
        <v>495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382</v>
      </c>
      <c r="Y446" s="628">
        <f>IFERROR(IF(X446="",0,CEILING((X446/$H446),1)*$H446),"")</f>
        <v>387</v>
      </c>
      <c r="Z446" s="36">
        <f>IFERROR(IF(Y446=0,"",ROUNDUP(Y446/H446,0)*0.01898),"")</f>
        <v>0.81613999999999998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402.96755555555558</v>
      </c>
      <c r="BN446" s="64">
        <f>IFERROR(Y446*I446/H446,"0")</f>
        <v>408.24199999999996</v>
      </c>
      <c r="BO446" s="64">
        <f>IFERROR(1/J446*(X446/H446),"0")</f>
        <v>0.66319444444444442</v>
      </c>
      <c r="BP446" s="64">
        <f>IFERROR(1/J446*(Y446/H446),"0")</f>
        <v>0.671875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42.444444444444443</v>
      </c>
      <c r="Y447" s="629">
        <f>IFERROR(Y445/H445,"0")+IFERROR(Y446/H446,"0")</f>
        <v>43</v>
      </c>
      <c r="Z447" s="629">
        <f>IFERROR(IF(Z445="",0,Z445),"0")+IFERROR(IF(Z446="",0,Z446),"0")</f>
        <v>0.81613999999999998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382</v>
      </c>
      <c r="Y448" s="629">
        <f>IFERROR(SUM(Y445:Y446),"0")</f>
        <v>387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569</v>
      </c>
      <c r="Y460" s="628">
        <f>IFERROR(IF(X460="",0,CEILING((X460/$H460),1)*$H460),"")</f>
        <v>576</v>
      </c>
      <c r="Z460" s="36">
        <f>IFERROR(IF(Y460=0,"",ROUNDUP(Y460/H460,0)*0.01898),"")</f>
        <v>1.21472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600.23177777777778</v>
      </c>
      <c r="BN460" s="64">
        <f>IFERROR(Y460*I460/H460,"0")</f>
        <v>607.61599999999999</v>
      </c>
      <c r="BO460" s="64">
        <f>IFERROR(1/J460*(X460/H460),"0")</f>
        <v>0.98784722222222221</v>
      </c>
      <c r="BP460" s="64">
        <f>IFERROR(1/J460*(Y460/H460),"0")</f>
        <v>1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35</v>
      </c>
      <c r="Y461" s="628">
        <f>IFERROR(IF(X461="",0,CEILING((X461/$H461),1)*$H461),"")</f>
        <v>36</v>
      </c>
      <c r="Z461" s="36">
        <f>IFERROR(IF(Y461=0,"",ROUNDUP(Y461/H461,0)*0.00651),"")</f>
        <v>9.7650000000000001E-2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38.850000000000009</v>
      </c>
      <c r="BN461" s="64">
        <f>IFERROR(Y461*I461/H461,"0")</f>
        <v>39.960000000000008</v>
      </c>
      <c r="BO461" s="64">
        <f>IFERROR(1/J461*(X461/H461),"0")</f>
        <v>8.0128205128205135E-2</v>
      </c>
      <c r="BP461" s="64">
        <f>IFERROR(1/J461*(Y461/H461),"0")</f>
        <v>8.241758241758243E-2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77.805555555555557</v>
      </c>
      <c r="Y463" s="629">
        <f>IFERROR(Y460/H460,"0")+IFERROR(Y461/H461,"0")+IFERROR(Y462/H462,"0")</f>
        <v>79</v>
      </c>
      <c r="Z463" s="629">
        <f>IFERROR(IF(Z460="",0,Z460),"0")+IFERROR(IF(Z461="",0,Z461),"0")+IFERROR(IF(Z462="",0,Z462),"0")</f>
        <v>1.31237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604</v>
      </c>
      <c r="Y464" s="629">
        <f>IFERROR(SUM(Y460:Y462),"0")</f>
        <v>612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87</v>
      </c>
      <c r="Y495" s="628">
        <f t="shared" ref="Y495:Y503" si="57">IFERROR(IF(X495="",0,CEILING((X495/$H495),1)*$H495),"")</f>
        <v>89.76</v>
      </c>
      <c r="Z495" s="36">
        <f t="shared" ref="Z495:Z500" si="58">IFERROR(IF(Y495=0,"",ROUNDUP(Y495/H495,0)*0.01196),"")</f>
        <v>0.20332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92.767045454545453</v>
      </c>
      <c r="BN495" s="64">
        <f t="shared" ref="BN495:BN503" si="60">IFERROR(Y495*I495/H495,"0")</f>
        <v>95.710000000000008</v>
      </c>
      <c r="BO495" s="64">
        <f t="shared" ref="BO495:BO503" si="61">IFERROR(1/J495*(X495/H495),"0")</f>
        <v>0.15843531468531469</v>
      </c>
      <c r="BP495" s="64">
        <f t="shared" ref="BP495:BP503" si="62">IFERROR(1/J495*(Y495/H495),"0")</f>
        <v>0.16346153846153846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17</v>
      </c>
      <c r="Y497" s="628">
        <f t="shared" si="57"/>
        <v>21.12</v>
      </c>
      <c r="Z497" s="36">
        <f t="shared" si="58"/>
        <v>4.7840000000000001E-2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18.126893939393938</v>
      </c>
      <c r="BN497" s="64">
        <f t="shared" si="60"/>
        <v>22.52</v>
      </c>
      <c r="BO497" s="64">
        <f t="shared" si="61"/>
        <v>3.0958624708624712E-2</v>
      </c>
      <c r="BP497" s="64">
        <f t="shared" si="62"/>
        <v>3.8461538461538464E-2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167</v>
      </c>
      <c r="Y500" s="628">
        <f t="shared" si="57"/>
        <v>168.96</v>
      </c>
      <c r="Z500" s="36">
        <f t="shared" si="58"/>
        <v>0.38272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178.07007575757575</v>
      </c>
      <c r="BN500" s="64">
        <f t="shared" si="60"/>
        <v>180.16</v>
      </c>
      <c r="BO500" s="64">
        <f t="shared" si="61"/>
        <v>0.30412296037296038</v>
      </c>
      <c r="BP500" s="64">
        <f t="shared" si="62"/>
        <v>0.30769230769230771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108</v>
      </c>
      <c r="Y502" s="628">
        <f t="shared" si="57"/>
        <v>110.39999999999999</v>
      </c>
      <c r="Z502" s="36">
        <f>IFERROR(IF(Y502=0,"",ROUNDUP(Y502/H502,0)*0.00902),"")</f>
        <v>0.20746000000000001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155.47499999999999</v>
      </c>
      <c r="BN502" s="64">
        <f t="shared" si="60"/>
        <v>158.92999999999998</v>
      </c>
      <c r="BO502" s="64">
        <f t="shared" si="61"/>
        <v>0.17045454545454547</v>
      </c>
      <c r="BP502" s="64">
        <f t="shared" si="62"/>
        <v>0.17424242424242425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74</v>
      </c>
      <c r="Y503" s="628">
        <f t="shared" si="57"/>
        <v>76.8</v>
      </c>
      <c r="Z503" s="36">
        <f>IFERROR(IF(Y503=0,"",ROUNDUP(Y503/H503,0)*0.00902),"")</f>
        <v>0.14432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106.52916666666668</v>
      </c>
      <c r="BN503" s="64">
        <f t="shared" si="60"/>
        <v>110.56</v>
      </c>
      <c r="BO503" s="64">
        <f t="shared" si="61"/>
        <v>0.11679292929292931</v>
      </c>
      <c r="BP503" s="64">
        <f t="shared" si="62"/>
        <v>0.12121212121212122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89.242424242424249</v>
      </c>
      <c r="Y504" s="629">
        <f>IFERROR(Y495/H495,"0")+IFERROR(Y496/H496,"0")+IFERROR(Y497/H497,"0")+IFERROR(Y498/H498,"0")+IFERROR(Y499/H499,"0")+IFERROR(Y500/H500,"0")+IFERROR(Y501/H501,"0")+IFERROR(Y502/H502,"0")+IFERROR(Y503/H503,"0")</f>
        <v>92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0.98565999999999998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453</v>
      </c>
      <c r="Y505" s="629">
        <f>IFERROR(SUM(Y495:Y503),"0")</f>
        <v>467.04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69</v>
      </c>
      <c r="Y507" s="628">
        <f>IFERROR(IF(X507="",0,CEILING((X507/$H507),1)*$H507),"")</f>
        <v>73.92</v>
      </c>
      <c r="Z507" s="36">
        <f>IFERROR(IF(Y507=0,"",ROUNDUP(Y507/H507,0)*0.01196),"")</f>
        <v>0.16744000000000001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73.573863636363626</v>
      </c>
      <c r="BN507" s="64">
        <f>IFERROR(Y507*I507/H507,"0")</f>
        <v>78.819999999999993</v>
      </c>
      <c r="BO507" s="64">
        <f>IFERROR(1/J507*(X507/H507),"0")</f>
        <v>0.1256555944055944</v>
      </c>
      <c r="BP507" s="64">
        <f>IFERROR(1/J507*(Y507/H507),"0")</f>
        <v>0.13461538461538464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13.068181818181818</v>
      </c>
      <c r="Y510" s="629">
        <f>IFERROR(Y507/H507,"0")+IFERROR(Y508/H508,"0")+IFERROR(Y509/H509,"0")</f>
        <v>14</v>
      </c>
      <c r="Z510" s="629">
        <f>IFERROR(IF(Z507="",0,Z507),"0")+IFERROR(IF(Z508="",0,Z508),"0")+IFERROR(IF(Z509="",0,Z509),"0")</f>
        <v>0.16744000000000001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69</v>
      </c>
      <c r="Y511" s="629">
        <f>IFERROR(SUM(Y507:Y509),"0")</f>
        <v>73.92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100</v>
      </c>
      <c r="Y514" s="628">
        <f t="shared" si="63"/>
        <v>100.32000000000001</v>
      </c>
      <c r="Z514" s="36">
        <f>IFERROR(IF(Y514=0,"",ROUNDUP(Y514/H514,0)*0.01196),"")</f>
        <v>0.22724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106.62878787878788</v>
      </c>
      <c r="BN514" s="64">
        <f t="shared" si="65"/>
        <v>106.97</v>
      </c>
      <c r="BO514" s="64">
        <f t="shared" si="66"/>
        <v>0.18210955710955709</v>
      </c>
      <c r="BP514" s="64">
        <f t="shared" si="67"/>
        <v>0.18269230769230771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183</v>
      </c>
      <c r="Y515" s="628">
        <f t="shared" si="63"/>
        <v>184.8</v>
      </c>
      <c r="Z515" s="36">
        <f>IFERROR(IF(Y515=0,"",ROUNDUP(Y515/H515,0)*0.01196),"")</f>
        <v>0.41860000000000003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195.13068181818181</v>
      </c>
      <c r="BN515" s="64">
        <f t="shared" si="65"/>
        <v>197.04999999999998</v>
      </c>
      <c r="BO515" s="64">
        <f t="shared" si="66"/>
        <v>0.33326048951048948</v>
      </c>
      <c r="BP515" s="64">
        <f t="shared" si="67"/>
        <v>0.33653846153846156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74.810606060606062</v>
      </c>
      <c r="Y520" s="629">
        <f>IFERROR(Y513/H513,"0")+IFERROR(Y514/H514,"0")+IFERROR(Y515/H515,"0")+IFERROR(Y516/H516,"0")+IFERROR(Y517/H517,"0")+IFERROR(Y518/H518,"0")+IFERROR(Y519/H519,"0")</f>
        <v>76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0.90895999999999999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395</v>
      </c>
      <c r="Y521" s="629">
        <f>IFERROR(SUM(Y513:Y519),"0")</f>
        <v>401.28000000000003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5142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5256.92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5546.3458377573907</v>
      </c>
      <c r="Y551" s="629">
        <f>IFERROR(SUM(BN22:BN547),"0")</f>
        <v>5670.6540000000005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5796.3458377573907</v>
      </c>
      <c r="Y553" s="629">
        <f>GrossWeightTotalR+PalletQtyTotalR*25</f>
        <v>5920.6540000000005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1223.6655000172241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1250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11.632229999999996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10.8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221.5</v>
      </c>
      <c r="F560" s="46">
        <f>IFERROR(Y88*1,"0")+IFERROR(Y89*1,"0")+IFERROR(Y90*1,"0")+IFERROR(Y91*1,"0")+IFERROR(Y95*1,"0")+IFERROR(Y96*1,"0")+IFERROR(Y97*1,"0")+IFERROR(Y98*1,"0")</f>
        <v>350.1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836.5200000000001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64.8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115.78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308.98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784.2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21.599999999999998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43.400000000000006</v>
      </c>
      <c r="U560" s="46">
        <f>IFERROR(Y414*1,"0")+IFERROR(Y415*1,"0")+IFERROR(Y416*1,"0")</f>
        <v>63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882</v>
      </c>
      <c r="W560" s="46">
        <f>IFERROR(Y451*1,"0")+IFERROR(Y452*1,"0")+IFERROR(Y456*1,"0")+IFERROR(Y460*1,"0")+IFERROR(Y461*1,"0")+IFERROR(Y462*1,"0")</f>
        <v>612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942.24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