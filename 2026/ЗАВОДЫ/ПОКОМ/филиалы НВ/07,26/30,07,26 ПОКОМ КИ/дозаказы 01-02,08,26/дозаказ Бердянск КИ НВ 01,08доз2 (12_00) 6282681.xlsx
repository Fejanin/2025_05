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00381814-B768-44CF-A4B2-F7F254A31B0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<sst xmlns="http://schemas.openxmlformats.org/spreadsheetml/2006/main" count="4219" uniqueCount="908">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</sst>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8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67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68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69"/>
      <c r="P5" s="26" t="s">
        <v>4</v>
      </c>
      <c r="Q5" s="988">
        <v>46230</v>
      </c>
      <c r="R5" s="988"/>
      <c r="T5" s="989" t="s">
        <v>3</v>
      </c>
      <c r="U5" s="990"/>
      <c r="V5" s="991" t="s">
        <v>868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/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Понедельник</v>
      </c>
      <c r="R6" s="966"/>
      <c r="T6" s="967" t="s">
        <v>5</v>
      </c>
      <c r="U6" s="968"/>
      <c r="V6" s="969" t="s">
        <v>70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>
        <f>IFERROR(VLOOKUP(DeliveryAddress,Table,3,0),1)</f>
        <v>1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58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0.41666666666666669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71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55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72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73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74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75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61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59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66</v>
      </c>
      <c r="L17" s="925" t="s">
        <v>64</v>
      </c>
      <c r="M17" s="925" t="s">
        <v>2</v>
      </c>
      <c r="N17" s="925" t="s">
        <v>63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56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60</v>
      </c>
      <c r="AB17" s="931" t="s">
        <v>19</v>
      </c>
      <c r="AC17" s="931" t="s">
        <v>65</v>
      </c>
      <c r="AD17" s="933" t="s">
        <v>57</v>
      </c>
      <c r="AE17" s="934"/>
      <c r="AF17" s="935"/>
      <c r="AG17" s="77"/>
      <c r="BD17" s="76" t="s">
        <v>62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customHeight="1" x14ac:dyDescent="0.2">
      <c r="A19" s="655" t="s">
        <v>76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customHeight="1" x14ac:dyDescent="0.25">
      <c r="A20" s="648" t="s">
        <v>76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customHeight="1" x14ac:dyDescent="0.25">
      <c r="A21" s="649" t="s">
        <v>77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9" t="s">
        <v>86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49" t="s">
        <v>104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customHeight="1" x14ac:dyDescent="0.25">
      <c r="A35" s="60" t="s">
        <v>105</v>
      </c>
      <c r="B35" s="60" t="s">
        <v>106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customHeight="1" x14ac:dyDescent="0.25">
      <c r="A39" s="648" t="s">
        <v>110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customHeight="1" x14ac:dyDescent="0.25">
      <c r="A40" s="649" t="s">
        <v>86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customHeight="1" x14ac:dyDescent="0.25">
      <c r="A41" s="60" t="s">
        <v>111</v>
      </c>
      <c r="B41" s="60" t="s">
        <v>112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655" t="s">
        <v>126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customHeight="1" x14ac:dyDescent="0.25">
      <c r="A49" s="648" t="s">
        <v>127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customHeight="1" x14ac:dyDescent="0.25">
      <c r="A50" s="649" t="s">
        <v>128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48" t="s">
        <v>143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customHeight="1" x14ac:dyDescent="0.25">
      <c r="A58" s="649" t="s">
        <v>128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152</v>
      </c>
      <c r="B63" s="60" t="s">
        <v>155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156</v>
      </c>
      <c r="B64" s="60" t="s">
        <v>157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159</v>
      </c>
      <c r="B65" s="60" t="s">
        <v>160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49" t="s">
        <v>164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168</v>
      </c>
      <c r="B71" s="60" t="s">
        <v>169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170</v>
      </c>
      <c r="B72" s="60" t="s">
        <v>171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49" t="s">
        <v>86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customHeight="1" x14ac:dyDescent="0.25">
      <c r="A77" s="60" t="s">
        <v>175</v>
      </c>
      <c r="B77" s="60" t="s">
        <v>176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178</v>
      </c>
      <c r="B78" s="60" t="s">
        <v>179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49" t="s">
        <v>181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185</v>
      </c>
      <c r="B83" s="60" t="s">
        <v>186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48" t="s">
        <v>188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customHeight="1" x14ac:dyDescent="0.25">
      <c r="A87" s="649" t="s">
        <v>128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192</v>
      </c>
      <c r="B89" s="60" t="s">
        <v>193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195</v>
      </c>
      <c r="B90" s="60" t="s">
        <v>196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49" t="s">
        <v>86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206</v>
      </c>
      <c r="B98" s="60" t="s">
        <v>207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48" t="s">
        <v>209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customHeight="1" x14ac:dyDescent="0.25">
      <c r="A102" s="649" t="s">
        <v>128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213</v>
      </c>
      <c r="B104" s="60" t="s">
        <v>214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213</v>
      </c>
      <c r="B105" s="60" t="s">
        <v>216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217</v>
      </c>
      <c r="B106" s="60" t="s">
        <v>218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49" t="s">
        <v>164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customHeight="1" x14ac:dyDescent="0.25">
      <c r="A112" s="60" t="s">
        <v>223</v>
      </c>
      <c r="B112" s="60" t="s">
        <v>224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226</v>
      </c>
      <c r="B113" s="60" t="s">
        <v>227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226</v>
      </c>
      <c r="B114" s="60" t="s">
        <v>230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231</v>
      </c>
      <c r="B115" s="60" t="s">
        <v>232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49" t="s">
        <v>86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238</v>
      </c>
      <c r="B121" s="60" t="s">
        <v>239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49" t="s">
        <v>181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48" t="s">
        <v>248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customHeight="1" x14ac:dyDescent="0.25">
      <c r="A131" s="649" t="s">
        <v>128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customHeight="1" x14ac:dyDescent="0.25">
      <c r="A132" s="60" t="s">
        <v>249</v>
      </c>
      <c r="B132" s="60" t="s">
        <v>250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254</v>
      </c>
      <c r="B133" s="60" t="s">
        <v>255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256</v>
      </c>
      <c r="B134" s="60" t="s">
        <v>257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customHeight="1" x14ac:dyDescent="0.25">
      <c r="A138" s="649" t="s">
        <v>77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customHeight="1" x14ac:dyDescent="0.25">
      <c r="A139" s="60" t="s">
        <v>260</v>
      </c>
      <c r="B139" s="60" t="s">
        <v>261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customHeight="1" x14ac:dyDescent="0.25">
      <c r="A140" s="60" t="s">
        <v>263</v>
      </c>
      <c r="B140" s="60" t="s">
        <v>264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265</v>
      </c>
      <c r="B142" s="60" t="s">
        <v>268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customHeight="1" x14ac:dyDescent="0.25">
      <c r="A145" s="649" t="s">
        <v>86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customHeight="1" x14ac:dyDescent="0.25">
      <c r="A146" s="60" t="s">
        <v>269</v>
      </c>
      <c r="B146" s="60" t="s">
        <v>270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271</v>
      </c>
      <c r="B147" s="60" t="s">
        <v>272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customHeight="1" x14ac:dyDescent="0.25">
      <c r="A149" s="60" t="s">
        <v>273</v>
      </c>
      <c r="B149" s="60" t="s">
        <v>275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customHeight="1" x14ac:dyDescent="0.25">
      <c r="A152" s="648" t="s">
        <v>276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customHeight="1" x14ac:dyDescent="0.25">
      <c r="A153" s="649" t="s">
        <v>86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customHeight="1" x14ac:dyDescent="0.25">
      <c r="A154" s="60" t="s">
        <v>277</v>
      </c>
      <c r="B154" s="60" t="s">
        <v>278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280</v>
      </c>
      <c r="B155" s="60" t="s">
        <v>281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283</v>
      </c>
      <c r="B156" s="60" t="s">
        <v>284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286</v>
      </c>
      <c r="B157" s="60" t="s">
        <v>287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customHeight="1" x14ac:dyDescent="0.25">
      <c r="A160" s="649" t="s">
        <v>104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customHeight="1" x14ac:dyDescent="0.25">
      <c r="A161" s="60" t="s">
        <v>289</v>
      </c>
      <c r="B161" s="60" t="s">
        <v>290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customHeight="1" x14ac:dyDescent="0.25">
      <c r="A164" s="648" t="s">
        <v>126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customHeight="1" x14ac:dyDescent="0.25">
      <c r="A165" s="649" t="s">
        <v>128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customHeight="1" x14ac:dyDescent="0.25">
      <c r="A166" s="60" t="s">
        <v>294</v>
      </c>
      <c r="B166" s="60" t="s">
        <v>295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customHeight="1" x14ac:dyDescent="0.25">
      <c r="A167" s="60" t="s">
        <v>297</v>
      </c>
      <c r="B167" s="60" t="s">
        <v>298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customHeight="1" x14ac:dyDescent="0.25">
      <c r="A168" s="60" t="s">
        <v>300</v>
      </c>
      <c r="B168" s="60" t="s">
        <v>301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customHeight="1" x14ac:dyDescent="0.25">
      <c r="A171" s="649" t="s">
        <v>164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customHeight="1" x14ac:dyDescent="0.25">
      <c r="A172" s="60" t="s">
        <v>303</v>
      </c>
      <c r="B172" s="60" t="s">
        <v>304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49" t="s">
        <v>305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customHeight="1" x14ac:dyDescent="0.25">
      <c r="A176" s="649" t="s">
        <v>77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customHeight="1" x14ac:dyDescent="0.25">
      <c r="A184" s="60" t="s">
        <v>327</v>
      </c>
      <c r="B184" s="60" t="s">
        <v>330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customHeight="1" x14ac:dyDescent="0.25">
      <c r="A190" s="649" t="s">
        <v>86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customHeight="1" x14ac:dyDescent="0.25">
      <c r="A191" s="60" t="s">
        <v>338</v>
      </c>
      <c r="B191" s="60" t="s">
        <v>339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341</v>
      </c>
      <c r="B192" s="60" t="s">
        <v>342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customHeight="1" x14ac:dyDescent="0.25">
      <c r="A193" s="60" t="s">
        <v>344</v>
      </c>
      <c r="B193" s="60" t="s">
        <v>345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customHeight="1" x14ac:dyDescent="0.25">
      <c r="A196" s="649" t="s">
        <v>104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customHeight="1" x14ac:dyDescent="0.25">
      <c r="A197" s="60" t="s">
        <v>347</v>
      </c>
      <c r="B197" s="60" t="s">
        <v>348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351</v>
      </c>
      <c r="B198" s="60" t="s">
        <v>352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customHeight="1" x14ac:dyDescent="0.25">
      <c r="A201" s="649" t="s">
        <v>354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customHeight="1" x14ac:dyDescent="0.25">
      <c r="A202" s="60" t="s">
        <v>355</v>
      </c>
      <c r="B202" s="60" t="s">
        <v>356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customHeight="1" x14ac:dyDescent="0.2">
      <c r="A205" s="655" t="s">
        <v>358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customHeight="1" x14ac:dyDescent="0.25">
      <c r="A206" s="648" t="s">
        <v>359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customHeight="1" x14ac:dyDescent="0.25">
      <c r="A207" s="649" t="s">
        <v>128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customHeight="1" x14ac:dyDescent="0.25">
      <c r="A208" s="60" t="s">
        <v>360</v>
      </c>
      <c r="B208" s="60" t="s">
        <v>361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customHeight="1" x14ac:dyDescent="0.25">
      <c r="A209" s="60" t="s">
        <v>362</v>
      </c>
      <c r="B209" s="60" t="s">
        <v>363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customHeight="1" x14ac:dyDescent="0.25">
      <c r="A210" s="60" t="s">
        <v>365</v>
      </c>
      <c r="B210" s="60" t="s">
        <v>366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368</v>
      </c>
      <c r="B211" s="60" t="s">
        <v>369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customHeight="1" x14ac:dyDescent="0.25">
      <c r="A212" s="60" t="s">
        <v>371</v>
      </c>
      <c r="B212" s="60" t="s">
        <v>372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374</v>
      </c>
      <c r="B213" s="60" t="s">
        <v>375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customHeight="1" x14ac:dyDescent="0.25">
      <c r="A214" s="60" t="s">
        <v>377</v>
      </c>
      <c r="B214" s="60" t="s">
        <v>378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customHeight="1" x14ac:dyDescent="0.25">
      <c r="A217" s="648" t="s">
        <v>380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customHeight="1" x14ac:dyDescent="0.25">
      <c r="A218" s="649" t="s">
        <v>164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customHeight="1" x14ac:dyDescent="0.25">
      <c r="A219" s="60" t="s">
        <v>381</v>
      </c>
      <c r="B219" s="60" t="s">
        <v>382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customHeight="1" x14ac:dyDescent="0.25">
      <c r="A222" s="649" t="s">
        <v>77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398</v>
      </c>
      <c r="B228" s="60" t="s">
        <v>399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403</v>
      </c>
      <c r="B230" s="60" t="s">
        <v>404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406</v>
      </c>
      <c r="B231" s="60" t="s">
        <v>407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409</v>
      </c>
      <c r="B232" s="60" t="s">
        <v>410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customHeight="1" x14ac:dyDescent="0.25">
      <c r="A235" s="60" t="s">
        <v>417</v>
      </c>
      <c r="B235" s="60" t="s">
        <v>418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customHeight="1" x14ac:dyDescent="0.25">
      <c r="A236" s="60" t="s">
        <v>419</v>
      </c>
      <c r="B236" s="60" t="s">
        <v>420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customHeight="1" x14ac:dyDescent="0.25">
      <c r="A239" s="649" t="s">
        <v>86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customHeight="1" x14ac:dyDescent="0.25">
      <c r="A240" s="60" t="s">
        <v>422</v>
      </c>
      <c r="B240" s="60" t="s">
        <v>423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425</v>
      </c>
      <c r="B241" s="60" t="s">
        <v>426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428</v>
      </c>
      <c r="B242" s="60" t="s">
        <v>429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customHeight="1" x14ac:dyDescent="0.25">
      <c r="A243" s="60" t="s">
        <v>431</v>
      </c>
      <c r="B243" s="60" t="s">
        <v>432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434</v>
      </c>
      <c r="B244" s="60" t="s">
        <v>435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customHeight="1" x14ac:dyDescent="0.25">
      <c r="A247" s="649" t="s">
        <v>104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customHeight="1" x14ac:dyDescent="0.25">
      <c r="A253" s="649" t="s">
        <v>444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customHeight="1" x14ac:dyDescent="0.25">
      <c r="A257" s="648" t="s">
        <v>447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customHeight="1" x14ac:dyDescent="0.25">
      <c r="A258" s="649" t="s">
        <v>128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customHeight="1" x14ac:dyDescent="0.25">
      <c r="A259" s="60" t="s">
        <v>448</v>
      </c>
      <c r="B259" s="60" t="s">
        <v>449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451</v>
      </c>
      <c r="B260" s="60" t="s">
        <v>452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customHeight="1" x14ac:dyDescent="0.25">
      <c r="A263" s="649" t="s">
        <v>164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customHeight="1" x14ac:dyDescent="0.25">
      <c r="A264" s="60" t="s">
        <v>453</v>
      </c>
      <c r="B264" s="60" t="s">
        <v>454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customHeight="1" x14ac:dyDescent="0.25">
      <c r="A265" s="60" t="s">
        <v>456</v>
      </c>
      <c r="B265" s="60" t="s">
        <v>457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customHeight="1" x14ac:dyDescent="0.25">
      <c r="A268" s="649" t="s">
        <v>77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customHeight="1" x14ac:dyDescent="0.25">
      <c r="A279" s="649" t="s">
        <v>86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customHeight="1" x14ac:dyDescent="0.25">
      <c r="A291" s="60" t="s">
        <v>506</v>
      </c>
      <c r="B291" s="60" t="s">
        <v>507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customHeight="1" x14ac:dyDescent="0.25">
      <c r="A294" s="649" t="s">
        <v>181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customHeight="1" x14ac:dyDescent="0.25">
      <c r="A299" s="648" t="s">
        <v>515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customHeight="1" x14ac:dyDescent="0.25">
      <c r="A300" s="649" t="s">
        <v>128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customHeight="1" x14ac:dyDescent="0.25">
      <c r="A301" s="60" t="s">
        <v>516</v>
      </c>
      <c r="B301" s="60" t="s">
        <v>517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customHeight="1" x14ac:dyDescent="0.25">
      <c r="A305" s="60" t="s">
        <v>526</v>
      </c>
      <c r="B305" s="60" t="s">
        <v>527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customHeight="1" x14ac:dyDescent="0.25">
      <c r="A306" s="60" t="s">
        <v>529</v>
      </c>
      <c r="B306" s="60" t="s">
        <v>530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customHeight="1" x14ac:dyDescent="0.25">
      <c r="A310" s="649" t="s">
        <v>164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customHeight="1" x14ac:dyDescent="0.25">
      <c r="A311" s="60" t="s">
        <v>534</v>
      </c>
      <c r="B311" s="60" t="s">
        <v>535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649" t="s">
        <v>537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customHeight="1" x14ac:dyDescent="0.25">
      <c r="A318" s="649" t="s">
        <v>354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customHeight="1" x14ac:dyDescent="0.25">
      <c r="A319" s="60" t="s">
        <v>541</v>
      </c>
      <c r="B319" s="60" t="s">
        <v>542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customHeight="1" x14ac:dyDescent="0.25">
      <c r="A324" s="648" t="s">
        <v>548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customHeight="1" x14ac:dyDescent="0.25">
      <c r="A325" s="649" t="s">
        <v>128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customHeight="1" x14ac:dyDescent="0.25">
      <c r="A326" s="60" t="s">
        <v>549</v>
      </c>
      <c r="B326" s="60" t="s">
        <v>550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customHeight="1" x14ac:dyDescent="0.25">
      <c r="A327" s="60" t="s">
        <v>552</v>
      </c>
      <c r="B327" s="60" t="s">
        <v>553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555</v>
      </c>
      <c r="B328" s="60" t="s">
        <v>556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558</v>
      </c>
      <c r="B329" s="60" t="s">
        <v>559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customHeight="1" x14ac:dyDescent="0.25">
      <c r="A330" s="60" t="s">
        <v>561</v>
      </c>
      <c r="B330" s="60" t="s">
        <v>562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customHeight="1" x14ac:dyDescent="0.25">
      <c r="A333" s="648" t="s">
        <v>564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customHeight="1" x14ac:dyDescent="0.25">
      <c r="A334" s="649" t="s">
        <v>86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customHeight="1" x14ac:dyDescent="0.25">
      <c r="A335" s="60" t="s">
        <v>565</v>
      </c>
      <c r="B335" s="60" t="s">
        <v>566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48" t="s">
        <v>573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customHeight="1" x14ac:dyDescent="0.25">
      <c r="A341" s="649" t="s">
        <v>77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customHeight="1" x14ac:dyDescent="0.25">
      <c r="A342" s="60" t="s">
        <v>574</v>
      </c>
      <c r="B342" s="60" t="s">
        <v>575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576</v>
      </c>
      <c r="B343" s="60" t="s">
        <v>577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579</v>
      </c>
      <c r="B344" s="60" t="s">
        <v>580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582</v>
      </c>
      <c r="B345" s="60" t="s">
        <v>583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585</v>
      </c>
      <c r="B346" s="60" t="s">
        <v>586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customHeight="1" x14ac:dyDescent="0.25">
      <c r="A349" s="649" t="s">
        <v>86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customHeight="1" x14ac:dyDescent="0.25">
      <c r="A350" s="60" t="s">
        <v>588</v>
      </c>
      <c r="B350" s="60" t="s">
        <v>589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591</v>
      </c>
      <c r="B351" s="60" t="s">
        <v>592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customHeight="1" x14ac:dyDescent="0.25">
      <c r="A354" s="648" t="s">
        <v>594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customHeight="1" x14ac:dyDescent="0.25">
      <c r="A355" s="649" t="s">
        <v>128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48" t="s">
        <v>603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customHeight="1" x14ac:dyDescent="0.25">
      <c r="A362" s="649" t="s">
        <v>128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customHeight="1" x14ac:dyDescent="0.25">
      <c r="A364" s="60" t="s">
        <v>607</v>
      </c>
      <c r="B364" s="60" t="s">
        <v>608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610</v>
      </c>
      <c r="B365" s="60" t="s">
        <v>611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613</v>
      </c>
      <c r="B366" s="60" t="s">
        <v>614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140</v>
      </c>
      <c r="L366" s="35" t="s">
        <v>46</v>
      </c>
      <c r="M366" s="36" t="s">
        <v>132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615</v>
      </c>
      <c r="B367" s="60" t="s">
        <v>616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617</v>
      </c>
      <c r="AG367" s="75"/>
      <c r="AJ367" s="79" t="s">
        <v>46</v>
      </c>
      <c r="AK367" s="79">
        <v>0</v>
      </c>
      <c r="BB367" s="456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customHeight="1" x14ac:dyDescent="0.25">
      <c r="A370" s="649" t="s">
        <v>77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customHeight="1" x14ac:dyDescent="0.25">
      <c r="A371" s="60" t="s">
        <v>618</v>
      </c>
      <c r="B371" s="60" t="s">
        <v>619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140</v>
      </c>
      <c r="L371" s="35" t="s">
        <v>46</v>
      </c>
      <c r="M371" s="36" t="s">
        <v>81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620</v>
      </c>
      <c r="AG371" s="75"/>
      <c r="AJ371" s="79" t="s">
        <v>46</v>
      </c>
      <c r="AK371" s="79">
        <v>0</v>
      </c>
      <c r="BB371" s="458" t="s">
        <v>67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customHeight="1" x14ac:dyDescent="0.25">
      <c r="A372" s="60" t="s">
        <v>621</v>
      </c>
      <c r="B372" s="60" t="s">
        <v>622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623</v>
      </c>
      <c r="AG374" s="75"/>
      <c r="AJ374" s="79" t="s">
        <v>46</v>
      </c>
      <c r="AK374" s="79">
        <v>0</v>
      </c>
      <c r="BB374" s="464" t="s">
        <v>67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customHeight="1" x14ac:dyDescent="0.25">
      <c r="A375" s="60" t="s">
        <v>629</v>
      </c>
      <c r="B375" s="60" t="s">
        <v>630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631</v>
      </c>
      <c r="AG375" s="75"/>
      <c r="AJ375" s="79" t="s">
        <v>46</v>
      </c>
      <c r="AK375" s="79">
        <v>0</v>
      </c>
      <c r="BB375" s="466" t="s">
        <v>67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140</v>
      </c>
      <c r="L376" s="35" t="s">
        <v>46</v>
      </c>
      <c r="M376" s="36" t="s">
        <v>81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626</v>
      </c>
      <c r="AG376" s="75"/>
      <c r="AJ376" s="79" t="s">
        <v>46</v>
      </c>
      <c r="AK376" s="79">
        <v>0</v>
      </c>
      <c r="BB376" s="468" t="s">
        <v>67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customHeight="1" x14ac:dyDescent="0.25">
      <c r="A377" s="60" t="s">
        <v>634</v>
      </c>
      <c r="B377" s="60" t="s">
        <v>635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91</v>
      </c>
      <c r="L377" s="35" t="s">
        <v>46</v>
      </c>
      <c r="M377" s="36" t="s">
        <v>81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636</v>
      </c>
      <c r="AG377" s="75"/>
      <c r="AJ377" s="79" t="s">
        <v>46</v>
      </c>
      <c r="AK377" s="79">
        <v>0</v>
      </c>
      <c r="BB377" s="470" t="s">
        <v>67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customHeight="1" x14ac:dyDescent="0.25">
      <c r="A380" s="649" t="s">
        <v>86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customHeight="1" x14ac:dyDescent="0.25">
      <c r="A381" s="60" t="s">
        <v>637</v>
      </c>
      <c r="B381" s="60" t="s">
        <v>638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133</v>
      </c>
      <c r="L381" s="35" t="s">
        <v>46</v>
      </c>
      <c r="M381" s="36" t="s">
        <v>90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640</v>
      </c>
      <c r="B382" s="60" t="s">
        <v>641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643</v>
      </c>
      <c r="B383" s="60" t="s">
        <v>644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646</v>
      </c>
      <c r="B384" s="60" t="s">
        <v>647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639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customHeight="1" x14ac:dyDescent="0.25">
      <c r="A387" s="649" t="s">
        <v>181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customHeight="1" x14ac:dyDescent="0.25">
      <c r="A388" s="60" t="s">
        <v>648</v>
      </c>
      <c r="B388" s="60" t="s">
        <v>649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133</v>
      </c>
      <c r="L388" s="35" t="s">
        <v>46</v>
      </c>
      <c r="M388" s="36" t="s">
        <v>90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650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651</v>
      </c>
      <c r="B389" s="60" t="s">
        <v>652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customHeight="1" x14ac:dyDescent="0.25">
      <c r="A390" s="60" t="s">
        <v>654</v>
      </c>
      <c r="B390" s="60" t="s">
        <v>655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133</v>
      </c>
      <c r="L390" s="35" t="s">
        <v>46</v>
      </c>
      <c r="M390" s="36" t="s">
        <v>97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customHeight="1" x14ac:dyDescent="0.25">
      <c r="A393" s="649" t="s">
        <v>104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customHeight="1" x14ac:dyDescent="0.25">
      <c r="A394" s="60" t="s">
        <v>657</v>
      </c>
      <c r="B394" s="60" t="s">
        <v>658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140</v>
      </c>
      <c r="L394" s="35" t="s">
        <v>46</v>
      </c>
      <c r="M394" s="36" t="s">
        <v>109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659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659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91</v>
      </c>
      <c r="L396" s="35" t="s">
        <v>46</v>
      </c>
      <c r="M396" s="36" t="s">
        <v>109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659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664</v>
      </c>
      <c r="B397" s="60" t="s">
        <v>665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customHeight="1" x14ac:dyDescent="0.25">
      <c r="A400" s="649" t="s">
        <v>666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customHeight="1" x14ac:dyDescent="0.25">
      <c r="A401" s="60" t="s">
        <v>667</v>
      </c>
      <c r="B401" s="60" t="s">
        <v>668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669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670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669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customHeight="1" x14ac:dyDescent="0.25">
      <c r="A403" s="60" t="s">
        <v>673</v>
      </c>
      <c r="B403" s="60" t="s">
        <v>674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670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customHeight="1" x14ac:dyDescent="0.25">
      <c r="A406" s="649" t="s">
        <v>675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customHeight="1" x14ac:dyDescent="0.25">
      <c r="A407" s="60" t="s">
        <v>676</v>
      </c>
      <c r="B407" s="60" t="s">
        <v>677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252</v>
      </c>
      <c r="AC407" s="499" t="s">
        <v>678</v>
      </c>
      <c r="AG407" s="75"/>
      <c r="AJ407" s="79" t="s">
        <v>46</v>
      </c>
      <c r="AK407" s="79">
        <v>0</v>
      </c>
      <c r="BB407" s="500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679</v>
      </c>
      <c r="B408" s="60" t="s">
        <v>680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140</v>
      </c>
      <c r="L408" s="35" t="s">
        <v>46</v>
      </c>
      <c r="M408" s="36" t="s">
        <v>670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682</v>
      </c>
      <c r="B409" s="60" t="s">
        <v>683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91</v>
      </c>
      <c r="L409" s="35" t="s">
        <v>46</v>
      </c>
      <c r="M409" s="36" t="s">
        <v>670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252</v>
      </c>
      <c r="AC409" s="503" t="s">
        <v>678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customHeight="1" x14ac:dyDescent="0.25">
      <c r="A412" s="648" t="s">
        <v>684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customHeight="1" x14ac:dyDescent="0.25">
      <c r="A413" s="649" t="s">
        <v>86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customHeight="1" x14ac:dyDescent="0.25">
      <c r="A414" s="60" t="s">
        <v>685</v>
      </c>
      <c r="B414" s="60" t="s">
        <v>686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133</v>
      </c>
      <c r="L414" s="35" t="s">
        <v>46</v>
      </c>
      <c r="M414" s="36" t="s">
        <v>97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687</v>
      </c>
      <c r="AG414" s="75"/>
      <c r="AJ414" s="79" t="s">
        <v>46</v>
      </c>
      <c r="AK414" s="79">
        <v>0</v>
      </c>
      <c r="BB414" s="506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688</v>
      </c>
      <c r="B415" s="60" t="s">
        <v>689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91</v>
      </c>
      <c r="L415" s="35" t="s">
        <v>46</v>
      </c>
      <c r="M415" s="36" t="s">
        <v>90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91</v>
      </c>
      <c r="L416" s="35" t="s">
        <v>46</v>
      </c>
      <c r="M416" s="36" t="s">
        <v>97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customHeight="1" x14ac:dyDescent="0.2">
      <c r="A419" s="655" t="s">
        <v>694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customHeight="1" x14ac:dyDescent="0.25">
      <c r="A420" s="648" t="s">
        <v>695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customHeight="1" x14ac:dyDescent="0.25">
      <c r="A421" s="649" t="s">
        <v>128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customHeight="1" x14ac:dyDescent="0.25">
      <c r="A422" s="60" t="s">
        <v>696</v>
      </c>
      <c r="B422" s="60" t="s">
        <v>697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133</v>
      </c>
      <c r="L422" s="35" t="s">
        <v>46</v>
      </c>
      <c r="M422" s="36" t="s">
        <v>97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698</v>
      </c>
      <c r="AG422" s="75"/>
      <c r="AJ422" s="79" t="s">
        <v>46</v>
      </c>
      <c r="AK422" s="79">
        <v>0</v>
      </c>
      <c r="BB422" s="512" t="s">
        <v>67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699</v>
      </c>
      <c r="B423" s="60" t="s">
        <v>700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81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1000</v>
      </c>
      <c r="Y423" s="53">
        <f t="shared" si="47"/>
        <v>1005</v>
      </c>
      <c r="Z423" s="39">
        <f>IFERROR(IF(Y423=0,"",ROUNDUP(Y423/H423,0)*0.02175),"")</f>
        <v>1.4572499999999999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si="48"/>
        <v>1031.3333333333333</v>
      </c>
      <c r="BN423" s="75">
        <f t="shared" si="49"/>
        <v>1036.49</v>
      </c>
      <c r="BO423" s="75">
        <f t="shared" si="50"/>
        <v>1.3888888888888888</v>
      </c>
      <c r="BP423" s="75">
        <f t="shared" si="51"/>
        <v>1.3958333333333333</v>
      </c>
    </row>
    <row r="424" spans="1:68" ht="27" customHeight="1" x14ac:dyDescent="0.25">
      <c r="A424" s="60" t="s">
        <v>702</v>
      </c>
      <c r="B424" s="60" t="s">
        <v>703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81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400</v>
      </c>
      <c r="Y425" s="53">
        <f t="shared" si="47"/>
        <v>405</v>
      </c>
      <c r="Z425" s="39">
        <f>IFERROR(IF(Y425=0,"",ROUNDUP(Y425/H425,0)*0.02175),"")</f>
        <v>0.58724999999999994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48"/>
        <v>412.53333333333336</v>
      </c>
      <c r="BN425" s="75">
        <f t="shared" si="49"/>
        <v>417.69</v>
      </c>
      <c r="BO425" s="75">
        <f t="shared" si="50"/>
        <v>0.55555555555555558</v>
      </c>
      <c r="BP425" s="75">
        <f t="shared" si="51"/>
        <v>0.5625</v>
      </c>
    </row>
    <row r="426" spans="1:68" ht="27" customHeight="1" x14ac:dyDescent="0.25">
      <c r="A426" s="60" t="s">
        <v>708</v>
      </c>
      <c r="B426" s="60" t="s">
        <v>709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97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600</v>
      </c>
      <c r="Y426" s="53">
        <f t="shared" si="47"/>
        <v>600</v>
      </c>
      <c r="Z426" s="39">
        <f>IFERROR(IF(Y426=0,"",ROUNDUP(Y426/H426,0)*0.02175),"")</f>
        <v>0.86999999999999988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48"/>
        <v>618.79999999999995</v>
      </c>
      <c r="BN426" s="75">
        <f t="shared" si="49"/>
        <v>618.79999999999995</v>
      </c>
      <c r="BO426" s="75">
        <f t="shared" si="50"/>
        <v>0.83333333333333326</v>
      </c>
      <c r="BP426" s="75">
        <f t="shared" si="51"/>
        <v>0.83333333333333326</v>
      </c>
    </row>
    <row r="427" spans="1:68" ht="27" customHeight="1" x14ac:dyDescent="0.25">
      <c r="A427" s="60" t="s">
        <v>711</v>
      </c>
      <c r="B427" s="60" t="s">
        <v>712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132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customHeight="1" x14ac:dyDescent="0.25">
      <c r="A428" s="60" t="s">
        <v>714</v>
      </c>
      <c r="B428" s="60" t="s">
        <v>715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customHeight="1" x14ac:dyDescent="0.25">
      <c r="A429" s="60" t="s">
        <v>717</v>
      </c>
      <c r="B429" s="60" t="s">
        <v>718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133.33333333333334</v>
      </c>
      <c r="Y430" s="41">
        <f>IFERROR(Y422/H422,"0")+IFERROR(Y423/H423,"0")+IFERROR(Y424/H424,"0")+IFERROR(Y425/H425,"0")+IFERROR(Y426/H426,"0")+IFERROR(Y427/H427,"0")+IFERROR(Y428/H428,"0")+IFERROR(Y429/H429,"0")</f>
        <v>134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2.9144999999999994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2000</v>
      </c>
      <c r="Y431" s="41">
        <f>IFERROR(SUM(Y422:Y429),"0")</f>
        <v>2010</v>
      </c>
      <c r="Z431" s="40"/>
      <c r="AA431" s="64"/>
      <c r="AB431" s="64"/>
      <c r="AC431" s="64"/>
    </row>
    <row r="432" spans="1:68" ht="14.25" customHeight="1" x14ac:dyDescent="0.25">
      <c r="A432" s="649" t="s">
        <v>164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customHeight="1" x14ac:dyDescent="0.25">
      <c r="A433" s="60" t="s">
        <v>720</v>
      </c>
      <c r="B433" s="60" t="s">
        <v>721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133</v>
      </c>
      <c r="L433" s="35" t="s">
        <v>46</v>
      </c>
      <c r="M433" s="36" t="s">
        <v>132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722</v>
      </c>
      <c r="AG433" s="75"/>
      <c r="AJ433" s="79" t="s">
        <v>46</v>
      </c>
      <c r="AK433" s="79">
        <v>0</v>
      </c>
      <c r="BB433" s="528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customHeight="1" x14ac:dyDescent="0.25">
      <c r="A434" s="60" t="s">
        <v>723</v>
      </c>
      <c r="B434" s="60" t="s">
        <v>724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140</v>
      </c>
      <c r="L435" s="35" t="s">
        <v>46</v>
      </c>
      <c r="M435" s="36" t="s">
        <v>132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customHeight="1" x14ac:dyDescent="0.25">
      <c r="A438" s="649" t="s">
        <v>86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customHeight="1" x14ac:dyDescent="0.25">
      <c r="A439" s="60" t="s">
        <v>729</v>
      </c>
      <c r="B439" s="60" t="s">
        <v>730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731</v>
      </c>
      <c r="AG439" s="75"/>
      <c r="AJ439" s="79" t="s">
        <v>46</v>
      </c>
      <c r="AK439" s="79">
        <v>0</v>
      </c>
      <c r="BB439" s="53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732</v>
      </c>
      <c r="B440" s="60" t="s">
        <v>733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customHeight="1" x14ac:dyDescent="0.25">
      <c r="A441" s="60" t="s">
        <v>735</v>
      </c>
      <c r="B441" s="60" t="s">
        <v>736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133</v>
      </c>
      <c r="L441" s="35" t="s">
        <v>46</v>
      </c>
      <c r="M441" s="36" t="s">
        <v>90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customHeight="1" x14ac:dyDescent="0.25">
      <c r="A444" s="649" t="s">
        <v>181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customHeight="1" x14ac:dyDescent="0.25">
      <c r="A445" s="60" t="s">
        <v>738</v>
      </c>
      <c r="B445" s="60" t="s">
        <v>739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133</v>
      </c>
      <c r="L445" s="35" t="s">
        <v>46</v>
      </c>
      <c r="M445" s="36" t="s">
        <v>90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740</v>
      </c>
      <c r="AG445" s="75"/>
      <c r="AJ445" s="79" t="s">
        <v>46</v>
      </c>
      <c r="AK445" s="79">
        <v>0</v>
      </c>
      <c r="BB445" s="54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741</v>
      </c>
      <c r="B446" s="60" t="s">
        <v>742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133</v>
      </c>
      <c r="L446" s="35" t="s">
        <v>46</v>
      </c>
      <c r="M446" s="36" t="s">
        <v>90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48" t="s">
        <v>744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customHeight="1" x14ac:dyDescent="0.25">
      <c r="A450" s="649" t="s">
        <v>128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customHeight="1" x14ac:dyDescent="0.25">
      <c r="A451" s="60" t="s">
        <v>745</v>
      </c>
      <c r="B451" s="60" t="s">
        <v>746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133</v>
      </c>
      <c r="L451" s="35" t="s">
        <v>46</v>
      </c>
      <c r="M451" s="36" t="s">
        <v>81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747</v>
      </c>
      <c r="AG451" s="75"/>
      <c r="AJ451" s="79" t="s">
        <v>46</v>
      </c>
      <c r="AK451" s="79">
        <v>0</v>
      </c>
      <c r="BB451" s="54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customHeight="1" x14ac:dyDescent="0.25">
      <c r="A452" s="60" t="s">
        <v>748</v>
      </c>
      <c r="B452" s="60" t="s">
        <v>749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140</v>
      </c>
      <c r="L452" s="35" t="s">
        <v>46</v>
      </c>
      <c r="M452" s="36" t="s">
        <v>81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747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49" t="s">
        <v>77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customHeight="1" x14ac:dyDescent="0.25">
      <c r="A456" s="60" t="s">
        <v>750</v>
      </c>
      <c r="B456" s="60" t="s">
        <v>751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140</v>
      </c>
      <c r="L456" s="35" t="s">
        <v>46</v>
      </c>
      <c r="M456" s="36" t="s">
        <v>81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752</v>
      </c>
      <c r="AG456" s="75"/>
      <c r="AJ456" s="79" t="s">
        <v>46</v>
      </c>
      <c r="AK456" s="79">
        <v>0</v>
      </c>
      <c r="BB456" s="54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customHeight="1" x14ac:dyDescent="0.25">
      <c r="A459" s="649" t="s">
        <v>86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customHeight="1" x14ac:dyDescent="0.25">
      <c r="A460" s="60" t="s">
        <v>753</v>
      </c>
      <c r="B460" s="60" t="s">
        <v>754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133</v>
      </c>
      <c r="L460" s="35" t="s">
        <v>46</v>
      </c>
      <c r="M460" s="36" t="s">
        <v>90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755</v>
      </c>
      <c r="AG460" s="75"/>
      <c r="AJ460" s="79" t="s">
        <v>46</v>
      </c>
      <c r="AK460" s="79">
        <v>0</v>
      </c>
      <c r="BB460" s="55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756</v>
      </c>
      <c r="B461" s="60" t="s">
        <v>757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755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756</v>
      </c>
      <c r="B462" s="60" t="s">
        <v>758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759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customHeight="1" x14ac:dyDescent="0.2">
      <c r="A465" s="655" t="s">
        <v>760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customHeight="1" x14ac:dyDescent="0.25">
      <c r="A466" s="648" t="s">
        <v>761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customHeight="1" x14ac:dyDescent="0.25">
      <c r="A467" s="649" t="s">
        <v>77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customHeight="1" x14ac:dyDescent="0.25">
      <c r="A468" s="60" t="s">
        <v>762</v>
      </c>
      <c r="B468" s="60" t="s">
        <v>763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140</v>
      </c>
      <c r="L468" s="35" t="s">
        <v>46</v>
      </c>
      <c r="M468" s="36" t="s">
        <v>81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764</v>
      </c>
      <c r="AG468" s="75"/>
      <c r="AJ468" s="79" t="s">
        <v>46</v>
      </c>
      <c r="AK468" s="79">
        <v>0</v>
      </c>
      <c r="BB468" s="556" t="s">
        <v>67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customHeight="1" x14ac:dyDescent="0.25">
      <c r="A469" s="60" t="s">
        <v>765</v>
      </c>
      <c r="B469" s="60" t="s">
        <v>766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customHeight="1" x14ac:dyDescent="0.25">
      <c r="A470" s="60" t="s">
        <v>768</v>
      </c>
      <c r="B470" s="60" t="s">
        <v>769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764</v>
      </c>
      <c r="AG470" s="75"/>
      <c r="AJ470" s="79" t="s">
        <v>46</v>
      </c>
      <c r="AK470" s="79">
        <v>0</v>
      </c>
      <c r="BB470" s="560" t="s">
        <v>67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customHeight="1" x14ac:dyDescent="0.25">
      <c r="A471" s="60" t="s">
        <v>770</v>
      </c>
      <c r="B471" s="60" t="s">
        <v>771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772</v>
      </c>
      <c r="AG471" s="75"/>
      <c r="AJ471" s="79" t="s">
        <v>46</v>
      </c>
      <c r="AK471" s="79">
        <v>0</v>
      </c>
      <c r="BB471" s="562" t="s">
        <v>67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customHeight="1" x14ac:dyDescent="0.25">
      <c r="A472" s="60" t="s">
        <v>773</v>
      </c>
      <c r="B472" s="60" t="s">
        <v>774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customHeight="1" x14ac:dyDescent="0.25">
      <c r="A473" s="60" t="s">
        <v>776</v>
      </c>
      <c r="B473" s="60" t="s">
        <v>777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772</v>
      </c>
      <c r="AG473" s="75"/>
      <c r="AJ473" s="79" t="s">
        <v>46</v>
      </c>
      <c r="AK473" s="79">
        <v>0</v>
      </c>
      <c r="BB473" s="566" t="s">
        <v>67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customHeight="1" x14ac:dyDescent="0.25">
      <c r="A476" s="649" t="s">
        <v>86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customHeight="1" x14ac:dyDescent="0.25">
      <c r="A477" s="60" t="s">
        <v>778</v>
      </c>
      <c r="B477" s="60" t="s">
        <v>779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780</v>
      </c>
      <c r="AG477" s="75"/>
      <c r="AJ477" s="79" t="s">
        <v>46</v>
      </c>
      <c r="AK477" s="79">
        <v>0</v>
      </c>
      <c r="BB477" s="568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781</v>
      </c>
      <c r="B478" s="60" t="s">
        <v>782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91</v>
      </c>
      <c r="L478" s="35" t="s">
        <v>46</v>
      </c>
      <c r="M478" s="36" t="s">
        <v>90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customHeight="1" x14ac:dyDescent="0.25">
      <c r="A481" s="648" t="s">
        <v>784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customHeight="1" x14ac:dyDescent="0.25">
      <c r="A482" s="649" t="s">
        <v>164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customHeight="1" x14ac:dyDescent="0.25">
      <c r="A483" s="60" t="s">
        <v>785</v>
      </c>
      <c r="B483" s="60" t="s">
        <v>786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91</v>
      </c>
      <c r="L483" s="35" t="s">
        <v>46</v>
      </c>
      <c r="M483" s="36" t="s">
        <v>81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787</v>
      </c>
      <c r="AG483" s="75"/>
      <c r="AJ483" s="79" t="s">
        <v>46</v>
      </c>
      <c r="AK483" s="79">
        <v>0</v>
      </c>
      <c r="BB483" s="57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customHeight="1" x14ac:dyDescent="0.25">
      <c r="A486" s="649" t="s">
        <v>77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customHeight="1" x14ac:dyDescent="0.25">
      <c r="A487" s="60" t="s">
        <v>788</v>
      </c>
      <c r="B487" s="60" t="s">
        <v>789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140</v>
      </c>
      <c r="L487" s="35" t="s">
        <v>46</v>
      </c>
      <c r="M487" s="36" t="s">
        <v>81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790</v>
      </c>
      <c r="AG487" s="75"/>
      <c r="AJ487" s="79" t="s">
        <v>46</v>
      </c>
      <c r="AK487" s="79">
        <v>0</v>
      </c>
      <c r="BB487" s="57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791</v>
      </c>
      <c r="B488" s="60" t="s">
        <v>792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customHeight="1" x14ac:dyDescent="0.25">
      <c r="A489" s="60" t="s">
        <v>794</v>
      </c>
      <c r="B489" s="60" t="s">
        <v>795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793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customHeight="1" x14ac:dyDescent="0.2">
      <c r="A492" s="655" t="s">
        <v>796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customHeight="1" x14ac:dyDescent="0.25">
      <c r="A493" s="648" t="s">
        <v>796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customHeight="1" x14ac:dyDescent="0.25">
      <c r="A494" s="649" t="s">
        <v>128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customHeight="1" x14ac:dyDescent="0.25">
      <c r="A495" s="60" t="s">
        <v>797</v>
      </c>
      <c r="B495" s="60" t="s">
        <v>798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133</v>
      </c>
      <c r="L495" s="35" t="s">
        <v>46</v>
      </c>
      <c r="M495" s="36" t="s">
        <v>90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131</v>
      </c>
      <c r="AG495" s="75"/>
      <c r="AJ495" s="79" t="s">
        <v>46</v>
      </c>
      <c r="AK495" s="79">
        <v>0</v>
      </c>
      <c r="BB495" s="580" t="s">
        <v>67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customHeight="1" x14ac:dyDescent="0.25">
      <c r="A496" s="60" t="s">
        <v>799</v>
      </c>
      <c r="B496" s="60" t="s">
        <v>800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132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801</v>
      </c>
      <c r="AG496" s="75"/>
      <c r="AJ496" s="79" t="s">
        <v>46</v>
      </c>
      <c r="AK496" s="79">
        <v>0</v>
      </c>
      <c r="BB496" s="582" t="s">
        <v>67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customHeight="1" x14ac:dyDescent="0.25">
      <c r="A497" s="60" t="s">
        <v>802</v>
      </c>
      <c r="B497" s="60" t="s">
        <v>803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customHeight="1" x14ac:dyDescent="0.25">
      <c r="A498" s="60" t="s">
        <v>805</v>
      </c>
      <c r="B498" s="60" t="s">
        <v>806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customHeight="1" x14ac:dyDescent="0.25">
      <c r="A499" s="60" t="s">
        <v>808</v>
      </c>
      <c r="B499" s="60" t="s">
        <v>809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90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customHeight="1" x14ac:dyDescent="0.25">
      <c r="A500" s="60" t="s">
        <v>811</v>
      </c>
      <c r="B500" s="60" t="s">
        <v>812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132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91</v>
      </c>
      <c r="L501" s="35" t="s">
        <v>46</v>
      </c>
      <c r="M501" s="36" t="s">
        <v>90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131</v>
      </c>
      <c r="AG501" s="75"/>
      <c r="AJ501" s="79" t="s">
        <v>46</v>
      </c>
      <c r="AK501" s="79">
        <v>0</v>
      </c>
      <c r="BB501" s="592" t="s">
        <v>67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customHeight="1" x14ac:dyDescent="0.25">
      <c r="A502" s="60" t="s">
        <v>816</v>
      </c>
      <c r="B502" s="60" t="s">
        <v>817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140</v>
      </c>
      <c r="L502" s="35" t="s">
        <v>46</v>
      </c>
      <c r="M502" s="36" t="s">
        <v>90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customHeight="1" x14ac:dyDescent="0.25">
      <c r="A503" s="60" t="s">
        <v>818</v>
      </c>
      <c r="B503" s="60" t="s">
        <v>819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132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813</v>
      </c>
      <c r="AG503" s="75"/>
      <c r="AJ503" s="79" t="s">
        <v>46</v>
      </c>
      <c r="AK503" s="79">
        <v>0</v>
      </c>
      <c r="BB503" s="596" t="s">
        <v>67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customHeight="1" x14ac:dyDescent="0.25">
      <c r="A506" s="649" t="s">
        <v>164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customHeight="1" x14ac:dyDescent="0.25">
      <c r="A507" s="60" t="s">
        <v>820</v>
      </c>
      <c r="B507" s="60" t="s">
        <v>821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133</v>
      </c>
      <c r="L507" s="35" t="s">
        <v>46</v>
      </c>
      <c r="M507" s="36" t="s">
        <v>90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822</v>
      </c>
      <c r="AG507" s="75"/>
      <c r="AJ507" s="79" t="s">
        <v>46</v>
      </c>
      <c r="AK507" s="79">
        <v>0</v>
      </c>
      <c r="BB507" s="598" t="s">
        <v>67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823</v>
      </c>
      <c r="B508" s="60" t="s">
        <v>824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132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822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customHeight="1" x14ac:dyDescent="0.25">
      <c r="A509" s="60" t="s">
        <v>825</v>
      </c>
      <c r="B509" s="60" t="s">
        <v>826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140</v>
      </c>
      <c r="L509" s="35" t="s">
        <v>46</v>
      </c>
      <c r="M509" s="36" t="s">
        <v>132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822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customHeight="1" x14ac:dyDescent="0.25">
      <c r="A512" s="649" t="s">
        <v>77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customHeight="1" x14ac:dyDescent="0.25">
      <c r="A513" s="60" t="s">
        <v>827</v>
      </c>
      <c r="B513" s="60" t="s">
        <v>828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133</v>
      </c>
      <c r="L513" s="35" t="s">
        <v>46</v>
      </c>
      <c r="M513" s="36" t="s">
        <v>132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829</v>
      </c>
      <c r="AG513" s="75"/>
      <c r="AJ513" s="79" t="s">
        <v>46</v>
      </c>
      <c r="AK513" s="79">
        <v>0</v>
      </c>
      <c r="BB513" s="604" t="s">
        <v>67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customHeight="1" x14ac:dyDescent="0.25">
      <c r="A514" s="60" t="s">
        <v>830</v>
      </c>
      <c r="B514" s="60" t="s">
        <v>831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81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customHeight="1" x14ac:dyDescent="0.25">
      <c r="A515" s="60" t="s">
        <v>833</v>
      </c>
      <c r="B515" s="60" t="s">
        <v>834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140</v>
      </c>
      <c r="L516" s="35" t="s">
        <v>46</v>
      </c>
      <c r="M516" s="36" t="s">
        <v>132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829</v>
      </c>
      <c r="AG516" s="75"/>
      <c r="AJ516" s="79" t="s">
        <v>46</v>
      </c>
      <c r="AK516" s="79">
        <v>0</v>
      </c>
      <c r="BB516" s="610" t="s">
        <v>67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customHeight="1" x14ac:dyDescent="0.25">
      <c r="A517" s="60" t="s">
        <v>838</v>
      </c>
      <c r="B517" s="60" t="s">
        <v>839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140</v>
      </c>
      <c r="L517" s="35" t="s">
        <v>46</v>
      </c>
      <c r="M517" s="36" t="s">
        <v>81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customHeight="1" x14ac:dyDescent="0.25">
      <c r="A518" s="60" t="s">
        <v>838</v>
      </c>
      <c r="B518" s="60" t="s">
        <v>840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832</v>
      </c>
      <c r="AG518" s="75"/>
      <c r="AJ518" s="79" t="s">
        <v>46</v>
      </c>
      <c r="AK518" s="79">
        <v>0</v>
      </c>
      <c r="BB518" s="614" t="s">
        <v>67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customHeight="1" x14ac:dyDescent="0.25">
      <c r="A519" s="60" t="s">
        <v>841</v>
      </c>
      <c r="B519" s="60" t="s">
        <v>842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customHeight="1" x14ac:dyDescent="0.2">
      <c r="A522" s="655" t="s">
        <v>843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customHeight="1" x14ac:dyDescent="0.25">
      <c r="A523" s="648" t="s">
        <v>843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customHeight="1" x14ac:dyDescent="0.25">
      <c r="A524" s="649" t="s">
        <v>128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customHeight="1" x14ac:dyDescent="0.25">
      <c r="A525" s="60" t="s">
        <v>844</v>
      </c>
      <c r="B525" s="60" t="s">
        <v>845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133</v>
      </c>
      <c r="L525" s="35" t="s">
        <v>46</v>
      </c>
      <c r="M525" s="36" t="s">
        <v>132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846</v>
      </c>
      <c r="AG525" s="75"/>
      <c r="AJ525" s="79" t="s">
        <v>46</v>
      </c>
      <c r="AK525" s="79">
        <v>0</v>
      </c>
      <c r="BB525" s="618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customHeight="1" x14ac:dyDescent="0.25">
      <c r="A528" s="649" t="s">
        <v>164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customHeight="1" x14ac:dyDescent="0.25">
      <c r="A529" s="60" t="s">
        <v>847</v>
      </c>
      <c r="B529" s="60" t="s">
        <v>848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133</v>
      </c>
      <c r="L529" s="35" t="s">
        <v>46</v>
      </c>
      <c r="M529" s="36" t="s">
        <v>132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849</v>
      </c>
      <c r="AG529" s="75"/>
      <c r="AJ529" s="79" t="s">
        <v>46</v>
      </c>
      <c r="AK529" s="79">
        <v>0</v>
      </c>
      <c r="BB529" s="62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9" t="s">
        <v>77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customHeight="1" x14ac:dyDescent="0.25">
      <c r="A533" s="60" t="s">
        <v>850</v>
      </c>
      <c r="B533" s="60" t="s">
        <v>851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140</v>
      </c>
      <c r="L533" s="35" t="s">
        <v>46</v>
      </c>
      <c r="M533" s="36" t="s">
        <v>81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852</v>
      </c>
      <c r="AG533" s="75"/>
      <c r="AJ533" s="79" t="s">
        <v>46</v>
      </c>
      <c r="AK533" s="79">
        <v>0</v>
      </c>
      <c r="BB533" s="62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9" t="s">
        <v>86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customHeight="1" x14ac:dyDescent="0.25">
      <c r="A537" s="60" t="s">
        <v>853</v>
      </c>
      <c r="B537" s="60" t="s">
        <v>854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133</v>
      </c>
      <c r="L537" s="35" t="s">
        <v>46</v>
      </c>
      <c r="M537" s="36" t="s">
        <v>90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855</v>
      </c>
      <c r="AG537" s="75"/>
      <c r="AJ537" s="79" t="s">
        <v>46</v>
      </c>
      <c r="AK537" s="79">
        <v>0</v>
      </c>
      <c r="BB537" s="62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9" t="s">
        <v>181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customHeight="1" x14ac:dyDescent="0.25">
      <c r="A541" s="60" t="s">
        <v>856</v>
      </c>
      <c r="B541" s="60" t="s">
        <v>857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133</v>
      </c>
      <c r="L541" s="35" t="s">
        <v>46</v>
      </c>
      <c r="M541" s="36" t="s">
        <v>90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858</v>
      </c>
      <c r="AG541" s="75"/>
      <c r="AJ541" s="79" t="s">
        <v>46</v>
      </c>
      <c r="AK541" s="79">
        <v>0</v>
      </c>
      <c r="BB541" s="62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customHeight="1" x14ac:dyDescent="0.25">
      <c r="A542" s="60" t="s">
        <v>859</v>
      </c>
      <c r="B542" s="60" t="s">
        <v>860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customHeight="1" x14ac:dyDescent="0.25">
      <c r="A545" s="648" t="s">
        <v>862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customHeight="1" x14ac:dyDescent="0.25">
      <c r="A546" s="649" t="s">
        <v>164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customHeight="1" x14ac:dyDescent="0.25">
      <c r="A547" s="60" t="s">
        <v>863</v>
      </c>
      <c r="B547" s="60" t="s">
        <v>864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133</v>
      </c>
      <c r="L547" s="35" t="s">
        <v>46</v>
      </c>
      <c r="M547" s="36" t="s">
        <v>132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865</v>
      </c>
      <c r="AG547" s="75"/>
      <c r="AJ547" s="79" t="s">
        <v>46</v>
      </c>
      <c r="AK547" s="79">
        <v>0</v>
      </c>
      <c r="BB547" s="630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2000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2010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2062.6666666666665</v>
      </c>
      <c r="Y551" s="41">
        <f>IFERROR(SUM(BN22:BN547),"0")</f>
        <v>2072.98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3</v>
      </c>
      <c r="Y552" s="42">
        <f>ROUNDUP(SUM(BP22:BP547),0)</f>
        <v>3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2137.6666666666665</v>
      </c>
      <c r="Y553" s="41">
        <f>GrossWeightTotalR+PalletQtyTotalR*25</f>
        <v>2147.98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133.33333333333334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134</v>
      </c>
      <c r="Z554" s="40"/>
      <c r="AA554" s="64"/>
      <c r="AB554" s="64"/>
      <c r="AC554" s="64"/>
    </row>
    <row r="555" spans="1:68" ht="14.25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2.9144999999999994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76</v>
      </c>
      <c r="C557" s="80" t="s">
        <v>45</v>
      </c>
      <c r="D557" s="631" t="s">
        <v>126</v>
      </c>
      <c r="E557" s="631" t="s">
        <v>126</v>
      </c>
      <c r="F557" s="631" t="s">
        <v>126</v>
      </c>
      <c r="G557" s="631" t="s">
        <v>126</v>
      </c>
      <c r="H557" s="631" t="s">
        <v>126</v>
      </c>
      <c r="I557" s="631" t="s">
        <v>126</v>
      </c>
      <c r="J557" s="631" t="s">
        <v>126</v>
      </c>
      <c r="K557" s="631" t="s">
        <v>358</v>
      </c>
      <c r="L557" s="631" t="s">
        <v>358</v>
      </c>
      <c r="M557" s="631" t="s">
        <v>358</v>
      </c>
      <c r="N557" s="632"/>
      <c r="O557" s="631" t="s">
        <v>358</v>
      </c>
      <c r="P557" s="631" t="s">
        <v>358</v>
      </c>
      <c r="Q557" s="631" t="s">
        <v>358</v>
      </c>
      <c r="R557" s="631" t="s">
        <v>358</v>
      </c>
      <c r="S557" s="631" t="s">
        <v>358</v>
      </c>
      <c r="T557" s="631" t="s">
        <v>358</v>
      </c>
      <c r="U557" s="631" t="s">
        <v>358</v>
      </c>
      <c r="V557" s="631" t="s">
        <v>694</v>
      </c>
      <c r="W557" s="631" t="s">
        <v>694</v>
      </c>
      <c r="X557" s="631" t="s">
        <v>760</v>
      </c>
      <c r="Y557" s="631" t="s">
        <v>760</v>
      </c>
      <c r="Z557" s="80" t="s">
        <v>796</v>
      </c>
      <c r="AA557" s="631" t="s">
        <v>843</v>
      </c>
      <c r="AB557" s="631" t="s">
        <v>843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76</v>
      </c>
      <c r="C558" s="631" t="s">
        <v>110</v>
      </c>
      <c r="D558" s="631" t="s">
        <v>127</v>
      </c>
      <c r="E558" s="631" t="s">
        <v>143</v>
      </c>
      <c r="F558" s="631" t="s">
        <v>188</v>
      </c>
      <c r="G558" s="631" t="s">
        <v>209</v>
      </c>
      <c r="H558" s="631" t="s">
        <v>248</v>
      </c>
      <c r="I558" s="631" t="s">
        <v>276</v>
      </c>
      <c r="J558" s="631" t="s">
        <v>126</v>
      </c>
      <c r="K558" s="631" t="s">
        <v>359</v>
      </c>
      <c r="L558" s="631" t="s">
        <v>380</v>
      </c>
      <c r="M558" s="631" t="s">
        <v>447</v>
      </c>
      <c r="N558" s="1"/>
      <c r="O558" s="631" t="s">
        <v>515</v>
      </c>
      <c r="P558" s="631" t="s">
        <v>548</v>
      </c>
      <c r="Q558" s="631" t="s">
        <v>564</v>
      </c>
      <c r="R558" s="631" t="s">
        <v>573</v>
      </c>
      <c r="S558" s="631" t="s">
        <v>594</v>
      </c>
      <c r="T558" s="631" t="s">
        <v>603</v>
      </c>
      <c r="U558" s="631" t="s">
        <v>684</v>
      </c>
      <c r="V558" s="631" t="s">
        <v>695</v>
      </c>
      <c r="W558" s="631" t="s">
        <v>744</v>
      </c>
      <c r="X558" s="631" t="s">
        <v>761</v>
      </c>
      <c r="Y558" s="631" t="s">
        <v>784</v>
      </c>
      <c r="Z558" s="631" t="s">
        <v>796</v>
      </c>
      <c r="AA558" s="631" t="s">
        <v>843</v>
      </c>
      <c r="AB558" s="631" t="s">
        <v>862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2010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1" t="s">
        <v>867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869</v>
      </c>
      <c r="C6" s="51" t="s">
        <v>870</v>
      </c>
      <c r="D6" s="51" t="s">
        <v>871</v>
      </c>
      <c r="E6" s="51" t="s">
        <v>46</v>
      </c>
    </row>
    <row r="7" spans="2:8" x14ac:dyDescent="0.2">
      <c r="B7" s="51" t="s">
        <v>872</v>
      </c>
      <c r="C7" s="51" t="s">
        <v>873</v>
      </c>
      <c r="D7" s="51" t="s">
        <v>874</v>
      </c>
      <c r="E7" s="51" t="s">
        <v>46</v>
      </c>
    </row>
    <row r="8" spans="2:8" x14ac:dyDescent="0.2">
      <c r="B8" s="51" t="s">
        <v>875</v>
      </c>
      <c r="C8" s="51" t="s">
        <v>876</v>
      </c>
      <c r="D8" s="51" t="s">
        <v>877</v>
      </c>
      <c r="E8" s="51" t="s">
        <v>46</v>
      </c>
    </row>
    <row r="9" spans="2:8" x14ac:dyDescent="0.2">
      <c r="B9" s="51" t="s">
        <v>878</v>
      </c>
      <c r="C9" s="51" t="s">
        <v>879</v>
      </c>
      <c r="D9" s="51" t="s">
        <v>880</v>
      </c>
      <c r="E9" s="51" t="s">
        <v>46</v>
      </c>
    </row>
    <row r="10" spans="2:8" x14ac:dyDescent="0.2">
      <c r="B10" s="51" t="s">
        <v>881</v>
      </c>
      <c r="C10" s="51" t="s">
        <v>882</v>
      </c>
      <c r="D10" s="51" t="s">
        <v>883</v>
      </c>
      <c r="E10" s="51" t="s">
        <v>46</v>
      </c>
    </row>
    <row r="11" spans="2:8" x14ac:dyDescent="0.2">
      <c r="B11" s="51" t="s">
        <v>884</v>
      </c>
      <c r="C11" s="51" t="s">
        <v>885</v>
      </c>
      <c r="D11" s="51" t="s">
        <v>886</v>
      </c>
      <c r="E11" s="51" t="s">
        <v>46</v>
      </c>
    </row>
    <row r="12" spans="2:8" x14ac:dyDescent="0.2">
      <c r="B12" s="51" t="s">
        <v>887</v>
      </c>
      <c r="C12" s="51" t="s">
        <v>888</v>
      </c>
      <c r="D12" s="51" t="s">
        <v>889</v>
      </c>
      <c r="E12" s="51" t="s">
        <v>46</v>
      </c>
    </row>
    <row r="14" spans="2:8" x14ac:dyDescent="0.2">
      <c r="B14" s="51" t="s">
        <v>890</v>
      </c>
      <c r="C14" s="51" t="s">
        <v>870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873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876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879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882</v>
      </c>
      <c r="D22" s="51" t="s">
        <v>46</v>
      </c>
      <c r="E22" s="51" t="s">
        <v>46</v>
      </c>
    </row>
    <row r="24" spans="2:5" x14ac:dyDescent="0.2">
      <c r="B24" s="51" t="s">
        <v>895</v>
      </c>
      <c r="C24" s="51" t="s">
        <v>885</v>
      </c>
      <c r="D24" s="51" t="s">
        <v>46</v>
      </c>
      <c r="E24" s="51" t="s">
        <v>46</v>
      </c>
    </row>
    <row r="26" spans="2:5" x14ac:dyDescent="0.2">
      <c r="B26" s="51" t="s">
        <v>896</v>
      </c>
      <c r="C26" s="51" t="s">
        <v>888</v>
      </c>
      <c r="D26" s="51" t="s">
        <v>46</v>
      </c>
      <c r="E26" s="51" t="s">
        <v>46</v>
      </c>
    </row>
    <row r="28" spans="2:5" x14ac:dyDescent="0.2">
      <c r="B28" s="51" t="s">
        <v>897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898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899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900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901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902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903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904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905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906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907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2026-08-01T10:52:10Z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