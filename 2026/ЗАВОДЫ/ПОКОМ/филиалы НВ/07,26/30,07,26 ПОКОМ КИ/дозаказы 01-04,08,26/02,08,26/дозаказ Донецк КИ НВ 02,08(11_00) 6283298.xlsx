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30,07,26 ПОКОМ КИ\"/>
    </mc:Choice>
  </mc:AlternateContent>
  <xr:revisionPtr revIDLastSave="0" documentId="13_ncr:1_{E17E27F3-4A6D-4593-BC41-793A439358A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X553" i="2" l="1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<sst xmlns="http://schemas.openxmlformats.org/spreadsheetml/2006/main" count="4219" uniqueCount="908">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</sst>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8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2" t="s">
        <v>26</v>
      </c>
      <c r="E1" s="982"/>
      <c r="F1" s="982"/>
      <c r="G1" s="14" t="s">
        <v>67</v>
      </c>
      <c r="H1" s="982" t="s">
        <v>47</v>
      </c>
      <c r="I1" s="982"/>
      <c r="J1" s="982"/>
      <c r="K1" s="982"/>
      <c r="L1" s="982"/>
      <c r="M1" s="982"/>
      <c r="N1" s="982"/>
      <c r="O1" s="982"/>
      <c r="P1" s="982"/>
      <c r="Q1" s="982"/>
      <c r="R1" s="983" t="s">
        <v>68</v>
      </c>
      <c r="S1" s="984"/>
      <c r="T1" s="9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5"/>
      <c r="R2" s="985"/>
      <c r="S2" s="985"/>
      <c r="T2" s="985"/>
      <c r="U2" s="985"/>
      <c r="V2" s="985"/>
      <c r="W2" s="9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5"/>
      <c r="Q3" s="985"/>
      <c r="R3" s="985"/>
      <c r="S3" s="985"/>
      <c r="T3" s="985"/>
      <c r="U3" s="985"/>
      <c r="V3" s="985"/>
      <c r="W3" s="9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4" t="s">
        <v>8</v>
      </c>
      <c r="B5" s="964"/>
      <c r="C5" s="964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69"/>
      <c r="P5" s="26" t="s">
        <v>4</v>
      </c>
      <c r="Q5" s="988">
        <v>46230</v>
      </c>
      <c r="R5" s="988"/>
      <c r="T5" s="989" t="s">
        <v>3</v>
      </c>
      <c r="U5" s="990"/>
      <c r="V5" s="991" t="s">
        <v>868</v>
      </c>
      <c r="W5" s="992"/>
      <c r="AB5" s="57"/>
      <c r="AC5" s="57"/>
      <c r="AD5" s="57"/>
      <c r="AE5" s="57"/>
    </row>
    <row r="6" spans="1:32" s="17" customFormat="1" ht="24" customHeight="1" x14ac:dyDescent="0.2">
      <c r="A6" s="964" t="s">
        <v>1</v>
      </c>
      <c r="B6" s="964"/>
      <c r="C6" s="964"/>
      <c r="D6" s="965"/>
      <c r="E6" s="965"/>
      <c r="F6" s="965"/>
      <c r="G6" s="965"/>
      <c r="H6" s="965"/>
      <c r="I6" s="965"/>
      <c r="J6" s="965"/>
      <c r="K6" s="965"/>
      <c r="L6" s="965"/>
      <c r="M6" s="965"/>
      <c r="N6" s="70"/>
      <c r="P6" s="26" t="s">
        <v>27</v>
      </c>
      <c r="Q6" s="966" t="str">
        <f>IF(Q5=0," ",CHOOSE(WEEKDAY(Q5,2),"Понедельник","Вторник","Среда","Четверг","Пятница","Суббота","Воскресенье"))</f>
        <v>Понедельник</v>
      </c>
      <c r="R6" s="966"/>
      <c r="T6" s="967" t="s">
        <v>5</v>
      </c>
      <c r="U6" s="968"/>
      <c r="V6" s="969" t="s">
        <v>70</v>
      </c>
      <c r="W6" s="9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5">
        <f>IFERROR(VLOOKUP(DeliveryAddress,Table,3,0),1)</f>
        <v>1</v>
      </c>
      <c r="E7" s="976"/>
      <c r="F7" s="976"/>
      <c r="G7" s="976"/>
      <c r="H7" s="976"/>
      <c r="I7" s="976"/>
      <c r="J7" s="976"/>
      <c r="K7" s="976"/>
      <c r="L7" s="976"/>
      <c r="M7" s="977"/>
      <c r="N7" s="71"/>
      <c r="P7" s="26"/>
      <c r="Q7" s="46"/>
      <c r="R7" s="46"/>
      <c r="T7" s="967"/>
      <c r="U7" s="968"/>
      <c r="V7" s="971"/>
      <c r="W7" s="972"/>
      <c r="AB7" s="57"/>
      <c r="AC7" s="57"/>
      <c r="AD7" s="57"/>
      <c r="AE7" s="57"/>
    </row>
    <row r="8" spans="1:32" s="17" customFormat="1" ht="25.5" customHeight="1" x14ac:dyDescent="0.2">
      <c r="A8" s="978" t="s">
        <v>58</v>
      </c>
      <c r="B8" s="978"/>
      <c r="C8" s="978"/>
      <c r="D8" s="979"/>
      <c r="E8" s="979"/>
      <c r="F8" s="979"/>
      <c r="G8" s="979"/>
      <c r="H8" s="979"/>
      <c r="I8" s="979"/>
      <c r="J8" s="979"/>
      <c r="K8" s="979"/>
      <c r="L8" s="979"/>
      <c r="M8" s="979"/>
      <c r="N8" s="72"/>
      <c r="P8" s="26" t="s">
        <v>11</v>
      </c>
      <c r="Q8" s="962">
        <v>0.41666666666666669</v>
      </c>
      <c r="R8" s="962"/>
      <c r="T8" s="967"/>
      <c r="U8" s="968"/>
      <c r="V8" s="971"/>
      <c r="W8" s="972"/>
      <c r="AB8" s="57"/>
      <c r="AC8" s="57"/>
      <c r="AD8" s="57"/>
      <c r="AE8" s="57"/>
    </row>
    <row r="9" spans="1:32" s="17" customFormat="1" ht="39.950000000000003" customHeight="1" x14ac:dyDescent="0.2">
      <c r="A9" s="9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4"/>
      <c r="C9" s="954"/>
      <c r="D9" s="955" t="s">
        <v>46</v>
      </c>
      <c r="E9" s="956"/>
      <c r="F9" s="9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4"/>
      <c r="H9" s="980" t="str">
        <f>IF(AND($A$9="Тип доверенности/получателя при получении в адресе перегруза:",$D$9="Разовая доверенность"),"Введите ФИО","")</f>
        <v/>
      </c>
      <c r="I9" s="980"/>
      <c r="J9" s="9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0"/>
      <c r="L9" s="980"/>
      <c r="M9" s="980"/>
      <c r="N9" s="67"/>
      <c r="P9" s="29" t="s">
        <v>15</v>
      </c>
      <c r="Q9" s="981"/>
      <c r="R9" s="981"/>
      <c r="T9" s="967"/>
      <c r="U9" s="968"/>
      <c r="V9" s="973"/>
      <c r="W9" s="9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4"/>
      <c r="C10" s="954"/>
      <c r="D10" s="955"/>
      <c r="E10" s="956"/>
      <c r="F10" s="9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4"/>
      <c r="H10" s="957" t="str">
        <f>IFERROR(VLOOKUP($D$10,Proxy,2,FALSE),"")</f>
        <v/>
      </c>
      <c r="I10" s="957"/>
      <c r="J10" s="957"/>
      <c r="K10" s="957"/>
      <c r="L10" s="957"/>
      <c r="M10" s="957"/>
      <c r="N10" s="68"/>
      <c r="P10" s="29" t="s">
        <v>32</v>
      </c>
      <c r="Q10" s="958"/>
      <c r="R10" s="958"/>
      <c r="U10" s="26" t="s">
        <v>12</v>
      </c>
      <c r="V10" s="959" t="s">
        <v>71</v>
      </c>
      <c r="W10" s="96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1"/>
      <c r="R11" s="961"/>
      <c r="U11" s="26" t="s">
        <v>28</v>
      </c>
      <c r="V11" s="940" t="s">
        <v>55</v>
      </c>
      <c r="W11" s="94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39" t="s">
        <v>72</v>
      </c>
      <c r="B12" s="939"/>
      <c r="C12" s="939"/>
      <c r="D12" s="939"/>
      <c r="E12" s="939"/>
      <c r="F12" s="939"/>
      <c r="G12" s="939"/>
      <c r="H12" s="939"/>
      <c r="I12" s="939"/>
      <c r="J12" s="939"/>
      <c r="K12" s="939"/>
      <c r="L12" s="939"/>
      <c r="M12" s="939"/>
      <c r="N12" s="73"/>
      <c r="P12" s="26" t="s">
        <v>30</v>
      </c>
      <c r="Q12" s="962"/>
      <c r="R12" s="962"/>
      <c r="S12" s="27"/>
      <c r="T12"/>
      <c r="U12" s="26" t="s">
        <v>46</v>
      </c>
      <c r="V12" s="963"/>
      <c r="W12" s="963"/>
      <c r="X12"/>
      <c r="AB12" s="57"/>
      <c r="AC12" s="57"/>
      <c r="AD12" s="57"/>
      <c r="AE12" s="57"/>
    </row>
    <row r="13" spans="1:32" s="17" customFormat="1" ht="23.25" customHeight="1" x14ac:dyDescent="0.2">
      <c r="A13" s="939" t="s">
        <v>73</v>
      </c>
      <c r="B13" s="939"/>
      <c r="C13" s="939"/>
      <c r="D13" s="939"/>
      <c r="E13" s="939"/>
      <c r="F13" s="939"/>
      <c r="G13" s="939"/>
      <c r="H13" s="939"/>
      <c r="I13" s="939"/>
      <c r="J13" s="939"/>
      <c r="K13" s="939"/>
      <c r="L13" s="939"/>
      <c r="M13" s="939"/>
      <c r="N13" s="73"/>
      <c r="O13" s="29"/>
      <c r="P13" s="29" t="s">
        <v>31</v>
      </c>
      <c r="Q13" s="940"/>
      <c r="R13" s="94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39" t="s">
        <v>74</v>
      </c>
      <c r="B14" s="939"/>
      <c r="C14" s="939"/>
      <c r="D14" s="939"/>
      <c r="E14" s="939"/>
      <c r="F14" s="939"/>
      <c r="G14" s="939"/>
      <c r="H14" s="939"/>
      <c r="I14" s="939"/>
      <c r="J14" s="939"/>
      <c r="K14" s="939"/>
      <c r="L14" s="939"/>
      <c r="M14" s="93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1" t="s">
        <v>75</v>
      </c>
      <c r="B15" s="941"/>
      <c r="C15" s="941"/>
      <c r="D15" s="941"/>
      <c r="E15" s="941"/>
      <c r="F15" s="941"/>
      <c r="G15" s="941"/>
      <c r="H15" s="941"/>
      <c r="I15" s="941"/>
      <c r="J15" s="941"/>
      <c r="K15" s="941"/>
      <c r="L15" s="941"/>
      <c r="M15" s="941"/>
      <c r="N15" s="74"/>
      <c r="O15"/>
      <c r="P15" s="942" t="s">
        <v>61</v>
      </c>
      <c r="Q15" s="942"/>
      <c r="R15" s="942"/>
      <c r="S15" s="942"/>
      <c r="T15" s="94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3"/>
      <c r="Q16" s="943"/>
      <c r="R16" s="943"/>
      <c r="S16" s="943"/>
      <c r="T16" s="9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5" t="s">
        <v>59</v>
      </c>
      <c r="B17" s="925" t="s">
        <v>49</v>
      </c>
      <c r="C17" s="946" t="s">
        <v>48</v>
      </c>
      <c r="D17" s="948" t="s">
        <v>50</v>
      </c>
      <c r="E17" s="949"/>
      <c r="F17" s="925" t="s">
        <v>21</v>
      </c>
      <c r="G17" s="925" t="s">
        <v>24</v>
      </c>
      <c r="H17" s="925" t="s">
        <v>22</v>
      </c>
      <c r="I17" s="925" t="s">
        <v>23</v>
      </c>
      <c r="J17" s="925" t="s">
        <v>16</v>
      </c>
      <c r="K17" s="925" t="s">
        <v>66</v>
      </c>
      <c r="L17" s="925" t="s">
        <v>64</v>
      </c>
      <c r="M17" s="925" t="s">
        <v>2</v>
      </c>
      <c r="N17" s="925" t="s">
        <v>63</v>
      </c>
      <c r="O17" s="925" t="s">
        <v>25</v>
      </c>
      <c r="P17" s="948" t="s">
        <v>17</v>
      </c>
      <c r="Q17" s="952"/>
      <c r="R17" s="952"/>
      <c r="S17" s="952"/>
      <c r="T17" s="949"/>
      <c r="U17" s="944" t="s">
        <v>56</v>
      </c>
      <c r="V17" s="945"/>
      <c r="W17" s="925" t="s">
        <v>6</v>
      </c>
      <c r="X17" s="925" t="s">
        <v>41</v>
      </c>
      <c r="Y17" s="927" t="s">
        <v>54</v>
      </c>
      <c r="Z17" s="929" t="s">
        <v>18</v>
      </c>
      <c r="AA17" s="931" t="s">
        <v>60</v>
      </c>
      <c r="AB17" s="931" t="s">
        <v>19</v>
      </c>
      <c r="AC17" s="931" t="s">
        <v>65</v>
      </c>
      <c r="AD17" s="933" t="s">
        <v>57</v>
      </c>
      <c r="AE17" s="934"/>
      <c r="AF17" s="935"/>
      <c r="AG17" s="77"/>
      <c r="BD17" s="76" t="s">
        <v>62</v>
      </c>
    </row>
    <row r="18" spans="1:68" ht="14.25" customHeight="1" x14ac:dyDescent="0.2">
      <c r="A18" s="926"/>
      <c r="B18" s="926"/>
      <c r="C18" s="947"/>
      <c r="D18" s="950"/>
      <c r="E18" s="951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50"/>
      <c r="Q18" s="953"/>
      <c r="R18" s="953"/>
      <c r="S18" s="953"/>
      <c r="T18" s="951"/>
      <c r="U18" s="78" t="s">
        <v>44</v>
      </c>
      <c r="V18" s="78" t="s">
        <v>43</v>
      </c>
      <c r="W18" s="926"/>
      <c r="X18" s="926"/>
      <c r="Y18" s="928"/>
      <c r="Z18" s="930"/>
      <c r="AA18" s="932"/>
      <c r="AB18" s="932"/>
      <c r="AC18" s="932"/>
      <c r="AD18" s="936"/>
      <c r="AE18" s="937"/>
      <c r="AF18" s="938"/>
      <c r="AG18" s="77"/>
      <c r="BD18" s="76"/>
    </row>
    <row r="19" spans="1:68" ht="27.75" customHeight="1" x14ac:dyDescent="0.2">
      <c r="A19" s="655" t="s">
        <v>76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52"/>
      <c r="AB19" s="52"/>
      <c r="AC19" s="52"/>
    </row>
    <row r="20" spans="1:68" ht="16.5" customHeight="1" x14ac:dyDescent="0.25">
      <c r="A20" s="648" t="s">
        <v>76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2"/>
      <c r="AB20" s="62"/>
      <c r="AC20" s="62"/>
    </row>
    <row r="21" spans="1:68" ht="14.25" customHeight="1" x14ac:dyDescent="0.25">
      <c r="A21" s="649" t="s">
        <v>77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44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4301031508</v>
      </c>
      <c r="D23" s="644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49" t="s">
        <v>86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44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44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44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44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101</v>
      </c>
      <c r="B31" s="60" t="s">
        <v>102</v>
      </c>
      <c r="C31" s="34">
        <v>4301052071</v>
      </c>
      <c r="D31" s="644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customHeight="1" x14ac:dyDescent="0.25">
      <c r="A34" s="649" t="s">
        <v>104</v>
      </c>
      <c r="B34" s="649"/>
      <c r="C34" s="649"/>
      <c r="D34" s="649"/>
      <c r="E34" s="649"/>
      <c r="F34" s="649"/>
      <c r="G34" s="649"/>
      <c r="H34" s="649"/>
      <c r="I34" s="649"/>
      <c r="J34" s="649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  <c r="AA34" s="63"/>
      <c r="AB34" s="63"/>
      <c r="AC34" s="63"/>
    </row>
    <row r="35" spans="1:68" ht="27" customHeight="1" x14ac:dyDescent="0.25">
      <c r="A35" s="60" t="s">
        <v>105</v>
      </c>
      <c r="B35" s="60" t="s">
        <v>106</v>
      </c>
      <c r="C35" s="34">
        <v>4301032013</v>
      </c>
      <c r="D35" s="644">
        <v>4607091388503</v>
      </c>
      <c r="E35" s="64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91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6"/>
      <c r="R35" s="646"/>
      <c r="S35" s="646"/>
      <c r="T35" s="64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customHeight="1" x14ac:dyDescent="0.2">
      <c r="A38" s="655" t="s">
        <v>45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52"/>
      <c r="AB38" s="52"/>
      <c r="AC38" s="52"/>
    </row>
    <row r="39" spans="1:68" ht="16.5" customHeight="1" x14ac:dyDescent="0.25">
      <c r="A39" s="648" t="s">
        <v>110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2"/>
      <c r="AB39" s="62"/>
      <c r="AC39" s="62"/>
    </row>
    <row r="40" spans="1:68" ht="14.25" customHeight="1" x14ac:dyDescent="0.25">
      <c r="A40" s="649" t="s">
        <v>86</v>
      </c>
      <c r="B40" s="649"/>
      <c r="C40" s="649"/>
      <c r="D40" s="649"/>
      <c r="E40" s="649"/>
      <c r="F40" s="649"/>
      <c r="G40" s="649"/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  <c r="AA40" s="63"/>
      <c r="AB40" s="63"/>
      <c r="AC40" s="63"/>
    </row>
    <row r="41" spans="1:68" ht="27" customHeight="1" x14ac:dyDescent="0.25">
      <c r="A41" s="60" t="s">
        <v>111</v>
      </c>
      <c r="B41" s="60" t="s">
        <v>112</v>
      </c>
      <c r="C41" s="34">
        <v>4301052187</v>
      </c>
      <c r="D41" s="644">
        <v>4680115889354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91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6"/>
      <c r="R41" s="646"/>
      <c r="S41" s="646"/>
      <c r="T41" s="64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114</v>
      </c>
      <c r="B42" s="60" t="s">
        <v>115</v>
      </c>
      <c r="C42" s="34">
        <v>4301052198</v>
      </c>
      <c r="D42" s="644">
        <v>4680115888463</v>
      </c>
      <c r="E42" s="64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6"/>
      <c r="R42" s="646"/>
      <c r="S42" s="646"/>
      <c r="T42" s="64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117</v>
      </c>
      <c r="B43" s="60" t="s">
        <v>118</v>
      </c>
      <c r="C43" s="34">
        <v>4301052202</v>
      </c>
      <c r="D43" s="644">
        <v>4680115888494</v>
      </c>
      <c r="E43" s="64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91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6"/>
      <c r="R43" s="646"/>
      <c r="S43" s="646"/>
      <c r="T43" s="64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44">
        <v>4680115888272</v>
      </c>
      <c r="E44" s="64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91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6"/>
      <c r="R44" s="646"/>
      <c r="S44" s="646"/>
      <c r="T44" s="64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44">
        <v>4680115888364</v>
      </c>
      <c r="E45" s="64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91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6"/>
      <c r="R45" s="646"/>
      <c r="S45" s="646"/>
      <c r="T45" s="64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customHeight="1" x14ac:dyDescent="0.2">
      <c r="A48" s="655" t="s">
        <v>126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52"/>
      <c r="AB48" s="52"/>
      <c r="AC48" s="52"/>
    </row>
    <row r="49" spans="1:68" ht="16.5" customHeight="1" x14ac:dyDescent="0.25">
      <c r="A49" s="648" t="s">
        <v>127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2"/>
      <c r="AB49" s="62"/>
      <c r="AC49" s="62"/>
    </row>
    <row r="50" spans="1:68" ht="14.25" customHeight="1" x14ac:dyDescent="0.25">
      <c r="A50" s="649" t="s">
        <v>128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  <c r="Z50" s="649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44">
        <v>4607091385670</v>
      </c>
      <c r="E51" s="64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9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6"/>
      <c r="R51" s="646"/>
      <c r="S51" s="646"/>
      <c r="T51" s="64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134</v>
      </c>
      <c r="B52" s="60" t="s">
        <v>135</v>
      </c>
      <c r="C52" s="34">
        <v>4301012053</v>
      </c>
      <c r="D52" s="644">
        <v>4680115887725</v>
      </c>
      <c r="E52" s="64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9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6"/>
      <c r="R52" s="646"/>
      <c r="S52" s="646"/>
      <c r="T52" s="64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44">
        <v>4607091385687</v>
      </c>
      <c r="E53" s="64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6"/>
      <c r="R53" s="646"/>
      <c r="S53" s="646"/>
      <c r="T53" s="64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141</v>
      </c>
      <c r="B54" s="60" t="s">
        <v>142</v>
      </c>
      <c r="C54" s="34">
        <v>4301011565</v>
      </c>
      <c r="D54" s="644">
        <v>4680115882539</v>
      </c>
      <c r="E54" s="64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9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6"/>
      <c r="R54" s="646"/>
      <c r="S54" s="646"/>
      <c r="T54" s="64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48" t="s">
        <v>143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2"/>
      <c r="AB57" s="62"/>
      <c r="AC57" s="62"/>
    </row>
    <row r="58" spans="1:68" ht="14.25" customHeight="1" x14ac:dyDescent="0.25">
      <c r="A58" s="649" t="s">
        <v>128</v>
      </c>
      <c r="B58" s="649"/>
      <c r="C58" s="649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9"/>
      <c r="O58" s="649"/>
      <c r="P58" s="649"/>
      <c r="Q58" s="649"/>
      <c r="R58" s="649"/>
      <c r="S58" s="649"/>
      <c r="T58" s="649"/>
      <c r="U58" s="649"/>
      <c r="V58" s="649"/>
      <c r="W58" s="649"/>
      <c r="X58" s="649"/>
      <c r="Y58" s="649"/>
      <c r="Z58" s="649"/>
      <c r="AA58" s="63"/>
      <c r="AB58" s="63"/>
      <c r="AC58" s="63"/>
    </row>
    <row r="59" spans="1:68" ht="27" customHeight="1" x14ac:dyDescent="0.25">
      <c r="A59" s="60" t="s">
        <v>144</v>
      </c>
      <c r="B59" s="60" t="s">
        <v>145</v>
      </c>
      <c r="C59" s="34">
        <v>4301012030</v>
      </c>
      <c r="D59" s="644">
        <v>4680115885882</v>
      </c>
      <c r="E59" s="64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90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6"/>
      <c r="R59" s="646"/>
      <c r="S59" s="646"/>
      <c r="T59" s="64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customHeight="1" x14ac:dyDescent="0.25">
      <c r="A60" s="60" t="s">
        <v>144</v>
      </c>
      <c r="B60" s="60" t="s">
        <v>147</v>
      </c>
      <c r="C60" s="34">
        <v>4301012161</v>
      </c>
      <c r="D60" s="644">
        <v>4680115885882</v>
      </c>
      <c r="E60" s="64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6"/>
      <c r="R60" s="646"/>
      <c r="S60" s="646"/>
      <c r="T60" s="64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44">
        <v>4680115881426</v>
      </c>
      <c r="E61" s="64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9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6"/>
      <c r="R61" s="646"/>
      <c r="S61" s="646"/>
      <c r="T61" s="64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customHeight="1" x14ac:dyDescent="0.25">
      <c r="A62" s="60" t="s">
        <v>152</v>
      </c>
      <c r="B62" s="60" t="s">
        <v>153</v>
      </c>
      <c r="C62" s="34">
        <v>4301011386</v>
      </c>
      <c r="D62" s="644">
        <v>4680115880283</v>
      </c>
      <c r="E62" s="64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6"/>
      <c r="R62" s="646"/>
      <c r="S62" s="646"/>
      <c r="T62" s="64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customHeight="1" x14ac:dyDescent="0.25">
      <c r="A63" s="60" t="s">
        <v>152</v>
      </c>
      <c r="B63" s="60" t="s">
        <v>155</v>
      </c>
      <c r="C63" s="34">
        <v>4301012259</v>
      </c>
      <c r="D63" s="644">
        <v>4680115880283</v>
      </c>
      <c r="E63" s="64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90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6"/>
      <c r="R63" s="646"/>
      <c r="S63" s="646"/>
      <c r="T63" s="64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customHeight="1" x14ac:dyDescent="0.25">
      <c r="A64" s="60" t="s">
        <v>156</v>
      </c>
      <c r="B64" s="60" t="s">
        <v>157</v>
      </c>
      <c r="C64" s="34">
        <v>4301011806</v>
      </c>
      <c r="D64" s="644">
        <v>4680115881525</v>
      </c>
      <c r="E64" s="64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9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6"/>
      <c r="R64" s="646"/>
      <c r="S64" s="646"/>
      <c r="T64" s="64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customHeight="1" x14ac:dyDescent="0.25">
      <c r="A65" s="60" t="s">
        <v>159</v>
      </c>
      <c r="B65" s="60" t="s">
        <v>160</v>
      </c>
      <c r="C65" s="34">
        <v>4301012165</v>
      </c>
      <c r="D65" s="644">
        <v>4680115885899</v>
      </c>
      <c r="E65" s="64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90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6"/>
      <c r="R65" s="646"/>
      <c r="S65" s="646"/>
      <c r="T65" s="64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44">
        <v>4680115881419</v>
      </c>
      <c r="E66" s="64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8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6"/>
      <c r="R66" s="646"/>
      <c r="S66" s="646"/>
      <c r="T66" s="64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customHeight="1" x14ac:dyDescent="0.25">
      <c r="A69" s="649" t="s">
        <v>164</v>
      </c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  <c r="Z69" s="649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644">
        <v>4680115881440</v>
      </c>
      <c r="E70" s="64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89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6"/>
      <c r="R70" s="646"/>
      <c r="S70" s="646"/>
      <c r="T70" s="64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168</v>
      </c>
      <c r="B71" s="60" t="s">
        <v>169</v>
      </c>
      <c r="C71" s="34">
        <v>4301020358</v>
      </c>
      <c r="D71" s="644">
        <v>4680115885950</v>
      </c>
      <c r="E71" s="64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9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6"/>
      <c r="R71" s="646"/>
      <c r="S71" s="646"/>
      <c r="T71" s="64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customHeight="1" x14ac:dyDescent="0.25">
      <c r="A72" s="60" t="s">
        <v>170</v>
      </c>
      <c r="B72" s="60" t="s">
        <v>171</v>
      </c>
      <c r="C72" s="34">
        <v>4301020371</v>
      </c>
      <c r="D72" s="644">
        <v>4680115887688</v>
      </c>
      <c r="E72" s="64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8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6"/>
      <c r="R72" s="646"/>
      <c r="S72" s="646"/>
      <c r="T72" s="64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644">
        <v>4680115881433</v>
      </c>
      <c r="E73" s="64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8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6"/>
      <c r="R73" s="646"/>
      <c r="S73" s="646"/>
      <c r="T73" s="64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customHeight="1" x14ac:dyDescent="0.25">
      <c r="A76" s="649" t="s">
        <v>86</v>
      </c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49"/>
      <c r="P76" s="649"/>
      <c r="Q76" s="649"/>
      <c r="R76" s="649"/>
      <c r="S76" s="649"/>
      <c r="T76" s="649"/>
      <c r="U76" s="649"/>
      <c r="V76" s="649"/>
      <c r="W76" s="649"/>
      <c r="X76" s="649"/>
      <c r="Y76" s="649"/>
      <c r="Z76" s="649"/>
      <c r="AA76" s="63"/>
      <c r="AB76" s="63"/>
      <c r="AC76" s="63"/>
    </row>
    <row r="77" spans="1:68" ht="16.5" customHeight="1" x14ac:dyDescent="0.25">
      <c r="A77" s="60" t="s">
        <v>175</v>
      </c>
      <c r="B77" s="60" t="s">
        <v>176</v>
      </c>
      <c r="C77" s="34">
        <v>4301051837</v>
      </c>
      <c r="D77" s="644">
        <v>4680115884311</v>
      </c>
      <c r="E77" s="64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6"/>
      <c r="R77" s="646"/>
      <c r="S77" s="646"/>
      <c r="T77" s="64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178</v>
      </c>
      <c r="B78" s="60" t="s">
        <v>179</v>
      </c>
      <c r="C78" s="34">
        <v>4301051929</v>
      </c>
      <c r="D78" s="644">
        <v>4680115884403</v>
      </c>
      <c r="E78" s="64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6"/>
      <c r="R78" s="646"/>
      <c r="S78" s="646"/>
      <c r="T78" s="64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customHeight="1" x14ac:dyDescent="0.25">
      <c r="A81" s="649" t="s">
        <v>181</v>
      </c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  <c r="Z81" s="649"/>
      <c r="AA81" s="63"/>
      <c r="AB81" s="63"/>
      <c r="AC81" s="63"/>
    </row>
    <row r="82" spans="1:68" ht="27" customHeight="1" x14ac:dyDescent="0.25">
      <c r="A82" s="60" t="s">
        <v>182</v>
      </c>
      <c r="B82" s="60" t="s">
        <v>183</v>
      </c>
      <c r="C82" s="34">
        <v>4301060455</v>
      </c>
      <c r="D82" s="644">
        <v>4680115881532</v>
      </c>
      <c r="E82" s="64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8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6"/>
      <c r="R82" s="646"/>
      <c r="S82" s="646"/>
      <c r="T82" s="64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customHeight="1" x14ac:dyDescent="0.25">
      <c r="A83" s="60" t="s">
        <v>185</v>
      </c>
      <c r="B83" s="60" t="s">
        <v>186</v>
      </c>
      <c r="C83" s="34">
        <v>4301060351</v>
      </c>
      <c r="D83" s="644">
        <v>4680115881464</v>
      </c>
      <c r="E83" s="64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89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6"/>
      <c r="R83" s="646"/>
      <c r="S83" s="646"/>
      <c r="T83" s="64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customHeight="1" x14ac:dyDescent="0.25">
      <c r="A86" s="648" t="s">
        <v>188</v>
      </c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8"/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2"/>
      <c r="AB86" s="62"/>
      <c r="AC86" s="62"/>
    </row>
    <row r="87" spans="1:68" ht="14.25" customHeight="1" x14ac:dyDescent="0.25">
      <c r="A87" s="649" t="s">
        <v>128</v>
      </c>
      <c r="B87" s="649"/>
      <c r="C87" s="649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  <c r="Z87" s="649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644">
        <v>4680115881327</v>
      </c>
      <c r="E88" s="64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8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6"/>
      <c r="R88" s="646"/>
      <c r="S88" s="646"/>
      <c r="T88" s="64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192</v>
      </c>
      <c r="B89" s="60" t="s">
        <v>193</v>
      </c>
      <c r="C89" s="34">
        <v>4301011261</v>
      </c>
      <c r="D89" s="644">
        <v>4680115887732</v>
      </c>
      <c r="E89" s="64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8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6"/>
      <c r="R89" s="646"/>
      <c r="S89" s="646"/>
      <c r="T89" s="64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195</v>
      </c>
      <c r="B90" s="60" t="s">
        <v>196</v>
      </c>
      <c r="C90" s="34">
        <v>4301011476</v>
      </c>
      <c r="D90" s="644">
        <v>4680115881518</v>
      </c>
      <c r="E90" s="64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8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6"/>
      <c r="R90" s="646"/>
      <c r="S90" s="646"/>
      <c r="T90" s="64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44">
        <v>4680115881303</v>
      </c>
      <c r="E91" s="64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8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6"/>
      <c r="R91" s="646"/>
      <c r="S91" s="646"/>
      <c r="T91" s="64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customHeight="1" x14ac:dyDescent="0.25">
      <c r="A94" s="649" t="s">
        <v>86</v>
      </c>
      <c r="B94" s="649"/>
      <c r="C94" s="649"/>
      <c r="D94" s="649"/>
      <c r="E94" s="649"/>
      <c r="F94" s="649"/>
      <c r="G94" s="649"/>
      <c r="H94" s="649"/>
      <c r="I94" s="649"/>
      <c r="J94" s="649"/>
      <c r="K94" s="649"/>
      <c r="L94" s="649"/>
      <c r="M94" s="649"/>
      <c r="N94" s="649"/>
      <c r="O94" s="649"/>
      <c r="P94" s="649"/>
      <c r="Q94" s="649"/>
      <c r="R94" s="649"/>
      <c r="S94" s="649"/>
      <c r="T94" s="649"/>
      <c r="U94" s="649"/>
      <c r="V94" s="649"/>
      <c r="W94" s="649"/>
      <c r="X94" s="649"/>
      <c r="Y94" s="649"/>
      <c r="Z94" s="649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44">
        <v>4607091386967</v>
      </c>
      <c r="E95" s="64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8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6"/>
      <c r="R95" s="646"/>
      <c r="S95" s="646"/>
      <c r="T95" s="64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202</v>
      </c>
      <c r="B96" s="60" t="s">
        <v>203</v>
      </c>
      <c r="C96" s="34">
        <v>4301051788</v>
      </c>
      <c r="D96" s="644">
        <v>4680115884953</v>
      </c>
      <c r="E96" s="64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6"/>
      <c r="R96" s="646"/>
      <c r="S96" s="646"/>
      <c r="T96" s="64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44">
        <v>4607091385731</v>
      </c>
      <c r="E97" s="64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6"/>
      <c r="R97" s="646"/>
      <c r="S97" s="646"/>
      <c r="T97" s="64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customHeight="1" x14ac:dyDescent="0.25">
      <c r="A98" s="60" t="s">
        <v>206</v>
      </c>
      <c r="B98" s="60" t="s">
        <v>207</v>
      </c>
      <c r="C98" s="34">
        <v>4301052092</v>
      </c>
      <c r="D98" s="644">
        <v>4680115880894</v>
      </c>
      <c r="E98" s="64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6"/>
      <c r="R98" s="646"/>
      <c r="S98" s="646"/>
      <c r="T98" s="64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customHeight="1" x14ac:dyDescent="0.25">
      <c r="A101" s="648" t="s">
        <v>209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2"/>
      <c r="AB101" s="62"/>
      <c r="AC101" s="62"/>
    </row>
    <row r="102" spans="1:68" ht="14.25" customHeight="1" x14ac:dyDescent="0.25">
      <c r="A102" s="649" t="s">
        <v>128</v>
      </c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644">
        <v>4680115882133</v>
      </c>
      <c r="E103" s="64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8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6"/>
      <c r="R103" s="646"/>
      <c r="S103" s="646"/>
      <c r="T103" s="64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customHeight="1" x14ac:dyDescent="0.25">
      <c r="A104" s="60" t="s">
        <v>213</v>
      </c>
      <c r="B104" s="60" t="s">
        <v>214</v>
      </c>
      <c r="C104" s="34">
        <v>4301012051</v>
      </c>
      <c r="D104" s="644">
        <v>4680115887718</v>
      </c>
      <c r="E104" s="64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6"/>
      <c r="R104" s="646"/>
      <c r="S104" s="646"/>
      <c r="T104" s="64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customHeight="1" x14ac:dyDescent="0.25">
      <c r="A105" s="60" t="s">
        <v>213</v>
      </c>
      <c r="B105" s="60" t="s">
        <v>216</v>
      </c>
      <c r="C105" s="34">
        <v>4301012334</v>
      </c>
      <c r="D105" s="644">
        <v>4680115887718</v>
      </c>
      <c r="E105" s="64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8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6"/>
      <c r="R105" s="646"/>
      <c r="S105" s="646"/>
      <c r="T105" s="64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customHeight="1" x14ac:dyDescent="0.25">
      <c r="A106" s="60" t="s">
        <v>217</v>
      </c>
      <c r="B106" s="60" t="s">
        <v>218</v>
      </c>
      <c r="C106" s="34">
        <v>4301011417</v>
      </c>
      <c r="D106" s="644">
        <v>4680115880269</v>
      </c>
      <c r="E106" s="64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6"/>
      <c r="R106" s="646"/>
      <c r="S106" s="646"/>
      <c r="T106" s="64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44">
        <v>4680115880429</v>
      </c>
      <c r="E107" s="64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6"/>
      <c r="R107" s="646"/>
      <c r="S107" s="646"/>
      <c r="T107" s="64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customHeight="1" x14ac:dyDescent="0.25">
      <c r="A108" s="60" t="s">
        <v>221</v>
      </c>
      <c r="B108" s="60" t="s">
        <v>222</v>
      </c>
      <c r="C108" s="34">
        <v>4301011462</v>
      </c>
      <c r="D108" s="644">
        <v>4680115881457</v>
      </c>
      <c r="E108" s="64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6"/>
      <c r="R108" s="646"/>
      <c r="S108" s="646"/>
      <c r="T108" s="64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customHeight="1" x14ac:dyDescent="0.25">
      <c r="A111" s="649" t="s">
        <v>164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"/>
      <c r="AB111" s="63"/>
      <c r="AC111" s="63"/>
    </row>
    <row r="112" spans="1:68" ht="27" customHeight="1" x14ac:dyDescent="0.25">
      <c r="A112" s="60" t="s">
        <v>223</v>
      </c>
      <c r="B112" s="60" t="s">
        <v>224</v>
      </c>
      <c r="C112" s="34">
        <v>4301020391</v>
      </c>
      <c r="D112" s="644">
        <v>4680115881488</v>
      </c>
      <c r="E112" s="64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customHeight="1" x14ac:dyDescent="0.25">
      <c r="A113" s="60" t="s">
        <v>226</v>
      </c>
      <c r="B113" s="60" t="s">
        <v>227</v>
      </c>
      <c r="C113" s="34">
        <v>4301020186</v>
      </c>
      <c r="D113" s="644">
        <v>4680115887664</v>
      </c>
      <c r="E113" s="64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customHeight="1" x14ac:dyDescent="0.25">
      <c r="A114" s="60" t="s">
        <v>226</v>
      </c>
      <c r="B114" s="60" t="s">
        <v>230</v>
      </c>
      <c r="C114" s="34">
        <v>4301020430</v>
      </c>
      <c r="D114" s="644">
        <v>4680115887664</v>
      </c>
      <c r="E114" s="64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8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231</v>
      </c>
      <c r="B115" s="60" t="s">
        <v>232</v>
      </c>
      <c r="C115" s="34">
        <v>4301020393</v>
      </c>
      <c r="D115" s="644">
        <v>4680115882775</v>
      </c>
      <c r="E115" s="64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8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233</v>
      </c>
      <c r="B116" s="60" t="s">
        <v>234</v>
      </c>
      <c r="C116" s="34">
        <v>4301020392</v>
      </c>
      <c r="D116" s="644">
        <v>4680115880658</v>
      </c>
      <c r="E116" s="64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8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customHeight="1" x14ac:dyDescent="0.25">
      <c r="A119" s="649" t="s">
        <v>86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644">
        <v>4607091385168</v>
      </c>
      <c r="E120" s="64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8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6"/>
      <c r="R120" s="646"/>
      <c r="S120" s="646"/>
      <c r="T120" s="64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customHeight="1" x14ac:dyDescent="0.25">
      <c r="A121" s="60" t="s">
        <v>238</v>
      </c>
      <c r="B121" s="60" t="s">
        <v>239</v>
      </c>
      <c r="C121" s="34">
        <v>4301051730</v>
      </c>
      <c r="D121" s="644">
        <v>4607091383256</v>
      </c>
      <c r="E121" s="64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8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6"/>
      <c r="R121" s="646"/>
      <c r="S121" s="646"/>
      <c r="T121" s="64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44">
        <v>4607091385748</v>
      </c>
      <c r="E122" s="64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6"/>
      <c r="R122" s="646"/>
      <c r="S122" s="646"/>
      <c r="T122" s="64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644">
        <v>4680115884533</v>
      </c>
      <c r="E123" s="64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6"/>
      <c r="R123" s="646"/>
      <c r="S123" s="646"/>
      <c r="T123" s="64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customHeight="1" x14ac:dyDescent="0.25">
      <c r="A126" s="649" t="s">
        <v>181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644">
        <v>4680115880238</v>
      </c>
      <c r="E127" s="64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6"/>
      <c r="R127" s="646"/>
      <c r="S127" s="646"/>
      <c r="T127" s="64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customHeight="1" x14ac:dyDescent="0.25">
      <c r="A130" s="648" t="s">
        <v>248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2"/>
      <c r="AB130" s="62"/>
      <c r="AC130" s="62"/>
    </row>
    <row r="131" spans="1:68" ht="14.25" customHeight="1" x14ac:dyDescent="0.25">
      <c r="A131" s="649" t="s">
        <v>128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"/>
      <c r="AB131" s="63"/>
      <c r="AC131" s="63"/>
    </row>
    <row r="132" spans="1:68" ht="27" customHeight="1" x14ac:dyDescent="0.25">
      <c r="A132" s="60" t="s">
        <v>249</v>
      </c>
      <c r="B132" s="60" t="s">
        <v>250</v>
      </c>
      <c r="C132" s="34">
        <v>4301012347</v>
      </c>
      <c r="D132" s="644">
        <v>4680115888784</v>
      </c>
      <c r="E132" s="64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86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6"/>
      <c r="R132" s="646"/>
      <c r="S132" s="646"/>
      <c r="T132" s="64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254</v>
      </c>
      <c r="B133" s="60" t="s">
        <v>255</v>
      </c>
      <c r="C133" s="34">
        <v>4301012350</v>
      </c>
      <c r="D133" s="644">
        <v>4680115888845</v>
      </c>
      <c r="E133" s="64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86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6"/>
      <c r="R133" s="646"/>
      <c r="S133" s="646"/>
      <c r="T133" s="64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256</v>
      </c>
      <c r="B134" s="60" t="s">
        <v>257</v>
      </c>
      <c r="C134" s="34">
        <v>4301011562</v>
      </c>
      <c r="D134" s="644">
        <v>4680115882577</v>
      </c>
      <c r="E134" s="64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8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6"/>
      <c r="R134" s="646"/>
      <c r="S134" s="646"/>
      <c r="T134" s="64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256</v>
      </c>
      <c r="B135" s="60" t="s">
        <v>259</v>
      </c>
      <c r="C135" s="34">
        <v>4301011564</v>
      </c>
      <c r="D135" s="644">
        <v>4680115882577</v>
      </c>
      <c r="E135" s="64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6"/>
      <c r="R135" s="646"/>
      <c r="S135" s="646"/>
      <c r="T135" s="64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x14ac:dyDescent="0.2">
      <c r="A136" s="638"/>
      <c r="B136" s="638"/>
      <c r="C136" s="638"/>
      <c r="D136" s="638"/>
      <c r="E136" s="638"/>
      <c r="F136" s="638"/>
      <c r="G136" s="638"/>
      <c r="H136" s="638"/>
      <c r="I136" s="638"/>
      <c r="J136" s="638"/>
      <c r="K136" s="638"/>
      <c r="L136" s="638"/>
      <c r="M136" s="638"/>
      <c r="N136" s="638"/>
      <c r="O136" s="639"/>
      <c r="P136" s="635" t="s">
        <v>40</v>
      </c>
      <c r="Q136" s="636"/>
      <c r="R136" s="636"/>
      <c r="S136" s="636"/>
      <c r="T136" s="636"/>
      <c r="U136" s="636"/>
      <c r="V136" s="637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638"/>
      <c r="B137" s="638"/>
      <c r="C137" s="638"/>
      <c r="D137" s="638"/>
      <c r="E137" s="638"/>
      <c r="F137" s="638"/>
      <c r="G137" s="638"/>
      <c r="H137" s="638"/>
      <c r="I137" s="638"/>
      <c r="J137" s="638"/>
      <c r="K137" s="638"/>
      <c r="L137" s="638"/>
      <c r="M137" s="638"/>
      <c r="N137" s="638"/>
      <c r="O137" s="639"/>
      <c r="P137" s="635" t="s">
        <v>40</v>
      </c>
      <c r="Q137" s="636"/>
      <c r="R137" s="636"/>
      <c r="S137" s="636"/>
      <c r="T137" s="636"/>
      <c r="U137" s="636"/>
      <c r="V137" s="637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customHeight="1" x14ac:dyDescent="0.25">
      <c r="A138" s="649" t="s">
        <v>77</v>
      </c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49"/>
      <c r="P138" s="649"/>
      <c r="Q138" s="649"/>
      <c r="R138" s="649"/>
      <c r="S138" s="649"/>
      <c r="T138" s="649"/>
      <c r="U138" s="649"/>
      <c r="V138" s="649"/>
      <c r="W138" s="649"/>
      <c r="X138" s="649"/>
      <c r="Y138" s="649"/>
      <c r="Z138" s="649"/>
      <c r="AA138" s="63"/>
      <c r="AB138" s="63"/>
      <c r="AC138" s="63"/>
    </row>
    <row r="139" spans="1:68" ht="16.5" customHeight="1" x14ac:dyDescent="0.25">
      <c r="A139" s="60" t="s">
        <v>260</v>
      </c>
      <c r="B139" s="60" t="s">
        <v>261</v>
      </c>
      <c r="C139" s="34">
        <v>4301031506</v>
      </c>
      <c r="D139" s="644">
        <v>4680115888913</v>
      </c>
      <c r="E139" s="64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86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6"/>
      <c r="R139" s="646"/>
      <c r="S139" s="646"/>
      <c r="T139" s="64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customHeight="1" x14ac:dyDescent="0.25">
      <c r="A140" s="60" t="s">
        <v>263</v>
      </c>
      <c r="B140" s="60" t="s">
        <v>264</v>
      </c>
      <c r="C140" s="34">
        <v>4301031504</v>
      </c>
      <c r="D140" s="644">
        <v>4680115888920</v>
      </c>
      <c r="E140" s="64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8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6"/>
      <c r="R140" s="646"/>
      <c r="S140" s="646"/>
      <c r="T140" s="64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265</v>
      </c>
      <c r="B141" s="60" t="s">
        <v>266</v>
      </c>
      <c r="C141" s="34">
        <v>4301031234</v>
      </c>
      <c r="D141" s="644">
        <v>4680115883444</v>
      </c>
      <c r="E141" s="64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6"/>
      <c r="R141" s="646"/>
      <c r="S141" s="646"/>
      <c r="T141" s="64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265</v>
      </c>
      <c r="B142" s="60" t="s">
        <v>268</v>
      </c>
      <c r="C142" s="34">
        <v>4301031235</v>
      </c>
      <c r="D142" s="644">
        <v>4680115883444</v>
      </c>
      <c r="E142" s="64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6"/>
      <c r="R142" s="646"/>
      <c r="S142" s="646"/>
      <c r="T142" s="64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38"/>
      <c r="B143" s="638"/>
      <c r="C143" s="638"/>
      <c r="D143" s="638"/>
      <c r="E143" s="638"/>
      <c r="F143" s="638"/>
      <c r="G143" s="638"/>
      <c r="H143" s="638"/>
      <c r="I143" s="638"/>
      <c r="J143" s="638"/>
      <c r="K143" s="638"/>
      <c r="L143" s="638"/>
      <c r="M143" s="638"/>
      <c r="N143" s="638"/>
      <c r="O143" s="639"/>
      <c r="P143" s="635" t="s">
        <v>40</v>
      </c>
      <c r="Q143" s="636"/>
      <c r="R143" s="636"/>
      <c r="S143" s="636"/>
      <c r="T143" s="636"/>
      <c r="U143" s="636"/>
      <c r="V143" s="637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customHeight="1" x14ac:dyDescent="0.25">
      <c r="A145" s="649" t="s">
        <v>86</v>
      </c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  <c r="AA145" s="63"/>
      <c r="AB145" s="63"/>
      <c r="AC145" s="63"/>
    </row>
    <row r="146" spans="1:68" ht="16.5" customHeight="1" x14ac:dyDescent="0.25">
      <c r="A146" s="60" t="s">
        <v>269</v>
      </c>
      <c r="B146" s="60" t="s">
        <v>270</v>
      </c>
      <c r="C146" s="34">
        <v>4301052218</v>
      </c>
      <c r="D146" s="644">
        <v>4680115888937</v>
      </c>
      <c r="E146" s="64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8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6"/>
      <c r="R146" s="646"/>
      <c r="S146" s="646"/>
      <c r="T146" s="64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271</v>
      </c>
      <c r="B147" s="60" t="s">
        <v>272</v>
      </c>
      <c r="C147" s="34">
        <v>4301052219</v>
      </c>
      <c r="D147" s="644">
        <v>4680115888944</v>
      </c>
      <c r="E147" s="64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86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6"/>
      <c r="R147" s="646"/>
      <c r="S147" s="646"/>
      <c r="T147" s="64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273</v>
      </c>
      <c r="B148" s="60" t="s">
        <v>274</v>
      </c>
      <c r="C148" s="34">
        <v>4301051476</v>
      </c>
      <c r="D148" s="644">
        <v>4680115882584</v>
      </c>
      <c r="E148" s="64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6"/>
      <c r="R148" s="646"/>
      <c r="S148" s="646"/>
      <c r="T148" s="64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customHeight="1" x14ac:dyDescent="0.25">
      <c r="A149" s="60" t="s">
        <v>273</v>
      </c>
      <c r="B149" s="60" t="s">
        <v>275</v>
      </c>
      <c r="C149" s="34">
        <v>4301051477</v>
      </c>
      <c r="D149" s="644">
        <v>4680115882584</v>
      </c>
      <c r="E149" s="64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6"/>
      <c r="R149" s="646"/>
      <c r="S149" s="646"/>
      <c r="T149" s="64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38"/>
      <c r="B150" s="638"/>
      <c r="C150" s="638"/>
      <c r="D150" s="638"/>
      <c r="E150" s="638"/>
      <c r="F150" s="638"/>
      <c r="G150" s="638"/>
      <c r="H150" s="638"/>
      <c r="I150" s="638"/>
      <c r="J150" s="638"/>
      <c r="K150" s="638"/>
      <c r="L150" s="638"/>
      <c r="M150" s="638"/>
      <c r="N150" s="638"/>
      <c r="O150" s="639"/>
      <c r="P150" s="635" t="s">
        <v>40</v>
      </c>
      <c r="Q150" s="636"/>
      <c r="R150" s="636"/>
      <c r="S150" s="636"/>
      <c r="T150" s="636"/>
      <c r="U150" s="636"/>
      <c r="V150" s="637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638"/>
      <c r="B151" s="638"/>
      <c r="C151" s="638"/>
      <c r="D151" s="638"/>
      <c r="E151" s="638"/>
      <c r="F151" s="638"/>
      <c r="G151" s="638"/>
      <c r="H151" s="638"/>
      <c r="I151" s="638"/>
      <c r="J151" s="638"/>
      <c r="K151" s="638"/>
      <c r="L151" s="638"/>
      <c r="M151" s="638"/>
      <c r="N151" s="638"/>
      <c r="O151" s="639"/>
      <c r="P151" s="635" t="s">
        <v>40</v>
      </c>
      <c r="Q151" s="636"/>
      <c r="R151" s="636"/>
      <c r="S151" s="636"/>
      <c r="T151" s="636"/>
      <c r="U151" s="636"/>
      <c r="V151" s="637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customHeight="1" x14ac:dyDescent="0.25">
      <c r="A152" s="648" t="s">
        <v>276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2"/>
      <c r="AB152" s="62"/>
      <c r="AC152" s="62"/>
    </row>
    <row r="153" spans="1:68" ht="14.25" customHeight="1" x14ac:dyDescent="0.25">
      <c r="A153" s="649" t="s">
        <v>86</v>
      </c>
      <c r="B153" s="649"/>
      <c r="C153" s="649"/>
      <c r="D153" s="649"/>
      <c r="E153" s="649"/>
      <c r="F153" s="649"/>
      <c r="G153" s="649"/>
      <c r="H153" s="649"/>
      <c r="I153" s="649"/>
      <c r="J153" s="649"/>
      <c r="K153" s="649"/>
      <c r="L153" s="649"/>
      <c r="M153" s="649"/>
      <c r="N153" s="649"/>
      <c r="O153" s="649"/>
      <c r="P153" s="649"/>
      <c r="Q153" s="649"/>
      <c r="R153" s="649"/>
      <c r="S153" s="649"/>
      <c r="T153" s="649"/>
      <c r="U153" s="649"/>
      <c r="V153" s="649"/>
      <c r="W153" s="649"/>
      <c r="X153" s="649"/>
      <c r="Y153" s="649"/>
      <c r="Z153" s="649"/>
      <c r="AA153" s="63"/>
      <c r="AB153" s="63"/>
      <c r="AC153" s="63"/>
    </row>
    <row r="154" spans="1:68" ht="27" customHeight="1" x14ac:dyDescent="0.25">
      <c r="A154" s="60" t="s">
        <v>277</v>
      </c>
      <c r="B154" s="60" t="s">
        <v>278</v>
      </c>
      <c r="C154" s="34">
        <v>4301052254</v>
      </c>
      <c r="D154" s="644">
        <v>4680115888203</v>
      </c>
      <c r="E154" s="64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5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6"/>
      <c r="R154" s="646"/>
      <c r="S154" s="646"/>
      <c r="T154" s="64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customHeight="1" x14ac:dyDescent="0.25">
      <c r="A155" s="60" t="s">
        <v>280</v>
      </c>
      <c r="B155" s="60" t="s">
        <v>281</v>
      </c>
      <c r="C155" s="34">
        <v>4301052172</v>
      </c>
      <c r="D155" s="644">
        <v>4680115888180</v>
      </c>
      <c r="E155" s="64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6"/>
      <c r="R155" s="646"/>
      <c r="S155" s="646"/>
      <c r="T155" s="64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customHeight="1" x14ac:dyDescent="0.25">
      <c r="A156" s="60" t="s">
        <v>283</v>
      </c>
      <c r="B156" s="60" t="s">
        <v>284</v>
      </c>
      <c r="C156" s="34">
        <v>4301052173</v>
      </c>
      <c r="D156" s="644">
        <v>4680115888197</v>
      </c>
      <c r="E156" s="64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6"/>
      <c r="R156" s="646"/>
      <c r="S156" s="646"/>
      <c r="T156" s="64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customHeight="1" x14ac:dyDescent="0.25">
      <c r="A157" s="60" t="s">
        <v>286</v>
      </c>
      <c r="B157" s="60" t="s">
        <v>287</v>
      </c>
      <c r="C157" s="34">
        <v>4301052175</v>
      </c>
      <c r="D157" s="644">
        <v>4680115888210</v>
      </c>
      <c r="E157" s="64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6"/>
      <c r="R157" s="646"/>
      <c r="S157" s="646"/>
      <c r="T157" s="64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customHeight="1" x14ac:dyDescent="0.25">
      <c r="A160" s="649" t="s">
        <v>104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"/>
      <c r="AB160" s="63"/>
      <c r="AC160" s="63"/>
    </row>
    <row r="161" spans="1:68" ht="27" customHeight="1" x14ac:dyDescent="0.25">
      <c r="A161" s="60" t="s">
        <v>289</v>
      </c>
      <c r="B161" s="60" t="s">
        <v>290</v>
      </c>
      <c r="C161" s="34">
        <v>4301032067</v>
      </c>
      <c r="D161" s="644">
        <v>4680115889132</v>
      </c>
      <c r="E161" s="64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85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6"/>
      <c r="R161" s="646"/>
      <c r="S161" s="646"/>
      <c r="T161" s="64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38"/>
      <c r="B162" s="638"/>
      <c r="C162" s="638"/>
      <c r="D162" s="638"/>
      <c r="E162" s="638"/>
      <c r="F162" s="638"/>
      <c r="G162" s="638"/>
      <c r="H162" s="638"/>
      <c r="I162" s="638"/>
      <c r="J162" s="638"/>
      <c r="K162" s="638"/>
      <c r="L162" s="638"/>
      <c r="M162" s="638"/>
      <c r="N162" s="638"/>
      <c r="O162" s="639"/>
      <c r="P162" s="635" t="s">
        <v>40</v>
      </c>
      <c r="Q162" s="636"/>
      <c r="R162" s="636"/>
      <c r="S162" s="636"/>
      <c r="T162" s="636"/>
      <c r="U162" s="636"/>
      <c r="V162" s="63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customHeight="1" x14ac:dyDescent="0.25">
      <c r="A164" s="648" t="s">
        <v>126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2"/>
      <c r="AB164" s="62"/>
      <c r="AC164" s="62"/>
    </row>
    <row r="165" spans="1:68" ht="14.25" customHeight="1" x14ac:dyDescent="0.25">
      <c r="A165" s="649" t="s">
        <v>128</v>
      </c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  <c r="AA165" s="63"/>
      <c r="AB165" s="63"/>
      <c r="AC165" s="63"/>
    </row>
    <row r="166" spans="1:68" ht="16.5" customHeight="1" x14ac:dyDescent="0.25">
      <c r="A166" s="60" t="s">
        <v>294</v>
      </c>
      <c r="B166" s="60" t="s">
        <v>295</v>
      </c>
      <c r="C166" s="34">
        <v>4301012344</v>
      </c>
      <c r="D166" s="644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customHeight="1" x14ac:dyDescent="0.25">
      <c r="A167" s="60" t="s">
        <v>297</v>
      </c>
      <c r="B167" s="60" t="s">
        <v>298</v>
      </c>
      <c r="C167" s="34">
        <v>4301012244</v>
      </c>
      <c r="D167" s="644">
        <v>4680115887374</v>
      </c>
      <c r="E167" s="64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8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6"/>
      <c r="R167" s="646"/>
      <c r="S167" s="646"/>
      <c r="T167" s="64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customHeight="1" x14ac:dyDescent="0.25">
      <c r="A168" s="60" t="s">
        <v>300</v>
      </c>
      <c r="B168" s="60" t="s">
        <v>301</v>
      </c>
      <c r="C168" s="34">
        <v>4301011705</v>
      </c>
      <c r="D168" s="644">
        <v>4607091384604</v>
      </c>
      <c r="E168" s="64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6"/>
      <c r="R168" s="646"/>
      <c r="S168" s="646"/>
      <c r="T168" s="64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x14ac:dyDescent="0.2">
      <c r="A169" s="638"/>
      <c r="B169" s="638"/>
      <c r="C169" s="638"/>
      <c r="D169" s="638"/>
      <c r="E169" s="638"/>
      <c r="F169" s="638"/>
      <c r="G169" s="638"/>
      <c r="H169" s="638"/>
      <c r="I169" s="638"/>
      <c r="J169" s="638"/>
      <c r="K169" s="638"/>
      <c r="L169" s="638"/>
      <c r="M169" s="638"/>
      <c r="N169" s="638"/>
      <c r="O169" s="639"/>
      <c r="P169" s="635" t="s">
        <v>40</v>
      </c>
      <c r="Q169" s="636"/>
      <c r="R169" s="636"/>
      <c r="S169" s="636"/>
      <c r="T169" s="636"/>
      <c r="U169" s="636"/>
      <c r="V169" s="637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x14ac:dyDescent="0.2">
      <c r="A170" s="638"/>
      <c r="B170" s="638"/>
      <c r="C170" s="638"/>
      <c r="D170" s="638"/>
      <c r="E170" s="638"/>
      <c r="F170" s="638"/>
      <c r="G170" s="638"/>
      <c r="H170" s="638"/>
      <c r="I170" s="638"/>
      <c r="J170" s="638"/>
      <c r="K170" s="638"/>
      <c r="L170" s="638"/>
      <c r="M170" s="638"/>
      <c r="N170" s="638"/>
      <c r="O170" s="639"/>
      <c r="P170" s="635" t="s">
        <v>40</v>
      </c>
      <c r="Q170" s="636"/>
      <c r="R170" s="636"/>
      <c r="S170" s="636"/>
      <c r="T170" s="636"/>
      <c r="U170" s="636"/>
      <c r="V170" s="637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customHeight="1" x14ac:dyDescent="0.25">
      <c r="A171" s="649" t="s">
        <v>164</v>
      </c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49"/>
      <c r="P171" s="649"/>
      <c r="Q171" s="649"/>
      <c r="R171" s="649"/>
      <c r="S171" s="649"/>
      <c r="T171" s="649"/>
      <c r="U171" s="649"/>
      <c r="V171" s="649"/>
      <c r="W171" s="649"/>
      <c r="X171" s="649"/>
      <c r="Y171" s="649"/>
      <c r="Z171" s="649"/>
      <c r="AA171" s="63"/>
      <c r="AB171" s="63"/>
      <c r="AC171" s="63"/>
    </row>
    <row r="172" spans="1:68" ht="16.5" customHeight="1" x14ac:dyDescent="0.25">
      <c r="A172" s="60" t="s">
        <v>303</v>
      </c>
      <c r="B172" s="60" t="s">
        <v>304</v>
      </c>
      <c r="C172" s="34">
        <v>4301020439</v>
      </c>
      <c r="D172" s="644">
        <v>4680115889491</v>
      </c>
      <c r="E172" s="64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849" t="s">
        <v>305</v>
      </c>
      <c r="Q172" s="646"/>
      <c r="R172" s="646"/>
      <c r="S172" s="646"/>
      <c r="T172" s="64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customHeight="1" x14ac:dyDescent="0.25">
      <c r="A173" s="60" t="s">
        <v>307</v>
      </c>
      <c r="B173" s="60" t="s">
        <v>308</v>
      </c>
      <c r="C173" s="34">
        <v>4301020410</v>
      </c>
      <c r="D173" s="644">
        <v>4680115887695</v>
      </c>
      <c r="E173" s="64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84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6"/>
      <c r="R173" s="646"/>
      <c r="S173" s="646"/>
      <c r="T173" s="64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x14ac:dyDescent="0.2">
      <c r="A174" s="638"/>
      <c r="B174" s="638"/>
      <c r="C174" s="638"/>
      <c r="D174" s="638"/>
      <c r="E174" s="638"/>
      <c r="F174" s="638"/>
      <c r="G174" s="638"/>
      <c r="H174" s="638"/>
      <c r="I174" s="638"/>
      <c r="J174" s="638"/>
      <c r="K174" s="638"/>
      <c r="L174" s="638"/>
      <c r="M174" s="638"/>
      <c r="N174" s="638"/>
      <c r="O174" s="639"/>
      <c r="P174" s="635" t="s">
        <v>40</v>
      </c>
      <c r="Q174" s="636"/>
      <c r="R174" s="636"/>
      <c r="S174" s="636"/>
      <c r="T174" s="636"/>
      <c r="U174" s="636"/>
      <c r="V174" s="637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x14ac:dyDescent="0.2">
      <c r="A175" s="638"/>
      <c r="B175" s="638"/>
      <c r="C175" s="638"/>
      <c r="D175" s="638"/>
      <c r="E175" s="638"/>
      <c r="F175" s="638"/>
      <c r="G175" s="638"/>
      <c r="H175" s="638"/>
      <c r="I175" s="638"/>
      <c r="J175" s="638"/>
      <c r="K175" s="638"/>
      <c r="L175" s="638"/>
      <c r="M175" s="638"/>
      <c r="N175" s="638"/>
      <c r="O175" s="639"/>
      <c r="P175" s="635" t="s">
        <v>40</v>
      </c>
      <c r="Q175" s="636"/>
      <c r="R175" s="636"/>
      <c r="S175" s="636"/>
      <c r="T175" s="636"/>
      <c r="U175" s="636"/>
      <c r="V175" s="637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customHeight="1" x14ac:dyDescent="0.25">
      <c r="A176" s="649" t="s">
        <v>77</v>
      </c>
      <c r="B176" s="649"/>
      <c r="C176" s="649"/>
      <c r="D176" s="649"/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  <c r="W176" s="649"/>
      <c r="X176" s="649"/>
      <c r="Y176" s="649"/>
      <c r="Z176" s="649"/>
      <c r="AA176" s="63"/>
      <c r="AB176" s="63"/>
      <c r="AC176" s="63"/>
    </row>
    <row r="177" spans="1:68" ht="27" customHeight="1" x14ac:dyDescent="0.25">
      <c r="A177" s="60" t="s">
        <v>310</v>
      </c>
      <c r="B177" s="60" t="s">
        <v>311</v>
      </c>
      <c r="C177" s="34">
        <v>4301031496</v>
      </c>
      <c r="D177" s="644">
        <v>4680115887428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8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6"/>
      <c r="R177" s="646"/>
      <c r="S177" s="646"/>
      <c r="T177" s="64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customHeight="1" x14ac:dyDescent="0.25">
      <c r="A178" s="60" t="s">
        <v>313</v>
      </c>
      <c r="B178" s="60" t="s">
        <v>314</v>
      </c>
      <c r="C178" s="34">
        <v>4301031509</v>
      </c>
      <c r="D178" s="644">
        <v>4680115889170</v>
      </c>
      <c r="E178" s="64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84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6"/>
      <c r="R178" s="646"/>
      <c r="S178" s="646"/>
      <c r="T178" s="64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644">
        <v>4680115887398</v>
      </c>
      <c r="E179" s="64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83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6"/>
      <c r="R179" s="646"/>
      <c r="S179" s="646"/>
      <c r="T179" s="64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644">
        <v>4680115887336</v>
      </c>
      <c r="E180" s="64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84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6"/>
      <c r="R180" s="646"/>
      <c r="S180" s="646"/>
      <c r="T180" s="64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customHeight="1" x14ac:dyDescent="0.25">
      <c r="A181" s="60" t="s">
        <v>322</v>
      </c>
      <c r="B181" s="60" t="s">
        <v>323</v>
      </c>
      <c r="C181" s="34">
        <v>4301032049</v>
      </c>
      <c r="D181" s="644">
        <v>4680115887787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8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6"/>
      <c r="R181" s="646"/>
      <c r="S181" s="646"/>
      <c r="T181" s="64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4301031448</v>
      </c>
      <c r="D182" s="644">
        <v>4680115887503</v>
      </c>
      <c r="E182" s="64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4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6"/>
      <c r="R182" s="646"/>
      <c r="S182" s="646"/>
      <c r="T182" s="64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customHeight="1" x14ac:dyDescent="0.25">
      <c r="A183" s="60" t="s">
        <v>327</v>
      </c>
      <c r="B183" s="60" t="s">
        <v>328</v>
      </c>
      <c r="C183" s="34">
        <v>4301031389</v>
      </c>
      <c r="D183" s="644">
        <v>4680115887763</v>
      </c>
      <c r="E183" s="64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8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6"/>
      <c r="R183" s="646"/>
      <c r="S183" s="646"/>
      <c r="T183" s="64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customHeight="1" x14ac:dyDescent="0.25">
      <c r="A184" s="60" t="s">
        <v>327</v>
      </c>
      <c r="B184" s="60" t="s">
        <v>330</v>
      </c>
      <c r="C184" s="34">
        <v>4301031510</v>
      </c>
      <c r="D184" s="644">
        <v>4680115887763</v>
      </c>
      <c r="E184" s="64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6"/>
      <c r="R184" s="646"/>
      <c r="S184" s="646"/>
      <c r="T184" s="64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4301031454</v>
      </c>
      <c r="D185" s="644">
        <v>4680115887480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6"/>
      <c r="R185" s="646"/>
      <c r="S185" s="646"/>
      <c r="T185" s="64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customHeight="1" x14ac:dyDescent="0.25">
      <c r="A186" s="60" t="s">
        <v>333</v>
      </c>
      <c r="B186" s="60" t="s">
        <v>334</v>
      </c>
      <c r="C186" s="34">
        <v>4301031434</v>
      </c>
      <c r="D186" s="644">
        <v>4680115888067</v>
      </c>
      <c r="E186" s="64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6"/>
      <c r="R186" s="646"/>
      <c r="S186" s="646"/>
      <c r="T186" s="64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customHeight="1" x14ac:dyDescent="0.25">
      <c r="A187" s="60" t="s">
        <v>336</v>
      </c>
      <c r="B187" s="60" t="s">
        <v>337</v>
      </c>
      <c r="C187" s="34">
        <v>4301031451</v>
      </c>
      <c r="D187" s="644">
        <v>4680115887435</v>
      </c>
      <c r="E187" s="64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6"/>
      <c r="R187" s="646"/>
      <c r="S187" s="646"/>
      <c r="T187" s="64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x14ac:dyDescent="0.2">
      <c r="A188" s="638"/>
      <c r="B188" s="638"/>
      <c r="C188" s="638"/>
      <c r="D188" s="638"/>
      <c r="E188" s="638"/>
      <c r="F188" s="638"/>
      <c r="G188" s="638"/>
      <c r="H188" s="638"/>
      <c r="I188" s="638"/>
      <c r="J188" s="638"/>
      <c r="K188" s="638"/>
      <c r="L188" s="638"/>
      <c r="M188" s="638"/>
      <c r="N188" s="638"/>
      <c r="O188" s="639"/>
      <c r="P188" s="635" t="s">
        <v>40</v>
      </c>
      <c r="Q188" s="636"/>
      <c r="R188" s="636"/>
      <c r="S188" s="636"/>
      <c r="T188" s="636"/>
      <c r="U188" s="636"/>
      <c r="V188" s="637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customHeight="1" x14ac:dyDescent="0.25">
      <c r="A190" s="649" t="s">
        <v>86</v>
      </c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49"/>
      <c r="P190" s="649"/>
      <c r="Q190" s="649"/>
      <c r="R190" s="649"/>
      <c r="S190" s="649"/>
      <c r="T190" s="649"/>
      <c r="U190" s="649"/>
      <c r="V190" s="649"/>
      <c r="W190" s="649"/>
      <c r="X190" s="649"/>
      <c r="Y190" s="649"/>
      <c r="Z190" s="649"/>
      <c r="AA190" s="63"/>
      <c r="AB190" s="63"/>
      <c r="AC190" s="63"/>
    </row>
    <row r="191" spans="1:68" ht="16.5" customHeight="1" x14ac:dyDescent="0.25">
      <c r="A191" s="60" t="s">
        <v>338</v>
      </c>
      <c r="B191" s="60" t="s">
        <v>339</v>
      </c>
      <c r="C191" s="34">
        <v>4301052193</v>
      </c>
      <c r="D191" s="644">
        <v>4680115888395</v>
      </c>
      <c r="E191" s="64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6"/>
      <c r="R191" s="646"/>
      <c r="S191" s="646"/>
      <c r="T191" s="64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341</v>
      </c>
      <c r="B192" s="60" t="s">
        <v>342</v>
      </c>
      <c r="C192" s="34">
        <v>4301052191</v>
      </c>
      <c r="D192" s="644">
        <v>4680115888371</v>
      </c>
      <c r="E192" s="64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3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6"/>
      <c r="R192" s="646"/>
      <c r="S192" s="646"/>
      <c r="T192" s="64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customHeight="1" x14ac:dyDescent="0.25">
      <c r="A193" s="60" t="s">
        <v>344</v>
      </c>
      <c r="B193" s="60" t="s">
        <v>345</v>
      </c>
      <c r="C193" s="34">
        <v>4301052064</v>
      </c>
      <c r="D193" s="644">
        <v>4680115887459</v>
      </c>
      <c r="E193" s="64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3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6"/>
      <c r="R193" s="646"/>
      <c r="S193" s="646"/>
      <c r="T193" s="64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x14ac:dyDescent="0.2">
      <c r="A195" s="638"/>
      <c r="B195" s="638"/>
      <c r="C195" s="638"/>
      <c r="D195" s="638"/>
      <c r="E195" s="638"/>
      <c r="F195" s="638"/>
      <c r="G195" s="638"/>
      <c r="H195" s="638"/>
      <c r="I195" s="638"/>
      <c r="J195" s="638"/>
      <c r="K195" s="638"/>
      <c r="L195" s="638"/>
      <c r="M195" s="638"/>
      <c r="N195" s="638"/>
      <c r="O195" s="639"/>
      <c r="P195" s="635" t="s">
        <v>40</v>
      </c>
      <c r="Q195" s="636"/>
      <c r="R195" s="636"/>
      <c r="S195" s="636"/>
      <c r="T195" s="636"/>
      <c r="U195" s="636"/>
      <c r="V195" s="637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customHeight="1" x14ac:dyDescent="0.25">
      <c r="A196" s="649" t="s">
        <v>104</v>
      </c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49"/>
      <c r="P196" s="649"/>
      <c r="Q196" s="649"/>
      <c r="R196" s="649"/>
      <c r="S196" s="649"/>
      <c r="T196" s="649"/>
      <c r="U196" s="649"/>
      <c r="V196" s="649"/>
      <c r="W196" s="649"/>
      <c r="X196" s="649"/>
      <c r="Y196" s="649"/>
      <c r="Z196" s="649"/>
      <c r="AA196" s="63"/>
      <c r="AB196" s="63"/>
      <c r="AC196" s="63"/>
    </row>
    <row r="197" spans="1:68" ht="16.5" customHeight="1" x14ac:dyDescent="0.25">
      <c r="A197" s="60" t="s">
        <v>347</v>
      </c>
      <c r="B197" s="60" t="s">
        <v>348</v>
      </c>
      <c r="C197" s="34">
        <v>4301032058</v>
      </c>
      <c r="D197" s="644">
        <v>4680115889026</v>
      </c>
      <c r="E197" s="64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6"/>
      <c r="R197" s="646"/>
      <c r="S197" s="646"/>
      <c r="T197" s="64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351</v>
      </c>
      <c r="B198" s="60" t="s">
        <v>352</v>
      </c>
      <c r="C198" s="34">
        <v>4301032057</v>
      </c>
      <c r="D198" s="644">
        <v>4680115889088</v>
      </c>
      <c r="E198" s="64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3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6"/>
      <c r="R198" s="646"/>
      <c r="S198" s="646"/>
      <c r="T198" s="64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x14ac:dyDescent="0.2">
      <c r="A199" s="638"/>
      <c r="B199" s="638"/>
      <c r="C199" s="638"/>
      <c r="D199" s="638"/>
      <c r="E199" s="638"/>
      <c r="F199" s="638"/>
      <c r="G199" s="638"/>
      <c r="H199" s="638"/>
      <c r="I199" s="638"/>
      <c r="J199" s="638"/>
      <c r="K199" s="638"/>
      <c r="L199" s="638"/>
      <c r="M199" s="638"/>
      <c r="N199" s="638"/>
      <c r="O199" s="639"/>
      <c r="P199" s="635" t="s">
        <v>40</v>
      </c>
      <c r="Q199" s="636"/>
      <c r="R199" s="636"/>
      <c r="S199" s="636"/>
      <c r="T199" s="636"/>
      <c r="U199" s="636"/>
      <c r="V199" s="637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x14ac:dyDescent="0.2">
      <c r="A200" s="638"/>
      <c r="B200" s="638"/>
      <c r="C200" s="638"/>
      <c r="D200" s="638"/>
      <c r="E200" s="638"/>
      <c r="F200" s="638"/>
      <c r="G200" s="638"/>
      <c r="H200" s="638"/>
      <c r="I200" s="638"/>
      <c r="J200" s="638"/>
      <c r="K200" s="638"/>
      <c r="L200" s="638"/>
      <c r="M200" s="638"/>
      <c r="N200" s="638"/>
      <c r="O200" s="639"/>
      <c r="P200" s="635" t="s">
        <v>40</v>
      </c>
      <c r="Q200" s="636"/>
      <c r="R200" s="636"/>
      <c r="S200" s="636"/>
      <c r="T200" s="636"/>
      <c r="U200" s="636"/>
      <c r="V200" s="637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customHeight="1" x14ac:dyDescent="0.25">
      <c r="A201" s="649" t="s">
        <v>354</v>
      </c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49"/>
      <c r="P201" s="649"/>
      <c r="Q201" s="649"/>
      <c r="R201" s="649"/>
      <c r="S201" s="649"/>
      <c r="T201" s="649"/>
      <c r="U201" s="649"/>
      <c r="V201" s="649"/>
      <c r="W201" s="649"/>
      <c r="X201" s="649"/>
      <c r="Y201" s="649"/>
      <c r="Z201" s="649"/>
      <c r="AA201" s="63"/>
      <c r="AB201" s="63"/>
      <c r="AC201" s="63"/>
    </row>
    <row r="202" spans="1:68" ht="27" customHeight="1" x14ac:dyDescent="0.25">
      <c r="A202" s="60" t="s">
        <v>355</v>
      </c>
      <c r="B202" s="60" t="s">
        <v>356</v>
      </c>
      <c r="C202" s="34">
        <v>4301041009</v>
      </c>
      <c r="D202" s="644">
        <v>4680115889033</v>
      </c>
      <c r="E202" s="64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2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6"/>
      <c r="R202" s="646"/>
      <c r="S202" s="646"/>
      <c r="T202" s="64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38"/>
      <c r="B203" s="638"/>
      <c r="C203" s="638"/>
      <c r="D203" s="638"/>
      <c r="E203" s="638"/>
      <c r="F203" s="638"/>
      <c r="G203" s="638"/>
      <c r="H203" s="638"/>
      <c r="I203" s="638"/>
      <c r="J203" s="638"/>
      <c r="K203" s="638"/>
      <c r="L203" s="638"/>
      <c r="M203" s="638"/>
      <c r="N203" s="638"/>
      <c r="O203" s="639"/>
      <c r="P203" s="635" t="s">
        <v>40</v>
      </c>
      <c r="Q203" s="636"/>
      <c r="R203" s="636"/>
      <c r="S203" s="636"/>
      <c r="T203" s="636"/>
      <c r="U203" s="636"/>
      <c r="V203" s="637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x14ac:dyDescent="0.2">
      <c r="A204" s="638"/>
      <c r="B204" s="638"/>
      <c r="C204" s="638"/>
      <c r="D204" s="638"/>
      <c r="E204" s="638"/>
      <c r="F204" s="638"/>
      <c r="G204" s="638"/>
      <c r="H204" s="638"/>
      <c r="I204" s="638"/>
      <c r="J204" s="638"/>
      <c r="K204" s="638"/>
      <c r="L204" s="638"/>
      <c r="M204" s="638"/>
      <c r="N204" s="638"/>
      <c r="O204" s="639"/>
      <c r="P204" s="635" t="s">
        <v>40</v>
      </c>
      <c r="Q204" s="636"/>
      <c r="R204" s="636"/>
      <c r="S204" s="636"/>
      <c r="T204" s="636"/>
      <c r="U204" s="636"/>
      <c r="V204" s="637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customHeight="1" x14ac:dyDescent="0.2">
      <c r="A205" s="655" t="s">
        <v>358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52"/>
      <c r="AB205" s="52"/>
      <c r="AC205" s="52"/>
    </row>
    <row r="206" spans="1:68" ht="16.5" customHeight="1" x14ac:dyDescent="0.25">
      <c r="A206" s="648" t="s">
        <v>359</v>
      </c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8"/>
      <c r="P206" s="648"/>
      <c r="Q206" s="648"/>
      <c r="R206" s="648"/>
      <c r="S206" s="648"/>
      <c r="T206" s="648"/>
      <c r="U206" s="648"/>
      <c r="V206" s="648"/>
      <c r="W206" s="648"/>
      <c r="X206" s="648"/>
      <c r="Y206" s="648"/>
      <c r="Z206" s="648"/>
      <c r="AA206" s="62"/>
      <c r="AB206" s="62"/>
      <c r="AC206" s="62"/>
    </row>
    <row r="207" spans="1:68" ht="14.25" customHeight="1" x14ac:dyDescent="0.25">
      <c r="A207" s="649" t="s">
        <v>128</v>
      </c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49"/>
      <c r="P207" s="649"/>
      <c r="Q207" s="649"/>
      <c r="R207" s="649"/>
      <c r="S207" s="649"/>
      <c r="T207" s="649"/>
      <c r="U207" s="649"/>
      <c r="V207" s="649"/>
      <c r="W207" s="649"/>
      <c r="X207" s="649"/>
      <c r="Y207" s="649"/>
      <c r="Z207" s="649"/>
      <c r="AA207" s="63"/>
      <c r="AB207" s="63"/>
      <c r="AC207" s="63"/>
    </row>
    <row r="208" spans="1:68" ht="27" customHeight="1" x14ac:dyDescent="0.25">
      <c r="A208" s="60" t="s">
        <v>360</v>
      </c>
      <c r="B208" s="60" t="s">
        <v>361</v>
      </c>
      <c r="C208" s="34">
        <v>4301011223</v>
      </c>
      <c r="D208" s="644">
        <v>4607091383423</v>
      </c>
      <c r="E208" s="64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2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6"/>
      <c r="R208" s="646"/>
      <c r="S208" s="646"/>
      <c r="T208" s="64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customHeight="1" x14ac:dyDescent="0.25">
      <c r="A209" s="60" t="s">
        <v>362</v>
      </c>
      <c r="B209" s="60" t="s">
        <v>363</v>
      </c>
      <c r="C209" s="34">
        <v>4301012340</v>
      </c>
      <c r="D209" s="644">
        <v>4680115888760</v>
      </c>
      <c r="E209" s="64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6"/>
      <c r="R209" s="646"/>
      <c r="S209" s="646"/>
      <c r="T209" s="64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customHeight="1" x14ac:dyDescent="0.25">
      <c r="A210" s="60" t="s">
        <v>365</v>
      </c>
      <c r="B210" s="60" t="s">
        <v>366</v>
      </c>
      <c r="C210" s="34">
        <v>4301012341</v>
      </c>
      <c r="D210" s="644">
        <v>4680115888807</v>
      </c>
      <c r="E210" s="64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6"/>
      <c r="R210" s="646"/>
      <c r="S210" s="646"/>
      <c r="T210" s="64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368</v>
      </c>
      <c r="B211" s="60" t="s">
        <v>369</v>
      </c>
      <c r="C211" s="34">
        <v>4301012342</v>
      </c>
      <c r="D211" s="644">
        <v>4680115888852</v>
      </c>
      <c r="E211" s="64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6"/>
      <c r="R211" s="646"/>
      <c r="S211" s="646"/>
      <c r="T211" s="64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customHeight="1" x14ac:dyDescent="0.25">
      <c r="A212" s="60" t="s">
        <v>371</v>
      </c>
      <c r="B212" s="60" t="s">
        <v>372</v>
      </c>
      <c r="C212" s="34">
        <v>4301012370</v>
      </c>
      <c r="D212" s="644">
        <v>4680115886957</v>
      </c>
      <c r="E212" s="64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6"/>
      <c r="R212" s="646"/>
      <c r="S212" s="646"/>
      <c r="T212" s="64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374</v>
      </c>
      <c r="B213" s="60" t="s">
        <v>375</v>
      </c>
      <c r="C213" s="34">
        <v>4301012098</v>
      </c>
      <c r="D213" s="644">
        <v>4680115885660</v>
      </c>
      <c r="E213" s="64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6"/>
      <c r="R213" s="646"/>
      <c r="S213" s="646"/>
      <c r="T213" s="64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customHeight="1" x14ac:dyDescent="0.25">
      <c r="A214" s="60" t="s">
        <v>377</v>
      </c>
      <c r="B214" s="60" t="s">
        <v>378</v>
      </c>
      <c r="C214" s="34">
        <v>4301012369</v>
      </c>
      <c r="D214" s="644">
        <v>4680115886773</v>
      </c>
      <c r="E214" s="64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6"/>
      <c r="R214" s="646"/>
      <c r="S214" s="646"/>
      <c r="T214" s="64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x14ac:dyDescent="0.2">
      <c r="A215" s="638"/>
      <c r="B215" s="638"/>
      <c r="C215" s="638"/>
      <c r="D215" s="638"/>
      <c r="E215" s="638"/>
      <c r="F215" s="638"/>
      <c r="G215" s="638"/>
      <c r="H215" s="638"/>
      <c r="I215" s="638"/>
      <c r="J215" s="638"/>
      <c r="K215" s="638"/>
      <c r="L215" s="638"/>
      <c r="M215" s="638"/>
      <c r="N215" s="638"/>
      <c r="O215" s="639"/>
      <c r="P215" s="635" t="s">
        <v>40</v>
      </c>
      <c r="Q215" s="636"/>
      <c r="R215" s="636"/>
      <c r="S215" s="636"/>
      <c r="T215" s="636"/>
      <c r="U215" s="636"/>
      <c r="V215" s="637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x14ac:dyDescent="0.2">
      <c r="A216" s="638"/>
      <c r="B216" s="638"/>
      <c r="C216" s="638"/>
      <c r="D216" s="638"/>
      <c r="E216" s="638"/>
      <c r="F216" s="638"/>
      <c r="G216" s="638"/>
      <c r="H216" s="638"/>
      <c r="I216" s="638"/>
      <c r="J216" s="638"/>
      <c r="K216" s="638"/>
      <c r="L216" s="638"/>
      <c r="M216" s="638"/>
      <c r="N216" s="638"/>
      <c r="O216" s="639"/>
      <c r="P216" s="635" t="s">
        <v>40</v>
      </c>
      <c r="Q216" s="636"/>
      <c r="R216" s="636"/>
      <c r="S216" s="636"/>
      <c r="T216" s="636"/>
      <c r="U216" s="636"/>
      <c r="V216" s="637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customHeight="1" x14ac:dyDescent="0.25">
      <c r="A217" s="648" t="s">
        <v>380</v>
      </c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8"/>
      <c r="P217" s="648"/>
      <c r="Q217" s="648"/>
      <c r="R217" s="648"/>
      <c r="S217" s="648"/>
      <c r="T217" s="648"/>
      <c r="U217" s="648"/>
      <c r="V217" s="648"/>
      <c r="W217" s="648"/>
      <c r="X217" s="648"/>
      <c r="Y217" s="648"/>
      <c r="Z217" s="648"/>
      <c r="AA217" s="62"/>
      <c r="AB217" s="62"/>
      <c r="AC217" s="62"/>
    </row>
    <row r="218" spans="1:68" ht="14.25" customHeight="1" x14ac:dyDescent="0.25">
      <c r="A218" s="649" t="s">
        <v>164</v>
      </c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49"/>
      <c r="P218" s="649"/>
      <c r="Q218" s="649"/>
      <c r="R218" s="649"/>
      <c r="S218" s="649"/>
      <c r="T218" s="649"/>
      <c r="U218" s="649"/>
      <c r="V218" s="649"/>
      <c r="W218" s="649"/>
      <c r="X218" s="649"/>
      <c r="Y218" s="649"/>
      <c r="Z218" s="649"/>
      <c r="AA218" s="63"/>
      <c r="AB218" s="63"/>
      <c r="AC218" s="63"/>
    </row>
    <row r="219" spans="1:68" ht="27" customHeight="1" x14ac:dyDescent="0.25">
      <c r="A219" s="60" t="s">
        <v>381</v>
      </c>
      <c r="B219" s="60" t="s">
        <v>382</v>
      </c>
      <c r="C219" s="34">
        <v>4301020323</v>
      </c>
      <c r="D219" s="644">
        <v>4680115886223</v>
      </c>
      <c r="E219" s="64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6"/>
      <c r="R219" s="646"/>
      <c r="S219" s="646"/>
      <c r="T219" s="64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x14ac:dyDescent="0.2">
      <c r="A220" s="638"/>
      <c r="B220" s="638"/>
      <c r="C220" s="638"/>
      <c r="D220" s="638"/>
      <c r="E220" s="638"/>
      <c r="F220" s="638"/>
      <c r="G220" s="638"/>
      <c r="H220" s="638"/>
      <c r="I220" s="638"/>
      <c r="J220" s="638"/>
      <c r="K220" s="638"/>
      <c r="L220" s="638"/>
      <c r="M220" s="638"/>
      <c r="N220" s="638"/>
      <c r="O220" s="639"/>
      <c r="P220" s="635" t="s">
        <v>40</v>
      </c>
      <c r="Q220" s="636"/>
      <c r="R220" s="636"/>
      <c r="S220" s="636"/>
      <c r="T220" s="636"/>
      <c r="U220" s="636"/>
      <c r="V220" s="637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x14ac:dyDescent="0.2">
      <c r="A221" s="638"/>
      <c r="B221" s="638"/>
      <c r="C221" s="638"/>
      <c r="D221" s="638"/>
      <c r="E221" s="638"/>
      <c r="F221" s="638"/>
      <c r="G221" s="638"/>
      <c r="H221" s="638"/>
      <c r="I221" s="638"/>
      <c r="J221" s="638"/>
      <c r="K221" s="638"/>
      <c r="L221" s="638"/>
      <c r="M221" s="638"/>
      <c r="N221" s="638"/>
      <c r="O221" s="639"/>
      <c r="P221" s="635" t="s">
        <v>40</v>
      </c>
      <c r="Q221" s="636"/>
      <c r="R221" s="636"/>
      <c r="S221" s="636"/>
      <c r="T221" s="636"/>
      <c r="U221" s="636"/>
      <c r="V221" s="637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customHeight="1" x14ac:dyDescent="0.25">
      <c r="A222" s="649" t="s">
        <v>77</v>
      </c>
      <c r="B222" s="649"/>
      <c r="C222" s="649"/>
      <c r="D222" s="649"/>
      <c r="E222" s="649"/>
      <c r="F222" s="649"/>
      <c r="G222" s="649"/>
      <c r="H222" s="649"/>
      <c r="I222" s="649"/>
      <c r="J222" s="649"/>
      <c r="K222" s="649"/>
      <c r="L222" s="649"/>
      <c r="M222" s="649"/>
      <c r="N222" s="649"/>
      <c r="O222" s="649"/>
      <c r="P222" s="649"/>
      <c r="Q222" s="649"/>
      <c r="R222" s="649"/>
      <c r="S222" s="649"/>
      <c r="T222" s="649"/>
      <c r="U222" s="649"/>
      <c r="V222" s="649"/>
      <c r="W222" s="649"/>
      <c r="X222" s="649"/>
      <c r="Y222" s="649"/>
      <c r="Z222" s="649"/>
      <c r="AA222" s="63"/>
      <c r="AB222" s="63"/>
      <c r="AC222" s="63"/>
    </row>
    <row r="223" spans="1:68" ht="27" customHeight="1" x14ac:dyDescent="0.25">
      <c r="A223" s="60" t="s">
        <v>384</v>
      </c>
      <c r="B223" s="60" t="s">
        <v>385</v>
      </c>
      <c r="C223" s="34">
        <v>4301031191</v>
      </c>
      <c r="D223" s="644">
        <v>4680115880993</v>
      </c>
      <c r="E223" s="64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6"/>
      <c r="R223" s="646"/>
      <c r="S223" s="646"/>
      <c r="T223" s="64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customHeight="1" x14ac:dyDescent="0.25">
      <c r="A224" s="60" t="s">
        <v>387</v>
      </c>
      <c r="B224" s="60" t="s">
        <v>388</v>
      </c>
      <c r="C224" s="34">
        <v>4301031204</v>
      </c>
      <c r="D224" s="644">
        <v>4680115881761</v>
      </c>
      <c r="E224" s="64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6"/>
      <c r="R224" s="646"/>
      <c r="S224" s="646"/>
      <c r="T224" s="64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390</v>
      </c>
      <c r="B225" s="60" t="s">
        <v>391</v>
      </c>
      <c r="C225" s="34">
        <v>4301031201</v>
      </c>
      <c r="D225" s="644">
        <v>4680115881563</v>
      </c>
      <c r="E225" s="64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2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6"/>
      <c r="R225" s="646"/>
      <c r="S225" s="646"/>
      <c r="T225" s="64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customHeight="1" x14ac:dyDescent="0.25">
      <c r="A226" s="60" t="s">
        <v>393</v>
      </c>
      <c r="B226" s="60" t="s">
        <v>394</v>
      </c>
      <c r="C226" s="34">
        <v>4301031447</v>
      </c>
      <c r="D226" s="644">
        <v>4680115887565</v>
      </c>
      <c r="E226" s="64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6"/>
      <c r="R226" s="646"/>
      <c r="S226" s="646"/>
      <c r="T226" s="64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396</v>
      </c>
      <c r="B227" s="60" t="s">
        <v>397</v>
      </c>
      <c r="C227" s="34">
        <v>4301031199</v>
      </c>
      <c r="D227" s="644">
        <v>4680115880986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6"/>
      <c r="R227" s="646"/>
      <c r="S227" s="646"/>
      <c r="T227" s="64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398</v>
      </c>
      <c r="B228" s="60" t="s">
        <v>399</v>
      </c>
      <c r="C228" s="34">
        <v>4301031443</v>
      </c>
      <c r="D228" s="644">
        <v>4680115887213</v>
      </c>
      <c r="E228" s="64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6"/>
      <c r="R228" s="646"/>
      <c r="S228" s="646"/>
      <c r="T228" s="64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401</v>
      </c>
      <c r="B229" s="60" t="s">
        <v>402</v>
      </c>
      <c r="C229" s="34">
        <v>4301031205</v>
      </c>
      <c r="D229" s="644">
        <v>4680115881785</v>
      </c>
      <c r="E229" s="64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6"/>
      <c r="R229" s="646"/>
      <c r="S229" s="646"/>
      <c r="T229" s="64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403</v>
      </c>
      <c r="B230" s="60" t="s">
        <v>404</v>
      </c>
      <c r="C230" s="34">
        <v>4301031499</v>
      </c>
      <c r="D230" s="644">
        <v>4680115888432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6"/>
      <c r="R230" s="646"/>
      <c r="S230" s="646"/>
      <c r="T230" s="64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406</v>
      </c>
      <c r="B231" s="60" t="s">
        <v>407</v>
      </c>
      <c r="C231" s="34">
        <v>4301031427</v>
      </c>
      <c r="D231" s="644">
        <v>4680115888104</v>
      </c>
      <c r="E231" s="64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6"/>
      <c r="R231" s="646"/>
      <c r="S231" s="646"/>
      <c r="T231" s="64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409</v>
      </c>
      <c r="B232" s="60" t="s">
        <v>410</v>
      </c>
      <c r="C232" s="34">
        <v>4301031399</v>
      </c>
      <c r="D232" s="644">
        <v>4680115886537</v>
      </c>
      <c r="E232" s="64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6"/>
      <c r="R232" s="646"/>
      <c r="S232" s="646"/>
      <c r="T232" s="64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412</v>
      </c>
      <c r="B233" s="60" t="s">
        <v>413</v>
      </c>
      <c r="C233" s="34">
        <v>4301031279</v>
      </c>
      <c r="D233" s="644">
        <v>4680115887596</v>
      </c>
      <c r="E233" s="64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6"/>
      <c r="R233" s="646"/>
      <c r="S233" s="646"/>
      <c r="T233" s="64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customHeight="1" x14ac:dyDescent="0.25">
      <c r="A234" s="60" t="s">
        <v>415</v>
      </c>
      <c r="B234" s="60" t="s">
        <v>416</v>
      </c>
      <c r="C234" s="34">
        <v>4301031202</v>
      </c>
      <c r="D234" s="644">
        <v>4680115881679</v>
      </c>
      <c r="E234" s="64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6"/>
      <c r="R234" s="646"/>
      <c r="S234" s="646"/>
      <c r="T234" s="64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customHeight="1" x14ac:dyDescent="0.25">
      <c r="A235" s="60" t="s">
        <v>417</v>
      </c>
      <c r="B235" s="60" t="s">
        <v>418</v>
      </c>
      <c r="C235" s="34">
        <v>4301031158</v>
      </c>
      <c r="D235" s="644">
        <v>4680115880191</v>
      </c>
      <c r="E235" s="64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6"/>
      <c r="R235" s="646"/>
      <c r="S235" s="646"/>
      <c r="T235" s="64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customHeight="1" x14ac:dyDescent="0.25">
      <c r="A236" s="60" t="s">
        <v>419</v>
      </c>
      <c r="B236" s="60" t="s">
        <v>420</v>
      </c>
      <c r="C236" s="34">
        <v>4301031245</v>
      </c>
      <c r="D236" s="644">
        <v>4680115883963</v>
      </c>
      <c r="E236" s="64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6"/>
      <c r="R236" s="646"/>
      <c r="S236" s="646"/>
      <c r="T236" s="64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638"/>
      <c r="B237" s="638"/>
      <c r="C237" s="638"/>
      <c r="D237" s="638"/>
      <c r="E237" s="638"/>
      <c r="F237" s="638"/>
      <c r="G237" s="638"/>
      <c r="H237" s="638"/>
      <c r="I237" s="638"/>
      <c r="J237" s="638"/>
      <c r="K237" s="638"/>
      <c r="L237" s="638"/>
      <c r="M237" s="638"/>
      <c r="N237" s="638"/>
      <c r="O237" s="639"/>
      <c r="P237" s="635" t="s">
        <v>40</v>
      </c>
      <c r="Q237" s="636"/>
      <c r="R237" s="636"/>
      <c r="S237" s="636"/>
      <c r="T237" s="636"/>
      <c r="U237" s="636"/>
      <c r="V237" s="637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x14ac:dyDescent="0.2">
      <c r="A238" s="638"/>
      <c r="B238" s="638"/>
      <c r="C238" s="638"/>
      <c r="D238" s="638"/>
      <c r="E238" s="638"/>
      <c r="F238" s="638"/>
      <c r="G238" s="638"/>
      <c r="H238" s="638"/>
      <c r="I238" s="638"/>
      <c r="J238" s="638"/>
      <c r="K238" s="638"/>
      <c r="L238" s="638"/>
      <c r="M238" s="638"/>
      <c r="N238" s="638"/>
      <c r="O238" s="639"/>
      <c r="P238" s="635" t="s">
        <v>40</v>
      </c>
      <c r="Q238" s="636"/>
      <c r="R238" s="636"/>
      <c r="S238" s="636"/>
      <c r="T238" s="636"/>
      <c r="U238" s="636"/>
      <c r="V238" s="637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customHeight="1" x14ac:dyDescent="0.25">
      <c r="A239" s="649" t="s">
        <v>86</v>
      </c>
      <c r="B239" s="649"/>
      <c r="C239" s="649"/>
      <c r="D239" s="649"/>
      <c r="E239" s="649"/>
      <c r="F239" s="649"/>
      <c r="G239" s="649"/>
      <c r="H239" s="649"/>
      <c r="I239" s="649"/>
      <c r="J239" s="649"/>
      <c r="K239" s="649"/>
      <c r="L239" s="649"/>
      <c r="M239" s="649"/>
      <c r="N239" s="649"/>
      <c r="O239" s="649"/>
      <c r="P239" s="649"/>
      <c r="Q239" s="649"/>
      <c r="R239" s="649"/>
      <c r="S239" s="649"/>
      <c r="T239" s="649"/>
      <c r="U239" s="649"/>
      <c r="V239" s="649"/>
      <c r="W239" s="649"/>
      <c r="X239" s="649"/>
      <c r="Y239" s="649"/>
      <c r="Z239" s="649"/>
      <c r="AA239" s="63"/>
      <c r="AB239" s="63"/>
      <c r="AC239" s="63"/>
    </row>
    <row r="240" spans="1:68" ht="16.5" customHeight="1" x14ac:dyDescent="0.25">
      <c r="A240" s="60" t="s">
        <v>422</v>
      </c>
      <c r="B240" s="60" t="s">
        <v>423</v>
      </c>
      <c r="C240" s="34">
        <v>4301052209</v>
      </c>
      <c r="D240" s="644">
        <v>4680115888692</v>
      </c>
      <c r="E240" s="64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6"/>
      <c r="R240" s="646"/>
      <c r="S240" s="646"/>
      <c r="T240" s="64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customHeight="1" x14ac:dyDescent="0.25">
      <c r="A241" s="60" t="s">
        <v>425</v>
      </c>
      <c r="B241" s="60" t="s">
        <v>426</v>
      </c>
      <c r="C241" s="34">
        <v>4301052213</v>
      </c>
      <c r="D241" s="644">
        <v>4680115888722</v>
      </c>
      <c r="E241" s="64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0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6"/>
      <c r="R241" s="646"/>
      <c r="S241" s="646"/>
      <c r="T241" s="64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428</v>
      </c>
      <c r="B242" s="60" t="s">
        <v>429</v>
      </c>
      <c r="C242" s="34">
        <v>4301052177</v>
      </c>
      <c r="D242" s="644">
        <v>4680115888951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6"/>
      <c r="R242" s="646"/>
      <c r="S242" s="646"/>
      <c r="T242" s="64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customHeight="1" x14ac:dyDescent="0.25">
      <c r="A243" s="60" t="s">
        <v>431</v>
      </c>
      <c r="B243" s="60" t="s">
        <v>432</v>
      </c>
      <c r="C243" s="34">
        <v>4301052178</v>
      </c>
      <c r="D243" s="644">
        <v>4680115888975</v>
      </c>
      <c r="E243" s="64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6"/>
      <c r="R243" s="646"/>
      <c r="S243" s="646"/>
      <c r="T243" s="64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customHeight="1" x14ac:dyDescent="0.25">
      <c r="A244" s="60" t="s">
        <v>434</v>
      </c>
      <c r="B244" s="60" t="s">
        <v>435</v>
      </c>
      <c r="C244" s="34">
        <v>4301052176</v>
      </c>
      <c r="D244" s="644">
        <v>4680115888982</v>
      </c>
      <c r="E244" s="64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0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customHeight="1" x14ac:dyDescent="0.25">
      <c r="A247" s="649" t="s">
        <v>104</v>
      </c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49"/>
      <c r="P247" s="649"/>
      <c r="Q247" s="649"/>
      <c r="R247" s="649"/>
      <c r="S247" s="649"/>
      <c r="T247" s="649"/>
      <c r="U247" s="649"/>
      <c r="V247" s="649"/>
      <c r="W247" s="649"/>
      <c r="X247" s="649"/>
      <c r="Y247" s="649"/>
      <c r="Z247" s="649"/>
      <c r="AA247" s="63"/>
      <c r="AB247" s="63"/>
      <c r="AC247" s="63"/>
    </row>
    <row r="248" spans="1:68" ht="27" customHeight="1" x14ac:dyDescent="0.25">
      <c r="A248" s="60" t="s">
        <v>436</v>
      </c>
      <c r="B248" s="60" t="s">
        <v>437</v>
      </c>
      <c r="C248" s="34">
        <v>4301032053</v>
      </c>
      <c r="D248" s="644">
        <v>4680115886780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439</v>
      </c>
      <c r="B249" s="60" t="s">
        <v>440</v>
      </c>
      <c r="C249" s="34">
        <v>4301032051</v>
      </c>
      <c r="D249" s="644">
        <v>4680115886742</v>
      </c>
      <c r="E249" s="64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442</v>
      </c>
      <c r="B250" s="60" t="s">
        <v>443</v>
      </c>
      <c r="C250" s="34">
        <v>4301032052</v>
      </c>
      <c r="D250" s="644">
        <v>4680115886766</v>
      </c>
      <c r="E250" s="64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customHeight="1" x14ac:dyDescent="0.25">
      <c r="A253" s="649" t="s">
        <v>444</v>
      </c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49"/>
      <c r="P253" s="649"/>
      <c r="Q253" s="649"/>
      <c r="R253" s="649"/>
      <c r="S253" s="649"/>
      <c r="T253" s="649"/>
      <c r="U253" s="649"/>
      <c r="V253" s="649"/>
      <c r="W253" s="649"/>
      <c r="X253" s="649"/>
      <c r="Y253" s="649"/>
      <c r="Z253" s="649"/>
      <c r="AA253" s="63"/>
      <c r="AB253" s="63"/>
      <c r="AC253" s="63"/>
    </row>
    <row r="254" spans="1:68" ht="27" customHeight="1" x14ac:dyDescent="0.25">
      <c r="A254" s="60" t="s">
        <v>445</v>
      </c>
      <c r="B254" s="60" t="s">
        <v>446</v>
      </c>
      <c r="C254" s="34">
        <v>4301170013</v>
      </c>
      <c r="D254" s="644">
        <v>4680115886797</v>
      </c>
      <c r="E254" s="64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x14ac:dyDescent="0.2">
      <c r="A255" s="638"/>
      <c r="B255" s="638"/>
      <c r="C255" s="638"/>
      <c r="D255" s="638"/>
      <c r="E255" s="638"/>
      <c r="F255" s="638"/>
      <c r="G255" s="638"/>
      <c r="H255" s="638"/>
      <c r="I255" s="638"/>
      <c r="J255" s="638"/>
      <c r="K255" s="638"/>
      <c r="L255" s="638"/>
      <c r="M255" s="638"/>
      <c r="N255" s="638"/>
      <c r="O255" s="639"/>
      <c r="P255" s="635" t="s">
        <v>40</v>
      </c>
      <c r="Q255" s="636"/>
      <c r="R255" s="636"/>
      <c r="S255" s="636"/>
      <c r="T255" s="636"/>
      <c r="U255" s="636"/>
      <c r="V255" s="637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customHeight="1" x14ac:dyDescent="0.25">
      <c r="A257" s="648" t="s">
        <v>447</v>
      </c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8"/>
      <c r="P257" s="648"/>
      <c r="Q257" s="648"/>
      <c r="R257" s="648"/>
      <c r="S257" s="648"/>
      <c r="T257" s="648"/>
      <c r="U257" s="648"/>
      <c r="V257" s="648"/>
      <c r="W257" s="648"/>
      <c r="X257" s="648"/>
      <c r="Y257" s="648"/>
      <c r="Z257" s="648"/>
      <c r="AA257" s="62"/>
      <c r="AB257" s="62"/>
      <c r="AC257" s="62"/>
    </row>
    <row r="258" spans="1:68" ht="14.25" customHeight="1" x14ac:dyDescent="0.25">
      <c r="A258" s="649" t="s">
        <v>128</v>
      </c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49"/>
      <c r="P258" s="649"/>
      <c r="Q258" s="649"/>
      <c r="R258" s="649"/>
      <c r="S258" s="649"/>
      <c r="T258" s="649"/>
      <c r="U258" s="649"/>
      <c r="V258" s="649"/>
      <c r="W258" s="649"/>
      <c r="X258" s="649"/>
      <c r="Y258" s="649"/>
      <c r="Z258" s="649"/>
      <c r="AA258" s="63"/>
      <c r="AB258" s="63"/>
      <c r="AC258" s="63"/>
    </row>
    <row r="259" spans="1:68" ht="27" customHeight="1" x14ac:dyDescent="0.25">
      <c r="A259" s="60" t="s">
        <v>448</v>
      </c>
      <c r="B259" s="60" t="s">
        <v>449</v>
      </c>
      <c r="C259" s="34">
        <v>4301011450</v>
      </c>
      <c r="D259" s="644">
        <v>4680115881402</v>
      </c>
      <c r="E259" s="64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customHeight="1" x14ac:dyDescent="0.25">
      <c r="A260" s="60" t="s">
        <v>451</v>
      </c>
      <c r="B260" s="60" t="s">
        <v>452</v>
      </c>
      <c r="C260" s="34">
        <v>4301011768</v>
      </c>
      <c r="D260" s="644">
        <v>4680115881396</v>
      </c>
      <c r="E260" s="64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x14ac:dyDescent="0.2">
      <c r="A261" s="638"/>
      <c r="B261" s="638"/>
      <c r="C261" s="638"/>
      <c r="D261" s="638"/>
      <c r="E261" s="638"/>
      <c r="F261" s="638"/>
      <c r="G261" s="638"/>
      <c r="H261" s="638"/>
      <c r="I261" s="638"/>
      <c r="J261" s="638"/>
      <c r="K261" s="638"/>
      <c r="L261" s="638"/>
      <c r="M261" s="638"/>
      <c r="N261" s="638"/>
      <c r="O261" s="639"/>
      <c r="P261" s="635" t="s">
        <v>40</v>
      </c>
      <c r="Q261" s="636"/>
      <c r="R261" s="636"/>
      <c r="S261" s="636"/>
      <c r="T261" s="636"/>
      <c r="U261" s="636"/>
      <c r="V261" s="637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x14ac:dyDescent="0.2">
      <c r="A262" s="638"/>
      <c r="B262" s="638"/>
      <c r="C262" s="638"/>
      <c r="D262" s="638"/>
      <c r="E262" s="638"/>
      <c r="F262" s="638"/>
      <c r="G262" s="638"/>
      <c r="H262" s="638"/>
      <c r="I262" s="638"/>
      <c r="J262" s="638"/>
      <c r="K262" s="638"/>
      <c r="L262" s="638"/>
      <c r="M262" s="638"/>
      <c r="N262" s="638"/>
      <c r="O262" s="639"/>
      <c r="P262" s="635" t="s">
        <v>40</v>
      </c>
      <c r="Q262" s="636"/>
      <c r="R262" s="636"/>
      <c r="S262" s="636"/>
      <c r="T262" s="636"/>
      <c r="U262" s="636"/>
      <c r="V262" s="637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customHeight="1" x14ac:dyDescent="0.25">
      <c r="A263" s="649" t="s">
        <v>164</v>
      </c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49"/>
      <c r="P263" s="649"/>
      <c r="Q263" s="649"/>
      <c r="R263" s="649"/>
      <c r="S263" s="649"/>
      <c r="T263" s="649"/>
      <c r="U263" s="649"/>
      <c r="V263" s="649"/>
      <c r="W263" s="649"/>
      <c r="X263" s="649"/>
      <c r="Y263" s="649"/>
      <c r="Z263" s="649"/>
      <c r="AA263" s="63"/>
      <c r="AB263" s="63"/>
      <c r="AC263" s="63"/>
    </row>
    <row r="264" spans="1:68" ht="16.5" customHeight="1" x14ac:dyDescent="0.25">
      <c r="A264" s="60" t="s">
        <v>453</v>
      </c>
      <c r="B264" s="60" t="s">
        <v>454</v>
      </c>
      <c r="C264" s="34">
        <v>4301020261</v>
      </c>
      <c r="D264" s="644">
        <v>4680115882935</v>
      </c>
      <c r="E264" s="64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customHeight="1" x14ac:dyDescent="0.25">
      <c r="A265" s="60" t="s">
        <v>456</v>
      </c>
      <c r="B265" s="60" t="s">
        <v>457</v>
      </c>
      <c r="C265" s="34">
        <v>4301020220</v>
      </c>
      <c r="D265" s="644">
        <v>4680115880764</v>
      </c>
      <c r="E265" s="64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38"/>
      <c r="B266" s="638"/>
      <c r="C266" s="638"/>
      <c r="D266" s="638"/>
      <c r="E266" s="638"/>
      <c r="F266" s="638"/>
      <c r="G266" s="638"/>
      <c r="H266" s="638"/>
      <c r="I266" s="638"/>
      <c r="J266" s="638"/>
      <c r="K266" s="638"/>
      <c r="L266" s="638"/>
      <c r="M266" s="638"/>
      <c r="N266" s="638"/>
      <c r="O266" s="639"/>
      <c r="P266" s="635" t="s">
        <v>40</v>
      </c>
      <c r="Q266" s="636"/>
      <c r="R266" s="636"/>
      <c r="S266" s="636"/>
      <c r="T266" s="636"/>
      <c r="U266" s="636"/>
      <c r="V266" s="637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customHeight="1" x14ac:dyDescent="0.25">
      <c r="A268" s="649" t="s">
        <v>77</v>
      </c>
      <c r="B268" s="649"/>
      <c r="C268" s="649"/>
      <c r="D268" s="649"/>
      <c r="E268" s="649"/>
      <c r="F268" s="649"/>
      <c r="G268" s="649"/>
      <c r="H268" s="649"/>
      <c r="I268" s="649"/>
      <c r="J268" s="649"/>
      <c r="K268" s="649"/>
      <c r="L268" s="649"/>
      <c r="M268" s="649"/>
      <c r="N268" s="649"/>
      <c r="O268" s="649"/>
      <c r="P268" s="649"/>
      <c r="Q268" s="649"/>
      <c r="R268" s="649"/>
      <c r="S268" s="649"/>
      <c r="T268" s="649"/>
      <c r="U268" s="649"/>
      <c r="V268" s="649"/>
      <c r="W268" s="649"/>
      <c r="X268" s="649"/>
      <c r="Y268" s="649"/>
      <c r="Z268" s="649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644">
        <v>4680115882683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644">
        <v>4680115882690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644">
        <v>4680115882669</v>
      </c>
      <c r="E271" s="64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644">
        <v>4680115882676</v>
      </c>
      <c r="E272" s="64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customHeight="1" x14ac:dyDescent="0.25">
      <c r="A273" s="60" t="s">
        <v>470</v>
      </c>
      <c r="B273" s="60" t="s">
        <v>471</v>
      </c>
      <c r="C273" s="34">
        <v>4301031223</v>
      </c>
      <c r="D273" s="644">
        <v>4680115884014</v>
      </c>
      <c r="E273" s="64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customHeight="1" x14ac:dyDescent="0.25">
      <c r="A274" s="60" t="s">
        <v>472</v>
      </c>
      <c r="B274" s="60" t="s">
        <v>473</v>
      </c>
      <c r="C274" s="34">
        <v>4301031222</v>
      </c>
      <c r="D274" s="644">
        <v>4680115884007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customHeight="1" x14ac:dyDescent="0.25">
      <c r="A275" s="60" t="s">
        <v>474</v>
      </c>
      <c r="B275" s="60" t="s">
        <v>475</v>
      </c>
      <c r="C275" s="34">
        <v>4301031229</v>
      </c>
      <c r="D275" s="644">
        <v>4680115884038</v>
      </c>
      <c r="E275" s="64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644">
        <v>4680115884021</v>
      </c>
      <c r="E276" s="64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x14ac:dyDescent="0.2">
      <c r="A277" s="638"/>
      <c r="B277" s="638"/>
      <c r="C277" s="638"/>
      <c r="D277" s="638"/>
      <c r="E277" s="638"/>
      <c r="F277" s="638"/>
      <c r="G277" s="638"/>
      <c r="H277" s="638"/>
      <c r="I277" s="638"/>
      <c r="J277" s="638"/>
      <c r="K277" s="638"/>
      <c r="L277" s="638"/>
      <c r="M277" s="638"/>
      <c r="N277" s="638"/>
      <c r="O277" s="639"/>
      <c r="P277" s="635" t="s">
        <v>40</v>
      </c>
      <c r="Q277" s="636"/>
      <c r="R277" s="636"/>
      <c r="S277" s="636"/>
      <c r="T277" s="636"/>
      <c r="U277" s="636"/>
      <c r="V277" s="637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x14ac:dyDescent="0.2">
      <c r="A278" s="638"/>
      <c r="B278" s="638"/>
      <c r="C278" s="638"/>
      <c r="D278" s="638"/>
      <c r="E278" s="638"/>
      <c r="F278" s="638"/>
      <c r="G278" s="638"/>
      <c r="H278" s="638"/>
      <c r="I278" s="638"/>
      <c r="J278" s="638"/>
      <c r="K278" s="638"/>
      <c r="L278" s="638"/>
      <c r="M278" s="638"/>
      <c r="N278" s="638"/>
      <c r="O278" s="639"/>
      <c r="P278" s="635" t="s">
        <v>40</v>
      </c>
      <c r="Q278" s="636"/>
      <c r="R278" s="636"/>
      <c r="S278" s="636"/>
      <c r="T278" s="636"/>
      <c r="U278" s="636"/>
      <c r="V278" s="637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customHeight="1" x14ac:dyDescent="0.25">
      <c r="A279" s="649" t="s">
        <v>86</v>
      </c>
      <c r="B279" s="649"/>
      <c r="C279" s="649"/>
      <c r="D279" s="649"/>
      <c r="E279" s="649"/>
      <c r="F279" s="649"/>
      <c r="G279" s="649"/>
      <c r="H279" s="649"/>
      <c r="I279" s="649"/>
      <c r="J279" s="649"/>
      <c r="K279" s="649"/>
      <c r="L279" s="649"/>
      <c r="M279" s="649"/>
      <c r="N279" s="649"/>
      <c r="O279" s="649"/>
      <c r="P279" s="649"/>
      <c r="Q279" s="649"/>
      <c r="R279" s="649"/>
      <c r="S279" s="649"/>
      <c r="T279" s="649"/>
      <c r="U279" s="649"/>
      <c r="V279" s="649"/>
      <c r="W279" s="649"/>
      <c r="X279" s="649"/>
      <c r="Y279" s="649"/>
      <c r="Z279" s="649"/>
      <c r="AA279" s="63"/>
      <c r="AB279" s="63"/>
      <c r="AC279" s="63"/>
    </row>
    <row r="280" spans="1:68" ht="27" customHeight="1" x14ac:dyDescent="0.25">
      <c r="A280" s="60" t="s">
        <v>478</v>
      </c>
      <c r="B280" s="60" t="s">
        <v>479</v>
      </c>
      <c r="C280" s="34">
        <v>4301051408</v>
      </c>
      <c r="D280" s="644">
        <v>4680115881594</v>
      </c>
      <c r="E280" s="64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customHeight="1" x14ac:dyDescent="0.25">
      <c r="A281" s="60" t="s">
        <v>481</v>
      </c>
      <c r="B281" s="60" t="s">
        <v>482</v>
      </c>
      <c r="C281" s="34">
        <v>4301051411</v>
      </c>
      <c r="D281" s="644">
        <v>4680115881617</v>
      </c>
      <c r="E281" s="64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644">
        <v>4680115880573</v>
      </c>
      <c r="E282" s="64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644">
        <v>4680115882195</v>
      </c>
      <c r="E283" s="64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4301051752</v>
      </c>
      <c r="D284" s="644">
        <v>4680115882607</v>
      </c>
      <c r="E284" s="64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4301052143</v>
      </c>
      <c r="D285" s="644">
        <v>4680115882607</v>
      </c>
      <c r="E285" s="64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644">
        <v>4680115880092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4301052214</v>
      </c>
      <c r="D287" s="644">
        <v>4680115889064</v>
      </c>
      <c r="E287" s="64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customHeight="1" x14ac:dyDescent="0.25">
      <c r="A288" s="60" t="s">
        <v>498</v>
      </c>
      <c r="B288" s="60" t="s">
        <v>499</v>
      </c>
      <c r="C288" s="34">
        <v>4301051668</v>
      </c>
      <c r="D288" s="644">
        <v>4680115880221</v>
      </c>
      <c r="E288" s="64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644">
        <v>4680115880504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644">
        <v>4680115882164</v>
      </c>
      <c r="E290" s="64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customHeight="1" x14ac:dyDescent="0.25">
      <c r="A291" s="60" t="s">
        <v>506</v>
      </c>
      <c r="B291" s="60" t="s">
        <v>507</v>
      </c>
      <c r="C291" s="34">
        <v>4301052180</v>
      </c>
      <c r="D291" s="644">
        <v>4680115888340</v>
      </c>
      <c r="E291" s="64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638"/>
      <c r="B292" s="638"/>
      <c r="C292" s="638"/>
      <c r="D292" s="638"/>
      <c r="E292" s="638"/>
      <c r="F292" s="638"/>
      <c r="G292" s="638"/>
      <c r="H292" s="638"/>
      <c r="I292" s="638"/>
      <c r="J292" s="638"/>
      <c r="K292" s="638"/>
      <c r="L292" s="638"/>
      <c r="M292" s="638"/>
      <c r="N292" s="638"/>
      <c r="O292" s="639"/>
      <c r="P292" s="635" t="s">
        <v>40</v>
      </c>
      <c r="Q292" s="636"/>
      <c r="R292" s="636"/>
      <c r="S292" s="636"/>
      <c r="T292" s="636"/>
      <c r="U292" s="636"/>
      <c r="V292" s="637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customHeight="1" x14ac:dyDescent="0.25">
      <c r="A294" s="649" t="s">
        <v>181</v>
      </c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49"/>
      <c r="P294" s="649"/>
      <c r="Q294" s="649"/>
      <c r="R294" s="649"/>
      <c r="S294" s="649"/>
      <c r="T294" s="649"/>
      <c r="U294" s="649"/>
      <c r="V294" s="649"/>
      <c r="W294" s="649"/>
      <c r="X294" s="649"/>
      <c r="Y294" s="649"/>
      <c r="Z294" s="649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644">
        <v>4680115880818</v>
      </c>
      <c r="E295" s="64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644">
        <v>4680115880801</v>
      </c>
      <c r="E296" s="64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x14ac:dyDescent="0.2">
      <c r="A297" s="638"/>
      <c r="B297" s="638"/>
      <c r="C297" s="638"/>
      <c r="D297" s="638"/>
      <c r="E297" s="638"/>
      <c r="F297" s="638"/>
      <c r="G297" s="638"/>
      <c r="H297" s="638"/>
      <c r="I297" s="638"/>
      <c r="J297" s="638"/>
      <c r="K297" s="638"/>
      <c r="L297" s="638"/>
      <c r="M297" s="638"/>
      <c r="N297" s="638"/>
      <c r="O297" s="639"/>
      <c r="P297" s="635" t="s">
        <v>40</v>
      </c>
      <c r="Q297" s="636"/>
      <c r="R297" s="636"/>
      <c r="S297" s="636"/>
      <c r="T297" s="636"/>
      <c r="U297" s="636"/>
      <c r="V297" s="637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customHeight="1" x14ac:dyDescent="0.25">
      <c r="A299" s="648" t="s">
        <v>515</v>
      </c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8"/>
      <c r="P299" s="648"/>
      <c r="Q299" s="648"/>
      <c r="R299" s="648"/>
      <c r="S299" s="648"/>
      <c r="T299" s="648"/>
      <c r="U299" s="648"/>
      <c r="V299" s="648"/>
      <c r="W299" s="648"/>
      <c r="X299" s="648"/>
      <c r="Y299" s="648"/>
      <c r="Z299" s="648"/>
      <c r="AA299" s="62"/>
      <c r="AB299" s="62"/>
      <c r="AC299" s="62"/>
    </row>
    <row r="300" spans="1:68" ht="14.25" customHeight="1" x14ac:dyDescent="0.25">
      <c r="A300" s="649" t="s">
        <v>128</v>
      </c>
      <c r="B300" s="649"/>
      <c r="C300" s="649"/>
      <c r="D300" s="649"/>
      <c r="E300" s="649"/>
      <c r="F300" s="649"/>
      <c r="G300" s="649"/>
      <c r="H300" s="649"/>
      <c r="I300" s="649"/>
      <c r="J300" s="649"/>
      <c r="K300" s="649"/>
      <c r="L300" s="649"/>
      <c r="M300" s="649"/>
      <c r="N300" s="649"/>
      <c r="O300" s="649"/>
      <c r="P300" s="649"/>
      <c r="Q300" s="649"/>
      <c r="R300" s="649"/>
      <c r="S300" s="649"/>
      <c r="T300" s="649"/>
      <c r="U300" s="649"/>
      <c r="V300" s="649"/>
      <c r="W300" s="649"/>
      <c r="X300" s="649"/>
      <c r="Y300" s="649"/>
      <c r="Z300" s="649"/>
      <c r="AA300" s="63"/>
      <c r="AB300" s="63"/>
      <c r="AC300" s="63"/>
    </row>
    <row r="301" spans="1:68" ht="27" customHeight="1" x14ac:dyDescent="0.25">
      <c r="A301" s="60" t="s">
        <v>516</v>
      </c>
      <c r="B301" s="60" t="s">
        <v>517</v>
      </c>
      <c r="C301" s="34">
        <v>4301011826</v>
      </c>
      <c r="D301" s="644">
        <v>4680115884137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customHeight="1" x14ac:dyDescent="0.25">
      <c r="A302" s="60" t="s">
        <v>519</v>
      </c>
      <c r="B302" s="60" t="s">
        <v>520</v>
      </c>
      <c r="C302" s="34">
        <v>4301011724</v>
      </c>
      <c r="D302" s="644">
        <v>4680115884236</v>
      </c>
      <c r="E302" s="64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customHeight="1" x14ac:dyDescent="0.25">
      <c r="A303" s="60" t="s">
        <v>522</v>
      </c>
      <c r="B303" s="60" t="s">
        <v>523</v>
      </c>
      <c r="C303" s="34">
        <v>4301011721</v>
      </c>
      <c r="D303" s="644">
        <v>4680115884175</v>
      </c>
      <c r="E303" s="64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customHeight="1" x14ac:dyDescent="0.25">
      <c r="A304" s="60" t="s">
        <v>524</v>
      </c>
      <c r="B304" s="60" t="s">
        <v>525</v>
      </c>
      <c r="C304" s="34">
        <v>4301011824</v>
      </c>
      <c r="D304" s="644">
        <v>4680115884144</v>
      </c>
      <c r="E304" s="64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customHeight="1" x14ac:dyDescent="0.25">
      <c r="A305" s="60" t="s">
        <v>526</v>
      </c>
      <c r="B305" s="60" t="s">
        <v>527</v>
      </c>
      <c r="C305" s="34">
        <v>4301012149</v>
      </c>
      <c r="D305" s="644">
        <v>4680115886551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customHeight="1" x14ac:dyDescent="0.25">
      <c r="A306" s="60" t="s">
        <v>529</v>
      </c>
      <c r="B306" s="60" t="s">
        <v>530</v>
      </c>
      <c r="C306" s="34">
        <v>4301012228</v>
      </c>
      <c r="D306" s="644">
        <v>4680115887282</v>
      </c>
      <c r="E306" s="64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customHeight="1" x14ac:dyDescent="0.25">
      <c r="A307" s="60" t="s">
        <v>532</v>
      </c>
      <c r="B307" s="60" t="s">
        <v>533</v>
      </c>
      <c r="C307" s="34">
        <v>4301011722</v>
      </c>
      <c r="D307" s="644">
        <v>4680115884205</v>
      </c>
      <c r="E307" s="64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x14ac:dyDescent="0.2">
      <c r="A308" s="638"/>
      <c r="B308" s="638"/>
      <c r="C308" s="638"/>
      <c r="D308" s="638"/>
      <c r="E308" s="638"/>
      <c r="F308" s="638"/>
      <c r="G308" s="638"/>
      <c r="H308" s="638"/>
      <c r="I308" s="638"/>
      <c r="J308" s="638"/>
      <c r="K308" s="638"/>
      <c r="L308" s="638"/>
      <c r="M308" s="638"/>
      <c r="N308" s="638"/>
      <c r="O308" s="639"/>
      <c r="P308" s="635" t="s">
        <v>40</v>
      </c>
      <c r="Q308" s="636"/>
      <c r="R308" s="636"/>
      <c r="S308" s="636"/>
      <c r="T308" s="636"/>
      <c r="U308" s="636"/>
      <c r="V308" s="637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x14ac:dyDescent="0.2">
      <c r="A309" s="638"/>
      <c r="B309" s="638"/>
      <c r="C309" s="638"/>
      <c r="D309" s="638"/>
      <c r="E309" s="638"/>
      <c r="F309" s="638"/>
      <c r="G309" s="638"/>
      <c r="H309" s="638"/>
      <c r="I309" s="638"/>
      <c r="J309" s="638"/>
      <c r="K309" s="638"/>
      <c r="L309" s="638"/>
      <c r="M309" s="638"/>
      <c r="N309" s="638"/>
      <c r="O309" s="639"/>
      <c r="P309" s="635" t="s">
        <v>40</v>
      </c>
      <c r="Q309" s="636"/>
      <c r="R309" s="636"/>
      <c r="S309" s="636"/>
      <c r="T309" s="636"/>
      <c r="U309" s="636"/>
      <c r="V309" s="637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customHeight="1" x14ac:dyDescent="0.25">
      <c r="A310" s="649" t="s">
        <v>164</v>
      </c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49"/>
      <c r="P310" s="649"/>
      <c r="Q310" s="649"/>
      <c r="R310" s="649"/>
      <c r="S310" s="649"/>
      <c r="T310" s="649"/>
      <c r="U310" s="649"/>
      <c r="V310" s="649"/>
      <c r="W310" s="649"/>
      <c r="X310" s="649"/>
      <c r="Y310" s="649"/>
      <c r="Z310" s="649"/>
      <c r="AA310" s="63"/>
      <c r="AB310" s="63"/>
      <c r="AC310" s="63"/>
    </row>
    <row r="311" spans="1:68" ht="27" customHeight="1" x14ac:dyDescent="0.25">
      <c r="A311" s="60" t="s">
        <v>534</v>
      </c>
      <c r="B311" s="60" t="s">
        <v>535</v>
      </c>
      <c r="C311" s="34">
        <v>4301020377</v>
      </c>
      <c r="D311" s="644">
        <v>4680115885981</v>
      </c>
      <c r="E311" s="64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customHeight="1" x14ac:dyDescent="0.25">
      <c r="A314" s="649" t="s">
        <v>537</v>
      </c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49"/>
      <c r="P314" s="649"/>
      <c r="Q314" s="649"/>
      <c r="R314" s="649"/>
      <c r="S314" s="649"/>
      <c r="T314" s="649"/>
      <c r="U314" s="649"/>
      <c r="V314" s="649"/>
      <c r="W314" s="649"/>
      <c r="X314" s="649"/>
      <c r="Y314" s="649"/>
      <c r="Z314" s="649"/>
      <c r="AA314" s="63"/>
      <c r="AB314" s="63"/>
      <c r="AC314" s="63"/>
    </row>
    <row r="315" spans="1:68" ht="27" customHeight="1" x14ac:dyDescent="0.25">
      <c r="A315" s="60" t="s">
        <v>538</v>
      </c>
      <c r="B315" s="60" t="s">
        <v>539</v>
      </c>
      <c r="C315" s="34">
        <v>4301040362</v>
      </c>
      <c r="D315" s="644">
        <v>4680115886803</v>
      </c>
      <c r="E315" s="64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x14ac:dyDescent="0.2">
      <c r="A316" s="638"/>
      <c r="B316" s="638"/>
      <c r="C316" s="638"/>
      <c r="D316" s="638"/>
      <c r="E316" s="638"/>
      <c r="F316" s="638"/>
      <c r="G316" s="638"/>
      <c r="H316" s="638"/>
      <c r="I316" s="638"/>
      <c r="J316" s="638"/>
      <c r="K316" s="638"/>
      <c r="L316" s="638"/>
      <c r="M316" s="638"/>
      <c r="N316" s="638"/>
      <c r="O316" s="639"/>
      <c r="P316" s="635" t="s">
        <v>40</v>
      </c>
      <c r="Q316" s="636"/>
      <c r="R316" s="636"/>
      <c r="S316" s="636"/>
      <c r="T316" s="636"/>
      <c r="U316" s="636"/>
      <c r="V316" s="637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x14ac:dyDescent="0.2">
      <c r="A317" s="638"/>
      <c r="B317" s="638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38"/>
      <c r="N317" s="638"/>
      <c r="O317" s="639"/>
      <c r="P317" s="635" t="s">
        <v>40</v>
      </c>
      <c r="Q317" s="636"/>
      <c r="R317" s="636"/>
      <c r="S317" s="636"/>
      <c r="T317" s="636"/>
      <c r="U317" s="636"/>
      <c r="V317" s="637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customHeight="1" x14ac:dyDescent="0.25">
      <c r="A318" s="649" t="s">
        <v>354</v>
      </c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49"/>
      <c r="P318" s="649"/>
      <c r="Q318" s="649"/>
      <c r="R318" s="649"/>
      <c r="S318" s="649"/>
      <c r="T318" s="649"/>
      <c r="U318" s="649"/>
      <c r="V318" s="649"/>
      <c r="W318" s="649"/>
      <c r="X318" s="649"/>
      <c r="Y318" s="649"/>
      <c r="Z318" s="649"/>
      <c r="AA318" s="63"/>
      <c r="AB318" s="63"/>
      <c r="AC318" s="63"/>
    </row>
    <row r="319" spans="1:68" ht="27" customHeight="1" x14ac:dyDescent="0.25">
      <c r="A319" s="60" t="s">
        <v>541</v>
      </c>
      <c r="B319" s="60" t="s">
        <v>542</v>
      </c>
      <c r="C319" s="34">
        <v>4301041004</v>
      </c>
      <c r="D319" s="644">
        <v>4680115886704</v>
      </c>
      <c r="E319" s="64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544</v>
      </c>
      <c r="B320" s="60" t="s">
        <v>545</v>
      </c>
      <c r="C320" s="34">
        <v>4301041008</v>
      </c>
      <c r="D320" s="644">
        <v>4680115886681</v>
      </c>
      <c r="E320" s="64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customHeight="1" x14ac:dyDescent="0.25">
      <c r="A321" s="60" t="s">
        <v>546</v>
      </c>
      <c r="B321" s="60" t="s">
        <v>547</v>
      </c>
      <c r="C321" s="34">
        <v>4301041007</v>
      </c>
      <c r="D321" s="644">
        <v>4680115886735</v>
      </c>
      <c r="E321" s="64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x14ac:dyDescent="0.2">
      <c r="A323" s="638"/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9"/>
      <c r="P323" s="635" t="s">
        <v>40</v>
      </c>
      <c r="Q323" s="636"/>
      <c r="R323" s="636"/>
      <c r="S323" s="636"/>
      <c r="T323" s="636"/>
      <c r="U323" s="636"/>
      <c r="V323" s="637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customHeight="1" x14ac:dyDescent="0.25">
      <c r="A324" s="648" t="s">
        <v>548</v>
      </c>
      <c r="B324" s="648"/>
      <c r="C324" s="648"/>
      <c r="D324" s="648"/>
      <c r="E324" s="648"/>
      <c r="F324" s="648"/>
      <c r="G324" s="648"/>
      <c r="H324" s="648"/>
      <c r="I324" s="648"/>
      <c r="J324" s="648"/>
      <c r="K324" s="648"/>
      <c r="L324" s="648"/>
      <c r="M324" s="648"/>
      <c r="N324" s="648"/>
      <c r="O324" s="648"/>
      <c r="P324" s="648"/>
      <c r="Q324" s="648"/>
      <c r="R324" s="648"/>
      <c r="S324" s="648"/>
      <c r="T324" s="648"/>
      <c r="U324" s="648"/>
      <c r="V324" s="648"/>
      <c r="W324" s="648"/>
      <c r="X324" s="648"/>
      <c r="Y324" s="648"/>
      <c r="Z324" s="648"/>
      <c r="AA324" s="62"/>
      <c r="AB324" s="62"/>
      <c r="AC324" s="62"/>
    </row>
    <row r="325" spans="1:68" ht="14.25" customHeight="1" x14ac:dyDescent="0.25">
      <c r="A325" s="649" t="s">
        <v>128</v>
      </c>
      <c r="B325" s="649"/>
      <c r="C325" s="649"/>
      <c r="D325" s="649"/>
      <c r="E325" s="649"/>
      <c r="F325" s="649"/>
      <c r="G325" s="649"/>
      <c r="H325" s="649"/>
      <c r="I325" s="649"/>
      <c r="J325" s="649"/>
      <c r="K325" s="649"/>
      <c r="L325" s="649"/>
      <c r="M325" s="649"/>
      <c r="N325" s="649"/>
      <c r="O325" s="649"/>
      <c r="P325" s="649"/>
      <c r="Q325" s="649"/>
      <c r="R325" s="649"/>
      <c r="S325" s="649"/>
      <c r="T325" s="649"/>
      <c r="U325" s="649"/>
      <c r="V325" s="649"/>
      <c r="W325" s="649"/>
      <c r="X325" s="649"/>
      <c r="Y325" s="649"/>
      <c r="Z325" s="649"/>
      <c r="AA325" s="63"/>
      <c r="AB325" s="63"/>
      <c r="AC325" s="63"/>
    </row>
    <row r="326" spans="1:68" ht="27" customHeight="1" x14ac:dyDescent="0.25">
      <c r="A326" s="60" t="s">
        <v>549</v>
      </c>
      <c r="B326" s="60" t="s">
        <v>550</v>
      </c>
      <c r="C326" s="34">
        <v>4301011855</v>
      </c>
      <c r="D326" s="644">
        <v>4680115885837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customHeight="1" x14ac:dyDescent="0.25">
      <c r="A327" s="60" t="s">
        <v>552</v>
      </c>
      <c r="B327" s="60" t="s">
        <v>553</v>
      </c>
      <c r="C327" s="34">
        <v>4301012234</v>
      </c>
      <c r="D327" s="644">
        <v>4680115887237</v>
      </c>
      <c r="E327" s="64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555</v>
      </c>
      <c r="B328" s="60" t="s">
        <v>556</v>
      </c>
      <c r="C328" s="34">
        <v>4301011850</v>
      </c>
      <c r="D328" s="644">
        <v>4680115885806</v>
      </c>
      <c r="E328" s="64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558</v>
      </c>
      <c r="B329" s="60" t="s">
        <v>559</v>
      </c>
      <c r="C329" s="34">
        <v>4301011852</v>
      </c>
      <c r="D329" s="644">
        <v>4680115885844</v>
      </c>
      <c r="E329" s="64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customHeight="1" x14ac:dyDescent="0.25">
      <c r="A330" s="60" t="s">
        <v>561</v>
      </c>
      <c r="B330" s="60" t="s">
        <v>562</v>
      </c>
      <c r="C330" s="34">
        <v>4301011851</v>
      </c>
      <c r="D330" s="644">
        <v>4680115885820</v>
      </c>
      <c r="E330" s="64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customHeight="1" x14ac:dyDescent="0.25">
      <c r="A333" s="648" t="s">
        <v>564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2"/>
      <c r="AB333" s="62"/>
      <c r="AC333" s="62"/>
    </row>
    <row r="334" spans="1:68" ht="14.25" customHeight="1" x14ac:dyDescent="0.25">
      <c r="A334" s="649" t="s">
        <v>86</v>
      </c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49"/>
      <c r="P334" s="649"/>
      <c r="Q334" s="649"/>
      <c r="R334" s="649"/>
      <c r="S334" s="649"/>
      <c r="T334" s="649"/>
      <c r="U334" s="649"/>
      <c r="V334" s="649"/>
      <c r="W334" s="649"/>
      <c r="X334" s="649"/>
      <c r="Y334" s="649"/>
      <c r="Z334" s="649"/>
      <c r="AA334" s="63"/>
      <c r="AB334" s="63"/>
      <c r="AC334" s="63"/>
    </row>
    <row r="335" spans="1:68" ht="27" customHeight="1" x14ac:dyDescent="0.25">
      <c r="A335" s="60" t="s">
        <v>565</v>
      </c>
      <c r="B335" s="60" t="s">
        <v>566</v>
      </c>
      <c r="C335" s="34">
        <v>4301051893</v>
      </c>
      <c r="D335" s="644">
        <v>4680115886186</v>
      </c>
      <c r="E335" s="64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644">
        <v>4680115881228</v>
      </c>
      <c r="E336" s="64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644">
        <v>4680115881211</v>
      </c>
      <c r="E337" s="64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38"/>
      <c r="B339" s="638"/>
      <c r="C339" s="638"/>
      <c r="D339" s="638"/>
      <c r="E339" s="638"/>
      <c r="F339" s="638"/>
      <c r="G339" s="638"/>
      <c r="H339" s="638"/>
      <c r="I339" s="638"/>
      <c r="J339" s="638"/>
      <c r="K339" s="638"/>
      <c r="L339" s="638"/>
      <c r="M339" s="638"/>
      <c r="N339" s="638"/>
      <c r="O339" s="639"/>
      <c r="P339" s="635" t="s">
        <v>40</v>
      </c>
      <c r="Q339" s="636"/>
      <c r="R339" s="636"/>
      <c r="S339" s="636"/>
      <c r="T339" s="636"/>
      <c r="U339" s="636"/>
      <c r="V339" s="63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48" t="s">
        <v>573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2"/>
      <c r="AB340" s="62"/>
      <c r="AC340" s="62"/>
    </row>
    <row r="341" spans="1:68" ht="14.25" customHeight="1" x14ac:dyDescent="0.25">
      <c r="A341" s="649" t="s">
        <v>77</v>
      </c>
      <c r="B341" s="649"/>
      <c r="C341" s="649"/>
      <c r="D341" s="649"/>
      <c r="E341" s="649"/>
      <c r="F341" s="649"/>
      <c r="G341" s="649"/>
      <c r="H341" s="649"/>
      <c r="I341" s="649"/>
      <c r="J341" s="649"/>
      <c r="K341" s="649"/>
      <c r="L341" s="649"/>
      <c r="M341" s="649"/>
      <c r="N341" s="649"/>
      <c r="O341" s="649"/>
      <c r="P341" s="649"/>
      <c r="Q341" s="649"/>
      <c r="R341" s="649"/>
      <c r="S341" s="649"/>
      <c r="T341" s="649"/>
      <c r="U341" s="649"/>
      <c r="V341" s="649"/>
      <c r="W341" s="649"/>
      <c r="X341" s="649"/>
      <c r="Y341" s="649"/>
      <c r="Z341" s="649"/>
      <c r="AA341" s="63"/>
      <c r="AB341" s="63"/>
      <c r="AC341" s="63"/>
    </row>
    <row r="342" spans="1:68" ht="27" customHeight="1" x14ac:dyDescent="0.25">
      <c r="A342" s="60" t="s">
        <v>574</v>
      </c>
      <c r="B342" s="60" t="s">
        <v>575</v>
      </c>
      <c r="C342" s="34">
        <v>4301031445</v>
      </c>
      <c r="D342" s="644">
        <v>4680115888319</v>
      </c>
      <c r="E342" s="64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576</v>
      </c>
      <c r="B343" s="60" t="s">
        <v>577</v>
      </c>
      <c r="C343" s="34">
        <v>4301031502</v>
      </c>
      <c r="D343" s="644">
        <v>4680115884700</v>
      </c>
      <c r="E343" s="64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579</v>
      </c>
      <c r="B344" s="60" t="s">
        <v>580</v>
      </c>
      <c r="C344" s="34">
        <v>4301031307</v>
      </c>
      <c r="D344" s="644">
        <v>4680115880344</v>
      </c>
      <c r="E344" s="64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customHeight="1" x14ac:dyDescent="0.25">
      <c r="A345" s="60" t="s">
        <v>582</v>
      </c>
      <c r="B345" s="60" t="s">
        <v>583</v>
      </c>
      <c r="C345" s="34">
        <v>4301031501</v>
      </c>
      <c r="D345" s="644">
        <v>4680115886919</v>
      </c>
      <c r="E345" s="64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customHeight="1" x14ac:dyDescent="0.25">
      <c r="A346" s="60" t="s">
        <v>585</v>
      </c>
      <c r="B346" s="60" t="s">
        <v>586</v>
      </c>
      <c r="C346" s="34">
        <v>4301031246</v>
      </c>
      <c r="D346" s="644">
        <v>4680115883970</v>
      </c>
      <c r="E346" s="64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x14ac:dyDescent="0.2">
      <c r="A347" s="638"/>
      <c r="B347" s="638"/>
      <c r="C347" s="638"/>
      <c r="D347" s="638"/>
      <c r="E347" s="638"/>
      <c r="F347" s="638"/>
      <c r="G347" s="638"/>
      <c r="H347" s="638"/>
      <c r="I347" s="638"/>
      <c r="J347" s="638"/>
      <c r="K347" s="638"/>
      <c r="L347" s="638"/>
      <c r="M347" s="638"/>
      <c r="N347" s="638"/>
      <c r="O347" s="639"/>
      <c r="P347" s="635" t="s">
        <v>40</v>
      </c>
      <c r="Q347" s="636"/>
      <c r="R347" s="636"/>
      <c r="S347" s="636"/>
      <c r="T347" s="636"/>
      <c r="U347" s="636"/>
      <c r="V347" s="637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x14ac:dyDescent="0.2">
      <c r="A348" s="638"/>
      <c r="B348" s="638"/>
      <c r="C348" s="638"/>
      <c r="D348" s="638"/>
      <c r="E348" s="638"/>
      <c r="F348" s="638"/>
      <c r="G348" s="638"/>
      <c r="H348" s="638"/>
      <c r="I348" s="638"/>
      <c r="J348" s="638"/>
      <c r="K348" s="638"/>
      <c r="L348" s="638"/>
      <c r="M348" s="638"/>
      <c r="N348" s="638"/>
      <c r="O348" s="639"/>
      <c r="P348" s="635" t="s">
        <v>40</v>
      </c>
      <c r="Q348" s="636"/>
      <c r="R348" s="636"/>
      <c r="S348" s="636"/>
      <c r="T348" s="636"/>
      <c r="U348" s="636"/>
      <c r="V348" s="637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customHeight="1" x14ac:dyDescent="0.25">
      <c r="A349" s="649" t="s">
        <v>86</v>
      </c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49"/>
      <c r="P349" s="649"/>
      <c r="Q349" s="649"/>
      <c r="R349" s="649"/>
      <c r="S349" s="649"/>
      <c r="T349" s="649"/>
      <c r="U349" s="649"/>
      <c r="V349" s="649"/>
      <c r="W349" s="649"/>
      <c r="X349" s="649"/>
      <c r="Y349" s="649"/>
      <c r="Z349" s="649"/>
      <c r="AA349" s="63"/>
      <c r="AB349" s="63"/>
      <c r="AC349" s="63"/>
    </row>
    <row r="350" spans="1:68" ht="27" customHeight="1" x14ac:dyDescent="0.25">
      <c r="A350" s="60" t="s">
        <v>588</v>
      </c>
      <c r="B350" s="60" t="s">
        <v>589</v>
      </c>
      <c r="C350" s="34">
        <v>4301051782</v>
      </c>
      <c r="D350" s="644">
        <v>4680115884618</v>
      </c>
      <c r="E350" s="64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591</v>
      </c>
      <c r="B351" s="60" t="s">
        <v>592</v>
      </c>
      <c r="C351" s="34">
        <v>4301052057</v>
      </c>
      <c r="D351" s="644">
        <v>4680115887114</v>
      </c>
      <c r="E351" s="64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x14ac:dyDescent="0.2">
      <c r="A352" s="638"/>
      <c r="B352" s="638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38"/>
      <c r="N352" s="638"/>
      <c r="O352" s="639"/>
      <c r="P352" s="635" t="s">
        <v>40</v>
      </c>
      <c r="Q352" s="636"/>
      <c r="R352" s="636"/>
      <c r="S352" s="636"/>
      <c r="T352" s="636"/>
      <c r="U352" s="636"/>
      <c r="V352" s="637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x14ac:dyDescent="0.2">
      <c r="A353" s="638"/>
      <c r="B353" s="638"/>
      <c r="C353" s="638"/>
      <c r="D353" s="638"/>
      <c r="E353" s="638"/>
      <c r="F353" s="638"/>
      <c r="G353" s="638"/>
      <c r="H353" s="638"/>
      <c r="I353" s="638"/>
      <c r="J353" s="638"/>
      <c r="K353" s="638"/>
      <c r="L353" s="638"/>
      <c r="M353" s="638"/>
      <c r="N353" s="638"/>
      <c r="O353" s="639"/>
      <c r="P353" s="635" t="s">
        <v>40</v>
      </c>
      <c r="Q353" s="636"/>
      <c r="R353" s="636"/>
      <c r="S353" s="636"/>
      <c r="T353" s="636"/>
      <c r="U353" s="636"/>
      <c r="V353" s="637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customHeight="1" x14ac:dyDescent="0.25">
      <c r="A354" s="648" t="s">
        <v>594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2"/>
      <c r="AB354" s="62"/>
      <c r="AC354" s="62"/>
    </row>
    <row r="355" spans="1:68" ht="14.25" customHeight="1" x14ac:dyDescent="0.25">
      <c r="A355" s="649" t="s">
        <v>128</v>
      </c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49"/>
      <c r="P355" s="649"/>
      <c r="Q355" s="649"/>
      <c r="R355" s="649"/>
      <c r="S355" s="649"/>
      <c r="T355" s="649"/>
      <c r="U355" s="649"/>
      <c r="V355" s="649"/>
      <c r="W355" s="649"/>
      <c r="X355" s="649"/>
      <c r="Y355" s="649"/>
      <c r="Z355" s="649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644">
        <v>4680115887947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597</v>
      </c>
      <c r="B357" s="60" t="s">
        <v>598</v>
      </c>
      <c r="C357" s="34">
        <v>4301012325</v>
      </c>
      <c r="D357" s="644">
        <v>4680115887978</v>
      </c>
      <c r="E357" s="64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600</v>
      </c>
      <c r="B358" s="60" t="s">
        <v>601</v>
      </c>
      <c r="C358" s="34">
        <v>4301012327</v>
      </c>
      <c r="D358" s="644">
        <v>4680115887992</v>
      </c>
      <c r="E358" s="64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48" t="s">
        <v>603</v>
      </c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8"/>
      <c r="P361" s="648"/>
      <c r="Q361" s="648"/>
      <c r="R361" s="648"/>
      <c r="S361" s="648"/>
      <c r="T361" s="648"/>
      <c r="U361" s="648"/>
      <c r="V361" s="648"/>
      <c r="W361" s="648"/>
      <c r="X361" s="648"/>
      <c r="Y361" s="648"/>
      <c r="Z361" s="648"/>
      <c r="AA361" s="62"/>
      <c r="AB361" s="62"/>
      <c r="AC361" s="62"/>
    </row>
    <row r="362" spans="1:68" ht="14.25" customHeight="1" x14ac:dyDescent="0.25">
      <c r="A362" s="649" t="s">
        <v>128</v>
      </c>
      <c r="B362" s="649"/>
      <c r="C362" s="649"/>
      <c r="D362" s="649"/>
      <c r="E362" s="649"/>
      <c r="F362" s="649"/>
      <c r="G362" s="649"/>
      <c r="H362" s="649"/>
      <c r="I362" s="649"/>
      <c r="J362" s="649"/>
      <c r="K362" s="649"/>
      <c r="L362" s="649"/>
      <c r="M362" s="649"/>
      <c r="N362" s="649"/>
      <c r="O362" s="649"/>
      <c r="P362" s="649"/>
      <c r="Q362" s="649"/>
      <c r="R362" s="649"/>
      <c r="S362" s="649"/>
      <c r="T362" s="649"/>
      <c r="U362" s="649"/>
      <c r="V362" s="649"/>
      <c r="W362" s="649"/>
      <c r="X362" s="649"/>
      <c r="Y362" s="649"/>
      <c r="Z362" s="649"/>
      <c r="AA362" s="63"/>
      <c r="AB362" s="63"/>
      <c r="AC362" s="63"/>
    </row>
    <row r="363" spans="1:68" ht="27" customHeight="1" x14ac:dyDescent="0.25">
      <c r="A363" s="60" t="s">
        <v>604</v>
      </c>
      <c r="B363" s="60" t="s">
        <v>605</v>
      </c>
      <c r="C363" s="34">
        <v>4301012235</v>
      </c>
      <c r="D363" s="644">
        <v>4680115887190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7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46"/>
      <c r="R363" s="646"/>
      <c r="S363" s="646"/>
      <c r="T363" s="64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customHeight="1" x14ac:dyDescent="0.25">
      <c r="A364" s="60" t="s">
        <v>607</v>
      </c>
      <c r="B364" s="60" t="s">
        <v>608</v>
      </c>
      <c r="C364" s="34">
        <v>4301012233</v>
      </c>
      <c r="D364" s="644">
        <v>4680115887138</v>
      </c>
      <c r="E364" s="64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46"/>
      <c r="R364" s="646"/>
      <c r="S364" s="646"/>
      <c r="T364" s="647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610</v>
      </c>
      <c r="B365" s="60" t="s">
        <v>611</v>
      </c>
      <c r="C365" s="34">
        <v>4301012016</v>
      </c>
      <c r="D365" s="644">
        <v>4680115885554</v>
      </c>
      <c r="E365" s="64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55</v>
      </c>
      <c r="P365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46"/>
      <c r="R365" s="646"/>
      <c r="S365" s="646"/>
      <c r="T365" s="647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613</v>
      </c>
      <c r="B366" s="60" t="s">
        <v>614</v>
      </c>
      <c r="C366" s="34">
        <v>4301012236</v>
      </c>
      <c r="D366" s="644">
        <v>4680115887220</v>
      </c>
      <c r="E366" s="644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140</v>
      </c>
      <c r="L366" s="35" t="s">
        <v>46</v>
      </c>
      <c r="M366" s="36" t="s">
        <v>132</v>
      </c>
      <c r="N366" s="36"/>
      <c r="O366" s="35">
        <v>55</v>
      </c>
      <c r="P366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46"/>
      <c r="R366" s="646"/>
      <c r="S366" s="646"/>
      <c r="T366" s="647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615</v>
      </c>
      <c r="B367" s="60" t="s">
        <v>616</v>
      </c>
      <c r="C367" s="34">
        <v>4301011859</v>
      </c>
      <c r="D367" s="644">
        <v>4680115885608</v>
      </c>
      <c r="E367" s="64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46"/>
      <c r="R367" s="646"/>
      <c r="S367" s="646"/>
      <c r="T367" s="647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617</v>
      </c>
      <c r="AG367" s="75"/>
      <c r="AJ367" s="79" t="s">
        <v>46</v>
      </c>
      <c r="AK367" s="79">
        <v>0</v>
      </c>
      <c r="BB367" s="456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38"/>
      <c r="B368" s="638"/>
      <c r="C368" s="638"/>
      <c r="D368" s="638"/>
      <c r="E368" s="638"/>
      <c r="F368" s="638"/>
      <c r="G368" s="638"/>
      <c r="H368" s="638"/>
      <c r="I368" s="638"/>
      <c r="J368" s="638"/>
      <c r="K368" s="638"/>
      <c r="L368" s="638"/>
      <c r="M368" s="638"/>
      <c r="N368" s="638"/>
      <c r="O368" s="639"/>
      <c r="P368" s="635" t="s">
        <v>40</v>
      </c>
      <c r="Q368" s="636"/>
      <c r="R368" s="636"/>
      <c r="S368" s="636"/>
      <c r="T368" s="636"/>
      <c r="U368" s="636"/>
      <c r="V368" s="637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customHeight="1" x14ac:dyDescent="0.25">
      <c r="A370" s="649" t="s">
        <v>77</v>
      </c>
      <c r="B370" s="649"/>
      <c r="C370" s="649"/>
      <c r="D370" s="649"/>
      <c r="E370" s="649"/>
      <c r="F370" s="649"/>
      <c r="G370" s="649"/>
      <c r="H370" s="649"/>
      <c r="I370" s="649"/>
      <c r="J370" s="649"/>
      <c r="K370" s="649"/>
      <c r="L370" s="649"/>
      <c r="M370" s="649"/>
      <c r="N370" s="649"/>
      <c r="O370" s="649"/>
      <c r="P370" s="649"/>
      <c r="Q370" s="649"/>
      <c r="R370" s="649"/>
      <c r="S370" s="649"/>
      <c r="T370" s="649"/>
      <c r="U370" s="649"/>
      <c r="V370" s="649"/>
      <c r="W370" s="649"/>
      <c r="X370" s="649"/>
      <c r="Y370" s="649"/>
      <c r="Z370" s="649"/>
      <c r="AA370" s="63"/>
      <c r="AB370" s="63"/>
      <c r="AC370" s="63"/>
    </row>
    <row r="371" spans="1:68" ht="27" customHeight="1" x14ac:dyDescent="0.25">
      <c r="A371" s="60" t="s">
        <v>618</v>
      </c>
      <c r="B371" s="60" t="s">
        <v>619</v>
      </c>
      <c r="C371" s="34">
        <v>4301030878</v>
      </c>
      <c r="D371" s="644">
        <v>4607091387193</v>
      </c>
      <c r="E371" s="644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140</v>
      </c>
      <c r="L371" s="35" t="s">
        <v>46</v>
      </c>
      <c r="M371" s="36" t="s">
        <v>81</v>
      </c>
      <c r="N371" s="36"/>
      <c r="O371" s="35">
        <v>35</v>
      </c>
      <c r="P371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46"/>
      <c r="R371" s="646"/>
      <c r="S371" s="646"/>
      <c r="T371" s="64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620</v>
      </c>
      <c r="AG371" s="75"/>
      <c r="AJ371" s="79" t="s">
        <v>46</v>
      </c>
      <c r="AK371" s="79">
        <v>0</v>
      </c>
      <c r="BB371" s="458" t="s">
        <v>67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customHeight="1" x14ac:dyDescent="0.25">
      <c r="A372" s="60" t="s">
        <v>621</v>
      </c>
      <c r="B372" s="60" t="s">
        <v>622</v>
      </c>
      <c r="C372" s="34">
        <v>4301031153</v>
      </c>
      <c r="D372" s="644">
        <v>4607091387230</v>
      </c>
      <c r="E372" s="64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40</v>
      </c>
      <c r="P372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46"/>
      <c r="R372" s="646"/>
      <c r="S372" s="646"/>
      <c r="T372" s="64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customHeight="1" x14ac:dyDescent="0.25">
      <c r="A373" s="60" t="s">
        <v>624</v>
      </c>
      <c r="B373" s="60" t="s">
        <v>625</v>
      </c>
      <c r="C373" s="34">
        <v>4301031154</v>
      </c>
      <c r="D373" s="644">
        <v>4607091387292</v>
      </c>
      <c r="E373" s="644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45</v>
      </c>
      <c r="P373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46"/>
      <c r="R373" s="646"/>
      <c r="S373" s="646"/>
      <c r="T373" s="64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customHeight="1" x14ac:dyDescent="0.25">
      <c r="A374" s="60" t="s">
        <v>627</v>
      </c>
      <c r="B374" s="60" t="s">
        <v>628</v>
      </c>
      <c r="C374" s="34">
        <v>4301031152</v>
      </c>
      <c r="D374" s="644">
        <v>4607091387285</v>
      </c>
      <c r="E374" s="644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46"/>
      <c r="R374" s="646"/>
      <c r="S374" s="646"/>
      <c r="T374" s="64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623</v>
      </c>
      <c r="AG374" s="75"/>
      <c r="AJ374" s="79" t="s">
        <v>46</v>
      </c>
      <c r="AK374" s="79">
        <v>0</v>
      </c>
      <c r="BB374" s="464" t="s">
        <v>67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customHeight="1" x14ac:dyDescent="0.25">
      <c r="A375" s="60" t="s">
        <v>629</v>
      </c>
      <c r="B375" s="60" t="s">
        <v>630</v>
      </c>
      <c r="C375" s="34">
        <v>4301031305</v>
      </c>
      <c r="D375" s="644">
        <v>4607091389845</v>
      </c>
      <c r="E375" s="644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46"/>
      <c r="R375" s="646"/>
      <c r="S375" s="646"/>
      <c r="T375" s="64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631</v>
      </c>
      <c r="AG375" s="75"/>
      <c r="AJ375" s="79" t="s">
        <v>46</v>
      </c>
      <c r="AK375" s="79">
        <v>0</v>
      </c>
      <c r="BB375" s="466" t="s">
        <v>67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4301031460</v>
      </c>
      <c r="D376" s="644">
        <v>4680115887442</v>
      </c>
      <c r="E376" s="644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140</v>
      </c>
      <c r="L376" s="35" t="s">
        <v>46</v>
      </c>
      <c r="M376" s="36" t="s">
        <v>81</v>
      </c>
      <c r="N376" s="36"/>
      <c r="O376" s="35">
        <v>45</v>
      </c>
      <c r="P376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46"/>
      <c r="R376" s="646"/>
      <c r="S376" s="646"/>
      <c r="T376" s="64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626</v>
      </c>
      <c r="AG376" s="75"/>
      <c r="AJ376" s="79" t="s">
        <v>46</v>
      </c>
      <c r="AK376" s="79">
        <v>0</v>
      </c>
      <c r="BB376" s="468" t="s">
        <v>67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customHeight="1" x14ac:dyDescent="0.25">
      <c r="A377" s="60" t="s">
        <v>634</v>
      </c>
      <c r="B377" s="60" t="s">
        <v>635</v>
      </c>
      <c r="C377" s="34">
        <v>4301031066</v>
      </c>
      <c r="D377" s="644">
        <v>4607091383836</v>
      </c>
      <c r="E377" s="644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91</v>
      </c>
      <c r="L377" s="35" t="s">
        <v>46</v>
      </c>
      <c r="M377" s="36" t="s">
        <v>81</v>
      </c>
      <c r="N377" s="36"/>
      <c r="O377" s="35">
        <v>40</v>
      </c>
      <c r="P377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46"/>
      <c r="R377" s="646"/>
      <c r="S377" s="646"/>
      <c r="T377" s="64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636</v>
      </c>
      <c r="AG377" s="75"/>
      <c r="AJ377" s="79" t="s">
        <v>46</v>
      </c>
      <c r="AK377" s="79">
        <v>0</v>
      </c>
      <c r="BB377" s="470" t="s">
        <v>67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x14ac:dyDescent="0.2">
      <c r="A378" s="638"/>
      <c r="B378" s="638"/>
      <c r="C378" s="638"/>
      <c r="D378" s="638"/>
      <c r="E378" s="638"/>
      <c r="F378" s="638"/>
      <c r="G378" s="638"/>
      <c r="H378" s="638"/>
      <c r="I378" s="638"/>
      <c r="J378" s="638"/>
      <c r="K378" s="638"/>
      <c r="L378" s="638"/>
      <c r="M378" s="638"/>
      <c r="N378" s="638"/>
      <c r="O378" s="639"/>
      <c r="P378" s="635" t="s">
        <v>40</v>
      </c>
      <c r="Q378" s="636"/>
      <c r="R378" s="636"/>
      <c r="S378" s="636"/>
      <c r="T378" s="636"/>
      <c r="U378" s="636"/>
      <c r="V378" s="637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x14ac:dyDescent="0.2">
      <c r="A379" s="638"/>
      <c r="B379" s="638"/>
      <c r="C379" s="638"/>
      <c r="D379" s="638"/>
      <c r="E379" s="638"/>
      <c r="F379" s="638"/>
      <c r="G379" s="638"/>
      <c r="H379" s="638"/>
      <c r="I379" s="638"/>
      <c r="J379" s="638"/>
      <c r="K379" s="638"/>
      <c r="L379" s="638"/>
      <c r="M379" s="638"/>
      <c r="N379" s="638"/>
      <c r="O379" s="639"/>
      <c r="P379" s="635" t="s">
        <v>40</v>
      </c>
      <c r="Q379" s="636"/>
      <c r="R379" s="636"/>
      <c r="S379" s="636"/>
      <c r="T379" s="636"/>
      <c r="U379" s="636"/>
      <c r="V379" s="637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customHeight="1" x14ac:dyDescent="0.25">
      <c r="A380" s="649" t="s">
        <v>86</v>
      </c>
      <c r="B380" s="649"/>
      <c r="C380" s="649"/>
      <c r="D380" s="649"/>
      <c r="E380" s="649"/>
      <c r="F380" s="649"/>
      <c r="G380" s="649"/>
      <c r="H380" s="649"/>
      <c r="I380" s="649"/>
      <c r="J380" s="649"/>
      <c r="K380" s="649"/>
      <c r="L380" s="649"/>
      <c r="M380" s="649"/>
      <c r="N380" s="649"/>
      <c r="O380" s="649"/>
      <c r="P380" s="649"/>
      <c r="Q380" s="649"/>
      <c r="R380" s="649"/>
      <c r="S380" s="649"/>
      <c r="T380" s="649"/>
      <c r="U380" s="649"/>
      <c r="V380" s="649"/>
      <c r="W380" s="649"/>
      <c r="X380" s="649"/>
      <c r="Y380" s="649"/>
      <c r="Z380" s="649"/>
      <c r="AA380" s="63"/>
      <c r="AB380" s="63"/>
      <c r="AC380" s="63"/>
    </row>
    <row r="381" spans="1:68" ht="27" customHeight="1" x14ac:dyDescent="0.25">
      <c r="A381" s="60" t="s">
        <v>637</v>
      </c>
      <c r="B381" s="60" t="s">
        <v>638</v>
      </c>
      <c r="C381" s="34">
        <v>4301051100</v>
      </c>
      <c r="D381" s="644">
        <v>4607091387766</v>
      </c>
      <c r="E381" s="644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133</v>
      </c>
      <c r="L381" s="35" t="s">
        <v>46</v>
      </c>
      <c r="M381" s="36" t="s">
        <v>90</v>
      </c>
      <c r="N381" s="36"/>
      <c r="O381" s="35">
        <v>40</v>
      </c>
      <c r="P381" s="7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46"/>
      <c r="R381" s="646"/>
      <c r="S381" s="646"/>
      <c r="T381" s="64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639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640</v>
      </c>
      <c r="B382" s="60" t="s">
        <v>641</v>
      </c>
      <c r="C382" s="34">
        <v>4301051818</v>
      </c>
      <c r="D382" s="644">
        <v>4607091387957</v>
      </c>
      <c r="E382" s="644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46"/>
      <c r="R382" s="646"/>
      <c r="S382" s="646"/>
      <c r="T382" s="64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customHeight="1" x14ac:dyDescent="0.25">
      <c r="A383" s="60" t="s">
        <v>643</v>
      </c>
      <c r="B383" s="60" t="s">
        <v>644</v>
      </c>
      <c r="C383" s="34">
        <v>4301051819</v>
      </c>
      <c r="D383" s="644">
        <v>4607091387964</v>
      </c>
      <c r="E383" s="644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7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46"/>
      <c r="R383" s="646"/>
      <c r="S383" s="646"/>
      <c r="T383" s="64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customHeight="1" x14ac:dyDescent="0.25">
      <c r="A384" s="60" t="s">
        <v>646</v>
      </c>
      <c r="B384" s="60" t="s">
        <v>647</v>
      </c>
      <c r="C384" s="34">
        <v>4301051734</v>
      </c>
      <c r="D384" s="644">
        <v>4680115884588</v>
      </c>
      <c r="E384" s="644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91</v>
      </c>
      <c r="L384" s="35" t="s">
        <v>46</v>
      </c>
      <c r="M384" s="36" t="s">
        <v>90</v>
      </c>
      <c r="N384" s="36"/>
      <c r="O384" s="35">
        <v>40</v>
      </c>
      <c r="P384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46"/>
      <c r="R384" s="646"/>
      <c r="S384" s="646"/>
      <c r="T384" s="64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639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x14ac:dyDescent="0.2">
      <c r="A385" s="638"/>
      <c r="B385" s="638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38"/>
      <c r="N385" s="638"/>
      <c r="O385" s="639"/>
      <c r="P385" s="635" t="s">
        <v>40</v>
      </c>
      <c r="Q385" s="636"/>
      <c r="R385" s="636"/>
      <c r="S385" s="636"/>
      <c r="T385" s="636"/>
      <c r="U385" s="636"/>
      <c r="V385" s="637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x14ac:dyDescent="0.2">
      <c r="A386" s="638"/>
      <c r="B386" s="638"/>
      <c r="C386" s="638"/>
      <c r="D386" s="638"/>
      <c r="E386" s="638"/>
      <c r="F386" s="638"/>
      <c r="G386" s="638"/>
      <c r="H386" s="638"/>
      <c r="I386" s="638"/>
      <c r="J386" s="638"/>
      <c r="K386" s="638"/>
      <c r="L386" s="638"/>
      <c r="M386" s="638"/>
      <c r="N386" s="638"/>
      <c r="O386" s="639"/>
      <c r="P386" s="635" t="s">
        <v>40</v>
      </c>
      <c r="Q386" s="636"/>
      <c r="R386" s="636"/>
      <c r="S386" s="636"/>
      <c r="T386" s="636"/>
      <c r="U386" s="636"/>
      <c r="V386" s="637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customHeight="1" x14ac:dyDescent="0.25">
      <c r="A387" s="649" t="s">
        <v>181</v>
      </c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49"/>
      <c r="P387" s="649"/>
      <c r="Q387" s="649"/>
      <c r="R387" s="649"/>
      <c r="S387" s="649"/>
      <c r="T387" s="649"/>
      <c r="U387" s="649"/>
      <c r="V387" s="649"/>
      <c r="W387" s="649"/>
      <c r="X387" s="649"/>
      <c r="Y387" s="649"/>
      <c r="Z387" s="649"/>
      <c r="AA387" s="63"/>
      <c r="AB387" s="63"/>
      <c r="AC387" s="63"/>
    </row>
    <row r="388" spans="1:68" ht="27" customHeight="1" x14ac:dyDescent="0.25">
      <c r="A388" s="60" t="s">
        <v>648</v>
      </c>
      <c r="B388" s="60" t="s">
        <v>649</v>
      </c>
      <c r="C388" s="34">
        <v>4301060387</v>
      </c>
      <c r="D388" s="644">
        <v>4607091380880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133</v>
      </c>
      <c r="L388" s="35" t="s">
        <v>46</v>
      </c>
      <c r="M388" s="36" t="s">
        <v>90</v>
      </c>
      <c r="N388" s="36"/>
      <c r="O388" s="35">
        <v>30</v>
      </c>
      <c r="P388" s="7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46"/>
      <c r="R388" s="646"/>
      <c r="S388" s="646"/>
      <c r="T388" s="64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650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651</v>
      </c>
      <c r="B389" s="60" t="s">
        <v>652</v>
      </c>
      <c r="C389" s="34">
        <v>4301060406</v>
      </c>
      <c r="D389" s="644">
        <v>4607091384482</v>
      </c>
      <c r="E389" s="644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46"/>
      <c r="R389" s="646"/>
      <c r="S389" s="646"/>
      <c r="T389" s="64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customHeight="1" x14ac:dyDescent="0.25">
      <c r="A390" s="60" t="s">
        <v>654</v>
      </c>
      <c r="B390" s="60" t="s">
        <v>655</v>
      </c>
      <c r="C390" s="34">
        <v>4301060484</v>
      </c>
      <c r="D390" s="644">
        <v>4607091380897</v>
      </c>
      <c r="E390" s="644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133</v>
      </c>
      <c r="L390" s="35" t="s">
        <v>46</v>
      </c>
      <c r="M390" s="36" t="s">
        <v>97</v>
      </c>
      <c r="N390" s="36"/>
      <c r="O390" s="35">
        <v>30</v>
      </c>
      <c r="P390" s="7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46"/>
      <c r="R390" s="646"/>
      <c r="S390" s="646"/>
      <c r="T390" s="64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x14ac:dyDescent="0.2">
      <c r="A391" s="638"/>
      <c r="B391" s="638"/>
      <c r="C391" s="638"/>
      <c r="D391" s="638"/>
      <c r="E391" s="638"/>
      <c r="F391" s="638"/>
      <c r="G391" s="638"/>
      <c r="H391" s="638"/>
      <c r="I391" s="638"/>
      <c r="J391" s="638"/>
      <c r="K391" s="638"/>
      <c r="L391" s="638"/>
      <c r="M391" s="638"/>
      <c r="N391" s="638"/>
      <c r="O391" s="639"/>
      <c r="P391" s="635" t="s">
        <v>40</v>
      </c>
      <c r="Q391" s="636"/>
      <c r="R391" s="636"/>
      <c r="S391" s="636"/>
      <c r="T391" s="636"/>
      <c r="U391" s="636"/>
      <c r="V391" s="637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x14ac:dyDescent="0.2">
      <c r="A392" s="638"/>
      <c r="B392" s="638"/>
      <c r="C392" s="638"/>
      <c r="D392" s="638"/>
      <c r="E392" s="638"/>
      <c r="F392" s="638"/>
      <c r="G392" s="638"/>
      <c r="H392" s="638"/>
      <c r="I392" s="638"/>
      <c r="J392" s="638"/>
      <c r="K392" s="638"/>
      <c r="L392" s="638"/>
      <c r="M392" s="638"/>
      <c r="N392" s="638"/>
      <c r="O392" s="639"/>
      <c r="P392" s="635" t="s">
        <v>40</v>
      </c>
      <c r="Q392" s="636"/>
      <c r="R392" s="636"/>
      <c r="S392" s="636"/>
      <c r="T392" s="636"/>
      <c r="U392" s="636"/>
      <c r="V392" s="637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customHeight="1" x14ac:dyDescent="0.25">
      <c r="A393" s="649" t="s">
        <v>104</v>
      </c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49"/>
      <c r="P393" s="649"/>
      <c r="Q393" s="649"/>
      <c r="R393" s="649"/>
      <c r="S393" s="649"/>
      <c r="T393" s="649"/>
      <c r="U393" s="649"/>
      <c r="V393" s="649"/>
      <c r="W393" s="649"/>
      <c r="X393" s="649"/>
      <c r="Y393" s="649"/>
      <c r="Z393" s="649"/>
      <c r="AA393" s="63"/>
      <c r="AB393" s="63"/>
      <c r="AC393" s="63"/>
    </row>
    <row r="394" spans="1:68" ht="27" customHeight="1" x14ac:dyDescent="0.25">
      <c r="A394" s="60" t="s">
        <v>657</v>
      </c>
      <c r="B394" s="60" t="s">
        <v>658</v>
      </c>
      <c r="C394" s="34">
        <v>4301030235</v>
      </c>
      <c r="D394" s="644">
        <v>4607091388381</v>
      </c>
      <c r="E394" s="644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140</v>
      </c>
      <c r="L394" s="35" t="s">
        <v>46</v>
      </c>
      <c r="M394" s="36" t="s">
        <v>109</v>
      </c>
      <c r="N394" s="36"/>
      <c r="O394" s="35">
        <v>180</v>
      </c>
      <c r="P394" s="7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46"/>
      <c r="R394" s="646"/>
      <c r="S394" s="646"/>
      <c r="T394" s="64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659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customHeight="1" x14ac:dyDescent="0.25">
      <c r="A395" s="60" t="s">
        <v>660</v>
      </c>
      <c r="B395" s="60" t="s">
        <v>661</v>
      </c>
      <c r="C395" s="34">
        <v>4301030232</v>
      </c>
      <c r="D395" s="644">
        <v>4607091388374</v>
      </c>
      <c r="E395" s="644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46"/>
      <c r="R395" s="646"/>
      <c r="S395" s="646"/>
      <c r="T395" s="64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659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662</v>
      </c>
      <c r="B396" s="60" t="s">
        <v>663</v>
      </c>
      <c r="C396" s="34">
        <v>4301032015</v>
      </c>
      <c r="D396" s="644">
        <v>4607091383102</v>
      </c>
      <c r="E396" s="644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91</v>
      </c>
      <c r="L396" s="35" t="s">
        <v>46</v>
      </c>
      <c r="M396" s="36" t="s">
        <v>109</v>
      </c>
      <c r="N396" s="36"/>
      <c r="O396" s="35">
        <v>180</v>
      </c>
      <c r="P396" s="7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46"/>
      <c r="R396" s="646"/>
      <c r="S396" s="646"/>
      <c r="T396" s="64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659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customHeight="1" x14ac:dyDescent="0.25">
      <c r="A397" s="60" t="s">
        <v>664</v>
      </c>
      <c r="B397" s="60" t="s">
        <v>665</v>
      </c>
      <c r="C397" s="34">
        <v>4301030233</v>
      </c>
      <c r="D397" s="644">
        <v>4607091388404</v>
      </c>
      <c r="E397" s="644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46"/>
      <c r="R397" s="646"/>
      <c r="S397" s="646"/>
      <c r="T397" s="64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659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638"/>
      <c r="B398" s="638"/>
      <c r="C398" s="638"/>
      <c r="D398" s="638"/>
      <c r="E398" s="638"/>
      <c r="F398" s="638"/>
      <c r="G398" s="638"/>
      <c r="H398" s="638"/>
      <c r="I398" s="638"/>
      <c r="J398" s="638"/>
      <c r="K398" s="638"/>
      <c r="L398" s="638"/>
      <c r="M398" s="638"/>
      <c r="N398" s="638"/>
      <c r="O398" s="639"/>
      <c r="P398" s="635" t="s">
        <v>40</v>
      </c>
      <c r="Q398" s="636"/>
      <c r="R398" s="636"/>
      <c r="S398" s="636"/>
      <c r="T398" s="636"/>
      <c r="U398" s="636"/>
      <c r="V398" s="637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x14ac:dyDescent="0.2">
      <c r="A399" s="638"/>
      <c r="B399" s="638"/>
      <c r="C399" s="638"/>
      <c r="D399" s="638"/>
      <c r="E399" s="638"/>
      <c r="F399" s="638"/>
      <c r="G399" s="638"/>
      <c r="H399" s="638"/>
      <c r="I399" s="638"/>
      <c r="J399" s="638"/>
      <c r="K399" s="638"/>
      <c r="L399" s="638"/>
      <c r="M399" s="638"/>
      <c r="N399" s="638"/>
      <c r="O399" s="639"/>
      <c r="P399" s="635" t="s">
        <v>40</v>
      </c>
      <c r="Q399" s="636"/>
      <c r="R399" s="636"/>
      <c r="S399" s="636"/>
      <c r="T399" s="636"/>
      <c r="U399" s="636"/>
      <c r="V399" s="637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customHeight="1" x14ac:dyDescent="0.25">
      <c r="A400" s="649" t="s">
        <v>666</v>
      </c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49"/>
      <c r="P400" s="649"/>
      <c r="Q400" s="649"/>
      <c r="R400" s="649"/>
      <c r="S400" s="649"/>
      <c r="T400" s="649"/>
      <c r="U400" s="649"/>
      <c r="V400" s="649"/>
      <c r="W400" s="649"/>
      <c r="X400" s="649"/>
      <c r="Y400" s="649"/>
      <c r="Z400" s="649"/>
      <c r="AA400" s="63"/>
      <c r="AB400" s="63"/>
      <c r="AC400" s="63"/>
    </row>
    <row r="401" spans="1:68" ht="16.5" customHeight="1" x14ac:dyDescent="0.25">
      <c r="A401" s="60" t="s">
        <v>667</v>
      </c>
      <c r="B401" s="60" t="s">
        <v>668</v>
      </c>
      <c r="C401" s="34">
        <v>4301180007</v>
      </c>
      <c r="D401" s="644">
        <v>4680115881808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46"/>
      <c r="R401" s="646"/>
      <c r="S401" s="646"/>
      <c r="T401" s="64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669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customHeight="1" x14ac:dyDescent="0.25">
      <c r="A402" s="60" t="s">
        <v>671</v>
      </c>
      <c r="B402" s="60" t="s">
        <v>672</v>
      </c>
      <c r="C402" s="34">
        <v>4301180006</v>
      </c>
      <c r="D402" s="644">
        <v>4680115881822</v>
      </c>
      <c r="E402" s="64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670</v>
      </c>
      <c r="N402" s="36"/>
      <c r="O402" s="35">
        <v>731</v>
      </c>
      <c r="P402" s="7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46"/>
      <c r="R402" s="646"/>
      <c r="S402" s="646"/>
      <c r="T402" s="64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669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customHeight="1" x14ac:dyDescent="0.25">
      <c r="A403" s="60" t="s">
        <v>673</v>
      </c>
      <c r="B403" s="60" t="s">
        <v>674</v>
      </c>
      <c r="C403" s="34">
        <v>4301180001</v>
      </c>
      <c r="D403" s="644">
        <v>4680115880016</v>
      </c>
      <c r="E403" s="64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670</v>
      </c>
      <c r="N403" s="36"/>
      <c r="O403" s="35">
        <v>731</v>
      </c>
      <c r="P403" s="7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46"/>
      <c r="R403" s="646"/>
      <c r="S403" s="646"/>
      <c r="T403" s="64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669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x14ac:dyDescent="0.2">
      <c r="A404" s="638"/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9"/>
      <c r="P404" s="635" t="s">
        <v>40</v>
      </c>
      <c r="Q404" s="636"/>
      <c r="R404" s="636"/>
      <c r="S404" s="636"/>
      <c r="T404" s="636"/>
      <c r="U404" s="636"/>
      <c r="V404" s="637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x14ac:dyDescent="0.2">
      <c r="A405" s="638"/>
      <c r="B405" s="638"/>
      <c r="C405" s="638"/>
      <c r="D405" s="638"/>
      <c r="E405" s="638"/>
      <c r="F405" s="638"/>
      <c r="G405" s="638"/>
      <c r="H405" s="638"/>
      <c r="I405" s="638"/>
      <c r="J405" s="638"/>
      <c r="K405" s="638"/>
      <c r="L405" s="638"/>
      <c r="M405" s="638"/>
      <c r="N405" s="638"/>
      <c r="O405" s="639"/>
      <c r="P405" s="635" t="s">
        <v>40</v>
      </c>
      <c r="Q405" s="636"/>
      <c r="R405" s="636"/>
      <c r="S405" s="636"/>
      <c r="T405" s="636"/>
      <c r="U405" s="636"/>
      <c r="V405" s="637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customHeight="1" x14ac:dyDescent="0.25">
      <c r="A406" s="649" t="s">
        <v>675</v>
      </c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49"/>
      <c r="P406" s="649"/>
      <c r="Q406" s="649"/>
      <c r="R406" s="649"/>
      <c r="S406" s="649"/>
      <c r="T406" s="649"/>
      <c r="U406" s="649"/>
      <c r="V406" s="649"/>
      <c r="W406" s="649"/>
      <c r="X406" s="649"/>
      <c r="Y406" s="649"/>
      <c r="Z406" s="649"/>
      <c r="AA406" s="63"/>
      <c r="AB406" s="63"/>
      <c r="AC406" s="63"/>
    </row>
    <row r="407" spans="1:68" ht="27" customHeight="1" x14ac:dyDescent="0.25">
      <c r="A407" s="60" t="s">
        <v>676</v>
      </c>
      <c r="B407" s="60" t="s">
        <v>677</v>
      </c>
      <c r="C407" s="34">
        <v>4301220003</v>
      </c>
      <c r="D407" s="644">
        <v>4680115888678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46"/>
      <c r="R407" s="646"/>
      <c r="S407" s="646"/>
      <c r="T407" s="64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252</v>
      </c>
      <c r="AC407" s="499" t="s">
        <v>678</v>
      </c>
      <c r="AG407" s="75"/>
      <c r="AJ407" s="79" t="s">
        <v>46</v>
      </c>
      <c r="AK407" s="79">
        <v>0</v>
      </c>
      <c r="BB407" s="500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customHeight="1" x14ac:dyDescent="0.25">
      <c r="A408" s="60" t="s">
        <v>679</v>
      </c>
      <c r="B408" s="60" t="s">
        <v>680</v>
      </c>
      <c r="C408" s="34">
        <v>4301220001</v>
      </c>
      <c r="D408" s="644">
        <v>4680115888654</v>
      </c>
      <c r="E408" s="644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140</v>
      </c>
      <c r="L408" s="35" t="s">
        <v>46</v>
      </c>
      <c r="M408" s="36" t="s">
        <v>670</v>
      </c>
      <c r="N408" s="36"/>
      <c r="O408" s="35">
        <v>1096</v>
      </c>
      <c r="P408" s="71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46"/>
      <c r="R408" s="646"/>
      <c r="S408" s="646"/>
      <c r="T408" s="64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customHeight="1" x14ac:dyDescent="0.25">
      <c r="A409" s="60" t="s">
        <v>682</v>
      </c>
      <c r="B409" s="60" t="s">
        <v>683</v>
      </c>
      <c r="C409" s="34">
        <v>4301220002</v>
      </c>
      <c r="D409" s="644">
        <v>4680115888753</v>
      </c>
      <c r="E409" s="644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91</v>
      </c>
      <c r="L409" s="35" t="s">
        <v>46</v>
      </c>
      <c r="M409" s="36" t="s">
        <v>670</v>
      </c>
      <c r="N409" s="36"/>
      <c r="O409" s="35">
        <v>1096</v>
      </c>
      <c r="P409" s="7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46"/>
      <c r="R409" s="646"/>
      <c r="S409" s="646"/>
      <c r="T409" s="64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252</v>
      </c>
      <c r="AC409" s="503" t="s">
        <v>678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x14ac:dyDescent="0.2">
      <c r="A410" s="638"/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9"/>
      <c r="P410" s="635" t="s">
        <v>40</v>
      </c>
      <c r="Q410" s="636"/>
      <c r="R410" s="636"/>
      <c r="S410" s="636"/>
      <c r="T410" s="636"/>
      <c r="U410" s="636"/>
      <c r="V410" s="637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customHeight="1" x14ac:dyDescent="0.25">
      <c r="A412" s="648" t="s">
        <v>684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2"/>
      <c r="AB412" s="62"/>
      <c r="AC412" s="62"/>
    </row>
    <row r="413" spans="1:68" ht="14.25" customHeight="1" x14ac:dyDescent="0.25">
      <c r="A413" s="649" t="s">
        <v>86</v>
      </c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49"/>
      <c r="P413" s="649"/>
      <c r="Q413" s="649"/>
      <c r="R413" s="649"/>
      <c r="S413" s="649"/>
      <c r="T413" s="649"/>
      <c r="U413" s="649"/>
      <c r="V413" s="649"/>
      <c r="W413" s="649"/>
      <c r="X413" s="649"/>
      <c r="Y413" s="649"/>
      <c r="Z413" s="649"/>
      <c r="AA413" s="63"/>
      <c r="AB413" s="63"/>
      <c r="AC413" s="63"/>
    </row>
    <row r="414" spans="1:68" ht="27" customHeight="1" x14ac:dyDescent="0.25">
      <c r="A414" s="60" t="s">
        <v>685</v>
      </c>
      <c r="B414" s="60" t="s">
        <v>686</v>
      </c>
      <c r="C414" s="34">
        <v>4301051489</v>
      </c>
      <c r="D414" s="644">
        <v>4607091387919</v>
      </c>
      <c r="E414" s="644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133</v>
      </c>
      <c r="L414" s="35" t="s">
        <v>46</v>
      </c>
      <c r="M414" s="36" t="s">
        <v>97</v>
      </c>
      <c r="N414" s="36"/>
      <c r="O414" s="35">
        <v>45</v>
      </c>
      <c r="P414" s="7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46"/>
      <c r="R414" s="646"/>
      <c r="S414" s="646"/>
      <c r="T414" s="64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687</v>
      </c>
      <c r="AG414" s="75"/>
      <c r="AJ414" s="79" t="s">
        <v>46</v>
      </c>
      <c r="AK414" s="79">
        <v>0</v>
      </c>
      <c r="BB414" s="506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688</v>
      </c>
      <c r="B415" s="60" t="s">
        <v>689</v>
      </c>
      <c r="C415" s="34">
        <v>4301051461</v>
      </c>
      <c r="D415" s="644">
        <v>4680115883604</v>
      </c>
      <c r="E415" s="644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91</v>
      </c>
      <c r="L415" s="35" t="s">
        <v>46</v>
      </c>
      <c r="M415" s="36" t="s">
        <v>90</v>
      </c>
      <c r="N415" s="36"/>
      <c r="O415" s="35">
        <v>45</v>
      </c>
      <c r="P415" s="7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46"/>
      <c r="R415" s="646"/>
      <c r="S415" s="646"/>
      <c r="T415" s="64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4301051864</v>
      </c>
      <c r="D416" s="644">
        <v>4680115883567</v>
      </c>
      <c r="E416" s="644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91</v>
      </c>
      <c r="L416" s="35" t="s">
        <v>46</v>
      </c>
      <c r="M416" s="36" t="s">
        <v>97</v>
      </c>
      <c r="N416" s="36"/>
      <c r="O416" s="35">
        <v>40</v>
      </c>
      <c r="P416" s="7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46"/>
      <c r="R416" s="646"/>
      <c r="S416" s="646"/>
      <c r="T416" s="64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38"/>
      <c r="B417" s="638"/>
      <c r="C417" s="638"/>
      <c r="D417" s="638"/>
      <c r="E417" s="638"/>
      <c r="F417" s="638"/>
      <c r="G417" s="638"/>
      <c r="H417" s="638"/>
      <c r="I417" s="638"/>
      <c r="J417" s="638"/>
      <c r="K417" s="638"/>
      <c r="L417" s="638"/>
      <c r="M417" s="638"/>
      <c r="N417" s="638"/>
      <c r="O417" s="639"/>
      <c r="P417" s="635" t="s">
        <v>40</v>
      </c>
      <c r="Q417" s="636"/>
      <c r="R417" s="636"/>
      <c r="S417" s="636"/>
      <c r="T417" s="636"/>
      <c r="U417" s="636"/>
      <c r="V417" s="63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customHeight="1" x14ac:dyDescent="0.2">
      <c r="A419" s="655" t="s">
        <v>694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52"/>
      <c r="AB419" s="52"/>
      <c r="AC419" s="52"/>
    </row>
    <row r="420" spans="1:68" ht="16.5" customHeight="1" x14ac:dyDescent="0.25">
      <c r="A420" s="648" t="s">
        <v>695</v>
      </c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8"/>
      <c r="P420" s="648"/>
      <c r="Q420" s="648"/>
      <c r="R420" s="648"/>
      <c r="S420" s="648"/>
      <c r="T420" s="648"/>
      <c r="U420" s="648"/>
      <c r="V420" s="648"/>
      <c r="W420" s="648"/>
      <c r="X420" s="648"/>
      <c r="Y420" s="648"/>
      <c r="Z420" s="648"/>
      <c r="AA420" s="62"/>
      <c r="AB420" s="62"/>
      <c r="AC420" s="62"/>
    </row>
    <row r="421" spans="1:68" ht="14.25" customHeight="1" x14ac:dyDescent="0.25">
      <c r="A421" s="649" t="s">
        <v>128</v>
      </c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49"/>
      <c r="P421" s="649"/>
      <c r="Q421" s="649"/>
      <c r="R421" s="649"/>
      <c r="S421" s="649"/>
      <c r="T421" s="649"/>
      <c r="U421" s="649"/>
      <c r="V421" s="649"/>
      <c r="W421" s="649"/>
      <c r="X421" s="649"/>
      <c r="Y421" s="649"/>
      <c r="Z421" s="649"/>
      <c r="AA421" s="63"/>
      <c r="AB421" s="63"/>
      <c r="AC421" s="63"/>
    </row>
    <row r="422" spans="1:68" ht="27" customHeight="1" x14ac:dyDescent="0.25">
      <c r="A422" s="60" t="s">
        <v>696</v>
      </c>
      <c r="B422" s="60" t="s">
        <v>697</v>
      </c>
      <c r="C422" s="34">
        <v>4301012332</v>
      </c>
      <c r="D422" s="644">
        <v>4680115888401</v>
      </c>
      <c r="E422" s="64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133</v>
      </c>
      <c r="L422" s="35" t="s">
        <v>46</v>
      </c>
      <c r="M422" s="36" t="s">
        <v>97</v>
      </c>
      <c r="N422" s="36"/>
      <c r="O422" s="35">
        <v>60</v>
      </c>
      <c r="P42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46"/>
      <c r="R422" s="646"/>
      <c r="S422" s="646"/>
      <c r="T422" s="64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698</v>
      </c>
      <c r="AG422" s="75"/>
      <c r="AJ422" s="79" t="s">
        <v>46</v>
      </c>
      <c r="AK422" s="79">
        <v>0</v>
      </c>
      <c r="BB422" s="512" t="s">
        <v>67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699</v>
      </c>
      <c r="B423" s="60" t="s">
        <v>700</v>
      </c>
      <c r="C423" s="34">
        <v>4301011869</v>
      </c>
      <c r="D423" s="644">
        <v>4680115884847</v>
      </c>
      <c r="E423" s="64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81</v>
      </c>
      <c r="N423" s="36"/>
      <c r="O423" s="35">
        <v>60</v>
      </c>
      <c r="P423" s="7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46"/>
      <c r="R423" s="646"/>
      <c r="S423" s="646"/>
      <c r="T423" s="647"/>
      <c r="U423" s="37" t="s">
        <v>46</v>
      </c>
      <c r="V423" s="37" t="s">
        <v>46</v>
      </c>
      <c r="W423" s="38" t="s">
        <v>0</v>
      </c>
      <c r="X423" s="56">
        <v>2500</v>
      </c>
      <c r="Y423" s="53">
        <f t="shared" si="47"/>
        <v>2505</v>
      </c>
      <c r="Z423" s="39">
        <f>IFERROR(IF(Y423=0,"",ROUNDUP(Y423/H423,0)*0.02175),"")</f>
        <v>3.6322499999999995</v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si="48"/>
        <v>2578.3333333333335</v>
      </c>
      <c r="BN423" s="75">
        <f t="shared" si="49"/>
        <v>2583.4899999999998</v>
      </c>
      <c r="BO423" s="75">
        <f t="shared" si="50"/>
        <v>3.4722222222222219</v>
      </c>
      <c r="BP423" s="75">
        <f t="shared" si="51"/>
        <v>3.4791666666666665</v>
      </c>
    </row>
    <row r="424" spans="1:68" ht="27" customHeight="1" x14ac:dyDescent="0.25">
      <c r="A424" s="60" t="s">
        <v>702</v>
      </c>
      <c r="B424" s="60" t="s">
        <v>703</v>
      </c>
      <c r="C424" s="34">
        <v>4301012083</v>
      </c>
      <c r="D424" s="644">
        <v>4680115884854</v>
      </c>
      <c r="E424" s="64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132</v>
      </c>
      <c r="N424" s="36"/>
      <c r="O424" s="35">
        <v>60</v>
      </c>
      <c r="P424" s="7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46"/>
      <c r="R424" s="646"/>
      <c r="S424" s="646"/>
      <c r="T424" s="64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705</v>
      </c>
      <c r="B425" s="60" t="s">
        <v>706</v>
      </c>
      <c r="C425" s="34">
        <v>4301011867</v>
      </c>
      <c r="D425" s="644">
        <v>4680115884830</v>
      </c>
      <c r="E425" s="64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81</v>
      </c>
      <c r="N425" s="36"/>
      <c r="O425" s="35">
        <v>60</v>
      </c>
      <c r="P425" s="7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46"/>
      <c r="R425" s="646"/>
      <c r="S425" s="646"/>
      <c r="T425" s="647"/>
      <c r="U425" s="37" t="s">
        <v>46</v>
      </c>
      <c r="V425" s="37" t="s">
        <v>46</v>
      </c>
      <c r="W425" s="38" t="s">
        <v>0</v>
      </c>
      <c r="X425" s="56">
        <v>1600</v>
      </c>
      <c r="Y425" s="53">
        <f t="shared" si="47"/>
        <v>1605</v>
      </c>
      <c r="Z425" s="39">
        <f>IFERROR(IF(Y425=0,"",ROUNDUP(Y425/H425,0)*0.02175),"")</f>
        <v>2.3272499999999998</v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48"/>
        <v>1650.1333333333334</v>
      </c>
      <c r="BN425" s="75">
        <f t="shared" si="49"/>
        <v>1655.2900000000002</v>
      </c>
      <c r="BO425" s="75">
        <f t="shared" si="50"/>
        <v>2.2222222222222223</v>
      </c>
      <c r="BP425" s="75">
        <f t="shared" si="51"/>
        <v>2.2291666666666665</v>
      </c>
    </row>
    <row r="426" spans="1:68" ht="27" customHeight="1" x14ac:dyDescent="0.25">
      <c r="A426" s="60" t="s">
        <v>708</v>
      </c>
      <c r="B426" s="60" t="s">
        <v>709</v>
      </c>
      <c r="C426" s="34">
        <v>4301012356</v>
      </c>
      <c r="D426" s="644">
        <v>4680115889231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97</v>
      </c>
      <c r="N426" s="36"/>
      <c r="O426" s="35">
        <v>60</v>
      </c>
      <c r="P426" s="7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46"/>
      <c r="R426" s="646"/>
      <c r="S426" s="646"/>
      <c r="T426" s="64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47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48"/>
        <v>0</v>
      </c>
      <c r="BN426" s="75">
        <f t="shared" si="49"/>
        <v>0</v>
      </c>
      <c r="BO426" s="75">
        <f t="shared" si="50"/>
        <v>0</v>
      </c>
      <c r="BP426" s="75">
        <f t="shared" si="51"/>
        <v>0</v>
      </c>
    </row>
    <row r="427" spans="1:68" ht="27" customHeight="1" x14ac:dyDescent="0.25">
      <c r="A427" s="60" t="s">
        <v>711</v>
      </c>
      <c r="B427" s="60" t="s">
        <v>712</v>
      </c>
      <c r="C427" s="34">
        <v>4301011433</v>
      </c>
      <c r="D427" s="644">
        <v>4680115882638</v>
      </c>
      <c r="E427" s="64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140</v>
      </c>
      <c r="L427" s="35" t="s">
        <v>46</v>
      </c>
      <c r="M427" s="36" t="s">
        <v>132</v>
      </c>
      <c r="N427" s="36"/>
      <c r="O427" s="35">
        <v>90</v>
      </c>
      <c r="P427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46"/>
      <c r="R427" s="646"/>
      <c r="S427" s="646"/>
      <c r="T427" s="64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customHeight="1" x14ac:dyDescent="0.25">
      <c r="A428" s="60" t="s">
        <v>714</v>
      </c>
      <c r="B428" s="60" t="s">
        <v>715</v>
      </c>
      <c r="C428" s="34">
        <v>4301011952</v>
      </c>
      <c r="D428" s="644">
        <v>4680115884922</v>
      </c>
      <c r="E428" s="644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46"/>
      <c r="R428" s="646"/>
      <c r="S428" s="646"/>
      <c r="T428" s="64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customHeight="1" x14ac:dyDescent="0.25">
      <c r="A429" s="60" t="s">
        <v>717</v>
      </c>
      <c r="B429" s="60" t="s">
        <v>718</v>
      </c>
      <c r="C429" s="34">
        <v>4301011868</v>
      </c>
      <c r="D429" s="644">
        <v>4680115884861</v>
      </c>
      <c r="E429" s="64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46"/>
      <c r="R429" s="646"/>
      <c r="S429" s="646"/>
      <c r="T429" s="64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638"/>
      <c r="B430" s="638"/>
      <c r="C430" s="638"/>
      <c r="D430" s="638"/>
      <c r="E430" s="638"/>
      <c r="F430" s="638"/>
      <c r="G430" s="638"/>
      <c r="H430" s="638"/>
      <c r="I430" s="638"/>
      <c r="J430" s="638"/>
      <c r="K430" s="638"/>
      <c r="L430" s="638"/>
      <c r="M430" s="638"/>
      <c r="N430" s="638"/>
      <c r="O430" s="639"/>
      <c r="P430" s="635" t="s">
        <v>40</v>
      </c>
      <c r="Q430" s="636"/>
      <c r="R430" s="636"/>
      <c r="S430" s="636"/>
      <c r="T430" s="636"/>
      <c r="U430" s="636"/>
      <c r="V430" s="637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273.33333333333331</v>
      </c>
      <c r="Y430" s="41">
        <f>IFERROR(Y422/H422,"0")+IFERROR(Y423/H423,"0")+IFERROR(Y424/H424,"0")+IFERROR(Y425/H425,"0")+IFERROR(Y426/H426,"0")+IFERROR(Y427/H427,"0")+IFERROR(Y428/H428,"0")+IFERROR(Y429/H429,"0")</f>
        <v>274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5.9594999999999994</v>
      </c>
      <c r="AA430" s="64"/>
      <c r="AB430" s="64"/>
      <c r="AC430" s="64"/>
    </row>
    <row r="431" spans="1:68" x14ac:dyDescent="0.2">
      <c r="A431" s="638"/>
      <c r="B431" s="638"/>
      <c r="C431" s="638"/>
      <c r="D431" s="638"/>
      <c r="E431" s="638"/>
      <c r="F431" s="638"/>
      <c r="G431" s="638"/>
      <c r="H431" s="638"/>
      <c r="I431" s="638"/>
      <c r="J431" s="638"/>
      <c r="K431" s="638"/>
      <c r="L431" s="638"/>
      <c r="M431" s="638"/>
      <c r="N431" s="638"/>
      <c r="O431" s="639"/>
      <c r="P431" s="635" t="s">
        <v>40</v>
      </c>
      <c r="Q431" s="636"/>
      <c r="R431" s="636"/>
      <c r="S431" s="636"/>
      <c r="T431" s="636"/>
      <c r="U431" s="636"/>
      <c r="V431" s="637"/>
      <c r="W431" s="40" t="s">
        <v>0</v>
      </c>
      <c r="X431" s="41">
        <f>IFERROR(SUM(X422:X429),"0")</f>
        <v>4100</v>
      </c>
      <c r="Y431" s="41">
        <f>IFERROR(SUM(Y422:Y429),"0")</f>
        <v>4110</v>
      </c>
      <c r="Z431" s="40"/>
      <c r="AA431" s="64"/>
      <c r="AB431" s="64"/>
      <c r="AC431" s="64"/>
    </row>
    <row r="432" spans="1:68" ht="14.25" customHeight="1" x14ac:dyDescent="0.25">
      <c r="A432" s="649" t="s">
        <v>164</v>
      </c>
      <c r="B432" s="649"/>
      <c r="C432" s="649"/>
      <c r="D432" s="649"/>
      <c r="E432" s="649"/>
      <c r="F432" s="649"/>
      <c r="G432" s="649"/>
      <c r="H432" s="649"/>
      <c r="I432" s="649"/>
      <c r="J432" s="649"/>
      <c r="K432" s="649"/>
      <c r="L432" s="649"/>
      <c r="M432" s="649"/>
      <c r="N432" s="649"/>
      <c r="O432" s="649"/>
      <c r="P432" s="649"/>
      <c r="Q432" s="649"/>
      <c r="R432" s="649"/>
      <c r="S432" s="649"/>
      <c r="T432" s="649"/>
      <c r="U432" s="649"/>
      <c r="V432" s="649"/>
      <c r="W432" s="649"/>
      <c r="X432" s="649"/>
      <c r="Y432" s="649"/>
      <c r="Z432" s="649"/>
      <c r="AA432" s="63"/>
      <c r="AB432" s="63"/>
      <c r="AC432" s="63"/>
    </row>
    <row r="433" spans="1:68" ht="27" customHeight="1" x14ac:dyDescent="0.25">
      <c r="A433" s="60" t="s">
        <v>720</v>
      </c>
      <c r="B433" s="60" t="s">
        <v>721</v>
      </c>
      <c r="C433" s="34">
        <v>4301020178</v>
      </c>
      <c r="D433" s="644">
        <v>4607091383980</v>
      </c>
      <c r="E433" s="644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133</v>
      </c>
      <c r="L433" s="35" t="s">
        <v>46</v>
      </c>
      <c r="M433" s="36" t="s">
        <v>132</v>
      </c>
      <c r="N433" s="36"/>
      <c r="O433" s="35">
        <v>50</v>
      </c>
      <c r="P43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46"/>
      <c r="R433" s="646"/>
      <c r="S433" s="646"/>
      <c r="T433" s="64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722</v>
      </c>
      <c r="AG433" s="75"/>
      <c r="AJ433" s="79" t="s">
        <v>46</v>
      </c>
      <c r="AK433" s="79">
        <v>0</v>
      </c>
      <c r="BB433" s="528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customHeight="1" x14ac:dyDescent="0.25">
      <c r="A434" s="60" t="s">
        <v>723</v>
      </c>
      <c r="B434" s="60" t="s">
        <v>724</v>
      </c>
      <c r="C434" s="34">
        <v>4301020355</v>
      </c>
      <c r="D434" s="644">
        <v>4680115888425</v>
      </c>
      <c r="E434" s="64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7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46"/>
      <c r="R434" s="646"/>
      <c r="S434" s="646"/>
      <c r="T434" s="64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customHeight="1" x14ac:dyDescent="0.25">
      <c r="A435" s="60" t="s">
        <v>726</v>
      </c>
      <c r="B435" s="60" t="s">
        <v>727</v>
      </c>
      <c r="C435" s="34">
        <v>4301020179</v>
      </c>
      <c r="D435" s="644">
        <v>4607091384178</v>
      </c>
      <c r="E435" s="644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140</v>
      </c>
      <c r="L435" s="35" t="s">
        <v>46</v>
      </c>
      <c r="M435" s="36" t="s">
        <v>132</v>
      </c>
      <c r="N435" s="36"/>
      <c r="O435" s="35">
        <v>50</v>
      </c>
      <c r="P435" s="7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46"/>
      <c r="R435" s="646"/>
      <c r="S435" s="646"/>
      <c r="T435" s="64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x14ac:dyDescent="0.2">
      <c r="A436" s="638"/>
      <c r="B436" s="638"/>
      <c r="C436" s="638"/>
      <c r="D436" s="638"/>
      <c r="E436" s="638"/>
      <c r="F436" s="638"/>
      <c r="G436" s="638"/>
      <c r="H436" s="638"/>
      <c r="I436" s="638"/>
      <c r="J436" s="638"/>
      <c r="K436" s="638"/>
      <c r="L436" s="638"/>
      <c r="M436" s="638"/>
      <c r="N436" s="638"/>
      <c r="O436" s="639"/>
      <c r="P436" s="635" t="s">
        <v>40</v>
      </c>
      <c r="Q436" s="636"/>
      <c r="R436" s="636"/>
      <c r="S436" s="636"/>
      <c r="T436" s="636"/>
      <c r="U436" s="636"/>
      <c r="V436" s="637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x14ac:dyDescent="0.2">
      <c r="A437" s="638"/>
      <c r="B437" s="638"/>
      <c r="C437" s="638"/>
      <c r="D437" s="638"/>
      <c r="E437" s="638"/>
      <c r="F437" s="638"/>
      <c r="G437" s="638"/>
      <c r="H437" s="638"/>
      <c r="I437" s="638"/>
      <c r="J437" s="638"/>
      <c r="K437" s="638"/>
      <c r="L437" s="638"/>
      <c r="M437" s="638"/>
      <c r="N437" s="638"/>
      <c r="O437" s="639"/>
      <c r="P437" s="635" t="s">
        <v>40</v>
      </c>
      <c r="Q437" s="636"/>
      <c r="R437" s="636"/>
      <c r="S437" s="636"/>
      <c r="T437" s="636"/>
      <c r="U437" s="636"/>
      <c r="V437" s="637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customHeight="1" x14ac:dyDescent="0.25">
      <c r="A438" s="649" t="s">
        <v>86</v>
      </c>
      <c r="B438" s="649"/>
      <c r="C438" s="649"/>
      <c r="D438" s="649"/>
      <c r="E438" s="649"/>
      <c r="F438" s="649"/>
      <c r="G438" s="649"/>
      <c r="H438" s="649"/>
      <c r="I438" s="649"/>
      <c r="J438" s="649"/>
      <c r="K438" s="649"/>
      <c r="L438" s="649"/>
      <c r="M438" s="649"/>
      <c r="N438" s="649"/>
      <c r="O438" s="649"/>
      <c r="P438" s="649"/>
      <c r="Q438" s="649"/>
      <c r="R438" s="649"/>
      <c r="S438" s="649"/>
      <c r="T438" s="649"/>
      <c r="U438" s="649"/>
      <c r="V438" s="649"/>
      <c r="W438" s="649"/>
      <c r="X438" s="649"/>
      <c r="Y438" s="649"/>
      <c r="Z438" s="649"/>
      <c r="AA438" s="63"/>
      <c r="AB438" s="63"/>
      <c r="AC438" s="63"/>
    </row>
    <row r="439" spans="1:68" ht="27" customHeight="1" x14ac:dyDescent="0.25">
      <c r="A439" s="60" t="s">
        <v>729</v>
      </c>
      <c r="B439" s="60" t="s">
        <v>730</v>
      </c>
      <c r="C439" s="34">
        <v>4301051903</v>
      </c>
      <c r="D439" s="644">
        <v>4607091383928</v>
      </c>
      <c r="E439" s="644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133</v>
      </c>
      <c r="L439" s="35" t="s">
        <v>46</v>
      </c>
      <c r="M439" s="36" t="s">
        <v>90</v>
      </c>
      <c r="N439" s="36"/>
      <c r="O439" s="35">
        <v>40</v>
      </c>
      <c r="P439" s="6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46"/>
      <c r="R439" s="646"/>
      <c r="S439" s="646"/>
      <c r="T439" s="64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731</v>
      </c>
      <c r="AG439" s="75"/>
      <c r="AJ439" s="79" t="s">
        <v>46</v>
      </c>
      <c r="AK439" s="79">
        <v>0</v>
      </c>
      <c r="BB439" s="53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customHeight="1" x14ac:dyDescent="0.25">
      <c r="A440" s="60" t="s">
        <v>732</v>
      </c>
      <c r="B440" s="60" t="s">
        <v>733</v>
      </c>
      <c r="C440" s="34">
        <v>4301051897</v>
      </c>
      <c r="D440" s="644">
        <v>4607091384260</v>
      </c>
      <c r="E440" s="644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46"/>
      <c r="R440" s="646"/>
      <c r="S440" s="646"/>
      <c r="T440" s="64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customHeight="1" x14ac:dyDescent="0.25">
      <c r="A441" s="60" t="s">
        <v>735</v>
      </c>
      <c r="B441" s="60" t="s">
        <v>736</v>
      </c>
      <c r="C441" s="34">
        <v>4301052220</v>
      </c>
      <c r="D441" s="644">
        <v>4680115889538</v>
      </c>
      <c r="E441" s="644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133</v>
      </c>
      <c r="L441" s="35" t="s">
        <v>46</v>
      </c>
      <c r="M441" s="36" t="s">
        <v>90</v>
      </c>
      <c r="N441" s="36"/>
      <c r="O441" s="35">
        <v>45</v>
      </c>
      <c r="P441" s="69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46"/>
      <c r="R441" s="646"/>
      <c r="S441" s="646"/>
      <c r="T441" s="64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x14ac:dyDescent="0.2">
      <c r="A442" s="638"/>
      <c r="B442" s="638"/>
      <c r="C442" s="638"/>
      <c r="D442" s="638"/>
      <c r="E442" s="638"/>
      <c r="F442" s="638"/>
      <c r="G442" s="638"/>
      <c r="H442" s="638"/>
      <c r="I442" s="638"/>
      <c r="J442" s="638"/>
      <c r="K442" s="638"/>
      <c r="L442" s="638"/>
      <c r="M442" s="638"/>
      <c r="N442" s="638"/>
      <c r="O442" s="639"/>
      <c r="P442" s="635" t="s">
        <v>40</v>
      </c>
      <c r="Q442" s="636"/>
      <c r="R442" s="636"/>
      <c r="S442" s="636"/>
      <c r="T442" s="636"/>
      <c r="U442" s="636"/>
      <c r="V442" s="637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x14ac:dyDescent="0.2">
      <c r="A443" s="638"/>
      <c r="B443" s="638"/>
      <c r="C443" s="638"/>
      <c r="D443" s="638"/>
      <c r="E443" s="638"/>
      <c r="F443" s="638"/>
      <c r="G443" s="638"/>
      <c r="H443" s="638"/>
      <c r="I443" s="638"/>
      <c r="J443" s="638"/>
      <c r="K443" s="638"/>
      <c r="L443" s="638"/>
      <c r="M443" s="638"/>
      <c r="N443" s="638"/>
      <c r="O443" s="639"/>
      <c r="P443" s="635" t="s">
        <v>40</v>
      </c>
      <c r="Q443" s="636"/>
      <c r="R443" s="636"/>
      <c r="S443" s="636"/>
      <c r="T443" s="636"/>
      <c r="U443" s="636"/>
      <c r="V443" s="637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customHeight="1" x14ac:dyDescent="0.25">
      <c r="A444" s="649" t="s">
        <v>181</v>
      </c>
      <c r="B444" s="649"/>
      <c r="C444" s="649"/>
      <c r="D444" s="649"/>
      <c r="E444" s="649"/>
      <c r="F444" s="649"/>
      <c r="G444" s="649"/>
      <c r="H444" s="649"/>
      <c r="I444" s="649"/>
      <c r="J444" s="649"/>
      <c r="K444" s="649"/>
      <c r="L444" s="649"/>
      <c r="M444" s="649"/>
      <c r="N444" s="649"/>
      <c r="O444" s="649"/>
      <c r="P444" s="649"/>
      <c r="Q444" s="649"/>
      <c r="R444" s="649"/>
      <c r="S444" s="649"/>
      <c r="T444" s="649"/>
      <c r="U444" s="649"/>
      <c r="V444" s="649"/>
      <c r="W444" s="649"/>
      <c r="X444" s="649"/>
      <c r="Y444" s="649"/>
      <c r="Z444" s="649"/>
      <c r="AA444" s="63"/>
      <c r="AB444" s="63"/>
      <c r="AC444" s="63"/>
    </row>
    <row r="445" spans="1:68" ht="27" customHeight="1" x14ac:dyDescent="0.25">
      <c r="A445" s="60" t="s">
        <v>738</v>
      </c>
      <c r="B445" s="60" t="s">
        <v>739</v>
      </c>
      <c r="C445" s="34">
        <v>4301060537</v>
      </c>
      <c r="D445" s="644">
        <v>4680115889545</v>
      </c>
      <c r="E445" s="644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133</v>
      </c>
      <c r="L445" s="35" t="s">
        <v>46</v>
      </c>
      <c r="M445" s="36" t="s">
        <v>90</v>
      </c>
      <c r="N445" s="36"/>
      <c r="O445" s="35">
        <v>30</v>
      </c>
      <c r="P445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46"/>
      <c r="R445" s="646"/>
      <c r="S445" s="646"/>
      <c r="T445" s="64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740</v>
      </c>
      <c r="AG445" s="75"/>
      <c r="AJ445" s="79" t="s">
        <v>46</v>
      </c>
      <c r="AK445" s="79">
        <v>0</v>
      </c>
      <c r="BB445" s="54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customHeight="1" x14ac:dyDescent="0.25">
      <c r="A446" s="60" t="s">
        <v>741</v>
      </c>
      <c r="B446" s="60" t="s">
        <v>742</v>
      </c>
      <c r="C446" s="34">
        <v>4301060524</v>
      </c>
      <c r="D446" s="644">
        <v>4607091384673</v>
      </c>
      <c r="E446" s="644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133</v>
      </c>
      <c r="L446" s="35" t="s">
        <v>46</v>
      </c>
      <c r="M446" s="36" t="s">
        <v>90</v>
      </c>
      <c r="N446" s="36"/>
      <c r="O446" s="35">
        <v>40</v>
      </c>
      <c r="P446" s="6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46"/>
      <c r="R446" s="646"/>
      <c r="S446" s="646"/>
      <c r="T446" s="64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648" t="s">
        <v>744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2"/>
      <c r="AB449" s="62"/>
      <c r="AC449" s="62"/>
    </row>
    <row r="450" spans="1:68" ht="14.25" customHeight="1" x14ac:dyDescent="0.25">
      <c r="A450" s="649" t="s">
        <v>128</v>
      </c>
      <c r="B450" s="649"/>
      <c r="C450" s="649"/>
      <c r="D450" s="649"/>
      <c r="E450" s="649"/>
      <c r="F450" s="649"/>
      <c r="G450" s="649"/>
      <c r="H450" s="649"/>
      <c r="I450" s="649"/>
      <c r="J450" s="649"/>
      <c r="K450" s="649"/>
      <c r="L450" s="649"/>
      <c r="M450" s="649"/>
      <c r="N450" s="649"/>
      <c r="O450" s="649"/>
      <c r="P450" s="649"/>
      <c r="Q450" s="649"/>
      <c r="R450" s="649"/>
      <c r="S450" s="649"/>
      <c r="T450" s="649"/>
      <c r="U450" s="649"/>
      <c r="V450" s="649"/>
      <c r="W450" s="649"/>
      <c r="X450" s="649"/>
      <c r="Y450" s="649"/>
      <c r="Z450" s="649"/>
      <c r="AA450" s="63"/>
      <c r="AB450" s="63"/>
      <c r="AC450" s="63"/>
    </row>
    <row r="451" spans="1:68" ht="27" customHeight="1" x14ac:dyDescent="0.25">
      <c r="A451" s="60" t="s">
        <v>745</v>
      </c>
      <c r="B451" s="60" t="s">
        <v>746</v>
      </c>
      <c r="C451" s="34">
        <v>4301011875</v>
      </c>
      <c r="D451" s="644">
        <v>4680115884885</v>
      </c>
      <c r="E451" s="644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133</v>
      </c>
      <c r="L451" s="35" t="s">
        <v>46</v>
      </c>
      <c r="M451" s="36" t="s">
        <v>81</v>
      </c>
      <c r="N451" s="36"/>
      <c r="O451" s="35">
        <v>60</v>
      </c>
      <c r="P451" s="6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46"/>
      <c r="R451" s="646"/>
      <c r="S451" s="646"/>
      <c r="T451" s="647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747</v>
      </c>
      <c r="AG451" s="75"/>
      <c r="AJ451" s="79" t="s">
        <v>46</v>
      </c>
      <c r="AK451" s="79">
        <v>0</v>
      </c>
      <c r="BB451" s="544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customHeight="1" x14ac:dyDescent="0.25">
      <c r="A452" s="60" t="s">
        <v>748</v>
      </c>
      <c r="B452" s="60" t="s">
        <v>749</v>
      </c>
      <c r="C452" s="34">
        <v>4301011871</v>
      </c>
      <c r="D452" s="644">
        <v>4680115884908</v>
      </c>
      <c r="E452" s="644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140</v>
      </c>
      <c r="L452" s="35" t="s">
        <v>46</v>
      </c>
      <c r="M452" s="36" t="s">
        <v>81</v>
      </c>
      <c r="N452" s="36"/>
      <c r="O452" s="35">
        <v>60</v>
      </c>
      <c r="P452" s="6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46"/>
      <c r="R452" s="646"/>
      <c r="S452" s="646"/>
      <c r="T452" s="64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747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38"/>
      <c r="B453" s="638"/>
      <c r="C453" s="638"/>
      <c r="D453" s="638"/>
      <c r="E453" s="638"/>
      <c r="F453" s="638"/>
      <c r="G453" s="638"/>
      <c r="H453" s="638"/>
      <c r="I453" s="638"/>
      <c r="J453" s="638"/>
      <c r="K453" s="638"/>
      <c r="L453" s="638"/>
      <c r="M453" s="638"/>
      <c r="N453" s="638"/>
      <c r="O453" s="639"/>
      <c r="P453" s="635" t="s">
        <v>40</v>
      </c>
      <c r="Q453" s="636"/>
      <c r="R453" s="636"/>
      <c r="S453" s="636"/>
      <c r="T453" s="636"/>
      <c r="U453" s="636"/>
      <c r="V453" s="63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649" t="s">
        <v>77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63"/>
      <c r="AB455" s="63"/>
      <c r="AC455" s="63"/>
    </row>
    <row r="456" spans="1:68" ht="27" customHeight="1" x14ac:dyDescent="0.25">
      <c r="A456" s="60" t="s">
        <v>750</v>
      </c>
      <c r="B456" s="60" t="s">
        <v>751</v>
      </c>
      <c r="C456" s="34">
        <v>4301031457</v>
      </c>
      <c r="D456" s="644">
        <v>4607091384802</v>
      </c>
      <c r="E456" s="644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140</v>
      </c>
      <c r="L456" s="35" t="s">
        <v>46</v>
      </c>
      <c r="M456" s="36" t="s">
        <v>81</v>
      </c>
      <c r="N456" s="36"/>
      <c r="O456" s="35">
        <v>50</v>
      </c>
      <c r="P456" s="68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46"/>
      <c r="R456" s="646"/>
      <c r="S456" s="646"/>
      <c r="T456" s="64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752</v>
      </c>
      <c r="AG456" s="75"/>
      <c r="AJ456" s="79" t="s">
        <v>46</v>
      </c>
      <c r="AK456" s="79">
        <v>0</v>
      </c>
      <c r="BB456" s="54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638"/>
      <c r="B457" s="638"/>
      <c r="C457" s="638"/>
      <c r="D457" s="638"/>
      <c r="E457" s="638"/>
      <c r="F457" s="638"/>
      <c r="G457" s="638"/>
      <c r="H457" s="638"/>
      <c r="I457" s="638"/>
      <c r="J457" s="638"/>
      <c r="K457" s="638"/>
      <c r="L457" s="638"/>
      <c r="M457" s="638"/>
      <c r="N457" s="638"/>
      <c r="O457" s="639"/>
      <c r="P457" s="635" t="s">
        <v>40</v>
      </c>
      <c r="Q457" s="636"/>
      <c r="R457" s="636"/>
      <c r="S457" s="636"/>
      <c r="T457" s="636"/>
      <c r="U457" s="636"/>
      <c r="V457" s="637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x14ac:dyDescent="0.2">
      <c r="A458" s="638"/>
      <c r="B458" s="638"/>
      <c r="C458" s="638"/>
      <c r="D458" s="638"/>
      <c r="E458" s="638"/>
      <c r="F458" s="638"/>
      <c r="G458" s="638"/>
      <c r="H458" s="638"/>
      <c r="I458" s="638"/>
      <c r="J458" s="638"/>
      <c r="K458" s="638"/>
      <c r="L458" s="638"/>
      <c r="M458" s="638"/>
      <c r="N458" s="638"/>
      <c r="O458" s="639"/>
      <c r="P458" s="635" t="s">
        <v>40</v>
      </c>
      <c r="Q458" s="636"/>
      <c r="R458" s="636"/>
      <c r="S458" s="636"/>
      <c r="T458" s="636"/>
      <c r="U458" s="636"/>
      <c r="V458" s="637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customHeight="1" x14ac:dyDescent="0.25">
      <c r="A459" s="649" t="s">
        <v>86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"/>
      <c r="AB459" s="63"/>
      <c r="AC459" s="63"/>
    </row>
    <row r="460" spans="1:68" ht="27" customHeight="1" x14ac:dyDescent="0.25">
      <c r="A460" s="60" t="s">
        <v>753</v>
      </c>
      <c r="B460" s="60" t="s">
        <v>754</v>
      </c>
      <c r="C460" s="34">
        <v>4301051899</v>
      </c>
      <c r="D460" s="644">
        <v>4607091384246</v>
      </c>
      <c r="E460" s="644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133</v>
      </c>
      <c r="L460" s="35" t="s">
        <v>46</v>
      </c>
      <c r="M460" s="36" t="s">
        <v>90</v>
      </c>
      <c r="N460" s="36"/>
      <c r="O460" s="35">
        <v>40</v>
      </c>
      <c r="P460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46"/>
      <c r="R460" s="646"/>
      <c r="S460" s="646"/>
      <c r="T460" s="64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755</v>
      </c>
      <c r="AG460" s="75"/>
      <c r="AJ460" s="79" t="s">
        <v>46</v>
      </c>
      <c r="AK460" s="79">
        <v>0</v>
      </c>
      <c r="BB460" s="55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756</v>
      </c>
      <c r="B461" s="60" t="s">
        <v>757</v>
      </c>
      <c r="C461" s="34">
        <v>4301051660</v>
      </c>
      <c r="D461" s="644">
        <v>4607091384253</v>
      </c>
      <c r="E461" s="644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40</v>
      </c>
      <c r="P461" s="6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46"/>
      <c r="R461" s="646"/>
      <c r="S461" s="646"/>
      <c r="T461" s="64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755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756</v>
      </c>
      <c r="B462" s="60" t="s">
        <v>758</v>
      </c>
      <c r="C462" s="34">
        <v>4301052069</v>
      </c>
      <c r="D462" s="644">
        <v>4607091384253</v>
      </c>
      <c r="E462" s="64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6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46"/>
      <c r="R462" s="646"/>
      <c r="S462" s="646"/>
      <c r="T462" s="64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759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638"/>
      <c r="B463" s="638"/>
      <c r="C463" s="638"/>
      <c r="D463" s="638"/>
      <c r="E463" s="638"/>
      <c r="F463" s="638"/>
      <c r="G463" s="638"/>
      <c r="H463" s="638"/>
      <c r="I463" s="638"/>
      <c r="J463" s="638"/>
      <c r="K463" s="638"/>
      <c r="L463" s="638"/>
      <c r="M463" s="638"/>
      <c r="N463" s="638"/>
      <c r="O463" s="639"/>
      <c r="P463" s="635" t="s">
        <v>40</v>
      </c>
      <c r="Q463" s="636"/>
      <c r="R463" s="636"/>
      <c r="S463" s="636"/>
      <c r="T463" s="636"/>
      <c r="U463" s="636"/>
      <c r="V463" s="637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x14ac:dyDescent="0.2">
      <c r="A464" s="638"/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9"/>
      <c r="P464" s="635" t="s">
        <v>40</v>
      </c>
      <c r="Q464" s="636"/>
      <c r="R464" s="636"/>
      <c r="S464" s="636"/>
      <c r="T464" s="636"/>
      <c r="U464" s="636"/>
      <c r="V464" s="637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customHeight="1" x14ac:dyDescent="0.2">
      <c r="A465" s="655" t="s">
        <v>760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52"/>
      <c r="AB465" s="52"/>
      <c r="AC465" s="52"/>
    </row>
    <row r="466" spans="1:68" ht="16.5" customHeight="1" x14ac:dyDescent="0.25">
      <c r="A466" s="648" t="s">
        <v>761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2"/>
      <c r="AB466" s="62"/>
      <c r="AC466" s="62"/>
    </row>
    <row r="467" spans="1:68" ht="14.25" customHeight="1" x14ac:dyDescent="0.25">
      <c r="A467" s="649" t="s">
        <v>77</v>
      </c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49"/>
      <c r="P467" s="649"/>
      <c r="Q467" s="649"/>
      <c r="R467" s="649"/>
      <c r="S467" s="649"/>
      <c r="T467" s="649"/>
      <c r="U467" s="649"/>
      <c r="V467" s="649"/>
      <c r="W467" s="649"/>
      <c r="X467" s="649"/>
      <c r="Y467" s="649"/>
      <c r="Z467" s="649"/>
      <c r="AA467" s="63"/>
      <c r="AB467" s="63"/>
      <c r="AC467" s="63"/>
    </row>
    <row r="468" spans="1:68" ht="27" customHeight="1" x14ac:dyDescent="0.25">
      <c r="A468" s="60" t="s">
        <v>762</v>
      </c>
      <c r="B468" s="60" t="s">
        <v>763</v>
      </c>
      <c r="C468" s="34">
        <v>4301031405</v>
      </c>
      <c r="D468" s="644">
        <v>4680115886100</v>
      </c>
      <c r="E468" s="644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140</v>
      </c>
      <c r="L468" s="35" t="s">
        <v>46</v>
      </c>
      <c r="M468" s="36" t="s">
        <v>81</v>
      </c>
      <c r="N468" s="36"/>
      <c r="O468" s="35">
        <v>50</v>
      </c>
      <c r="P468" s="6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46"/>
      <c r="R468" s="646"/>
      <c r="S468" s="646"/>
      <c r="T468" s="64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764</v>
      </c>
      <c r="AG468" s="75"/>
      <c r="AJ468" s="79" t="s">
        <v>46</v>
      </c>
      <c r="AK468" s="79">
        <v>0</v>
      </c>
      <c r="BB468" s="556" t="s">
        <v>67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customHeight="1" x14ac:dyDescent="0.25">
      <c r="A469" s="60" t="s">
        <v>765</v>
      </c>
      <c r="B469" s="60" t="s">
        <v>766</v>
      </c>
      <c r="C469" s="34">
        <v>4301031402</v>
      </c>
      <c r="D469" s="644">
        <v>4680115886124</v>
      </c>
      <c r="E469" s="64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6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46"/>
      <c r="R469" s="646"/>
      <c r="S469" s="646"/>
      <c r="T469" s="64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customHeight="1" x14ac:dyDescent="0.25">
      <c r="A470" s="60" t="s">
        <v>768</v>
      </c>
      <c r="B470" s="60" t="s">
        <v>769</v>
      </c>
      <c r="C470" s="34">
        <v>4301031362</v>
      </c>
      <c r="D470" s="644">
        <v>4607091384338</v>
      </c>
      <c r="E470" s="64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46"/>
      <c r="R470" s="646"/>
      <c r="S470" s="646"/>
      <c r="T470" s="64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764</v>
      </c>
      <c r="AG470" s="75"/>
      <c r="AJ470" s="79" t="s">
        <v>46</v>
      </c>
      <c r="AK470" s="79">
        <v>0</v>
      </c>
      <c r="BB470" s="560" t="s">
        <v>67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customHeight="1" x14ac:dyDescent="0.25">
      <c r="A471" s="60" t="s">
        <v>770</v>
      </c>
      <c r="B471" s="60" t="s">
        <v>771</v>
      </c>
      <c r="C471" s="34">
        <v>4301031364</v>
      </c>
      <c r="D471" s="644">
        <v>4680115883161</v>
      </c>
      <c r="E471" s="644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46"/>
      <c r="R471" s="646"/>
      <c r="S471" s="646"/>
      <c r="T471" s="64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772</v>
      </c>
      <c r="AG471" s="75"/>
      <c r="AJ471" s="79" t="s">
        <v>46</v>
      </c>
      <c r="AK471" s="79">
        <v>0</v>
      </c>
      <c r="BB471" s="562" t="s">
        <v>67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customHeight="1" x14ac:dyDescent="0.25">
      <c r="A472" s="60" t="s">
        <v>773</v>
      </c>
      <c r="B472" s="60" t="s">
        <v>774</v>
      </c>
      <c r="C472" s="34">
        <v>4301031358</v>
      </c>
      <c r="D472" s="644">
        <v>4607091389531</v>
      </c>
      <c r="E472" s="64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46"/>
      <c r="R472" s="646"/>
      <c r="S472" s="646"/>
      <c r="T472" s="64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customHeight="1" x14ac:dyDescent="0.25">
      <c r="A473" s="60" t="s">
        <v>776</v>
      </c>
      <c r="B473" s="60" t="s">
        <v>777</v>
      </c>
      <c r="C473" s="34">
        <v>4301031360</v>
      </c>
      <c r="D473" s="644">
        <v>4607091384345</v>
      </c>
      <c r="E473" s="64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46"/>
      <c r="R473" s="646"/>
      <c r="S473" s="646"/>
      <c r="T473" s="64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772</v>
      </c>
      <c r="AG473" s="75"/>
      <c r="AJ473" s="79" t="s">
        <v>46</v>
      </c>
      <c r="AK473" s="79">
        <v>0</v>
      </c>
      <c r="BB473" s="566" t="s">
        <v>67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customHeight="1" x14ac:dyDescent="0.25">
      <c r="A476" s="649" t="s">
        <v>86</v>
      </c>
      <c r="B476" s="649"/>
      <c r="C476" s="649"/>
      <c r="D476" s="649"/>
      <c r="E476" s="649"/>
      <c r="F476" s="649"/>
      <c r="G476" s="649"/>
      <c r="H476" s="649"/>
      <c r="I476" s="649"/>
      <c r="J476" s="649"/>
      <c r="K476" s="649"/>
      <c r="L476" s="649"/>
      <c r="M476" s="649"/>
      <c r="N476" s="649"/>
      <c r="O476" s="649"/>
      <c r="P476" s="649"/>
      <c r="Q476" s="649"/>
      <c r="R476" s="649"/>
      <c r="S476" s="649"/>
      <c r="T476" s="649"/>
      <c r="U476" s="649"/>
      <c r="V476" s="649"/>
      <c r="W476" s="649"/>
      <c r="X476" s="649"/>
      <c r="Y476" s="649"/>
      <c r="Z476" s="649"/>
      <c r="AA476" s="63"/>
      <c r="AB476" s="63"/>
      <c r="AC476" s="63"/>
    </row>
    <row r="477" spans="1:68" ht="27" customHeight="1" x14ac:dyDescent="0.25">
      <c r="A477" s="60" t="s">
        <v>778</v>
      </c>
      <c r="B477" s="60" t="s">
        <v>779</v>
      </c>
      <c r="C477" s="34">
        <v>4301051284</v>
      </c>
      <c r="D477" s="644">
        <v>4607091384352</v>
      </c>
      <c r="E477" s="644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140</v>
      </c>
      <c r="L477" s="35" t="s">
        <v>46</v>
      </c>
      <c r="M477" s="36" t="s">
        <v>90</v>
      </c>
      <c r="N477" s="36"/>
      <c r="O477" s="35">
        <v>45</v>
      </c>
      <c r="P477" s="6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46"/>
      <c r="R477" s="646"/>
      <c r="S477" s="646"/>
      <c r="T477" s="647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780</v>
      </c>
      <c r="AG477" s="75"/>
      <c r="AJ477" s="79" t="s">
        <v>46</v>
      </c>
      <c r="AK477" s="79">
        <v>0</v>
      </c>
      <c r="BB477" s="568" t="s">
        <v>67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customHeight="1" x14ac:dyDescent="0.25">
      <c r="A478" s="60" t="s">
        <v>781</v>
      </c>
      <c r="B478" s="60" t="s">
        <v>782</v>
      </c>
      <c r="C478" s="34">
        <v>4301051431</v>
      </c>
      <c r="D478" s="644">
        <v>4607091389654</v>
      </c>
      <c r="E478" s="644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91</v>
      </c>
      <c r="L478" s="35" t="s">
        <v>46</v>
      </c>
      <c r="M478" s="36" t="s">
        <v>90</v>
      </c>
      <c r="N478" s="36"/>
      <c r="O478" s="35">
        <v>45</v>
      </c>
      <c r="P478" s="6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46"/>
      <c r="R478" s="646"/>
      <c r="S478" s="646"/>
      <c r="T478" s="64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x14ac:dyDescent="0.2">
      <c r="A479" s="638"/>
      <c r="B479" s="638"/>
      <c r="C479" s="638"/>
      <c r="D479" s="638"/>
      <c r="E479" s="638"/>
      <c r="F479" s="638"/>
      <c r="G479" s="638"/>
      <c r="H479" s="638"/>
      <c r="I479" s="638"/>
      <c r="J479" s="638"/>
      <c r="K479" s="638"/>
      <c r="L479" s="638"/>
      <c r="M479" s="638"/>
      <c r="N479" s="638"/>
      <c r="O479" s="639"/>
      <c r="P479" s="635" t="s">
        <v>40</v>
      </c>
      <c r="Q479" s="636"/>
      <c r="R479" s="636"/>
      <c r="S479" s="636"/>
      <c r="T479" s="636"/>
      <c r="U479" s="636"/>
      <c r="V479" s="637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x14ac:dyDescent="0.2">
      <c r="A480" s="638"/>
      <c r="B480" s="638"/>
      <c r="C480" s="638"/>
      <c r="D480" s="638"/>
      <c r="E480" s="638"/>
      <c r="F480" s="638"/>
      <c r="G480" s="638"/>
      <c r="H480" s="638"/>
      <c r="I480" s="638"/>
      <c r="J480" s="638"/>
      <c r="K480" s="638"/>
      <c r="L480" s="638"/>
      <c r="M480" s="638"/>
      <c r="N480" s="638"/>
      <c r="O480" s="639"/>
      <c r="P480" s="635" t="s">
        <v>40</v>
      </c>
      <c r="Q480" s="636"/>
      <c r="R480" s="636"/>
      <c r="S480" s="636"/>
      <c r="T480" s="636"/>
      <c r="U480" s="636"/>
      <c r="V480" s="637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customHeight="1" x14ac:dyDescent="0.25">
      <c r="A481" s="648" t="s">
        <v>784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2"/>
      <c r="AB481" s="62"/>
      <c r="AC481" s="62"/>
    </row>
    <row r="482" spans="1:68" ht="14.25" customHeight="1" x14ac:dyDescent="0.25">
      <c r="A482" s="649" t="s">
        <v>164</v>
      </c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  <c r="M482" s="649"/>
      <c r="N482" s="649"/>
      <c r="O482" s="649"/>
      <c r="P482" s="649"/>
      <c r="Q482" s="649"/>
      <c r="R482" s="649"/>
      <c r="S482" s="649"/>
      <c r="T482" s="649"/>
      <c r="U482" s="649"/>
      <c r="V482" s="649"/>
      <c r="W482" s="649"/>
      <c r="X482" s="649"/>
      <c r="Y482" s="649"/>
      <c r="Z482" s="649"/>
      <c r="AA482" s="63"/>
      <c r="AB482" s="63"/>
      <c r="AC482" s="63"/>
    </row>
    <row r="483" spans="1:68" ht="27" customHeight="1" x14ac:dyDescent="0.25">
      <c r="A483" s="60" t="s">
        <v>785</v>
      </c>
      <c r="B483" s="60" t="s">
        <v>786</v>
      </c>
      <c r="C483" s="34">
        <v>4301020416</v>
      </c>
      <c r="D483" s="644">
        <v>4680115885240</v>
      </c>
      <c r="E483" s="644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91</v>
      </c>
      <c r="L483" s="35" t="s">
        <v>46</v>
      </c>
      <c r="M483" s="36" t="s">
        <v>81</v>
      </c>
      <c r="N483" s="36"/>
      <c r="O483" s="35">
        <v>40</v>
      </c>
      <c r="P483" s="6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46"/>
      <c r="R483" s="646"/>
      <c r="S483" s="646"/>
      <c r="T483" s="647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787</v>
      </c>
      <c r="AG483" s="75"/>
      <c r="AJ483" s="79" t="s">
        <v>46</v>
      </c>
      <c r="AK483" s="79">
        <v>0</v>
      </c>
      <c r="BB483" s="57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x14ac:dyDescent="0.2">
      <c r="A484" s="638"/>
      <c r="B484" s="638"/>
      <c r="C484" s="638"/>
      <c r="D484" s="638"/>
      <c r="E484" s="638"/>
      <c r="F484" s="638"/>
      <c r="G484" s="638"/>
      <c r="H484" s="638"/>
      <c r="I484" s="638"/>
      <c r="J484" s="638"/>
      <c r="K484" s="638"/>
      <c r="L484" s="638"/>
      <c r="M484" s="638"/>
      <c r="N484" s="638"/>
      <c r="O484" s="639"/>
      <c r="P484" s="635" t="s">
        <v>40</v>
      </c>
      <c r="Q484" s="636"/>
      <c r="R484" s="636"/>
      <c r="S484" s="636"/>
      <c r="T484" s="636"/>
      <c r="U484" s="636"/>
      <c r="V484" s="637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x14ac:dyDescent="0.2">
      <c r="A485" s="638"/>
      <c r="B485" s="638"/>
      <c r="C485" s="638"/>
      <c r="D485" s="638"/>
      <c r="E485" s="638"/>
      <c r="F485" s="638"/>
      <c r="G485" s="638"/>
      <c r="H485" s="638"/>
      <c r="I485" s="638"/>
      <c r="J485" s="638"/>
      <c r="K485" s="638"/>
      <c r="L485" s="638"/>
      <c r="M485" s="638"/>
      <c r="N485" s="638"/>
      <c r="O485" s="639"/>
      <c r="P485" s="635" t="s">
        <v>40</v>
      </c>
      <c r="Q485" s="636"/>
      <c r="R485" s="636"/>
      <c r="S485" s="636"/>
      <c r="T485" s="636"/>
      <c r="U485" s="636"/>
      <c r="V485" s="637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customHeight="1" x14ac:dyDescent="0.25">
      <c r="A486" s="649" t="s">
        <v>77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"/>
      <c r="AB486" s="63"/>
      <c r="AC486" s="63"/>
    </row>
    <row r="487" spans="1:68" ht="27" customHeight="1" x14ac:dyDescent="0.25">
      <c r="A487" s="60" t="s">
        <v>788</v>
      </c>
      <c r="B487" s="60" t="s">
        <v>789</v>
      </c>
      <c r="C487" s="34">
        <v>4301031407</v>
      </c>
      <c r="D487" s="644">
        <v>4680115886094</v>
      </c>
      <c r="E487" s="644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140</v>
      </c>
      <c r="L487" s="35" t="s">
        <v>46</v>
      </c>
      <c r="M487" s="36" t="s">
        <v>81</v>
      </c>
      <c r="N487" s="36"/>
      <c r="O487" s="35">
        <v>50</v>
      </c>
      <c r="P487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46"/>
      <c r="R487" s="646"/>
      <c r="S487" s="646"/>
      <c r="T487" s="64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790</v>
      </c>
      <c r="AG487" s="75"/>
      <c r="AJ487" s="79" t="s">
        <v>46</v>
      </c>
      <c r="AK487" s="79">
        <v>0</v>
      </c>
      <c r="BB487" s="57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customHeight="1" x14ac:dyDescent="0.25">
      <c r="A488" s="60" t="s">
        <v>791</v>
      </c>
      <c r="B488" s="60" t="s">
        <v>792</v>
      </c>
      <c r="C488" s="34">
        <v>4301031373</v>
      </c>
      <c r="D488" s="644">
        <v>4680115880771</v>
      </c>
      <c r="E488" s="644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82</v>
      </c>
      <c r="L488" s="35" t="s">
        <v>46</v>
      </c>
      <c r="M488" s="36" t="s">
        <v>81</v>
      </c>
      <c r="N488" s="36"/>
      <c r="O488" s="35">
        <v>50</v>
      </c>
      <c r="P488" s="6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46"/>
      <c r="R488" s="646"/>
      <c r="S488" s="646"/>
      <c r="T488" s="64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customHeight="1" x14ac:dyDescent="0.25">
      <c r="A489" s="60" t="s">
        <v>794</v>
      </c>
      <c r="B489" s="60" t="s">
        <v>795</v>
      </c>
      <c r="C489" s="34">
        <v>4301031359</v>
      </c>
      <c r="D489" s="644">
        <v>4607091389500</v>
      </c>
      <c r="E489" s="644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46"/>
      <c r="R489" s="646"/>
      <c r="S489" s="646"/>
      <c r="T489" s="64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793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x14ac:dyDescent="0.2">
      <c r="A490" s="638"/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9"/>
      <c r="P490" s="635" t="s">
        <v>40</v>
      </c>
      <c r="Q490" s="636"/>
      <c r="R490" s="636"/>
      <c r="S490" s="636"/>
      <c r="T490" s="636"/>
      <c r="U490" s="636"/>
      <c r="V490" s="637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customHeight="1" x14ac:dyDescent="0.2">
      <c r="A492" s="655" t="s">
        <v>796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52"/>
      <c r="AB492" s="52"/>
      <c r="AC492" s="52"/>
    </row>
    <row r="493" spans="1:68" ht="16.5" customHeight="1" x14ac:dyDescent="0.25">
      <c r="A493" s="648" t="s">
        <v>796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2"/>
      <c r="AB493" s="62"/>
      <c r="AC493" s="62"/>
    </row>
    <row r="494" spans="1:68" ht="14.25" customHeight="1" x14ac:dyDescent="0.25">
      <c r="A494" s="649" t="s">
        <v>128</v>
      </c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49"/>
      <c r="P494" s="649"/>
      <c r="Q494" s="649"/>
      <c r="R494" s="649"/>
      <c r="S494" s="649"/>
      <c r="T494" s="649"/>
      <c r="U494" s="649"/>
      <c r="V494" s="649"/>
      <c r="W494" s="649"/>
      <c r="X494" s="649"/>
      <c r="Y494" s="649"/>
      <c r="Z494" s="649"/>
      <c r="AA494" s="63"/>
      <c r="AB494" s="63"/>
      <c r="AC494" s="63"/>
    </row>
    <row r="495" spans="1:68" ht="27" customHeight="1" x14ac:dyDescent="0.25">
      <c r="A495" s="60" t="s">
        <v>797</v>
      </c>
      <c r="B495" s="60" t="s">
        <v>798</v>
      </c>
      <c r="C495" s="34">
        <v>4301011769</v>
      </c>
      <c r="D495" s="644">
        <v>4607091389067</v>
      </c>
      <c r="E495" s="64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133</v>
      </c>
      <c r="L495" s="35" t="s">
        <v>46</v>
      </c>
      <c r="M495" s="36" t="s">
        <v>90</v>
      </c>
      <c r="N495" s="36"/>
      <c r="O495" s="35">
        <v>60</v>
      </c>
      <c r="P495" s="6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46"/>
      <c r="R495" s="646"/>
      <c r="S495" s="646"/>
      <c r="T495" s="647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131</v>
      </c>
      <c r="AG495" s="75"/>
      <c r="AJ495" s="79" t="s">
        <v>46</v>
      </c>
      <c r="AK495" s="79">
        <v>0</v>
      </c>
      <c r="BB495" s="580" t="s">
        <v>67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customHeight="1" x14ac:dyDescent="0.25">
      <c r="A496" s="60" t="s">
        <v>799</v>
      </c>
      <c r="B496" s="60" t="s">
        <v>800</v>
      </c>
      <c r="C496" s="34">
        <v>4301012380</v>
      </c>
      <c r="D496" s="644">
        <v>4680115889576</v>
      </c>
      <c r="E496" s="64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132</v>
      </c>
      <c r="N496" s="36"/>
      <c r="O496" s="35">
        <v>60</v>
      </c>
      <c r="P496" s="67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46"/>
      <c r="R496" s="646"/>
      <c r="S496" s="646"/>
      <c r="T496" s="64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801</v>
      </c>
      <c r="AG496" s="75"/>
      <c r="AJ496" s="79" t="s">
        <v>46</v>
      </c>
      <c r="AK496" s="79">
        <v>0</v>
      </c>
      <c r="BB496" s="582" t="s">
        <v>67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customHeight="1" x14ac:dyDescent="0.25">
      <c r="A497" s="60" t="s">
        <v>802</v>
      </c>
      <c r="B497" s="60" t="s">
        <v>803</v>
      </c>
      <c r="C497" s="34">
        <v>4301011961</v>
      </c>
      <c r="D497" s="644">
        <v>4680115885271</v>
      </c>
      <c r="E497" s="64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6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46"/>
      <c r="R497" s="646"/>
      <c r="S497" s="646"/>
      <c r="T497" s="64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customHeight="1" x14ac:dyDescent="0.25">
      <c r="A498" s="60" t="s">
        <v>805</v>
      </c>
      <c r="B498" s="60" t="s">
        <v>806</v>
      </c>
      <c r="C498" s="34">
        <v>4301011369</v>
      </c>
      <c r="D498" s="644">
        <v>4680115885226</v>
      </c>
      <c r="E498" s="64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6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46"/>
      <c r="R498" s="646"/>
      <c r="S498" s="646"/>
      <c r="T498" s="64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customHeight="1" x14ac:dyDescent="0.25">
      <c r="A499" s="60" t="s">
        <v>808</v>
      </c>
      <c r="B499" s="60" t="s">
        <v>809</v>
      </c>
      <c r="C499" s="34">
        <v>4301011797</v>
      </c>
      <c r="D499" s="644">
        <v>4680115884502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90</v>
      </c>
      <c r="N499" s="36"/>
      <c r="O499" s="35">
        <v>60</v>
      </c>
      <c r="P499" s="6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46"/>
      <c r="R499" s="646"/>
      <c r="S499" s="646"/>
      <c r="T499" s="64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customHeight="1" x14ac:dyDescent="0.25">
      <c r="A500" s="60" t="s">
        <v>811</v>
      </c>
      <c r="B500" s="60" t="s">
        <v>812</v>
      </c>
      <c r="C500" s="34">
        <v>4301011771</v>
      </c>
      <c r="D500" s="644">
        <v>4607091389104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132</v>
      </c>
      <c r="N500" s="36"/>
      <c r="O500" s="35">
        <v>60</v>
      </c>
      <c r="P500" s="6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46"/>
      <c r="R500" s="646"/>
      <c r="S500" s="646"/>
      <c r="T500" s="64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customHeight="1" x14ac:dyDescent="0.25">
      <c r="A501" s="60" t="s">
        <v>814</v>
      </c>
      <c r="B501" s="60" t="s">
        <v>815</v>
      </c>
      <c r="C501" s="34">
        <v>4301012125</v>
      </c>
      <c r="D501" s="644">
        <v>4680115886391</v>
      </c>
      <c r="E501" s="644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91</v>
      </c>
      <c r="L501" s="35" t="s">
        <v>46</v>
      </c>
      <c r="M501" s="36" t="s">
        <v>90</v>
      </c>
      <c r="N501" s="36"/>
      <c r="O501" s="35">
        <v>60</v>
      </c>
      <c r="P501" s="66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46"/>
      <c r="R501" s="646"/>
      <c r="S501" s="646"/>
      <c r="T501" s="64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131</v>
      </c>
      <c r="AG501" s="75"/>
      <c r="AJ501" s="79" t="s">
        <v>46</v>
      </c>
      <c r="AK501" s="79">
        <v>0</v>
      </c>
      <c r="BB501" s="592" t="s">
        <v>67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customHeight="1" x14ac:dyDescent="0.25">
      <c r="A502" s="60" t="s">
        <v>816</v>
      </c>
      <c r="B502" s="60" t="s">
        <v>817</v>
      </c>
      <c r="C502" s="34">
        <v>4301012048</v>
      </c>
      <c r="D502" s="644">
        <v>4680115880603</v>
      </c>
      <c r="E502" s="644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140</v>
      </c>
      <c r="L502" s="35" t="s">
        <v>46</v>
      </c>
      <c r="M502" s="36" t="s">
        <v>90</v>
      </c>
      <c r="N502" s="36"/>
      <c r="O502" s="35">
        <v>60</v>
      </c>
      <c r="P502" s="6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46"/>
      <c r="R502" s="646"/>
      <c r="S502" s="646"/>
      <c r="T502" s="64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customHeight="1" x14ac:dyDescent="0.25">
      <c r="A503" s="60" t="s">
        <v>818</v>
      </c>
      <c r="B503" s="60" t="s">
        <v>819</v>
      </c>
      <c r="C503" s="34">
        <v>4301012034</v>
      </c>
      <c r="D503" s="644">
        <v>4607091389982</v>
      </c>
      <c r="E503" s="64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132</v>
      </c>
      <c r="N503" s="36"/>
      <c r="O503" s="35">
        <v>60</v>
      </c>
      <c r="P503" s="6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46"/>
      <c r="R503" s="646"/>
      <c r="S503" s="646"/>
      <c r="T503" s="64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813</v>
      </c>
      <c r="AG503" s="75"/>
      <c r="AJ503" s="79" t="s">
        <v>46</v>
      </c>
      <c r="AK503" s="79">
        <v>0</v>
      </c>
      <c r="BB503" s="596" t="s">
        <v>67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x14ac:dyDescent="0.2">
      <c r="A504" s="638"/>
      <c r="B504" s="63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38"/>
      <c r="N504" s="638"/>
      <c r="O504" s="639"/>
      <c r="P504" s="635" t="s">
        <v>40</v>
      </c>
      <c r="Q504" s="636"/>
      <c r="R504" s="636"/>
      <c r="S504" s="636"/>
      <c r="T504" s="636"/>
      <c r="U504" s="636"/>
      <c r="V504" s="637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x14ac:dyDescent="0.2">
      <c r="A505" s="638"/>
      <c r="B505" s="63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38"/>
      <c r="N505" s="638"/>
      <c r="O505" s="639"/>
      <c r="P505" s="635" t="s">
        <v>40</v>
      </c>
      <c r="Q505" s="636"/>
      <c r="R505" s="636"/>
      <c r="S505" s="636"/>
      <c r="T505" s="636"/>
      <c r="U505" s="636"/>
      <c r="V505" s="637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customHeight="1" x14ac:dyDescent="0.25">
      <c r="A506" s="649" t="s">
        <v>164</v>
      </c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  <c r="AA506" s="63"/>
      <c r="AB506" s="63"/>
      <c r="AC506" s="63"/>
    </row>
    <row r="507" spans="1:68" ht="16.5" customHeight="1" x14ac:dyDescent="0.25">
      <c r="A507" s="60" t="s">
        <v>820</v>
      </c>
      <c r="B507" s="60" t="s">
        <v>821</v>
      </c>
      <c r="C507" s="34">
        <v>4301020334</v>
      </c>
      <c r="D507" s="644">
        <v>4607091388930</v>
      </c>
      <c r="E507" s="644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133</v>
      </c>
      <c r="L507" s="35" t="s">
        <v>46</v>
      </c>
      <c r="M507" s="36" t="s">
        <v>90</v>
      </c>
      <c r="N507" s="36"/>
      <c r="O507" s="35">
        <v>70</v>
      </c>
      <c r="P507" s="66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46"/>
      <c r="R507" s="646"/>
      <c r="S507" s="646"/>
      <c r="T507" s="647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822</v>
      </c>
      <c r="AG507" s="75"/>
      <c r="AJ507" s="79" t="s">
        <v>46</v>
      </c>
      <c r="AK507" s="79">
        <v>0</v>
      </c>
      <c r="BB507" s="598" t="s">
        <v>67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customHeight="1" x14ac:dyDescent="0.25">
      <c r="A508" s="60" t="s">
        <v>823</v>
      </c>
      <c r="B508" s="60" t="s">
        <v>824</v>
      </c>
      <c r="C508" s="34">
        <v>4301020374</v>
      </c>
      <c r="D508" s="644">
        <v>4680115886407</v>
      </c>
      <c r="E508" s="644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132</v>
      </c>
      <c r="N508" s="36"/>
      <c r="O508" s="35">
        <v>70</v>
      </c>
      <c r="P508" s="6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46"/>
      <c r="R508" s="646"/>
      <c r="S508" s="646"/>
      <c r="T508" s="64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822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customHeight="1" x14ac:dyDescent="0.25">
      <c r="A509" s="60" t="s">
        <v>825</v>
      </c>
      <c r="B509" s="60" t="s">
        <v>826</v>
      </c>
      <c r="C509" s="34">
        <v>4301020385</v>
      </c>
      <c r="D509" s="644">
        <v>4680115880054</v>
      </c>
      <c r="E509" s="644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140</v>
      </c>
      <c r="L509" s="35" t="s">
        <v>46</v>
      </c>
      <c r="M509" s="36" t="s">
        <v>132</v>
      </c>
      <c r="N509" s="36"/>
      <c r="O509" s="35">
        <v>70</v>
      </c>
      <c r="P509" s="6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46"/>
      <c r="R509" s="646"/>
      <c r="S509" s="646"/>
      <c r="T509" s="64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822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38"/>
      <c r="B510" s="63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38"/>
      <c r="N510" s="638"/>
      <c r="O510" s="639"/>
      <c r="P510" s="635" t="s">
        <v>40</v>
      </c>
      <c r="Q510" s="636"/>
      <c r="R510" s="636"/>
      <c r="S510" s="636"/>
      <c r="T510" s="636"/>
      <c r="U510" s="636"/>
      <c r="V510" s="637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customHeight="1" x14ac:dyDescent="0.25">
      <c r="A512" s="649" t="s">
        <v>77</v>
      </c>
      <c r="B512" s="649"/>
      <c r="C512" s="649"/>
      <c r="D512" s="649"/>
      <c r="E512" s="649"/>
      <c r="F512" s="649"/>
      <c r="G512" s="649"/>
      <c r="H512" s="649"/>
      <c r="I512" s="649"/>
      <c r="J512" s="649"/>
      <c r="K512" s="649"/>
      <c r="L512" s="649"/>
      <c r="M512" s="649"/>
      <c r="N512" s="649"/>
      <c r="O512" s="649"/>
      <c r="P512" s="649"/>
      <c r="Q512" s="649"/>
      <c r="R512" s="649"/>
      <c r="S512" s="649"/>
      <c r="T512" s="649"/>
      <c r="U512" s="649"/>
      <c r="V512" s="649"/>
      <c r="W512" s="649"/>
      <c r="X512" s="649"/>
      <c r="Y512" s="649"/>
      <c r="Z512" s="649"/>
      <c r="AA512" s="63"/>
      <c r="AB512" s="63"/>
      <c r="AC512" s="63"/>
    </row>
    <row r="513" spans="1:68" ht="27" customHeight="1" x14ac:dyDescent="0.25">
      <c r="A513" s="60" t="s">
        <v>827</v>
      </c>
      <c r="B513" s="60" t="s">
        <v>828</v>
      </c>
      <c r="C513" s="34">
        <v>4301031349</v>
      </c>
      <c r="D513" s="644">
        <v>4680115883116</v>
      </c>
      <c r="E513" s="644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133</v>
      </c>
      <c r="L513" s="35" t="s">
        <v>46</v>
      </c>
      <c r="M513" s="36" t="s">
        <v>132</v>
      </c>
      <c r="N513" s="36"/>
      <c r="O513" s="35">
        <v>70</v>
      </c>
      <c r="P513" s="6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46"/>
      <c r="R513" s="646"/>
      <c r="S513" s="646"/>
      <c r="T513" s="64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829</v>
      </c>
      <c r="AG513" s="75"/>
      <c r="AJ513" s="79" t="s">
        <v>46</v>
      </c>
      <c r="AK513" s="79">
        <v>0</v>
      </c>
      <c r="BB513" s="604" t="s">
        <v>67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customHeight="1" x14ac:dyDescent="0.25">
      <c r="A514" s="60" t="s">
        <v>830</v>
      </c>
      <c r="B514" s="60" t="s">
        <v>831</v>
      </c>
      <c r="C514" s="34">
        <v>4301031350</v>
      </c>
      <c r="D514" s="644">
        <v>4680115883093</v>
      </c>
      <c r="E514" s="64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81</v>
      </c>
      <c r="N514" s="36"/>
      <c r="O514" s="35">
        <v>70</v>
      </c>
      <c r="P514" s="6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46"/>
      <c r="R514" s="646"/>
      <c r="S514" s="646"/>
      <c r="T514" s="64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customHeight="1" x14ac:dyDescent="0.25">
      <c r="A515" s="60" t="s">
        <v>833</v>
      </c>
      <c r="B515" s="60" t="s">
        <v>834</v>
      </c>
      <c r="C515" s="34">
        <v>4301031353</v>
      </c>
      <c r="D515" s="644">
        <v>4680115883109</v>
      </c>
      <c r="E515" s="64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6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46"/>
      <c r="R515" s="646"/>
      <c r="S515" s="646"/>
      <c r="T515" s="64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customHeight="1" x14ac:dyDescent="0.25">
      <c r="A516" s="60" t="s">
        <v>836</v>
      </c>
      <c r="B516" s="60" t="s">
        <v>837</v>
      </c>
      <c r="C516" s="34">
        <v>4301031419</v>
      </c>
      <c r="D516" s="644">
        <v>4680115882072</v>
      </c>
      <c r="E516" s="644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140</v>
      </c>
      <c r="L516" s="35" t="s">
        <v>46</v>
      </c>
      <c r="M516" s="36" t="s">
        <v>132</v>
      </c>
      <c r="N516" s="36"/>
      <c r="O516" s="35">
        <v>70</v>
      </c>
      <c r="P516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46"/>
      <c r="R516" s="646"/>
      <c r="S516" s="646"/>
      <c r="T516" s="64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829</v>
      </c>
      <c r="AG516" s="75"/>
      <c r="AJ516" s="79" t="s">
        <v>46</v>
      </c>
      <c r="AK516" s="79">
        <v>0</v>
      </c>
      <c r="BB516" s="610" t="s">
        <v>67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customHeight="1" x14ac:dyDescent="0.25">
      <c r="A517" s="60" t="s">
        <v>838</v>
      </c>
      <c r="B517" s="60" t="s">
        <v>839</v>
      </c>
      <c r="C517" s="34">
        <v>4301031352</v>
      </c>
      <c r="D517" s="644">
        <v>4680115882102</v>
      </c>
      <c r="E517" s="644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140</v>
      </c>
      <c r="L517" s="35" t="s">
        <v>46</v>
      </c>
      <c r="M517" s="36" t="s">
        <v>81</v>
      </c>
      <c r="N517" s="36"/>
      <c r="O517" s="35">
        <v>70</v>
      </c>
      <c r="P517" s="65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46"/>
      <c r="R517" s="646"/>
      <c r="S517" s="646"/>
      <c r="T517" s="64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customHeight="1" x14ac:dyDescent="0.25">
      <c r="A518" s="60" t="s">
        <v>838</v>
      </c>
      <c r="B518" s="60" t="s">
        <v>840</v>
      </c>
      <c r="C518" s="34">
        <v>4301031418</v>
      </c>
      <c r="D518" s="644">
        <v>4680115882102</v>
      </c>
      <c r="E518" s="644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6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46"/>
      <c r="R518" s="646"/>
      <c r="S518" s="646"/>
      <c r="T518" s="64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832</v>
      </c>
      <c r="AG518" s="75"/>
      <c r="AJ518" s="79" t="s">
        <v>46</v>
      </c>
      <c r="AK518" s="79">
        <v>0</v>
      </c>
      <c r="BB518" s="614" t="s">
        <v>67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customHeight="1" x14ac:dyDescent="0.25">
      <c r="A519" s="60" t="s">
        <v>841</v>
      </c>
      <c r="B519" s="60" t="s">
        <v>842</v>
      </c>
      <c r="C519" s="34">
        <v>4301031417</v>
      </c>
      <c r="D519" s="644">
        <v>4680115882096</v>
      </c>
      <c r="E519" s="64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6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46"/>
      <c r="R519" s="646"/>
      <c r="S519" s="646"/>
      <c r="T519" s="64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x14ac:dyDescent="0.2">
      <c r="A520" s="638"/>
      <c r="B520" s="63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38"/>
      <c r="N520" s="638"/>
      <c r="O520" s="639"/>
      <c r="P520" s="635" t="s">
        <v>40</v>
      </c>
      <c r="Q520" s="636"/>
      <c r="R520" s="636"/>
      <c r="S520" s="636"/>
      <c r="T520" s="636"/>
      <c r="U520" s="636"/>
      <c r="V520" s="637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customHeight="1" x14ac:dyDescent="0.2">
      <c r="A522" s="655" t="s">
        <v>843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52"/>
      <c r="AB522" s="52"/>
      <c r="AC522" s="52"/>
    </row>
    <row r="523" spans="1:68" ht="16.5" customHeight="1" x14ac:dyDescent="0.25">
      <c r="A523" s="648" t="s">
        <v>843</v>
      </c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8"/>
      <c r="P523" s="648"/>
      <c r="Q523" s="648"/>
      <c r="R523" s="648"/>
      <c r="S523" s="648"/>
      <c r="T523" s="648"/>
      <c r="U523" s="648"/>
      <c r="V523" s="648"/>
      <c r="W523" s="648"/>
      <c r="X523" s="648"/>
      <c r="Y523" s="648"/>
      <c r="Z523" s="648"/>
      <c r="AA523" s="62"/>
      <c r="AB523" s="62"/>
      <c r="AC523" s="62"/>
    </row>
    <row r="524" spans="1:68" ht="14.25" customHeight="1" x14ac:dyDescent="0.25">
      <c r="A524" s="649" t="s">
        <v>128</v>
      </c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49"/>
      <c r="P524" s="649"/>
      <c r="Q524" s="649"/>
      <c r="R524" s="649"/>
      <c r="S524" s="649"/>
      <c r="T524" s="649"/>
      <c r="U524" s="649"/>
      <c r="V524" s="649"/>
      <c r="W524" s="649"/>
      <c r="X524" s="649"/>
      <c r="Y524" s="649"/>
      <c r="Z524" s="649"/>
      <c r="AA524" s="63"/>
      <c r="AB524" s="63"/>
      <c r="AC524" s="63"/>
    </row>
    <row r="525" spans="1:68" ht="27" customHeight="1" x14ac:dyDescent="0.25">
      <c r="A525" s="60" t="s">
        <v>844</v>
      </c>
      <c r="B525" s="60" t="s">
        <v>845</v>
      </c>
      <c r="C525" s="34">
        <v>4301011584</v>
      </c>
      <c r="D525" s="644">
        <v>4640242180564</v>
      </c>
      <c r="E525" s="64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133</v>
      </c>
      <c r="L525" s="35" t="s">
        <v>46</v>
      </c>
      <c r="M525" s="36" t="s">
        <v>132</v>
      </c>
      <c r="N525" s="36"/>
      <c r="O525" s="35">
        <v>50</v>
      </c>
      <c r="P525" s="6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46"/>
      <c r="R525" s="646"/>
      <c r="S525" s="646"/>
      <c r="T525" s="64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846</v>
      </c>
      <c r="AG525" s="75"/>
      <c r="AJ525" s="79" t="s">
        <v>46</v>
      </c>
      <c r="AK525" s="79">
        <v>0</v>
      </c>
      <c r="BB525" s="618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customHeight="1" x14ac:dyDescent="0.25">
      <c r="A528" s="649" t="s">
        <v>164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"/>
      <c r="AB528" s="63"/>
      <c r="AC528" s="63"/>
    </row>
    <row r="529" spans="1:68" ht="27" customHeight="1" x14ac:dyDescent="0.25">
      <c r="A529" s="60" t="s">
        <v>847</v>
      </c>
      <c r="B529" s="60" t="s">
        <v>848</v>
      </c>
      <c r="C529" s="34">
        <v>4301020400</v>
      </c>
      <c r="D529" s="644">
        <v>4640242180519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133</v>
      </c>
      <c r="L529" s="35" t="s">
        <v>46</v>
      </c>
      <c r="M529" s="36" t="s">
        <v>132</v>
      </c>
      <c r="N529" s="36"/>
      <c r="O529" s="35">
        <v>50</v>
      </c>
      <c r="P529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46"/>
      <c r="R529" s="646"/>
      <c r="S529" s="646"/>
      <c r="T529" s="64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849</v>
      </c>
      <c r="AG529" s="75"/>
      <c r="AJ529" s="79" t="s">
        <v>46</v>
      </c>
      <c r="AK529" s="79">
        <v>0</v>
      </c>
      <c r="BB529" s="62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customHeight="1" x14ac:dyDescent="0.25">
      <c r="A532" s="649" t="s">
        <v>77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"/>
      <c r="AB532" s="63"/>
      <c r="AC532" s="63"/>
    </row>
    <row r="533" spans="1:68" ht="27" customHeight="1" x14ac:dyDescent="0.25">
      <c r="A533" s="60" t="s">
        <v>850</v>
      </c>
      <c r="B533" s="60" t="s">
        <v>851</v>
      </c>
      <c r="C533" s="34">
        <v>4301031500</v>
      </c>
      <c r="D533" s="644">
        <v>4640242180595</v>
      </c>
      <c r="E533" s="644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140</v>
      </c>
      <c r="L533" s="35" t="s">
        <v>46</v>
      </c>
      <c r="M533" s="36" t="s">
        <v>81</v>
      </c>
      <c r="N533" s="36"/>
      <c r="O533" s="35">
        <v>40</v>
      </c>
      <c r="P533" s="6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46"/>
      <c r="R533" s="646"/>
      <c r="S533" s="646"/>
      <c r="T533" s="64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852</v>
      </c>
      <c r="AG533" s="75"/>
      <c r="AJ533" s="79" t="s">
        <v>46</v>
      </c>
      <c r="AK533" s="79">
        <v>0</v>
      </c>
      <c r="BB533" s="62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x14ac:dyDescent="0.2">
      <c r="A534" s="638"/>
      <c r="B534" s="63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38"/>
      <c r="N534" s="638"/>
      <c r="O534" s="639"/>
      <c r="P534" s="635" t="s">
        <v>40</v>
      </c>
      <c r="Q534" s="636"/>
      <c r="R534" s="636"/>
      <c r="S534" s="636"/>
      <c r="T534" s="636"/>
      <c r="U534" s="636"/>
      <c r="V534" s="63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customHeight="1" x14ac:dyDescent="0.25">
      <c r="A536" s="649" t="s">
        <v>86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"/>
      <c r="AB536" s="63"/>
      <c r="AC536" s="63"/>
    </row>
    <row r="537" spans="1:68" ht="27" customHeight="1" x14ac:dyDescent="0.25">
      <c r="A537" s="60" t="s">
        <v>853</v>
      </c>
      <c r="B537" s="60" t="s">
        <v>854</v>
      </c>
      <c r="C537" s="34">
        <v>4301052043</v>
      </c>
      <c r="D537" s="644">
        <v>4640242180533</v>
      </c>
      <c r="E537" s="644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133</v>
      </c>
      <c r="L537" s="35" t="s">
        <v>46</v>
      </c>
      <c r="M537" s="36" t="s">
        <v>90</v>
      </c>
      <c r="N537" s="36"/>
      <c r="O537" s="35">
        <v>45</v>
      </c>
      <c r="P537" s="6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46"/>
      <c r="R537" s="646"/>
      <c r="S537" s="646"/>
      <c r="T537" s="64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855</v>
      </c>
      <c r="AG537" s="75"/>
      <c r="AJ537" s="79" t="s">
        <v>46</v>
      </c>
      <c r="AK537" s="79">
        <v>0</v>
      </c>
      <c r="BB537" s="62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x14ac:dyDescent="0.2">
      <c r="A538" s="638"/>
      <c r="B538" s="63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38"/>
      <c r="N538" s="638"/>
      <c r="O538" s="639"/>
      <c r="P538" s="635" t="s">
        <v>40</v>
      </c>
      <c r="Q538" s="636"/>
      <c r="R538" s="636"/>
      <c r="S538" s="636"/>
      <c r="T538" s="636"/>
      <c r="U538" s="636"/>
      <c r="V538" s="637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x14ac:dyDescent="0.2">
      <c r="A539" s="638"/>
      <c r="B539" s="63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38"/>
      <c r="N539" s="638"/>
      <c r="O539" s="639"/>
      <c r="P539" s="635" t="s">
        <v>40</v>
      </c>
      <c r="Q539" s="636"/>
      <c r="R539" s="636"/>
      <c r="S539" s="636"/>
      <c r="T539" s="636"/>
      <c r="U539" s="636"/>
      <c r="V539" s="637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customHeight="1" x14ac:dyDescent="0.25">
      <c r="A540" s="649" t="s">
        <v>181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"/>
      <c r="AB540" s="63"/>
      <c r="AC540" s="63"/>
    </row>
    <row r="541" spans="1:68" ht="27" customHeight="1" x14ac:dyDescent="0.25">
      <c r="A541" s="60" t="s">
        <v>856</v>
      </c>
      <c r="B541" s="60" t="s">
        <v>857</v>
      </c>
      <c r="C541" s="34">
        <v>4301060535</v>
      </c>
      <c r="D541" s="644">
        <v>4640242180120</v>
      </c>
      <c r="E541" s="644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133</v>
      </c>
      <c r="L541" s="35" t="s">
        <v>46</v>
      </c>
      <c r="M541" s="36" t="s">
        <v>90</v>
      </c>
      <c r="N541" s="36"/>
      <c r="O541" s="35">
        <v>40</v>
      </c>
      <c r="P541" s="6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46"/>
      <c r="R541" s="646"/>
      <c r="S541" s="646"/>
      <c r="T541" s="64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858</v>
      </c>
      <c r="AG541" s="75"/>
      <c r="AJ541" s="79" t="s">
        <v>46</v>
      </c>
      <c r="AK541" s="79">
        <v>0</v>
      </c>
      <c r="BB541" s="62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customHeight="1" x14ac:dyDescent="0.25">
      <c r="A542" s="60" t="s">
        <v>859</v>
      </c>
      <c r="B542" s="60" t="s">
        <v>860</v>
      </c>
      <c r="C542" s="34">
        <v>4301060536</v>
      </c>
      <c r="D542" s="644">
        <v>4640242180137</v>
      </c>
      <c r="E542" s="64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46"/>
      <c r="R542" s="646"/>
      <c r="S542" s="646"/>
      <c r="T542" s="64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39"/>
      <c r="P543" s="635" t="s">
        <v>40</v>
      </c>
      <c r="Q543" s="636"/>
      <c r="R543" s="636"/>
      <c r="S543" s="636"/>
      <c r="T543" s="636"/>
      <c r="U543" s="636"/>
      <c r="V543" s="637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39"/>
      <c r="P544" s="635" t="s">
        <v>40</v>
      </c>
      <c r="Q544" s="636"/>
      <c r="R544" s="636"/>
      <c r="S544" s="636"/>
      <c r="T544" s="636"/>
      <c r="U544" s="636"/>
      <c r="V544" s="637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customHeight="1" x14ac:dyDescent="0.25">
      <c r="A545" s="648" t="s">
        <v>862</v>
      </c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8"/>
      <c r="P545" s="648"/>
      <c r="Q545" s="648"/>
      <c r="R545" s="648"/>
      <c r="S545" s="648"/>
      <c r="T545" s="648"/>
      <c r="U545" s="648"/>
      <c r="V545" s="648"/>
      <c r="W545" s="648"/>
      <c r="X545" s="648"/>
      <c r="Y545" s="648"/>
      <c r="Z545" s="648"/>
      <c r="AA545" s="62"/>
      <c r="AB545" s="62"/>
      <c r="AC545" s="62"/>
    </row>
    <row r="546" spans="1:68" ht="14.25" customHeight="1" x14ac:dyDescent="0.25">
      <c r="A546" s="649" t="s">
        <v>164</v>
      </c>
      <c r="B546" s="649"/>
      <c r="C546" s="649"/>
      <c r="D546" s="649"/>
      <c r="E546" s="649"/>
      <c r="F546" s="649"/>
      <c r="G546" s="649"/>
      <c r="H546" s="649"/>
      <c r="I546" s="649"/>
      <c r="J546" s="649"/>
      <c r="K546" s="649"/>
      <c r="L546" s="649"/>
      <c r="M546" s="649"/>
      <c r="N546" s="649"/>
      <c r="O546" s="649"/>
      <c r="P546" s="649"/>
      <c r="Q546" s="649"/>
      <c r="R546" s="649"/>
      <c r="S546" s="649"/>
      <c r="T546" s="649"/>
      <c r="U546" s="649"/>
      <c r="V546" s="649"/>
      <c r="W546" s="649"/>
      <c r="X546" s="649"/>
      <c r="Y546" s="649"/>
      <c r="Z546" s="649"/>
      <c r="AA546" s="63"/>
      <c r="AB546" s="63"/>
      <c r="AC546" s="63"/>
    </row>
    <row r="547" spans="1:68" ht="27" customHeight="1" x14ac:dyDescent="0.25">
      <c r="A547" s="60" t="s">
        <v>863</v>
      </c>
      <c r="B547" s="60" t="s">
        <v>864</v>
      </c>
      <c r="C547" s="34">
        <v>4301020428</v>
      </c>
      <c r="D547" s="644">
        <v>4640242180090</v>
      </c>
      <c r="E547" s="644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133</v>
      </c>
      <c r="L547" s="35" t="s">
        <v>46</v>
      </c>
      <c r="M547" s="36" t="s">
        <v>132</v>
      </c>
      <c r="N547" s="36"/>
      <c r="O547" s="35">
        <v>50</v>
      </c>
      <c r="P547" s="6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46"/>
      <c r="R547" s="646"/>
      <c r="S547" s="646"/>
      <c r="T547" s="647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865</v>
      </c>
      <c r="AG547" s="75"/>
      <c r="AJ547" s="79" t="s">
        <v>46</v>
      </c>
      <c r="AK547" s="79">
        <v>0</v>
      </c>
      <c r="BB547" s="630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638"/>
      <c r="B548" s="63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38"/>
      <c r="N548" s="638"/>
      <c r="O548" s="639"/>
      <c r="P548" s="635" t="s">
        <v>40</v>
      </c>
      <c r="Q548" s="636"/>
      <c r="R548" s="636"/>
      <c r="S548" s="636"/>
      <c r="T548" s="636"/>
      <c r="U548" s="636"/>
      <c r="V548" s="63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x14ac:dyDescent="0.2">
      <c r="A549" s="638"/>
      <c r="B549" s="63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38"/>
      <c r="N549" s="638"/>
      <c r="O549" s="639"/>
      <c r="P549" s="635" t="s">
        <v>40</v>
      </c>
      <c r="Q549" s="636"/>
      <c r="R549" s="636"/>
      <c r="S549" s="636"/>
      <c r="T549" s="636"/>
      <c r="U549" s="636"/>
      <c r="V549" s="63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638"/>
      <c r="B550" s="63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38"/>
      <c r="N550" s="638"/>
      <c r="O550" s="643"/>
      <c r="P550" s="640" t="s">
        <v>33</v>
      </c>
      <c r="Q550" s="641"/>
      <c r="R550" s="641"/>
      <c r="S550" s="641"/>
      <c r="T550" s="641"/>
      <c r="U550" s="641"/>
      <c r="V550" s="642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4100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4110</v>
      </c>
      <c r="Z550" s="40"/>
      <c r="AA550" s="64"/>
      <c r="AB550" s="64"/>
      <c r="AC550" s="64"/>
    </row>
    <row r="551" spans="1:68" x14ac:dyDescent="0.2">
      <c r="A551" s="638"/>
      <c r="B551" s="63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38"/>
      <c r="N551" s="638"/>
      <c r="O551" s="643"/>
      <c r="P551" s="640" t="s">
        <v>34</v>
      </c>
      <c r="Q551" s="641"/>
      <c r="R551" s="641"/>
      <c r="S551" s="641"/>
      <c r="T551" s="641"/>
      <c r="U551" s="641"/>
      <c r="V551" s="642"/>
      <c r="W551" s="40" t="s">
        <v>0</v>
      </c>
      <c r="X551" s="41">
        <f>IFERROR(SUM(BM22:BM547),"0")</f>
        <v>4228.4666666666672</v>
      </c>
      <c r="Y551" s="41">
        <f>IFERROR(SUM(BN22:BN547),"0")</f>
        <v>4238.78</v>
      </c>
      <c r="Z551" s="40"/>
      <c r="AA551" s="64"/>
      <c r="AB551" s="64"/>
      <c r="AC551" s="64"/>
    </row>
    <row r="552" spans="1:68" x14ac:dyDescent="0.2">
      <c r="A552" s="638"/>
      <c r="B552" s="63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38"/>
      <c r="N552" s="638"/>
      <c r="O552" s="643"/>
      <c r="P552" s="640" t="s">
        <v>35</v>
      </c>
      <c r="Q552" s="641"/>
      <c r="R552" s="641"/>
      <c r="S552" s="641"/>
      <c r="T552" s="641"/>
      <c r="U552" s="641"/>
      <c r="V552" s="642"/>
      <c r="W552" s="40" t="s">
        <v>20</v>
      </c>
      <c r="X552" s="42">
        <f>ROUNDUP(SUM(BO22:BO547),0)</f>
        <v>6</v>
      </c>
      <c r="Y552" s="42">
        <f>ROUNDUP(SUM(BP22:BP547),0)</f>
        <v>6</v>
      </c>
      <c r="Z552" s="40"/>
      <c r="AA552" s="64"/>
      <c r="AB552" s="64"/>
      <c r="AC552" s="64"/>
    </row>
    <row r="553" spans="1:68" x14ac:dyDescent="0.2">
      <c r="A553" s="638"/>
      <c r="B553" s="63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38"/>
      <c r="N553" s="638"/>
      <c r="O553" s="643"/>
      <c r="P553" s="640" t="s">
        <v>36</v>
      </c>
      <c r="Q553" s="641"/>
      <c r="R553" s="641"/>
      <c r="S553" s="641"/>
      <c r="T553" s="641"/>
      <c r="U553" s="641"/>
      <c r="V553" s="642"/>
      <c r="W553" s="40" t="s">
        <v>0</v>
      </c>
      <c r="X553" s="41">
        <f>GrossWeightTotal+PalletQtyTotal*25</f>
        <v>4378.4666666666672</v>
      </c>
      <c r="Y553" s="41">
        <f>GrossWeightTotalR+PalletQtyTotalR*25</f>
        <v>4388.78</v>
      </c>
      <c r="Z553" s="40"/>
      <c r="AA553" s="64"/>
      <c r="AB553" s="64"/>
      <c r="AC553" s="64"/>
    </row>
    <row r="554" spans="1:68" x14ac:dyDescent="0.2">
      <c r="A554" s="638"/>
      <c r="B554" s="63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38"/>
      <c r="N554" s="638"/>
      <c r="O554" s="643"/>
      <c r="P554" s="640" t="s">
        <v>37</v>
      </c>
      <c r="Q554" s="641"/>
      <c r="R554" s="641"/>
      <c r="S554" s="641"/>
      <c r="T554" s="641"/>
      <c r="U554" s="641"/>
      <c r="V554" s="642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273.33333333333331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274</v>
      </c>
      <c r="Z554" s="40"/>
      <c r="AA554" s="64"/>
      <c r="AB554" s="64"/>
      <c r="AC554" s="64"/>
    </row>
    <row r="555" spans="1:68" ht="14.25" x14ac:dyDescent="0.2">
      <c r="A555" s="638"/>
      <c r="B555" s="63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38"/>
      <c r="N555" s="638"/>
      <c r="O555" s="643"/>
      <c r="P555" s="640" t="s">
        <v>38</v>
      </c>
      <c r="Q555" s="641"/>
      <c r="R555" s="641"/>
      <c r="S555" s="641"/>
      <c r="T555" s="641"/>
      <c r="U555" s="641"/>
      <c r="V555" s="642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5.9594999999999994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76</v>
      </c>
      <c r="C557" s="80" t="s">
        <v>45</v>
      </c>
      <c r="D557" s="631" t="s">
        <v>126</v>
      </c>
      <c r="E557" s="631" t="s">
        <v>126</v>
      </c>
      <c r="F557" s="631" t="s">
        <v>126</v>
      </c>
      <c r="G557" s="631" t="s">
        <v>126</v>
      </c>
      <c r="H557" s="631" t="s">
        <v>126</v>
      </c>
      <c r="I557" s="631" t="s">
        <v>126</v>
      </c>
      <c r="J557" s="631" t="s">
        <v>126</v>
      </c>
      <c r="K557" s="631" t="s">
        <v>358</v>
      </c>
      <c r="L557" s="631" t="s">
        <v>358</v>
      </c>
      <c r="M557" s="631" t="s">
        <v>358</v>
      </c>
      <c r="N557" s="632"/>
      <c r="O557" s="631" t="s">
        <v>358</v>
      </c>
      <c r="P557" s="631" t="s">
        <v>358</v>
      </c>
      <c r="Q557" s="631" t="s">
        <v>358</v>
      </c>
      <c r="R557" s="631" t="s">
        <v>358</v>
      </c>
      <c r="S557" s="631" t="s">
        <v>358</v>
      </c>
      <c r="T557" s="631" t="s">
        <v>358</v>
      </c>
      <c r="U557" s="631" t="s">
        <v>358</v>
      </c>
      <c r="V557" s="631" t="s">
        <v>694</v>
      </c>
      <c r="W557" s="631" t="s">
        <v>694</v>
      </c>
      <c r="X557" s="631" t="s">
        <v>760</v>
      </c>
      <c r="Y557" s="631" t="s">
        <v>760</v>
      </c>
      <c r="Z557" s="80" t="s">
        <v>796</v>
      </c>
      <c r="AA557" s="631" t="s">
        <v>843</v>
      </c>
      <c r="AB557" s="631" t="s">
        <v>843</v>
      </c>
      <c r="AC557" s="9"/>
      <c r="AF557" s="1"/>
    </row>
    <row r="558" spans="1:68" ht="14.25" customHeight="1" thickTop="1" x14ac:dyDescent="0.2">
      <c r="A558" s="633" t="s">
        <v>10</v>
      </c>
      <c r="B558" s="631" t="s">
        <v>76</v>
      </c>
      <c r="C558" s="631" t="s">
        <v>110</v>
      </c>
      <c r="D558" s="631" t="s">
        <v>127</v>
      </c>
      <c r="E558" s="631" t="s">
        <v>143</v>
      </c>
      <c r="F558" s="631" t="s">
        <v>188</v>
      </c>
      <c r="G558" s="631" t="s">
        <v>209</v>
      </c>
      <c r="H558" s="631" t="s">
        <v>248</v>
      </c>
      <c r="I558" s="631" t="s">
        <v>276</v>
      </c>
      <c r="J558" s="631" t="s">
        <v>126</v>
      </c>
      <c r="K558" s="631" t="s">
        <v>359</v>
      </c>
      <c r="L558" s="631" t="s">
        <v>380</v>
      </c>
      <c r="M558" s="631" t="s">
        <v>447</v>
      </c>
      <c r="N558" s="1"/>
      <c r="O558" s="631" t="s">
        <v>515</v>
      </c>
      <c r="P558" s="631" t="s">
        <v>548</v>
      </c>
      <c r="Q558" s="631" t="s">
        <v>564</v>
      </c>
      <c r="R558" s="631" t="s">
        <v>573</v>
      </c>
      <c r="S558" s="631" t="s">
        <v>594</v>
      </c>
      <c r="T558" s="631" t="s">
        <v>603</v>
      </c>
      <c r="U558" s="631" t="s">
        <v>684</v>
      </c>
      <c r="V558" s="631" t="s">
        <v>695</v>
      </c>
      <c r="W558" s="631" t="s">
        <v>744</v>
      </c>
      <c r="X558" s="631" t="s">
        <v>761</v>
      </c>
      <c r="Y558" s="631" t="s">
        <v>784</v>
      </c>
      <c r="Z558" s="631" t="s">
        <v>796</v>
      </c>
      <c r="AA558" s="631" t="s">
        <v>843</v>
      </c>
      <c r="AB558" s="631" t="s">
        <v>862</v>
      </c>
      <c r="AC558" s="9"/>
      <c r="AF558" s="1"/>
    </row>
    <row r="559" spans="1:68" ht="13.5" thickBot="1" x14ac:dyDescent="0.25">
      <c r="A559" s="634"/>
      <c r="B559" s="631"/>
      <c r="C559" s="631"/>
      <c r="D559" s="631"/>
      <c r="E559" s="631"/>
      <c r="F559" s="631"/>
      <c r="G559" s="631"/>
      <c r="H559" s="631"/>
      <c r="I559" s="631"/>
      <c r="J559" s="631"/>
      <c r="K559" s="631"/>
      <c r="L559" s="631"/>
      <c r="M559" s="631"/>
      <c r="N559" s="1"/>
      <c r="O559" s="631"/>
      <c r="P559" s="631"/>
      <c r="Q559" s="631"/>
      <c r="R559" s="631"/>
      <c r="S559" s="631"/>
      <c r="T559" s="631"/>
      <c r="U559" s="631"/>
      <c r="V559" s="631"/>
      <c r="W559" s="631"/>
      <c r="X559" s="631"/>
      <c r="Y559" s="631"/>
      <c r="Z559" s="631"/>
      <c r="AA559" s="631"/>
      <c r="AB559" s="63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4110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1" t="s">
        <v>867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869</v>
      </c>
      <c r="C6" s="51" t="s">
        <v>870</v>
      </c>
      <c r="D6" s="51" t="s">
        <v>871</v>
      </c>
      <c r="E6" s="51" t="s">
        <v>46</v>
      </c>
    </row>
    <row r="7" spans="2:8" x14ac:dyDescent="0.2">
      <c r="B7" s="51" t="s">
        <v>872</v>
      </c>
      <c r="C7" s="51" t="s">
        <v>873</v>
      </c>
      <c r="D7" s="51" t="s">
        <v>874</v>
      </c>
      <c r="E7" s="51" t="s">
        <v>46</v>
      </c>
    </row>
    <row r="8" spans="2:8" x14ac:dyDescent="0.2">
      <c r="B8" s="51" t="s">
        <v>875</v>
      </c>
      <c r="C8" s="51" t="s">
        <v>876</v>
      </c>
      <c r="D8" s="51" t="s">
        <v>877</v>
      </c>
      <c r="E8" s="51" t="s">
        <v>46</v>
      </c>
    </row>
    <row r="9" spans="2:8" x14ac:dyDescent="0.2">
      <c r="B9" s="51" t="s">
        <v>878</v>
      </c>
      <c r="C9" s="51" t="s">
        <v>879</v>
      </c>
      <c r="D9" s="51" t="s">
        <v>880</v>
      </c>
      <c r="E9" s="51" t="s">
        <v>46</v>
      </c>
    </row>
    <row r="10" spans="2:8" x14ac:dyDescent="0.2">
      <c r="B10" s="51" t="s">
        <v>881</v>
      </c>
      <c r="C10" s="51" t="s">
        <v>882</v>
      </c>
      <c r="D10" s="51" t="s">
        <v>883</v>
      </c>
      <c r="E10" s="51" t="s">
        <v>46</v>
      </c>
    </row>
    <row r="11" spans="2:8" x14ac:dyDescent="0.2">
      <c r="B11" s="51" t="s">
        <v>884</v>
      </c>
      <c r="C11" s="51" t="s">
        <v>885</v>
      </c>
      <c r="D11" s="51" t="s">
        <v>886</v>
      </c>
      <c r="E11" s="51" t="s">
        <v>46</v>
      </c>
    </row>
    <row r="12" spans="2:8" x14ac:dyDescent="0.2">
      <c r="B12" s="51" t="s">
        <v>887</v>
      </c>
      <c r="C12" s="51" t="s">
        <v>888</v>
      </c>
      <c r="D12" s="51" t="s">
        <v>889</v>
      </c>
      <c r="E12" s="51" t="s">
        <v>46</v>
      </c>
    </row>
    <row r="14" spans="2:8" x14ac:dyDescent="0.2">
      <c r="B14" s="51" t="s">
        <v>890</v>
      </c>
      <c r="C14" s="51" t="s">
        <v>870</v>
      </c>
      <c r="D14" s="51" t="s">
        <v>46</v>
      </c>
      <c r="E14" s="51" t="s">
        <v>46</v>
      </c>
    </row>
    <row r="16" spans="2:8" x14ac:dyDescent="0.2">
      <c r="B16" s="51" t="s">
        <v>891</v>
      </c>
      <c r="C16" s="51" t="s">
        <v>873</v>
      </c>
      <c r="D16" s="51" t="s">
        <v>46</v>
      </c>
      <c r="E16" s="51" t="s">
        <v>46</v>
      </c>
    </row>
    <row r="18" spans="2:5" x14ac:dyDescent="0.2">
      <c r="B18" s="51" t="s">
        <v>892</v>
      </c>
      <c r="C18" s="51" t="s">
        <v>876</v>
      </c>
      <c r="D18" s="51" t="s">
        <v>46</v>
      </c>
      <c r="E18" s="51" t="s">
        <v>46</v>
      </c>
    </row>
    <row r="20" spans="2:5" x14ac:dyDescent="0.2">
      <c r="B20" s="51" t="s">
        <v>893</v>
      </c>
      <c r="C20" s="51" t="s">
        <v>879</v>
      </c>
      <c r="D20" s="51" t="s">
        <v>46</v>
      </c>
      <c r="E20" s="51" t="s">
        <v>46</v>
      </c>
    </row>
    <row r="22" spans="2:5" x14ac:dyDescent="0.2">
      <c r="B22" s="51" t="s">
        <v>894</v>
      </c>
      <c r="C22" s="51" t="s">
        <v>882</v>
      </c>
      <c r="D22" s="51" t="s">
        <v>46</v>
      </c>
      <c r="E22" s="51" t="s">
        <v>46</v>
      </c>
    </row>
    <row r="24" spans="2:5" x14ac:dyDescent="0.2">
      <c r="B24" s="51" t="s">
        <v>895</v>
      </c>
      <c r="C24" s="51" t="s">
        <v>885</v>
      </c>
      <c r="D24" s="51" t="s">
        <v>46</v>
      </c>
      <c r="E24" s="51" t="s">
        <v>46</v>
      </c>
    </row>
    <row r="26" spans="2:5" x14ac:dyDescent="0.2">
      <c r="B26" s="51" t="s">
        <v>896</v>
      </c>
      <c r="C26" s="51" t="s">
        <v>888</v>
      </c>
      <c r="D26" s="51" t="s">
        <v>46</v>
      </c>
      <c r="E26" s="51" t="s">
        <v>46</v>
      </c>
    </row>
    <row r="28" spans="2:5" x14ac:dyDescent="0.2">
      <c r="B28" s="51" t="s">
        <v>897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898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899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900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901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902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903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904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905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906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907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2026-08-01T08:20:31Z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