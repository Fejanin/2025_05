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поком_подтянуть_su\"/>
    </mc:Choice>
  </mc:AlternateContent>
  <xr:revisionPtr revIDLastSave="0" documentId="13_ncr:1_{CEE36541-D154-457B-BACA-A344D404507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недогруз" sheetId="2" r:id="rId2"/>
  </sheets>
  <definedNames>
    <definedName name="_xlnm._FilterDatabase" localSheetId="0" hidden="1">Sheet!$A$3:$AP$142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C7" i="1" l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6" i="1"/>
  <c r="AS142" i="1"/>
  <c r="AR142" i="1"/>
  <c r="AP142" i="1"/>
  <c r="Y142" i="1"/>
  <c r="T142" i="1"/>
  <c r="AD142" i="1" s="1"/>
  <c r="L142" i="1"/>
  <c r="AS141" i="1"/>
  <c r="AR141" i="1"/>
  <c r="AP141" i="1"/>
  <c r="Y141" i="1"/>
  <c r="Z141" i="1" s="1"/>
  <c r="AQ141" i="1" s="1"/>
  <c r="T141" i="1"/>
  <c r="AD141" i="1" s="1"/>
  <c r="L141" i="1"/>
  <c r="AS140" i="1"/>
  <c r="AR140" i="1"/>
  <c r="AP140" i="1"/>
  <c r="Y140" i="1"/>
  <c r="T140" i="1"/>
  <c r="AD140" i="1" s="1"/>
  <c r="L140" i="1"/>
  <c r="AS139" i="1"/>
  <c r="AR139" i="1"/>
  <c r="AP139" i="1"/>
  <c r="Y139" i="1"/>
  <c r="Z139" i="1" s="1"/>
  <c r="AQ139" i="1" s="1"/>
  <c r="T139" i="1"/>
  <c r="AD139" i="1" s="1"/>
  <c r="L139" i="1"/>
  <c r="AS138" i="1"/>
  <c r="AR138" i="1"/>
  <c r="AP138" i="1"/>
  <c r="Y138" i="1"/>
  <c r="T138" i="1"/>
  <c r="AD138" i="1" s="1"/>
  <c r="L138" i="1"/>
  <c r="AS137" i="1"/>
  <c r="AR137" i="1"/>
  <c r="AP137" i="1"/>
  <c r="T137" i="1"/>
  <c r="L137" i="1"/>
  <c r="AS136" i="1"/>
  <c r="AR136" i="1"/>
  <c r="AP136" i="1"/>
  <c r="T136" i="1"/>
  <c r="AD136" i="1" s="1"/>
  <c r="L136" i="1"/>
  <c r="AS135" i="1"/>
  <c r="AR135" i="1"/>
  <c r="AP135" i="1"/>
  <c r="T135" i="1"/>
  <c r="S135" i="1"/>
  <c r="L135" i="1"/>
  <c r="AS134" i="1"/>
  <c r="AR134" i="1"/>
  <c r="AP134" i="1"/>
  <c r="Z134" i="1"/>
  <c r="AQ134" i="1" s="1"/>
  <c r="T134" i="1"/>
  <c r="AD134" i="1" s="1"/>
  <c r="L134" i="1"/>
  <c r="AS133" i="1"/>
  <c r="AR133" i="1"/>
  <c r="AP133" i="1"/>
  <c r="T133" i="1"/>
  <c r="U133" i="1" s="1"/>
  <c r="Y133" i="1" s="1"/>
  <c r="L133" i="1"/>
  <c r="AS132" i="1"/>
  <c r="AR132" i="1"/>
  <c r="AP132" i="1"/>
  <c r="T132" i="1"/>
  <c r="L132" i="1"/>
  <c r="AS131" i="1"/>
  <c r="AR131" i="1"/>
  <c r="AP131" i="1"/>
  <c r="T131" i="1"/>
  <c r="U131" i="1" s="1"/>
  <c r="Y131" i="1" s="1"/>
  <c r="L131" i="1"/>
  <c r="AS130" i="1"/>
  <c r="AR130" i="1"/>
  <c r="AP130" i="1"/>
  <c r="Y130" i="1"/>
  <c r="T130" i="1"/>
  <c r="AD130" i="1" s="1"/>
  <c r="L130" i="1"/>
  <c r="AS129" i="1"/>
  <c r="AR129" i="1"/>
  <c r="AP129" i="1"/>
  <c r="Y129" i="1"/>
  <c r="T129" i="1"/>
  <c r="AD129" i="1" s="1"/>
  <c r="L129" i="1"/>
  <c r="AS128" i="1"/>
  <c r="AR128" i="1"/>
  <c r="AP128" i="1"/>
  <c r="Y128" i="1"/>
  <c r="Z128" i="1" s="1"/>
  <c r="AQ128" i="1" s="1"/>
  <c r="T128" i="1"/>
  <c r="AD128" i="1" s="1"/>
  <c r="L128" i="1"/>
  <c r="AS127" i="1"/>
  <c r="AR127" i="1"/>
  <c r="AP127" i="1"/>
  <c r="T127" i="1"/>
  <c r="L127" i="1"/>
  <c r="AS126" i="1"/>
  <c r="AR126" i="1"/>
  <c r="AP126" i="1"/>
  <c r="Z126" i="1"/>
  <c r="AQ126" i="1" s="1"/>
  <c r="Y126" i="1"/>
  <c r="T126" i="1"/>
  <c r="AD126" i="1" s="1"/>
  <c r="L126" i="1"/>
  <c r="AS125" i="1"/>
  <c r="AR125" i="1"/>
  <c r="AP125" i="1"/>
  <c r="T125" i="1"/>
  <c r="AD125" i="1" s="1"/>
  <c r="L125" i="1"/>
  <c r="AS124" i="1"/>
  <c r="AR124" i="1"/>
  <c r="AP124" i="1"/>
  <c r="Y124" i="1"/>
  <c r="Z124" i="1" s="1"/>
  <c r="AQ124" i="1" s="1"/>
  <c r="T124" i="1"/>
  <c r="AD124" i="1" s="1"/>
  <c r="L124" i="1"/>
  <c r="AS123" i="1"/>
  <c r="AR123" i="1"/>
  <c r="AP123" i="1"/>
  <c r="T123" i="1"/>
  <c r="L123" i="1"/>
  <c r="AS122" i="1"/>
  <c r="AR122" i="1"/>
  <c r="AP122" i="1"/>
  <c r="Y122" i="1"/>
  <c r="Z122" i="1" s="1"/>
  <c r="AQ122" i="1" s="1"/>
  <c r="T122" i="1"/>
  <c r="AD122" i="1" s="1"/>
  <c r="L122" i="1"/>
  <c r="AS121" i="1"/>
  <c r="AR121" i="1"/>
  <c r="AP121" i="1"/>
  <c r="Y121" i="1"/>
  <c r="T121" i="1"/>
  <c r="AD121" i="1" s="1"/>
  <c r="L121" i="1"/>
  <c r="AS120" i="1"/>
  <c r="AR120" i="1"/>
  <c r="AP120" i="1"/>
  <c r="T120" i="1"/>
  <c r="U120" i="1" s="1"/>
  <c r="Y120" i="1" s="1"/>
  <c r="L120" i="1"/>
  <c r="AS119" i="1"/>
  <c r="AR119" i="1"/>
  <c r="AP119" i="1"/>
  <c r="T119" i="1"/>
  <c r="L119" i="1"/>
  <c r="AS118" i="1"/>
  <c r="AR118" i="1"/>
  <c r="AP118" i="1"/>
  <c r="T118" i="1"/>
  <c r="L118" i="1"/>
  <c r="AS117" i="1"/>
  <c r="AR117" i="1"/>
  <c r="AP117" i="1"/>
  <c r="Y117" i="1"/>
  <c r="T117" i="1"/>
  <c r="AD117" i="1" s="1"/>
  <c r="L117" i="1"/>
  <c r="AS116" i="1"/>
  <c r="AR116" i="1"/>
  <c r="AP116" i="1"/>
  <c r="Y116" i="1"/>
  <c r="T116" i="1"/>
  <c r="AD116" i="1" s="1"/>
  <c r="L116" i="1"/>
  <c r="AS115" i="1"/>
  <c r="AR115" i="1"/>
  <c r="AP115" i="1"/>
  <c r="T115" i="1"/>
  <c r="L115" i="1"/>
  <c r="AS114" i="1"/>
  <c r="AR114" i="1"/>
  <c r="AP114" i="1"/>
  <c r="Y114" i="1"/>
  <c r="Z114" i="1" s="1"/>
  <c r="AQ114" i="1" s="1"/>
  <c r="T114" i="1"/>
  <c r="AD114" i="1" s="1"/>
  <c r="L114" i="1"/>
  <c r="AS113" i="1"/>
  <c r="AR113" i="1"/>
  <c r="AP113" i="1"/>
  <c r="Y113" i="1"/>
  <c r="Z113" i="1" s="1"/>
  <c r="AQ113" i="1" s="1"/>
  <c r="T113" i="1"/>
  <c r="AD113" i="1" s="1"/>
  <c r="L113" i="1"/>
  <c r="AS112" i="1"/>
  <c r="AR112" i="1"/>
  <c r="AP112" i="1"/>
  <c r="Y112" i="1"/>
  <c r="Z112" i="1" s="1"/>
  <c r="AQ112" i="1" s="1"/>
  <c r="T112" i="1"/>
  <c r="AD112" i="1" s="1"/>
  <c r="L112" i="1"/>
  <c r="AS111" i="1"/>
  <c r="AR111" i="1"/>
  <c r="AP111" i="1"/>
  <c r="T111" i="1"/>
  <c r="U111" i="1" s="1"/>
  <c r="Y111" i="1" s="1"/>
  <c r="S111" i="1"/>
  <c r="L111" i="1"/>
  <c r="AS110" i="1"/>
  <c r="AR110" i="1"/>
  <c r="AP110" i="1"/>
  <c r="Y110" i="1"/>
  <c r="Z110" i="1" s="1"/>
  <c r="AQ110" i="1" s="1"/>
  <c r="T110" i="1"/>
  <c r="AD110" i="1" s="1"/>
  <c r="L110" i="1"/>
  <c r="AS109" i="1"/>
  <c r="AR109" i="1"/>
  <c r="AP109" i="1"/>
  <c r="Y109" i="1"/>
  <c r="Z109" i="1" s="1"/>
  <c r="AQ109" i="1" s="1"/>
  <c r="T109" i="1"/>
  <c r="AD109" i="1" s="1"/>
  <c r="L109" i="1"/>
  <c r="AS108" i="1"/>
  <c r="AR108" i="1"/>
  <c r="AP108" i="1"/>
  <c r="Y108" i="1"/>
  <c r="Z108" i="1" s="1"/>
  <c r="AQ108" i="1" s="1"/>
  <c r="T108" i="1"/>
  <c r="AD108" i="1" s="1"/>
  <c r="L108" i="1"/>
  <c r="AS107" i="1"/>
  <c r="AR107" i="1"/>
  <c r="AP107" i="1"/>
  <c r="Y107" i="1"/>
  <c r="Z107" i="1" s="1"/>
  <c r="AQ107" i="1" s="1"/>
  <c r="T107" i="1"/>
  <c r="AD107" i="1" s="1"/>
  <c r="L107" i="1"/>
  <c r="AS106" i="1"/>
  <c r="AR106" i="1"/>
  <c r="AP106" i="1"/>
  <c r="T106" i="1"/>
  <c r="U106" i="1" s="1"/>
  <c r="Y106" i="1" s="1"/>
  <c r="L106" i="1"/>
  <c r="AS105" i="1"/>
  <c r="AR105" i="1"/>
  <c r="AP105" i="1"/>
  <c r="Y105" i="1"/>
  <c r="T105" i="1"/>
  <c r="AD105" i="1" s="1"/>
  <c r="L105" i="1"/>
  <c r="AS104" i="1"/>
  <c r="AR104" i="1"/>
  <c r="AP104" i="1"/>
  <c r="Y104" i="1"/>
  <c r="T104" i="1"/>
  <c r="AD104" i="1" s="1"/>
  <c r="L104" i="1"/>
  <c r="AS103" i="1"/>
  <c r="AR103" i="1"/>
  <c r="AP103" i="1"/>
  <c r="Y103" i="1"/>
  <c r="Z103" i="1" s="1"/>
  <c r="AQ103" i="1" s="1"/>
  <c r="T103" i="1"/>
  <c r="AD103" i="1" s="1"/>
  <c r="L103" i="1"/>
  <c r="AS102" i="1"/>
  <c r="AR102" i="1"/>
  <c r="AP102" i="1"/>
  <c r="Y102" i="1"/>
  <c r="T102" i="1"/>
  <c r="AD102" i="1" s="1"/>
  <c r="L102" i="1"/>
  <c r="AS101" i="1"/>
  <c r="AR101" i="1"/>
  <c r="AP101" i="1"/>
  <c r="T101" i="1"/>
  <c r="S101" i="1"/>
  <c r="L101" i="1"/>
  <c r="AS100" i="1"/>
  <c r="AR100" i="1"/>
  <c r="AP100" i="1"/>
  <c r="Y100" i="1"/>
  <c r="T100" i="1"/>
  <c r="AD100" i="1" s="1"/>
  <c r="L100" i="1"/>
  <c r="AS99" i="1"/>
  <c r="AR99" i="1"/>
  <c r="AP99" i="1"/>
  <c r="Y99" i="1"/>
  <c r="T99" i="1"/>
  <c r="AD99" i="1" s="1"/>
  <c r="L99" i="1"/>
  <c r="AS98" i="1"/>
  <c r="AR98" i="1"/>
  <c r="AP98" i="1"/>
  <c r="Y98" i="1"/>
  <c r="Z98" i="1" s="1"/>
  <c r="AQ98" i="1" s="1"/>
  <c r="T98" i="1"/>
  <c r="AD98" i="1" s="1"/>
  <c r="L98" i="1"/>
  <c r="AS97" i="1"/>
  <c r="AR97" i="1"/>
  <c r="AQ97" i="1"/>
  <c r="AP97" i="1"/>
  <c r="Y97" i="1"/>
  <c r="T97" i="1"/>
  <c r="AD97" i="1" s="1"/>
  <c r="L97" i="1"/>
  <c r="AS96" i="1"/>
  <c r="AR96" i="1"/>
  <c r="AP96" i="1"/>
  <c r="Z96" i="1"/>
  <c r="AQ96" i="1" s="1"/>
  <c r="Y96" i="1"/>
  <c r="T96" i="1"/>
  <c r="AD96" i="1" s="1"/>
  <c r="L96" i="1"/>
  <c r="AS95" i="1"/>
  <c r="AR95" i="1"/>
  <c r="AP95" i="1"/>
  <c r="Z95" i="1"/>
  <c r="AQ95" i="1" s="1"/>
  <c r="T95" i="1"/>
  <c r="L95" i="1"/>
  <c r="AS94" i="1"/>
  <c r="AR94" i="1"/>
  <c r="AP94" i="1"/>
  <c r="Y94" i="1"/>
  <c r="Z94" i="1" s="1"/>
  <c r="AQ94" i="1" s="1"/>
  <c r="T94" i="1"/>
  <c r="AD94" i="1" s="1"/>
  <c r="L94" i="1"/>
  <c r="AS93" i="1"/>
  <c r="AR93" i="1"/>
  <c r="AP93" i="1"/>
  <c r="Z93" i="1"/>
  <c r="AQ93" i="1" s="1"/>
  <c r="T93" i="1"/>
  <c r="L93" i="1"/>
  <c r="AS92" i="1"/>
  <c r="AR92" i="1"/>
  <c r="AP92" i="1"/>
  <c r="Y92" i="1"/>
  <c r="T92" i="1"/>
  <c r="AD92" i="1" s="1"/>
  <c r="L92" i="1"/>
  <c r="AS91" i="1"/>
  <c r="AR91" i="1"/>
  <c r="AP91" i="1"/>
  <c r="Y91" i="1"/>
  <c r="Z91" i="1" s="1"/>
  <c r="AQ91" i="1" s="1"/>
  <c r="T91" i="1"/>
  <c r="AD91" i="1" s="1"/>
  <c r="L91" i="1"/>
  <c r="AS90" i="1"/>
  <c r="AR90" i="1"/>
  <c r="AP90" i="1"/>
  <c r="Y90" i="1"/>
  <c r="T90" i="1"/>
  <c r="AD90" i="1" s="1"/>
  <c r="L90" i="1"/>
  <c r="AS89" i="1"/>
  <c r="AR89" i="1"/>
  <c r="AP89" i="1"/>
  <c r="Y89" i="1"/>
  <c r="Z89" i="1" s="1"/>
  <c r="AQ89" i="1" s="1"/>
  <c r="T89" i="1"/>
  <c r="AD89" i="1" s="1"/>
  <c r="L89" i="1"/>
  <c r="AS88" i="1"/>
  <c r="AR88" i="1"/>
  <c r="AP88" i="1"/>
  <c r="T88" i="1"/>
  <c r="AD88" i="1" s="1"/>
  <c r="L88" i="1"/>
  <c r="AS87" i="1"/>
  <c r="AR87" i="1"/>
  <c r="AP87" i="1"/>
  <c r="T87" i="1"/>
  <c r="L87" i="1"/>
  <c r="AS86" i="1"/>
  <c r="AR86" i="1"/>
  <c r="AP86" i="1"/>
  <c r="T86" i="1"/>
  <c r="AD86" i="1" s="1"/>
  <c r="L86" i="1"/>
  <c r="AS85" i="1"/>
  <c r="AR85" i="1"/>
  <c r="AP85" i="1"/>
  <c r="Y85" i="1"/>
  <c r="Z85" i="1" s="1"/>
  <c r="AQ85" i="1" s="1"/>
  <c r="T85" i="1"/>
  <c r="AD85" i="1" s="1"/>
  <c r="L85" i="1"/>
  <c r="AS84" i="1"/>
  <c r="AR84" i="1"/>
  <c r="AP84" i="1"/>
  <c r="T84" i="1"/>
  <c r="L84" i="1"/>
  <c r="AS83" i="1"/>
  <c r="AR83" i="1"/>
  <c r="AP83" i="1"/>
  <c r="T83" i="1"/>
  <c r="AD83" i="1" s="1"/>
  <c r="L83" i="1"/>
  <c r="AS82" i="1"/>
  <c r="AR82" i="1"/>
  <c r="AP82" i="1"/>
  <c r="Y82" i="1"/>
  <c r="Z82" i="1" s="1"/>
  <c r="AQ82" i="1" s="1"/>
  <c r="T82" i="1"/>
  <c r="AD82" i="1" s="1"/>
  <c r="L82" i="1"/>
  <c r="AS81" i="1"/>
  <c r="AR81" i="1"/>
  <c r="AP81" i="1"/>
  <c r="Y81" i="1"/>
  <c r="Z81" i="1" s="1"/>
  <c r="AQ81" i="1" s="1"/>
  <c r="T81" i="1"/>
  <c r="AD81" i="1" s="1"/>
  <c r="L81" i="1"/>
  <c r="AS80" i="1"/>
  <c r="AR80" i="1"/>
  <c r="AP80" i="1"/>
  <c r="Y80" i="1"/>
  <c r="T80" i="1"/>
  <c r="AD80" i="1" s="1"/>
  <c r="L80" i="1"/>
  <c r="AS79" i="1"/>
  <c r="AR79" i="1"/>
  <c r="AP79" i="1"/>
  <c r="Y79" i="1"/>
  <c r="Z79" i="1" s="1"/>
  <c r="AQ79" i="1" s="1"/>
  <c r="T79" i="1"/>
  <c r="AD79" i="1" s="1"/>
  <c r="L79" i="1"/>
  <c r="AS78" i="1"/>
  <c r="AR78" i="1"/>
  <c r="AP78" i="1"/>
  <c r="T78" i="1"/>
  <c r="L78" i="1"/>
  <c r="AS77" i="1"/>
  <c r="AR77" i="1"/>
  <c r="AP77" i="1"/>
  <c r="U77" i="1"/>
  <c r="Y77" i="1" s="1"/>
  <c r="T77" i="1"/>
  <c r="AD77" i="1" s="1"/>
  <c r="L77" i="1"/>
  <c r="AS76" i="1"/>
  <c r="AR76" i="1"/>
  <c r="AP76" i="1"/>
  <c r="T76" i="1"/>
  <c r="L76" i="1"/>
  <c r="AS75" i="1"/>
  <c r="AR75" i="1"/>
  <c r="AP75" i="1"/>
  <c r="T75" i="1"/>
  <c r="AD75" i="1" s="1"/>
  <c r="L75" i="1"/>
  <c r="AS74" i="1"/>
  <c r="AR74" i="1"/>
  <c r="AP74" i="1"/>
  <c r="Z74" i="1"/>
  <c r="AQ74" i="1" s="1"/>
  <c r="T74" i="1"/>
  <c r="AD74" i="1" s="1"/>
  <c r="L74" i="1"/>
  <c r="AS73" i="1"/>
  <c r="AR73" i="1"/>
  <c r="AP73" i="1"/>
  <c r="T73" i="1"/>
  <c r="L73" i="1"/>
  <c r="AS72" i="1"/>
  <c r="AR72" i="1"/>
  <c r="AP72" i="1"/>
  <c r="T72" i="1"/>
  <c r="AD72" i="1" s="1"/>
  <c r="L72" i="1"/>
  <c r="AS71" i="1"/>
  <c r="AR71" i="1"/>
  <c r="AP71" i="1"/>
  <c r="Z71" i="1"/>
  <c r="AQ71" i="1" s="1"/>
  <c r="T71" i="1"/>
  <c r="AD71" i="1" s="1"/>
  <c r="S71" i="1"/>
  <c r="L71" i="1"/>
  <c r="AS70" i="1"/>
  <c r="AR70" i="1"/>
  <c r="AP70" i="1"/>
  <c r="Z70" i="1"/>
  <c r="AQ70" i="1" s="1"/>
  <c r="T70" i="1"/>
  <c r="AD70" i="1" s="1"/>
  <c r="L70" i="1"/>
  <c r="AS69" i="1"/>
  <c r="AR69" i="1"/>
  <c r="AP69" i="1"/>
  <c r="Y69" i="1"/>
  <c r="T69" i="1"/>
  <c r="AD69" i="1" s="1"/>
  <c r="L69" i="1"/>
  <c r="AS68" i="1"/>
  <c r="AR68" i="1"/>
  <c r="AP68" i="1"/>
  <c r="T68" i="1"/>
  <c r="U68" i="1" s="1"/>
  <c r="Y68" i="1" s="1"/>
  <c r="L68" i="1"/>
  <c r="AS67" i="1"/>
  <c r="AR67" i="1"/>
  <c r="AP67" i="1"/>
  <c r="T67" i="1"/>
  <c r="L67" i="1"/>
  <c r="AS66" i="1"/>
  <c r="AR66" i="1"/>
  <c r="AP66" i="1"/>
  <c r="T66" i="1"/>
  <c r="L66" i="1"/>
  <c r="AS65" i="1"/>
  <c r="AR65" i="1"/>
  <c r="AP65" i="1"/>
  <c r="T65" i="1"/>
  <c r="L65" i="1"/>
  <c r="AS64" i="1"/>
  <c r="AR64" i="1"/>
  <c r="AP64" i="1"/>
  <c r="Z64" i="1"/>
  <c r="AQ64" i="1" s="1"/>
  <c r="T64" i="1"/>
  <c r="L64" i="1"/>
  <c r="AS63" i="1"/>
  <c r="AR63" i="1"/>
  <c r="AP63" i="1"/>
  <c r="T63" i="1"/>
  <c r="U63" i="1" s="1"/>
  <c r="Y63" i="1" s="1"/>
  <c r="L63" i="1"/>
  <c r="AS62" i="1"/>
  <c r="AR62" i="1"/>
  <c r="AP62" i="1"/>
  <c r="Y62" i="1"/>
  <c r="Z62" i="1" s="1"/>
  <c r="AQ62" i="1" s="1"/>
  <c r="T62" i="1"/>
  <c r="AD62" i="1" s="1"/>
  <c r="L62" i="1"/>
  <c r="AS61" i="1"/>
  <c r="AR61" i="1"/>
  <c r="AP61" i="1"/>
  <c r="Z61" i="1"/>
  <c r="AQ61" i="1" s="1"/>
  <c r="T61" i="1"/>
  <c r="AD61" i="1" s="1"/>
  <c r="L61" i="1"/>
  <c r="AS60" i="1"/>
  <c r="AR60" i="1"/>
  <c r="AP60" i="1"/>
  <c r="Y60" i="1"/>
  <c r="Z60" i="1" s="1"/>
  <c r="AQ60" i="1" s="1"/>
  <c r="T60" i="1"/>
  <c r="AD60" i="1" s="1"/>
  <c r="L60" i="1"/>
  <c r="AS59" i="1"/>
  <c r="AR59" i="1"/>
  <c r="AP59" i="1"/>
  <c r="Y59" i="1"/>
  <c r="Z59" i="1" s="1"/>
  <c r="AQ59" i="1" s="1"/>
  <c r="T59" i="1"/>
  <c r="AD59" i="1" s="1"/>
  <c r="L59" i="1"/>
  <c r="AS58" i="1"/>
  <c r="AR58" i="1"/>
  <c r="AP58" i="1"/>
  <c r="Z58" i="1"/>
  <c r="AQ58" i="1" s="1"/>
  <c r="T58" i="1"/>
  <c r="L58" i="1"/>
  <c r="AS57" i="1"/>
  <c r="AR57" i="1"/>
  <c r="AP57" i="1"/>
  <c r="Y57" i="1"/>
  <c r="T57" i="1"/>
  <c r="AD57" i="1" s="1"/>
  <c r="L57" i="1"/>
  <c r="AS56" i="1"/>
  <c r="AR56" i="1"/>
  <c r="AP56" i="1"/>
  <c r="Y56" i="1"/>
  <c r="Z56" i="1" s="1"/>
  <c r="AQ56" i="1" s="1"/>
  <c r="T56" i="1"/>
  <c r="AD56" i="1" s="1"/>
  <c r="L56" i="1"/>
  <c r="AS55" i="1"/>
  <c r="AR55" i="1"/>
  <c r="AP55" i="1"/>
  <c r="Z55" i="1"/>
  <c r="AQ55" i="1" s="1"/>
  <c r="T55" i="1"/>
  <c r="AD55" i="1" s="1"/>
  <c r="L55" i="1"/>
  <c r="AS54" i="1"/>
  <c r="AR54" i="1"/>
  <c r="AP54" i="1"/>
  <c r="Y54" i="1"/>
  <c r="Z54" i="1" s="1"/>
  <c r="AQ54" i="1" s="1"/>
  <c r="T54" i="1"/>
  <c r="AD54" i="1" s="1"/>
  <c r="L54" i="1"/>
  <c r="AS53" i="1"/>
  <c r="AR53" i="1"/>
  <c r="AP53" i="1"/>
  <c r="Y53" i="1"/>
  <c r="Z53" i="1" s="1"/>
  <c r="AQ53" i="1" s="1"/>
  <c r="T53" i="1"/>
  <c r="AD53" i="1" s="1"/>
  <c r="L53" i="1"/>
  <c r="AS52" i="1"/>
  <c r="AR52" i="1"/>
  <c r="AP52" i="1"/>
  <c r="Y52" i="1"/>
  <c r="T52" i="1"/>
  <c r="AD52" i="1" s="1"/>
  <c r="L52" i="1"/>
  <c r="AS51" i="1"/>
  <c r="AR51" i="1"/>
  <c r="AP51" i="1"/>
  <c r="Y51" i="1"/>
  <c r="Z51" i="1" s="1"/>
  <c r="AQ51" i="1" s="1"/>
  <c r="T51" i="1"/>
  <c r="AD51" i="1" s="1"/>
  <c r="L51" i="1"/>
  <c r="AS50" i="1"/>
  <c r="AR50" i="1"/>
  <c r="AP50" i="1"/>
  <c r="Y50" i="1"/>
  <c r="Z50" i="1" s="1"/>
  <c r="AQ50" i="1" s="1"/>
  <c r="T50" i="1"/>
  <c r="AD50" i="1" s="1"/>
  <c r="L50" i="1"/>
  <c r="AS49" i="1"/>
  <c r="AR49" i="1"/>
  <c r="AP49" i="1"/>
  <c r="Y49" i="1"/>
  <c r="Z49" i="1" s="1"/>
  <c r="AQ49" i="1" s="1"/>
  <c r="T49" i="1"/>
  <c r="AD49" i="1" s="1"/>
  <c r="L49" i="1"/>
  <c r="AS48" i="1"/>
  <c r="AR48" i="1"/>
  <c r="AP48" i="1"/>
  <c r="T48" i="1"/>
  <c r="L48" i="1"/>
  <c r="AS47" i="1"/>
  <c r="AR47" i="1"/>
  <c r="AP47" i="1"/>
  <c r="T47" i="1"/>
  <c r="U47" i="1" s="1"/>
  <c r="Y47" i="1" s="1"/>
  <c r="L47" i="1"/>
  <c r="AS46" i="1"/>
  <c r="AR46" i="1"/>
  <c r="AP46" i="1"/>
  <c r="Y46" i="1"/>
  <c r="T46" i="1"/>
  <c r="AD46" i="1" s="1"/>
  <c r="L46" i="1"/>
  <c r="AS45" i="1"/>
  <c r="AR45" i="1"/>
  <c r="AP45" i="1"/>
  <c r="T45" i="1"/>
  <c r="L45" i="1"/>
  <c r="AS44" i="1"/>
  <c r="AR44" i="1"/>
  <c r="AP44" i="1"/>
  <c r="T44" i="1"/>
  <c r="L44" i="1"/>
  <c r="AS43" i="1"/>
  <c r="AR43" i="1"/>
  <c r="AP43" i="1"/>
  <c r="Z43" i="1"/>
  <c r="AQ43" i="1" s="1"/>
  <c r="T43" i="1"/>
  <c r="L43" i="1"/>
  <c r="AS42" i="1"/>
  <c r="AR42" i="1"/>
  <c r="AP42" i="1"/>
  <c r="Y42" i="1"/>
  <c r="Z42" i="1" s="1"/>
  <c r="AQ42" i="1" s="1"/>
  <c r="T42" i="1"/>
  <c r="AD42" i="1" s="1"/>
  <c r="L42" i="1"/>
  <c r="AS41" i="1"/>
  <c r="AR41" i="1"/>
  <c r="AP41" i="1"/>
  <c r="Y41" i="1"/>
  <c r="T41" i="1"/>
  <c r="AD41" i="1" s="1"/>
  <c r="L41" i="1"/>
  <c r="AS40" i="1"/>
  <c r="AR40" i="1"/>
  <c r="AP40" i="1"/>
  <c r="Y40" i="1"/>
  <c r="Z40" i="1" s="1"/>
  <c r="AQ40" i="1" s="1"/>
  <c r="T40" i="1"/>
  <c r="AD40" i="1" s="1"/>
  <c r="L40" i="1"/>
  <c r="AS39" i="1"/>
  <c r="AR39" i="1"/>
  <c r="AP39" i="1"/>
  <c r="Y39" i="1"/>
  <c r="Z39" i="1" s="1"/>
  <c r="AQ39" i="1" s="1"/>
  <c r="T39" i="1"/>
  <c r="AD39" i="1" s="1"/>
  <c r="L39" i="1"/>
  <c r="AS38" i="1"/>
  <c r="AR38" i="1"/>
  <c r="AP38" i="1"/>
  <c r="Y38" i="1"/>
  <c r="Z38" i="1" s="1"/>
  <c r="AQ38" i="1" s="1"/>
  <c r="T38" i="1"/>
  <c r="AD38" i="1" s="1"/>
  <c r="L38" i="1"/>
  <c r="AS37" i="1"/>
  <c r="AR37" i="1"/>
  <c r="AP37" i="1"/>
  <c r="Y37" i="1"/>
  <c r="T37" i="1"/>
  <c r="AD37" i="1" s="1"/>
  <c r="L37" i="1"/>
  <c r="AS36" i="1"/>
  <c r="AR36" i="1"/>
  <c r="AP36" i="1"/>
  <c r="Y36" i="1"/>
  <c r="Z36" i="1" s="1"/>
  <c r="AQ36" i="1" s="1"/>
  <c r="T36" i="1"/>
  <c r="AD36" i="1" s="1"/>
  <c r="L36" i="1"/>
  <c r="AS35" i="1"/>
  <c r="AR35" i="1"/>
  <c r="AP35" i="1"/>
  <c r="Y35" i="1"/>
  <c r="Z35" i="1" s="1"/>
  <c r="AQ35" i="1" s="1"/>
  <c r="T35" i="1"/>
  <c r="AD35" i="1" s="1"/>
  <c r="L35" i="1"/>
  <c r="AS34" i="1"/>
  <c r="AR34" i="1"/>
  <c r="AP34" i="1"/>
  <c r="Y34" i="1"/>
  <c r="Z34" i="1" s="1"/>
  <c r="AQ34" i="1" s="1"/>
  <c r="T34" i="1"/>
  <c r="AD34" i="1" s="1"/>
  <c r="L34" i="1"/>
  <c r="AS33" i="1"/>
  <c r="AR33" i="1"/>
  <c r="AP33" i="1"/>
  <c r="Y33" i="1"/>
  <c r="T33" i="1"/>
  <c r="AD33" i="1" s="1"/>
  <c r="L33" i="1"/>
  <c r="AS32" i="1"/>
  <c r="AR32" i="1"/>
  <c r="AP32" i="1"/>
  <c r="T32" i="1"/>
  <c r="U32" i="1" s="1"/>
  <c r="Y32" i="1" s="1"/>
  <c r="L32" i="1"/>
  <c r="AS31" i="1"/>
  <c r="AR31" i="1"/>
  <c r="AP31" i="1"/>
  <c r="T31" i="1"/>
  <c r="AD31" i="1" s="1"/>
  <c r="L31" i="1"/>
  <c r="AS30" i="1"/>
  <c r="AR30" i="1"/>
  <c r="AP30" i="1"/>
  <c r="Y30" i="1"/>
  <c r="Z30" i="1" s="1"/>
  <c r="AQ30" i="1" s="1"/>
  <c r="T30" i="1"/>
  <c r="AD30" i="1" s="1"/>
  <c r="L30" i="1"/>
  <c r="AS29" i="1"/>
  <c r="AR29" i="1"/>
  <c r="AP29" i="1"/>
  <c r="Y29" i="1"/>
  <c r="T29" i="1"/>
  <c r="AD29" i="1" s="1"/>
  <c r="L29" i="1"/>
  <c r="AS28" i="1"/>
  <c r="AR28" i="1"/>
  <c r="AP28" i="1"/>
  <c r="Z28" i="1"/>
  <c r="AQ28" i="1" s="1"/>
  <c r="T28" i="1"/>
  <c r="L28" i="1"/>
  <c r="AS27" i="1"/>
  <c r="AR27" i="1"/>
  <c r="AP27" i="1"/>
  <c r="Y27" i="1"/>
  <c r="T27" i="1"/>
  <c r="AD27" i="1" s="1"/>
  <c r="L27" i="1"/>
  <c r="AS26" i="1"/>
  <c r="AR26" i="1"/>
  <c r="AP26" i="1"/>
  <c r="T26" i="1"/>
  <c r="AD26" i="1" s="1"/>
  <c r="L26" i="1"/>
  <c r="AS25" i="1"/>
  <c r="AR25" i="1"/>
  <c r="AP25" i="1"/>
  <c r="Y25" i="1"/>
  <c r="Z25" i="1" s="1"/>
  <c r="AQ25" i="1" s="1"/>
  <c r="T25" i="1"/>
  <c r="AD25" i="1" s="1"/>
  <c r="L25" i="1"/>
  <c r="AS24" i="1"/>
  <c r="AR24" i="1"/>
  <c r="AP24" i="1"/>
  <c r="Z24" i="1"/>
  <c r="AQ24" i="1" s="1"/>
  <c r="T24" i="1"/>
  <c r="AD24" i="1" s="1"/>
  <c r="L24" i="1"/>
  <c r="AS23" i="1"/>
  <c r="AR23" i="1"/>
  <c r="AP23" i="1"/>
  <c r="Y23" i="1"/>
  <c r="T23" i="1"/>
  <c r="AD23" i="1" s="1"/>
  <c r="L23" i="1"/>
  <c r="AS22" i="1"/>
  <c r="AR22" i="1"/>
  <c r="AP22" i="1"/>
  <c r="Y22" i="1"/>
  <c r="Z22" i="1" s="1"/>
  <c r="AQ22" i="1" s="1"/>
  <c r="T22" i="1"/>
  <c r="AD22" i="1" s="1"/>
  <c r="L22" i="1"/>
  <c r="AS21" i="1"/>
  <c r="AR21" i="1"/>
  <c r="AP21" i="1"/>
  <c r="Y21" i="1"/>
  <c r="T21" i="1"/>
  <c r="AD21" i="1" s="1"/>
  <c r="L21" i="1"/>
  <c r="AS20" i="1"/>
  <c r="AR20" i="1"/>
  <c r="AP20" i="1"/>
  <c r="T20" i="1"/>
  <c r="U20" i="1" s="1"/>
  <c r="Y20" i="1" s="1"/>
  <c r="L20" i="1"/>
  <c r="AS19" i="1"/>
  <c r="AR19" i="1"/>
  <c r="AP19" i="1"/>
  <c r="Y19" i="1"/>
  <c r="T19" i="1"/>
  <c r="AD19" i="1" s="1"/>
  <c r="L19" i="1"/>
  <c r="AS18" i="1"/>
  <c r="AR18" i="1"/>
  <c r="AP18" i="1"/>
  <c r="Z18" i="1"/>
  <c r="AQ18" i="1" s="1"/>
  <c r="T18" i="1"/>
  <c r="L18" i="1"/>
  <c r="AS17" i="1"/>
  <c r="AR17" i="1"/>
  <c r="AP17" i="1"/>
  <c r="Y17" i="1"/>
  <c r="T17" i="1"/>
  <c r="AD17" i="1" s="1"/>
  <c r="L17" i="1"/>
  <c r="AS16" i="1"/>
  <c r="AR16" i="1"/>
  <c r="AP16" i="1"/>
  <c r="Y16" i="1"/>
  <c r="T16" i="1"/>
  <c r="AD16" i="1" s="1"/>
  <c r="L16" i="1"/>
  <c r="AS15" i="1"/>
  <c r="AR15" i="1"/>
  <c r="AP15" i="1"/>
  <c r="Y15" i="1"/>
  <c r="T15" i="1"/>
  <c r="AD15" i="1" s="1"/>
  <c r="L15" i="1"/>
  <c r="AS14" i="1"/>
  <c r="AR14" i="1"/>
  <c r="AP14" i="1"/>
  <c r="T14" i="1"/>
  <c r="AD14" i="1" s="1"/>
  <c r="L14" i="1"/>
  <c r="AS13" i="1"/>
  <c r="AR13" i="1"/>
  <c r="AP13" i="1"/>
  <c r="Y13" i="1"/>
  <c r="Z13" i="1" s="1"/>
  <c r="AQ13" i="1" s="1"/>
  <c r="T13" i="1"/>
  <c r="AD13" i="1" s="1"/>
  <c r="L13" i="1"/>
  <c r="AS12" i="1"/>
  <c r="AR12" i="1"/>
  <c r="AP12" i="1"/>
  <c r="Y12" i="1"/>
  <c r="T12" i="1"/>
  <c r="AD12" i="1" s="1"/>
  <c r="L12" i="1"/>
  <c r="AS11" i="1"/>
  <c r="AR11" i="1"/>
  <c r="AP11" i="1"/>
  <c r="Z11" i="1"/>
  <c r="AQ11" i="1" s="1"/>
  <c r="T11" i="1"/>
  <c r="AD11" i="1" s="1"/>
  <c r="L11" i="1"/>
  <c r="AS10" i="1"/>
  <c r="AR10" i="1"/>
  <c r="AP10" i="1"/>
  <c r="Z10" i="1"/>
  <c r="AQ10" i="1" s="1"/>
  <c r="T10" i="1"/>
  <c r="AD10" i="1" s="1"/>
  <c r="L10" i="1"/>
  <c r="AS9" i="1"/>
  <c r="AR9" i="1"/>
  <c r="AP9" i="1"/>
  <c r="Y9" i="1"/>
  <c r="Z9" i="1" s="1"/>
  <c r="AQ9" i="1" s="1"/>
  <c r="T9" i="1"/>
  <c r="AD9" i="1" s="1"/>
  <c r="L9" i="1"/>
  <c r="AS8" i="1"/>
  <c r="AR8" i="1"/>
  <c r="AP8" i="1"/>
  <c r="Y8" i="1"/>
  <c r="T8" i="1"/>
  <c r="AD8" i="1" s="1"/>
  <c r="L8" i="1"/>
  <c r="AS7" i="1"/>
  <c r="AR7" i="1"/>
  <c r="AP7" i="1"/>
  <c r="Y7" i="1"/>
  <c r="Z7" i="1" s="1"/>
  <c r="AQ7" i="1" s="1"/>
  <c r="T7" i="1"/>
  <c r="AD7" i="1" s="1"/>
  <c r="L7" i="1"/>
  <c r="AS6" i="1"/>
  <c r="AR6" i="1"/>
  <c r="AP6" i="1"/>
  <c r="Z6" i="1"/>
  <c r="AQ6" i="1" s="1"/>
  <c r="T6" i="1"/>
  <c r="AD6" i="1" s="1"/>
  <c r="L6" i="1"/>
  <c r="L5" i="1" s="1"/>
  <c r="AN5" i="1"/>
  <c r="AM5" i="1"/>
  <c r="AL5" i="1"/>
  <c r="AK5" i="1"/>
  <c r="AJ5" i="1"/>
  <c r="AI5" i="1"/>
  <c r="AH5" i="1"/>
  <c r="AG5" i="1"/>
  <c r="AF5" i="1"/>
  <c r="AE5" i="1"/>
  <c r="AB5" i="1"/>
  <c r="AA5" i="1"/>
  <c r="X5" i="1"/>
  <c r="W5" i="1"/>
  <c r="V5" i="1"/>
  <c r="R5" i="1"/>
  <c r="Q5" i="1"/>
  <c r="P5" i="1"/>
  <c r="O5" i="1"/>
  <c r="N5" i="1"/>
  <c r="M5" i="1"/>
  <c r="K5" i="1"/>
  <c r="F5" i="1"/>
  <c r="E5" i="1"/>
  <c r="AD32" i="1" l="1"/>
  <c r="S5" i="1"/>
  <c r="U72" i="1"/>
  <c r="Y72" i="1" s="1"/>
  <c r="U86" i="1"/>
  <c r="Y86" i="1" s="1"/>
  <c r="AD63" i="1"/>
  <c r="AD68" i="1"/>
  <c r="AD120" i="1"/>
  <c r="T5" i="1"/>
  <c r="AS5" i="1"/>
  <c r="AD20" i="1"/>
  <c r="U55" i="1"/>
  <c r="U61" i="1"/>
  <c r="U74" i="1"/>
  <c r="U75" i="1"/>
  <c r="Y75" i="1" s="1"/>
  <c r="U83" i="1"/>
  <c r="Y83" i="1" s="1"/>
  <c r="U88" i="1"/>
  <c r="Y88" i="1" s="1"/>
  <c r="Z88" i="1" s="1"/>
  <c r="AQ88" i="1" s="1"/>
  <c r="AD106" i="1"/>
  <c r="U125" i="1"/>
  <c r="Y125" i="1" s="1"/>
  <c r="Z125" i="1" s="1"/>
  <c r="AQ125" i="1" s="1"/>
  <c r="AD131" i="1"/>
  <c r="U136" i="1"/>
  <c r="Y136" i="1" s="1"/>
  <c r="Z12" i="1"/>
  <c r="AQ12" i="1" s="1"/>
  <c r="Z21" i="1"/>
  <c r="AQ21" i="1" s="1"/>
  <c r="AD28" i="1"/>
  <c r="Z29" i="1"/>
  <c r="AQ29" i="1" s="1"/>
  <c r="Z33" i="1"/>
  <c r="AQ33" i="1" s="1"/>
  <c r="Z41" i="1"/>
  <c r="AQ41" i="1" s="1"/>
  <c r="Z57" i="1"/>
  <c r="AQ57" i="1" s="1"/>
  <c r="AD66" i="1"/>
  <c r="U66" i="1"/>
  <c r="Y66" i="1" s="1"/>
  <c r="Z68" i="1"/>
  <c r="AQ68" i="1" s="1"/>
  <c r="Z92" i="1"/>
  <c r="AQ92" i="1" s="1"/>
  <c r="Z105" i="1"/>
  <c r="AQ105" i="1" s="1"/>
  <c r="AD118" i="1"/>
  <c r="U118" i="1"/>
  <c r="Y118" i="1" s="1"/>
  <c r="Z120" i="1"/>
  <c r="AQ120" i="1" s="1"/>
  <c r="Z8" i="1"/>
  <c r="AQ8" i="1" s="1"/>
  <c r="AP5" i="1"/>
  <c r="AD18" i="1"/>
  <c r="U18" i="1"/>
  <c r="Z23" i="1"/>
  <c r="AQ23" i="1" s="1"/>
  <c r="Z37" i="1"/>
  <c r="AQ37" i="1" s="1"/>
  <c r="AD43" i="1"/>
  <c r="U43" i="1"/>
  <c r="AD44" i="1"/>
  <c r="U44" i="1"/>
  <c r="Y44" i="1" s="1"/>
  <c r="Z46" i="1"/>
  <c r="AQ46" i="1" s="1"/>
  <c r="AD47" i="1"/>
  <c r="Z52" i="1"/>
  <c r="AQ52" i="1" s="1"/>
  <c r="AD58" i="1"/>
  <c r="U58" i="1"/>
  <c r="Z63" i="1"/>
  <c r="AQ63" i="1" s="1"/>
  <c r="Z69" i="1"/>
  <c r="AQ69" i="1" s="1"/>
  <c r="Z80" i="1"/>
  <c r="AQ80" i="1" s="1"/>
  <c r="Z90" i="1"/>
  <c r="AQ90" i="1" s="1"/>
  <c r="Z100" i="1"/>
  <c r="AQ100" i="1" s="1"/>
  <c r="AD111" i="1"/>
  <c r="Z116" i="1"/>
  <c r="AQ116" i="1" s="1"/>
  <c r="Z121" i="1"/>
  <c r="AQ121" i="1" s="1"/>
  <c r="Z130" i="1"/>
  <c r="AQ130" i="1" s="1"/>
  <c r="AD133" i="1"/>
  <c r="AR5" i="1"/>
  <c r="Z20" i="1"/>
  <c r="AQ20" i="1" s="1"/>
  <c r="Z32" i="1"/>
  <c r="AQ32" i="1" s="1"/>
  <c r="AD73" i="1"/>
  <c r="U73" i="1"/>
  <c r="Y73" i="1" s="1"/>
  <c r="AD76" i="1"/>
  <c r="U76" i="1"/>
  <c r="Y76" i="1" s="1"/>
  <c r="AD78" i="1"/>
  <c r="U78" i="1"/>
  <c r="Y78" i="1" s="1"/>
  <c r="AD84" i="1"/>
  <c r="U84" i="1"/>
  <c r="Y84" i="1" s="1"/>
  <c r="AD87" i="1"/>
  <c r="U87" i="1"/>
  <c r="Y87" i="1" s="1"/>
  <c r="U93" i="1"/>
  <c r="AD93" i="1"/>
  <c r="Z99" i="1"/>
  <c r="AQ99" i="1" s="1"/>
  <c r="Z102" i="1"/>
  <c r="AQ102" i="1" s="1"/>
  <c r="Z106" i="1"/>
  <c r="AQ106" i="1" s="1"/>
  <c r="Z133" i="1"/>
  <c r="AQ133" i="1" s="1"/>
  <c r="U6" i="1"/>
  <c r="U10" i="1"/>
  <c r="U11" i="1"/>
  <c r="U14" i="1"/>
  <c r="Y14" i="1" s="1"/>
  <c r="Z15" i="1"/>
  <c r="AQ15" i="1" s="1"/>
  <c r="Z16" i="1"/>
  <c r="AQ16" i="1" s="1"/>
  <c r="Z17" i="1"/>
  <c r="AQ17" i="1" s="1"/>
  <c r="Z19" i="1"/>
  <c r="AQ19" i="1" s="1"/>
  <c r="U24" i="1"/>
  <c r="U26" i="1"/>
  <c r="Y26" i="1" s="1"/>
  <c r="Z27" i="1"/>
  <c r="AQ27" i="1" s="1"/>
  <c r="U31" i="1"/>
  <c r="Y31" i="1" s="1"/>
  <c r="AD45" i="1"/>
  <c r="U45" i="1"/>
  <c r="Y45" i="1" s="1"/>
  <c r="Z47" i="1"/>
  <c r="AQ47" i="1" s="1"/>
  <c r="U64" i="1"/>
  <c r="AD64" i="1"/>
  <c r="AD65" i="1"/>
  <c r="U65" i="1"/>
  <c r="Y65" i="1" s="1"/>
  <c r="AD67" i="1"/>
  <c r="U67" i="1"/>
  <c r="Y67" i="1" s="1"/>
  <c r="Z75" i="1"/>
  <c r="AQ75" i="1" s="1"/>
  <c r="Z77" i="1"/>
  <c r="AQ77" i="1" s="1"/>
  <c r="Z83" i="1"/>
  <c r="AQ83" i="1" s="1"/>
  <c r="Z86" i="1"/>
  <c r="AQ86" i="1" s="1"/>
  <c r="AD101" i="1"/>
  <c r="U101" i="1"/>
  <c r="Y101" i="1" s="1"/>
  <c r="Z104" i="1"/>
  <c r="AQ104" i="1" s="1"/>
  <c r="Z111" i="1"/>
  <c r="AQ111" i="1" s="1"/>
  <c r="Z117" i="1"/>
  <c r="AQ117" i="1" s="1"/>
  <c r="Z131" i="1"/>
  <c r="AQ131" i="1" s="1"/>
  <c r="Z138" i="1"/>
  <c r="AQ138" i="1" s="1"/>
  <c r="Z142" i="1"/>
  <c r="AQ142" i="1" s="1"/>
  <c r="AD48" i="1"/>
  <c r="U48" i="1"/>
  <c r="Y48" i="1" s="1"/>
  <c r="U95" i="1"/>
  <c r="AD95" i="1"/>
  <c r="Z129" i="1"/>
  <c r="AQ129" i="1" s="1"/>
  <c r="AD132" i="1"/>
  <c r="U132" i="1"/>
  <c r="Y132" i="1" s="1"/>
  <c r="AD135" i="1"/>
  <c r="U135" i="1"/>
  <c r="Y135" i="1" s="1"/>
  <c r="AD137" i="1"/>
  <c r="U137" i="1"/>
  <c r="Y137" i="1" s="1"/>
  <c r="Z140" i="1"/>
  <c r="AQ140" i="1" s="1"/>
  <c r="AD115" i="1"/>
  <c r="U115" i="1"/>
  <c r="Y115" i="1" s="1"/>
  <c r="AD119" i="1"/>
  <c r="U119" i="1"/>
  <c r="Y119" i="1" s="1"/>
  <c r="AD123" i="1"/>
  <c r="U123" i="1"/>
  <c r="Y123" i="1" s="1"/>
  <c r="AD127" i="1"/>
  <c r="U127" i="1"/>
  <c r="Y127" i="1" s="1"/>
  <c r="Z136" i="1" l="1"/>
  <c r="AQ136" i="1" s="1"/>
  <c r="Z72" i="1"/>
  <c r="AQ72" i="1" s="1"/>
  <c r="Z44" i="1"/>
  <c r="AQ44" i="1" s="1"/>
  <c r="Z118" i="1"/>
  <c r="AQ118" i="1" s="1"/>
  <c r="Z66" i="1"/>
  <c r="AQ66" i="1" s="1"/>
  <c r="Z119" i="1"/>
  <c r="AQ119" i="1" s="1"/>
  <c r="U5" i="1"/>
  <c r="Z127" i="1"/>
  <c r="AQ127" i="1" s="1"/>
  <c r="Z115" i="1"/>
  <c r="AQ115" i="1" s="1"/>
  <c r="Z132" i="1"/>
  <c r="AQ132" i="1" s="1"/>
  <c r="Z101" i="1"/>
  <c r="AQ101" i="1" s="1"/>
  <c r="Z14" i="1"/>
  <c r="Y5" i="1"/>
  <c r="Z123" i="1"/>
  <c r="AQ123" i="1" s="1"/>
  <c r="Z137" i="1"/>
  <c r="AQ137" i="1" s="1"/>
  <c r="Z135" i="1"/>
  <c r="AQ135" i="1" s="1"/>
  <c r="Z48" i="1"/>
  <c r="AQ48" i="1" s="1"/>
  <c r="Z67" i="1"/>
  <c r="AQ67" i="1" s="1"/>
  <c r="Z65" i="1"/>
  <c r="AQ65" i="1" s="1"/>
  <c r="Z45" i="1"/>
  <c r="AQ45" i="1" s="1"/>
  <c r="Z31" i="1"/>
  <c r="AQ31" i="1" s="1"/>
  <c r="Z26" i="1"/>
  <c r="AQ26" i="1" s="1"/>
  <c r="Z87" i="1"/>
  <c r="AQ87" i="1" s="1"/>
  <c r="Z84" i="1"/>
  <c r="AQ84" i="1" s="1"/>
  <c r="Z78" i="1"/>
  <c r="AQ78" i="1" s="1"/>
  <c r="Z76" i="1"/>
  <c r="AQ76" i="1" s="1"/>
  <c r="Z73" i="1"/>
  <c r="AQ73" i="1" s="1"/>
  <c r="Z5" i="1" l="1"/>
  <c r="AQ14" i="1"/>
  <c r="AQ5" i="1" s="1"/>
</calcChain>
</file>

<file path=xl/sharedStrings.xml><?xml version="1.0" encoding="utf-8"?>
<sst xmlns="http://schemas.openxmlformats.org/spreadsheetml/2006/main" count="541" uniqueCount="227">
  <si>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</si>
  <si>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</si>
  <si>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</si>
  <si>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</si>
  <si>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</si>
  <si>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</si>
  <si>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</si>
  <si>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</si>
  <si>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</si>
  <si>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</si>
  <si>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</si>
  <si>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</si>
  <si>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</si>
  <si>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</si>
  <si>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</si>
  <si>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</si>
  <si>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</si>
  <si>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</t>
  </si>
  <si>
    <t>итого</t>
  </si>
  <si>
    <t>кон ост</t>
  </si>
  <si>
    <t>факт</t>
  </si>
  <si>
    <t>ср</t>
  </si>
  <si>
    <t>комментарии</t>
  </si>
  <si>
    <t>вес</t>
  </si>
  <si>
    <t>27,07,(дозаказ)</t>
  </si>
  <si>
    <t>27,07,недогруз</t>
  </si>
  <si>
    <t>27,07,</t>
  </si>
  <si>
    <t>28,07,</t>
  </si>
  <si>
    <t>28,07,недогруз</t>
  </si>
  <si>
    <t>30,08,</t>
  </si>
  <si>
    <t>30,08,недогруз</t>
  </si>
  <si>
    <t>30,08,доз</t>
  </si>
  <si>
    <t>01,09,</t>
  </si>
  <si>
    <t>02,09,</t>
  </si>
  <si>
    <t>01,09,предзаказ</t>
  </si>
  <si>
    <t>23,07,</t>
  </si>
  <si>
    <t>21,07,</t>
  </si>
  <si>
    <t>16,07,</t>
  </si>
  <si>
    <t>14,07,</t>
  </si>
  <si>
    <t>09,07,</t>
  </si>
  <si>
    <t>07,07,</t>
  </si>
  <si>
    <t>02,07,</t>
  </si>
  <si>
    <t>30,06,</t>
  </si>
  <si>
    <t>25,06,</t>
  </si>
  <si>
    <t>23,06,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</si>
  <si>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</si>
  <si>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</si>
  <si>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</si>
  <si>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</si>
  <si>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SU001523</t>
  </si>
  <si>
    <t xml:space="preserve"> 017  Сосиски Вязанка Сливочные, Вязанка амицел ВЕС.ПОКОМ</t>
  </si>
  <si>
    <t>SU001721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</si>
  <si>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</si>
  <si>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</si>
  <si>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</si>
  <si>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</si>
  <si>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>SU001718</t>
  </si>
  <si>
    <t xml:space="preserve"> 032  Сосиски Вязанка Сливочные, Вязанка амицел МГС, 0.45кг, ПОКОМ</t>
  </si>
  <si>
    <t>SU001720</t>
  </si>
  <si>
    <t xml:space="preserve"> 047  Кол Баварская, белков.обол. в термоусад. пакете 0.17 кг, ТМ Стародворье  ПОКОМ</t>
  </si>
  <si>
    <t xml:space="preserve"> 057  Колбаса Докторская Дугушка, вектор 0.4 кг, ТМ Стародворье    ПОКОМ</t>
  </si>
  <si>
    <t>не в матрице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</si>
  <si>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</si>
  <si>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</si>
  <si>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107  Сосиски С сыром,  0.33кг,ядрена копоть ПОКОМ</t>
  </si>
  <si>
    <t xml:space="preserve"> 517  Сосиски С сыром ТМ Ядрена копоть 0,3кг  ПОКОМ</t>
  </si>
  <si>
    <t xml:space="preserve"> 108  Сосиски С сыром,  0.42кг,ядрена копоть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</si>
  <si>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</si>
  <si>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</si>
  <si>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>SU000126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</si>
  <si>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</si>
  <si>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</si>
  <si>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597  Колбаса Классическая ТМ Особый рецепт в оболочке полиамид ВЕС. ПОКОМ</t>
  </si>
  <si>
    <t>ротация на 597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</si>
  <si>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</si>
  <si>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</si>
  <si>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</si>
  <si>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</si>
  <si>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</si>
  <si>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</si>
  <si>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</si>
  <si>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</si>
  <si>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246  Колбаса Стародворская ТМ Стародворье ТС Старый двор, ПОКОМ</t>
  </si>
  <si>
    <t xml:space="preserve"> 247  Сардельки Нежные, ВЕС.  ПОКОМ</t>
  </si>
  <si>
    <t>SU001051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</si>
  <si>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</si>
  <si>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</si>
  <si>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</si>
  <si>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</si>
  <si>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</si>
  <si>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</si>
  <si>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</si>
  <si>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</si>
  <si>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</si>
  <si>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</si>
  <si>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SU002618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</si>
  <si>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</si>
  <si>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</si>
  <si>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</si>
  <si>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</si>
  <si>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</si>
  <si>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>SU002725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</si>
  <si>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</si>
  <si>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</si>
  <si>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</si>
  <si>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</si>
  <si>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</si>
  <si>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</si>
  <si>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>нужно увеличить продажи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</si>
  <si>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</si>
  <si>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</si>
  <si>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</si>
  <si>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</si>
  <si>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</si>
  <si>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</si>
  <si>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</si>
  <si>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</si>
  <si>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</si>
  <si>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</si>
  <si>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</si>
  <si>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</si>
  <si>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>дубль</t>
  </si>
  <si>
    <t xml:space="preserve"> 558  Колбаса Балыковая НОВАЯ ВЕС Вязанка фиброуз в/у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</si>
  <si>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</si>
  <si>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</si>
  <si>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</si>
  <si>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</si>
  <si>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</si>
  <si>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</si>
  <si>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</si>
  <si>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>SU002845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</si>
  <si>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</si>
  <si>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</si>
  <si>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</si>
  <si>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</si>
  <si>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</si>
  <si>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</si>
  <si>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</si>
  <si>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</si>
  <si>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</si>
  <si>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>SU002835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</si>
  <si>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</si>
  <si>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</si>
  <si>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</si>
  <si>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</si>
  <si>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</si>
  <si>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</si>
  <si>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</si>
  <si>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</si>
  <si>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</si>
  <si>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</si>
  <si>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>SU003168</t>
  </si>
  <si>
    <t xml:space="preserve"> 412  Сосиски Баварские ТМ Стародворье 0,35 кг ПОКОМ</t>
  </si>
  <si>
    <t>SU003167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</si>
  <si>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</si>
  <si>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</si>
  <si>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</si>
  <si>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</si>
  <si>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</si>
  <si>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</si>
  <si>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</si>
  <si>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</si>
  <si>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</si>
  <si>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</si>
  <si>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</si>
  <si>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485  Колбаса Молочная по-стародворски ТМ Стародворье в оболочке полиамид. ВЕС ПОКОМ </t>
  </si>
  <si>
    <t>нужно увеличить продажи!!! / помощь Донецку</t>
  </si>
  <si>
    <t xml:space="preserve"> 498  Колбаса Сочинка рубленая с сочным окороком 0,3кг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</si>
  <si>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</si>
  <si>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</si>
  <si>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</si>
  <si>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</si>
  <si>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</si>
  <si>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</si>
  <si>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</si>
  <si>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537  Колбаса Докторская ТМ Стародворье ТС Дугушка в оболочке полиамид 0,4 кг  ПОКОМ</t>
  </si>
  <si>
    <t xml:space="preserve"> 544  Сосиски Мясные для гриля ТС Ядрена копоть 0,3 кг  ПОКОМ</t>
  </si>
  <si>
    <t>SU004016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</si>
  <si>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</si>
  <si>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</si>
  <si>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</si>
  <si>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</si>
  <si>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</si>
  <si>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</si>
  <si>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нужно увеличить продажи!!! / 21 шт в уценку 30,06,26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</si>
  <si>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</si>
  <si>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</si>
  <si>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</si>
  <si>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</si>
  <si>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>нужно увеличить продажи!!! / 57кг в уценку (30,06,26)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</si>
  <si>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</si>
  <si>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</si>
  <si>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</si>
  <si>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</si>
  <si>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</si>
  <si>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</si>
  <si>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</si>
  <si>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</si>
  <si>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</si>
  <si>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</si>
  <si>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</si>
  <si>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>вместо 219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</si>
  <si>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</si>
  <si>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</si>
  <si>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</si>
  <si>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</si>
  <si>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</si>
  <si>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614  Буженина в пряном маринаде 0,25 кг консервы из мяса индейки ТМ Стародворье  ПОКОМ</t>
  </si>
  <si>
    <t>новинка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</si>
  <si>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</si>
  <si>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</si>
  <si>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Ветчины Нежная Особая Особая Весовые П/а Особый рецепт большой батон</t>
  </si>
  <si>
    <t>Сардельки «Нежные» Весовые NDX мгс ТМ «Стародворье»</t>
  </si>
  <si>
    <t>Сосиски «Молокуши (Вязанка Молочные)» Весовой п/а мгс ТМ «Вязанка»</t>
  </si>
  <si>
    <t>Сосиски «Молокуши» ф/в 0,45 п/а мгс ТМ «Вязанка»</t>
  </si>
  <si>
    <t>Сосиски «Сливочные» ф/в 0,45 п/а мгс ТМ «Вязанка»</t>
  </si>
  <si>
    <t>Сосиски «Сливочные Вязанка» Весовой п/а мгс ТМ «Вязанка»</t>
  </si>
  <si>
    <t>Сосиски «Сочинки с сочной грудинкой» Фикс.вес 0,4 П/а мгс ТМ «Стародворье»</t>
  </si>
  <si>
    <t>Сосиски «Сочинки с сочным окороком» Фикс.вес 0,4 П/а мгс ТМ «Стародворье»</t>
  </si>
  <si>
    <t>Сосиски Сочинки с сыром Бордо ф/в 0,4 кг п/а Стародворье</t>
  </si>
  <si>
    <t>Сосиски «Сочинки» Весовой п/а ТМ «Стародворье»</t>
  </si>
  <si>
    <t>Сардельки «Филейские» Весовые н/о мгс ТМ «Вязанка»</t>
  </si>
  <si>
    <t>Сосиски «Сочинки Сливочные» Фикс.вес 0,4 п/а мгс ТМ «Стародворье»</t>
  </si>
  <si>
    <t>Сосиски «Сочинки Сливочные» Весовые ТМ «Стародворье» 1,35 кг</t>
  </si>
  <si>
    <t>Сосиски «Баварские» Фикс.вес 0,35 П/а ТМ «Стародворье»</t>
  </si>
  <si>
    <t>Сосиски «Баварские с сыром» Фикс.вес 0,35 п/а ТМ «Стародворье»</t>
  </si>
  <si>
    <t>Сосиски «Мясные для гриля» Фикс.вес 0,3 целлофан ТМ «Ядрена копоть»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</si>
</sst>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5" borderId="1" xfId="1" applyNumberFormat="1" applyFill="1"/>
    <xf numFmtId="164" fontId="5" fillId="5" borderId="1" xfId="1" applyNumberFormat="1" applyFont="1" applyFill="1"/>
    <xf numFmtId="0" fontId="0" fillId="0" borderId="1" xfId="0"/>
    <xf numFmtId="165" fontId="1" fillId="0" borderId="1" xfId="1" applyNumberFormat="1"/>
    <xf numFmtId="164" fontId="6" fillId="5" borderId="1" xfId="1" applyNumberFormat="1" applyFont="1" applyFill="1"/>
    <xf numFmtId="164" fontId="8" fillId="0" borderId="1" xfId="1" applyNumberFormat="1" applyFont="1"/>
    <xf numFmtId="164" fontId="8" fillId="3" borderId="1" xfId="1" applyNumberFormat="1" applyFont="1" applyFill="1"/>
    <xf numFmtId="0" fontId="7" fillId="0" borderId="0" xfId="0" applyFont="1" applyBorder="1"/>
    <xf numFmtId="164" fontId="4" fillId="5" borderId="1" xfId="1" applyNumberFormat="1" applyFont="1" applyFill="1"/>
    <xf numFmtId="164" fontId="1" fillId="5" borderId="2" xfId="1" applyNumberFormat="1" applyFill="1" applyBorder="1"/>
    <xf numFmtId="164" fontId="1" fillId="6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96"/>
  <sheetViews>
    <sheetView tabSelected="1" zoomScale="85" workbookViewId="0">
      <pane xSplit="2" ySplit="5" topLeftCell="E6" activePane="bottomRight" state="frozen"/>
      <selection pane="topRight"/>
      <selection pane="bottomLeft"/>
      <selection pane="bottomRight" activeCell="AU7" sqref="AU7"/>
    </sheetView>
  </sheetViews>
  <sheetFormatPr defaultRowHeight="15" x14ac:dyDescent="0.25"/>
  <cols>
    <col min="1" max="1" width="42.285156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" customWidth="1"/>
    <col min="10" max="10" width="1" customWidth="1"/>
    <col min="11" max="12" width="7" customWidth="1"/>
    <col min="13" max="14" width="0.42578125" customWidth="1"/>
    <col min="15" max="18" width="5.7109375" customWidth="1"/>
    <col min="19" max="19" width="5.7109375" style="15" customWidth="1"/>
    <col min="20" max="21" width="7" customWidth="1"/>
    <col min="22" max="27" width="7" style="15" customWidth="1"/>
    <col min="28" max="28" width="7" customWidth="1"/>
    <col min="29" max="40" width="5" customWidth="1"/>
    <col min="41" max="41" width="4.140625" customWidth="1"/>
    <col min="42" max="42" width="7" customWidth="1"/>
    <col min="43" max="44" width="7" style="20" customWidth="1"/>
    <col min="45" max="45" width="7" customWidth="1"/>
  </cols>
  <sheetData>
    <row r="1" spans="1:45" x14ac:dyDescent="0.25">
      <c r="A1" s="5"/>
      <c r="B1" s="5"/>
      <c r="C1" s="5"/>
      <c r="D1" s="5"/>
      <c r="E1" s="5"/>
      <c r="F1" s="5"/>
      <c r="G1" s="7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16">
        <v>10.6</v>
      </c>
      <c r="W1" s="16"/>
      <c r="X1" s="5">
        <v>5700</v>
      </c>
      <c r="Y1" s="16"/>
      <c r="Z1" s="16"/>
      <c r="AA1" s="16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18"/>
      <c r="AR1" s="18"/>
      <c r="AS1" s="5"/>
    </row>
    <row r="2" spans="1:45" x14ac:dyDescent="0.25">
      <c r="A2" s="5"/>
      <c r="B2" s="5"/>
      <c r="C2" s="5"/>
      <c r="D2" s="5"/>
      <c r="E2" s="5"/>
      <c r="F2" s="5"/>
      <c r="G2" s="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18"/>
      <c r="AR2" s="18"/>
      <c r="AS2" s="5"/>
    </row>
    <row r="3" spans="1:45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14</v>
      </c>
      <c r="S3" s="1" t="s">
        <v>14</v>
      </c>
      <c r="T3" s="1" t="s">
        <v>15</v>
      </c>
      <c r="U3" s="2" t="s">
        <v>16</v>
      </c>
      <c r="V3" s="9" t="s">
        <v>17</v>
      </c>
      <c r="W3" s="9" t="s">
        <v>17</v>
      </c>
      <c r="X3" s="9" t="s">
        <v>17</v>
      </c>
      <c r="Y3" s="21" t="s">
        <v>18</v>
      </c>
      <c r="Z3" s="9" t="s">
        <v>17</v>
      </c>
      <c r="AA3" s="9" t="s">
        <v>17</v>
      </c>
      <c r="AB3" s="9" t="s">
        <v>17</v>
      </c>
      <c r="AC3" s="1" t="s">
        <v>19</v>
      </c>
      <c r="AD3" s="1" t="s">
        <v>20</v>
      </c>
      <c r="AE3" s="1" t="s">
        <v>21</v>
      </c>
      <c r="AF3" s="1" t="s">
        <v>21</v>
      </c>
      <c r="AG3" s="1" t="s">
        <v>21</v>
      </c>
      <c r="AH3" s="1" t="s">
        <v>21</v>
      </c>
      <c r="AI3" s="1" t="s">
        <v>21</v>
      </c>
      <c r="AJ3" s="1" t="s">
        <v>21</v>
      </c>
      <c r="AK3" s="1" t="s">
        <v>21</v>
      </c>
      <c r="AL3" s="1" t="s">
        <v>21</v>
      </c>
      <c r="AM3" s="1" t="s">
        <v>21</v>
      </c>
      <c r="AN3" s="1" t="s">
        <v>21</v>
      </c>
      <c r="AO3" s="1" t="s">
        <v>22</v>
      </c>
      <c r="AP3" s="1" t="s">
        <v>23</v>
      </c>
      <c r="AQ3" s="1" t="s">
        <v>23</v>
      </c>
      <c r="AR3" s="1" t="s">
        <v>23</v>
      </c>
      <c r="AS3" s="1" t="s">
        <v>23</v>
      </c>
    </row>
    <row r="4" spans="1:45" x14ac:dyDescent="0.25">
      <c r="A4" s="5"/>
      <c r="B4" s="5"/>
      <c r="C4" s="5"/>
      <c r="D4" s="5"/>
      <c r="E4" s="5"/>
      <c r="F4" s="5"/>
      <c r="G4" s="7"/>
      <c r="H4" s="5"/>
      <c r="I4" s="5"/>
      <c r="J4" s="5"/>
      <c r="K4" s="5"/>
      <c r="L4" s="5"/>
      <c r="M4" s="5"/>
      <c r="N4" s="5"/>
      <c r="O4" s="5" t="s">
        <v>24</v>
      </c>
      <c r="P4" s="5" t="s">
        <v>25</v>
      </c>
      <c r="Q4" s="5" t="s">
        <v>26</v>
      </c>
      <c r="R4" s="5" t="s">
        <v>27</v>
      </c>
      <c r="S4" s="5" t="s">
        <v>28</v>
      </c>
      <c r="T4" s="5" t="s">
        <v>27</v>
      </c>
      <c r="U4" s="5"/>
      <c r="V4" s="5" t="s">
        <v>29</v>
      </c>
      <c r="W4" s="5" t="s">
        <v>30</v>
      </c>
      <c r="X4" s="5" t="s">
        <v>31</v>
      </c>
      <c r="Y4" s="5"/>
      <c r="Z4" s="5" t="s">
        <v>32</v>
      </c>
      <c r="AA4" s="5" t="s">
        <v>33</v>
      </c>
      <c r="AB4" s="5" t="s">
        <v>34</v>
      </c>
      <c r="AC4" s="5"/>
      <c r="AD4" s="5"/>
      <c r="AE4" s="5" t="s">
        <v>35</v>
      </c>
      <c r="AF4" s="5" t="s">
        <v>36</v>
      </c>
      <c r="AG4" s="5" t="s">
        <v>37</v>
      </c>
      <c r="AH4" s="5" t="s">
        <v>38</v>
      </c>
      <c r="AI4" s="5" t="s">
        <v>39</v>
      </c>
      <c r="AJ4" s="5" t="s">
        <v>40</v>
      </c>
      <c r="AK4" s="5" t="s">
        <v>41</v>
      </c>
      <c r="AL4" s="5" t="s">
        <v>42</v>
      </c>
      <c r="AM4" s="5" t="s">
        <v>43</v>
      </c>
      <c r="AN4" s="5" t="s">
        <v>44</v>
      </c>
      <c r="AO4" s="5"/>
      <c r="AP4" s="5" t="s">
        <v>29</v>
      </c>
      <c r="AQ4" s="5" t="s">
        <v>32</v>
      </c>
      <c r="AR4" s="5" t="s">
        <v>33</v>
      </c>
      <c r="AS4" s="5" t="s">
        <v>34</v>
      </c>
    </row>
    <row r="5" spans="1:45" x14ac:dyDescent="0.25">
      <c r="A5" s="5"/>
      <c r="B5" s="5"/>
      <c r="C5" s="5"/>
      <c r="D5" s="5"/>
      <c r="E5" s="3">
        <f>SUM(E6:E496)</f>
        <v>53419.146000000001</v>
      </c>
      <c r="F5" s="3">
        <f>SUM(F6:F496)</f>
        <v>65169.207000000002</v>
      </c>
      <c r="G5" s="7"/>
      <c r="H5" s="5"/>
      <c r="I5" s="5"/>
      <c r="J5" s="5"/>
      <c r="K5" s="3">
        <f t="shared" ref="K5:U5" si="0">SUM(K6:K496)</f>
        <v>56164.421999999991</v>
      </c>
      <c r="L5" s="3">
        <f t="shared" si="0"/>
        <v>-2745.2759999999998</v>
      </c>
      <c r="M5" s="3">
        <f t="shared" si="0"/>
        <v>0</v>
      </c>
      <c r="N5" s="3">
        <f t="shared" si="0"/>
        <v>0</v>
      </c>
      <c r="O5" s="3">
        <f t="shared" si="0"/>
        <v>2500</v>
      </c>
      <c r="P5" s="3">
        <f t="shared" si="0"/>
        <v>-3544.8</v>
      </c>
      <c r="Q5" s="3">
        <f t="shared" si="0"/>
        <v>22091.366539415838</v>
      </c>
      <c r="R5" s="3">
        <f t="shared" si="0"/>
        <v>24321.008660384174</v>
      </c>
      <c r="S5" s="3">
        <f t="shared" si="0"/>
        <v>-1476.666666666667</v>
      </c>
      <c r="T5" s="3">
        <f t="shared" si="0"/>
        <v>10683.829199999996</v>
      </c>
      <c r="U5" s="3">
        <f t="shared" si="0"/>
        <v>3753.8768900000009</v>
      </c>
      <c r="V5" s="3">
        <f t="shared" ref="V5:AB5" si="1">SUM(V6:V497)</f>
        <v>10762.189071199986</v>
      </c>
      <c r="W5" s="3">
        <f t="shared" si="1"/>
        <v>-4527.5999999999995</v>
      </c>
      <c r="X5" s="3">
        <f t="shared" si="1"/>
        <v>5700</v>
      </c>
      <c r="Y5" s="3">
        <f t="shared" si="1"/>
        <v>12621.229056</v>
      </c>
      <c r="Z5" s="3">
        <f t="shared" si="1"/>
        <v>3291.2290560000006</v>
      </c>
      <c r="AA5" s="3">
        <f t="shared" si="1"/>
        <v>9830</v>
      </c>
      <c r="AB5" s="3">
        <f t="shared" si="1"/>
        <v>21200</v>
      </c>
      <c r="AC5" s="5"/>
      <c r="AD5" s="5"/>
      <c r="AE5" s="3">
        <f t="shared" ref="AE5:AN5" si="2">SUM(AE6:AE496)</f>
        <v>11356.38639999999</v>
      </c>
      <c r="AF5" s="3">
        <f t="shared" si="2"/>
        <v>10946.920799999996</v>
      </c>
      <c r="AG5" s="3">
        <f t="shared" si="2"/>
        <v>11020.885399999997</v>
      </c>
      <c r="AH5" s="3">
        <f t="shared" si="2"/>
        <v>11330.113399999998</v>
      </c>
      <c r="AI5" s="3">
        <f t="shared" si="2"/>
        <v>10868.862599999995</v>
      </c>
      <c r="AJ5" s="3">
        <f t="shared" si="2"/>
        <v>10230.688399999999</v>
      </c>
      <c r="AK5" s="3">
        <f t="shared" si="2"/>
        <v>10557.787400000001</v>
      </c>
      <c r="AL5" s="3">
        <f t="shared" si="2"/>
        <v>11206.347200000004</v>
      </c>
      <c r="AM5" s="3">
        <f t="shared" si="2"/>
        <v>10686.477200000005</v>
      </c>
      <c r="AN5" s="3">
        <f t="shared" si="2"/>
        <v>10948.148200000001</v>
      </c>
      <c r="AO5" s="5"/>
      <c r="AP5" s="3">
        <f>SUM(AP6:AP496)</f>
        <v>8032</v>
      </c>
      <c r="AQ5" s="19">
        <f>SUM(AQ6:AQ496)</f>
        <v>2267</v>
      </c>
      <c r="AR5" s="19">
        <f>SUM(AR6:AR496)</f>
        <v>8562</v>
      </c>
      <c r="AS5" s="3">
        <f>SUM(AS6:AS496)</f>
        <v>15480</v>
      </c>
    </row>
    <row r="6" spans="1:45" x14ac:dyDescent="0.25">
      <c r="A6" s="5" t="s">
        <v>45</v>
      </c>
      <c r="B6" s="5" t="s">
        <v>46</v>
      </c>
      <c r="C6" s="5">
        <v>2599.1280000000002</v>
      </c>
      <c r="D6" s="5">
        <v>5495.3789999999999</v>
      </c>
      <c r="E6" s="5">
        <v>2520.8180000000002</v>
      </c>
      <c r="F6" s="5">
        <v>3300.8420000000001</v>
      </c>
      <c r="G6" s="7">
        <v>1</v>
      </c>
      <c r="H6" s="5">
        <v>50</v>
      </c>
      <c r="I6" s="5" t="s">
        <v>47</v>
      </c>
      <c r="J6" s="5"/>
      <c r="K6" s="5">
        <v>2459.38</v>
      </c>
      <c r="L6" s="5">
        <f t="shared" ref="L6:L37" si="3">E6-K6</f>
        <v>61.438000000000102</v>
      </c>
      <c r="M6" s="5"/>
      <c r="N6" s="5"/>
      <c r="O6" s="5"/>
      <c r="P6" s="5"/>
      <c r="Q6" s="5">
        <v>636.81582152640067</v>
      </c>
      <c r="R6" s="5">
        <v>1089.908206473601</v>
      </c>
      <c r="S6" s="5"/>
      <c r="T6" s="5">
        <f t="shared" ref="T6:T37" si="4">E6/5</f>
        <v>504.16360000000003</v>
      </c>
      <c r="U6" s="4">
        <f>11*T6-R6-Q6-P6-O6-F6-V6-AB6</f>
        <v>201.66543999999976</v>
      </c>
      <c r="V6" s="4">
        <v>316.56813199999851</v>
      </c>
      <c r="W6" s="4"/>
      <c r="X6" s="4"/>
      <c r="Y6" s="22">
        <v>1700</v>
      </c>
      <c r="Z6" s="4">
        <f t="shared" ref="Z6:Z37" si="5">Y6-AA6</f>
        <v>0</v>
      </c>
      <c r="AA6" s="22">
        <v>1700</v>
      </c>
      <c r="AB6" s="4"/>
      <c r="AC6" s="5">
        <f>(F6+O6+P6+Q6+R6+Y6+AB6+V6+S6+X6+W6)/T6</f>
        <v>13.971921336645487</v>
      </c>
      <c r="AD6" s="5">
        <f t="shared" ref="AD6:AD37" si="6">(F6+O6+P6+Q6+R6)/T6</f>
        <v>9.9720924477689419</v>
      </c>
      <c r="AE6" s="5">
        <v>475.59160000000003</v>
      </c>
      <c r="AF6" s="5">
        <v>485.4896</v>
      </c>
      <c r="AG6" s="5">
        <v>548.13580000000002</v>
      </c>
      <c r="AH6" s="5">
        <v>531.78219999999999</v>
      </c>
      <c r="AI6" s="5">
        <v>520.48940000000005</v>
      </c>
      <c r="AJ6" s="5">
        <v>518.05520000000001</v>
      </c>
      <c r="AK6" s="5">
        <v>649.26400000000001</v>
      </c>
      <c r="AL6" s="5">
        <v>693.28</v>
      </c>
      <c r="AM6" s="5">
        <v>574.93340000000001</v>
      </c>
      <c r="AN6" s="5">
        <v>571.3528</v>
      </c>
      <c r="AO6" s="5"/>
      <c r="AP6" s="5">
        <f t="shared" ref="AP6:AP37" si="7">ROUND(G6*V6,0)</f>
        <v>317</v>
      </c>
      <c r="AQ6" s="18">
        <f t="shared" ref="AQ6:AQ37" si="8">ROUND(G6*Z6,0)</f>
        <v>0</v>
      </c>
      <c r="AR6" s="18">
        <f t="shared" ref="AR6:AR37" si="9">ROUND(G6*AA6,0)</f>
        <v>1700</v>
      </c>
      <c r="AS6" s="5">
        <f t="shared" ref="AS6:AS37" si="10">ROUND(G6*AB6,0)</f>
        <v>0</v>
      </c>
    </row>
    <row r="7" spans="1:45" x14ac:dyDescent="0.25">
      <c r="A7" s="5" t="s">
        <v>48</v>
      </c>
      <c r="B7" s="5" t="s">
        <v>46</v>
      </c>
      <c r="C7" s="5">
        <v>1260.2149999999999</v>
      </c>
      <c r="D7" s="5">
        <v>1961.97</v>
      </c>
      <c r="E7" s="5">
        <v>1267.2929999999999</v>
      </c>
      <c r="F7" s="5">
        <v>1480.183</v>
      </c>
      <c r="G7" s="7">
        <v>1</v>
      </c>
      <c r="H7" s="5">
        <v>45</v>
      </c>
      <c r="I7" s="5" t="s">
        <v>47</v>
      </c>
      <c r="J7" s="5"/>
      <c r="K7" s="5">
        <v>1227.539</v>
      </c>
      <c r="L7" s="5">
        <f t="shared" si="3"/>
        <v>39.753999999999905</v>
      </c>
      <c r="M7" s="5"/>
      <c r="N7" s="5"/>
      <c r="O7" s="5"/>
      <c r="P7" s="5"/>
      <c r="Q7" s="5">
        <v>355.26853238848048</v>
      </c>
      <c r="R7" s="5">
        <v>608.04093721152083</v>
      </c>
      <c r="S7" s="5"/>
      <c r="T7" s="5">
        <f t="shared" si="4"/>
        <v>253.45859999999999</v>
      </c>
      <c r="U7" s="4"/>
      <c r="V7" s="4">
        <v>243.16869039999821</v>
      </c>
      <c r="W7" s="4">
        <v>-243</v>
      </c>
      <c r="X7" s="4"/>
      <c r="Y7" s="4">
        <f>U7</f>
        <v>0</v>
      </c>
      <c r="Z7" s="4">
        <f t="shared" si="5"/>
        <v>0</v>
      </c>
      <c r="AA7" s="4"/>
      <c r="AB7" s="4">
        <v>1650</v>
      </c>
      <c r="AC7" s="5">
        <f t="shared" ref="AC7:AC70" si="11">(F7+O7+P7+Q7+R7+Y7+AB7+V7+S7+X7+W7)/T7</f>
        <v>16.151202444896324</v>
      </c>
      <c r="AD7" s="5">
        <f t="shared" si="6"/>
        <v>9.640597989573056</v>
      </c>
      <c r="AE7" s="5">
        <v>242.8768</v>
      </c>
      <c r="AF7" s="5">
        <v>235.5034</v>
      </c>
      <c r="AG7" s="5">
        <v>220.28479999999999</v>
      </c>
      <c r="AH7" s="5">
        <v>230.947</v>
      </c>
      <c r="AI7" s="5">
        <v>231.88659999999999</v>
      </c>
      <c r="AJ7" s="5">
        <v>229.16200000000001</v>
      </c>
      <c r="AK7" s="5">
        <v>245.24719999999999</v>
      </c>
      <c r="AL7" s="5">
        <v>248.6404</v>
      </c>
      <c r="AM7" s="5">
        <v>233.95959999999999</v>
      </c>
      <c r="AN7" s="5">
        <v>237.83580000000001</v>
      </c>
      <c r="AO7" s="5"/>
      <c r="AP7" s="5">
        <f t="shared" si="7"/>
        <v>243</v>
      </c>
      <c r="AQ7" s="18">
        <f t="shared" si="8"/>
        <v>0</v>
      </c>
      <c r="AR7" s="18">
        <f t="shared" si="9"/>
        <v>0</v>
      </c>
      <c r="AS7" s="5">
        <f t="shared" si="10"/>
        <v>1650</v>
      </c>
    </row>
    <row r="8" spans="1:45" x14ac:dyDescent="0.25">
      <c r="A8" s="5" t="s">
        <v>50</v>
      </c>
      <c r="B8" s="5" t="s">
        <v>46</v>
      </c>
      <c r="C8" s="5">
        <v>1293.8699999999999</v>
      </c>
      <c r="D8" s="5">
        <v>1768.808</v>
      </c>
      <c r="E8" s="5">
        <v>1070.5170000000001</v>
      </c>
      <c r="F8" s="5">
        <v>1478.9659999999999</v>
      </c>
      <c r="G8" s="7">
        <v>1</v>
      </c>
      <c r="H8" s="5">
        <v>45</v>
      </c>
      <c r="I8" s="5" t="s">
        <v>47</v>
      </c>
      <c r="J8" s="5"/>
      <c r="K8" s="5">
        <v>1047.55</v>
      </c>
      <c r="L8" s="5">
        <f t="shared" si="3"/>
        <v>22.967000000000098</v>
      </c>
      <c r="M8" s="5"/>
      <c r="N8" s="5"/>
      <c r="O8" s="5"/>
      <c r="P8" s="5"/>
      <c r="Q8" s="5">
        <v>264.00371352176097</v>
      </c>
      <c r="R8" s="5">
        <v>451.84149667824158</v>
      </c>
      <c r="S8" s="5"/>
      <c r="T8" s="5">
        <f t="shared" si="4"/>
        <v>214.10340000000002</v>
      </c>
      <c r="U8" s="4"/>
      <c r="V8" s="4">
        <v>74.684829799997487</v>
      </c>
      <c r="W8" s="4">
        <v>-81</v>
      </c>
      <c r="X8" s="4"/>
      <c r="Y8" s="4">
        <f>U8</f>
        <v>0</v>
      </c>
      <c r="Z8" s="4">
        <f t="shared" si="5"/>
        <v>0</v>
      </c>
      <c r="AA8" s="4"/>
      <c r="AB8" s="4">
        <v>1550</v>
      </c>
      <c r="AC8" s="5">
        <f t="shared" si="11"/>
        <v>17.461170817464829</v>
      </c>
      <c r="AD8" s="5">
        <f t="shared" si="6"/>
        <v>10.251174013117037</v>
      </c>
      <c r="AE8" s="5">
        <v>227.751</v>
      </c>
      <c r="AF8" s="5">
        <v>235.30099999999999</v>
      </c>
      <c r="AG8" s="5">
        <v>231.13040000000001</v>
      </c>
      <c r="AH8" s="5">
        <v>232.49080000000001</v>
      </c>
      <c r="AI8" s="5">
        <v>229.34979999999999</v>
      </c>
      <c r="AJ8" s="5">
        <v>233.9804</v>
      </c>
      <c r="AK8" s="5">
        <v>252.5744</v>
      </c>
      <c r="AL8" s="5">
        <v>250.4272</v>
      </c>
      <c r="AM8" s="5">
        <v>136.15100000000001</v>
      </c>
      <c r="AN8" s="5">
        <v>145.13079999999999</v>
      </c>
      <c r="AO8" s="5"/>
      <c r="AP8" s="5">
        <f t="shared" si="7"/>
        <v>75</v>
      </c>
      <c r="AQ8" s="18">
        <f t="shared" si="8"/>
        <v>0</v>
      </c>
      <c r="AR8" s="18">
        <f t="shared" si="9"/>
        <v>0</v>
      </c>
      <c r="AS8" s="5">
        <f t="shared" si="10"/>
        <v>1550</v>
      </c>
    </row>
    <row r="9" spans="1:45" x14ac:dyDescent="0.25">
      <c r="A9" s="10" t="s">
        <v>52</v>
      </c>
      <c r="B9" s="10" t="s">
        <v>53</v>
      </c>
      <c r="C9" s="10"/>
      <c r="D9" s="10"/>
      <c r="E9" s="10"/>
      <c r="F9" s="10"/>
      <c r="G9" s="11">
        <v>0</v>
      </c>
      <c r="H9" s="10"/>
      <c r="I9" s="10" t="s">
        <v>47</v>
      </c>
      <c r="J9" s="10"/>
      <c r="K9" s="10"/>
      <c r="L9" s="10">
        <f t="shared" si="3"/>
        <v>0</v>
      </c>
      <c r="M9" s="10"/>
      <c r="N9" s="10"/>
      <c r="O9" s="10"/>
      <c r="P9" s="10"/>
      <c r="Q9" s="10">
        <v>0</v>
      </c>
      <c r="R9" s="10"/>
      <c r="S9" s="10"/>
      <c r="T9" s="10">
        <f t="shared" si="4"/>
        <v>0</v>
      </c>
      <c r="U9" s="12"/>
      <c r="V9" s="12"/>
      <c r="W9" s="12"/>
      <c r="X9" s="12"/>
      <c r="Y9" s="4">
        <f>U9</f>
        <v>0</v>
      </c>
      <c r="Z9" s="4">
        <f t="shared" si="5"/>
        <v>0</v>
      </c>
      <c r="AA9" s="4"/>
      <c r="AB9" s="12"/>
      <c r="AC9" s="5" t="e">
        <f t="shared" si="11"/>
        <v>#DIV/0!</v>
      </c>
      <c r="AD9" s="10" t="e">
        <f t="shared" si="6"/>
        <v>#DIV/0!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 t="s">
        <v>54</v>
      </c>
      <c r="AP9" s="5">
        <f t="shared" si="7"/>
        <v>0</v>
      </c>
      <c r="AQ9" s="18">
        <f t="shared" si="8"/>
        <v>0</v>
      </c>
      <c r="AR9" s="18">
        <f t="shared" si="9"/>
        <v>0</v>
      </c>
      <c r="AS9" s="5">
        <f t="shared" si="10"/>
        <v>0</v>
      </c>
    </row>
    <row r="10" spans="1:45" x14ac:dyDescent="0.25">
      <c r="A10" s="5" t="s">
        <v>55</v>
      </c>
      <c r="B10" s="5" t="s">
        <v>53</v>
      </c>
      <c r="C10" s="5">
        <v>562</v>
      </c>
      <c r="D10" s="5">
        <v>1494</v>
      </c>
      <c r="E10" s="5">
        <v>695</v>
      </c>
      <c r="F10" s="5">
        <v>575</v>
      </c>
      <c r="G10" s="7">
        <v>0.45</v>
      </c>
      <c r="H10" s="5">
        <v>45</v>
      </c>
      <c r="I10" s="5" t="s">
        <v>47</v>
      </c>
      <c r="J10" s="5"/>
      <c r="K10" s="5">
        <v>715</v>
      </c>
      <c r="L10" s="5">
        <f t="shared" si="3"/>
        <v>-20</v>
      </c>
      <c r="M10" s="5"/>
      <c r="N10" s="5"/>
      <c r="O10" s="5"/>
      <c r="P10" s="5"/>
      <c r="Q10" s="5">
        <v>271.46851680000009</v>
      </c>
      <c r="R10" s="5">
        <v>464.61748320000021</v>
      </c>
      <c r="S10" s="5"/>
      <c r="T10" s="5">
        <f t="shared" si="4"/>
        <v>139</v>
      </c>
      <c r="U10" s="4">
        <f>11*T10-R10-Q10-P10-O10-F10-V10-AB10</f>
        <v>55.600000000000165</v>
      </c>
      <c r="V10" s="4">
        <v>162.3139999999996</v>
      </c>
      <c r="W10" s="4">
        <v>-167.99999999999997</v>
      </c>
      <c r="X10" s="4"/>
      <c r="Y10" s="22">
        <v>350</v>
      </c>
      <c r="Z10" s="4">
        <f t="shared" si="5"/>
        <v>0</v>
      </c>
      <c r="AA10" s="22">
        <v>350</v>
      </c>
      <c r="AB10" s="4"/>
      <c r="AC10" s="5">
        <f t="shared" si="11"/>
        <v>11.90935251798561</v>
      </c>
      <c r="AD10" s="5">
        <f t="shared" si="6"/>
        <v>9.4322733812949657</v>
      </c>
      <c r="AE10" s="5">
        <v>136.80000000000001</v>
      </c>
      <c r="AF10" s="5">
        <v>124.8</v>
      </c>
      <c r="AG10" s="5">
        <v>110.6</v>
      </c>
      <c r="AH10" s="5">
        <v>109</v>
      </c>
      <c r="AI10" s="5">
        <v>123.6</v>
      </c>
      <c r="AJ10" s="5">
        <v>123.8</v>
      </c>
      <c r="AK10" s="5">
        <v>115.4</v>
      </c>
      <c r="AL10" s="5">
        <v>118.8</v>
      </c>
      <c r="AM10" s="5">
        <v>111.6</v>
      </c>
      <c r="AN10" s="5">
        <v>102.4</v>
      </c>
      <c r="AO10" s="5"/>
      <c r="AP10" s="5">
        <f t="shared" si="7"/>
        <v>73</v>
      </c>
      <c r="AQ10" s="18">
        <f t="shared" si="8"/>
        <v>0</v>
      </c>
      <c r="AR10" s="18">
        <f t="shared" si="9"/>
        <v>158</v>
      </c>
      <c r="AS10" s="5">
        <f t="shared" si="10"/>
        <v>0</v>
      </c>
    </row>
    <row r="11" spans="1:45" x14ac:dyDescent="0.25">
      <c r="A11" s="5" t="s">
        <v>57</v>
      </c>
      <c r="B11" s="5" t="s">
        <v>53</v>
      </c>
      <c r="C11" s="5">
        <v>1494</v>
      </c>
      <c r="D11" s="5">
        <v>2145</v>
      </c>
      <c r="E11" s="5">
        <v>1367</v>
      </c>
      <c r="F11" s="5">
        <v>1203</v>
      </c>
      <c r="G11" s="7">
        <v>0.45</v>
      </c>
      <c r="H11" s="5">
        <v>45</v>
      </c>
      <c r="I11" s="5" t="s">
        <v>47</v>
      </c>
      <c r="J11" s="5"/>
      <c r="K11" s="5">
        <v>1380</v>
      </c>
      <c r="L11" s="5">
        <f t="shared" si="3"/>
        <v>-13</v>
      </c>
      <c r="M11" s="5"/>
      <c r="N11" s="5"/>
      <c r="O11" s="5"/>
      <c r="P11" s="5"/>
      <c r="Q11" s="5">
        <v>454.78129440000038</v>
      </c>
      <c r="R11" s="5">
        <v>778.35670560000062</v>
      </c>
      <c r="S11" s="5"/>
      <c r="T11" s="5">
        <f t="shared" si="4"/>
        <v>273.39999999999998</v>
      </c>
      <c r="U11" s="4">
        <f>11*T11-R11-Q11-P11-O11-F11-V11-AB11</f>
        <v>109.36000000000007</v>
      </c>
      <c r="V11" s="4">
        <v>461.90199999999851</v>
      </c>
      <c r="W11" s="4">
        <v>-468</v>
      </c>
      <c r="X11" s="4"/>
      <c r="Y11" s="22">
        <v>680</v>
      </c>
      <c r="Z11" s="4">
        <f t="shared" si="5"/>
        <v>0</v>
      </c>
      <c r="AA11" s="22">
        <v>680</v>
      </c>
      <c r="AB11" s="4"/>
      <c r="AC11" s="5">
        <f t="shared" si="11"/>
        <v>11.375420629114849</v>
      </c>
      <c r="AD11" s="5">
        <f t="shared" si="6"/>
        <v>8.9105267008046862</v>
      </c>
      <c r="AE11" s="5">
        <v>246.4</v>
      </c>
      <c r="AF11" s="5">
        <v>230.2</v>
      </c>
      <c r="AG11" s="5">
        <v>217</v>
      </c>
      <c r="AH11" s="5">
        <v>207.6</v>
      </c>
      <c r="AI11" s="5">
        <v>228.4</v>
      </c>
      <c r="AJ11" s="5">
        <v>239.6</v>
      </c>
      <c r="AK11" s="5">
        <v>198.8</v>
      </c>
      <c r="AL11" s="5">
        <v>201.8</v>
      </c>
      <c r="AM11" s="5">
        <v>207.4</v>
      </c>
      <c r="AN11" s="5">
        <v>205.4</v>
      </c>
      <c r="AO11" s="5"/>
      <c r="AP11" s="5">
        <f t="shared" si="7"/>
        <v>208</v>
      </c>
      <c r="AQ11" s="18">
        <f t="shared" si="8"/>
        <v>0</v>
      </c>
      <c r="AR11" s="18">
        <f t="shared" si="9"/>
        <v>306</v>
      </c>
      <c r="AS11" s="5">
        <f t="shared" si="10"/>
        <v>0</v>
      </c>
    </row>
    <row r="12" spans="1:45" x14ac:dyDescent="0.25">
      <c r="A12" s="5" t="s">
        <v>59</v>
      </c>
      <c r="B12" s="5" t="s">
        <v>53</v>
      </c>
      <c r="C12" s="5">
        <v>80</v>
      </c>
      <c r="D12" s="5">
        <v>100</v>
      </c>
      <c r="E12" s="5">
        <v>73</v>
      </c>
      <c r="F12" s="5">
        <v>96</v>
      </c>
      <c r="G12" s="7">
        <v>0.17</v>
      </c>
      <c r="H12" s="5">
        <v>180</v>
      </c>
      <c r="I12" s="5" t="s">
        <v>47</v>
      </c>
      <c r="J12" s="5"/>
      <c r="K12" s="5">
        <v>73</v>
      </c>
      <c r="L12" s="5">
        <f t="shared" si="3"/>
        <v>0</v>
      </c>
      <c r="M12" s="5"/>
      <c r="N12" s="5"/>
      <c r="O12" s="5"/>
      <c r="P12" s="5"/>
      <c r="Q12" s="5">
        <v>122.2</v>
      </c>
      <c r="R12" s="5"/>
      <c r="S12" s="5"/>
      <c r="T12" s="5">
        <f t="shared" si="4"/>
        <v>14.6</v>
      </c>
      <c r="U12" s="4"/>
      <c r="V12" s="4"/>
      <c r="W12" s="4"/>
      <c r="X12" s="4"/>
      <c r="Y12" s="4">
        <f t="shared" ref="Y12:Y17" si="12">U12</f>
        <v>0</v>
      </c>
      <c r="Z12" s="4">
        <f t="shared" si="5"/>
        <v>0</v>
      </c>
      <c r="AA12" s="4"/>
      <c r="AB12" s="4"/>
      <c r="AC12" s="5">
        <f t="shared" si="11"/>
        <v>14.945205479452055</v>
      </c>
      <c r="AD12" s="5">
        <f t="shared" si="6"/>
        <v>14.945205479452055</v>
      </c>
      <c r="AE12" s="5">
        <v>20.2</v>
      </c>
      <c r="AF12" s="5">
        <v>15.2</v>
      </c>
      <c r="AG12" s="5">
        <v>11.8</v>
      </c>
      <c r="AH12" s="5">
        <v>12.8</v>
      </c>
      <c r="AI12" s="5">
        <v>7.4</v>
      </c>
      <c r="AJ12" s="5">
        <v>8.6</v>
      </c>
      <c r="AK12" s="5">
        <v>18.2</v>
      </c>
      <c r="AL12" s="5">
        <v>20.6</v>
      </c>
      <c r="AM12" s="5">
        <v>16</v>
      </c>
      <c r="AN12" s="5">
        <v>15</v>
      </c>
      <c r="AO12" s="5"/>
      <c r="AP12" s="5">
        <f t="shared" si="7"/>
        <v>0</v>
      </c>
      <c r="AQ12" s="18">
        <f t="shared" si="8"/>
        <v>0</v>
      </c>
      <c r="AR12" s="18">
        <f t="shared" si="9"/>
        <v>0</v>
      </c>
      <c r="AS12" s="5">
        <f t="shared" si="10"/>
        <v>0</v>
      </c>
    </row>
    <row r="13" spans="1:45" x14ac:dyDescent="0.25">
      <c r="A13" s="10" t="s">
        <v>60</v>
      </c>
      <c r="B13" s="10" t="s">
        <v>53</v>
      </c>
      <c r="C13" s="10">
        <v>-47</v>
      </c>
      <c r="D13" s="10">
        <v>47</v>
      </c>
      <c r="E13" s="10"/>
      <c r="F13" s="10"/>
      <c r="G13" s="11">
        <v>0</v>
      </c>
      <c r="H13" s="10"/>
      <c r="I13" s="10" t="s">
        <v>61</v>
      </c>
      <c r="J13" s="10"/>
      <c r="K13" s="10"/>
      <c r="L13" s="10">
        <f t="shared" si="3"/>
        <v>0</v>
      </c>
      <c r="M13" s="10"/>
      <c r="N13" s="10"/>
      <c r="O13" s="10"/>
      <c r="P13" s="10"/>
      <c r="Q13" s="10">
        <v>0</v>
      </c>
      <c r="R13" s="10"/>
      <c r="S13" s="10"/>
      <c r="T13" s="10">
        <f t="shared" si="4"/>
        <v>0</v>
      </c>
      <c r="U13" s="12"/>
      <c r="V13" s="12"/>
      <c r="W13" s="12"/>
      <c r="X13" s="12"/>
      <c r="Y13" s="4">
        <f t="shared" si="12"/>
        <v>0</v>
      </c>
      <c r="Z13" s="4">
        <f t="shared" si="5"/>
        <v>0</v>
      </c>
      <c r="AA13" s="4"/>
      <c r="AB13" s="12"/>
      <c r="AC13" s="5" t="e">
        <f t="shared" si="11"/>
        <v>#DIV/0!</v>
      </c>
      <c r="AD13" s="10" t="e">
        <f t="shared" si="6"/>
        <v>#DIV/0!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/>
      <c r="AP13" s="5">
        <f t="shared" si="7"/>
        <v>0</v>
      </c>
      <c r="AQ13" s="18">
        <f t="shared" si="8"/>
        <v>0</v>
      </c>
      <c r="AR13" s="18">
        <f t="shared" si="9"/>
        <v>0</v>
      </c>
      <c r="AS13" s="5">
        <f t="shared" si="10"/>
        <v>0</v>
      </c>
    </row>
    <row r="14" spans="1:45" x14ac:dyDescent="0.25">
      <c r="A14" s="5" t="s">
        <v>62</v>
      </c>
      <c r="B14" s="5" t="s">
        <v>53</v>
      </c>
      <c r="C14" s="5">
        <v>127</v>
      </c>
      <c r="D14" s="5">
        <v>123</v>
      </c>
      <c r="E14" s="5">
        <v>114</v>
      </c>
      <c r="F14" s="5">
        <v>90</v>
      </c>
      <c r="G14" s="7">
        <v>0.3</v>
      </c>
      <c r="H14" s="5">
        <v>40</v>
      </c>
      <c r="I14" s="5" t="s">
        <v>47</v>
      </c>
      <c r="J14" s="5"/>
      <c r="K14" s="5">
        <v>122</v>
      </c>
      <c r="L14" s="5">
        <f t="shared" si="3"/>
        <v>-8</v>
      </c>
      <c r="M14" s="5"/>
      <c r="N14" s="5"/>
      <c r="O14" s="5"/>
      <c r="P14" s="5"/>
      <c r="Q14" s="5">
        <v>67.400000000000006</v>
      </c>
      <c r="R14" s="5"/>
      <c r="S14" s="5"/>
      <c r="T14" s="5">
        <f t="shared" si="4"/>
        <v>22.8</v>
      </c>
      <c r="U14" s="4">
        <f>11*T14-R14-Q14-P14-O14-F14-V14-AB14</f>
        <v>93.4</v>
      </c>
      <c r="V14" s="4"/>
      <c r="W14" s="4"/>
      <c r="X14" s="4"/>
      <c r="Y14" s="4">
        <f t="shared" si="12"/>
        <v>93.4</v>
      </c>
      <c r="Z14" s="4">
        <f t="shared" si="5"/>
        <v>93.4</v>
      </c>
      <c r="AA14" s="4"/>
      <c r="AB14" s="4"/>
      <c r="AC14" s="5">
        <f t="shared" si="11"/>
        <v>11</v>
      </c>
      <c r="AD14" s="5">
        <f t="shared" si="6"/>
        <v>6.9035087719298245</v>
      </c>
      <c r="AE14" s="5">
        <v>17.600000000000001</v>
      </c>
      <c r="AF14" s="5">
        <v>17.8</v>
      </c>
      <c r="AG14" s="5">
        <v>9.1999999999999993</v>
      </c>
      <c r="AH14" s="5">
        <v>19.399999999999999</v>
      </c>
      <c r="AI14" s="5">
        <v>23</v>
      </c>
      <c r="AJ14" s="5">
        <v>10.8</v>
      </c>
      <c r="AK14" s="5">
        <v>11.6</v>
      </c>
      <c r="AL14" s="5">
        <v>7.8</v>
      </c>
      <c r="AM14" s="5">
        <v>7.8</v>
      </c>
      <c r="AN14" s="5">
        <v>17.8</v>
      </c>
      <c r="AO14" s="5"/>
      <c r="AP14" s="5">
        <f t="shared" si="7"/>
        <v>0</v>
      </c>
      <c r="AQ14" s="18">
        <f t="shared" si="8"/>
        <v>28</v>
      </c>
      <c r="AR14" s="18">
        <f t="shared" si="9"/>
        <v>0</v>
      </c>
      <c r="AS14" s="5">
        <f t="shared" si="10"/>
        <v>0</v>
      </c>
    </row>
    <row r="15" spans="1:45" x14ac:dyDescent="0.25">
      <c r="A15" s="5" t="s">
        <v>63</v>
      </c>
      <c r="B15" s="5" t="s">
        <v>53</v>
      </c>
      <c r="C15" s="5">
        <v>176</v>
      </c>
      <c r="D15" s="5">
        <v>562</v>
      </c>
      <c r="E15" s="5">
        <v>192</v>
      </c>
      <c r="F15" s="5">
        <v>468</v>
      </c>
      <c r="G15" s="7">
        <v>0.17</v>
      </c>
      <c r="H15" s="5">
        <v>180</v>
      </c>
      <c r="I15" s="5" t="s">
        <v>47</v>
      </c>
      <c r="J15" s="5"/>
      <c r="K15" s="5">
        <v>192</v>
      </c>
      <c r="L15" s="5">
        <f t="shared" si="3"/>
        <v>0</v>
      </c>
      <c r="M15" s="5"/>
      <c r="N15" s="5"/>
      <c r="O15" s="5"/>
      <c r="P15" s="5"/>
      <c r="Q15" s="5">
        <v>159.1</v>
      </c>
      <c r="R15" s="5"/>
      <c r="S15" s="5"/>
      <c r="T15" s="5">
        <f t="shared" si="4"/>
        <v>38.4</v>
      </c>
      <c r="U15" s="4"/>
      <c r="V15" s="4"/>
      <c r="W15" s="4"/>
      <c r="X15" s="4"/>
      <c r="Y15" s="4">
        <f t="shared" si="12"/>
        <v>0</v>
      </c>
      <c r="Z15" s="4">
        <f t="shared" si="5"/>
        <v>0</v>
      </c>
      <c r="AA15" s="4"/>
      <c r="AB15" s="4"/>
      <c r="AC15" s="5">
        <f t="shared" si="11"/>
        <v>16.330729166666668</v>
      </c>
      <c r="AD15" s="5">
        <f t="shared" si="6"/>
        <v>16.330729166666668</v>
      </c>
      <c r="AE15" s="5">
        <v>56</v>
      </c>
      <c r="AF15" s="5">
        <v>56.2</v>
      </c>
      <c r="AG15" s="5">
        <v>45</v>
      </c>
      <c r="AH15" s="5">
        <v>39.4</v>
      </c>
      <c r="AI15" s="5">
        <v>40.6</v>
      </c>
      <c r="AJ15" s="5">
        <v>41</v>
      </c>
      <c r="AK15" s="5">
        <v>51</v>
      </c>
      <c r="AL15" s="5">
        <v>48.8</v>
      </c>
      <c r="AM15" s="5">
        <v>47</v>
      </c>
      <c r="AN15" s="5">
        <v>49.8</v>
      </c>
      <c r="AO15" s="5"/>
      <c r="AP15" s="5">
        <f t="shared" si="7"/>
        <v>0</v>
      </c>
      <c r="AQ15" s="18">
        <f t="shared" si="8"/>
        <v>0</v>
      </c>
      <c r="AR15" s="18">
        <f t="shared" si="9"/>
        <v>0</v>
      </c>
      <c r="AS15" s="5">
        <f t="shared" si="10"/>
        <v>0</v>
      </c>
    </row>
    <row r="16" spans="1:45" x14ac:dyDescent="0.25">
      <c r="A16" s="10" t="s">
        <v>64</v>
      </c>
      <c r="B16" s="10" t="s">
        <v>53</v>
      </c>
      <c r="C16" s="10">
        <v>-2</v>
      </c>
      <c r="D16" s="10">
        <v>2</v>
      </c>
      <c r="E16" s="10"/>
      <c r="F16" s="10"/>
      <c r="G16" s="11">
        <v>0</v>
      </c>
      <c r="H16" s="10"/>
      <c r="I16" s="10" t="s">
        <v>61</v>
      </c>
      <c r="J16" s="10" t="s">
        <v>65</v>
      </c>
      <c r="K16" s="10"/>
      <c r="L16" s="10">
        <f t="shared" si="3"/>
        <v>0</v>
      </c>
      <c r="M16" s="10"/>
      <c r="N16" s="10"/>
      <c r="O16" s="10"/>
      <c r="P16" s="10"/>
      <c r="Q16" s="10">
        <v>0</v>
      </c>
      <c r="R16" s="10"/>
      <c r="S16" s="10"/>
      <c r="T16" s="10">
        <f t="shared" si="4"/>
        <v>0</v>
      </c>
      <c r="U16" s="12"/>
      <c r="V16" s="12"/>
      <c r="W16" s="12"/>
      <c r="X16" s="12"/>
      <c r="Y16" s="4">
        <f t="shared" si="12"/>
        <v>0</v>
      </c>
      <c r="Z16" s="4">
        <f t="shared" si="5"/>
        <v>0</v>
      </c>
      <c r="AA16" s="4"/>
      <c r="AB16" s="12"/>
      <c r="AC16" s="5" t="e">
        <f t="shared" si="11"/>
        <v>#DIV/0!</v>
      </c>
      <c r="AD16" s="10" t="e">
        <f t="shared" si="6"/>
        <v>#DIV/0!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0.4</v>
      </c>
      <c r="AL16" s="10">
        <v>0.4</v>
      </c>
      <c r="AM16" s="10">
        <v>0</v>
      </c>
      <c r="AN16" s="10">
        <v>0</v>
      </c>
      <c r="AO16" s="10"/>
      <c r="AP16" s="5">
        <f t="shared" si="7"/>
        <v>0</v>
      </c>
      <c r="AQ16" s="18">
        <f t="shared" si="8"/>
        <v>0</v>
      </c>
      <c r="AR16" s="18">
        <f t="shared" si="9"/>
        <v>0</v>
      </c>
      <c r="AS16" s="5">
        <f t="shared" si="10"/>
        <v>0</v>
      </c>
    </row>
    <row r="17" spans="1:45" x14ac:dyDescent="0.25">
      <c r="A17" s="10" t="s">
        <v>66</v>
      </c>
      <c r="B17" s="10" t="s">
        <v>53</v>
      </c>
      <c r="C17" s="10">
        <v>-1</v>
      </c>
      <c r="D17" s="10">
        <v>1</v>
      </c>
      <c r="E17" s="10"/>
      <c r="F17" s="10"/>
      <c r="G17" s="11">
        <v>0</v>
      </c>
      <c r="H17" s="10"/>
      <c r="I17" s="10" t="s">
        <v>61</v>
      </c>
      <c r="J17" s="10"/>
      <c r="K17" s="10"/>
      <c r="L17" s="10">
        <f t="shared" si="3"/>
        <v>0</v>
      </c>
      <c r="M17" s="10"/>
      <c r="N17" s="10"/>
      <c r="O17" s="10"/>
      <c r="P17" s="10"/>
      <c r="Q17" s="10">
        <v>0</v>
      </c>
      <c r="R17" s="10"/>
      <c r="S17" s="10"/>
      <c r="T17" s="10">
        <f t="shared" si="4"/>
        <v>0</v>
      </c>
      <c r="U17" s="12"/>
      <c r="V17" s="12"/>
      <c r="W17" s="12"/>
      <c r="X17" s="12"/>
      <c r="Y17" s="4">
        <f t="shared" si="12"/>
        <v>0</v>
      </c>
      <c r="Z17" s="4">
        <f t="shared" si="5"/>
        <v>0</v>
      </c>
      <c r="AA17" s="4"/>
      <c r="AB17" s="12"/>
      <c r="AC17" s="5" t="e">
        <f t="shared" si="11"/>
        <v>#DIV/0!</v>
      </c>
      <c r="AD17" s="10" t="e">
        <f t="shared" si="6"/>
        <v>#DIV/0!</v>
      </c>
      <c r="AE17" s="10">
        <v>0</v>
      </c>
      <c r="AF17" s="10">
        <v>0</v>
      </c>
      <c r="AG17" s="10">
        <v>0.2</v>
      </c>
      <c r="AH17" s="10">
        <v>0.2</v>
      </c>
      <c r="AI17" s="10">
        <v>0</v>
      </c>
      <c r="AJ17" s="10">
        <v>0</v>
      </c>
      <c r="AK17" s="10">
        <v>0.4</v>
      </c>
      <c r="AL17" s="10">
        <v>0.4</v>
      </c>
      <c r="AM17" s="10">
        <v>0</v>
      </c>
      <c r="AN17" s="10">
        <v>0</v>
      </c>
      <c r="AO17" s="10"/>
      <c r="AP17" s="5">
        <f t="shared" si="7"/>
        <v>0</v>
      </c>
      <c r="AQ17" s="18">
        <f t="shared" si="8"/>
        <v>0</v>
      </c>
      <c r="AR17" s="18">
        <f t="shared" si="9"/>
        <v>0</v>
      </c>
      <c r="AS17" s="5">
        <f t="shared" si="10"/>
        <v>0</v>
      </c>
    </row>
    <row r="18" spans="1:45" x14ac:dyDescent="0.25">
      <c r="A18" s="5" t="s">
        <v>67</v>
      </c>
      <c r="B18" s="5" t="s">
        <v>46</v>
      </c>
      <c r="C18" s="5">
        <v>1377.5840000000001</v>
      </c>
      <c r="D18" s="5">
        <v>1766.6379999999999</v>
      </c>
      <c r="E18" s="5">
        <v>1132.845</v>
      </c>
      <c r="F18" s="5">
        <v>1279.96</v>
      </c>
      <c r="G18" s="7">
        <v>1</v>
      </c>
      <c r="H18" s="5">
        <v>70</v>
      </c>
      <c r="I18" s="5" t="s">
        <v>47</v>
      </c>
      <c r="J18" s="5"/>
      <c r="K18" s="5">
        <v>1149.4449999999999</v>
      </c>
      <c r="L18" s="5">
        <f t="shared" si="3"/>
        <v>-16.599999999999909</v>
      </c>
      <c r="M18" s="5"/>
      <c r="N18" s="5"/>
      <c r="O18" s="5"/>
      <c r="P18" s="5"/>
      <c r="Q18" s="5">
        <v>356.10522363775999</v>
      </c>
      <c r="R18" s="5">
        <v>609.47293156223986</v>
      </c>
      <c r="S18" s="5"/>
      <c r="T18" s="5">
        <f t="shared" si="4"/>
        <v>226.56900000000002</v>
      </c>
      <c r="U18" s="4">
        <f>11*T18-R18-Q18-P18-O18-F18-V18-AB18</f>
        <v>90.627599999999831</v>
      </c>
      <c r="V18" s="4">
        <v>156.09324480000029</v>
      </c>
      <c r="W18" s="4"/>
      <c r="X18" s="4"/>
      <c r="Y18" s="22">
        <v>550</v>
      </c>
      <c r="Z18" s="4">
        <f t="shared" si="5"/>
        <v>0</v>
      </c>
      <c r="AA18" s="22">
        <v>550</v>
      </c>
      <c r="AB18" s="4"/>
      <c r="AC18" s="5">
        <f t="shared" si="11"/>
        <v>13.027516562283454</v>
      </c>
      <c r="AD18" s="5">
        <f t="shared" si="6"/>
        <v>9.9110564781589705</v>
      </c>
      <c r="AE18" s="5">
        <v>227.60939999999999</v>
      </c>
      <c r="AF18" s="5">
        <v>217.93199999999999</v>
      </c>
      <c r="AG18" s="5">
        <v>228.4726</v>
      </c>
      <c r="AH18" s="5">
        <v>235.23580000000001</v>
      </c>
      <c r="AI18" s="5">
        <v>236.49680000000001</v>
      </c>
      <c r="AJ18" s="5">
        <v>223.6362</v>
      </c>
      <c r="AK18" s="5">
        <v>225.66139999999999</v>
      </c>
      <c r="AL18" s="5">
        <v>232.34639999999999</v>
      </c>
      <c r="AM18" s="5">
        <v>227.69319999999999</v>
      </c>
      <c r="AN18" s="5">
        <v>227.4924</v>
      </c>
      <c r="AO18" s="5"/>
      <c r="AP18" s="5">
        <f t="shared" si="7"/>
        <v>156</v>
      </c>
      <c r="AQ18" s="18">
        <f t="shared" si="8"/>
        <v>0</v>
      </c>
      <c r="AR18" s="18">
        <f t="shared" si="9"/>
        <v>550</v>
      </c>
      <c r="AS18" s="5">
        <f t="shared" si="10"/>
        <v>0</v>
      </c>
    </row>
    <row r="19" spans="1:45" x14ac:dyDescent="0.25">
      <c r="A19" s="5" t="s">
        <v>68</v>
      </c>
      <c r="B19" s="5" t="s">
        <v>46</v>
      </c>
      <c r="C19" s="5">
        <v>2466.8449999999998</v>
      </c>
      <c r="D19" s="5">
        <v>7905.8029999999999</v>
      </c>
      <c r="E19" s="5">
        <v>3945.9580000000001</v>
      </c>
      <c r="F19" s="5">
        <v>4661.8860000000004</v>
      </c>
      <c r="G19" s="7">
        <v>1</v>
      </c>
      <c r="H19" s="5">
        <v>50</v>
      </c>
      <c r="I19" s="5" t="s">
        <v>47</v>
      </c>
      <c r="J19" s="5"/>
      <c r="K19" s="5">
        <v>3957.2</v>
      </c>
      <c r="L19" s="5">
        <f t="shared" si="3"/>
        <v>-11.241999999999734</v>
      </c>
      <c r="M19" s="5"/>
      <c r="N19" s="5"/>
      <c r="O19" s="5"/>
      <c r="P19" s="5"/>
      <c r="Q19" s="5">
        <v>1179.0044467048001</v>
      </c>
      <c r="R19" s="5">
        <v>2017.8622742952</v>
      </c>
      <c r="S19" s="5"/>
      <c r="T19" s="5">
        <f t="shared" si="4"/>
        <v>789.19159999999999</v>
      </c>
      <c r="U19" s="4"/>
      <c r="V19" s="4">
        <v>506.67823899999888</v>
      </c>
      <c r="W19" s="4">
        <v>-510</v>
      </c>
      <c r="X19" s="4"/>
      <c r="Y19" s="4">
        <f>U19</f>
        <v>0</v>
      </c>
      <c r="Z19" s="4">
        <f t="shared" si="5"/>
        <v>0</v>
      </c>
      <c r="AA19" s="4"/>
      <c r="AB19" s="4">
        <v>5000</v>
      </c>
      <c r="AC19" s="5">
        <f t="shared" si="11"/>
        <v>16.289366181799199</v>
      </c>
      <c r="AD19" s="5">
        <f t="shared" si="6"/>
        <v>9.9579781652516335</v>
      </c>
      <c r="AE19" s="5">
        <v>779.79539999999997</v>
      </c>
      <c r="AF19" s="5">
        <v>746.61940000000004</v>
      </c>
      <c r="AG19" s="5">
        <v>740.76059999999995</v>
      </c>
      <c r="AH19" s="5">
        <v>725.36279999999999</v>
      </c>
      <c r="AI19" s="5">
        <v>627.70680000000004</v>
      </c>
      <c r="AJ19" s="5">
        <v>599.94200000000001</v>
      </c>
      <c r="AK19" s="5">
        <v>727.9</v>
      </c>
      <c r="AL19" s="5">
        <v>787.52279999999996</v>
      </c>
      <c r="AM19" s="5">
        <v>702.96499999999992</v>
      </c>
      <c r="AN19" s="5">
        <v>706.26260000000002</v>
      </c>
      <c r="AO19" s="5"/>
      <c r="AP19" s="5">
        <f t="shared" si="7"/>
        <v>507</v>
      </c>
      <c r="AQ19" s="18">
        <f t="shared" si="8"/>
        <v>0</v>
      </c>
      <c r="AR19" s="18">
        <f t="shared" si="9"/>
        <v>0</v>
      </c>
      <c r="AS19" s="5">
        <f t="shared" si="10"/>
        <v>5000</v>
      </c>
    </row>
    <row r="20" spans="1:45" x14ac:dyDescent="0.25">
      <c r="A20" s="5" t="s">
        <v>70</v>
      </c>
      <c r="B20" s="5" t="s">
        <v>46</v>
      </c>
      <c r="C20" s="5">
        <v>162.56200000000001</v>
      </c>
      <c r="D20" s="5">
        <v>107.126</v>
      </c>
      <c r="E20" s="5">
        <v>107.033</v>
      </c>
      <c r="F20" s="5">
        <v>103.518</v>
      </c>
      <c r="G20" s="7">
        <v>1</v>
      </c>
      <c r="H20" s="5">
        <v>60</v>
      </c>
      <c r="I20" s="5" t="s">
        <v>47</v>
      </c>
      <c r="J20" s="5"/>
      <c r="K20" s="5">
        <v>110.3</v>
      </c>
      <c r="L20" s="5">
        <f t="shared" si="3"/>
        <v>-3.2669999999999959</v>
      </c>
      <c r="M20" s="5"/>
      <c r="N20" s="5"/>
      <c r="O20" s="5"/>
      <c r="P20" s="5"/>
      <c r="Q20" s="5">
        <v>89.22799999999998</v>
      </c>
      <c r="R20" s="5"/>
      <c r="S20" s="5"/>
      <c r="T20" s="5">
        <f t="shared" si="4"/>
        <v>21.406600000000001</v>
      </c>
      <c r="U20" s="4">
        <f>11*T20-R20-Q20-P20-O20-F20-V20-AB20</f>
        <v>42.726600000000019</v>
      </c>
      <c r="V20" s="4"/>
      <c r="W20" s="4"/>
      <c r="X20" s="4"/>
      <c r="Y20" s="4">
        <f>U20</f>
        <v>42.726600000000019</v>
      </c>
      <c r="Z20" s="4">
        <f t="shared" si="5"/>
        <v>42.726600000000019</v>
      </c>
      <c r="AA20" s="4"/>
      <c r="AB20" s="4"/>
      <c r="AC20" s="5">
        <f t="shared" si="11"/>
        <v>11</v>
      </c>
      <c r="AD20" s="5">
        <f t="shared" si="6"/>
        <v>9.0040454813001585</v>
      </c>
      <c r="AE20" s="5">
        <v>20.923999999999999</v>
      </c>
      <c r="AF20" s="5">
        <v>19.589400000000001</v>
      </c>
      <c r="AG20" s="5">
        <v>22.287800000000001</v>
      </c>
      <c r="AH20" s="5">
        <v>21.7728</v>
      </c>
      <c r="AI20" s="5">
        <v>17.471399999999999</v>
      </c>
      <c r="AJ20" s="5">
        <v>18.394600000000001</v>
      </c>
      <c r="AK20" s="5">
        <v>18.616199999999999</v>
      </c>
      <c r="AL20" s="5">
        <v>20.011800000000001</v>
      </c>
      <c r="AM20" s="5">
        <v>18.930399999999999</v>
      </c>
      <c r="AN20" s="5">
        <v>18.580200000000001</v>
      </c>
      <c r="AO20" s="5"/>
      <c r="AP20" s="5">
        <f t="shared" si="7"/>
        <v>0</v>
      </c>
      <c r="AQ20" s="18">
        <f t="shared" si="8"/>
        <v>43</v>
      </c>
      <c r="AR20" s="18">
        <f t="shared" si="9"/>
        <v>0</v>
      </c>
      <c r="AS20" s="5">
        <f t="shared" si="10"/>
        <v>0</v>
      </c>
    </row>
    <row r="21" spans="1:45" x14ac:dyDescent="0.25">
      <c r="A21" s="10" t="s">
        <v>71</v>
      </c>
      <c r="B21" s="10" t="s">
        <v>46</v>
      </c>
      <c r="C21" s="10">
        <v>-26.027999999999999</v>
      </c>
      <c r="D21" s="10">
        <v>122.569</v>
      </c>
      <c r="E21" s="10"/>
      <c r="F21" s="10"/>
      <c r="G21" s="11">
        <v>0</v>
      </c>
      <c r="H21" s="10"/>
      <c r="I21" s="10" t="s">
        <v>61</v>
      </c>
      <c r="J21" s="10" t="s">
        <v>72</v>
      </c>
      <c r="K21" s="10">
        <v>6.3</v>
      </c>
      <c r="L21" s="10">
        <f t="shared" si="3"/>
        <v>-6.3</v>
      </c>
      <c r="M21" s="10"/>
      <c r="N21" s="10"/>
      <c r="O21" s="10"/>
      <c r="P21" s="10"/>
      <c r="Q21" s="10">
        <v>0</v>
      </c>
      <c r="R21" s="10"/>
      <c r="S21" s="10"/>
      <c r="T21" s="10">
        <f t="shared" si="4"/>
        <v>0</v>
      </c>
      <c r="U21" s="12"/>
      <c r="V21" s="12"/>
      <c r="W21" s="12"/>
      <c r="X21" s="12"/>
      <c r="Y21" s="4">
        <f>U21</f>
        <v>0</v>
      </c>
      <c r="Z21" s="4">
        <f t="shared" si="5"/>
        <v>0</v>
      </c>
      <c r="AA21" s="4"/>
      <c r="AB21" s="12"/>
      <c r="AC21" s="5" t="e">
        <f t="shared" si="11"/>
        <v>#DIV/0!</v>
      </c>
      <c r="AD21" s="10" t="e">
        <f t="shared" si="6"/>
        <v>#DIV/0!</v>
      </c>
      <c r="AE21" s="10">
        <v>0</v>
      </c>
      <c r="AF21" s="10">
        <v>0</v>
      </c>
      <c r="AG21" s="10">
        <v>-0.40100000000000002</v>
      </c>
      <c r="AH21" s="10">
        <v>-0.52200000000000002</v>
      </c>
      <c r="AI21" s="10">
        <v>-0.28520000000000001</v>
      </c>
      <c r="AJ21" s="10">
        <v>1.2378</v>
      </c>
      <c r="AK21" s="10">
        <v>1.2250000000000001</v>
      </c>
      <c r="AL21" s="10">
        <v>97.994200000000006</v>
      </c>
      <c r="AM21" s="10">
        <v>239.58519999999999</v>
      </c>
      <c r="AN21" s="10">
        <v>238.46119999999999</v>
      </c>
      <c r="AO21" s="10" t="s">
        <v>73</v>
      </c>
      <c r="AP21" s="5">
        <f t="shared" si="7"/>
        <v>0</v>
      </c>
      <c r="AQ21" s="18">
        <f t="shared" si="8"/>
        <v>0</v>
      </c>
      <c r="AR21" s="18">
        <f t="shared" si="9"/>
        <v>0</v>
      </c>
      <c r="AS21" s="5">
        <f t="shared" si="10"/>
        <v>0</v>
      </c>
    </row>
    <row r="22" spans="1:45" x14ac:dyDescent="0.25">
      <c r="A22" s="5" t="s">
        <v>74</v>
      </c>
      <c r="B22" s="5" t="s">
        <v>46</v>
      </c>
      <c r="C22" s="5">
        <v>92.192999999999998</v>
      </c>
      <c r="D22" s="5">
        <v>130.631</v>
      </c>
      <c r="E22" s="5">
        <v>68.628</v>
      </c>
      <c r="F22" s="5">
        <v>126.187</v>
      </c>
      <c r="G22" s="7">
        <v>1</v>
      </c>
      <c r="H22" s="5">
        <v>60</v>
      </c>
      <c r="I22" s="5" t="s">
        <v>47</v>
      </c>
      <c r="J22" s="5"/>
      <c r="K22" s="5">
        <v>71.61</v>
      </c>
      <c r="L22" s="5">
        <f t="shared" si="3"/>
        <v>-2.9819999999999993</v>
      </c>
      <c r="M22" s="5"/>
      <c r="N22" s="5"/>
      <c r="O22" s="5"/>
      <c r="P22" s="5"/>
      <c r="Q22" s="5">
        <v>22.206800000000019</v>
      </c>
      <c r="R22" s="5"/>
      <c r="S22" s="5"/>
      <c r="T22" s="5">
        <f t="shared" si="4"/>
        <v>13.7256</v>
      </c>
      <c r="U22" s="4">
        <v>4</v>
      </c>
      <c r="V22" s="4"/>
      <c r="W22" s="4"/>
      <c r="X22" s="4"/>
      <c r="Y22" s="4">
        <f>U22</f>
        <v>4</v>
      </c>
      <c r="Z22" s="4">
        <f t="shared" si="5"/>
        <v>4</v>
      </c>
      <c r="AA22" s="4"/>
      <c r="AB22" s="4"/>
      <c r="AC22" s="5">
        <f t="shared" si="11"/>
        <v>11.102888034038587</v>
      </c>
      <c r="AD22" s="5">
        <f t="shared" si="6"/>
        <v>10.811461794019936</v>
      </c>
      <c r="AE22" s="5">
        <v>14.416600000000001</v>
      </c>
      <c r="AF22" s="5">
        <v>16.773</v>
      </c>
      <c r="AG22" s="5">
        <v>16.835999999999999</v>
      </c>
      <c r="AH22" s="5">
        <v>15.0814</v>
      </c>
      <c r="AI22" s="5">
        <v>11.555400000000001</v>
      </c>
      <c r="AJ22" s="5">
        <v>13.023999999999999</v>
      </c>
      <c r="AK22" s="5">
        <v>16.781600000000001</v>
      </c>
      <c r="AL22" s="5">
        <v>17.526199999999999</v>
      </c>
      <c r="AM22" s="5">
        <v>17.302800000000001</v>
      </c>
      <c r="AN22" s="5">
        <v>16.8828</v>
      </c>
      <c r="AO22" s="5"/>
      <c r="AP22" s="5">
        <f t="shared" si="7"/>
        <v>0</v>
      </c>
      <c r="AQ22" s="18">
        <f t="shared" si="8"/>
        <v>4</v>
      </c>
      <c r="AR22" s="18">
        <f t="shared" si="9"/>
        <v>0</v>
      </c>
      <c r="AS22" s="5">
        <f t="shared" si="10"/>
        <v>0</v>
      </c>
    </row>
    <row r="23" spans="1:45" x14ac:dyDescent="0.25">
      <c r="A23" s="5" t="s">
        <v>75</v>
      </c>
      <c r="B23" s="5" t="s">
        <v>46</v>
      </c>
      <c r="C23" s="5">
        <v>8.3089999999999993</v>
      </c>
      <c r="D23" s="5">
        <v>19.829000000000001</v>
      </c>
      <c r="E23" s="5">
        <v>8.4350000000000005</v>
      </c>
      <c r="F23" s="5">
        <v>19.702999999999999</v>
      </c>
      <c r="G23" s="7">
        <v>1</v>
      </c>
      <c r="H23" s="5">
        <v>180</v>
      </c>
      <c r="I23" s="5" t="s">
        <v>47</v>
      </c>
      <c r="J23" s="5"/>
      <c r="K23" s="5">
        <v>7.76</v>
      </c>
      <c r="L23" s="5">
        <f t="shared" si="3"/>
        <v>0.67500000000000071</v>
      </c>
      <c r="M23" s="5"/>
      <c r="N23" s="5"/>
      <c r="O23" s="5"/>
      <c r="P23" s="5"/>
      <c r="Q23" s="5">
        <v>0</v>
      </c>
      <c r="R23" s="5"/>
      <c r="S23" s="5"/>
      <c r="T23" s="5">
        <f t="shared" si="4"/>
        <v>1.6870000000000001</v>
      </c>
      <c r="U23" s="4"/>
      <c r="V23" s="4"/>
      <c r="W23" s="4"/>
      <c r="X23" s="4"/>
      <c r="Y23" s="4">
        <f>U23</f>
        <v>0</v>
      </c>
      <c r="Z23" s="4">
        <f t="shared" si="5"/>
        <v>0</v>
      </c>
      <c r="AA23" s="4"/>
      <c r="AB23" s="4"/>
      <c r="AC23" s="5">
        <f t="shared" si="11"/>
        <v>11.679312388855957</v>
      </c>
      <c r="AD23" s="5">
        <f t="shared" si="6"/>
        <v>11.679312388855957</v>
      </c>
      <c r="AE23" s="5">
        <v>1.4314</v>
      </c>
      <c r="AF23" s="5">
        <v>1.4481999999999999</v>
      </c>
      <c r="AG23" s="5">
        <v>1.9716</v>
      </c>
      <c r="AH23" s="5">
        <v>1.2405999999999999</v>
      </c>
      <c r="AI23" s="5">
        <v>0.79459999999999997</v>
      </c>
      <c r="AJ23" s="5">
        <v>0.72240000000000004</v>
      </c>
      <c r="AK23" s="5">
        <v>1.2132000000000001</v>
      </c>
      <c r="AL23" s="5">
        <v>1.4932000000000001</v>
      </c>
      <c r="AM23" s="5">
        <v>2.0506000000000002</v>
      </c>
      <c r="AN23" s="5">
        <v>2.9308000000000001</v>
      </c>
      <c r="AO23" s="5"/>
      <c r="AP23" s="5">
        <f t="shared" si="7"/>
        <v>0</v>
      </c>
      <c r="AQ23" s="18">
        <f t="shared" si="8"/>
        <v>0</v>
      </c>
      <c r="AR23" s="18">
        <f t="shared" si="9"/>
        <v>0</v>
      </c>
      <c r="AS23" s="5">
        <f t="shared" si="10"/>
        <v>0</v>
      </c>
    </row>
    <row r="24" spans="1:45" x14ac:dyDescent="0.25">
      <c r="A24" s="5" t="s">
        <v>76</v>
      </c>
      <c r="B24" s="5" t="s">
        <v>46</v>
      </c>
      <c r="C24" s="5">
        <v>1775.8579999999999</v>
      </c>
      <c r="D24" s="5">
        <v>1706.2919999999999</v>
      </c>
      <c r="E24" s="5">
        <v>1423.634</v>
      </c>
      <c r="F24" s="5">
        <v>1597.288</v>
      </c>
      <c r="G24" s="7">
        <v>1</v>
      </c>
      <c r="H24" s="5">
        <v>60</v>
      </c>
      <c r="I24" s="5" t="s">
        <v>47</v>
      </c>
      <c r="J24" s="5"/>
      <c r="K24" s="5">
        <v>1444.7449999999999</v>
      </c>
      <c r="L24" s="5">
        <f t="shared" si="3"/>
        <v>-21.110999999999876</v>
      </c>
      <c r="M24" s="5"/>
      <c r="N24" s="5"/>
      <c r="O24" s="5"/>
      <c r="P24" s="5"/>
      <c r="Q24" s="5">
        <v>446.14081204176063</v>
      </c>
      <c r="R24" s="5">
        <v>763.56854815824101</v>
      </c>
      <c r="S24" s="5"/>
      <c r="T24" s="5">
        <f t="shared" si="4"/>
        <v>284.72680000000003</v>
      </c>
      <c r="U24" s="4">
        <f>11*T24-R24-Q24-P24-O24-F24-V24-AB24</f>
        <v>113.8907200000003</v>
      </c>
      <c r="V24" s="4">
        <v>211.1067197999985</v>
      </c>
      <c r="W24" s="4"/>
      <c r="X24" s="4"/>
      <c r="Y24" s="22">
        <v>700</v>
      </c>
      <c r="Z24" s="4">
        <f t="shared" si="5"/>
        <v>0</v>
      </c>
      <c r="AA24" s="22">
        <v>700</v>
      </c>
      <c r="AB24" s="4"/>
      <c r="AC24" s="5">
        <f t="shared" si="11"/>
        <v>13.058497057530237</v>
      </c>
      <c r="AD24" s="5">
        <f t="shared" si="6"/>
        <v>9.8585639293526341</v>
      </c>
      <c r="AE24" s="5">
        <v>282.6728</v>
      </c>
      <c r="AF24" s="5">
        <v>268.63920000000002</v>
      </c>
      <c r="AG24" s="5">
        <v>285.46140000000003</v>
      </c>
      <c r="AH24" s="5">
        <v>300.20659999999998</v>
      </c>
      <c r="AI24" s="5">
        <v>291.22340000000003</v>
      </c>
      <c r="AJ24" s="5">
        <v>269.3802</v>
      </c>
      <c r="AK24" s="5">
        <v>282.6694</v>
      </c>
      <c r="AL24" s="5">
        <v>300.6986</v>
      </c>
      <c r="AM24" s="5">
        <v>288.55360000000002</v>
      </c>
      <c r="AN24" s="5">
        <v>287.4658</v>
      </c>
      <c r="AO24" s="5"/>
      <c r="AP24" s="5">
        <f t="shared" si="7"/>
        <v>211</v>
      </c>
      <c r="AQ24" s="18">
        <f t="shared" si="8"/>
        <v>0</v>
      </c>
      <c r="AR24" s="18">
        <f t="shared" si="9"/>
        <v>700</v>
      </c>
      <c r="AS24" s="5">
        <f t="shared" si="10"/>
        <v>0</v>
      </c>
    </row>
    <row r="25" spans="1:45" x14ac:dyDescent="0.25">
      <c r="A25" s="5" t="s">
        <v>77</v>
      </c>
      <c r="B25" s="5" t="s">
        <v>46</v>
      </c>
      <c r="C25" s="5">
        <v>313.5</v>
      </c>
      <c r="D25" s="5">
        <v>211.864</v>
      </c>
      <c r="E25" s="5">
        <v>151.65600000000001</v>
      </c>
      <c r="F25" s="5">
        <v>370.18700000000001</v>
      </c>
      <c r="G25" s="7">
        <v>1</v>
      </c>
      <c r="H25" s="5">
        <v>70</v>
      </c>
      <c r="I25" s="5" t="s">
        <v>47</v>
      </c>
      <c r="J25" s="5"/>
      <c r="K25" s="5">
        <v>146.785</v>
      </c>
      <c r="L25" s="5">
        <f t="shared" si="3"/>
        <v>4.8710000000000093</v>
      </c>
      <c r="M25" s="5"/>
      <c r="N25" s="5"/>
      <c r="O25" s="5"/>
      <c r="P25" s="5"/>
      <c r="Q25" s="5">
        <v>131.13319999999999</v>
      </c>
      <c r="R25" s="5"/>
      <c r="S25" s="5"/>
      <c r="T25" s="5">
        <f t="shared" si="4"/>
        <v>30.331200000000003</v>
      </c>
      <c r="U25" s="4"/>
      <c r="V25" s="4"/>
      <c r="W25" s="4"/>
      <c r="X25" s="4"/>
      <c r="Y25" s="4">
        <f>U25</f>
        <v>0</v>
      </c>
      <c r="Z25" s="4">
        <f t="shared" si="5"/>
        <v>0</v>
      </c>
      <c r="AA25" s="4"/>
      <c r="AB25" s="4"/>
      <c r="AC25" s="5">
        <f t="shared" si="11"/>
        <v>16.528201983436198</v>
      </c>
      <c r="AD25" s="5">
        <f t="shared" si="6"/>
        <v>16.528201983436198</v>
      </c>
      <c r="AE25" s="5">
        <v>41.240400000000001</v>
      </c>
      <c r="AF25" s="5">
        <v>40.357600000000012</v>
      </c>
      <c r="AG25" s="5">
        <v>31.3566</v>
      </c>
      <c r="AH25" s="5">
        <v>32.416400000000003</v>
      </c>
      <c r="AI25" s="5">
        <v>50.782600000000002</v>
      </c>
      <c r="AJ25" s="5">
        <v>51.17</v>
      </c>
      <c r="AK25" s="5">
        <v>32.328000000000003</v>
      </c>
      <c r="AL25" s="5">
        <v>30.726199999999999</v>
      </c>
      <c r="AM25" s="5">
        <v>33.437800000000003</v>
      </c>
      <c r="AN25" s="5">
        <v>35.513399999999997</v>
      </c>
      <c r="AO25" s="5"/>
      <c r="AP25" s="5">
        <f t="shared" si="7"/>
        <v>0</v>
      </c>
      <c r="AQ25" s="18">
        <f t="shared" si="8"/>
        <v>0</v>
      </c>
      <c r="AR25" s="18">
        <f t="shared" si="9"/>
        <v>0</v>
      </c>
      <c r="AS25" s="5">
        <f t="shared" si="10"/>
        <v>0</v>
      </c>
    </row>
    <row r="26" spans="1:45" x14ac:dyDescent="0.25">
      <c r="A26" s="5" t="s">
        <v>78</v>
      </c>
      <c r="B26" s="5" t="s">
        <v>46</v>
      </c>
      <c r="C26" s="5">
        <v>682.02599999999995</v>
      </c>
      <c r="D26" s="5">
        <v>490.976</v>
      </c>
      <c r="E26" s="5">
        <v>447.67700000000002</v>
      </c>
      <c r="F26" s="5">
        <v>451.38099999999997</v>
      </c>
      <c r="G26" s="7">
        <v>1</v>
      </c>
      <c r="H26" s="5">
        <v>70</v>
      </c>
      <c r="I26" s="5" t="s">
        <v>47</v>
      </c>
      <c r="J26" s="5"/>
      <c r="K26" s="5">
        <v>437.16</v>
      </c>
      <c r="L26" s="5">
        <f t="shared" si="3"/>
        <v>10.516999999999996</v>
      </c>
      <c r="M26" s="5"/>
      <c r="N26" s="5"/>
      <c r="O26" s="5"/>
      <c r="P26" s="5"/>
      <c r="Q26" s="5">
        <v>122.3079542559999</v>
      </c>
      <c r="R26" s="5">
        <v>209.32966574399981</v>
      </c>
      <c r="S26" s="5"/>
      <c r="T26" s="5">
        <f t="shared" si="4"/>
        <v>89.53540000000001</v>
      </c>
      <c r="U26" s="4">
        <f>11*T26-R26-Q26-P26-O26-F26-V26-AB26</f>
        <v>35.814160000000015</v>
      </c>
      <c r="V26" s="4">
        <v>166.05662000000041</v>
      </c>
      <c r="W26" s="4"/>
      <c r="X26" s="4"/>
      <c r="Y26" s="4">
        <f>U26</f>
        <v>35.814160000000015</v>
      </c>
      <c r="Z26" s="4">
        <f t="shared" si="5"/>
        <v>35.814160000000015</v>
      </c>
      <c r="AA26" s="4"/>
      <c r="AB26" s="4"/>
      <c r="AC26" s="5">
        <f t="shared" si="11"/>
        <v>11</v>
      </c>
      <c r="AD26" s="5">
        <f t="shared" si="6"/>
        <v>8.7453523410851979</v>
      </c>
      <c r="AE26" s="5">
        <v>90.167400000000001</v>
      </c>
      <c r="AF26" s="5">
        <v>90.783199999999994</v>
      </c>
      <c r="AG26" s="5">
        <v>90.342600000000004</v>
      </c>
      <c r="AH26" s="5">
        <v>100.7072</v>
      </c>
      <c r="AI26" s="5">
        <v>100.1114</v>
      </c>
      <c r="AJ26" s="5">
        <v>93.316600000000008</v>
      </c>
      <c r="AK26" s="5">
        <v>89.801999999999992</v>
      </c>
      <c r="AL26" s="5">
        <v>94.597799999999992</v>
      </c>
      <c r="AM26" s="5">
        <v>107.1392</v>
      </c>
      <c r="AN26" s="5">
        <v>102.1832</v>
      </c>
      <c r="AO26" s="5"/>
      <c r="AP26" s="5">
        <f t="shared" si="7"/>
        <v>166</v>
      </c>
      <c r="AQ26" s="18">
        <f t="shared" si="8"/>
        <v>36</v>
      </c>
      <c r="AR26" s="18">
        <f t="shared" si="9"/>
        <v>0</v>
      </c>
      <c r="AS26" s="5">
        <f t="shared" si="10"/>
        <v>0</v>
      </c>
    </row>
    <row r="27" spans="1:45" x14ac:dyDescent="0.25">
      <c r="A27" s="10" t="s">
        <v>79</v>
      </c>
      <c r="B27" s="10" t="s">
        <v>46</v>
      </c>
      <c r="C27" s="10"/>
      <c r="D27" s="10"/>
      <c r="E27" s="10"/>
      <c r="F27" s="10"/>
      <c r="G27" s="11">
        <v>0</v>
      </c>
      <c r="H27" s="10"/>
      <c r="I27" s="10" t="s">
        <v>47</v>
      </c>
      <c r="J27" s="10"/>
      <c r="K27" s="10"/>
      <c r="L27" s="10">
        <f t="shared" si="3"/>
        <v>0</v>
      </c>
      <c r="M27" s="10"/>
      <c r="N27" s="10"/>
      <c r="O27" s="10"/>
      <c r="P27" s="10"/>
      <c r="Q27" s="10">
        <v>0</v>
      </c>
      <c r="R27" s="10"/>
      <c r="S27" s="10"/>
      <c r="T27" s="10">
        <f t="shared" si="4"/>
        <v>0</v>
      </c>
      <c r="U27" s="12"/>
      <c r="V27" s="12"/>
      <c r="W27" s="12"/>
      <c r="X27" s="12"/>
      <c r="Y27" s="4">
        <f>U27</f>
        <v>0</v>
      </c>
      <c r="Z27" s="4">
        <f t="shared" si="5"/>
        <v>0</v>
      </c>
      <c r="AA27" s="4"/>
      <c r="AB27" s="12"/>
      <c r="AC27" s="5" t="e">
        <f t="shared" si="11"/>
        <v>#DIV/0!</v>
      </c>
      <c r="AD27" s="10" t="e">
        <f t="shared" si="6"/>
        <v>#DIV/0!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 t="s">
        <v>54</v>
      </c>
      <c r="AP27" s="5">
        <f t="shared" si="7"/>
        <v>0</v>
      </c>
      <c r="AQ27" s="18">
        <f t="shared" si="8"/>
        <v>0</v>
      </c>
      <c r="AR27" s="18">
        <f t="shared" si="9"/>
        <v>0</v>
      </c>
      <c r="AS27" s="5">
        <f t="shared" si="10"/>
        <v>0</v>
      </c>
    </row>
    <row r="28" spans="1:45" x14ac:dyDescent="0.25">
      <c r="A28" s="5" t="s">
        <v>80</v>
      </c>
      <c r="B28" s="5" t="s">
        <v>46</v>
      </c>
      <c r="C28" s="5">
        <v>570.39099999999996</v>
      </c>
      <c r="D28" s="5">
        <v>1361.15</v>
      </c>
      <c r="E28" s="5">
        <v>628.68600000000004</v>
      </c>
      <c r="F28" s="5">
        <v>922.88300000000004</v>
      </c>
      <c r="G28" s="7">
        <v>1</v>
      </c>
      <c r="H28" s="5">
        <v>70</v>
      </c>
      <c r="I28" s="5" t="s">
        <v>47</v>
      </c>
      <c r="J28" s="5"/>
      <c r="K28" s="5">
        <v>610.56500000000005</v>
      </c>
      <c r="L28" s="5">
        <f t="shared" si="3"/>
        <v>18.120999999999981</v>
      </c>
      <c r="M28" s="5"/>
      <c r="N28" s="5"/>
      <c r="O28" s="5"/>
      <c r="P28" s="5"/>
      <c r="Q28" s="5">
        <v>182.6382114208001</v>
      </c>
      <c r="R28" s="5">
        <v>312.58470457920032</v>
      </c>
      <c r="S28" s="5"/>
      <c r="T28" s="5">
        <f t="shared" si="4"/>
        <v>125.7372</v>
      </c>
      <c r="U28" s="4"/>
      <c r="V28" s="4"/>
      <c r="W28" s="4"/>
      <c r="X28" s="4"/>
      <c r="Y28" s="22">
        <v>250</v>
      </c>
      <c r="Z28" s="4">
        <f t="shared" si="5"/>
        <v>0</v>
      </c>
      <c r="AA28" s="22">
        <v>250</v>
      </c>
      <c r="AB28" s="4"/>
      <c r="AC28" s="5">
        <f t="shared" si="11"/>
        <v>13.266606191326039</v>
      </c>
      <c r="AD28" s="5">
        <f t="shared" si="6"/>
        <v>11.278332235806113</v>
      </c>
      <c r="AE28" s="5">
        <v>138.38999999999999</v>
      </c>
      <c r="AF28" s="5">
        <v>139.70419999999999</v>
      </c>
      <c r="AG28" s="5">
        <v>135.19220000000001</v>
      </c>
      <c r="AH28" s="5">
        <v>130.17939999999999</v>
      </c>
      <c r="AI28" s="5">
        <v>121.59180000000001</v>
      </c>
      <c r="AJ28" s="5">
        <v>124.3712</v>
      </c>
      <c r="AK28" s="5">
        <v>128.39340000000001</v>
      </c>
      <c r="AL28" s="5">
        <v>130.5224</v>
      </c>
      <c r="AM28" s="5">
        <v>134.06620000000001</v>
      </c>
      <c r="AN28" s="5">
        <v>134.50720000000001</v>
      </c>
      <c r="AO28" s="5"/>
      <c r="AP28" s="5">
        <f t="shared" si="7"/>
        <v>0</v>
      </c>
      <c r="AQ28" s="18">
        <f t="shared" si="8"/>
        <v>0</v>
      </c>
      <c r="AR28" s="18">
        <f t="shared" si="9"/>
        <v>250</v>
      </c>
      <c r="AS28" s="5">
        <f t="shared" si="10"/>
        <v>0</v>
      </c>
    </row>
    <row r="29" spans="1:45" x14ac:dyDescent="0.25">
      <c r="A29" s="5" t="s">
        <v>81</v>
      </c>
      <c r="B29" s="5" t="s">
        <v>46</v>
      </c>
      <c r="C29" s="5">
        <v>49.215000000000003</v>
      </c>
      <c r="D29" s="5">
        <v>238.86099999999999</v>
      </c>
      <c r="E29" s="5">
        <v>4.4409999999999998</v>
      </c>
      <c r="F29" s="5">
        <v>226.226</v>
      </c>
      <c r="G29" s="7">
        <v>1</v>
      </c>
      <c r="H29" s="5">
        <v>40</v>
      </c>
      <c r="I29" s="5" t="s">
        <v>47</v>
      </c>
      <c r="J29" s="5"/>
      <c r="K29" s="5">
        <v>6.45</v>
      </c>
      <c r="L29" s="5">
        <f t="shared" si="3"/>
        <v>-2.0090000000000003</v>
      </c>
      <c r="M29" s="5"/>
      <c r="N29" s="5"/>
      <c r="O29" s="5"/>
      <c r="P29" s="5"/>
      <c r="Q29" s="5">
        <v>119.8202000000001</v>
      </c>
      <c r="R29" s="5"/>
      <c r="S29" s="5"/>
      <c r="T29" s="5">
        <f t="shared" si="4"/>
        <v>0.88819999999999999</v>
      </c>
      <c r="U29" s="4"/>
      <c r="V29" s="4"/>
      <c r="W29" s="4"/>
      <c r="X29" s="4"/>
      <c r="Y29" s="4">
        <f t="shared" ref="Y29:Y42" si="13">U29</f>
        <v>0</v>
      </c>
      <c r="Z29" s="4">
        <f t="shared" si="5"/>
        <v>0</v>
      </c>
      <c r="AA29" s="4"/>
      <c r="AB29" s="4"/>
      <c r="AC29" s="5">
        <f t="shared" si="11"/>
        <v>389.60391803647838</v>
      </c>
      <c r="AD29" s="5">
        <f t="shared" si="6"/>
        <v>389.60391803647838</v>
      </c>
      <c r="AE29" s="5">
        <v>28.8462</v>
      </c>
      <c r="AF29" s="5">
        <v>28.550999999999998</v>
      </c>
      <c r="AG29" s="5">
        <v>16.459599999999998</v>
      </c>
      <c r="AH29" s="5">
        <v>16.6052</v>
      </c>
      <c r="AI29" s="5">
        <v>15.1754</v>
      </c>
      <c r="AJ29" s="5">
        <v>15.175800000000001</v>
      </c>
      <c r="AK29" s="5">
        <v>1.0192000000000001</v>
      </c>
      <c r="AL29" s="5">
        <v>0.87319999999999998</v>
      </c>
      <c r="AM29" s="5">
        <v>19.434200000000001</v>
      </c>
      <c r="AN29" s="5">
        <v>19.8704</v>
      </c>
      <c r="AO29" s="5"/>
      <c r="AP29" s="5">
        <f t="shared" si="7"/>
        <v>0</v>
      </c>
      <c r="AQ29" s="18">
        <f t="shared" si="8"/>
        <v>0</v>
      </c>
      <c r="AR29" s="18">
        <f t="shared" si="9"/>
        <v>0</v>
      </c>
      <c r="AS29" s="5">
        <f t="shared" si="10"/>
        <v>0</v>
      </c>
    </row>
    <row r="30" spans="1:45" x14ac:dyDescent="0.25">
      <c r="A30" s="10" t="s">
        <v>82</v>
      </c>
      <c r="B30" s="10" t="s">
        <v>46</v>
      </c>
      <c r="C30" s="10">
        <v>-1.758</v>
      </c>
      <c r="D30" s="10">
        <v>1.758</v>
      </c>
      <c r="E30" s="10"/>
      <c r="F30" s="10"/>
      <c r="G30" s="11">
        <v>0</v>
      </c>
      <c r="H30" s="10"/>
      <c r="I30" s="10" t="s">
        <v>61</v>
      </c>
      <c r="J30" s="10"/>
      <c r="K30" s="10"/>
      <c r="L30" s="10">
        <f t="shared" si="3"/>
        <v>0</v>
      </c>
      <c r="M30" s="10"/>
      <c r="N30" s="10"/>
      <c r="O30" s="10"/>
      <c r="P30" s="10"/>
      <c r="Q30" s="10">
        <v>0</v>
      </c>
      <c r="R30" s="10"/>
      <c r="S30" s="10"/>
      <c r="T30" s="10">
        <f t="shared" si="4"/>
        <v>0</v>
      </c>
      <c r="U30" s="12"/>
      <c r="V30" s="12"/>
      <c r="W30" s="12"/>
      <c r="X30" s="12"/>
      <c r="Y30" s="4">
        <f t="shared" si="13"/>
        <v>0</v>
      </c>
      <c r="Z30" s="4">
        <f t="shared" si="5"/>
        <v>0</v>
      </c>
      <c r="AA30" s="4"/>
      <c r="AB30" s="12"/>
      <c r="AC30" s="5" t="e">
        <f t="shared" si="11"/>
        <v>#DIV/0!</v>
      </c>
      <c r="AD30" s="10" t="e">
        <f t="shared" si="6"/>
        <v>#DIV/0!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0.35160000000000002</v>
      </c>
      <c r="AK30" s="10">
        <v>0.35160000000000002</v>
      </c>
      <c r="AL30" s="10">
        <v>0</v>
      </c>
      <c r="AM30" s="10">
        <v>0</v>
      </c>
      <c r="AN30" s="10">
        <v>0</v>
      </c>
      <c r="AO30" s="10"/>
      <c r="AP30" s="5">
        <f t="shared" si="7"/>
        <v>0</v>
      </c>
      <c r="AQ30" s="18">
        <f t="shared" si="8"/>
        <v>0</v>
      </c>
      <c r="AR30" s="18">
        <f t="shared" si="9"/>
        <v>0</v>
      </c>
      <c r="AS30" s="5">
        <f t="shared" si="10"/>
        <v>0</v>
      </c>
    </row>
    <row r="31" spans="1:45" x14ac:dyDescent="0.25">
      <c r="A31" s="5" t="s">
        <v>83</v>
      </c>
      <c r="B31" s="5" t="s">
        <v>46</v>
      </c>
      <c r="C31" s="5">
        <v>169.78899999999999</v>
      </c>
      <c r="D31" s="5">
        <v>615.66399999999999</v>
      </c>
      <c r="E31" s="5">
        <v>329.99799999999999</v>
      </c>
      <c r="F31" s="5">
        <v>349.06400000000002</v>
      </c>
      <c r="G31" s="7">
        <v>1</v>
      </c>
      <c r="H31" s="5">
        <v>30</v>
      </c>
      <c r="I31" s="5" t="s">
        <v>47</v>
      </c>
      <c r="J31" s="5"/>
      <c r="K31" s="5">
        <v>325.8</v>
      </c>
      <c r="L31" s="5">
        <f t="shared" si="3"/>
        <v>4.1979999999999791</v>
      </c>
      <c r="M31" s="5"/>
      <c r="N31" s="5"/>
      <c r="O31" s="5"/>
      <c r="P31" s="5"/>
      <c r="Q31" s="5">
        <v>199.09309999999959</v>
      </c>
      <c r="R31" s="5"/>
      <c r="S31" s="5"/>
      <c r="T31" s="5">
        <f t="shared" si="4"/>
        <v>65.999600000000001</v>
      </c>
      <c r="U31" s="4">
        <f>11*T31-R31-Q31-P31-O31-F31-V31-AB31</f>
        <v>26.399839999999955</v>
      </c>
      <c r="V31" s="4">
        <v>151.4386600000004</v>
      </c>
      <c r="W31" s="4">
        <v>-151.19999999999999</v>
      </c>
      <c r="X31" s="4"/>
      <c r="Y31" s="4">
        <f t="shared" si="13"/>
        <v>26.399839999999955</v>
      </c>
      <c r="Z31" s="4">
        <f t="shared" si="5"/>
        <v>26.399839999999955</v>
      </c>
      <c r="AA31" s="4"/>
      <c r="AB31" s="4"/>
      <c r="AC31" s="5">
        <f t="shared" si="11"/>
        <v>8.7090770247092397</v>
      </c>
      <c r="AD31" s="5">
        <f t="shared" si="6"/>
        <v>8.3054609421875227</v>
      </c>
      <c r="AE31" s="5">
        <v>56.640599999999992</v>
      </c>
      <c r="AF31" s="5">
        <v>57.695599999999999</v>
      </c>
      <c r="AG31" s="5">
        <v>53.313800000000001</v>
      </c>
      <c r="AH31" s="5">
        <v>47.676200000000001</v>
      </c>
      <c r="AI31" s="5">
        <v>38.641599999999997</v>
      </c>
      <c r="AJ31" s="5">
        <v>41.4846</v>
      </c>
      <c r="AK31" s="5">
        <v>49.220399999999998</v>
      </c>
      <c r="AL31" s="5">
        <v>39.5886</v>
      </c>
      <c r="AM31" s="5">
        <v>39.668999999999997</v>
      </c>
      <c r="AN31" s="5">
        <v>49.674999999999997</v>
      </c>
      <c r="AO31" s="5"/>
      <c r="AP31" s="5">
        <f t="shared" si="7"/>
        <v>151</v>
      </c>
      <c r="AQ31" s="18">
        <f t="shared" si="8"/>
        <v>26</v>
      </c>
      <c r="AR31" s="18">
        <f t="shared" si="9"/>
        <v>0</v>
      </c>
      <c r="AS31" s="5">
        <f t="shared" si="10"/>
        <v>0</v>
      </c>
    </row>
    <row r="32" spans="1:45" x14ac:dyDescent="0.25">
      <c r="A32" s="5" t="s">
        <v>85</v>
      </c>
      <c r="B32" s="5" t="s">
        <v>46</v>
      </c>
      <c r="C32" s="5">
        <v>242.803</v>
      </c>
      <c r="D32" s="5">
        <v>339.18</v>
      </c>
      <c r="E32" s="5">
        <v>234.29599999999999</v>
      </c>
      <c r="F32" s="5">
        <v>287.42099999999999</v>
      </c>
      <c r="G32" s="7">
        <v>1</v>
      </c>
      <c r="H32" s="5">
        <v>40</v>
      </c>
      <c r="I32" s="5" t="s">
        <v>47</v>
      </c>
      <c r="J32" s="5"/>
      <c r="K32" s="5">
        <v>217.6</v>
      </c>
      <c r="L32" s="5">
        <f t="shared" si="3"/>
        <v>16.695999999999998</v>
      </c>
      <c r="M32" s="5"/>
      <c r="N32" s="5"/>
      <c r="O32" s="5"/>
      <c r="P32" s="5">
        <v>-171</v>
      </c>
      <c r="Q32" s="5">
        <v>164.9757120000001</v>
      </c>
      <c r="R32" s="5"/>
      <c r="S32" s="5"/>
      <c r="T32" s="5">
        <f t="shared" si="4"/>
        <v>46.859200000000001</v>
      </c>
      <c r="U32" s="4">
        <f>11*T32-R32-Q32-P32-O32-F32-V32-AB32</f>
        <v>234.05448799999982</v>
      </c>
      <c r="V32" s="4"/>
      <c r="W32" s="4"/>
      <c r="X32" s="4"/>
      <c r="Y32" s="4">
        <f t="shared" si="13"/>
        <v>234.05448799999982</v>
      </c>
      <c r="Z32" s="4">
        <f t="shared" si="5"/>
        <v>234.05448799999982</v>
      </c>
      <c r="AA32" s="4"/>
      <c r="AB32" s="4"/>
      <c r="AC32" s="5">
        <f t="shared" si="11"/>
        <v>10.999999999999998</v>
      </c>
      <c r="AD32" s="5">
        <f t="shared" si="6"/>
        <v>6.0051539932393228</v>
      </c>
      <c r="AE32" s="5">
        <v>44.1312</v>
      </c>
      <c r="AF32" s="5">
        <v>43.206599999999987</v>
      </c>
      <c r="AG32" s="5">
        <v>39.3598</v>
      </c>
      <c r="AH32" s="5">
        <v>38.984400000000001</v>
      </c>
      <c r="AI32" s="5">
        <v>38.6952</v>
      </c>
      <c r="AJ32" s="5">
        <v>38.327599999999997</v>
      </c>
      <c r="AK32" s="5">
        <v>37.422600000000003</v>
      </c>
      <c r="AL32" s="5">
        <v>35.545999999999999</v>
      </c>
      <c r="AM32" s="5">
        <v>35.754199999999997</v>
      </c>
      <c r="AN32" s="5">
        <v>41.111800000000002</v>
      </c>
      <c r="AO32" s="5"/>
      <c r="AP32" s="5">
        <f t="shared" si="7"/>
        <v>0</v>
      </c>
      <c r="AQ32" s="18">
        <f t="shared" si="8"/>
        <v>234</v>
      </c>
      <c r="AR32" s="18">
        <f t="shared" si="9"/>
        <v>0</v>
      </c>
      <c r="AS32" s="5">
        <f t="shared" si="10"/>
        <v>0</v>
      </c>
    </row>
    <row r="33" spans="1:45" x14ac:dyDescent="0.25">
      <c r="A33" s="5" t="s">
        <v>86</v>
      </c>
      <c r="B33" s="5" t="s">
        <v>46</v>
      </c>
      <c r="C33" s="5">
        <v>864.02300000000002</v>
      </c>
      <c r="D33" s="5">
        <v>3199.3789999999999</v>
      </c>
      <c r="E33" s="5">
        <v>1075.82</v>
      </c>
      <c r="F33" s="5">
        <v>1785.4490000000001</v>
      </c>
      <c r="G33" s="7">
        <v>1</v>
      </c>
      <c r="H33" s="5">
        <v>30</v>
      </c>
      <c r="I33" s="5" t="s">
        <v>47</v>
      </c>
      <c r="J33" s="5"/>
      <c r="K33" s="5">
        <v>1594.008</v>
      </c>
      <c r="L33" s="5">
        <f t="shared" si="3"/>
        <v>-518.1880000000001</v>
      </c>
      <c r="M33" s="5"/>
      <c r="N33" s="5"/>
      <c r="O33" s="5"/>
      <c r="P33" s="5"/>
      <c r="Q33" s="5">
        <v>1189.3795707167999</v>
      </c>
      <c r="R33" s="5">
        <v>2035.6192652832001</v>
      </c>
      <c r="S33" s="5"/>
      <c r="T33" s="5">
        <f t="shared" si="4"/>
        <v>215.16399999999999</v>
      </c>
      <c r="U33" s="4"/>
      <c r="V33" s="4"/>
      <c r="W33" s="4"/>
      <c r="X33" s="4"/>
      <c r="Y33" s="4">
        <f t="shared" si="13"/>
        <v>0</v>
      </c>
      <c r="Z33" s="4">
        <f t="shared" si="5"/>
        <v>0</v>
      </c>
      <c r="AA33" s="4"/>
      <c r="AB33" s="4"/>
      <c r="AC33" s="5">
        <f t="shared" si="11"/>
        <v>23.286645702812738</v>
      </c>
      <c r="AD33" s="5">
        <f t="shared" si="6"/>
        <v>23.286645702812738</v>
      </c>
      <c r="AE33" s="5">
        <v>450.7</v>
      </c>
      <c r="AF33" s="5">
        <v>450.23039999999997</v>
      </c>
      <c r="AG33" s="5">
        <v>427.48280000000011</v>
      </c>
      <c r="AH33" s="5">
        <v>418.57639999999998</v>
      </c>
      <c r="AI33" s="5">
        <v>396.39859999999999</v>
      </c>
      <c r="AJ33" s="5">
        <v>378.3732</v>
      </c>
      <c r="AK33" s="5">
        <v>434.29799999999989</v>
      </c>
      <c r="AL33" s="5">
        <v>450.32920000000001</v>
      </c>
      <c r="AM33" s="5">
        <v>429.97359999999998</v>
      </c>
      <c r="AN33" s="5">
        <v>432.92399999999998</v>
      </c>
      <c r="AO33" s="5"/>
      <c r="AP33" s="5">
        <f t="shared" si="7"/>
        <v>0</v>
      </c>
      <c r="AQ33" s="18">
        <f t="shared" si="8"/>
        <v>0</v>
      </c>
      <c r="AR33" s="18">
        <f t="shared" si="9"/>
        <v>0</v>
      </c>
      <c r="AS33" s="5">
        <f t="shared" si="10"/>
        <v>0</v>
      </c>
    </row>
    <row r="34" spans="1:45" x14ac:dyDescent="0.25">
      <c r="A34" s="10" t="s">
        <v>87</v>
      </c>
      <c r="B34" s="10" t="s">
        <v>46</v>
      </c>
      <c r="C34" s="10">
        <v>46.704999999999998</v>
      </c>
      <c r="D34" s="10">
        <v>4.4669999999999996</v>
      </c>
      <c r="E34" s="10">
        <v>18.439</v>
      </c>
      <c r="F34" s="10">
        <v>26.364999999999998</v>
      </c>
      <c r="G34" s="11">
        <v>0</v>
      </c>
      <c r="H34" s="10">
        <v>45</v>
      </c>
      <c r="I34" s="10" t="s">
        <v>61</v>
      </c>
      <c r="J34" s="10"/>
      <c r="K34" s="10">
        <v>18.350000000000001</v>
      </c>
      <c r="L34" s="10">
        <f t="shared" si="3"/>
        <v>8.8999999999998636E-2</v>
      </c>
      <c r="M34" s="10"/>
      <c r="N34" s="10"/>
      <c r="O34" s="10"/>
      <c r="P34" s="10"/>
      <c r="Q34" s="10">
        <v>0</v>
      </c>
      <c r="R34" s="10"/>
      <c r="S34" s="10"/>
      <c r="T34" s="10">
        <f t="shared" si="4"/>
        <v>3.6878000000000002</v>
      </c>
      <c r="U34" s="12"/>
      <c r="V34" s="12"/>
      <c r="W34" s="12"/>
      <c r="X34" s="12"/>
      <c r="Y34" s="4">
        <f t="shared" si="13"/>
        <v>0</v>
      </c>
      <c r="Z34" s="4">
        <f t="shared" si="5"/>
        <v>0</v>
      </c>
      <c r="AA34" s="4"/>
      <c r="AB34" s="12"/>
      <c r="AC34" s="5">
        <f t="shared" si="11"/>
        <v>7.1492488746678227</v>
      </c>
      <c r="AD34" s="10">
        <f t="shared" si="6"/>
        <v>7.1492488746678227</v>
      </c>
      <c r="AE34" s="10">
        <v>5.8213999999999997</v>
      </c>
      <c r="AF34" s="10">
        <v>3.9933999999999998</v>
      </c>
      <c r="AG34" s="10">
        <v>2.5615999999999999</v>
      </c>
      <c r="AH34" s="10">
        <v>5.5739999999999998</v>
      </c>
      <c r="AI34" s="10">
        <v>5.3944000000000001</v>
      </c>
      <c r="AJ34" s="10">
        <v>2.9910000000000001</v>
      </c>
      <c r="AK34" s="10">
        <v>3.278</v>
      </c>
      <c r="AL34" s="10">
        <v>2.6667999999999998</v>
      </c>
      <c r="AM34" s="10">
        <v>3.2280000000000002</v>
      </c>
      <c r="AN34" s="10">
        <v>5.8651999999999997</v>
      </c>
      <c r="AO34" s="10"/>
      <c r="AP34" s="5">
        <f t="shared" si="7"/>
        <v>0</v>
      </c>
      <c r="AQ34" s="18">
        <f t="shared" si="8"/>
        <v>0</v>
      </c>
      <c r="AR34" s="18">
        <f t="shared" si="9"/>
        <v>0</v>
      </c>
      <c r="AS34" s="5">
        <f t="shared" si="10"/>
        <v>0</v>
      </c>
    </row>
    <row r="35" spans="1:45" x14ac:dyDescent="0.25">
      <c r="A35" s="10" t="s">
        <v>88</v>
      </c>
      <c r="B35" s="10" t="s">
        <v>46</v>
      </c>
      <c r="C35" s="10">
        <v>-0.186</v>
      </c>
      <c r="D35" s="10">
        <v>119.532</v>
      </c>
      <c r="E35" s="10">
        <v>59.923999999999999</v>
      </c>
      <c r="F35" s="10">
        <v>6.7279999999999998</v>
      </c>
      <c r="G35" s="11">
        <v>0</v>
      </c>
      <c r="H35" s="10">
        <v>40</v>
      </c>
      <c r="I35" s="10" t="s">
        <v>61</v>
      </c>
      <c r="J35" s="10"/>
      <c r="K35" s="10">
        <v>177.2</v>
      </c>
      <c r="L35" s="10">
        <f t="shared" si="3"/>
        <v>-117.27599999999998</v>
      </c>
      <c r="M35" s="10"/>
      <c r="N35" s="10"/>
      <c r="O35" s="10"/>
      <c r="P35" s="10"/>
      <c r="Q35" s="10">
        <v>0</v>
      </c>
      <c r="R35" s="10"/>
      <c r="S35" s="10"/>
      <c r="T35" s="10">
        <f t="shared" si="4"/>
        <v>11.9848</v>
      </c>
      <c r="U35" s="12"/>
      <c r="V35" s="12"/>
      <c r="W35" s="12"/>
      <c r="X35" s="12"/>
      <c r="Y35" s="4">
        <f t="shared" si="13"/>
        <v>0</v>
      </c>
      <c r="Z35" s="4">
        <f t="shared" si="5"/>
        <v>0</v>
      </c>
      <c r="AA35" s="4"/>
      <c r="AB35" s="12"/>
      <c r="AC35" s="5">
        <f t="shared" si="11"/>
        <v>0.56137774514384886</v>
      </c>
      <c r="AD35" s="10">
        <f t="shared" si="6"/>
        <v>0.56137774514384886</v>
      </c>
      <c r="AE35" s="10">
        <v>17.542200000000001</v>
      </c>
      <c r="AF35" s="10">
        <v>20.3004</v>
      </c>
      <c r="AG35" s="10">
        <v>11.212</v>
      </c>
      <c r="AH35" s="10">
        <v>8.2512000000000008</v>
      </c>
      <c r="AI35" s="10">
        <v>7.6128</v>
      </c>
      <c r="AJ35" s="10">
        <v>9.6614000000000004</v>
      </c>
      <c r="AK35" s="10">
        <v>3.0419999999999998</v>
      </c>
      <c r="AL35" s="10">
        <v>1.1419999999999999</v>
      </c>
      <c r="AM35" s="10">
        <v>3.5891999999999999</v>
      </c>
      <c r="AN35" s="10">
        <v>5.0362</v>
      </c>
      <c r="AO35" s="10"/>
      <c r="AP35" s="5">
        <f t="shared" si="7"/>
        <v>0</v>
      </c>
      <c r="AQ35" s="18">
        <f t="shared" si="8"/>
        <v>0</v>
      </c>
      <c r="AR35" s="18">
        <f t="shared" si="9"/>
        <v>0</v>
      </c>
      <c r="AS35" s="5">
        <f t="shared" si="10"/>
        <v>0</v>
      </c>
    </row>
    <row r="36" spans="1:45" x14ac:dyDescent="0.25">
      <c r="A36" s="5" t="s">
        <v>89</v>
      </c>
      <c r="B36" s="5" t="s">
        <v>46</v>
      </c>
      <c r="C36" s="5">
        <v>797.298</v>
      </c>
      <c r="D36" s="5">
        <v>1162.116</v>
      </c>
      <c r="E36" s="5">
        <v>851.46799999999996</v>
      </c>
      <c r="F36" s="5"/>
      <c r="G36" s="7">
        <v>1</v>
      </c>
      <c r="H36" s="5">
        <v>40</v>
      </c>
      <c r="I36" s="5" t="s">
        <v>47</v>
      </c>
      <c r="J36" s="5"/>
      <c r="K36" s="5">
        <v>1462.1</v>
      </c>
      <c r="L36" s="5">
        <f t="shared" si="3"/>
        <v>-610.63199999999995</v>
      </c>
      <c r="M36" s="5"/>
      <c r="N36" s="5"/>
      <c r="O36" s="5"/>
      <c r="P36" s="5">
        <v>-1368</v>
      </c>
      <c r="Q36" s="5">
        <v>1367.4237345816</v>
      </c>
      <c r="R36" s="5">
        <v>2340.3412724184</v>
      </c>
      <c r="S36" s="5"/>
      <c r="T36" s="5">
        <f t="shared" si="4"/>
        <v>170.2936</v>
      </c>
      <c r="U36" s="4"/>
      <c r="V36" s="4"/>
      <c r="W36" s="4"/>
      <c r="X36" s="4"/>
      <c r="Y36" s="4">
        <f t="shared" si="13"/>
        <v>0</v>
      </c>
      <c r="Z36" s="4">
        <f t="shared" si="5"/>
        <v>0</v>
      </c>
      <c r="AA36" s="4"/>
      <c r="AB36" s="4">
        <v>3600</v>
      </c>
      <c r="AC36" s="5">
        <f t="shared" si="11"/>
        <v>34.879555115400699</v>
      </c>
      <c r="AD36" s="5">
        <f t="shared" si="6"/>
        <v>13.739594482705163</v>
      </c>
      <c r="AE36" s="5">
        <v>540.2518</v>
      </c>
      <c r="AF36" s="5">
        <v>543.82479999999998</v>
      </c>
      <c r="AG36" s="5">
        <v>632.09960000000001</v>
      </c>
      <c r="AH36" s="5">
        <v>771.26760000000002</v>
      </c>
      <c r="AI36" s="5">
        <v>511.33100000000002</v>
      </c>
      <c r="AJ36" s="5">
        <v>199.14580000000001</v>
      </c>
      <c r="AK36" s="5">
        <v>179.42859999999999</v>
      </c>
      <c r="AL36" s="5">
        <v>420.00200000000012</v>
      </c>
      <c r="AM36" s="5">
        <v>606.72160000000008</v>
      </c>
      <c r="AN36" s="5">
        <v>622.55079999999998</v>
      </c>
      <c r="AO36" s="5"/>
      <c r="AP36" s="5">
        <f t="shared" si="7"/>
        <v>0</v>
      </c>
      <c r="AQ36" s="18">
        <f t="shared" si="8"/>
        <v>0</v>
      </c>
      <c r="AR36" s="18">
        <f t="shared" si="9"/>
        <v>0</v>
      </c>
      <c r="AS36" s="5">
        <f t="shared" si="10"/>
        <v>3600</v>
      </c>
    </row>
    <row r="37" spans="1:45" x14ac:dyDescent="0.25">
      <c r="A37" s="10" t="s">
        <v>90</v>
      </c>
      <c r="B37" s="10" t="s">
        <v>46</v>
      </c>
      <c r="C37" s="10"/>
      <c r="D37" s="10"/>
      <c r="E37" s="10"/>
      <c r="F37" s="10"/>
      <c r="G37" s="11">
        <v>0</v>
      </c>
      <c r="H37" s="10"/>
      <c r="I37" s="10" t="s">
        <v>47</v>
      </c>
      <c r="J37" s="10"/>
      <c r="K37" s="10"/>
      <c r="L37" s="10">
        <f t="shared" si="3"/>
        <v>0</v>
      </c>
      <c r="M37" s="10"/>
      <c r="N37" s="10"/>
      <c r="O37" s="10"/>
      <c r="P37" s="10"/>
      <c r="Q37" s="10">
        <v>0</v>
      </c>
      <c r="R37" s="10"/>
      <c r="S37" s="10"/>
      <c r="T37" s="10">
        <f t="shared" si="4"/>
        <v>0</v>
      </c>
      <c r="U37" s="12"/>
      <c r="V37" s="12"/>
      <c r="W37" s="12"/>
      <c r="X37" s="12"/>
      <c r="Y37" s="4">
        <f t="shared" si="13"/>
        <v>0</v>
      </c>
      <c r="Z37" s="4">
        <f t="shared" si="5"/>
        <v>0</v>
      </c>
      <c r="AA37" s="4"/>
      <c r="AB37" s="12"/>
      <c r="AC37" s="5" t="e">
        <f t="shared" si="11"/>
        <v>#DIV/0!</v>
      </c>
      <c r="AD37" s="10" t="e">
        <f t="shared" si="6"/>
        <v>#DIV/0!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 t="s">
        <v>54</v>
      </c>
      <c r="AP37" s="5">
        <f t="shared" si="7"/>
        <v>0</v>
      </c>
      <c r="AQ37" s="18">
        <f t="shared" si="8"/>
        <v>0</v>
      </c>
      <c r="AR37" s="18">
        <f t="shared" si="9"/>
        <v>0</v>
      </c>
      <c r="AS37" s="5">
        <f t="shared" si="10"/>
        <v>0</v>
      </c>
    </row>
    <row r="38" spans="1:45" x14ac:dyDescent="0.25">
      <c r="A38" s="5" t="s">
        <v>91</v>
      </c>
      <c r="B38" s="5" t="s">
        <v>46</v>
      </c>
      <c r="C38" s="5">
        <v>77.930999999999997</v>
      </c>
      <c r="D38" s="5">
        <v>693.38800000000003</v>
      </c>
      <c r="E38" s="5">
        <v>163.68700000000001</v>
      </c>
      <c r="F38" s="5">
        <v>453.476</v>
      </c>
      <c r="G38" s="7">
        <v>1</v>
      </c>
      <c r="H38" s="5">
        <v>30</v>
      </c>
      <c r="I38" s="5" t="s">
        <v>47</v>
      </c>
      <c r="J38" s="5"/>
      <c r="K38" s="5">
        <v>225.85</v>
      </c>
      <c r="L38" s="5">
        <f t="shared" ref="L38:L69" si="14">E38-K38</f>
        <v>-62.162999999999982</v>
      </c>
      <c r="M38" s="5"/>
      <c r="N38" s="5"/>
      <c r="O38" s="5"/>
      <c r="P38" s="5"/>
      <c r="Q38" s="5">
        <v>9.3594639999999742</v>
      </c>
      <c r="R38" s="5"/>
      <c r="S38" s="5"/>
      <c r="T38" s="5">
        <f t="shared" ref="T38:T69" si="15">E38/5</f>
        <v>32.737400000000001</v>
      </c>
      <c r="U38" s="4"/>
      <c r="V38" s="4"/>
      <c r="W38" s="4"/>
      <c r="X38" s="4"/>
      <c r="Y38" s="4">
        <f t="shared" si="13"/>
        <v>0</v>
      </c>
      <c r="Z38" s="4">
        <f t="shared" ref="Z38:Z69" si="16">Y38-AA38</f>
        <v>0</v>
      </c>
      <c r="AA38" s="4"/>
      <c r="AB38" s="4"/>
      <c r="AC38" s="5">
        <f t="shared" si="11"/>
        <v>14.13781986352001</v>
      </c>
      <c r="AD38" s="5">
        <f t="shared" ref="AD38:AD69" si="17">(F38+O38+P38+Q38+R38)/T38</f>
        <v>14.13781986352001</v>
      </c>
      <c r="AE38" s="5">
        <v>46.584200000000003</v>
      </c>
      <c r="AF38" s="5">
        <v>55.434800000000003</v>
      </c>
      <c r="AG38" s="5">
        <v>52.496000000000002</v>
      </c>
      <c r="AH38" s="5">
        <v>46.775199999999998</v>
      </c>
      <c r="AI38" s="5">
        <v>42.855600000000003</v>
      </c>
      <c r="AJ38" s="5">
        <v>50.501600000000003</v>
      </c>
      <c r="AK38" s="5">
        <v>53.412799999999997</v>
      </c>
      <c r="AL38" s="5">
        <v>50.7288</v>
      </c>
      <c r="AM38" s="5">
        <v>48.586599999999997</v>
      </c>
      <c r="AN38" s="5">
        <v>45.2286</v>
      </c>
      <c r="AO38" s="5"/>
      <c r="AP38" s="5">
        <f t="shared" ref="AP38:AP69" si="18">ROUND(G38*V38,0)</f>
        <v>0</v>
      </c>
      <c r="AQ38" s="18">
        <f t="shared" ref="AQ38:AQ69" si="19">ROUND(G38*Z38,0)</f>
        <v>0</v>
      </c>
      <c r="AR38" s="18">
        <f t="shared" ref="AR38:AR69" si="20">ROUND(G38*AA38,0)</f>
        <v>0</v>
      </c>
      <c r="AS38" s="5">
        <f t="shared" ref="AS38:AS69" si="21">ROUND(G38*AB38,0)</f>
        <v>0</v>
      </c>
    </row>
    <row r="39" spans="1:45" x14ac:dyDescent="0.25">
      <c r="A39" s="10" t="s">
        <v>92</v>
      </c>
      <c r="B39" s="10" t="s">
        <v>46</v>
      </c>
      <c r="C39" s="10"/>
      <c r="D39" s="10"/>
      <c r="E39" s="10"/>
      <c r="F39" s="10"/>
      <c r="G39" s="11">
        <v>0</v>
      </c>
      <c r="H39" s="10"/>
      <c r="I39" s="10" t="s">
        <v>47</v>
      </c>
      <c r="J39" s="10"/>
      <c r="K39" s="10"/>
      <c r="L39" s="10">
        <f t="shared" si="14"/>
        <v>0</v>
      </c>
      <c r="M39" s="10"/>
      <c r="N39" s="10"/>
      <c r="O39" s="10"/>
      <c r="P39" s="10"/>
      <c r="Q39" s="10">
        <v>0</v>
      </c>
      <c r="R39" s="10"/>
      <c r="S39" s="10"/>
      <c r="T39" s="10">
        <f t="shared" si="15"/>
        <v>0</v>
      </c>
      <c r="U39" s="12"/>
      <c r="V39" s="12"/>
      <c r="W39" s="12"/>
      <c r="X39" s="12"/>
      <c r="Y39" s="4">
        <f t="shared" si="13"/>
        <v>0</v>
      </c>
      <c r="Z39" s="4">
        <f t="shared" si="16"/>
        <v>0</v>
      </c>
      <c r="AA39" s="4"/>
      <c r="AB39" s="12"/>
      <c r="AC39" s="5" t="e">
        <f t="shared" si="11"/>
        <v>#DIV/0!</v>
      </c>
      <c r="AD39" s="10" t="e">
        <f t="shared" si="17"/>
        <v>#DIV/0!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 t="s">
        <v>54</v>
      </c>
      <c r="AP39" s="5">
        <f t="shared" si="18"/>
        <v>0</v>
      </c>
      <c r="AQ39" s="18">
        <f t="shared" si="19"/>
        <v>0</v>
      </c>
      <c r="AR39" s="18">
        <f t="shared" si="20"/>
        <v>0</v>
      </c>
      <c r="AS39" s="5">
        <f t="shared" si="21"/>
        <v>0</v>
      </c>
    </row>
    <row r="40" spans="1:45" x14ac:dyDescent="0.25">
      <c r="A40" s="10" t="s">
        <v>93</v>
      </c>
      <c r="B40" s="10" t="s">
        <v>46</v>
      </c>
      <c r="C40" s="10"/>
      <c r="D40" s="10"/>
      <c r="E40" s="10"/>
      <c r="F40" s="10"/>
      <c r="G40" s="11">
        <v>0</v>
      </c>
      <c r="H40" s="10"/>
      <c r="I40" s="10" t="s">
        <v>47</v>
      </c>
      <c r="J40" s="10"/>
      <c r="K40" s="10"/>
      <c r="L40" s="10">
        <f t="shared" si="14"/>
        <v>0</v>
      </c>
      <c r="M40" s="10"/>
      <c r="N40" s="10"/>
      <c r="O40" s="10"/>
      <c r="P40" s="10"/>
      <c r="Q40" s="10">
        <v>0</v>
      </c>
      <c r="R40" s="10"/>
      <c r="S40" s="10"/>
      <c r="T40" s="10">
        <f t="shared" si="15"/>
        <v>0</v>
      </c>
      <c r="U40" s="12"/>
      <c r="V40" s="12"/>
      <c r="W40" s="12"/>
      <c r="X40" s="12"/>
      <c r="Y40" s="4">
        <f t="shared" si="13"/>
        <v>0</v>
      </c>
      <c r="Z40" s="4">
        <f t="shared" si="16"/>
        <v>0</v>
      </c>
      <c r="AA40" s="4"/>
      <c r="AB40" s="12"/>
      <c r="AC40" s="5" t="e">
        <f t="shared" si="11"/>
        <v>#DIV/0!</v>
      </c>
      <c r="AD40" s="10" t="e">
        <f t="shared" si="17"/>
        <v>#DIV/0!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 t="s">
        <v>54</v>
      </c>
      <c r="AP40" s="5">
        <f t="shared" si="18"/>
        <v>0</v>
      </c>
      <c r="AQ40" s="18">
        <f t="shared" si="19"/>
        <v>0</v>
      </c>
      <c r="AR40" s="18">
        <f t="shared" si="20"/>
        <v>0</v>
      </c>
      <c r="AS40" s="5">
        <f t="shared" si="21"/>
        <v>0</v>
      </c>
    </row>
    <row r="41" spans="1:45" x14ac:dyDescent="0.25">
      <c r="A41" s="5" t="s">
        <v>94</v>
      </c>
      <c r="B41" s="5" t="s">
        <v>53</v>
      </c>
      <c r="C41" s="5">
        <v>3320.2069999999999</v>
      </c>
      <c r="D41" s="5">
        <v>7075.7929999999997</v>
      </c>
      <c r="E41" s="5">
        <v>4679</v>
      </c>
      <c r="F41" s="5">
        <v>3483</v>
      </c>
      <c r="G41" s="7">
        <v>0.4</v>
      </c>
      <c r="H41" s="5">
        <v>45</v>
      </c>
      <c r="I41" s="5" t="s">
        <v>47</v>
      </c>
      <c r="J41" s="5"/>
      <c r="K41" s="5">
        <v>4704</v>
      </c>
      <c r="L41" s="5">
        <f t="shared" si="14"/>
        <v>-25</v>
      </c>
      <c r="M41" s="5"/>
      <c r="N41" s="5"/>
      <c r="O41" s="5"/>
      <c r="P41" s="5"/>
      <c r="Q41" s="5">
        <v>2039.0717081776011</v>
      </c>
      <c r="R41" s="5">
        <v>3489.8645938224022</v>
      </c>
      <c r="S41" s="5"/>
      <c r="T41" s="5">
        <f t="shared" si="15"/>
        <v>935.8</v>
      </c>
      <c r="U41" s="4"/>
      <c r="V41" s="4">
        <v>907.54369799999677</v>
      </c>
      <c r="W41" s="4">
        <v>-912</v>
      </c>
      <c r="X41" s="4"/>
      <c r="Y41" s="4">
        <f t="shared" si="13"/>
        <v>0</v>
      </c>
      <c r="Z41" s="4">
        <f t="shared" si="16"/>
        <v>0</v>
      </c>
      <c r="AA41" s="4"/>
      <c r="AB41" s="4">
        <v>6100</v>
      </c>
      <c r="AC41" s="5">
        <f t="shared" si="11"/>
        <v>16.143919640948923</v>
      </c>
      <c r="AD41" s="5">
        <f t="shared" si="17"/>
        <v>9.6301948087198159</v>
      </c>
      <c r="AE41" s="5">
        <v>879.4</v>
      </c>
      <c r="AF41" s="5">
        <v>846.35859999999991</v>
      </c>
      <c r="AG41" s="5">
        <v>867.75859999999989</v>
      </c>
      <c r="AH41" s="5">
        <v>893.8</v>
      </c>
      <c r="AI41" s="5">
        <v>890.8</v>
      </c>
      <c r="AJ41" s="5">
        <v>822.8</v>
      </c>
      <c r="AK41" s="5">
        <v>878.2</v>
      </c>
      <c r="AL41" s="5">
        <v>947.2</v>
      </c>
      <c r="AM41" s="5">
        <v>847.2</v>
      </c>
      <c r="AN41" s="5">
        <v>844.8</v>
      </c>
      <c r="AO41" s="5"/>
      <c r="AP41" s="5">
        <f t="shared" si="18"/>
        <v>363</v>
      </c>
      <c r="AQ41" s="18">
        <f t="shared" si="19"/>
        <v>0</v>
      </c>
      <c r="AR41" s="18">
        <f t="shared" si="20"/>
        <v>0</v>
      </c>
      <c r="AS41" s="5">
        <f t="shared" si="21"/>
        <v>2440</v>
      </c>
    </row>
    <row r="42" spans="1:45" x14ac:dyDescent="0.25">
      <c r="A42" s="5" t="s">
        <v>96</v>
      </c>
      <c r="B42" s="5" t="s">
        <v>53</v>
      </c>
      <c r="C42" s="5">
        <v>634</v>
      </c>
      <c r="D42" s="5">
        <v>868</v>
      </c>
      <c r="E42" s="5">
        <v>478</v>
      </c>
      <c r="F42" s="5">
        <v>694</v>
      </c>
      <c r="G42" s="7">
        <v>0.45</v>
      </c>
      <c r="H42" s="5">
        <v>50</v>
      </c>
      <c r="I42" s="5" t="s">
        <v>47</v>
      </c>
      <c r="J42" s="5"/>
      <c r="K42" s="5">
        <v>484</v>
      </c>
      <c r="L42" s="5">
        <f t="shared" si="14"/>
        <v>-6</v>
      </c>
      <c r="M42" s="5"/>
      <c r="N42" s="5"/>
      <c r="O42" s="5"/>
      <c r="P42" s="5"/>
      <c r="Q42" s="5">
        <v>198.77250480000001</v>
      </c>
      <c r="R42" s="5">
        <v>340.19849519999991</v>
      </c>
      <c r="S42" s="5"/>
      <c r="T42" s="5">
        <f t="shared" si="15"/>
        <v>95.6</v>
      </c>
      <c r="U42" s="4"/>
      <c r="V42" s="4"/>
      <c r="W42" s="4"/>
      <c r="X42" s="4"/>
      <c r="Y42" s="4">
        <f t="shared" si="13"/>
        <v>0</v>
      </c>
      <c r="Z42" s="4">
        <f t="shared" si="16"/>
        <v>0</v>
      </c>
      <c r="AA42" s="4"/>
      <c r="AB42" s="4"/>
      <c r="AC42" s="5">
        <f t="shared" si="11"/>
        <v>12.89718619246862</v>
      </c>
      <c r="AD42" s="5">
        <f t="shared" si="17"/>
        <v>12.89718619246862</v>
      </c>
      <c r="AE42" s="5">
        <v>101.8</v>
      </c>
      <c r="AF42" s="5">
        <v>92.4</v>
      </c>
      <c r="AG42" s="5">
        <v>96.2</v>
      </c>
      <c r="AH42" s="5">
        <v>96</v>
      </c>
      <c r="AI42" s="5">
        <v>109.6</v>
      </c>
      <c r="AJ42" s="5">
        <v>100.2</v>
      </c>
      <c r="AK42" s="5">
        <v>83.2</v>
      </c>
      <c r="AL42" s="5">
        <v>89.6</v>
      </c>
      <c r="AM42" s="5">
        <v>100.4</v>
      </c>
      <c r="AN42" s="5">
        <v>92.2</v>
      </c>
      <c r="AO42" s="5"/>
      <c r="AP42" s="5">
        <f t="shared" si="18"/>
        <v>0</v>
      </c>
      <c r="AQ42" s="18">
        <f t="shared" si="19"/>
        <v>0</v>
      </c>
      <c r="AR42" s="18">
        <f t="shared" si="20"/>
        <v>0</v>
      </c>
      <c r="AS42" s="5">
        <f t="shared" si="21"/>
        <v>0</v>
      </c>
    </row>
    <row r="43" spans="1:45" x14ac:dyDescent="0.25">
      <c r="A43" s="5" t="s">
        <v>97</v>
      </c>
      <c r="B43" s="5" t="s">
        <v>53</v>
      </c>
      <c r="C43" s="5">
        <v>783</v>
      </c>
      <c r="D43" s="5">
        <v>985</v>
      </c>
      <c r="E43" s="5">
        <v>981</v>
      </c>
      <c r="F43" s="5">
        <v>-18</v>
      </c>
      <c r="G43" s="7">
        <v>0.4</v>
      </c>
      <c r="H43" s="5">
        <v>45</v>
      </c>
      <c r="I43" s="5" t="s">
        <v>47</v>
      </c>
      <c r="J43" s="5"/>
      <c r="K43" s="5">
        <v>1199</v>
      </c>
      <c r="L43" s="5">
        <f t="shared" si="14"/>
        <v>-218</v>
      </c>
      <c r="M43" s="5"/>
      <c r="N43" s="5"/>
      <c r="O43" s="5"/>
      <c r="P43" s="5"/>
      <c r="Q43" s="5">
        <v>595.09376224000061</v>
      </c>
      <c r="R43" s="5">
        <v>1018.5010377600011</v>
      </c>
      <c r="S43" s="5"/>
      <c r="T43" s="5">
        <f t="shared" si="15"/>
        <v>196.2</v>
      </c>
      <c r="U43" s="4">
        <f>11*T43-R43-Q43-P43-O43-F43-V43-AB43</f>
        <v>78.480000000000075</v>
      </c>
      <c r="V43" s="4">
        <v>484.12519999999807</v>
      </c>
      <c r="W43" s="4">
        <v>-486</v>
      </c>
      <c r="X43" s="4"/>
      <c r="Y43" s="22">
        <v>500</v>
      </c>
      <c r="Z43" s="4">
        <f t="shared" si="16"/>
        <v>0</v>
      </c>
      <c r="AA43" s="22">
        <v>500</v>
      </c>
      <c r="AB43" s="4"/>
      <c r="AC43" s="5">
        <f t="shared" si="11"/>
        <v>10.671355759429154</v>
      </c>
      <c r="AD43" s="5">
        <f t="shared" si="17"/>
        <v>8.1324913353720785</v>
      </c>
      <c r="AE43" s="5">
        <v>218.8</v>
      </c>
      <c r="AF43" s="5">
        <v>207.2</v>
      </c>
      <c r="AG43" s="5">
        <v>223</v>
      </c>
      <c r="AH43" s="5">
        <v>237.2</v>
      </c>
      <c r="AI43" s="5">
        <v>222</v>
      </c>
      <c r="AJ43" s="5">
        <v>213.2</v>
      </c>
      <c r="AK43" s="5">
        <v>223.6</v>
      </c>
      <c r="AL43" s="5">
        <v>220.6</v>
      </c>
      <c r="AM43" s="5">
        <v>223.6</v>
      </c>
      <c r="AN43" s="5">
        <v>229.8</v>
      </c>
      <c r="AO43" s="5"/>
      <c r="AP43" s="5">
        <f t="shared" si="18"/>
        <v>194</v>
      </c>
      <c r="AQ43" s="18">
        <f t="shared" si="19"/>
        <v>0</v>
      </c>
      <c r="AR43" s="18">
        <f t="shared" si="20"/>
        <v>200</v>
      </c>
      <c r="AS43" s="5">
        <f t="shared" si="21"/>
        <v>0</v>
      </c>
    </row>
    <row r="44" spans="1:45" x14ac:dyDescent="0.25">
      <c r="A44" s="5" t="s">
        <v>99</v>
      </c>
      <c r="B44" s="5" t="s">
        <v>53</v>
      </c>
      <c r="C44" s="5">
        <v>28</v>
      </c>
      <c r="D44" s="5"/>
      <c r="E44" s="5">
        <v>27</v>
      </c>
      <c r="F44" s="5">
        <v>1</v>
      </c>
      <c r="G44" s="7">
        <v>0.4</v>
      </c>
      <c r="H44" s="5">
        <v>40</v>
      </c>
      <c r="I44" s="5" t="s">
        <v>47</v>
      </c>
      <c r="J44" s="5"/>
      <c r="K44" s="5">
        <v>27</v>
      </c>
      <c r="L44" s="5">
        <f t="shared" si="14"/>
        <v>0</v>
      </c>
      <c r="M44" s="5"/>
      <c r="N44" s="5"/>
      <c r="O44" s="5"/>
      <c r="P44" s="5"/>
      <c r="Q44" s="5">
        <v>28</v>
      </c>
      <c r="R44" s="5"/>
      <c r="S44" s="5"/>
      <c r="T44" s="5">
        <f t="shared" si="15"/>
        <v>5.4</v>
      </c>
      <c r="U44" s="4">
        <f>11*T44-R44-Q44-P44-O44-F44-V44-AB44</f>
        <v>30.400000000000006</v>
      </c>
      <c r="V44" s="4"/>
      <c r="W44" s="4"/>
      <c r="X44" s="4"/>
      <c r="Y44" s="4">
        <f t="shared" ref="Y44:Y54" si="22">U44</f>
        <v>30.400000000000006</v>
      </c>
      <c r="Z44" s="4">
        <f t="shared" si="16"/>
        <v>30.400000000000006</v>
      </c>
      <c r="AA44" s="4"/>
      <c r="AB44" s="4"/>
      <c r="AC44" s="5">
        <f t="shared" si="11"/>
        <v>11</v>
      </c>
      <c r="AD44" s="5">
        <f t="shared" si="17"/>
        <v>5.3703703703703702</v>
      </c>
      <c r="AE44" s="5">
        <v>4</v>
      </c>
      <c r="AF44" s="5">
        <v>1.4</v>
      </c>
      <c r="AG44" s="5">
        <v>2.8</v>
      </c>
      <c r="AH44" s="5">
        <v>2.6</v>
      </c>
      <c r="AI44" s="5">
        <v>0.2</v>
      </c>
      <c r="AJ44" s="5">
        <v>0.4</v>
      </c>
      <c r="AK44" s="5">
        <v>1</v>
      </c>
      <c r="AL44" s="5">
        <v>3.8</v>
      </c>
      <c r="AM44" s="5">
        <v>3.8</v>
      </c>
      <c r="AN44" s="5">
        <v>0.6</v>
      </c>
      <c r="AO44" s="5"/>
      <c r="AP44" s="5">
        <f t="shared" si="18"/>
        <v>0</v>
      </c>
      <c r="AQ44" s="18">
        <f t="shared" si="19"/>
        <v>12</v>
      </c>
      <c r="AR44" s="18">
        <f t="shared" si="20"/>
        <v>0</v>
      </c>
      <c r="AS44" s="5">
        <f t="shared" si="21"/>
        <v>0</v>
      </c>
    </row>
    <row r="45" spans="1:45" x14ac:dyDescent="0.25">
      <c r="A45" s="5" t="s">
        <v>100</v>
      </c>
      <c r="B45" s="5" t="s">
        <v>46</v>
      </c>
      <c r="C45" s="5">
        <v>379.14499999999998</v>
      </c>
      <c r="D45" s="5">
        <v>347.62799999999999</v>
      </c>
      <c r="E45" s="5">
        <v>300.07900000000001</v>
      </c>
      <c r="F45" s="5">
        <v>192.172</v>
      </c>
      <c r="G45" s="7">
        <v>1</v>
      </c>
      <c r="H45" s="5">
        <v>45</v>
      </c>
      <c r="I45" s="5" t="s">
        <v>47</v>
      </c>
      <c r="J45" s="5"/>
      <c r="K45" s="5">
        <v>287.11</v>
      </c>
      <c r="L45" s="5">
        <f t="shared" si="14"/>
        <v>12.968999999999994</v>
      </c>
      <c r="M45" s="5"/>
      <c r="N45" s="5"/>
      <c r="O45" s="5"/>
      <c r="P45" s="5">
        <v>-295.8</v>
      </c>
      <c r="Q45" s="5">
        <v>289.80657800000012</v>
      </c>
      <c r="R45" s="5"/>
      <c r="S45" s="5"/>
      <c r="T45" s="5">
        <f t="shared" si="15"/>
        <v>60.015799999999999</v>
      </c>
      <c r="U45" s="4">
        <f>10*T45-R45-Q45-P45-O45-F45-V45-AB45</f>
        <v>259.79052000000007</v>
      </c>
      <c r="V45" s="4">
        <v>154.18890199999981</v>
      </c>
      <c r="W45" s="4">
        <v>-156.6</v>
      </c>
      <c r="X45" s="4"/>
      <c r="Y45" s="4">
        <f t="shared" si="22"/>
        <v>259.79052000000007</v>
      </c>
      <c r="Z45" s="4">
        <f t="shared" si="16"/>
        <v>259.79052000000007</v>
      </c>
      <c r="AA45" s="4"/>
      <c r="AB45" s="4"/>
      <c r="AC45" s="5">
        <f t="shared" si="11"/>
        <v>7.3906871190586463</v>
      </c>
      <c r="AD45" s="5">
        <f t="shared" si="17"/>
        <v>3.1021593980251883</v>
      </c>
      <c r="AE45" s="5">
        <v>55.129399999999997</v>
      </c>
      <c r="AF45" s="5">
        <v>48.190600000000003</v>
      </c>
      <c r="AG45" s="5">
        <v>52.069800000000001</v>
      </c>
      <c r="AH45" s="5">
        <v>54.658799999999999</v>
      </c>
      <c r="AI45" s="5">
        <v>61.988999999999997</v>
      </c>
      <c r="AJ45" s="5">
        <v>65.972999999999999</v>
      </c>
      <c r="AK45" s="5">
        <v>63.581400000000002</v>
      </c>
      <c r="AL45" s="5">
        <v>50.510399999999997</v>
      </c>
      <c r="AM45" s="5">
        <v>50.273200000000003</v>
      </c>
      <c r="AN45" s="5">
        <v>57.129399999999997</v>
      </c>
      <c r="AO45" s="5"/>
      <c r="AP45" s="5">
        <f t="shared" si="18"/>
        <v>154</v>
      </c>
      <c r="AQ45" s="18">
        <f t="shared" si="19"/>
        <v>260</v>
      </c>
      <c r="AR45" s="18">
        <f t="shared" si="20"/>
        <v>0</v>
      </c>
      <c r="AS45" s="5">
        <f t="shared" si="21"/>
        <v>0</v>
      </c>
    </row>
    <row r="46" spans="1:45" x14ac:dyDescent="0.25">
      <c r="A46" s="5" t="s">
        <v>102</v>
      </c>
      <c r="B46" s="5" t="s">
        <v>53</v>
      </c>
      <c r="C46" s="5">
        <v>1386</v>
      </c>
      <c r="D46" s="5">
        <v>32</v>
      </c>
      <c r="E46" s="5">
        <v>403</v>
      </c>
      <c r="F46" s="5">
        <v>1011</v>
      </c>
      <c r="G46" s="7">
        <v>0.1</v>
      </c>
      <c r="H46" s="5">
        <v>731</v>
      </c>
      <c r="I46" s="5" t="s">
        <v>47</v>
      </c>
      <c r="J46" s="5"/>
      <c r="K46" s="5">
        <v>403</v>
      </c>
      <c r="L46" s="5">
        <f t="shared" si="14"/>
        <v>0</v>
      </c>
      <c r="M46" s="5"/>
      <c r="N46" s="5"/>
      <c r="O46" s="5"/>
      <c r="P46" s="5"/>
      <c r="Q46" s="5">
        <v>0</v>
      </c>
      <c r="R46" s="5"/>
      <c r="S46" s="5"/>
      <c r="T46" s="5">
        <f t="shared" si="15"/>
        <v>80.599999999999994</v>
      </c>
      <c r="U46" s="4"/>
      <c r="V46" s="4"/>
      <c r="W46" s="4"/>
      <c r="X46" s="4"/>
      <c r="Y46" s="4">
        <f t="shared" si="22"/>
        <v>0</v>
      </c>
      <c r="Z46" s="4">
        <f t="shared" si="16"/>
        <v>0</v>
      </c>
      <c r="AA46" s="4"/>
      <c r="AB46" s="4"/>
      <c r="AC46" s="5">
        <f t="shared" si="11"/>
        <v>12.543424317617866</v>
      </c>
      <c r="AD46" s="5">
        <f t="shared" si="17"/>
        <v>12.543424317617866</v>
      </c>
      <c r="AE46" s="5">
        <v>60.2</v>
      </c>
      <c r="AF46" s="5">
        <v>46.4</v>
      </c>
      <c r="AG46" s="5">
        <v>46.8</v>
      </c>
      <c r="AH46" s="5">
        <v>53.2</v>
      </c>
      <c r="AI46" s="5">
        <v>56.4</v>
      </c>
      <c r="AJ46" s="5">
        <v>54</v>
      </c>
      <c r="AK46" s="5">
        <v>48.6</v>
      </c>
      <c r="AL46" s="5">
        <v>61.8</v>
      </c>
      <c r="AM46" s="5">
        <v>66</v>
      </c>
      <c r="AN46" s="5">
        <v>51</v>
      </c>
      <c r="AO46" s="5"/>
      <c r="AP46" s="5">
        <f t="shared" si="18"/>
        <v>0</v>
      </c>
      <c r="AQ46" s="18">
        <f t="shared" si="19"/>
        <v>0</v>
      </c>
      <c r="AR46" s="18">
        <f t="shared" si="20"/>
        <v>0</v>
      </c>
      <c r="AS46" s="5">
        <f t="shared" si="21"/>
        <v>0</v>
      </c>
    </row>
    <row r="47" spans="1:45" x14ac:dyDescent="0.25">
      <c r="A47" s="5" t="s">
        <v>103</v>
      </c>
      <c r="B47" s="5" t="s">
        <v>53</v>
      </c>
      <c r="C47" s="5">
        <v>413</v>
      </c>
      <c r="D47" s="5">
        <v>98</v>
      </c>
      <c r="E47" s="5">
        <v>218</v>
      </c>
      <c r="F47" s="5">
        <v>151</v>
      </c>
      <c r="G47" s="7">
        <v>0.35</v>
      </c>
      <c r="H47" s="5">
        <v>40</v>
      </c>
      <c r="I47" s="5" t="s">
        <v>47</v>
      </c>
      <c r="J47" s="5"/>
      <c r="K47" s="5">
        <v>243</v>
      </c>
      <c r="L47" s="5">
        <f t="shared" si="14"/>
        <v>-25</v>
      </c>
      <c r="M47" s="5"/>
      <c r="N47" s="5"/>
      <c r="O47" s="5"/>
      <c r="P47" s="5">
        <v>-294.00000000000011</v>
      </c>
      <c r="Q47" s="5">
        <v>287.34400000000022</v>
      </c>
      <c r="R47" s="5"/>
      <c r="S47" s="5"/>
      <c r="T47" s="5">
        <f t="shared" si="15"/>
        <v>43.6</v>
      </c>
      <c r="U47" s="4">
        <f>10*T47-R47-Q47-P47-O47-F47-V47-AB47</f>
        <v>291.65599999999989</v>
      </c>
      <c r="V47" s="4"/>
      <c r="W47" s="4"/>
      <c r="X47" s="4"/>
      <c r="Y47" s="4">
        <f t="shared" si="22"/>
        <v>291.65599999999989</v>
      </c>
      <c r="Z47" s="4">
        <f t="shared" si="16"/>
        <v>291.65599999999989</v>
      </c>
      <c r="AA47" s="4"/>
      <c r="AB47" s="4"/>
      <c r="AC47" s="5">
        <f t="shared" si="11"/>
        <v>10</v>
      </c>
      <c r="AD47" s="5">
        <f t="shared" si="17"/>
        <v>3.3106422018348649</v>
      </c>
      <c r="AE47" s="5">
        <v>47.6</v>
      </c>
      <c r="AF47" s="5">
        <v>44.6</v>
      </c>
      <c r="AG47" s="5">
        <v>46.4</v>
      </c>
      <c r="AH47" s="5">
        <v>55.6</v>
      </c>
      <c r="AI47" s="5">
        <v>56.6</v>
      </c>
      <c r="AJ47" s="5">
        <v>52.8</v>
      </c>
      <c r="AK47" s="5">
        <v>57</v>
      </c>
      <c r="AL47" s="5">
        <v>43</v>
      </c>
      <c r="AM47" s="5">
        <v>47.6</v>
      </c>
      <c r="AN47" s="5">
        <v>54.6</v>
      </c>
      <c r="AO47" s="5"/>
      <c r="AP47" s="5">
        <f t="shared" si="18"/>
        <v>0</v>
      </c>
      <c r="AQ47" s="18">
        <f t="shared" si="19"/>
        <v>102</v>
      </c>
      <c r="AR47" s="18">
        <f t="shared" si="20"/>
        <v>0</v>
      </c>
      <c r="AS47" s="5">
        <f t="shared" si="21"/>
        <v>0</v>
      </c>
    </row>
    <row r="48" spans="1:45" x14ac:dyDescent="0.25">
      <c r="A48" s="5" t="s">
        <v>104</v>
      </c>
      <c r="B48" s="5" t="s">
        <v>46</v>
      </c>
      <c r="C48" s="5">
        <v>87.558999999999997</v>
      </c>
      <c r="D48" s="5">
        <v>39.005000000000003</v>
      </c>
      <c r="E48" s="5">
        <v>45.514000000000003</v>
      </c>
      <c r="F48" s="5">
        <v>73.263000000000005</v>
      </c>
      <c r="G48" s="7">
        <v>1</v>
      </c>
      <c r="H48" s="5">
        <v>40</v>
      </c>
      <c r="I48" s="5" t="s">
        <v>47</v>
      </c>
      <c r="J48" s="5"/>
      <c r="K48" s="5">
        <v>49.4</v>
      </c>
      <c r="L48" s="5">
        <f t="shared" si="14"/>
        <v>-3.8859999999999957</v>
      </c>
      <c r="M48" s="5"/>
      <c r="N48" s="5"/>
      <c r="O48" s="5"/>
      <c r="P48" s="5"/>
      <c r="Q48" s="5">
        <v>14.721999999999991</v>
      </c>
      <c r="R48" s="5"/>
      <c r="S48" s="5"/>
      <c r="T48" s="5">
        <f t="shared" si="15"/>
        <v>9.1028000000000002</v>
      </c>
      <c r="U48" s="4">
        <f>11*T48-R48-Q48-P48-O48-F48-V48-AB48</f>
        <v>12.145800000000008</v>
      </c>
      <c r="V48" s="4"/>
      <c r="W48" s="4"/>
      <c r="X48" s="4"/>
      <c r="Y48" s="4">
        <f t="shared" si="22"/>
        <v>12.145800000000008</v>
      </c>
      <c r="Z48" s="4">
        <f t="shared" si="16"/>
        <v>12.145800000000008</v>
      </c>
      <c r="AA48" s="4"/>
      <c r="AB48" s="4"/>
      <c r="AC48" s="5">
        <f t="shared" si="11"/>
        <v>11</v>
      </c>
      <c r="AD48" s="5">
        <f t="shared" si="17"/>
        <v>9.6657072549105774</v>
      </c>
      <c r="AE48" s="5">
        <v>7.556</v>
      </c>
      <c r="AF48" s="5">
        <v>7.9702000000000002</v>
      </c>
      <c r="AG48" s="5">
        <v>9.6010000000000009</v>
      </c>
      <c r="AH48" s="5">
        <v>10.6218</v>
      </c>
      <c r="AI48" s="5">
        <v>8.5141999999999989</v>
      </c>
      <c r="AJ48" s="5">
        <v>5.8933999999999997</v>
      </c>
      <c r="AK48" s="5">
        <v>7.8151999999999999</v>
      </c>
      <c r="AL48" s="5">
        <v>7.2846000000000002</v>
      </c>
      <c r="AM48" s="5">
        <v>9.9352</v>
      </c>
      <c r="AN48" s="5">
        <v>11.954800000000001</v>
      </c>
      <c r="AO48" s="5"/>
      <c r="AP48" s="5">
        <f t="shared" si="18"/>
        <v>0</v>
      </c>
      <c r="AQ48" s="18">
        <f t="shared" si="19"/>
        <v>12</v>
      </c>
      <c r="AR48" s="18">
        <f t="shared" si="20"/>
        <v>0</v>
      </c>
      <c r="AS48" s="5">
        <f t="shared" si="21"/>
        <v>0</v>
      </c>
    </row>
    <row r="49" spans="1:45" x14ac:dyDescent="0.25">
      <c r="A49" s="5" t="s">
        <v>105</v>
      </c>
      <c r="B49" s="5" t="s">
        <v>53</v>
      </c>
      <c r="C49" s="5">
        <v>71</v>
      </c>
      <c r="D49" s="5">
        <v>24</v>
      </c>
      <c r="E49" s="5">
        <v>86</v>
      </c>
      <c r="F49" s="5">
        <v>3</v>
      </c>
      <c r="G49" s="7">
        <v>0.4</v>
      </c>
      <c r="H49" s="5">
        <v>40</v>
      </c>
      <c r="I49" s="5" t="s">
        <v>47</v>
      </c>
      <c r="J49" s="5"/>
      <c r="K49" s="5">
        <v>189</v>
      </c>
      <c r="L49" s="5">
        <f t="shared" si="14"/>
        <v>-103</v>
      </c>
      <c r="M49" s="5"/>
      <c r="N49" s="5"/>
      <c r="O49" s="5"/>
      <c r="P49" s="5"/>
      <c r="Q49" s="5">
        <v>232.4919999999999</v>
      </c>
      <c r="R49" s="5"/>
      <c r="S49" s="5"/>
      <c r="T49" s="5">
        <f t="shared" si="15"/>
        <v>17.2</v>
      </c>
      <c r="U49" s="4"/>
      <c r="V49" s="4"/>
      <c r="W49" s="4"/>
      <c r="X49" s="4"/>
      <c r="Y49" s="4">
        <f t="shared" si="22"/>
        <v>0</v>
      </c>
      <c r="Z49" s="4">
        <f t="shared" si="16"/>
        <v>0</v>
      </c>
      <c r="AA49" s="4"/>
      <c r="AB49" s="4"/>
      <c r="AC49" s="5">
        <f t="shared" si="11"/>
        <v>13.691395348837204</v>
      </c>
      <c r="AD49" s="5">
        <f t="shared" si="17"/>
        <v>13.691395348837204</v>
      </c>
      <c r="AE49" s="5">
        <v>30.2</v>
      </c>
      <c r="AF49" s="5">
        <v>32.799999999999997</v>
      </c>
      <c r="AG49" s="5">
        <v>44.6</v>
      </c>
      <c r="AH49" s="5">
        <v>38.6</v>
      </c>
      <c r="AI49" s="5">
        <v>36.200000000000003</v>
      </c>
      <c r="AJ49" s="5">
        <v>42.2</v>
      </c>
      <c r="AK49" s="5">
        <v>47.8</v>
      </c>
      <c r="AL49" s="5">
        <v>56.4</v>
      </c>
      <c r="AM49" s="5">
        <v>47.8</v>
      </c>
      <c r="AN49" s="5">
        <v>38</v>
      </c>
      <c r="AO49" s="5"/>
      <c r="AP49" s="5">
        <f t="shared" si="18"/>
        <v>0</v>
      </c>
      <c r="AQ49" s="18">
        <f t="shared" si="19"/>
        <v>0</v>
      </c>
      <c r="AR49" s="18">
        <f t="shared" si="20"/>
        <v>0</v>
      </c>
      <c r="AS49" s="5">
        <f t="shared" si="21"/>
        <v>0</v>
      </c>
    </row>
    <row r="50" spans="1:45" x14ac:dyDescent="0.25">
      <c r="A50" s="5" t="s">
        <v>106</v>
      </c>
      <c r="B50" s="5" t="s">
        <v>53</v>
      </c>
      <c r="C50" s="5">
        <v>55</v>
      </c>
      <c r="D50" s="5">
        <v>369</v>
      </c>
      <c r="E50" s="5">
        <v>33</v>
      </c>
      <c r="F50" s="5"/>
      <c r="G50" s="7">
        <v>0.4</v>
      </c>
      <c r="H50" s="5">
        <v>45</v>
      </c>
      <c r="I50" s="5" t="s">
        <v>47</v>
      </c>
      <c r="J50" s="5"/>
      <c r="K50" s="5">
        <v>284</v>
      </c>
      <c r="L50" s="5">
        <f t="shared" si="14"/>
        <v>-251</v>
      </c>
      <c r="M50" s="5"/>
      <c r="N50" s="5"/>
      <c r="O50" s="5"/>
      <c r="P50" s="5"/>
      <c r="Q50" s="5">
        <v>279.99599999999998</v>
      </c>
      <c r="R50" s="5"/>
      <c r="S50" s="5"/>
      <c r="T50" s="5">
        <f t="shared" si="15"/>
        <v>6.6</v>
      </c>
      <c r="U50" s="4"/>
      <c r="V50" s="4"/>
      <c r="W50" s="4"/>
      <c r="X50" s="4"/>
      <c r="Y50" s="4">
        <f t="shared" si="22"/>
        <v>0</v>
      </c>
      <c r="Z50" s="4">
        <f t="shared" si="16"/>
        <v>0</v>
      </c>
      <c r="AA50" s="4"/>
      <c r="AB50" s="4"/>
      <c r="AC50" s="5">
        <f t="shared" si="11"/>
        <v>42.423636363636362</v>
      </c>
      <c r="AD50" s="5">
        <f t="shared" si="17"/>
        <v>42.423636363636362</v>
      </c>
      <c r="AE50" s="5">
        <v>42.6</v>
      </c>
      <c r="AF50" s="5">
        <v>57.4</v>
      </c>
      <c r="AG50" s="5">
        <v>39.6</v>
      </c>
      <c r="AH50" s="5">
        <v>35.4</v>
      </c>
      <c r="AI50" s="5">
        <v>36</v>
      </c>
      <c r="AJ50" s="5">
        <v>40</v>
      </c>
      <c r="AK50" s="5">
        <v>40.200000000000003</v>
      </c>
      <c r="AL50" s="5">
        <v>48.2</v>
      </c>
      <c r="AM50" s="5">
        <v>44.4</v>
      </c>
      <c r="AN50" s="5">
        <v>32.799999999999997</v>
      </c>
      <c r="AO50" s="5"/>
      <c r="AP50" s="5">
        <f t="shared" si="18"/>
        <v>0</v>
      </c>
      <c r="AQ50" s="18">
        <f t="shared" si="19"/>
        <v>0</v>
      </c>
      <c r="AR50" s="18">
        <f t="shared" si="20"/>
        <v>0</v>
      </c>
      <c r="AS50" s="5">
        <f t="shared" si="21"/>
        <v>0</v>
      </c>
    </row>
    <row r="51" spans="1:45" x14ac:dyDescent="0.25">
      <c r="A51" s="5" t="s">
        <v>107</v>
      </c>
      <c r="B51" s="5" t="s">
        <v>46</v>
      </c>
      <c r="C51" s="5">
        <v>159.53800000000001</v>
      </c>
      <c r="D51" s="5">
        <v>336.24799999999999</v>
      </c>
      <c r="E51" s="5">
        <v>102.58799999999999</v>
      </c>
      <c r="F51" s="5">
        <v>388.83100000000002</v>
      </c>
      <c r="G51" s="7">
        <v>1</v>
      </c>
      <c r="H51" s="5">
        <v>40</v>
      </c>
      <c r="I51" s="5" t="s">
        <v>47</v>
      </c>
      <c r="J51" s="5"/>
      <c r="K51" s="5">
        <v>108.4</v>
      </c>
      <c r="L51" s="5">
        <f t="shared" si="14"/>
        <v>-5.8120000000000118</v>
      </c>
      <c r="M51" s="5"/>
      <c r="N51" s="5"/>
      <c r="O51" s="5"/>
      <c r="P51" s="5"/>
      <c r="Q51" s="5">
        <v>70.743599999999958</v>
      </c>
      <c r="R51" s="5"/>
      <c r="S51" s="5"/>
      <c r="T51" s="5">
        <f t="shared" si="15"/>
        <v>20.517599999999998</v>
      </c>
      <c r="U51" s="4"/>
      <c r="V51" s="4"/>
      <c r="W51" s="4"/>
      <c r="X51" s="4"/>
      <c r="Y51" s="4">
        <f t="shared" si="22"/>
        <v>0</v>
      </c>
      <c r="Z51" s="4">
        <f t="shared" si="16"/>
        <v>0</v>
      </c>
      <c r="AA51" s="4"/>
      <c r="AB51" s="4"/>
      <c r="AC51" s="5">
        <f t="shared" si="11"/>
        <v>22.399042773033884</v>
      </c>
      <c r="AD51" s="5">
        <f t="shared" si="17"/>
        <v>22.399042773033884</v>
      </c>
      <c r="AE51" s="5">
        <v>24.51</v>
      </c>
      <c r="AF51" s="5">
        <v>25.950800000000001</v>
      </c>
      <c r="AG51" s="5">
        <v>25.9468</v>
      </c>
      <c r="AH51" s="5">
        <v>25.837199999999999</v>
      </c>
      <c r="AI51" s="5">
        <v>21.918800000000001</v>
      </c>
      <c r="AJ51" s="5">
        <v>21.019200000000001</v>
      </c>
      <c r="AK51" s="5">
        <v>27.880800000000001</v>
      </c>
      <c r="AL51" s="5">
        <v>26.376999999999999</v>
      </c>
      <c r="AM51" s="5">
        <v>22.745999999999999</v>
      </c>
      <c r="AN51" s="5">
        <v>24.5078</v>
      </c>
      <c r="AO51" s="13" t="s">
        <v>108</v>
      </c>
      <c r="AP51" s="5">
        <f t="shared" si="18"/>
        <v>0</v>
      </c>
      <c r="AQ51" s="18">
        <f t="shared" si="19"/>
        <v>0</v>
      </c>
      <c r="AR51" s="18">
        <f t="shared" si="20"/>
        <v>0</v>
      </c>
      <c r="AS51" s="5">
        <f t="shared" si="21"/>
        <v>0</v>
      </c>
    </row>
    <row r="52" spans="1:45" x14ac:dyDescent="0.25">
      <c r="A52" s="5" t="s">
        <v>109</v>
      </c>
      <c r="B52" s="5" t="s">
        <v>53</v>
      </c>
      <c r="C52" s="5">
        <v>1754</v>
      </c>
      <c r="D52" s="5">
        <v>2190</v>
      </c>
      <c r="E52" s="5">
        <v>1153</v>
      </c>
      <c r="F52" s="5">
        <v>1917</v>
      </c>
      <c r="G52" s="7">
        <v>0.35</v>
      </c>
      <c r="H52" s="5">
        <v>40</v>
      </c>
      <c r="I52" s="5" t="s">
        <v>47</v>
      </c>
      <c r="J52" s="5"/>
      <c r="K52" s="5">
        <v>1196</v>
      </c>
      <c r="L52" s="5">
        <f t="shared" si="14"/>
        <v>-43</v>
      </c>
      <c r="M52" s="5"/>
      <c r="N52" s="5"/>
      <c r="O52" s="5"/>
      <c r="P52" s="5"/>
      <c r="Q52" s="5">
        <v>268.41470527999968</v>
      </c>
      <c r="R52" s="5">
        <v>459.39089471999949</v>
      </c>
      <c r="S52" s="5"/>
      <c r="T52" s="5">
        <f t="shared" si="15"/>
        <v>230.6</v>
      </c>
      <c r="U52" s="4"/>
      <c r="V52" s="4"/>
      <c r="W52" s="4"/>
      <c r="X52" s="4"/>
      <c r="Y52" s="4">
        <f t="shared" si="22"/>
        <v>0</v>
      </c>
      <c r="Z52" s="4">
        <f t="shared" si="16"/>
        <v>0</v>
      </c>
      <c r="AA52" s="4"/>
      <c r="AB52" s="4">
        <v>1600</v>
      </c>
      <c r="AC52" s="5">
        <f t="shared" si="11"/>
        <v>18.4076565481353</v>
      </c>
      <c r="AD52" s="5">
        <f t="shared" si="17"/>
        <v>11.469235039028618</v>
      </c>
      <c r="AE52" s="5">
        <v>272.2</v>
      </c>
      <c r="AF52" s="5">
        <v>290.39999999999998</v>
      </c>
      <c r="AG52" s="5">
        <v>282.2</v>
      </c>
      <c r="AH52" s="5">
        <v>295</v>
      </c>
      <c r="AI52" s="5">
        <v>315.2</v>
      </c>
      <c r="AJ52" s="5">
        <v>312.39999999999998</v>
      </c>
      <c r="AK52" s="5">
        <v>340.2</v>
      </c>
      <c r="AL52" s="5">
        <v>330.4</v>
      </c>
      <c r="AM52" s="5">
        <v>325.60000000000002</v>
      </c>
      <c r="AN52" s="5">
        <v>357.4</v>
      </c>
      <c r="AO52" s="5"/>
      <c r="AP52" s="5">
        <f t="shared" si="18"/>
        <v>0</v>
      </c>
      <c r="AQ52" s="18">
        <f t="shared" si="19"/>
        <v>0</v>
      </c>
      <c r="AR52" s="18">
        <f t="shared" si="20"/>
        <v>0</v>
      </c>
      <c r="AS52" s="5">
        <f t="shared" si="21"/>
        <v>560</v>
      </c>
    </row>
    <row r="53" spans="1:45" x14ac:dyDescent="0.25">
      <c r="A53" s="5" t="s">
        <v>110</v>
      </c>
      <c r="B53" s="5" t="s">
        <v>53</v>
      </c>
      <c r="C53" s="5">
        <v>480</v>
      </c>
      <c r="D53" s="5">
        <v>409</v>
      </c>
      <c r="E53" s="5">
        <v>672</v>
      </c>
      <c r="F53" s="5">
        <v>25</v>
      </c>
      <c r="G53" s="7">
        <v>0.4</v>
      </c>
      <c r="H53" s="5">
        <v>40</v>
      </c>
      <c r="I53" s="5" t="s">
        <v>47</v>
      </c>
      <c r="J53" s="5"/>
      <c r="K53" s="5">
        <v>682</v>
      </c>
      <c r="L53" s="5">
        <f t="shared" si="14"/>
        <v>-10</v>
      </c>
      <c r="M53" s="5"/>
      <c r="N53" s="5"/>
      <c r="O53" s="5"/>
      <c r="P53" s="5">
        <v>-377.99999999999989</v>
      </c>
      <c r="Q53" s="5">
        <v>374.69379279999993</v>
      </c>
      <c r="R53" s="5">
        <v>641.28720719999967</v>
      </c>
      <c r="S53" s="5"/>
      <c r="T53" s="5">
        <f t="shared" si="15"/>
        <v>134.4</v>
      </c>
      <c r="U53" s="4"/>
      <c r="V53" s="4">
        <v>383.6590000000005</v>
      </c>
      <c r="W53" s="4">
        <v>-383.99999999999994</v>
      </c>
      <c r="X53" s="4"/>
      <c r="Y53" s="4">
        <f t="shared" si="22"/>
        <v>0</v>
      </c>
      <c r="Z53" s="4">
        <f t="shared" si="16"/>
        <v>0</v>
      </c>
      <c r="AA53" s="4"/>
      <c r="AB53" s="4">
        <v>850</v>
      </c>
      <c r="AC53" s="5">
        <f t="shared" si="11"/>
        <v>11.254761904761907</v>
      </c>
      <c r="AD53" s="5">
        <f t="shared" si="17"/>
        <v>4.9328943452380933</v>
      </c>
      <c r="AE53" s="5">
        <v>143.4</v>
      </c>
      <c r="AF53" s="5">
        <v>127.4</v>
      </c>
      <c r="AG53" s="5">
        <v>113.8</v>
      </c>
      <c r="AH53" s="5">
        <v>119.2</v>
      </c>
      <c r="AI53" s="5">
        <v>124</v>
      </c>
      <c r="AJ53" s="5">
        <v>124</v>
      </c>
      <c r="AK53" s="5">
        <v>125.6</v>
      </c>
      <c r="AL53" s="5">
        <v>124.2</v>
      </c>
      <c r="AM53" s="5">
        <v>123.2</v>
      </c>
      <c r="AN53" s="5">
        <v>114.6</v>
      </c>
      <c r="AO53" s="5"/>
      <c r="AP53" s="5">
        <f t="shared" si="18"/>
        <v>153</v>
      </c>
      <c r="AQ53" s="18">
        <f t="shared" si="19"/>
        <v>0</v>
      </c>
      <c r="AR53" s="18">
        <f t="shared" si="20"/>
        <v>0</v>
      </c>
      <c r="AS53" s="5">
        <f t="shared" si="21"/>
        <v>340</v>
      </c>
    </row>
    <row r="54" spans="1:45" x14ac:dyDescent="0.25">
      <c r="A54" s="5" t="s">
        <v>112</v>
      </c>
      <c r="B54" s="5" t="s">
        <v>46</v>
      </c>
      <c r="C54" s="5">
        <v>507.66899999999998</v>
      </c>
      <c r="D54" s="5">
        <v>927.99900000000002</v>
      </c>
      <c r="E54" s="5">
        <v>428.12200000000001</v>
      </c>
      <c r="F54" s="5">
        <v>999.79100000000005</v>
      </c>
      <c r="G54" s="7">
        <v>1</v>
      </c>
      <c r="H54" s="5">
        <v>50</v>
      </c>
      <c r="I54" s="5" t="s">
        <v>47</v>
      </c>
      <c r="J54" s="5"/>
      <c r="K54" s="5">
        <v>420.3</v>
      </c>
      <c r="L54" s="5">
        <f t="shared" si="14"/>
        <v>7.8220000000000027</v>
      </c>
      <c r="M54" s="5"/>
      <c r="N54" s="5"/>
      <c r="O54" s="5"/>
      <c r="P54" s="5"/>
      <c r="Q54" s="5">
        <v>243.17205800000019</v>
      </c>
      <c r="R54" s="5"/>
      <c r="S54" s="5"/>
      <c r="T54" s="5">
        <f t="shared" si="15"/>
        <v>85.624400000000009</v>
      </c>
      <c r="U54" s="4"/>
      <c r="V54" s="4"/>
      <c r="W54" s="4"/>
      <c r="X54" s="4"/>
      <c r="Y54" s="4">
        <f t="shared" si="22"/>
        <v>0</v>
      </c>
      <c r="Z54" s="4">
        <f t="shared" si="16"/>
        <v>0</v>
      </c>
      <c r="AA54" s="4"/>
      <c r="AB54" s="4"/>
      <c r="AC54" s="5">
        <f t="shared" si="11"/>
        <v>14.516458602921599</v>
      </c>
      <c r="AD54" s="5">
        <f t="shared" si="17"/>
        <v>14.516458602921599</v>
      </c>
      <c r="AE54" s="5">
        <v>98.405999999999992</v>
      </c>
      <c r="AF54" s="5">
        <v>105.60339999999999</v>
      </c>
      <c r="AG54" s="5">
        <v>102.15940000000001</v>
      </c>
      <c r="AH54" s="5">
        <v>104.79640000000001</v>
      </c>
      <c r="AI54" s="5">
        <v>96.198999999999998</v>
      </c>
      <c r="AJ54" s="5">
        <v>92.049199999999999</v>
      </c>
      <c r="AK54" s="5">
        <v>107.1942</v>
      </c>
      <c r="AL54" s="5">
        <v>100.47280000000001</v>
      </c>
      <c r="AM54" s="5">
        <v>94.212999999999994</v>
      </c>
      <c r="AN54" s="5">
        <v>105.2924</v>
      </c>
      <c r="AO54" s="5"/>
      <c r="AP54" s="5">
        <f t="shared" si="18"/>
        <v>0</v>
      </c>
      <c r="AQ54" s="18">
        <f t="shared" si="19"/>
        <v>0</v>
      </c>
      <c r="AR54" s="18">
        <f t="shared" si="20"/>
        <v>0</v>
      </c>
      <c r="AS54" s="5">
        <f t="shared" si="21"/>
        <v>0</v>
      </c>
    </row>
    <row r="55" spans="1:45" x14ac:dyDescent="0.25">
      <c r="A55" s="5" t="s">
        <v>113</v>
      </c>
      <c r="B55" s="5" t="s">
        <v>46</v>
      </c>
      <c r="C55" s="5">
        <v>656.46600000000001</v>
      </c>
      <c r="D55" s="5">
        <v>1370.691</v>
      </c>
      <c r="E55" s="5">
        <v>575.35400000000004</v>
      </c>
      <c r="F55" s="5">
        <v>1146.9670000000001</v>
      </c>
      <c r="G55" s="7">
        <v>1</v>
      </c>
      <c r="H55" s="5">
        <v>50</v>
      </c>
      <c r="I55" s="5" t="s">
        <v>47</v>
      </c>
      <c r="J55" s="5"/>
      <c r="K55" s="5">
        <v>567</v>
      </c>
      <c r="L55" s="5">
        <f t="shared" si="14"/>
        <v>8.3540000000000418</v>
      </c>
      <c r="M55" s="5"/>
      <c r="N55" s="5"/>
      <c r="O55" s="5"/>
      <c r="P55" s="5"/>
      <c r="Q55" s="5">
        <v>96.968599999999924</v>
      </c>
      <c r="R55" s="5"/>
      <c r="S55" s="5"/>
      <c r="T55" s="5">
        <f t="shared" si="15"/>
        <v>115.07080000000001</v>
      </c>
      <c r="U55" s="4">
        <f>11*T55-R55-Q55-P55-O55-F55-V55-AB55</f>
        <v>21.843200000000024</v>
      </c>
      <c r="V55" s="4"/>
      <c r="W55" s="4"/>
      <c r="X55" s="4"/>
      <c r="Y55" s="22">
        <v>250</v>
      </c>
      <c r="Z55" s="4">
        <f t="shared" si="16"/>
        <v>0</v>
      </c>
      <c r="AA55" s="22">
        <v>250</v>
      </c>
      <c r="AB55" s="4"/>
      <c r="AC55" s="5">
        <f t="shared" si="11"/>
        <v>12.982751488648727</v>
      </c>
      <c r="AD55" s="5">
        <f t="shared" si="17"/>
        <v>10.810175995995509</v>
      </c>
      <c r="AE55" s="5">
        <v>121.9318</v>
      </c>
      <c r="AF55" s="5">
        <v>115.127</v>
      </c>
      <c r="AG55" s="5">
        <v>112.86660000000001</v>
      </c>
      <c r="AH55" s="5">
        <v>117.1014</v>
      </c>
      <c r="AI55" s="5">
        <v>120.026</v>
      </c>
      <c r="AJ55" s="5">
        <v>114.6662</v>
      </c>
      <c r="AK55" s="5">
        <v>108.624</v>
      </c>
      <c r="AL55" s="5">
        <v>114.25920000000001</v>
      </c>
      <c r="AM55" s="5">
        <v>125.9438</v>
      </c>
      <c r="AN55" s="5">
        <v>125.8948</v>
      </c>
      <c r="AO55" s="5"/>
      <c r="AP55" s="5">
        <f t="shared" si="18"/>
        <v>0</v>
      </c>
      <c r="AQ55" s="18">
        <f t="shared" si="19"/>
        <v>0</v>
      </c>
      <c r="AR55" s="18">
        <f t="shared" si="20"/>
        <v>250</v>
      </c>
      <c r="AS55" s="5">
        <f t="shared" si="21"/>
        <v>0</v>
      </c>
    </row>
    <row r="56" spans="1:45" x14ac:dyDescent="0.25">
      <c r="A56" s="5" t="s">
        <v>114</v>
      </c>
      <c r="B56" s="5" t="s">
        <v>46</v>
      </c>
      <c r="C56" s="5">
        <v>63.518000000000001</v>
      </c>
      <c r="D56" s="5">
        <v>175.15799999999999</v>
      </c>
      <c r="E56" s="5">
        <v>77.055000000000007</v>
      </c>
      <c r="F56" s="5">
        <v>99.421000000000006</v>
      </c>
      <c r="G56" s="7">
        <v>1</v>
      </c>
      <c r="H56" s="5">
        <v>45</v>
      </c>
      <c r="I56" s="5" t="s">
        <v>47</v>
      </c>
      <c r="J56" s="5"/>
      <c r="K56" s="5">
        <v>73.2</v>
      </c>
      <c r="L56" s="5">
        <f t="shared" si="14"/>
        <v>3.855000000000004</v>
      </c>
      <c r="M56" s="5"/>
      <c r="N56" s="5"/>
      <c r="O56" s="5"/>
      <c r="P56" s="5"/>
      <c r="Q56" s="5">
        <v>81.430800000000019</v>
      </c>
      <c r="R56" s="5"/>
      <c r="S56" s="5"/>
      <c r="T56" s="5">
        <f t="shared" si="15"/>
        <v>15.411000000000001</v>
      </c>
      <c r="U56" s="4"/>
      <c r="V56" s="4"/>
      <c r="W56" s="4"/>
      <c r="X56" s="4"/>
      <c r="Y56" s="4">
        <f>U56</f>
        <v>0</v>
      </c>
      <c r="Z56" s="4">
        <f t="shared" si="16"/>
        <v>0</v>
      </c>
      <c r="AA56" s="4"/>
      <c r="AB56" s="4"/>
      <c r="AC56" s="5">
        <f t="shared" si="11"/>
        <v>11.735241061579393</v>
      </c>
      <c r="AD56" s="5">
        <f t="shared" si="17"/>
        <v>11.735241061579393</v>
      </c>
      <c r="AE56" s="5">
        <v>11.0654</v>
      </c>
      <c r="AF56" s="5">
        <v>9.3583999999999996</v>
      </c>
      <c r="AG56" s="5">
        <v>8.730599999999999</v>
      </c>
      <c r="AH56" s="5">
        <v>4.0386000000000006</v>
      </c>
      <c r="AI56" s="5">
        <v>8.4756</v>
      </c>
      <c r="AJ56" s="5">
        <v>8.1896000000000004</v>
      </c>
      <c r="AK56" s="5">
        <v>1.7692000000000001</v>
      </c>
      <c r="AL56" s="5">
        <v>4.5528000000000004</v>
      </c>
      <c r="AM56" s="5">
        <v>10.3088</v>
      </c>
      <c r="AN56" s="5">
        <v>9.6738</v>
      </c>
      <c r="AO56" s="5"/>
      <c r="AP56" s="5">
        <f t="shared" si="18"/>
        <v>0</v>
      </c>
      <c r="AQ56" s="18">
        <f t="shared" si="19"/>
        <v>0</v>
      </c>
      <c r="AR56" s="18">
        <f t="shared" si="20"/>
        <v>0</v>
      </c>
      <c r="AS56" s="5">
        <f t="shared" si="21"/>
        <v>0</v>
      </c>
    </row>
    <row r="57" spans="1:45" x14ac:dyDescent="0.25">
      <c r="A57" s="5" t="s">
        <v>115</v>
      </c>
      <c r="B57" s="5" t="s">
        <v>53</v>
      </c>
      <c r="C57" s="5">
        <v>406</v>
      </c>
      <c r="D57" s="5">
        <v>533</v>
      </c>
      <c r="E57" s="5">
        <v>183</v>
      </c>
      <c r="F57" s="5">
        <v>638</v>
      </c>
      <c r="G57" s="7">
        <v>0.45</v>
      </c>
      <c r="H57" s="5">
        <v>50</v>
      </c>
      <c r="I57" s="5" t="s">
        <v>47</v>
      </c>
      <c r="J57" s="5"/>
      <c r="K57" s="5">
        <v>183</v>
      </c>
      <c r="L57" s="5">
        <f t="shared" si="14"/>
        <v>0</v>
      </c>
      <c r="M57" s="5"/>
      <c r="N57" s="5"/>
      <c r="O57" s="5"/>
      <c r="P57" s="5"/>
      <c r="Q57" s="5">
        <v>0</v>
      </c>
      <c r="R57" s="5"/>
      <c r="S57" s="5"/>
      <c r="T57" s="5">
        <f t="shared" si="15"/>
        <v>36.6</v>
      </c>
      <c r="U57" s="4"/>
      <c r="V57" s="4"/>
      <c r="W57" s="4"/>
      <c r="X57" s="4"/>
      <c r="Y57" s="4">
        <f>U57</f>
        <v>0</v>
      </c>
      <c r="Z57" s="4">
        <f t="shared" si="16"/>
        <v>0</v>
      </c>
      <c r="AA57" s="4"/>
      <c r="AB57" s="4"/>
      <c r="AC57" s="5">
        <f t="shared" si="11"/>
        <v>17.431693989071036</v>
      </c>
      <c r="AD57" s="5">
        <f t="shared" si="17"/>
        <v>17.431693989071036</v>
      </c>
      <c r="AE57" s="5">
        <v>46.2</v>
      </c>
      <c r="AF57" s="5">
        <v>56</v>
      </c>
      <c r="AG57" s="5">
        <v>66.599999999999994</v>
      </c>
      <c r="AH57" s="5">
        <v>68</v>
      </c>
      <c r="AI57" s="5">
        <v>62</v>
      </c>
      <c r="AJ57" s="5">
        <v>67.599999999999994</v>
      </c>
      <c r="AK57" s="5">
        <v>61.8</v>
      </c>
      <c r="AL57" s="5">
        <v>46</v>
      </c>
      <c r="AM57" s="5">
        <v>54.8</v>
      </c>
      <c r="AN57" s="5">
        <v>66.400000000000006</v>
      </c>
      <c r="AO57" s="5"/>
      <c r="AP57" s="5">
        <f t="shared" si="18"/>
        <v>0</v>
      </c>
      <c r="AQ57" s="18">
        <f t="shared" si="19"/>
        <v>0</v>
      </c>
      <c r="AR57" s="18">
        <f t="shared" si="20"/>
        <v>0</v>
      </c>
      <c r="AS57" s="5">
        <f t="shared" si="21"/>
        <v>0</v>
      </c>
    </row>
    <row r="58" spans="1:45" x14ac:dyDescent="0.25">
      <c r="A58" s="5" t="s">
        <v>116</v>
      </c>
      <c r="B58" s="5" t="s">
        <v>53</v>
      </c>
      <c r="C58" s="5">
        <v>666</v>
      </c>
      <c r="D58" s="5">
        <v>914</v>
      </c>
      <c r="E58" s="5">
        <v>573</v>
      </c>
      <c r="F58" s="5">
        <v>645</v>
      </c>
      <c r="G58" s="7">
        <v>0.45</v>
      </c>
      <c r="H58" s="5">
        <v>50</v>
      </c>
      <c r="I58" s="5" t="s">
        <v>47</v>
      </c>
      <c r="J58" s="5"/>
      <c r="K58" s="5">
        <v>586</v>
      </c>
      <c r="L58" s="5">
        <f t="shared" si="14"/>
        <v>-13</v>
      </c>
      <c r="M58" s="5"/>
      <c r="N58" s="5"/>
      <c r="O58" s="5"/>
      <c r="P58" s="5"/>
      <c r="Q58" s="5">
        <v>200.0492904000001</v>
      </c>
      <c r="R58" s="5">
        <v>342.38370960000009</v>
      </c>
      <c r="S58" s="5"/>
      <c r="T58" s="5">
        <f t="shared" si="15"/>
        <v>114.6</v>
      </c>
      <c r="U58" s="4">
        <f>11*T58-R58-Q58-P58-O58-F58-V58-AB58</f>
        <v>73.166999999999689</v>
      </c>
      <c r="V58" s="4"/>
      <c r="W58" s="4"/>
      <c r="X58" s="4"/>
      <c r="Y58" s="22">
        <v>350</v>
      </c>
      <c r="Z58" s="4">
        <f t="shared" si="16"/>
        <v>0</v>
      </c>
      <c r="AA58" s="22">
        <v>350</v>
      </c>
      <c r="AB58" s="4"/>
      <c r="AC58" s="5">
        <f t="shared" si="11"/>
        <v>13.415645724258292</v>
      </c>
      <c r="AD58" s="5">
        <f t="shared" si="17"/>
        <v>10.361544502617804</v>
      </c>
      <c r="AE58" s="5">
        <v>103.4</v>
      </c>
      <c r="AF58" s="5">
        <v>94</v>
      </c>
      <c r="AG58" s="5">
        <v>111.2</v>
      </c>
      <c r="AH58" s="5">
        <v>109</v>
      </c>
      <c r="AI58" s="5">
        <v>109</v>
      </c>
      <c r="AJ58" s="5">
        <v>103.8</v>
      </c>
      <c r="AK58" s="5">
        <v>93</v>
      </c>
      <c r="AL58" s="5">
        <v>100</v>
      </c>
      <c r="AM58" s="5">
        <v>100.8</v>
      </c>
      <c r="AN58" s="5">
        <v>89</v>
      </c>
      <c r="AO58" s="5"/>
      <c r="AP58" s="5">
        <f t="shared" si="18"/>
        <v>0</v>
      </c>
      <c r="AQ58" s="18">
        <f t="shared" si="19"/>
        <v>0</v>
      </c>
      <c r="AR58" s="18">
        <f t="shared" si="20"/>
        <v>158</v>
      </c>
      <c r="AS58" s="5">
        <f t="shared" si="21"/>
        <v>0</v>
      </c>
    </row>
    <row r="59" spans="1:45" x14ac:dyDescent="0.25">
      <c r="A59" s="5" t="s">
        <v>117</v>
      </c>
      <c r="B59" s="5" t="s">
        <v>53</v>
      </c>
      <c r="C59" s="5">
        <v>119</v>
      </c>
      <c r="D59" s="5">
        <v>508</v>
      </c>
      <c r="E59" s="5">
        <v>129</v>
      </c>
      <c r="F59" s="5">
        <v>277</v>
      </c>
      <c r="G59" s="7">
        <v>0.4</v>
      </c>
      <c r="H59" s="5">
        <v>40</v>
      </c>
      <c r="I59" s="5" t="s">
        <v>47</v>
      </c>
      <c r="J59" s="5"/>
      <c r="K59" s="5">
        <v>131</v>
      </c>
      <c r="L59" s="5">
        <f t="shared" si="14"/>
        <v>-2</v>
      </c>
      <c r="M59" s="5"/>
      <c r="N59" s="5"/>
      <c r="O59" s="5"/>
      <c r="P59" s="5"/>
      <c r="Q59" s="5">
        <v>64.199999999999932</v>
      </c>
      <c r="R59" s="5"/>
      <c r="S59" s="5"/>
      <c r="T59" s="5">
        <f t="shared" si="15"/>
        <v>25.8</v>
      </c>
      <c r="U59" s="4"/>
      <c r="V59" s="4"/>
      <c r="W59" s="4"/>
      <c r="X59" s="4"/>
      <c r="Y59" s="4">
        <f>U59</f>
        <v>0</v>
      </c>
      <c r="Z59" s="4">
        <f t="shared" si="16"/>
        <v>0</v>
      </c>
      <c r="AA59" s="4"/>
      <c r="AB59" s="4"/>
      <c r="AC59" s="5">
        <f t="shared" si="11"/>
        <v>13.224806201550384</v>
      </c>
      <c r="AD59" s="5">
        <f t="shared" si="17"/>
        <v>13.224806201550384</v>
      </c>
      <c r="AE59" s="5">
        <v>27.4</v>
      </c>
      <c r="AF59" s="5">
        <v>37.200000000000003</v>
      </c>
      <c r="AG59" s="5">
        <v>33.6</v>
      </c>
      <c r="AH59" s="5">
        <v>27.6</v>
      </c>
      <c r="AI59" s="5">
        <v>19.600000000000001</v>
      </c>
      <c r="AJ59" s="5">
        <v>18.600000000000001</v>
      </c>
      <c r="AK59" s="5">
        <v>31.4</v>
      </c>
      <c r="AL59" s="5">
        <v>27.6</v>
      </c>
      <c r="AM59" s="5">
        <v>19.2</v>
      </c>
      <c r="AN59" s="5">
        <v>22</v>
      </c>
      <c r="AO59" s="5"/>
      <c r="AP59" s="5">
        <f t="shared" si="18"/>
        <v>0</v>
      </c>
      <c r="AQ59" s="18">
        <f t="shared" si="19"/>
        <v>0</v>
      </c>
      <c r="AR59" s="18">
        <f t="shared" si="20"/>
        <v>0</v>
      </c>
      <c r="AS59" s="5">
        <f t="shared" si="21"/>
        <v>0</v>
      </c>
    </row>
    <row r="60" spans="1:45" x14ac:dyDescent="0.25">
      <c r="A60" s="5" t="s">
        <v>118</v>
      </c>
      <c r="B60" s="5" t="s">
        <v>53</v>
      </c>
      <c r="C60" s="5">
        <v>61</v>
      </c>
      <c r="D60" s="5">
        <v>84</v>
      </c>
      <c r="E60" s="5">
        <v>65</v>
      </c>
      <c r="F60" s="5">
        <v>74</v>
      </c>
      <c r="G60" s="7">
        <v>0.4</v>
      </c>
      <c r="H60" s="5">
        <v>40</v>
      </c>
      <c r="I60" s="5" t="s">
        <v>47</v>
      </c>
      <c r="J60" s="5"/>
      <c r="K60" s="5">
        <v>67</v>
      </c>
      <c r="L60" s="5">
        <f t="shared" si="14"/>
        <v>-2</v>
      </c>
      <c r="M60" s="5"/>
      <c r="N60" s="5"/>
      <c r="O60" s="5"/>
      <c r="P60" s="5"/>
      <c r="Q60" s="5">
        <v>128.4</v>
      </c>
      <c r="R60" s="5"/>
      <c r="S60" s="5"/>
      <c r="T60" s="5">
        <f t="shared" si="15"/>
        <v>13</v>
      </c>
      <c r="U60" s="4"/>
      <c r="V60" s="4"/>
      <c r="W60" s="4"/>
      <c r="X60" s="4"/>
      <c r="Y60" s="4">
        <f>U60</f>
        <v>0</v>
      </c>
      <c r="Z60" s="4">
        <f t="shared" si="16"/>
        <v>0</v>
      </c>
      <c r="AA60" s="4"/>
      <c r="AB60" s="4"/>
      <c r="AC60" s="5">
        <f t="shared" si="11"/>
        <v>15.569230769230769</v>
      </c>
      <c r="AD60" s="5">
        <f t="shared" si="17"/>
        <v>15.569230769230769</v>
      </c>
      <c r="AE60" s="5">
        <v>17.2</v>
      </c>
      <c r="AF60" s="5">
        <v>11.2</v>
      </c>
      <c r="AG60" s="5">
        <v>7.8</v>
      </c>
      <c r="AH60" s="5">
        <v>11.2</v>
      </c>
      <c r="AI60" s="5">
        <v>12.4</v>
      </c>
      <c r="AJ60" s="5">
        <v>14.4</v>
      </c>
      <c r="AK60" s="5">
        <v>12.8</v>
      </c>
      <c r="AL60" s="5">
        <v>10</v>
      </c>
      <c r="AM60" s="5">
        <v>8.8000000000000007</v>
      </c>
      <c r="AN60" s="5">
        <v>7.8</v>
      </c>
      <c r="AO60" s="5"/>
      <c r="AP60" s="5">
        <f t="shared" si="18"/>
        <v>0</v>
      </c>
      <c r="AQ60" s="18">
        <f t="shared" si="19"/>
        <v>0</v>
      </c>
      <c r="AR60" s="18">
        <f t="shared" si="20"/>
        <v>0</v>
      </c>
      <c r="AS60" s="5">
        <f t="shared" si="21"/>
        <v>0</v>
      </c>
    </row>
    <row r="61" spans="1:45" x14ac:dyDescent="0.25">
      <c r="A61" s="5" t="s">
        <v>119</v>
      </c>
      <c r="B61" s="5" t="s">
        <v>46</v>
      </c>
      <c r="C61" s="5">
        <v>724.75900000000001</v>
      </c>
      <c r="D61" s="5">
        <v>1739.518</v>
      </c>
      <c r="E61" s="5">
        <v>757.56899999999996</v>
      </c>
      <c r="F61" s="5">
        <v>933.41399999999999</v>
      </c>
      <c r="G61" s="7">
        <v>1</v>
      </c>
      <c r="H61" s="5">
        <v>50</v>
      </c>
      <c r="I61" s="5" t="s">
        <v>47</v>
      </c>
      <c r="J61" s="5"/>
      <c r="K61" s="5">
        <v>744.24</v>
      </c>
      <c r="L61" s="5">
        <f t="shared" si="14"/>
        <v>13.328999999999951</v>
      </c>
      <c r="M61" s="5"/>
      <c r="N61" s="5"/>
      <c r="O61" s="5"/>
      <c r="P61" s="5"/>
      <c r="Q61" s="5">
        <v>295.69120000000021</v>
      </c>
      <c r="R61" s="5"/>
      <c r="S61" s="5"/>
      <c r="T61" s="5">
        <f t="shared" si="15"/>
        <v>151.5138</v>
      </c>
      <c r="U61" s="4">
        <f>11*T61-R61-Q61-P61-O61-F61-V61-AB61</f>
        <v>60.605520000000126</v>
      </c>
      <c r="V61" s="4">
        <v>376.94107999999977</v>
      </c>
      <c r="W61" s="4"/>
      <c r="X61" s="4"/>
      <c r="Y61" s="22">
        <v>350</v>
      </c>
      <c r="Z61" s="4">
        <f t="shared" si="16"/>
        <v>0</v>
      </c>
      <c r="AA61" s="22">
        <v>350</v>
      </c>
      <c r="AB61" s="4"/>
      <c r="AC61" s="5">
        <f t="shared" si="11"/>
        <v>12.910020605383799</v>
      </c>
      <c r="AD61" s="5">
        <f t="shared" si="17"/>
        <v>8.1121666805267907</v>
      </c>
      <c r="AE61" s="5">
        <v>152.57759999999999</v>
      </c>
      <c r="AF61" s="5">
        <v>151.32759999999999</v>
      </c>
      <c r="AG61" s="5">
        <v>138.55520000000001</v>
      </c>
      <c r="AH61" s="5">
        <v>142.07140000000001</v>
      </c>
      <c r="AI61" s="5">
        <v>139.2654</v>
      </c>
      <c r="AJ61" s="5">
        <v>135.7242</v>
      </c>
      <c r="AK61" s="5">
        <v>150.4196</v>
      </c>
      <c r="AL61" s="5">
        <v>157.773</v>
      </c>
      <c r="AM61" s="5">
        <v>158.69540000000001</v>
      </c>
      <c r="AN61" s="5">
        <v>162.9692</v>
      </c>
      <c r="AO61" s="5"/>
      <c r="AP61" s="5">
        <f t="shared" si="18"/>
        <v>377</v>
      </c>
      <c r="AQ61" s="18">
        <f t="shared" si="19"/>
        <v>0</v>
      </c>
      <c r="AR61" s="18">
        <f t="shared" si="20"/>
        <v>350</v>
      </c>
      <c r="AS61" s="5">
        <f t="shared" si="21"/>
        <v>0</v>
      </c>
    </row>
    <row r="62" spans="1:45" x14ac:dyDescent="0.25">
      <c r="A62" s="10" t="s">
        <v>120</v>
      </c>
      <c r="B62" s="10" t="s">
        <v>46</v>
      </c>
      <c r="C62" s="10"/>
      <c r="D62" s="10">
        <v>1711.201</v>
      </c>
      <c r="E62" s="10"/>
      <c r="F62" s="10">
        <v>435.47699999999998</v>
      </c>
      <c r="G62" s="11">
        <v>0</v>
      </c>
      <c r="H62" s="10"/>
      <c r="I62" s="10" t="s">
        <v>121</v>
      </c>
      <c r="J62" s="10" t="s">
        <v>122</v>
      </c>
      <c r="K62" s="10"/>
      <c r="L62" s="10">
        <f t="shared" si="14"/>
        <v>0</v>
      </c>
      <c r="M62" s="10"/>
      <c r="N62" s="10"/>
      <c r="O62" s="10"/>
      <c r="P62" s="10"/>
      <c r="Q62" s="10">
        <v>0</v>
      </c>
      <c r="R62" s="10"/>
      <c r="S62" s="10"/>
      <c r="T62" s="10">
        <f t="shared" si="15"/>
        <v>0</v>
      </c>
      <c r="U62" s="12"/>
      <c r="V62" s="12"/>
      <c r="W62" s="12"/>
      <c r="X62" s="12"/>
      <c r="Y62" s="4">
        <f>U62</f>
        <v>0</v>
      </c>
      <c r="Z62" s="4">
        <f t="shared" si="16"/>
        <v>0</v>
      </c>
      <c r="AA62" s="4"/>
      <c r="AB62" s="12"/>
      <c r="AC62" s="5" t="e">
        <f t="shared" si="11"/>
        <v>#DIV/0!</v>
      </c>
      <c r="AD62" s="10" t="e">
        <f t="shared" si="17"/>
        <v>#DIV/0!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10">
        <v>0</v>
      </c>
      <c r="AO62" s="10"/>
      <c r="AP62" s="5">
        <f t="shared" si="18"/>
        <v>0</v>
      </c>
      <c r="AQ62" s="18">
        <f t="shared" si="19"/>
        <v>0</v>
      </c>
      <c r="AR62" s="18">
        <f t="shared" si="20"/>
        <v>0</v>
      </c>
      <c r="AS62" s="5">
        <f t="shared" si="21"/>
        <v>0</v>
      </c>
    </row>
    <row r="63" spans="1:45" x14ac:dyDescent="0.25">
      <c r="A63" s="5" t="s">
        <v>123</v>
      </c>
      <c r="B63" s="5" t="s">
        <v>53</v>
      </c>
      <c r="C63" s="5">
        <v>698</v>
      </c>
      <c r="D63" s="5"/>
      <c r="E63" s="5">
        <v>230</v>
      </c>
      <c r="F63" s="5">
        <v>389</v>
      </c>
      <c r="G63" s="7">
        <v>0.1</v>
      </c>
      <c r="H63" s="5">
        <v>731</v>
      </c>
      <c r="I63" s="5" t="s">
        <v>47</v>
      </c>
      <c r="J63" s="5"/>
      <c r="K63" s="5">
        <v>230</v>
      </c>
      <c r="L63" s="5">
        <f t="shared" si="14"/>
        <v>0</v>
      </c>
      <c r="M63" s="5"/>
      <c r="N63" s="5"/>
      <c r="O63" s="5"/>
      <c r="P63" s="5"/>
      <c r="Q63" s="5">
        <v>0</v>
      </c>
      <c r="R63" s="5"/>
      <c r="S63" s="5"/>
      <c r="T63" s="5">
        <f t="shared" si="15"/>
        <v>46</v>
      </c>
      <c r="U63" s="4">
        <f t="shared" ref="U63:U68" si="23">11*T63-R63-Q63-P63-O63-F63-V63-AB63</f>
        <v>18.400000000000034</v>
      </c>
      <c r="V63" s="4">
        <v>98.599999999999966</v>
      </c>
      <c r="W63" s="4"/>
      <c r="X63" s="4"/>
      <c r="Y63" s="4">
        <f>U63</f>
        <v>18.400000000000034</v>
      </c>
      <c r="Z63" s="4">
        <f t="shared" si="16"/>
        <v>18.400000000000034</v>
      </c>
      <c r="AA63" s="4"/>
      <c r="AB63" s="4"/>
      <c r="AC63" s="5">
        <f t="shared" si="11"/>
        <v>11</v>
      </c>
      <c r="AD63" s="5">
        <f t="shared" si="17"/>
        <v>8.4565217391304355</v>
      </c>
      <c r="AE63" s="5">
        <v>43</v>
      </c>
      <c r="AF63" s="5">
        <v>32</v>
      </c>
      <c r="AG63" s="5">
        <v>24.4</v>
      </c>
      <c r="AH63" s="5">
        <v>32.4</v>
      </c>
      <c r="AI63" s="5">
        <v>36.4</v>
      </c>
      <c r="AJ63" s="5">
        <v>33.4</v>
      </c>
      <c r="AK63" s="5">
        <v>29</v>
      </c>
      <c r="AL63" s="5">
        <v>31.2</v>
      </c>
      <c r="AM63" s="5">
        <v>33.799999999999997</v>
      </c>
      <c r="AN63" s="5">
        <v>31</v>
      </c>
      <c r="AO63" s="5"/>
      <c r="AP63" s="5">
        <f t="shared" si="18"/>
        <v>10</v>
      </c>
      <c r="AQ63" s="18">
        <f t="shared" si="19"/>
        <v>2</v>
      </c>
      <c r="AR63" s="18">
        <f t="shared" si="20"/>
        <v>0</v>
      </c>
      <c r="AS63" s="5">
        <f t="shared" si="21"/>
        <v>0</v>
      </c>
    </row>
    <row r="64" spans="1:45" x14ac:dyDescent="0.25">
      <c r="A64" s="5" t="s">
        <v>124</v>
      </c>
      <c r="B64" s="5" t="s">
        <v>46</v>
      </c>
      <c r="C64" s="5">
        <v>919.13199999999995</v>
      </c>
      <c r="D64" s="5">
        <v>1684.4590000000001</v>
      </c>
      <c r="E64" s="5">
        <v>891.947</v>
      </c>
      <c r="F64" s="5">
        <v>1192.845</v>
      </c>
      <c r="G64" s="7">
        <v>1</v>
      </c>
      <c r="H64" s="5">
        <v>50</v>
      </c>
      <c r="I64" s="5" t="s">
        <v>47</v>
      </c>
      <c r="J64" s="5"/>
      <c r="K64" s="5">
        <v>884.58</v>
      </c>
      <c r="L64" s="5">
        <f t="shared" si="14"/>
        <v>7.3669999999999618</v>
      </c>
      <c r="M64" s="5"/>
      <c r="N64" s="5"/>
      <c r="O64" s="5"/>
      <c r="P64" s="5"/>
      <c r="Q64" s="5">
        <v>267.03525202959969</v>
      </c>
      <c r="R64" s="5">
        <v>457.02996497039948</v>
      </c>
      <c r="S64" s="5"/>
      <c r="T64" s="5">
        <f t="shared" si="15"/>
        <v>178.38939999999999</v>
      </c>
      <c r="U64" s="4">
        <f t="shared" si="23"/>
        <v>45.373183000000836</v>
      </c>
      <c r="V64" s="4"/>
      <c r="W64" s="4"/>
      <c r="X64" s="4"/>
      <c r="Y64" s="22">
        <v>400</v>
      </c>
      <c r="Z64" s="4">
        <f t="shared" si="16"/>
        <v>0</v>
      </c>
      <c r="AA64" s="22">
        <v>400</v>
      </c>
      <c r="AB64" s="4"/>
      <c r="AC64" s="5">
        <f t="shared" si="11"/>
        <v>12.987936598250789</v>
      </c>
      <c r="AD64" s="5">
        <f t="shared" si="17"/>
        <v>10.74565090190336</v>
      </c>
      <c r="AE64" s="5">
        <v>198.24420000000001</v>
      </c>
      <c r="AF64" s="5">
        <v>186.80680000000001</v>
      </c>
      <c r="AG64" s="5">
        <v>175.28739999999999</v>
      </c>
      <c r="AH64" s="5">
        <v>181.8802</v>
      </c>
      <c r="AI64" s="5">
        <v>201.43039999999999</v>
      </c>
      <c r="AJ64" s="5">
        <v>197.81720000000001</v>
      </c>
      <c r="AK64" s="5">
        <v>133.85419999999999</v>
      </c>
      <c r="AL64" s="5">
        <v>120.19540000000001</v>
      </c>
      <c r="AM64" s="5">
        <v>164.78899999999999</v>
      </c>
      <c r="AN64" s="5">
        <v>169.20179999999999</v>
      </c>
      <c r="AO64" s="5"/>
      <c r="AP64" s="5">
        <f t="shared" si="18"/>
        <v>0</v>
      </c>
      <c r="AQ64" s="18">
        <f t="shared" si="19"/>
        <v>0</v>
      </c>
      <c r="AR64" s="18">
        <f t="shared" si="20"/>
        <v>400</v>
      </c>
      <c r="AS64" s="5">
        <f t="shared" si="21"/>
        <v>0</v>
      </c>
    </row>
    <row r="65" spans="1:45" x14ac:dyDescent="0.25">
      <c r="A65" s="5" t="s">
        <v>125</v>
      </c>
      <c r="B65" s="5" t="s">
        <v>46</v>
      </c>
      <c r="C65" s="5">
        <v>152.51499999999999</v>
      </c>
      <c r="D65" s="5">
        <v>74.760000000000005</v>
      </c>
      <c r="E65" s="5">
        <v>104.241</v>
      </c>
      <c r="F65" s="5">
        <v>104.232</v>
      </c>
      <c r="G65" s="7">
        <v>1</v>
      </c>
      <c r="H65" s="5">
        <v>55</v>
      </c>
      <c r="I65" s="5" t="s">
        <v>47</v>
      </c>
      <c r="J65" s="5"/>
      <c r="K65" s="5">
        <v>101.95</v>
      </c>
      <c r="L65" s="5">
        <f t="shared" si="14"/>
        <v>2.2909999999999968</v>
      </c>
      <c r="M65" s="5"/>
      <c r="N65" s="5"/>
      <c r="O65" s="5"/>
      <c r="P65" s="5"/>
      <c r="Q65" s="5">
        <v>58.729844000000007</v>
      </c>
      <c r="R65" s="5"/>
      <c r="S65" s="5"/>
      <c r="T65" s="5">
        <f t="shared" si="15"/>
        <v>20.848199999999999</v>
      </c>
      <c r="U65" s="4">
        <f t="shared" si="23"/>
        <v>66.368355999999977</v>
      </c>
      <c r="V65" s="4"/>
      <c r="W65" s="4"/>
      <c r="X65" s="4"/>
      <c r="Y65" s="4">
        <f>U65</f>
        <v>66.368355999999977</v>
      </c>
      <c r="Z65" s="4">
        <f t="shared" si="16"/>
        <v>66.368355999999977</v>
      </c>
      <c r="AA65" s="4"/>
      <c r="AB65" s="4"/>
      <c r="AC65" s="5">
        <f t="shared" si="11"/>
        <v>11</v>
      </c>
      <c r="AD65" s="5">
        <f t="shared" si="17"/>
        <v>7.8165905929528696</v>
      </c>
      <c r="AE65" s="5">
        <v>17.22</v>
      </c>
      <c r="AF65" s="5">
        <v>18.130600000000001</v>
      </c>
      <c r="AG65" s="5">
        <v>18.803999999999998</v>
      </c>
      <c r="AH65" s="5">
        <v>19.883600000000001</v>
      </c>
      <c r="AI65" s="5">
        <v>22.8446</v>
      </c>
      <c r="AJ65" s="5">
        <v>22.9194</v>
      </c>
      <c r="AK65" s="5">
        <v>20.6586</v>
      </c>
      <c r="AL65" s="5">
        <v>19.6098</v>
      </c>
      <c r="AM65" s="5">
        <v>22.2102</v>
      </c>
      <c r="AN65" s="5">
        <v>19.939399999999999</v>
      </c>
      <c r="AO65" s="5"/>
      <c r="AP65" s="5">
        <f t="shared" si="18"/>
        <v>0</v>
      </c>
      <c r="AQ65" s="18">
        <f t="shared" si="19"/>
        <v>66</v>
      </c>
      <c r="AR65" s="18">
        <f t="shared" si="20"/>
        <v>0</v>
      </c>
      <c r="AS65" s="5">
        <f t="shared" si="21"/>
        <v>0</v>
      </c>
    </row>
    <row r="66" spans="1:45" x14ac:dyDescent="0.25">
      <c r="A66" s="5" t="s">
        <v>126</v>
      </c>
      <c r="B66" s="5" t="s">
        <v>53</v>
      </c>
      <c r="C66" s="5">
        <v>371</v>
      </c>
      <c r="D66" s="5">
        <v>7</v>
      </c>
      <c r="E66" s="5">
        <v>230</v>
      </c>
      <c r="F66" s="5">
        <v>146</v>
      </c>
      <c r="G66" s="7">
        <v>0.1</v>
      </c>
      <c r="H66" s="5">
        <v>731</v>
      </c>
      <c r="I66" s="5" t="s">
        <v>47</v>
      </c>
      <c r="J66" s="5"/>
      <c r="K66" s="5">
        <v>230</v>
      </c>
      <c r="L66" s="5">
        <f t="shared" si="14"/>
        <v>0</v>
      </c>
      <c r="M66" s="5"/>
      <c r="N66" s="5"/>
      <c r="O66" s="5"/>
      <c r="P66" s="5"/>
      <c r="Q66" s="5">
        <v>299.39999999999998</v>
      </c>
      <c r="R66" s="5"/>
      <c r="S66" s="5"/>
      <c r="T66" s="5">
        <f t="shared" si="15"/>
        <v>46</v>
      </c>
      <c r="U66" s="4">
        <f t="shared" si="23"/>
        <v>60.600000000000023</v>
      </c>
      <c r="V66" s="4"/>
      <c r="W66" s="4"/>
      <c r="X66" s="4"/>
      <c r="Y66" s="4">
        <f>U66</f>
        <v>60.600000000000023</v>
      </c>
      <c r="Z66" s="4">
        <f t="shared" si="16"/>
        <v>60.600000000000023</v>
      </c>
      <c r="AA66" s="4"/>
      <c r="AB66" s="4"/>
      <c r="AC66" s="5">
        <f t="shared" si="11"/>
        <v>11</v>
      </c>
      <c r="AD66" s="5">
        <f t="shared" si="17"/>
        <v>9.6826086956521742</v>
      </c>
      <c r="AE66" s="5">
        <v>42.2</v>
      </c>
      <c r="AF66" s="5">
        <v>26</v>
      </c>
      <c r="AG66" s="5">
        <v>19</v>
      </c>
      <c r="AH66" s="5">
        <v>26.4</v>
      </c>
      <c r="AI66" s="5">
        <v>35</v>
      </c>
      <c r="AJ66" s="5">
        <v>34.4</v>
      </c>
      <c r="AK66" s="5">
        <v>28.6</v>
      </c>
      <c r="AL66" s="5">
        <v>33.6</v>
      </c>
      <c r="AM66" s="5">
        <v>33.6</v>
      </c>
      <c r="AN66" s="5">
        <v>24.6</v>
      </c>
      <c r="AO66" s="5"/>
      <c r="AP66" s="5">
        <f t="shared" si="18"/>
        <v>0</v>
      </c>
      <c r="AQ66" s="18">
        <f t="shared" si="19"/>
        <v>6</v>
      </c>
      <c r="AR66" s="18">
        <f t="shared" si="20"/>
        <v>0</v>
      </c>
      <c r="AS66" s="5">
        <f t="shared" si="21"/>
        <v>0</v>
      </c>
    </row>
    <row r="67" spans="1:45" x14ac:dyDescent="0.25">
      <c r="A67" s="5" t="s">
        <v>127</v>
      </c>
      <c r="B67" s="5" t="s">
        <v>53</v>
      </c>
      <c r="C67" s="5">
        <v>369</v>
      </c>
      <c r="D67" s="5">
        <v>740</v>
      </c>
      <c r="E67" s="5">
        <v>303</v>
      </c>
      <c r="F67" s="5">
        <v>164</v>
      </c>
      <c r="G67" s="7">
        <v>0.4</v>
      </c>
      <c r="H67" s="5">
        <v>50</v>
      </c>
      <c r="I67" s="5" t="s">
        <v>47</v>
      </c>
      <c r="J67" s="5"/>
      <c r="K67" s="5">
        <v>303</v>
      </c>
      <c r="L67" s="5">
        <f t="shared" si="14"/>
        <v>0</v>
      </c>
      <c r="M67" s="5"/>
      <c r="N67" s="5"/>
      <c r="O67" s="5"/>
      <c r="P67" s="5"/>
      <c r="Q67" s="5">
        <v>270.8</v>
      </c>
      <c r="R67" s="5"/>
      <c r="S67" s="5"/>
      <c r="T67" s="5">
        <f t="shared" si="15"/>
        <v>60.6</v>
      </c>
      <c r="U67" s="4">
        <f t="shared" si="23"/>
        <v>24.240000000000009</v>
      </c>
      <c r="V67" s="4">
        <v>207.56</v>
      </c>
      <c r="W67" s="4"/>
      <c r="X67" s="4"/>
      <c r="Y67" s="4">
        <f>U67</f>
        <v>24.240000000000009</v>
      </c>
      <c r="Z67" s="4">
        <f t="shared" si="16"/>
        <v>24.240000000000009</v>
      </c>
      <c r="AA67" s="4"/>
      <c r="AB67" s="4"/>
      <c r="AC67" s="5">
        <f t="shared" si="11"/>
        <v>11</v>
      </c>
      <c r="AD67" s="5">
        <f t="shared" si="17"/>
        <v>7.1749174917491754</v>
      </c>
      <c r="AE67" s="5">
        <v>49.4</v>
      </c>
      <c r="AF67" s="5">
        <v>42.6</v>
      </c>
      <c r="AG67" s="5">
        <v>47.8</v>
      </c>
      <c r="AH67" s="5">
        <v>52.2</v>
      </c>
      <c r="AI67" s="5">
        <v>44.4</v>
      </c>
      <c r="AJ67" s="5">
        <v>44</v>
      </c>
      <c r="AK67" s="5">
        <v>44</v>
      </c>
      <c r="AL67" s="5">
        <v>47</v>
      </c>
      <c r="AM67" s="5">
        <v>54.8</v>
      </c>
      <c r="AN67" s="5">
        <v>46.8</v>
      </c>
      <c r="AO67" s="5"/>
      <c r="AP67" s="5">
        <f t="shared" si="18"/>
        <v>83</v>
      </c>
      <c r="AQ67" s="18">
        <f t="shared" si="19"/>
        <v>10</v>
      </c>
      <c r="AR67" s="18">
        <f t="shared" si="20"/>
        <v>0</v>
      </c>
      <c r="AS67" s="5">
        <f t="shared" si="21"/>
        <v>0</v>
      </c>
    </row>
    <row r="68" spans="1:45" x14ac:dyDescent="0.25">
      <c r="A68" s="5" t="s">
        <v>128</v>
      </c>
      <c r="B68" s="5" t="s">
        <v>46</v>
      </c>
      <c r="C68" s="5">
        <v>74.379000000000005</v>
      </c>
      <c r="D68" s="5">
        <v>39.783000000000001</v>
      </c>
      <c r="E68" s="5">
        <v>54.207000000000001</v>
      </c>
      <c r="F68" s="5">
        <v>57.223999999999997</v>
      </c>
      <c r="G68" s="7">
        <v>1</v>
      </c>
      <c r="H68" s="5">
        <v>40</v>
      </c>
      <c r="I68" s="5" t="s">
        <v>47</v>
      </c>
      <c r="J68" s="5"/>
      <c r="K68" s="5">
        <v>56.2</v>
      </c>
      <c r="L68" s="5">
        <f t="shared" si="14"/>
        <v>-1.9930000000000021</v>
      </c>
      <c r="M68" s="5"/>
      <c r="N68" s="5"/>
      <c r="O68" s="5"/>
      <c r="P68" s="5"/>
      <c r="Q68" s="5">
        <v>55.891800000000011</v>
      </c>
      <c r="R68" s="5"/>
      <c r="S68" s="5"/>
      <c r="T68" s="5">
        <f t="shared" si="15"/>
        <v>10.8414</v>
      </c>
      <c r="U68" s="4">
        <f t="shared" si="23"/>
        <v>6.1396000000000015</v>
      </c>
      <c r="V68" s="4"/>
      <c r="W68" s="4"/>
      <c r="X68" s="4"/>
      <c r="Y68" s="4">
        <f>U68</f>
        <v>6.1396000000000015</v>
      </c>
      <c r="Z68" s="4">
        <f t="shared" si="16"/>
        <v>6.1396000000000015</v>
      </c>
      <c r="AA68" s="4"/>
      <c r="AB68" s="4"/>
      <c r="AC68" s="5">
        <f t="shared" si="11"/>
        <v>11</v>
      </c>
      <c r="AD68" s="5">
        <f t="shared" si="17"/>
        <v>10.433689375910861</v>
      </c>
      <c r="AE68" s="5">
        <v>9.9244000000000003</v>
      </c>
      <c r="AF68" s="5">
        <v>8.3956</v>
      </c>
      <c r="AG68" s="5">
        <v>9.6593999999999998</v>
      </c>
      <c r="AH68" s="5">
        <v>9.9038000000000004</v>
      </c>
      <c r="AI68" s="5">
        <v>9.5695999999999994</v>
      </c>
      <c r="AJ68" s="5">
        <v>6.2734000000000014</v>
      </c>
      <c r="AK68" s="5">
        <v>4.3106</v>
      </c>
      <c r="AL68" s="5">
        <v>9.2512000000000008</v>
      </c>
      <c r="AM68" s="5">
        <v>10.3636</v>
      </c>
      <c r="AN68" s="5">
        <v>7.3794000000000004</v>
      </c>
      <c r="AO68" s="5"/>
      <c r="AP68" s="5">
        <f t="shared" si="18"/>
        <v>0</v>
      </c>
      <c r="AQ68" s="18">
        <f t="shared" si="19"/>
        <v>6</v>
      </c>
      <c r="AR68" s="18">
        <f t="shared" si="20"/>
        <v>0</v>
      </c>
      <c r="AS68" s="5">
        <f t="shared" si="21"/>
        <v>0</v>
      </c>
    </row>
    <row r="69" spans="1:45" x14ac:dyDescent="0.25">
      <c r="A69" s="5" t="s">
        <v>129</v>
      </c>
      <c r="B69" s="5" t="s">
        <v>46</v>
      </c>
      <c r="C69" s="5">
        <v>29</v>
      </c>
      <c r="D69" s="5"/>
      <c r="E69" s="5">
        <v>1.3620000000000001</v>
      </c>
      <c r="F69" s="5"/>
      <c r="G69" s="7">
        <v>1</v>
      </c>
      <c r="H69" s="5">
        <v>40</v>
      </c>
      <c r="I69" s="5" t="s">
        <v>47</v>
      </c>
      <c r="J69" s="5"/>
      <c r="K69" s="5">
        <v>13.2</v>
      </c>
      <c r="L69" s="5">
        <f t="shared" si="14"/>
        <v>-11.837999999999999</v>
      </c>
      <c r="M69" s="5"/>
      <c r="N69" s="5"/>
      <c r="O69" s="5"/>
      <c r="P69" s="5"/>
      <c r="Q69" s="5">
        <v>0</v>
      </c>
      <c r="R69" s="5"/>
      <c r="S69" s="5"/>
      <c r="T69" s="5">
        <f t="shared" si="15"/>
        <v>0.27240000000000003</v>
      </c>
      <c r="U69" s="4">
        <v>4</v>
      </c>
      <c r="V69" s="4">
        <v>10</v>
      </c>
      <c r="W69" s="4">
        <v>-16.2</v>
      </c>
      <c r="X69" s="4"/>
      <c r="Y69" s="4">
        <f>U69</f>
        <v>4</v>
      </c>
      <c r="Z69" s="4">
        <f t="shared" si="16"/>
        <v>4</v>
      </c>
      <c r="AA69" s="4"/>
      <c r="AB69" s="4"/>
      <c r="AC69" s="5">
        <f t="shared" si="11"/>
        <v>-8.07635829662261</v>
      </c>
      <c r="AD69" s="5">
        <f t="shared" si="17"/>
        <v>0</v>
      </c>
      <c r="AE69" s="5">
        <v>0</v>
      </c>
      <c r="AF69" s="5">
        <v>0</v>
      </c>
      <c r="AG69" s="5">
        <v>0</v>
      </c>
      <c r="AH69" s="5">
        <v>0</v>
      </c>
      <c r="AI69" s="5">
        <v>0.27100000000000002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/>
      <c r="AP69" s="5">
        <f t="shared" si="18"/>
        <v>10</v>
      </c>
      <c r="AQ69" s="18">
        <f t="shared" si="19"/>
        <v>4</v>
      </c>
      <c r="AR69" s="18">
        <f t="shared" si="20"/>
        <v>0</v>
      </c>
      <c r="AS69" s="5">
        <f t="shared" si="21"/>
        <v>0</v>
      </c>
    </row>
    <row r="70" spans="1:45" x14ac:dyDescent="0.25">
      <c r="A70" s="5" t="s">
        <v>131</v>
      </c>
      <c r="B70" s="5" t="s">
        <v>53</v>
      </c>
      <c r="C70" s="5">
        <v>766</v>
      </c>
      <c r="D70" s="5">
        <v>1100</v>
      </c>
      <c r="E70" s="5">
        <v>814</v>
      </c>
      <c r="F70" s="5">
        <v>734</v>
      </c>
      <c r="G70" s="7">
        <v>0.4</v>
      </c>
      <c r="H70" s="5">
        <v>40</v>
      </c>
      <c r="I70" s="5" t="s">
        <v>47</v>
      </c>
      <c r="J70" s="5"/>
      <c r="K70" s="5">
        <v>836</v>
      </c>
      <c r="L70" s="5">
        <f t="shared" ref="L70:L101" si="24">E70-K70</f>
        <v>-22</v>
      </c>
      <c r="M70" s="5"/>
      <c r="N70" s="5"/>
      <c r="O70" s="5"/>
      <c r="P70" s="5"/>
      <c r="Q70" s="5">
        <v>438.07576080000018</v>
      </c>
      <c r="R70" s="5">
        <v>749.76523920000034</v>
      </c>
      <c r="S70" s="5"/>
      <c r="T70" s="5">
        <f t="shared" ref="T70:T101" si="25">E70/5</f>
        <v>162.80000000000001</v>
      </c>
      <c r="U70" s="4"/>
      <c r="V70" s="4"/>
      <c r="W70" s="4"/>
      <c r="X70" s="4"/>
      <c r="Y70" s="22">
        <v>150</v>
      </c>
      <c r="Z70" s="4">
        <f t="shared" ref="Z70:Z101" si="26">Y70-AA70</f>
        <v>0</v>
      </c>
      <c r="AA70" s="22">
        <v>150</v>
      </c>
      <c r="AB70" s="4"/>
      <c r="AC70" s="5">
        <f t="shared" si="11"/>
        <v>12.726296068796071</v>
      </c>
      <c r="AD70" s="5">
        <f t="shared" ref="AD70:AD101" si="27">(F70+O70+P70+Q70+R70)/T70</f>
        <v>11.804920147420148</v>
      </c>
      <c r="AE70" s="5">
        <v>187.4</v>
      </c>
      <c r="AF70" s="5">
        <v>170.2</v>
      </c>
      <c r="AG70" s="5">
        <v>152.4</v>
      </c>
      <c r="AH70" s="5">
        <v>164.8</v>
      </c>
      <c r="AI70" s="5">
        <v>173.8</v>
      </c>
      <c r="AJ70" s="5">
        <v>160</v>
      </c>
      <c r="AK70" s="5">
        <v>166</v>
      </c>
      <c r="AL70" s="5">
        <v>117.8</v>
      </c>
      <c r="AM70" s="5">
        <v>1.8</v>
      </c>
      <c r="AN70" s="5">
        <v>59.2</v>
      </c>
      <c r="AO70" s="5"/>
      <c r="AP70" s="5">
        <f t="shared" ref="AP70:AP101" si="28">ROUND(G70*V70,0)</f>
        <v>0</v>
      </c>
      <c r="AQ70" s="18">
        <f t="shared" ref="AQ70:AQ101" si="29">ROUND(G70*Z70,0)</f>
        <v>0</v>
      </c>
      <c r="AR70" s="18">
        <f t="shared" ref="AR70:AR101" si="30">ROUND(G70*AA70,0)</f>
        <v>60</v>
      </c>
      <c r="AS70" s="5">
        <f t="shared" ref="AS70:AS101" si="31">ROUND(G70*AB70,0)</f>
        <v>0</v>
      </c>
    </row>
    <row r="71" spans="1:45" x14ac:dyDescent="0.25">
      <c r="A71" s="5" t="s">
        <v>132</v>
      </c>
      <c r="B71" s="5" t="s">
        <v>53</v>
      </c>
      <c r="C71" s="5">
        <v>524</v>
      </c>
      <c r="D71" s="5">
        <v>369</v>
      </c>
      <c r="E71" s="5">
        <v>510</v>
      </c>
      <c r="F71" s="5">
        <v>17</v>
      </c>
      <c r="G71" s="7">
        <v>0.4</v>
      </c>
      <c r="H71" s="5">
        <v>40</v>
      </c>
      <c r="I71" s="5" t="s">
        <v>47</v>
      </c>
      <c r="J71" s="5"/>
      <c r="K71" s="5">
        <v>665</v>
      </c>
      <c r="L71" s="5">
        <f t="shared" si="24"/>
        <v>-155</v>
      </c>
      <c r="M71" s="5"/>
      <c r="N71" s="5"/>
      <c r="O71" s="5"/>
      <c r="P71" s="5">
        <v>-366</v>
      </c>
      <c r="Q71" s="5">
        <v>365.94253760000021</v>
      </c>
      <c r="R71" s="5">
        <v>626.30946240000026</v>
      </c>
      <c r="S71" s="5">
        <f>-252/G71</f>
        <v>-630</v>
      </c>
      <c r="T71" s="5">
        <f t="shared" si="25"/>
        <v>102</v>
      </c>
      <c r="U71" s="4"/>
      <c r="V71" s="4">
        <v>71.947999999999581</v>
      </c>
      <c r="W71" s="4">
        <v>-78</v>
      </c>
      <c r="X71" s="4"/>
      <c r="Y71" s="22">
        <v>200</v>
      </c>
      <c r="Z71" s="4">
        <f t="shared" si="26"/>
        <v>0</v>
      </c>
      <c r="AA71" s="22">
        <v>200</v>
      </c>
      <c r="AB71" s="4">
        <v>850</v>
      </c>
      <c r="AC71" s="5">
        <f t="shared" ref="AC71:AC134" si="32">(F71+O71+P71+Q71+R71+Y71+AB71+V71+S71+X71+W71)/T71</f>
        <v>10.364705882352942</v>
      </c>
      <c r="AD71" s="5">
        <f t="shared" si="27"/>
        <v>6.3063921568627492</v>
      </c>
      <c r="AE71" s="5">
        <v>140.80000000000001</v>
      </c>
      <c r="AF71" s="5">
        <v>123.2</v>
      </c>
      <c r="AG71" s="5">
        <v>116.8</v>
      </c>
      <c r="AH71" s="5">
        <v>135.4</v>
      </c>
      <c r="AI71" s="5">
        <v>128.80000000000001</v>
      </c>
      <c r="AJ71" s="5">
        <v>117.6</v>
      </c>
      <c r="AK71" s="5">
        <v>112</v>
      </c>
      <c r="AL71" s="5">
        <v>118.8</v>
      </c>
      <c r="AM71" s="5">
        <v>136</v>
      </c>
      <c r="AN71" s="5">
        <v>111.2</v>
      </c>
      <c r="AO71" s="5"/>
      <c r="AP71" s="5">
        <f t="shared" si="28"/>
        <v>29</v>
      </c>
      <c r="AQ71" s="18">
        <f t="shared" si="29"/>
        <v>0</v>
      </c>
      <c r="AR71" s="18">
        <f t="shared" si="30"/>
        <v>80</v>
      </c>
      <c r="AS71" s="5">
        <f t="shared" si="31"/>
        <v>340</v>
      </c>
    </row>
    <row r="72" spans="1:45" x14ac:dyDescent="0.25">
      <c r="A72" s="5" t="s">
        <v>134</v>
      </c>
      <c r="B72" s="5" t="s">
        <v>46</v>
      </c>
      <c r="C72" s="5">
        <v>266.68299999999999</v>
      </c>
      <c r="D72" s="5">
        <v>511.85599999999999</v>
      </c>
      <c r="E72" s="5">
        <v>297.28100000000001</v>
      </c>
      <c r="F72" s="5">
        <v>381.40899999999999</v>
      </c>
      <c r="G72" s="7">
        <v>1</v>
      </c>
      <c r="H72" s="5">
        <v>40</v>
      </c>
      <c r="I72" s="5" t="s">
        <v>47</v>
      </c>
      <c r="J72" s="5"/>
      <c r="K72" s="5">
        <v>287.35000000000002</v>
      </c>
      <c r="L72" s="5">
        <f t="shared" si="24"/>
        <v>9.9309999999999832</v>
      </c>
      <c r="M72" s="5"/>
      <c r="N72" s="5"/>
      <c r="O72" s="5"/>
      <c r="P72" s="5"/>
      <c r="Q72" s="5">
        <v>253.7563339999999</v>
      </c>
      <c r="R72" s="5"/>
      <c r="S72" s="5"/>
      <c r="T72" s="5">
        <f t="shared" si="25"/>
        <v>59.456200000000003</v>
      </c>
      <c r="U72" s="4">
        <f t="shared" ref="U72:U78" si="33">11*T72-R72-Q72-P72-O72-F72-V72-AB72</f>
        <v>18.852866000000063</v>
      </c>
      <c r="V72" s="4"/>
      <c r="W72" s="4"/>
      <c r="X72" s="4"/>
      <c r="Y72" s="4">
        <f>U72</f>
        <v>18.852866000000063</v>
      </c>
      <c r="Z72" s="4">
        <f t="shared" si="26"/>
        <v>18.852866000000063</v>
      </c>
      <c r="AA72" s="4"/>
      <c r="AB72" s="4"/>
      <c r="AC72" s="5">
        <f t="shared" si="32"/>
        <v>11</v>
      </c>
      <c r="AD72" s="5">
        <f t="shared" si="27"/>
        <v>10.682911689613528</v>
      </c>
      <c r="AE72" s="5">
        <v>60.828000000000003</v>
      </c>
      <c r="AF72" s="5">
        <v>57.925600000000003</v>
      </c>
      <c r="AG72" s="5">
        <v>62.245600000000003</v>
      </c>
      <c r="AH72" s="5">
        <v>58.9818</v>
      </c>
      <c r="AI72" s="5">
        <v>54.386400000000002</v>
      </c>
      <c r="AJ72" s="5">
        <v>55.517999999999986</v>
      </c>
      <c r="AK72" s="5">
        <v>56.362400000000001</v>
      </c>
      <c r="AL72" s="5">
        <v>55.415399999999998</v>
      </c>
      <c r="AM72" s="5">
        <v>51.524800000000013</v>
      </c>
      <c r="AN72" s="5">
        <v>54.320799999999998</v>
      </c>
      <c r="AO72" s="5"/>
      <c r="AP72" s="5">
        <f t="shared" si="28"/>
        <v>0</v>
      </c>
      <c r="AQ72" s="18">
        <f t="shared" si="29"/>
        <v>19</v>
      </c>
      <c r="AR72" s="18">
        <f t="shared" si="30"/>
        <v>0</v>
      </c>
      <c r="AS72" s="5">
        <f t="shared" si="31"/>
        <v>0</v>
      </c>
    </row>
    <row r="73" spans="1:45" x14ac:dyDescent="0.25">
      <c r="A73" s="5" t="s">
        <v>135</v>
      </c>
      <c r="B73" s="5" t="s">
        <v>46</v>
      </c>
      <c r="C73" s="5">
        <v>315.327</v>
      </c>
      <c r="D73" s="5">
        <v>598.14099999999996</v>
      </c>
      <c r="E73" s="5">
        <v>370.81200000000001</v>
      </c>
      <c r="F73" s="5">
        <v>360.25599999999997</v>
      </c>
      <c r="G73" s="7">
        <v>1</v>
      </c>
      <c r="H73" s="5">
        <v>40</v>
      </c>
      <c r="I73" s="5" t="s">
        <v>47</v>
      </c>
      <c r="J73" s="5"/>
      <c r="K73" s="5">
        <v>357.5</v>
      </c>
      <c r="L73" s="5">
        <f t="shared" si="24"/>
        <v>13.312000000000012</v>
      </c>
      <c r="M73" s="5"/>
      <c r="N73" s="5"/>
      <c r="O73" s="5"/>
      <c r="P73" s="5"/>
      <c r="Q73" s="5">
        <v>292.33089999999999</v>
      </c>
      <c r="R73" s="5"/>
      <c r="S73" s="5"/>
      <c r="T73" s="5">
        <f t="shared" si="25"/>
        <v>74.162400000000005</v>
      </c>
      <c r="U73" s="4">
        <f t="shared" si="33"/>
        <v>29.664960000000065</v>
      </c>
      <c r="V73" s="4">
        <v>133.53453999999999</v>
      </c>
      <c r="W73" s="4"/>
      <c r="X73" s="4"/>
      <c r="Y73" s="4">
        <f>U73</f>
        <v>29.664960000000065</v>
      </c>
      <c r="Z73" s="4">
        <f t="shared" si="26"/>
        <v>29.664960000000065</v>
      </c>
      <c r="AA73" s="4"/>
      <c r="AB73" s="4"/>
      <c r="AC73" s="5">
        <f t="shared" si="32"/>
        <v>11</v>
      </c>
      <c r="AD73" s="5">
        <f t="shared" si="27"/>
        <v>8.7994307088227988</v>
      </c>
      <c r="AE73" s="5">
        <v>74.625</v>
      </c>
      <c r="AF73" s="5">
        <v>66.962000000000003</v>
      </c>
      <c r="AG73" s="5">
        <v>73.197400000000002</v>
      </c>
      <c r="AH73" s="5">
        <v>65.809600000000003</v>
      </c>
      <c r="AI73" s="5">
        <v>65.876199999999997</v>
      </c>
      <c r="AJ73" s="5">
        <v>82.411199999999994</v>
      </c>
      <c r="AK73" s="5">
        <v>48.477800000000002</v>
      </c>
      <c r="AL73" s="5">
        <v>36.398000000000003</v>
      </c>
      <c r="AM73" s="5">
        <v>60.998600000000003</v>
      </c>
      <c r="AN73" s="5">
        <v>63.899800000000013</v>
      </c>
      <c r="AO73" s="5"/>
      <c r="AP73" s="5">
        <f t="shared" si="28"/>
        <v>134</v>
      </c>
      <c r="AQ73" s="18">
        <f t="shared" si="29"/>
        <v>30</v>
      </c>
      <c r="AR73" s="18">
        <f t="shared" si="30"/>
        <v>0</v>
      </c>
      <c r="AS73" s="5">
        <f t="shared" si="31"/>
        <v>0</v>
      </c>
    </row>
    <row r="74" spans="1:45" x14ac:dyDescent="0.25">
      <c r="A74" s="5" t="s">
        <v>136</v>
      </c>
      <c r="B74" s="5" t="s">
        <v>46</v>
      </c>
      <c r="C74" s="5">
        <v>776.43899999999996</v>
      </c>
      <c r="D74" s="5">
        <v>1334.979</v>
      </c>
      <c r="E74" s="5">
        <v>864.36300000000006</v>
      </c>
      <c r="F74" s="5">
        <v>1032.691</v>
      </c>
      <c r="G74" s="7">
        <v>1</v>
      </c>
      <c r="H74" s="5">
        <v>40</v>
      </c>
      <c r="I74" s="5" t="s">
        <v>47</v>
      </c>
      <c r="J74" s="5"/>
      <c r="K74" s="5">
        <v>832.65</v>
      </c>
      <c r="L74" s="5">
        <f t="shared" si="24"/>
        <v>31.713000000000079</v>
      </c>
      <c r="M74" s="5"/>
      <c r="N74" s="5"/>
      <c r="O74" s="5"/>
      <c r="P74" s="5"/>
      <c r="Q74" s="5">
        <v>170.7805519768001</v>
      </c>
      <c r="R74" s="5">
        <v>292.29035902320021</v>
      </c>
      <c r="S74" s="5"/>
      <c r="T74" s="5">
        <f t="shared" si="25"/>
        <v>172.87260000000001</v>
      </c>
      <c r="U74" s="4">
        <f t="shared" si="33"/>
        <v>69.14904000000007</v>
      </c>
      <c r="V74" s="4">
        <v>336.68764899999968</v>
      </c>
      <c r="W74" s="4"/>
      <c r="X74" s="4"/>
      <c r="Y74" s="22">
        <v>400</v>
      </c>
      <c r="Z74" s="4">
        <f t="shared" si="26"/>
        <v>0</v>
      </c>
      <c r="AA74" s="22">
        <v>400</v>
      </c>
      <c r="AB74" s="4"/>
      <c r="AC74" s="5">
        <f t="shared" si="32"/>
        <v>12.913842679522377</v>
      </c>
      <c r="AD74" s="5">
        <f t="shared" si="27"/>
        <v>8.6523943701893771</v>
      </c>
      <c r="AE74" s="5">
        <v>159.3614</v>
      </c>
      <c r="AF74" s="5">
        <v>169.21940000000001</v>
      </c>
      <c r="AG74" s="5">
        <v>161.20079999999999</v>
      </c>
      <c r="AH74" s="5">
        <v>159.1652</v>
      </c>
      <c r="AI74" s="5">
        <v>160.1902</v>
      </c>
      <c r="AJ74" s="5">
        <v>149.44159999999999</v>
      </c>
      <c r="AK74" s="5">
        <v>190.0198</v>
      </c>
      <c r="AL74" s="5">
        <v>208.4572</v>
      </c>
      <c r="AM74" s="5">
        <v>162.64080000000001</v>
      </c>
      <c r="AN74" s="5">
        <v>146.6738</v>
      </c>
      <c r="AO74" s="5"/>
      <c r="AP74" s="5">
        <f t="shared" si="28"/>
        <v>337</v>
      </c>
      <c r="AQ74" s="18">
        <f t="shared" si="29"/>
        <v>0</v>
      </c>
      <c r="AR74" s="18">
        <f t="shared" si="30"/>
        <v>400</v>
      </c>
      <c r="AS74" s="5">
        <f t="shared" si="31"/>
        <v>0</v>
      </c>
    </row>
    <row r="75" spans="1:45" x14ac:dyDescent="0.25">
      <c r="A75" s="5" t="s">
        <v>137</v>
      </c>
      <c r="B75" s="5" t="s">
        <v>46</v>
      </c>
      <c r="C75" s="5">
        <v>244.54900000000001</v>
      </c>
      <c r="D75" s="5">
        <v>489.4</v>
      </c>
      <c r="E75" s="5">
        <v>263.97699999999998</v>
      </c>
      <c r="F75" s="5">
        <v>354.41199999999998</v>
      </c>
      <c r="G75" s="7">
        <v>1</v>
      </c>
      <c r="H75" s="5">
        <v>40</v>
      </c>
      <c r="I75" s="5" t="s">
        <v>47</v>
      </c>
      <c r="J75" s="5"/>
      <c r="K75" s="5">
        <v>253</v>
      </c>
      <c r="L75" s="5">
        <f t="shared" si="24"/>
        <v>10.976999999999975</v>
      </c>
      <c r="M75" s="5"/>
      <c r="N75" s="5"/>
      <c r="O75" s="5"/>
      <c r="P75" s="5"/>
      <c r="Q75" s="5">
        <v>108.03060000000001</v>
      </c>
      <c r="R75" s="5"/>
      <c r="S75" s="5"/>
      <c r="T75" s="5">
        <f t="shared" si="25"/>
        <v>52.795399999999994</v>
      </c>
      <c r="U75" s="4">
        <f t="shared" si="33"/>
        <v>21.118159999999989</v>
      </c>
      <c r="V75" s="4">
        <v>97.188639999999964</v>
      </c>
      <c r="W75" s="4"/>
      <c r="X75" s="4"/>
      <c r="Y75" s="4">
        <f t="shared" ref="Y75:Y92" si="34">U75</f>
        <v>21.118159999999989</v>
      </c>
      <c r="Z75" s="4">
        <f t="shared" si="26"/>
        <v>21.118159999999989</v>
      </c>
      <c r="AA75" s="4"/>
      <c r="AB75" s="4"/>
      <c r="AC75" s="5">
        <f t="shared" si="32"/>
        <v>11</v>
      </c>
      <c r="AD75" s="5">
        <f t="shared" si="27"/>
        <v>8.7591456831466381</v>
      </c>
      <c r="AE75" s="5">
        <v>48.722799999999999</v>
      </c>
      <c r="AF75" s="5">
        <v>50.617800000000003</v>
      </c>
      <c r="AG75" s="5">
        <v>59.919400000000003</v>
      </c>
      <c r="AH75" s="5">
        <v>55.928999999999988</v>
      </c>
      <c r="AI75" s="5">
        <v>43.223999999999997</v>
      </c>
      <c r="AJ75" s="5">
        <v>44.775199999999998</v>
      </c>
      <c r="AK75" s="5">
        <v>49.704599999999999</v>
      </c>
      <c r="AL75" s="5">
        <v>48.999200000000002</v>
      </c>
      <c r="AM75" s="5">
        <v>42.549799999999998</v>
      </c>
      <c r="AN75" s="5">
        <v>40.731400000000001</v>
      </c>
      <c r="AO75" s="5"/>
      <c r="AP75" s="5">
        <f t="shared" si="28"/>
        <v>97</v>
      </c>
      <c r="AQ75" s="18">
        <f t="shared" si="29"/>
        <v>21</v>
      </c>
      <c r="AR75" s="18">
        <f t="shared" si="30"/>
        <v>0</v>
      </c>
      <c r="AS75" s="5">
        <f t="shared" si="31"/>
        <v>0</v>
      </c>
    </row>
    <row r="76" spans="1:45" x14ac:dyDescent="0.25">
      <c r="A76" s="5" t="s">
        <v>138</v>
      </c>
      <c r="B76" s="5" t="s">
        <v>53</v>
      </c>
      <c r="C76" s="5">
        <v>16</v>
      </c>
      <c r="D76" s="5">
        <v>1</v>
      </c>
      <c r="E76" s="5">
        <v>10</v>
      </c>
      <c r="F76" s="5">
        <v>1</v>
      </c>
      <c r="G76" s="7">
        <v>0.6</v>
      </c>
      <c r="H76" s="5">
        <v>70</v>
      </c>
      <c r="I76" s="5" t="s">
        <v>47</v>
      </c>
      <c r="J76" s="5"/>
      <c r="K76" s="5">
        <v>10</v>
      </c>
      <c r="L76" s="5">
        <f t="shared" si="24"/>
        <v>0</v>
      </c>
      <c r="M76" s="5"/>
      <c r="N76" s="5"/>
      <c r="O76" s="5"/>
      <c r="P76" s="5"/>
      <c r="Q76" s="5">
        <v>14</v>
      </c>
      <c r="R76" s="5"/>
      <c r="S76" s="5"/>
      <c r="T76" s="5">
        <f t="shared" si="25"/>
        <v>2</v>
      </c>
      <c r="U76" s="4">
        <f t="shared" si="33"/>
        <v>7</v>
      </c>
      <c r="V76" s="4"/>
      <c r="W76" s="4"/>
      <c r="X76" s="4"/>
      <c r="Y76" s="4">
        <f t="shared" si="34"/>
        <v>7</v>
      </c>
      <c r="Z76" s="4">
        <f t="shared" si="26"/>
        <v>7</v>
      </c>
      <c r="AA76" s="4"/>
      <c r="AB76" s="4"/>
      <c r="AC76" s="5">
        <f t="shared" si="32"/>
        <v>11</v>
      </c>
      <c r="AD76" s="5">
        <f t="shared" si="27"/>
        <v>7.5</v>
      </c>
      <c r="AE76" s="5">
        <v>2</v>
      </c>
      <c r="AF76" s="5">
        <v>0.8</v>
      </c>
      <c r="AG76" s="5">
        <v>0.8</v>
      </c>
      <c r="AH76" s="5">
        <v>1</v>
      </c>
      <c r="AI76" s="5">
        <v>0.8</v>
      </c>
      <c r="AJ76" s="5">
        <v>1.4</v>
      </c>
      <c r="AK76" s="5">
        <v>1.8</v>
      </c>
      <c r="AL76" s="5">
        <v>2.2000000000000002</v>
      </c>
      <c r="AM76" s="5">
        <v>1.8</v>
      </c>
      <c r="AN76" s="5">
        <v>2</v>
      </c>
      <c r="AO76" s="5"/>
      <c r="AP76" s="5">
        <f t="shared" si="28"/>
        <v>0</v>
      </c>
      <c r="AQ76" s="18">
        <f t="shared" si="29"/>
        <v>4</v>
      </c>
      <c r="AR76" s="18">
        <f t="shared" si="30"/>
        <v>0</v>
      </c>
      <c r="AS76" s="5">
        <f t="shared" si="31"/>
        <v>0</v>
      </c>
    </row>
    <row r="77" spans="1:45" x14ac:dyDescent="0.25">
      <c r="A77" s="5" t="s">
        <v>139</v>
      </c>
      <c r="B77" s="5" t="s">
        <v>46</v>
      </c>
      <c r="C77" s="5">
        <v>407.18700000000001</v>
      </c>
      <c r="D77" s="5">
        <v>446.30799999999999</v>
      </c>
      <c r="E77" s="5">
        <v>402.76799999999997</v>
      </c>
      <c r="F77" s="5">
        <v>238.73099999999999</v>
      </c>
      <c r="G77" s="7">
        <v>1</v>
      </c>
      <c r="H77" s="5">
        <v>30</v>
      </c>
      <c r="I77" s="5" t="s">
        <v>47</v>
      </c>
      <c r="J77" s="5"/>
      <c r="K77" s="5">
        <v>448.95</v>
      </c>
      <c r="L77" s="5">
        <f t="shared" si="24"/>
        <v>-46.182000000000016</v>
      </c>
      <c r="M77" s="5"/>
      <c r="N77" s="5"/>
      <c r="O77" s="5"/>
      <c r="P77" s="5"/>
      <c r="Q77" s="5">
        <v>288.43760000000009</v>
      </c>
      <c r="R77" s="5"/>
      <c r="S77" s="5"/>
      <c r="T77" s="5">
        <f t="shared" si="25"/>
        <v>80.553599999999989</v>
      </c>
      <c r="U77" s="4">
        <f t="shared" si="33"/>
        <v>32.22144000000003</v>
      </c>
      <c r="V77" s="4">
        <v>326.69955999999979</v>
      </c>
      <c r="W77" s="4">
        <v>-327.60000000000002</v>
      </c>
      <c r="X77" s="4"/>
      <c r="Y77" s="4">
        <f t="shared" si="34"/>
        <v>32.22144000000003</v>
      </c>
      <c r="Z77" s="4">
        <f t="shared" si="26"/>
        <v>32.22144000000003</v>
      </c>
      <c r="AA77" s="4"/>
      <c r="AB77" s="4"/>
      <c r="AC77" s="5">
        <f t="shared" si="32"/>
        <v>6.9331426528423306</v>
      </c>
      <c r="AD77" s="5">
        <f t="shared" si="27"/>
        <v>6.544320800063562</v>
      </c>
      <c r="AE77" s="5">
        <v>64.354600000000005</v>
      </c>
      <c r="AF77" s="5">
        <v>60.799799999999998</v>
      </c>
      <c r="AG77" s="5">
        <v>58.539200000000008</v>
      </c>
      <c r="AH77" s="5">
        <v>62.701199999999993</v>
      </c>
      <c r="AI77" s="5">
        <v>68.597200000000001</v>
      </c>
      <c r="AJ77" s="5">
        <v>68.655000000000001</v>
      </c>
      <c r="AK77" s="5">
        <v>75.647000000000006</v>
      </c>
      <c r="AL77" s="5">
        <v>85.370399999999989</v>
      </c>
      <c r="AM77" s="5">
        <v>94.19919999999999</v>
      </c>
      <c r="AN77" s="5">
        <v>102.74299999999999</v>
      </c>
      <c r="AO77" s="5"/>
      <c r="AP77" s="5">
        <f t="shared" si="28"/>
        <v>327</v>
      </c>
      <c r="AQ77" s="18">
        <f t="shared" si="29"/>
        <v>32</v>
      </c>
      <c r="AR77" s="18">
        <f t="shared" si="30"/>
        <v>0</v>
      </c>
      <c r="AS77" s="5">
        <f t="shared" si="31"/>
        <v>0</v>
      </c>
    </row>
    <row r="78" spans="1:45" x14ac:dyDescent="0.25">
      <c r="A78" s="5" t="s">
        <v>141</v>
      </c>
      <c r="B78" s="5" t="s">
        <v>53</v>
      </c>
      <c r="C78" s="5">
        <v>190</v>
      </c>
      <c r="D78" s="5">
        <v>370</v>
      </c>
      <c r="E78" s="5">
        <v>163</v>
      </c>
      <c r="F78" s="5">
        <v>137</v>
      </c>
      <c r="G78" s="7">
        <v>0.6</v>
      </c>
      <c r="H78" s="5">
        <v>60</v>
      </c>
      <c r="I78" s="5" t="s">
        <v>47</v>
      </c>
      <c r="J78" s="5"/>
      <c r="K78" s="5">
        <v>163</v>
      </c>
      <c r="L78" s="5">
        <f t="shared" si="24"/>
        <v>0</v>
      </c>
      <c r="M78" s="5"/>
      <c r="N78" s="5"/>
      <c r="O78" s="5"/>
      <c r="P78" s="5"/>
      <c r="Q78" s="5">
        <v>117.2</v>
      </c>
      <c r="R78" s="5"/>
      <c r="S78" s="5"/>
      <c r="T78" s="5">
        <f t="shared" si="25"/>
        <v>32.6</v>
      </c>
      <c r="U78" s="4">
        <f t="shared" si="33"/>
        <v>13.04000000000002</v>
      </c>
      <c r="V78" s="4">
        <v>91.360000000000014</v>
      </c>
      <c r="W78" s="4"/>
      <c r="X78" s="4"/>
      <c r="Y78" s="4">
        <f t="shared" si="34"/>
        <v>13.04000000000002</v>
      </c>
      <c r="Z78" s="4">
        <f t="shared" si="26"/>
        <v>13.04000000000002</v>
      </c>
      <c r="AA78" s="4"/>
      <c r="AB78" s="4"/>
      <c r="AC78" s="5">
        <f t="shared" si="32"/>
        <v>11</v>
      </c>
      <c r="AD78" s="5">
        <f t="shared" si="27"/>
        <v>7.7975460122699376</v>
      </c>
      <c r="AE78" s="5">
        <v>24.6</v>
      </c>
      <c r="AF78" s="5">
        <v>15</v>
      </c>
      <c r="AG78" s="5">
        <v>22.8</v>
      </c>
      <c r="AH78" s="5">
        <v>22.4</v>
      </c>
      <c r="AI78" s="5">
        <v>20.6</v>
      </c>
      <c r="AJ78" s="5">
        <v>18.399999999999999</v>
      </c>
      <c r="AK78" s="5">
        <v>20</v>
      </c>
      <c r="AL78" s="5">
        <v>22.2</v>
      </c>
      <c r="AM78" s="5">
        <v>23.4</v>
      </c>
      <c r="AN78" s="5">
        <v>26.6</v>
      </c>
      <c r="AO78" s="5"/>
      <c r="AP78" s="5">
        <f t="shared" si="28"/>
        <v>55</v>
      </c>
      <c r="AQ78" s="18">
        <f t="shared" si="29"/>
        <v>8</v>
      </c>
      <c r="AR78" s="18">
        <f t="shared" si="30"/>
        <v>0</v>
      </c>
      <c r="AS78" s="5">
        <f t="shared" si="31"/>
        <v>0</v>
      </c>
    </row>
    <row r="79" spans="1:45" x14ac:dyDescent="0.25">
      <c r="A79" s="5" t="s">
        <v>142</v>
      </c>
      <c r="B79" s="5" t="s">
        <v>53</v>
      </c>
      <c r="C79" s="5">
        <v>67</v>
      </c>
      <c r="D79" s="5">
        <v>28</v>
      </c>
      <c r="E79" s="5">
        <v>27</v>
      </c>
      <c r="F79" s="5">
        <v>68</v>
      </c>
      <c r="G79" s="7">
        <v>0.6</v>
      </c>
      <c r="H79" s="5">
        <v>60</v>
      </c>
      <c r="I79" s="5" t="s">
        <v>47</v>
      </c>
      <c r="J79" s="5"/>
      <c r="K79" s="5">
        <v>27</v>
      </c>
      <c r="L79" s="5">
        <f t="shared" si="24"/>
        <v>0</v>
      </c>
      <c r="M79" s="5"/>
      <c r="N79" s="5"/>
      <c r="O79" s="5"/>
      <c r="P79" s="5"/>
      <c r="Q79" s="5">
        <v>23.599999999999991</v>
      </c>
      <c r="R79" s="5"/>
      <c r="S79" s="5"/>
      <c r="T79" s="5">
        <f t="shared" si="25"/>
        <v>5.4</v>
      </c>
      <c r="U79" s="4"/>
      <c r="V79" s="4"/>
      <c r="W79" s="4"/>
      <c r="X79" s="4"/>
      <c r="Y79" s="4">
        <f t="shared" si="34"/>
        <v>0</v>
      </c>
      <c r="Z79" s="4">
        <f t="shared" si="26"/>
        <v>0</v>
      </c>
      <c r="AA79" s="4"/>
      <c r="AB79" s="4"/>
      <c r="AC79" s="5">
        <f t="shared" si="32"/>
        <v>16.962962962962962</v>
      </c>
      <c r="AD79" s="5">
        <f t="shared" si="27"/>
        <v>16.962962962962962</v>
      </c>
      <c r="AE79" s="5">
        <v>5.8</v>
      </c>
      <c r="AF79" s="5">
        <v>4.2</v>
      </c>
      <c r="AG79" s="5">
        <v>4.4000000000000004</v>
      </c>
      <c r="AH79" s="5">
        <v>7.2</v>
      </c>
      <c r="AI79" s="5">
        <v>6.4</v>
      </c>
      <c r="AJ79" s="5">
        <v>5.6</v>
      </c>
      <c r="AK79" s="5">
        <v>5.6</v>
      </c>
      <c r="AL79" s="5">
        <v>6.8</v>
      </c>
      <c r="AM79" s="5">
        <v>6.6</v>
      </c>
      <c r="AN79" s="5">
        <v>3.6</v>
      </c>
      <c r="AO79" s="5"/>
      <c r="AP79" s="5">
        <f t="shared" si="28"/>
        <v>0</v>
      </c>
      <c r="AQ79" s="18">
        <f t="shared" si="29"/>
        <v>0</v>
      </c>
      <c r="AR79" s="18">
        <f t="shared" si="30"/>
        <v>0</v>
      </c>
      <c r="AS79" s="5">
        <f t="shared" si="31"/>
        <v>0</v>
      </c>
    </row>
    <row r="80" spans="1:45" x14ac:dyDescent="0.25">
      <c r="A80" s="5" t="s">
        <v>143</v>
      </c>
      <c r="B80" s="5" t="s">
        <v>53</v>
      </c>
      <c r="C80" s="5">
        <v>208</v>
      </c>
      <c r="D80" s="5">
        <v>96</v>
      </c>
      <c r="E80" s="5">
        <v>78</v>
      </c>
      <c r="F80" s="5">
        <v>217</v>
      </c>
      <c r="G80" s="7">
        <v>0.4</v>
      </c>
      <c r="H80" s="5">
        <v>90</v>
      </c>
      <c r="I80" s="5" t="s">
        <v>47</v>
      </c>
      <c r="J80" s="5"/>
      <c r="K80" s="5">
        <v>84</v>
      </c>
      <c r="L80" s="5">
        <f t="shared" si="24"/>
        <v>-6</v>
      </c>
      <c r="M80" s="5"/>
      <c r="N80" s="5"/>
      <c r="O80" s="5"/>
      <c r="P80" s="5"/>
      <c r="Q80" s="5">
        <v>18.600000000000019</v>
      </c>
      <c r="R80" s="5"/>
      <c r="S80" s="5"/>
      <c r="T80" s="5">
        <f t="shared" si="25"/>
        <v>15.6</v>
      </c>
      <c r="U80" s="4"/>
      <c r="V80" s="4"/>
      <c r="W80" s="4"/>
      <c r="X80" s="4"/>
      <c r="Y80" s="4">
        <f t="shared" si="34"/>
        <v>0</v>
      </c>
      <c r="Z80" s="4">
        <f t="shared" si="26"/>
        <v>0</v>
      </c>
      <c r="AA80" s="4"/>
      <c r="AB80" s="4"/>
      <c r="AC80" s="5">
        <f t="shared" si="32"/>
        <v>15.102564102564104</v>
      </c>
      <c r="AD80" s="5">
        <f t="shared" si="27"/>
        <v>15.102564102564104</v>
      </c>
      <c r="AE80" s="5">
        <v>17.8</v>
      </c>
      <c r="AF80" s="5">
        <v>17.2</v>
      </c>
      <c r="AG80" s="5">
        <v>22.6</v>
      </c>
      <c r="AH80" s="5">
        <v>24.6</v>
      </c>
      <c r="AI80" s="5">
        <v>23.8</v>
      </c>
      <c r="AJ80" s="5">
        <v>22.8</v>
      </c>
      <c r="AK80" s="5">
        <v>18.8</v>
      </c>
      <c r="AL80" s="5">
        <v>16.399999999999999</v>
      </c>
      <c r="AM80" s="5">
        <v>18.2</v>
      </c>
      <c r="AN80" s="5">
        <v>24.4</v>
      </c>
      <c r="AO80" s="5"/>
      <c r="AP80" s="5">
        <f t="shared" si="28"/>
        <v>0</v>
      </c>
      <c r="AQ80" s="18">
        <f t="shared" si="29"/>
        <v>0</v>
      </c>
      <c r="AR80" s="18">
        <f t="shared" si="30"/>
        <v>0</v>
      </c>
      <c r="AS80" s="5">
        <f t="shared" si="31"/>
        <v>0</v>
      </c>
    </row>
    <row r="81" spans="1:45" x14ac:dyDescent="0.25">
      <c r="A81" s="5" t="s">
        <v>144</v>
      </c>
      <c r="B81" s="5" t="s">
        <v>53</v>
      </c>
      <c r="C81" s="5">
        <v>177</v>
      </c>
      <c r="D81" s="5">
        <v>114</v>
      </c>
      <c r="E81" s="5">
        <v>96</v>
      </c>
      <c r="F81" s="5">
        <v>168</v>
      </c>
      <c r="G81" s="7">
        <v>0.33</v>
      </c>
      <c r="H81" s="5">
        <v>60</v>
      </c>
      <c r="I81" s="5" t="s">
        <v>47</v>
      </c>
      <c r="J81" s="5"/>
      <c r="K81" s="5">
        <v>101</v>
      </c>
      <c r="L81" s="5">
        <f t="shared" si="24"/>
        <v>-5</v>
      </c>
      <c r="M81" s="5"/>
      <c r="N81" s="5"/>
      <c r="O81" s="5"/>
      <c r="P81" s="5"/>
      <c r="Q81" s="5">
        <v>102.7</v>
      </c>
      <c r="R81" s="5"/>
      <c r="S81" s="5"/>
      <c r="T81" s="5">
        <f t="shared" si="25"/>
        <v>19.2</v>
      </c>
      <c r="U81" s="4"/>
      <c r="V81" s="4"/>
      <c r="W81" s="4"/>
      <c r="X81" s="4"/>
      <c r="Y81" s="4">
        <f t="shared" si="34"/>
        <v>0</v>
      </c>
      <c r="Z81" s="4">
        <f t="shared" si="26"/>
        <v>0</v>
      </c>
      <c r="AA81" s="4"/>
      <c r="AB81" s="4"/>
      <c r="AC81" s="5">
        <f t="shared" si="32"/>
        <v>14.098958333333334</v>
      </c>
      <c r="AD81" s="5">
        <f t="shared" si="27"/>
        <v>14.098958333333334</v>
      </c>
      <c r="AE81" s="5">
        <v>26</v>
      </c>
      <c r="AF81" s="5">
        <v>23.8</v>
      </c>
      <c r="AG81" s="5">
        <v>24.6</v>
      </c>
      <c r="AH81" s="5">
        <v>25.2</v>
      </c>
      <c r="AI81" s="5">
        <v>29</v>
      </c>
      <c r="AJ81" s="5">
        <v>31.6</v>
      </c>
      <c r="AK81" s="5">
        <v>21.4</v>
      </c>
      <c r="AL81" s="5">
        <v>17</v>
      </c>
      <c r="AM81" s="5">
        <v>21.6</v>
      </c>
      <c r="AN81" s="5">
        <v>27.8</v>
      </c>
      <c r="AO81" s="5"/>
      <c r="AP81" s="5">
        <f t="shared" si="28"/>
        <v>0</v>
      </c>
      <c r="AQ81" s="18">
        <f t="shared" si="29"/>
        <v>0</v>
      </c>
      <c r="AR81" s="18">
        <f t="shared" si="30"/>
        <v>0</v>
      </c>
      <c r="AS81" s="5">
        <f t="shared" si="31"/>
        <v>0</v>
      </c>
    </row>
    <row r="82" spans="1:45" x14ac:dyDescent="0.25">
      <c r="A82" s="5" t="s">
        <v>145</v>
      </c>
      <c r="B82" s="5" t="s">
        <v>53</v>
      </c>
      <c r="C82" s="5">
        <v>68</v>
      </c>
      <c r="D82" s="5">
        <v>146</v>
      </c>
      <c r="E82" s="5">
        <v>96</v>
      </c>
      <c r="F82" s="5">
        <v>85</v>
      </c>
      <c r="G82" s="7">
        <v>0.35</v>
      </c>
      <c r="H82" s="5">
        <v>90</v>
      </c>
      <c r="I82" s="5" t="s">
        <v>47</v>
      </c>
      <c r="J82" s="5"/>
      <c r="K82" s="5">
        <v>96</v>
      </c>
      <c r="L82" s="5">
        <f t="shared" si="24"/>
        <v>0</v>
      </c>
      <c r="M82" s="5"/>
      <c r="N82" s="5"/>
      <c r="O82" s="5"/>
      <c r="P82" s="5"/>
      <c r="Q82" s="5">
        <v>125</v>
      </c>
      <c r="R82" s="5"/>
      <c r="S82" s="5"/>
      <c r="T82" s="5">
        <f t="shared" si="25"/>
        <v>19.2</v>
      </c>
      <c r="U82" s="4">
        <v>8</v>
      </c>
      <c r="V82" s="4"/>
      <c r="W82" s="4"/>
      <c r="X82" s="4"/>
      <c r="Y82" s="4">
        <f t="shared" si="34"/>
        <v>8</v>
      </c>
      <c r="Z82" s="4">
        <f t="shared" si="26"/>
        <v>8</v>
      </c>
      <c r="AA82" s="4"/>
      <c r="AB82" s="4"/>
      <c r="AC82" s="5">
        <f t="shared" si="32"/>
        <v>11.354166666666668</v>
      </c>
      <c r="AD82" s="5">
        <f t="shared" si="27"/>
        <v>10.9375</v>
      </c>
      <c r="AE82" s="5">
        <v>20.6</v>
      </c>
      <c r="AF82" s="5">
        <v>15.6</v>
      </c>
      <c r="AG82" s="5">
        <v>13.6</v>
      </c>
      <c r="AH82" s="5">
        <v>12.6</v>
      </c>
      <c r="AI82" s="5">
        <v>8.6</v>
      </c>
      <c r="AJ82" s="5">
        <v>12.6</v>
      </c>
      <c r="AK82" s="5">
        <v>17</v>
      </c>
      <c r="AL82" s="5">
        <v>9.8000000000000007</v>
      </c>
      <c r="AM82" s="5">
        <v>8.1999999999999993</v>
      </c>
      <c r="AN82" s="5">
        <v>14.6</v>
      </c>
      <c r="AO82" s="5"/>
      <c r="AP82" s="5">
        <f t="shared" si="28"/>
        <v>0</v>
      </c>
      <c r="AQ82" s="18">
        <f t="shared" si="29"/>
        <v>3</v>
      </c>
      <c r="AR82" s="18">
        <f t="shared" si="30"/>
        <v>0</v>
      </c>
      <c r="AS82" s="5">
        <f t="shared" si="31"/>
        <v>0</v>
      </c>
    </row>
    <row r="83" spans="1:45" x14ac:dyDescent="0.25">
      <c r="A83" s="5" t="s">
        <v>146</v>
      </c>
      <c r="B83" s="5" t="s">
        <v>53</v>
      </c>
      <c r="C83" s="5">
        <v>715</v>
      </c>
      <c r="D83" s="5">
        <v>1125</v>
      </c>
      <c r="E83" s="5">
        <v>489</v>
      </c>
      <c r="F83" s="5">
        <v>553</v>
      </c>
      <c r="G83" s="7">
        <v>0.37</v>
      </c>
      <c r="H83" s="5">
        <v>50</v>
      </c>
      <c r="I83" s="5" t="s">
        <v>47</v>
      </c>
      <c r="J83" s="5"/>
      <c r="K83" s="5">
        <v>502</v>
      </c>
      <c r="L83" s="5">
        <f t="shared" si="24"/>
        <v>-13</v>
      </c>
      <c r="M83" s="5"/>
      <c r="N83" s="5"/>
      <c r="O83" s="5"/>
      <c r="P83" s="5"/>
      <c r="Q83" s="5">
        <v>134.02192000000011</v>
      </c>
      <c r="R83" s="5">
        <v>229.37808000000001</v>
      </c>
      <c r="S83" s="5"/>
      <c r="T83" s="5">
        <f t="shared" si="25"/>
        <v>97.8</v>
      </c>
      <c r="U83" s="4">
        <f>11*T83-R83-Q83-P83-O83-F83-V83-AB83</f>
        <v>39.120000000000161</v>
      </c>
      <c r="V83" s="4">
        <v>120.2799999999997</v>
      </c>
      <c r="W83" s="4"/>
      <c r="X83" s="4"/>
      <c r="Y83" s="4">
        <f t="shared" si="34"/>
        <v>39.120000000000161</v>
      </c>
      <c r="Z83" s="4">
        <f t="shared" si="26"/>
        <v>39.120000000000161</v>
      </c>
      <c r="AA83" s="4"/>
      <c r="AB83" s="4"/>
      <c r="AC83" s="5">
        <f t="shared" si="32"/>
        <v>11</v>
      </c>
      <c r="AD83" s="5">
        <f t="shared" si="27"/>
        <v>9.3701431492842548</v>
      </c>
      <c r="AE83" s="5">
        <v>89.2</v>
      </c>
      <c r="AF83" s="5">
        <v>84.6</v>
      </c>
      <c r="AG83" s="5">
        <v>103.8</v>
      </c>
      <c r="AH83" s="5">
        <v>109.6</v>
      </c>
      <c r="AI83" s="5">
        <v>106.2</v>
      </c>
      <c r="AJ83" s="5">
        <v>107.6</v>
      </c>
      <c r="AK83" s="5">
        <v>106.8</v>
      </c>
      <c r="AL83" s="5">
        <v>116.8</v>
      </c>
      <c r="AM83" s="5">
        <v>116</v>
      </c>
      <c r="AN83" s="5">
        <v>112.8</v>
      </c>
      <c r="AO83" s="5"/>
      <c r="AP83" s="5">
        <f t="shared" si="28"/>
        <v>45</v>
      </c>
      <c r="AQ83" s="18">
        <f t="shared" si="29"/>
        <v>14</v>
      </c>
      <c r="AR83" s="18">
        <f t="shared" si="30"/>
        <v>0</v>
      </c>
      <c r="AS83" s="5">
        <f t="shared" si="31"/>
        <v>0</v>
      </c>
    </row>
    <row r="84" spans="1:45" x14ac:dyDescent="0.25">
      <c r="A84" s="5" t="s">
        <v>147</v>
      </c>
      <c r="B84" s="5" t="s">
        <v>53</v>
      </c>
      <c r="C84" s="5">
        <v>166</v>
      </c>
      <c r="D84" s="5">
        <v>225</v>
      </c>
      <c r="E84" s="5">
        <v>126</v>
      </c>
      <c r="F84" s="5">
        <v>129</v>
      </c>
      <c r="G84" s="7">
        <v>0.6</v>
      </c>
      <c r="H84" s="5">
        <v>70</v>
      </c>
      <c r="I84" s="5" t="s">
        <v>47</v>
      </c>
      <c r="J84" s="5"/>
      <c r="K84" s="5">
        <v>126</v>
      </c>
      <c r="L84" s="5">
        <f t="shared" si="24"/>
        <v>0</v>
      </c>
      <c r="M84" s="5"/>
      <c r="N84" s="5"/>
      <c r="O84" s="5"/>
      <c r="P84" s="5"/>
      <c r="Q84" s="5">
        <v>117.60000000000009</v>
      </c>
      <c r="R84" s="5"/>
      <c r="S84" s="5"/>
      <c r="T84" s="5">
        <f t="shared" si="25"/>
        <v>25.2</v>
      </c>
      <c r="U84" s="4">
        <f>11*T84-R84-Q84-P84-O84-F84-V84-AB84</f>
        <v>30.599999999999909</v>
      </c>
      <c r="V84" s="4"/>
      <c r="W84" s="4"/>
      <c r="X84" s="4"/>
      <c r="Y84" s="4">
        <f t="shared" si="34"/>
        <v>30.599999999999909</v>
      </c>
      <c r="Z84" s="4">
        <f t="shared" si="26"/>
        <v>30.599999999999909</v>
      </c>
      <c r="AA84" s="4"/>
      <c r="AB84" s="4"/>
      <c r="AC84" s="5">
        <f t="shared" si="32"/>
        <v>11</v>
      </c>
      <c r="AD84" s="5">
        <f t="shared" si="27"/>
        <v>9.78571428571429</v>
      </c>
      <c r="AE84" s="5">
        <v>23</v>
      </c>
      <c r="AF84" s="5">
        <v>22.2</v>
      </c>
      <c r="AG84" s="5">
        <v>20</v>
      </c>
      <c r="AH84" s="5">
        <v>24.4</v>
      </c>
      <c r="AI84" s="5">
        <v>23.6</v>
      </c>
      <c r="AJ84" s="5">
        <v>16.2</v>
      </c>
      <c r="AK84" s="5">
        <v>17.600000000000001</v>
      </c>
      <c r="AL84" s="5">
        <v>25.8</v>
      </c>
      <c r="AM84" s="5">
        <v>31.2</v>
      </c>
      <c r="AN84" s="5">
        <v>25.4</v>
      </c>
      <c r="AO84" s="5"/>
      <c r="AP84" s="5">
        <f t="shared" si="28"/>
        <v>0</v>
      </c>
      <c r="AQ84" s="18">
        <f t="shared" si="29"/>
        <v>18</v>
      </c>
      <c r="AR84" s="18">
        <f t="shared" si="30"/>
        <v>0</v>
      </c>
      <c r="AS84" s="5">
        <f t="shared" si="31"/>
        <v>0</v>
      </c>
    </row>
    <row r="85" spans="1:45" x14ac:dyDescent="0.25">
      <c r="A85" s="5" t="s">
        <v>148</v>
      </c>
      <c r="B85" s="5" t="s">
        <v>53</v>
      </c>
      <c r="C85" s="5">
        <v>71</v>
      </c>
      <c r="D85" s="5">
        <v>39</v>
      </c>
      <c r="E85" s="5">
        <v>45</v>
      </c>
      <c r="F85" s="5">
        <v>60</v>
      </c>
      <c r="G85" s="7">
        <v>0.33</v>
      </c>
      <c r="H85" s="5">
        <v>40</v>
      </c>
      <c r="I85" s="5" t="s">
        <v>47</v>
      </c>
      <c r="J85" s="5"/>
      <c r="K85" s="5">
        <v>50</v>
      </c>
      <c r="L85" s="5">
        <f t="shared" si="24"/>
        <v>-5</v>
      </c>
      <c r="M85" s="5"/>
      <c r="N85" s="5"/>
      <c r="O85" s="5"/>
      <c r="P85" s="5"/>
      <c r="Q85" s="5">
        <v>56.599999999999987</v>
      </c>
      <c r="R85" s="5"/>
      <c r="S85" s="5"/>
      <c r="T85" s="5">
        <f t="shared" si="25"/>
        <v>9</v>
      </c>
      <c r="U85" s="4"/>
      <c r="V85" s="4"/>
      <c r="W85" s="4"/>
      <c r="X85" s="4"/>
      <c r="Y85" s="4">
        <f t="shared" si="34"/>
        <v>0</v>
      </c>
      <c r="Z85" s="4">
        <f t="shared" si="26"/>
        <v>0</v>
      </c>
      <c r="AA85" s="4"/>
      <c r="AB85" s="4"/>
      <c r="AC85" s="5">
        <f t="shared" si="32"/>
        <v>12.955555555555556</v>
      </c>
      <c r="AD85" s="5">
        <f t="shared" si="27"/>
        <v>12.955555555555556</v>
      </c>
      <c r="AE85" s="5">
        <v>8.6</v>
      </c>
      <c r="AF85" s="5">
        <v>6</v>
      </c>
      <c r="AG85" s="5">
        <v>5.6</v>
      </c>
      <c r="AH85" s="5">
        <v>8.4</v>
      </c>
      <c r="AI85" s="5">
        <v>9.8000000000000007</v>
      </c>
      <c r="AJ85" s="5">
        <v>6.4</v>
      </c>
      <c r="AK85" s="5">
        <v>3.8</v>
      </c>
      <c r="AL85" s="5">
        <v>3.6</v>
      </c>
      <c r="AM85" s="5">
        <v>6.2</v>
      </c>
      <c r="AN85" s="5">
        <v>9.1999999999999993</v>
      </c>
      <c r="AO85" s="5"/>
      <c r="AP85" s="5">
        <f t="shared" si="28"/>
        <v>0</v>
      </c>
      <c r="AQ85" s="18">
        <f t="shared" si="29"/>
        <v>0</v>
      </c>
      <c r="AR85" s="18">
        <f t="shared" si="30"/>
        <v>0</v>
      </c>
      <c r="AS85" s="5">
        <f t="shared" si="31"/>
        <v>0</v>
      </c>
    </row>
    <row r="86" spans="1:45" x14ac:dyDescent="0.25">
      <c r="A86" s="5" t="s">
        <v>149</v>
      </c>
      <c r="B86" s="5" t="s">
        <v>53</v>
      </c>
      <c r="C86" s="5">
        <v>415</v>
      </c>
      <c r="D86" s="5">
        <v>276</v>
      </c>
      <c r="E86" s="5">
        <v>282</v>
      </c>
      <c r="F86" s="5">
        <v>199</v>
      </c>
      <c r="G86" s="7">
        <v>0.4</v>
      </c>
      <c r="H86" s="5">
        <v>55</v>
      </c>
      <c r="I86" s="5" t="s">
        <v>47</v>
      </c>
      <c r="J86" s="5"/>
      <c r="K86" s="5">
        <v>282</v>
      </c>
      <c r="L86" s="5">
        <f t="shared" si="24"/>
        <v>0</v>
      </c>
      <c r="M86" s="5"/>
      <c r="N86" s="5"/>
      <c r="O86" s="5"/>
      <c r="P86" s="5"/>
      <c r="Q86" s="5">
        <v>137.88473120000009</v>
      </c>
      <c r="R86" s="5">
        <v>235.9892688000001</v>
      </c>
      <c r="S86" s="5"/>
      <c r="T86" s="5">
        <f t="shared" si="25"/>
        <v>56.4</v>
      </c>
      <c r="U86" s="4">
        <f>11*T86-R86-Q86-P86-O86-F86-V86-AB86</f>
        <v>47.525999999999783</v>
      </c>
      <c r="V86" s="4"/>
      <c r="W86" s="4"/>
      <c r="X86" s="4"/>
      <c r="Y86" s="4">
        <f t="shared" si="34"/>
        <v>47.525999999999783</v>
      </c>
      <c r="Z86" s="4">
        <f t="shared" si="26"/>
        <v>47.525999999999783</v>
      </c>
      <c r="AA86" s="4"/>
      <c r="AB86" s="4"/>
      <c r="AC86" s="5">
        <f t="shared" si="32"/>
        <v>11.000000000000002</v>
      </c>
      <c r="AD86" s="5">
        <f t="shared" si="27"/>
        <v>10.15734042553192</v>
      </c>
      <c r="AE86" s="5">
        <v>55.4</v>
      </c>
      <c r="AF86" s="5">
        <v>44.8</v>
      </c>
      <c r="AG86" s="5">
        <v>44.8</v>
      </c>
      <c r="AH86" s="5">
        <v>57.4</v>
      </c>
      <c r="AI86" s="5">
        <v>54</v>
      </c>
      <c r="AJ86" s="5">
        <v>51.8</v>
      </c>
      <c r="AK86" s="5">
        <v>54.2</v>
      </c>
      <c r="AL86" s="5">
        <v>54.4</v>
      </c>
      <c r="AM86" s="5">
        <v>55</v>
      </c>
      <c r="AN86" s="5">
        <v>43.8</v>
      </c>
      <c r="AO86" s="5"/>
      <c r="AP86" s="5">
        <f t="shared" si="28"/>
        <v>0</v>
      </c>
      <c r="AQ86" s="18">
        <f t="shared" si="29"/>
        <v>19</v>
      </c>
      <c r="AR86" s="18">
        <f t="shared" si="30"/>
        <v>0</v>
      </c>
      <c r="AS86" s="5">
        <f t="shared" si="31"/>
        <v>0</v>
      </c>
    </row>
    <row r="87" spans="1:45" x14ac:dyDescent="0.25">
      <c r="A87" s="5" t="s">
        <v>150</v>
      </c>
      <c r="B87" s="5" t="s">
        <v>53</v>
      </c>
      <c r="C87" s="5">
        <v>194</v>
      </c>
      <c r="D87" s="5">
        <v>126</v>
      </c>
      <c r="E87" s="5">
        <v>145</v>
      </c>
      <c r="F87" s="5">
        <v>31</v>
      </c>
      <c r="G87" s="7">
        <v>0.35</v>
      </c>
      <c r="H87" s="5">
        <v>40</v>
      </c>
      <c r="I87" s="5" t="s">
        <v>47</v>
      </c>
      <c r="J87" s="5"/>
      <c r="K87" s="5">
        <v>171</v>
      </c>
      <c r="L87" s="5">
        <f t="shared" si="24"/>
        <v>-26</v>
      </c>
      <c r="M87" s="5"/>
      <c r="N87" s="5"/>
      <c r="O87" s="5"/>
      <c r="P87" s="5">
        <v>-174</v>
      </c>
      <c r="Q87" s="5">
        <v>171</v>
      </c>
      <c r="R87" s="5"/>
      <c r="S87" s="5"/>
      <c r="T87" s="5">
        <f t="shared" si="25"/>
        <v>29</v>
      </c>
      <c r="U87" s="4">
        <f>9*T87-R87-Q87-P87-O87-F87-V87-AB87</f>
        <v>127.6</v>
      </c>
      <c r="V87" s="4">
        <v>105.4</v>
      </c>
      <c r="W87" s="4">
        <v>-108</v>
      </c>
      <c r="X87" s="4"/>
      <c r="Y87" s="4">
        <f t="shared" si="34"/>
        <v>127.6</v>
      </c>
      <c r="Z87" s="4">
        <f t="shared" si="26"/>
        <v>127.6</v>
      </c>
      <c r="AA87" s="4"/>
      <c r="AB87" s="4"/>
      <c r="AC87" s="5">
        <f t="shared" si="32"/>
        <v>5.2758620689655169</v>
      </c>
      <c r="AD87" s="5">
        <f t="shared" si="27"/>
        <v>0.96551724137931039</v>
      </c>
      <c r="AE87" s="5">
        <v>24.2</v>
      </c>
      <c r="AF87" s="5">
        <v>2.6</v>
      </c>
      <c r="AG87" s="5">
        <v>3.6</v>
      </c>
      <c r="AH87" s="5">
        <v>22.4</v>
      </c>
      <c r="AI87" s="5">
        <v>27</v>
      </c>
      <c r="AJ87" s="5">
        <v>19.399999999999999</v>
      </c>
      <c r="AK87" s="5">
        <v>20.6</v>
      </c>
      <c r="AL87" s="5">
        <v>15.8</v>
      </c>
      <c r="AM87" s="5">
        <v>16</v>
      </c>
      <c r="AN87" s="5">
        <v>24</v>
      </c>
      <c r="AO87" s="5"/>
      <c r="AP87" s="5">
        <f t="shared" si="28"/>
        <v>37</v>
      </c>
      <c r="AQ87" s="18">
        <f t="shared" si="29"/>
        <v>45</v>
      </c>
      <c r="AR87" s="18">
        <f t="shared" si="30"/>
        <v>0</v>
      </c>
      <c r="AS87" s="5">
        <f t="shared" si="31"/>
        <v>0</v>
      </c>
    </row>
    <row r="88" spans="1:45" x14ac:dyDescent="0.25">
      <c r="A88" s="5" t="s">
        <v>152</v>
      </c>
      <c r="B88" s="5" t="s">
        <v>53</v>
      </c>
      <c r="C88" s="5">
        <v>356</v>
      </c>
      <c r="D88" s="5">
        <v>65</v>
      </c>
      <c r="E88" s="5">
        <v>306</v>
      </c>
      <c r="F88" s="5">
        <v>51</v>
      </c>
      <c r="G88" s="7">
        <v>0.35</v>
      </c>
      <c r="H88" s="5">
        <v>45</v>
      </c>
      <c r="I88" s="5" t="s">
        <v>47</v>
      </c>
      <c r="J88" s="5"/>
      <c r="K88" s="5">
        <v>312</v>
      </c>
      <c r="L88" s="5">
        <f t="shared" si="24"/>
        <v>-6</v>
      </c>
      <c r="M88" s="5"/>
      <c r="N88" s="5"/>
      <c r="O88" s="5"/>
      <c r="P88" s="5"/>
      <c r="Q88" s="5">
        <v>264</v>
      </c>
      <c r="R88" s="5"/>
      <c r="S88" s="5"/>
      <c r="T88" s="5">
        <f t="shared" si="25"/>
        <v>61.2</v>
      </c>
      <c r="U88" s="4">
        <f>11*T88-R88-Q88-P88-O88-F88-V88-AB88</f>
        <v>24.480000000000018</v>
      </c>
      <c r="V88" s="4">
        <v>333.72</v>
      </c>
      <c r="W88" s="4">
        <v>-336</v>
      </c>
      <c r="X88" s="4"/>
      <c r="Y88" s="4">
        <f t="shared" si="34"/>
        <v>24.480000000000018</v>
      </c>
      <c r="Z88" s="4">
        <f t="shared" si="26"/>
        <v>24.480000000000018</v>
      </c>
      <c r="AA88" s="4"/>
      <c r="AB88" s="4"/>
      <c r="AC88" s="5">
        <f t="shared" si="32"/>
        <v>5.5098039215686283</v>
      </c>
      <c r="AD88" s="5">
        <f t="shared" si="27"/>
        <v>5.1470588235294112</v>
      </c>
      <c r="AE88" s="5">
        <v>44</v>
      </c>
      <c r="AF88" s="5">
        <v>49</v>
      </c>
      <c r="AG88" s="5">
        <v>44.4</v>
      </c>
      <c r="AH88" s="5">
        <v>34.4</v>
      </c>
      <c r="AI88" s="5">
        <v>61.8</v>
      </c>
      <c r="AJ88" s="5">
        <v>73.8</v>
      </c>
      <c r="AK88" s="5">
        <v>32.200000000000003</v>
      </c>
      <c r="AL88" s="5">
        <v>16</v>
      </c>
      <c r="AM88" s="5">
        <v>38.799999999999997</v>
      </c>
      <c r="AN88" s="5">
        <v>54.6</v>
      </c>
      <c r="AO88" s="5"/>
      <c r="AP88" s="5">
        <f t="shared" si="28"/>
        <v>117</v>
      </c>
      <c r="AQ88" s="18">
        <f t="shared" si="29"/>
        <v>9</v>
      </c>
      <c r="AR88" s="18">
        <f t="shared" si="30"/>
        <v>0</v>
      </c>
      <c r="AS88" s="5">
        <f t="shared" si="31"/>
        <v>0</v>
      </c>
    </row>
    <row r="89" spans="1:45" x14ac:dyDescent="0.25">
      <c r="A89" s="5" t="s">
        <v>154</v>
      </c>
      <c r="B89" s="5" t="s">
        <v>53</v>
      </c>
      <c r="C89" s="5">
        <v>131</v>
      </c>
      <c r="D89" s="5">
        <v>285</v>
      </c>
      <c r="E89" s="5">
        <v>80</v>
      </c>
      <c r="F89" s="5">
        <v>269</v>
      </c>
      <c r="G89" s="7">
        <v>0.4</v>
      </c>
      <c r="H89" s="5">
        <v>55</v>
      </c>
      <c r="I89" s="5" t="s">
        <v>47</v>
      </c>
      <c r="J89" s="5"/>
      <c r="K89" s="5">
        <v>80</v>
      </c>
      <c r="L89" s="5">
        <f t="shared" si="24"/>
        <v>0</v>
      </c>
      <c r="M89" s="5"/>
      <c r="N89" s="5"/>
      <c r="O89" s="5"/>
      <c r="P89" s="5"/>
      <c r="Q89" s="5">
        <v>0</v>
      </c>
      <c r="R89" s="5"/>
      <c r="S89" s="5"/>
      <c r="T89" s="5">
        <f t="shared" si="25"/>
        <v>16</v>
      </c>
      <c r="U89" s="4"/>
      <c r="V89" s="4"/>
      <c r="W89" s="4"/>
      <c r="X89" s="4"/>
      <c r="Y89" s="4">
        <f t="shared" si="34"/>
        <v>0</v>
      </c>
      <c r="Z89" s="4">
        <f t="shared" si="26"/>
        <v>0</v>
      </c>
      <c r="AA89" s="4"/>
      <c r="AB89" s="4"/>
      <c r="AC89" s="5">
        <f t="shared" si="32"/>
        <v>16.8125</v>
      </c>
      <c r="AD89" s="5">
        <f t="shared" si="27"/>
        <v>16.8125</v>
      </c>
      <c r="AE89" s="5">
        <v>28</v>
      </c>
      <c r="AF89" s="5">
        <v>29.8</v>
      </c>
      <c r="AG89" s="5">
        <v>24.2</v>
      </c>
      <c r="AH89" s="5">
        <v>24.2</v>
      </c>
      <c r="AI89" s="5">
        <v>23.4</v>
      </c>
      <c r="AJ89" s="5">
        <v>22.2</v>
      </c>
      <c r="AK89" s="5">
        <v>1</v>
      </c>
      <c r="AL89" s="5">
        <v>1</v>
      </c>
      <c r="AM89" s="5">
        <v>20.8</v>
      </c>
      <c r="AN89" s="5">
        <v>22.4</v>
      </c>
      <c r="AO89" s="5"/>
      <c r="AP89" s="5">
        <f t="shared" si="28"/>
        <v>0</v>
      </c>
      <c r="AQ89" s="18">
        <f t="shared" si="29"/>
        <v>0</v>
      </c>
      <c r="AR89" s="18">
        <f t="shared" si="30"/>
        <v>0</v>
      </c>
      <c r="AS89" s="5">
        <f t="shared" si="31"/>
        <v>0</v>
      </c>
    </row>
    <row r="90" spans="1:45" x14ac:dyDescent="0.25">
      <c r="A90" s="5" t="s">
        <v>155</v>
      </c>
      <c r="B90" s="5" t="s">
        <v>46</v>
      </c>
      <c r="C90" s="5">
        <v>44.451000000000001</v>
      </c>
      <c r="D90" s="5">
        <v>36.777999999999999</v>
      </c>
      <c r="E90" s="5">
        <v>17.341000000000001</v>
      </c>
      <c r="F90" s="5">
        <v>43</v>
      </c>
      <c r="G90" s="7">
        <v>1</v>
      </c>
      <c r="H90" s="5">
        <v>55</v>
      </c>
      <c r="I90" s="5" t="s">
        <v>47</v>
      </c>
      <c r="J90" s="5"/>
      <c r="K90" s="5">
        <v>44</v>
      </c>
      <c r="L90" s="5">
        <f t="shared" si="24"/>
        <v>-26.658999999999999</v>
      </c>
      <c r="M90" s="5"/>
      <c r="N90" s="5"/>
      <c r="O90" s="5"/>
      <c r="P90" s="5"/>
      <c r="Q90" s="5">
        <v>20</v>
      </c>
      <c r="R90" s="5"/>
      <c r="S90" s="5"/>
      <c r="T90" s="5">
        <f t="shared" si="25"/>
        <v>3.4682000000000004</v>
      </c>
      <c r="U90" s="4"/>
      <c r="V90" s="4"/>
      <c r="W90" s="4"/>
      <c r="X90" s="4"/>
      <c r="Y90" s="4">
        <f t="shared" si="34"/>
        <v>0</v>
      </c>
      <c r="Z90" s="4">
        <f t="shared" si="26"/>
        <v>0</v>
      </c>
      <c r="AA90" s="4"/>
      <c r="AB90" s="4"/>
      <c r="AC90" s="5">
        <f t="shared" si="32"/>
        <v>18.165042385098896</v>
      </c>
      <c r="AD90" s="5">
        <f t="shared" si="27"/>
        <v>18.165042385098896</v>
      </c>
      <c r="AE90" s="5">
        <v>1.6208</v>
      </c>
      <c r="AF90" s="5">
        <v>-1.0531999999999999</v>
      </c>
      <c r="AG90" s="5">
        <v>0.1918</v>
      </c>
      <c r="AH90" s="5">
        <v>6.4581999999999997</v>
      </c>
      <c r="AI90" s="5">
        <v>25.799199999999999</v>
      </c>
      <c r="AJ90" s="5">
        <v>24.057600000000001</v>
      </c>
      <c r="AK90" s="5">
        <v>4.6172000000000004</v>
      </c>
      <c r="AL90" s="5">
        <v>3.7582</v>
      </c>
      <c r="AM90" s="5">
        <v>3.1760000000000002</v>
      </c>
      <c r="AN90" s="5">
        <v>1.129</v>
      </c>
      <c r="AO90" s="5"/>
      <c r="AP90" s="5">
        <f t="shared" si="28"/>
        <v>0</v>
      </c>
      <c r="AQ90" s="18">
        <f t="shared" si="29"/>
        <v>0</v>
      </c>
      <c r="AR90" s="18">
        <f t="shared" si="30"/>
        <v>0</v>
      </c>
      <c r="AS90" s="5">
        <f t="shared" si="31"/>
        <v>0</v>
      </c>
    </row>
    <row r="91" spans="1:45" x14ac:dyDescent="0.25">
      <c r="A91" s="10" t="s">
        <v>156</v>
      </c>
      <c r="B91" s="10" t="s">
        <v>53</v>
      </c>
      <c r="C91" s="10">
        <v>50</v>
      </c>
      <c r="D91" s="10">
        <v>7</v>
      </c>
      <c r="E91" s="10">
        <v>30</v>
      </c>
      <c r="F91" s="10">
        <v>25</v>
      </c>
      <c r="G91" s="11">
        <v>0</v>
      </c>
      <c r="H91" s="10">
        <v>55</v>
      </c>
      <c r="I91" s="10" t="s">
        <v>61</v>
      </c>
      <c r="J91" s="10"/>
      <c r="K91" s="10">
        <v>30</v>
      </c>
      <c r="L91" s="10">
        <f t="shared" si="24"/>
        <v>0</v>
      </c>
      <c r="M91" s="10"/>
      <c r="N91" s="10"/>
      <c r="O91" s="10"/>
      <c r="P91" s="10"/>
      <c r="Q91" s="10">
        <v>0</v>
      </c>
      <c r="R91" s="10"/>
      <c r="S91" s="10"/>
      <c r="T91" s="10">
        <f t="shared" si="25"/>
        <v>6</v>
      </c>
      <c r="U91" s="12"/>
      <c r="V91" s="12"/>
      <c r="W91" s="12"/>
      <c r="X91" s="12"/>
      <c r="Y91" s="4">
        <f t="shared" si="34"/>
        <v>0</v>
      </c>
      <c r="Z91" s="4">
        <f t="shared" si="26"/>
        <v>0</v>
      </c>
      <c r="AA91" s="4"/>
      <c r="AB91" s="12"/>
      <c r="AC91" s="5">
        <f t="shared" si="32"/>
        <v>4.166666666666667</v>
      </c>
      <c r="AD91" s="10">
        <f t="shared" si="27"/>
        <v>4.166666666666667</v>
      </c>
      <c r="AE91" s="10">
        <v>4</v>
      </c>
      <c r="AF91" s="10">
        <v>1.2</v>
      </c>
      <c r="AG91" s="10">
        <v>2</v>
      </c>
      <c r="AH91" s="10">
        <v>2.6</v>
      </c>
      <c r="AI91" s="10">
        <v>4.4000000000000004</v>
      </c>
      <c r="AJ91" s="10">
        <v>4</v>
      </c>
      <c r="AK91" s="10">
        <v>3.4</v>
      </c>
      <c r="AL91" s="10">
        <v>2</v>
      </c>
      <c r="AM91" s="10">
        <v>0</v>
      </c>
      <c r="AN91" s="10">
        <v>2.4</v>
      </c>
      <c r="AO91" s="10"/>
      <c r="AP91" s="5">
        <f t="shared" si="28"/>
        <v>0</v>
      </c>
      <c r="AQ91" s="18">
        <f t="shared" si="29"/>
        <v>0</v>
      </c>
      <c r="AR91" s="18">
        <f t="shared" si="30"/>
        <v>0</v>
      </c>
      <c r="AS91" s="5">
        <f t="shared" si="31"/>
        <v>0</v>
      </c>
    </row>
    <row r="92" spans="1:45" x14ac:dyDescent="0.25">
      <c r="A92" s="5" t="s">
        <v>157</v>
      </c>
      <c r="B92" s="5" t="s">
        <v>46</v>
      </c>
      <c r="C92" s="5">
        <v>321.17099999999999</v>
      </c>
      <c r="D92" s="5">
        <v>928.20100000000002</v>
      </c>
      <c r="E92" s="5">
        <v>169.65299999999999</v>
      </c>
      <c r="F92" s="5">
        <v>425.55</v>
      </c>
      <c r="G92" s="7">
        <v>1</v>
      </c>
      <c r="H92" s="5">
        <v>55</v>
      </c>
      <c r="I92" s="5" t="s">
        <v>47</v>
      </c>
      <c r="J92" s="5"/>
      <c r="K92" s="5">
        <v>166.1</v>
      </c>
      <c r="L92" s="5">
        <f t="shared" si="24"/>
        <v>3.5529999999999973</v>
      </c>
      <c r="M92" s="5"/>
      <c r="N92" s="5"/>
      <c r="O92" s="5"/>
      <c r="P92" s="5"/>
      <c r="Q92" s="5">
        <v>0</v>
      </c>
      <c r="R92" s="5"/>
      <c r="S92" s="5"/>
      <c r="T92" s="5">
        <f t="shared" si="25"/>
        <v>33.930599999999998</v>
      </c>
      <c r="U92" s="4"/>
      <c r="V92" s="4"/>
      <c r="W92" s="4"/>
      <c r="X92" s="4"/>
      <c r="Y92" s="4">
        <f t="shared" si="34"/>
        <v>0</v>
      </c>
      <c r="Z92" s="4">
        <f t="shared" si="26"/>
        <v>0</v>
      </c>
      <c r="AA92" s="4"/>
      <c r="AB92" s="4"/>
      <c r="AC92" s="5">
        <f t="shared" si="32"/>
        <v>12.54177644957649</v>
      </c>
      <c r="AD92" s="5">
        <f t="shared" si="27"/>
        <v>12.54177644957649</v>
      </c>
      <c r="AE92" s="5">
        <v>31.181999999999999</v>
      </c>
      <c r="AF92" s="5">
        <v>37.124600000000001</v>
      </c>
      <c r="AG92" s="5">
        <v>49.651200000000003</v>
      </c>
      <c r="AH92" s="5">
        <v>45.2958</v>
      </c>
      <c r="AI92" s="5">
        <v>39.439800000000012</v>
      </c>
      <c r="AJ92" s="5">
        <v>39.754800000000003</v>
      </c>
      <c r="AK92" s="5">
        <v>43.838200000000001</v>
      </c>
      <c r="AL92" s="5">
        <v>48.463799999999999</v>
      </c>
      <c r="AM92" s="5">
        <v>47.909399999999998</v>
      </c>
      <c r="AN92" s="5">
        <v>41.079799999999999</v>
      </c>
      <c r="AO92" s="5"/>
      <c r="AP92" s="5">
        <f t="shared" si="28"/>
        <v>0</v>
      </c>
      <c r="AQ92" s="18">
        <f t="shared" si="29"/>
        <v>0</v>
      </c>
      <c r="AR92" s="18">
        <f t="shared" si="30"/>
        <v>0</v>
      </c>
      <c r="AS92" s="5">
        <f t="shared" si="31"/>
        <v>0</v>
      </c>
    </row>
    <row r="93" spans="1:45" x14ac:dyDescent="0.25">
      <c r="A93" s="5" t="s">
        <v>158</v>
      </c>
      <c r="B93" s="5" t="s">
        <v>46</v>
      </c>
      <c r="C93" s="5">
        <v>829.25699999999995</v>
      </c>
      <c r="D93" s="5">
        <v>1549.337</v>
      </c>
      <c r="E93" s="5">
        <v>884.79100000000005</v>
      </c>
      <c r="F93" s="5">
        <v>1051.684</v>
      </c>
      <c r="G93" s="7">
        <v>1</v>
      </c>
      <c r="H93" s="5">
        <v>60</v>
      </c>
      <c r="I93" s="5" t="s">
        <v>47</v>
      </c>
      <c r="J93" s="5"/>
      <c r="K93" s="5">
        <v>940.84500000000003</v>
      </c>
      <c r="L93" s="5">
        <f t="shared" si="24"/>
        <v>-56.053999999999974</v>
      </c>
      <c r="M93" s="5"/>
      <c r="N93" s="5"/>
      <c r="O93" s="5"/>
      <c r="P93" s="5"/>
      <c r="Q93" s="5">
        <v>308.08439293520019</v>
      </c>
      <c r="R93" s="5">
        <v>527.28543606480025</v>
      </c>
      <c r="S93" s="5"/>
      <c r="T93" s="5">
        <f t="shared" si="25"/>
        <v>176.95820000000001</v>
      </c>
      <c r="U93" s="4">
        <f>11*T93-R93-Q93-P93-O93-F93-V93-AB93</f>
        <v>59.486370999999735</v>
      </c>
      <c r="V93" s="4"/>
      <c r="W93" s="4"/>
      <c r="X93" s="4"/>
      <c r="Y93" s="22">
        <v>400</v>
      </c>
      <c r="Z93" s="4">
        <f t="shared" si="26"/>
        <v>400</v>
      </c>
      <c r="AA93" s="22"/>
      <c r="AB93" s="4"/>
      <c r="AC93" s="5">
        <f t="shared" si="32"/>
        <v>12.924260243379512</v>
      </c>
      <c r="AD93" s="5">
        <f t="shared" si="27"/>
        <v>10.663839420834979</v>
      </c>
      <c r="AE93" s="5">
        <v>182.36699999999999</v>
      </c>
      <c r="AF93" s="5">
        <v>171.1482</v>
      </c>
      <c r="AG93" s="5">
        <v>171.82579999999999</v>
      </c>
      <c r="AH93" s="5">
        <v>171.11279999999999</v>
      </c>
      <c r="AI93" s="5">
        <v>160.2638</v>
      </c>
      <c r="AJ93" s="5">
        <v>168.82660000000001</v>
      </c>
      <c r="AK93" s="5">
        <v>205.5204</v>
      </c>
      <c r="AL93" s="5">
        <v>213.1044</v>
      </c>
      <c r="AM93" s="5">
        <v>188.45419999999999</v>
      </c>
      <c r="AN93" s="5">
        <v>180.20160000000001</v>
      </c>
      <c r="AO93" s="5"/>
      <c r="AP93" s="5">
        <f t="shared" si="28"/>
        <v>0</v>
      </c>
      <c r="AQ93" s="18">
        <f t="shared" si="29"/>
        <v>400</v>
      </c>
      <c r="AR93" s="18">
        <f t="shared" si="30"/>
        <v>0</v>
      </c>
      <c r="AS93" s="5">
        <f t="shared" si="31"/>
        <v>0</v>
      </c>
    </row>
    <row r="94" spans="1:45" x14ac:dyDescent="0.25">
      <c r="A94" s="10" t="s">
        <v>159</v>
      </c>
      <c r="B94" s="10" t="s">
        <v>53</v>
      </c>
      <c r="C94" s="10"/>
      <c r="D94" s="10"/>
      <c r="E94" s="10"/>
      <c r="F94" s="10"/>
      <c r="G94" s="11">
        <v>0</v>
      </c>
      <c r="H94" s="10"/>
      <c r="I94" s="10" t="s">
        <v>47</v>
      </c>
      <c r="J94" s="10"/>
      <c r="K94" s="10"/>
      <c r="L94" s="10">
        <f t="shared" si="24"/>
        <v>0</v>
      </c>
      <c r="M94" s="10"/>
      <c r="N94" s="10"/>
      <c r="O94" s="10"/>
      <c r="P94" s="10"/>
      <c r="Q94" s="10">
        <v>0</v>
      </c>
      <c r="R94" s="10"/>
      <c r="S94" s="10"/>
      <c r="T94" s="10">
        <f t="shared" si="25"/>
        <v>0</v>
      </c>
      <c r="U94" s="12"/>
      <c r="V94" s="12"/>
      <c r="W94" s="12"/>
      <c r="X94" s="12"/>
      <c r="Y94" s="4">
        <f>U94</f>
        <v>0</v>
      </c>
      <c r="Z94" s="4">
        <f t="shared" si="26"/>
        <v>0</v>
      </c>
      <c r="AA94" s="4"/>
      <c r="AB94" s="12"/>
      <c r="AC94" s="5" t="e">
        <f t="shared" si="32"/>
        <v>#DIV/0!</v>
      </c>
      <c r="AD94" s="10" t="e">
        <f t="shared" si="27"/>
        <v>#DIV/0!</v>
      </c>
      <c r="AE94" s="10">
        <v>0</v>
      </c>
      <c r="AF94" s="10">
        <v>0</v>
      </c>
      <c r="AG94" s="10">
        <v>0</v>
      </c>
      <c r="AH94" s="10">
        <v>0</v>
      </c>
      <c r="AI94" s="10">
        <v>0</v>
      </c>
      <c r="AJ94" s="10">
        <v>0</v>
      </c>
      <c r="AK94" s="10">
        <v>0</v>
      </c>
      <c r="AL94" s="10">
        <v>0</v>
      </c>
      <c r="AM94" s="10">
        <v>0</v>
      </c>
      <c r="AN94" s="10">
        <v>0</v>
      </c>
      <c r="AO94" s="10" t="s">
        <v>54</v>
      </c>
      <c r="AP94" s="5">
        <f t="shared" si="28"/>
        <v>0</v>
      </c>
      <c r="AQ94" s="18">
        <f t="shared" si="29"/>
        <v>0</v>
      </c>
      <c r="AR94" s="18">
        <f t="shared" si="30"/>
        <v>0</v>
      </c>
      <c r="AS94" s="5">
        <f t="shared" si="31"/>
        <v>0</v>
      </c>
    </row>
    <row r="95" spans="1:45" x14ac:dyDescent="0.25">
      <c r="A95" s="5" t="s">
        <v>160</v>
      </c>
      <c r="B95" s="5" t="s">
        <v>46</v>
      </c>
      <c r="C95" s="5">
        <v>1564.675</v>
      </c>
      <c r="D95" s="5">
        <v>4699.5870000000004</v>
      </c>
      <c r="E95" s="5">
        <v>2292.4969999999998</v>
      </c>
      <c r="F95" s="5">
        <v>2483.1909999999998</v>
      </c>
      <c r="G95" s="7">
        <v>1</v>
      </c>
      <c r="H95" s="5">
        <v>60</v>
      </c>
      <c r="I95" s="5" t="s">
        <v>47</v>
      </c>
      <c r="J95" s="5"/>
      <c r="K95" s="5">
        <v>2324.1</v>
      </c>
      <c r="L95" s="5">
        <f t="shared" si="24"/>
        <v>-31.603000000000065</v>
      </c>
      <c r="M95" s="5"/>
      <c r="N95" s="5"/>
      <c r="O95" s="5"/>
      <c r="P95" s="5"/>
      <c r="Q95" s="5">
        <v>610.46422494048056</v>
      </c>
      <c r="R95" s="5">
        <v>1044.807534659521</v>
      </c>
      <c r="S95" s="5"/>
      <c r="T95" s="5">
        <f t="shared" si="25"/>
        <v>458.49939999999998</v>
      </c>
      <c r="U95" s="4">
        <f>11*T95-R95-Q95-P95-O95-F95-V95-AB95</f>
        <v>183.39975999999933</v>
      </c>
      <c r="V95" s="4">
        <v>721.63088039999866</v>
      </c>
      <c r="W95" s="4"/>
      <c r="X95" s="4"/>
      <c r="Y95" s="22">
        <v>1900</v>
      </c>
      <c r="Z95" s="4">
        <f t="shared" si="26"/>
        <v>0</v>
      </c>
      <c r="AA95" s="22">
        <v>1900</v>
      </c>
      <c r="AB95" s="4"/>
      <c r="AC95" s="5">
        <f t="shared" si="32"/>
        <v>14.743953078237396</v>
      </c>
      <c r="AD95" s="5">
        <f t="shared" si="27"/>
        <v>9.026102890429085</v>
      </c>
      <c r="AE95" s="5">
        <v>436.01319999999998</v>
      </c>
      <c r="AF95" s="5">
        <v>426.09260000000012</v>
      </c>
      <c r="AG95" s="5">
        <v>436.69299999999998</v>
      </c>
      <c r="AH95" s="5">
        <v>425.26580000000001</v>
      </c>
      <c r="AI95" s="5">
        <v>383.94839999999999</v>
      </c>
      <c r="AJ95" s="5">
        <v>385.58100000000002</v>
      </c>
      <c r="AK95" s="5">
        <v>416.45319999999998</v>
      </c>
      <c r="AL95" s="5">
        <v>410.62759999999997</v>
      </c>
      <c r="AM95" s="5">
        <v>387.19619999999998</v>
      </c>
      <c r="AN95" s="5">
        <v>392.48200000000003</v>
      </c>
      <c r="AO95" s="5"/>
      <c r="AP95" s="5">
        <f t="shared" si="28"/>
        <v>722</v>
      </c>
      <c r="AQ95" s="18">
        <f t="shared" si="29"/>
        <v>0</v>
      </c>
      <c r="AR95" s="18">
        <f t="shared" si="30"/>
        <v>1900</v>
      </c>
      <c r="AS95" s="5">
        <f t="shared" si="31"/>
        <v>0</v>
      </c>
    </row>
    <row r="96" spans="1:45" x14ac:dyDescent="0.25">
      <c r="A96" s="23" t="s">
        <v>161</v>
      </c>
      <c r="B96" s="5" t="s">
        <v>46</v>
      </c>
      <c r="C96" s="5">
        <v>4127.5680000000002</v>
      </c>
      <c r="D96" s="5">
        <v>4345.9250000000002</v>
      </c>
      <c r="E96" s="5">
        <v>2238.2759999999998</v>
      </c>
      <c r="F96" s="5">
        <v>4772.0510000000004</v>
      </c>
      <c r="G96" s="7">
        <v>1</v>
      </c>
      <c r="H96" s="5">
        <v>60</v>
      </c>
      <c r="I96" s="5" t="s">
        <v>47</v>
      </c>
      <c r="J96" s="5"/>
      <c r="K96" s="5">
        <v>2277.35</v>
      </c>
      <c r="L96" s="5">
        <f t="shared" si="24"/>
        <v>-39.074000000000069</v>
      </c>
      <c r="M96" s="5"/>
      <c r="N96" s="5"/>
      <c r="O96" s="5">
        <v>1000</v>
      </c>
      <c r="P96" s="5"/>
      <c r="Q96" s="5">
        <v>0</v>
      </c>
      <c r="R96" s="5"/>
      <c r="S96" s="5"/>
      <c r="T96" s="5">
        <f t="shared" si="25"/>
        <v>447.65519999999998</v>
      </c>
      <c r="U96" s="4"/>
      <c r="V96" s="4"/>
      <c r="W96" s="4"/>
      <c r="X96" s="4">
        <v>1800</v>
      </c>
      <c r="Y96" s="4">
        <f t="shared" ref="Y96:Y133" si="35">U96</f>
        <v>0</v>
      </c>
      <c r="Z96" s="4">
        <f t="shared" si="26"/>
        <v>0</v>
      </c>
      <c r="AA96" s="4"/>
      <c r="AB96" s="4"/>
      <c r="AC96" s="5">
        <f t="shared" si="32"/>
        <v>16.914917999388816</v>
      </c>
      <c r="AD96" s="5">
        <f t="shared" si="27"/>
        <v>12.893966159669318</v>
      </c>
      <c r="AE96" s="5">
        <v>530.02260000000001</v>
      </c>
      <c r="AF96" s="5">
        <v>493.26420000000002</v>
      </c>
      <c r="AG96" s="5">
        <v>455.58280000000002</v>
      </c>
      <c r="AH96" s="5">
        <v>513.62299999999993</v>
      </c>
      <c r="AI96" s="5">
        <v>557.21199999999999</v>
      </c>
      <c r="AJ96" s="5">
        <v>534.47</v>
      </c>
      <c r="AK96" s="5">
        <v>581.125</v>
      </c>
      <c r="AL96" s="5">
        <v>584.60559999999998</v>
      </c>
      <c r="AM96" s="5">
        <v>463.70979999999997</v>
      </c>
      <c r="AN96" s="5">
        <v>449.28960000000001</v>
      </c>
      <c r="AO96" s="5"/>
      <c r="AP96" s="5">
        <f t="shared" si="28"/>
        <v>0</v>
      </c>
      <c r="AQ96" s="18">
        <f t="shared" si="29"/>
        <v>0</v>
      </c>
      <c r="AR96" s="18">
        <f t="shared" si="30"/>
        <v>0</v>
      </c>
      <c r="AS96" s="5">
        <f t="shared" si="31"/>
        <v>0</v>
      </c>
    </row>
    <row r="97" spans="1:45" x14ac:dyDescent="0.25">
      <c r="A97" s="23" t="s">
        <v>162</v>
      </c>
      <c r="B97" s="5" t="s">
        <v>46</v>
      </c>
      <c r="C97" s="5">
        <v>3988.261</v>
      </c>
      <c r="D97" s="5">
        <v>6838.0410000000002</v>
      </c>
      <c r="E97" s="5">
        <v>3111.0149999999999</v>
      </c>
      <c r="F97" s="5">
        <v>6066.78</v>
      </c>
      <c r="G97" s="7">
        <v>1</v>
      </c>
      <c r="H97" s="5">
        <v>60</v>
      </c>
      <c r="I97" s="5" t="s">
        <v>47</v>
      </c>
      <c r="J97" s="5"/>
      <c r="K97" s="5">
        <v>3151.9</v>
      </c>
      <c r="L97" s="5">
        <f t="shared" si="24"/>
        <v>-40.885000000000218</v>
      </c>
      <c r="M97" s="5"/>
      <c r="N97" s="5"/>
      <c r="O97" s="5">
        <v>1300</v>
      </c>
      <c r="P97" s="5"/>
      <c r="Q97" s="5">
        <v>0</v>
      </c>
      <c r="R97" s="5"/>
      <c r="S97" s="5"/>
      <c r="T97" s="5">
        <f t="shared" si="25"/>
        <v>622.20299999999997</v>
      </c>
      <c r="U97" s="4"/>
      <c r="V97" s="4">
        <v>528.57179999999971</v>
      </c>
      <c r="W97" s="4"/>
      <c r="X97" s="4">
        <v>2900</v>
      </c>
      <c r="Y97" s="4">
        <f t="shared" si="35"/>
        <v>0</v>
      </c>
      <c r="Z97" s="4">
        <v>0</v>
      </c>
      <c r="AA97" s="4">
        <v>500</v>
      </c>
      <c r="AB97" s="4"/>
      <c r="AC97" s="5">
        <f t="shared" si="32"/>
        <v>17.350208533227903</v>
      </c>
      <c r="AD97" s="5">
        <f t="shared" si="27"/>
        <v>11.839833623431581</v>
      </c>
      <c r="AE97" s="5">
        <v>586.15959999999995</v>
      </c>
      <c r="AF97" s="5">
        <v>578.34320000000002</v>
      </c>
      <c r="AG97" s="5">
        <v>607.92340000000002</v>
      </c>
      <c r="AH97" s="5">
        <v>613.33459999999991</v>
      </c>
      <c r="AI97" s="5">
        <v>604.15620000000001</v>
      </c>
      <c r="AJ97" s="5">
        <v>555.69460000000004</v>
      </c>
      <c r="AK97" s="5">
        <v>579.61239999999998</v>
      </c>
      <c r="AL97" s="5">
        <v>611.62079999999992</v>
      </c>
      <c r="AM97" s="5">
        <v>529.55100000000004</v>
      </c>
      <c r="AN97" s="5">
        <v>545.48260000000005</v>
      </c>
      <c r="AO97" s="5"/>
      <c r="AP97" s="5">
        <f t="shared" si="28"/>
        <v>529</v>
      </c>
      <c r="AQ97" s="18">
        <f t="shared" si="29"/>
        <v>0</v>
      </c>
      <c r="AR97" s="18">
        <f t="shared" si="30"/>
        <v>500</v>
      </c>
      <c r="AS97" s="5">
        <f t="shared" si="31"/>
        <v>0</v>
      </c>
    </row>
    <row r="98" spans="1:45" x14ac:dyDescent="0.25">
      <c r="A98" s="5" t="s">
        <v>163</v>
      </c>
      <c r="B98" s="5" t="s">
        <v>46</v>
      </c>
      <c r="C98" s="5">
        <v>181.42099999999999</v>
      </c>
      <c r="D98" s="5">
        <v>51.085999999999999</v>
      </c>
      <c r="E98" s="5">
        <v>44.792999999999999</v>
      </c>
      <c r="F98" s="5">
        <v>130.24</v>
      </c>
      <c r="G98" s="7">
        <v>1</v>
      </c>
      <c r="H98" s="5">
        <v>55</v>
      </c>
      <c r="I98" s="5" t="s">
        <v>47</v>
      </c>
      <c r="J98" s="5"/>
      <c r="K98" s="5">
        <v>39.9</v>
      </c>
      <c r="L98" s="5">
        <f t="shared" si="24"/>
        <v>4.8930000000000007</v>
      </c>
      <c r="M98" s="5"/>
      <c r="N98" s="5"/>
      <c r="O98" s="5"/>
      <c r="P98" s="5"/>
      <c r="Q98" s="5">
        <v>0</v>
      </c>
      <c r="R98" s="5"/>
      <c r="S98" s="5"/>
      <c r="T98" s="5">
        <f t="shared" si="25"/>
        <v>8.9586000000000006</v>
      </c>
      <c r="U98" s="4"/>
      <c r="V98" s="4"/>
      <c r="W98" s="4"/>
      <c r="X98" s="4"/>
      <c r="Y98" s="4">
        <f t="shared" si="35"/>
        <v>0</v>
      </c>
      <c r="Z98" s="4">
        <f t="shared" ref="Z98:Z142" si="36">Y98-AA98</f>
        <v>0</v>
      </c>
      <c r="AA98" s="4"/>
      <c r="AB98" s="4"/>
      <c r="AC98" s="5">
        <f t="shared" si="32"/>
        <v>14.537985846002723</v>
      </c>
      <c r="AD98" s="5">
        <f t="shared" si="27"/>
        <v>14.537985846002723</v>
      </c>
      <c r="AE98" s="5">
        <v>7.3046000000000006</v>
      </c>
      <c r="AF98" s="5">
        <v>6.6986000000000008</v>
      </c>
      <c r="AG98" s="5">
        <v>4.5375999999999994</v>
      </c>
      <c r="AH98" s="5">
        <v>4.6059999999999999</v>
      </c>
      <c r="AI98" s="5">
        <v>19.7072</v>
      </c>
      <c r="AJ98" s="5">
        <v>20.521999999999998</v>
      </c>
      <c r="AK98" s="5">
        <v>0.54480000000000006</v>
      </c>
      <c r="AL98" s="5">
        <v>0.27479999999999999</v>
      </c>
      <c r="AM98" s="5">
        <v>9.0836000000000006</v>
      </c>
      <c r="AN98" s="5">
        <v>8.8087999999999997</v>
      </c>
      <c r="AO98" s="13" t="s">
        <v>108</v>
      </c>
      <c r="AP98" s="5">
        <f t="shared" si="28"/>
        <v>0</v>
      </c>
      <c r="AQ98" s="18">
        <f t="shared" si="29"/>
        <v>0</v>
      </c>
      <c r="AR98" s="18">
        <f t="shared" si="30"/>
        <v>0</v>
      </c>
      <c r="AS98" s="5">
        <f t="shared" si="31"/>
        <v>0</v>
      </c>
    </row>
    <row r="99" spans="1:45" x14ac:dyDescent="0.25">
      <c r="A99" s="10" t="s">
        <v>164</v>
      </c>
      <c r="B99" s="10" t="s">
        <v>46</v>
      </c>
      <c r="C99" s="10">
        <v>47.418999999999997</v>
      </c>
      <c r="D99" s="10">
        <v>18.760999999999999</v>
      </c>
      <c r="E99" s="10">
        <v>17.117999999999999</v>
      </c>
      <c r="F99" s="10">
        <v>47.302</v>
      </c>
      <c r="G99" s="11">
        <v>0</v>
      </c>
      <c r="H99" s="10">
        <v>55</v>
      </c>
      <c r="I99" s="10" t="s">
        <v>61</v>
      </c>
      <c r="J99" s="10"/>
      <c r="K99" s="10">
        <v>18.3</v>
      </c>
      <c r="L99" s="10">
        <f t="shared" si="24"/>
        <v>-1.1820000000000022</v>
      </c>
      <c r="M99" s="10"/>
      <c r="N99" s="10"/>
      <c r="O99" s="10"/>
      <c r="P99" s="10"/>
      <c r="Q99" s="10">
        <v>0</v>
      </c>
      <c r="R99" s="10"/>
      <c r="S99" s="10"/>
      <c r="T99" s="10">
        <f t="shared" si="25"/>
        <v>3.4235999999999995</v>
      </c>
      <c r="U99" s="12"/>
      <c r="V99" s="12"/>
      <c r="W99" s="12"/>
      <c r="X99" s="12"/>
      <c r="Y99" s="4">
        <f t="shared" si="35"/>
        <v>0</v>
      </c>
      <c r="Z99" s="4">
        <f t="shared" si="36"/>
        <v>0</v>
      </c>
      <c r="AA99" s="4"/>
      <c r="AB99" s="12"/>
      <c r="AC99" s="5">
        <f t="shared" si="32"/>
        <v>13.816450519920553</v>
      </c>
      <c r="AD99" s="10">
        <f t="shared" si="27"/>
        <v>13.816450519920553</v>
      </c>
      <c r="AE99" s="10">
        <v>2.371</v>
      </c>
      <c r="AF99" s="10">
        <v>2.0373999999999999</v>
      </c>
      <c r="AG99" s="10">
        <v>2.5638000000000001</v>
      </c>
      <c r="AH99" s="10">
        <v>4.1109999999999998</v>
      </c>
      <c r="AI99" s="10">
        <v>5.1212</v>
      </c>
      <c r="AJ99" s="10">
        <v>5.0456000000000003</v>
      </c>
      <c r="AK99" s="10">
        <v>4.5573999999999986</v>
      </c>
      <c r="AL99" s="10">
        <v>4.0289999999999999</v>
      </c>
      <c r="AM99" s="10">
        <v>4.6223999999999998</v>
      </c>
      <c r="AN99" s="10">
        <v>5.1738</v>
      </c>
      <c r="AO99" s="13" t="s">
        <v>108</v>
      </c>
      <c r="AP99" s="5">
        <f t="shared" si="28"/>
        <v>0</v>
      </c>
      <c r="AQ99" s="18">
        <f t="shared" si="29"/>
        <v>0</v>
      </c>
      <c r="AR99" s="18">
        <f t="shared" si="30"/>
        <v>0</v>
      </c>
      <c r="AS99" s="5">
        <f t="shared" si="31"/>
        <v>0</v>
      </c>
    </row>
    <row r="100" spans="1:45" x14ac:dyDescent="0.25">
      <c r="A100" s="10" t="s">
        <v>165</v>
      </c>
      <c r="B100" s="10" t="s">
        <v>46</v>
      </c>
      <c r="C100" s="10">
        <v>378.74299999999999</v>
      </c>
      <c r="D100" s="10"/>
      <c r="E100" s="10">
        <v>5.383</v>
      </c>
      <c r="F100" s="10">
        <v>353.65499999999997</v>
      </c>
      <c r="G100" s="11">
        <v>0</v>
      </c>
      <c r="H100" s="10"/>
      <c r="I100" s="10" t="s">
        <v>61</v>
      </c>
      <c r="J100" s="10"/>
      <c r="K100" s="10">
        <v>4.5999999999999996</v>
      </c>
      <c r="L100" s="10">
        <f t="shared" si="24"/>
        <v>0.78300000000000036</v>
      </c>
      <c r="M100" s="10"/>
      <c r="N100" s="10"/>
      <c r="O100" s="10"/>
      <c r="P100" s="10"/>
      <c r="Q100" s="10">
        <v>0</v>
      </c>
      <c r="R100" s="10"/>
      <c r="S100" s="10"/>
      <c r="T100" s="10">
        <f t="shared" si="25"/>
        <v>1.0766</v>
      </c>
      <c r="U100" s="12"/>
      <c r="V100" s="12"/>
      <c r="W100" s="12"/>
      <c r="X100" s="12"/>
      <c r="Y100" s="4">
        <f t="shared" si="35"/>
        <v>0</v>
      </c>
      <c r="Z100" s="4">
        <f t="shared" si="36"/>
        <v>0</v>
      </c>
      <c r="AA100" s="4"/>
      <c r="AB100" s="12"/>
      <c r="AC100" s="5">
        <f t="shared" si="32"/>
        <v>328.49247631432286</v>
      </c>
      <c r="AD100" s="10">
        <f t="shared" si="27"/>
        <v>328.49247631432286</v>
      </c>
      <c r="AE100" s="10">
        <v>1.8908</v>
      </c>
      <c r="AF100" s="10">
        <v>4.3494000000000002</v>
      </c>
      <c r="AG100" s="10">
        <v>2.9916</v>
      </c>
      <c r="AH100" s="10">
        <v>1.0693999999999999</v>
      </c>
      <c r="AI100" s="10">
        <v>0</v>
      </c>
      <c r="AJ100" s="10">
        <v>0</v>
      </c>
      <c r="AK100" s="10">
        <v>0</v>
      </c>
      <c r="AL100" s="10">
        <v>0</v>
      </c>
      <c r="AM100" s="10">
        <v>0</v>
      </c>
      <c r="AN100" s="10">
        <v>0</v>
      </c>
      <c r="AO100" s="14" t="s">
        <v>166</v>
      </c>
      <c r="AP100" s="5">
        <f t="shared" si="28"/>
        <v>0</v>
      </c>
      <c r="AQ100" s="18">
        <f t="shared" si="29"/>
        <v>0</v>
      </c>
      <c r="AR100" s="18">
        <f t="shared" si="30"/>
        <v>0</v>
      </c>
      <c r="AS100" s="5">
        <f t="shared" si="31"/>
        <v>0</v>
      </c>
    </row>
    <row r="101" spans="1:45" x14ac:dyDescent="0.25">
      <c r="A101" s="5" t="s">
        <v>167</v>
      </c>
      <c r="B101" s="5" t="s">
        <v>53</v>
      </c>
      <c r="C101" s="5">
        <v>201</v>
      </c>
      <c r="D101" s="5">
        <v>253</v>
      </c>
      <c r="E101" s="5">
        <v>327</v>
      </c>
      <c r="F101" s="5">
        <v>-6</v>
      </c>
      <c r="G101" s="7">
        <v>0.3</v>
      </c>
      <c r="H101" s="5">
        <v>40</v>
      </c>
      <c r="I101" s="5" t="s">
        <v>47</v>
      </c>
      <c r="J101" s="5"/>
      <c r="K101" s="5">
        <v>412</v>
      </c>
      <c r="L101" s="5">
        <f t="shared" si="24"/>
        <v>-85</v>
      </c>
      <c r="M101" s="5"/>
      <c r="N101" s="5"/>
      <c r="O101" s="5"/>
      <c r="P101" s="5">
        <v>-180</v>
      </c>
      <c r="Q101" s="5">
        <v>178.34725440000011</v>
      </c>
      <c r="R101" s="5">
        <v>305.24074560000008</v>
      </c>
      <c r="S101" s="5">
        <f>-94/G101</f>
        <v>-313.33333333333337</v>
      </c>
      <c r="T101" s="5">
        <f t="shared" si="25"/>
        <v>65.400000000000006</v>
      </c>
      <c r="U101" s="4">
        <f>11*T101-R101-Q101-P101-O101-F101-V101-AB101</f>
        <v>206.16000000000011</v>
      </c>
      <c r="V101" s="4">
        <v>215.65199999999979</v>
      </c>
      <c r="W101" s="4"/>
      <c r="X101" s="4"/>
      <c r="Y101" s="4">
        <f t="shared" si="35"/>
        <v>206.16000000000011</v>
      </c>
      <c r="Z101" s="4">
        <f t="shared" si="36"/>
        <v>206.16000000000011</v>
      </c>
      <c r="AA101" s="4"/>
      <c r="AB101" s="4"/>
      <c r="AC101" s="5">
        <f t="shared" si="32"/>
        <v>6.2089704383282367</v>
      </c>
      <c r="AD101" s="5">
        <f t="shared" si="27"/>
        <v>4.5502752293578004</v>
      </c>
      <c r="AE101" s="5">
        <v>70.8</v>
      </c>
      <c r="AF101" s="5">
        <v>52.8</v>
      </c>
      <c r="AG101" s="5">
        <v>41.2</v>
      </c>
      <c r="AH101" s="5">
        <v>41.8</v>
      </c>
      <c r="AI101" s="5">
        <v>41.6</v>
      </c>
      <c r="AJ101" s="5">
        <v>37.4</v>
      </c>
      <c r="AK101" s="5">
        <v>36.6</v>
      </c>
      <c r="AL101" s="5">
        <v>44.6</v>
      </c>
      <c r="AM101" s="5">
        <v>40</v>
      </c>
      <c r="AN101" s="5">
        <v>20</v>
      </c>
      <c r="AO101" s="5"/>
      <c r="AP101" s="5">
        <f t="shared" si="28"/>
        <v>65</v>
      </c>
      <c r="AQ101" s="18">
        <f t="shared" si="29"/>
        <v>62</v>
      </c>
      <c r="AR101" s="18">
        <f t="shared" si="30"/>
        <v>0</v>
      </c>
      <c r="AS101" s="5">
        <f t="shared" si="31"/>
        <v>0</v>
      </c>
    </row>
    <row r="102" spans="1:45" x14ac:dyDescent="0.25">
      <c r="A102" s="5" t="s">
        <v>65</v>
      </c>
      <c r="B102" s="5" t="s">
        <v>53</v>
      </c>
      <c r="C102" s="5">
        <v>43</v>
      </c>
      <c r="D102" s="5">
        <v>308</v>
      </c>
      <c r="E102" s="5">
        <v>161</v>
      </c>
      <c r="F102" s="5">
        <v>54</v>
      </c>
      <c r="G102" s="7">
        <v>0.3</v>
      </c>
      <c r="H102" s="5">
        <v>40</v>
      </c>
      <c r="I102" s="5" t="s">
        <v>47</v>
      </c>
      <c r="J102" s="5"/>
      <c r="K102" s="5">
        <v>185</v>
      </c>
      <c r="L102" s="5">
        <f t="shared" ref="L102:L133" si="37">E102-K102</f>
        <v>-24</v>
      </c>
      <c r="M102" s="5"/>
      <c r="N102" s="5"/>
      <c r="O102" s="5"/>
      <c r="P102" s="5"/>
      <c r="Q102" s="5">
        <v>118.64296</v>
      </c>
      <c r="R102" s="5">
        <v>203.05704</v>
      </c>
      <c r="S102" s="5"/>
      <c r="T102" s="5">
        <f t="shared" ref="T102:T133" si="38">E102/5</f>
        <v>32.200000000000003</v>
      </c>
      <c r="U102" s="4"/>
      <c r="V102" s="4"/>
      <c r="W102" s="4"/>
      <c r="X102" s="4"/>
      <c r="Y102" s="4">
        <f t="shared" si="35"/>
        <v>0</v>
      </c>
      <c r="Z102" s="4">
        <f t="shared" si="36"/>
        <v>0</v>
      </c>
      <c r="AA102" s="4"/>
      <c r="AB102" s="4"/>
      <c r="AC102" s="5">
        <f t="shared" si="32"/>
        <v>11.667701863354038</v>
      </c>
      <c r="AD102" s="5">
        <f t="shared" ref="AD102:AD133" si="39">(F102+O102+P102+Q102+R102)/T102</f>
        <v>11.667701863354038</v>
      </c>
      <c r="AE102" s="5">
        <v>46.4</v>
      </c>
      <c r="AF102" s="5">
        <v>46.4</v>
      </c>
      <c r="AG102" s="5">
        <v>33.799999999999997</v>
      </c>
      <c r="AH102" s="5">
        <v>35</v>
      </c>
      <c r="AI102" s="5">
        <v>38.799999999999997</v>
      </c>
      <c r="AJ102" s="5">
        <v>41.6</v>
      </c>
      <c r="AK102" s="5">
        <v>11.8</v>
      </c>
      <c r="AL102" s="5">
        <v>3.2</v>
      </c>
      <c r="AM102" s="5">
        <v>15.2</v>
      </c>
      <c r="AN102" s="5">
        <v>21.8</v>
      </c>
      <c r="AO102" s="5"/>
      <c r="AP102" s="5">
        <f t="shared" ref="AP102:AP133" si="40">ROUND(G102*V102,0)</f>
        <v>0</v>
      </c>
      <c r="AQ102" s="18">
        <f t="shared" ref="AQ102:AQ133" si="41">ROUND(G102*Z102,0)</f>
        <v>0</v>
      </c>
      <c r="AR102" s="18">
        <f t="shared" ref="AR102:AR133" si="42">ROUND(G102*AA102,0)</f>
        <v>0</v>
      </c>
      <c r="AS102" s="5">
        <f t="shared" ref="AS102:AS133" si="43">ROUND(G102*AB102,0)</f>
        <v>0</v>
      </c>
    </row>
    <row r="103" spans="1:45" x14ac:dyDescent="0.25">
      <c r="A103" s="10" t="s">
        <v>168</v>
      </c>
      <c r="B103" s="10" t="s">
        <v>53</v>
      </c>
      <c r="C103" s="10">
        <v>57</v>
      </c>
      <c r="D103" s="10">
        <v>18</v>
      </c>
      <c r="E103" s="10">
        <v>54</v>
      </c>
      <c r="F103" s="10"/>
      <c r="G103" s="11">
        <v>0</v>
      </c>
      <c r="H103" s="10">
        <v>60</v>
      </c>
      <c r="I103" s="10" t="s">
        <v>61</v>
      </c>
      <c r="J103" s="10"/>
      <c r="K103" s="10">
        <v>64</v>
      </c>
      <c r="L103" s="10">
        <f t="shared" si="37"/>
        <v>-10</v>
      </c>
      <c r="M103" s="10"/>
      <c r="N103" s="10"/>
      <c r="O103" s="10"/>
      <c r="P103" s="10"/>
      <c r="Q103" s="10">
        <v>0</v>
      </c>
      <c r="R103" s="10"/>
      <c r="S103" s="10"/>
      <c r="T103" s="10">
        <f t="shared" si="38"/>
        <v>10.8</v>
      </c>
      <c r="U103" s="12"/>
      <c r="V103" s="12"/>
      <c r="W103" s="12"/>
      <c r="X103" s="12"/>
      <c r="Y103" s="4">
        <f t="shared" si="35"/>
        <v>0</v>
      </c>
      <c r="Z103" s="4">
        <f t="shared" si="36"/>
        <v>0</v>
      </c>
      <c r="AA103" s="4"/>
      <c r="AB103" s="12"/>
      <c r="AC103" s="5">
        <f t="shared" si="32"/>
        <v>0</v>
      </c>
      <c r="AD103" s="10">
        <f t="shared" si="39"/>
        <v>0</v>
      </c>
      <c r="AE103" s="10">
        <v>18.399999999999999</v>
      </c>
      <c r="AF103" s="10">
        <v>16.600000000000001</v>
      </c>
      <c r="AG103" s="10">
        <v>8.8000000000000007</v>
      </c>
      <c r="AH103" s="10">
        <v>10.199999999999999</v>
      </c>
      <c r="AI103" s="10">
        <v>10.199999999999999</v>
      </c>
      <c r="AJ103" s="10">
        <v>11.8</v>
      </c>
      <c r="AK103" s="10">
        <v>10.199999999999999</v>
      </c>
      <c r="AL103" s="10">
        <v>4</v>
      </c>
      <c r="AM103" s="10">
        <v>-1.4</v>
      </c>
      <c r="AN103" s="10">
        <v>1.6</v>
      </c>
      <c r="AO103" s="10"/>
      <c r="AP103" s="5">
        <f t="shared" si="40"/>
        <v>0</v>
      </c>
      <c r="AQ103" s="18">
        <f t="shared" si="41"/>
        <v>0</v>
      </c>
      <c r="AR103" s="18">
        <f t="shared" si="42"/>
        <v>0</v>
      </c>
      <c r="AS103" s="5">
        <f t="shared" si="43"/>
        <v>0</v>
      </c>
    </row>
    <row r="104" spans="1:45" x14ac:dyDescent="0.25">
      <c r="A104" s="10" t="s">
        <v>169</v>
      </c>
      <c r="B104" s="10" t="s">
        <v>53</v>
      </c>
      <c r="C104" s="10"/>
      <c r="D104" s="10"/>
      <c r="E104" s="10"/>
      <c r="F104" s="10"/>
      <c r="G104" s="11">
        <v>0</v>
      </c>
      <c r="H104" s="10"/>
      <c r="I104" s="10" t="s">
        <v>47</v>
      </c>
      <c r="J104" s="10"/>
      <c r="K104" s="10"/>
      <c r="L104" s="10">
        <f t="shared" si="37"/>
        <v>0</v>
      </c>
      <c r="M104" s="10"/>
      <c r="N104" s="10"/>
      <c r="O104" s="10"/>
      <c r="P104" s="10"/>
      <c r="Q104" s="10">
        <v>0</v>
      </c>
      <c r="R104" s="10"/>
      <c r="S104" s="10"/>
      <c r="T104" s="10">
        <f t="shared" si="38"/>
        <v>0</v>
      </c>
      <c r="U104" s="12"/>
      <c r="V104" s="12"/>
      <c r="W104" s="12"/>
      <c r="X104" s="12"/>
      <c r="Y104" s="4">
        <f t="shared" si="35"/>
        <v>0</v>
      </c>
      <c r="Z104" s="4">
        <f t="shared" si="36"/>
        <v>0</v>
      </c>
      <c r="AA104" s="4"/>
      <c r="AB104" s="12"/>
      <c r="AC104" s="5" t="e">
        <f t="shared" si="32"/>
        <v>#DIV/0!</v>
      </c>
      <c r="AD104" s="10" t="e">
        <f t="shared" si="39"/>
        <v>#DIV/0!</v>
      </c>
      <c r="AE104" s="10">
        <v>0</v>
      </c>
      <c r="AF104" s="10">
        <v>0</v>
      </c>
      <c r="AG104" s="10">
        <v>0</v>
      </c>
      <c r="AH104" s="10">
        <v>0</v>
      </c>
      <c r="AI104" s="10">
        <v>0</v>
      </c>
      <c r="AJ104" s="10">
        <v>0</v>
      </c>
      <c r="AK104" s="10">
        <v>0</v>
      </c>
      <c r="AL104" s="10">
        <v>0</v>
      </c>
      <c r="AM104" s="10">
        <v>0</v>
      </c>
      <c r="AN104" s="10">
        <v>0</v>
      </c>
      <c r="AO104" s="10" t="s">
        <v>54</v>
      </c>
      <c r="AP104" s="5">
        <f t="shared" si="40"/>
        <v>0</v>
      </c>
      <c r="AQ104" s="18">
        <f t="shared" si="41"/>
        <v>0</v>
      </c>
      <c r="AR104" s="18">
        <f t="shared" si="42"/>
        <v>0</v>
      </c>
      <c r="AS104" s="5">
        <f t="shared" si="43"/>
        <v>0</v>
      </c>
    </row>
    <row r="105" spans="1:45" x14ac:dyDescent="0.25">
      <c r="A105" s="5" t="s">
        <v>170</v>
      </c>
      <c r="B105" s="5" t="s">
        <v>53</v>
      </c>
      <c r="C105" s="5">
        <v>2</v>
      </c>
      <c r="D105" s="5">
        <v>386</v>
      </c>
      <c r="E105" s="5">
        <v>100</v>
      </c>
      <c r="F105" s="5">
        <v>255</v>
      </c>
      <c r="G105" s="7">
        <v>7.0000000000000007E-2</v>
      </c>
      <c r="H105" s="5">
        <v>90</v>
      </c>
      <c r="I105" s="5" t="s">
        <v>47</v>
      </c>
      <c r="J105" s="5"/>
      <c r="K105" s="5">
        <v>150</v>
      </c>
      <c r="L105" s="5">
        <f t="shared" si="37"/>
        <v>-50</v>
      </c>
      <c r="M105" s="5"/>
      <c r="N105" s="5"/>
      <c r="O105" s="5"/>
      <c r="P105" s="5"/>
      <c r="Q105" s="5">
        <v>0</v>
      </c>
      <c r="R105" s="5"/>
      <c r="S105" s="5"/>
      <c r="T105" s="5">
        <f t="shared" si="38"/>
        <v>20</v>
      </c>
      <c r="U105" s="4"/>
      <c r="V105" s="4"/>
      <c r="W105" s="4"/>
      <c r="X105" s="4"/>
      <c r="Y105" s="4">
        <f t="shared" si="35"/>
        <v>0</v>
      </c>
      <c r="Z105" s="4">
        <f t="shared" si="36"/>
        <v>0</v>
      </c>
      <c r="AA105" s="4"/>
      <c r="AB105" s="4"/>
      <c r="AC105" s="5">
        <f t="shared" si="32"/>
        <v>12.75</v>
      </c>
      <c r="AD105" s="5">
        <f t="shared" si="39"/>
        <v>12.75</v>
      </c>
      <c r="AE105" s="5">
        <v>18.399999999999999</v>
      </c>
      <c r="AF105" s="5">
        <v>31.6</v>
      </c>
      <c r="AG105" s="5">
        <v>34.799999999999997</v>
      </c>
      <c r="AH105" s="5">
        <v>37.4</v>
      </c>
      <c r="AI105" s="5">
        <v>44.8</v>
      </c>
      <c r="AJ105" s="5">
        <v>41</v>
      </c>
      <c r="AK105" s="5">
        <v>36.200000000000003</v>
      </c>
      <c r="AL105" s="5">
        <v>28.2</v>
      </c>
      <c r="AM105" s="5">
        <v>16.600000000000001</v>
      </c>
      <c r="AN105" s="5">
        <v>26.4</v>
      </c>
      <c r="AO105" s="5"/>
      <c r="AP105" s="5">
        <f t="shared" si="40"/>
        <v>0</v>
      </c>
      <c r="AQ105" s="18">
        <f t="shared" si="41"/>
        <v>0</v>
      </c>
      <c r="AR105" s="18">
        <f t="shared" si="42"/>
        <v>0</v>
      </c>
      <c r="AS105" s="5">
        <f t="shared" si="43"/>
        <v>0</v>
      </c>
    </row>
    <row r="106" spans="1:45" x14ac:dyDescent="0.25">
      <c r="A106" s="5" t="s">
        <v>171</v>
      </c>
      <c r="B106" s="5" t="s">
        <v>53</v>
      </c>
      <c r="C106" s="5">
        <v>158</v>
      </c>
      <c r="D106" s="5">
        <v>167</v>
      </c>
      <c r="E106" s="5">
        <v>137</v>
      </c>
      <c r="F106" s="5">
        <v>154</v>
      </c>
      <c r="G106" s="7">
        <v>7.0000000000000007E-2</v>
      </c>
      <c r="H106" s="5">
        <v>90</v>
      </c>
      <c r="I106" s="5" t="s">
        <v>47</v>
      </c>
      <c r="J106" s="5"/>
      <c r="K106" s="5">
        <v>143</v>
      </c>
      <c r="L106" s="5">
        <f t="shared" si="37"/>
        <v>-6</v>
      </c>
      <c r="M106" s="5"/>
      <c r="N106" s="5"/>
      <c r="O106" s="5"/>
      <c r="P106" s="5"/>
      <c r="Q106" s="5">
        <v>104.61199999999999</v>
      </c>
      <c r="R106" s="5"/>
      <c r="S106" s="5"/>
      <c r="T106" s="5">
        <f t="shared" si="38"/>
        <v>27.4</v>
      </c>
      <c r="U106" s="4">
        <f>11*T106-R106-Q106-P106-O106-F106-V106-AB106</f>
        <v>42.787999999999982</v>
      </c>
      <c r="V106" s="4"/>
      <c r="W106" s="4"/>
      <c r="X106" s="4"/>
      <c r="Y106" s="4">
        <f t="shared" si="35"/>
        <v>42.787999999999982</v>
      </c>
      <c r="Z106" s="4">
        <f t="shared" si="36"/>
        <v>42.787999999999982</v>
      </c>
      <c r="AA106" s="4"/>
      <c r="AB106" s="4"/>
      <c r="AC106" s="5">
        <f t="shared" si="32"/>
        <v>11</v>
      </c>
      <c r="AD106" s="5">
        <f t="shared" si="39"/>
        <v>9.4383941605839414</v>
      </c>
      <c r="AE106" s="5">
        <v>26.6</v>
      </c>
      <c r="AF106" s="5">
        <v>23.6</v>
      </c>
      <c r="AG106" s="5">
        <v>23.2</v>
      </c>
      <c r="AH106" s="5">
        <v>24.4</v>
      </c>
      <c r="AI106" s="5">
        <v>26.8</v>
      </c>
      <c r="AJ106" s="5">
        <v>27</v>
      </c>
      <c r="AK106" s="5">
        <v>26.4</v>
      </c>
      <c r="AL106" s="5">
        <v>25.4</v>
      </c>
      <c r="AM106" s="5">
        <v>19.399999999999999</v>
      </c>
      <c r="AN106" s="5">
        <v>21.4</v>
      </c>
      <c r="AO106" s="5"/>
      <c r="AP106" s="5">
        <f t="shared" si="40"/>
        <v>0</v>
      </c>
      <c r="AQ106" s="18">
        <f t="shared" si="41"/>
        <v>3</v>
      </c>
      <c r="AR106" s="18">
        <f t="shared" si="42"/>
        <v>0</v>
      </c>
      <c r="AS106" s="5">
        <f t="shared" si="43"/>
        <v>0</v>
      </c>
    </row>
    <row r="107" spans="1:45" x14ac:dyDescent="0.25">
      <c r="A107" s="10" t="s">
        <v>172</v>
      </c>
      <c r="B107" s="10" t="s">
        <v>53</v>
      </c>
      <c r="C107" s="10">
        <v>139</v>
      </c>
      <c r="D107" s="10">
        <v>77</v>
      </c>
      <c r="E107" s="10">
        <v>67</v>
      </c>
      <c r="F107" s="10">
        <v>132</v>
      </c>
      <c r="G107" s="11">
        <v>0</v>
      </c>
      <c r="H107" s="10">
        <v>90</v>
      </c>
      <c r="I107" s="10" t="s">
        <v>61</v>
      </c>
      <c r="J107" s="10"/>
      <c r="K107" s="10">
        <v>71</v>
      </c>
      <c r="L107" s="10">
        <f t="shared" si="37"/>
        <v>-4</v>
      </c>
      <c r="M107" s="10"/>
      <c r="N107" s="10"/>
      <c r="O107" s="10"/>
      <c r="P107" s="10"/>
      <c r="Q107" s="10">
        <v>0</v>
      </c>
      <c r="R107" s="10"/>
      <c r="S107" s="10"/>
      <c r="T107" s="10">
        <f t="shared" si="38"/>
        <v>13.4</v>
      </c>
      <c r="U107" s="12"/>
      <c r="V107" s="12"/>
      <c r="W107" s="12"/>
      <c r="X107" s="12"/>
      <c r="Y107" s="4">
        <f t="shared" si="35"/>
        <v>0</v>
      </c>
      <c r="Z107" s="4">
        <f t="shared" si="36"/>
        <v>0</v>
      </c>
      <c r="AA107" s="4"/>
      <c r="AB107" s="12"/>
      <c r="AC107" s="5">
        <f t="shared" si="32"/>
        <v>9.8507462686567155</v>
      </c>
      <c r="AD107" s="10">
        <f t="shared" si="39"/>
        <v>9.8507462686567155</v>
      </c>
      <c r="AE107" s="10">
        <v>16.8</v>
      </c>
      <c r="AF107" s="10">
        <v>20</v>
      </c>
      <c r="AG107" s="10">
        <v>19.2</v>
      </c>
      <c r="AH107" s="10">
        <v>18.399999999999999</v>
      </c>
      <c r="AI107" s="10">
        <v>18.2</v>
      </c>
      <c r="AJ107" s="10">
        <v>16.8</v>
      </c>
      <c r="AK107" s="10">
        <v>18.600000000000001</v>
      </c>
      <c r="AL107" s="10">
        <v>20.2</v>
      </c>
      <c r="AM107" s="10">
        <v>18.600000000000001</v>
      </c>
      <c r="AN107" s="10">
        <v>18</v>
      </c>
      <c r="AO107" s="10"/>
      <c r="AP107" s="5">
        <f t="shared" si="40"/>
        <v>0</v>
      </c>
      <c r="AQ107" s="18">
        <f t="shared" si="41"/>
        <v>0</v>
      </c>
      <c r="AR107" s="18">
        <f t="shared" si="42"/>
        <v>0</v>
      </c>
      <c r="AS107" s="5">
        <f t="shared" si="43"/>
        <v>0</v>
      </c>
    </row>
    <row r="108" spans="1:45" x14ac:dyDescent="0.25">
      <c r="A108" s="10" t="s">
        <v>173</v>
      </c>
      <c r="B108" s="10" t="s">
        <v>53</v>
      </c>
      <c r="C108" s="10">
        <v>-1</v>
      </c>
      <c r="D108" s="10">
        <v>1</v>
      </c>
      <c r="E108" s="10">
        <v>-2</v>
      </c>
      <c r="F108" s="10"/>
      <c r="G108" s="11">
        <v>0</v>
      </c>
      <c r="H108" s="10"/>
      <c r="I108" s="10" t="s">
        <v>61</v>
      </c>
      <c r="J108" s="10"/>
      <c r="K108" s="10">
        <v>5</v>
      </c>
      <c r="L108" s="10">
        <f t="shared" si="37"/>
        <v>-7</v>
      </c>
      <c r="M108" s="10"/>
      <c r="N108" s="10"/>
      <c r="O108" s="10"/>
      <c r="P108" s="10"/>
      <c r="Q108" s="10">
        <v>0</v>
      </c>
      <c r="R108" s="10"/>
      <c r="S108" s="10"/>
      <c r="T108" s="10">
        <f t="shared" si="38"/>
        <v>-0.4</v>
      </c>
      <c r="U108" s="12"/>
      <c r="V108" s="12"/>
      <c r="W108" s="12"/>
      <c r="X108" s="12"/>
      <c r="Y108" s="4">
        <f t="shared" si="35"/>
        <v>0</v>
      </c>
      <c r="Z108" s="4">
        <f t="shared" si="36"/>
        <v>0</v>
      </c>
      <c r="AA108" s="4"/>
      <c r="AB108" s="12"/>
      <c r="AC108" s="5">
        <f t="shared" si="32"/>
        <v>0</v>
      </c>
      <c r="AD108" s="10">
        <f t="shared" si="39"/>
        <v>0</v>
      </c>
      <c r="AE108" s="10">
        <v>0</v>
      </c>
      <c r="AF108" s="10">
        <v>-0.4</v>
      </c>
      <c r="AG108" s="10">
        <v>-0.4</v>
      </c>
      <c r="AH108" s="10">
        <v>0</v>
      </c>
      <c r="AI108" s="10">
        <v>-0.2</v>
      </c>
      <c r="AJ108" s="10">
        <v>-0.2</v>
      </c>
      <c r="AK108" s="10">
        <v>3.2</v>
      </c>
      <c r="AL108" s="10">
        <v>9</v>
      </c>
      <c r="AM108" s="10">
        <v>15.8</v>
      </c>
      <c r="AN108" s="10">
        <v>17.2</v>
      </c>
      <c r="AO108" s="10"/>
      <c r="AP108" s="5">
        <f t="shared" si="40"/>
        <v>0</v>
      </c>
      <c r="AQ108" s="18">
        <f t="shared" si="41"/>
        <v>0</v>
      </c>
      <c r="AR108" s="18">
        <f t="shared" si="42"/>
        <v>0</v>
      </c>
      <c r="AS108" s="5">
        <f t="shared" si="43"/>
        <v>0</v>
      </c>
    </row>
    <row r="109" spans="1:45" x14ac:dyDescent="0.25">
      <c r="A109" s="10" t="s">
        <v>174</v>
      </c>
      <c r="B109" s="10" t="s">
        <v>53</v>
      </c>
      <c r="C109" s="10">
        <v>4</v>
      </c>
      <c r="D109" s="10"/>
      <c r="E109" s="10">
        <v>-2</v>
      </c>
      <c r="F109" s="10"/>
      <c r="G109" s="11">
        <v>0</v>
      </c>
      <c r="H109" s="10"/>
      <c r="I109" s="10" t="s">
        <v>61</v>
      </c>
      <c r="J109" s="10"/>
      <c r="K109" s="10">
        <v>46</v>
      </c>
      <c r="L109" s="10">
        <f t="shared" si="37"/>
        <v>-48</v>
      </c>
      <c r="M109" s="10"/>
      <c r="N109" s="10"/>
      <c r="O109" s="10"/>
      <c r="P109" s="10"/>
      <c r="Q109" s="10">
        <v>0</v>
      </c>
      <c r="R109" s="10"/>
      <c r="S109" s="10"/>
      <c r="T109" s="10">
        <f t="shared" si="38"/>
        <v>-0.4</v>
      </c>
      <c r="U109" s="12"/>
      <c r="V109" s="12"/>
      <c r="W109" s="12"/>
      <c r="X109" s="12"/>
      <c r="Y109" s="4">
        <f t="shared" si="35"/>
        <v>0</v>
      </c>
      <c r="Z109" s="4">
        <f t="shared" si="36"/>
        <v>0</v>
      </c>
      <c r="AA109" s="4"/>
      <c r="AB109" s="12"/>
      <c r="AC109" s="5">
        <f t="shared" si="32"/>
        <v>0</v>
      </c>
      <c r="AD109" s="10">
        <f t="shared" si="39"/>
        <v>0</v>
      </c>
      <c r="AE109" s="10">
        <v>0.2</v>
      </c>
      <c r="AF109" s="10">
        <v>2</v>
      </c>
      <c r="AG109" s="10">
        <v>9.8000000000000007</v>
      </c>
      <c r="AH109" s="10">
        <v>14</v>
      </c>
      <c r="AI109" s="10">
        <v>12.4</v>
      </c>
      <c r="AJ109" s="10">
        <v>11.8</v>
      </c>
      <c r="AK109" s="10">
        <v>13.8</v>
      </c>
      <c r="AL109" s="10">
        <v>13.2</v>
      </c>
      <c r="AM109" s="10">
        <v>8.4</v>
      </c>
      <c r="AN109" s="10">
        <v>10.199999999999999</v>
      </c>
      <c r="AO109" s="10"/>
      <c r="AP109" s="5">
        <f t="shared" si="40"/>
        <v>0</v>
      </c>
      <c r="AQ109" s="18">
        <f t="shared" si="41"/>
        <v>0</v>
      </c>
      <c r="AR109" s="18">
        <f t="shared" si="42"/>
        <v>0</v>
      </c>
      <c r="AS109" s="5">
        <f t="shared" si="43"/>
        <v>0</v>
      </c>
    </row>
    <row r="110" spans="1:45" x14ac:dyDescent="0.25">
      <c r="A110" s="10" t="s">
        <v>175</v>
      </c>
      <c r="B110" s="10" t="s">
        <v>53</v>
      </c>
      <c r="C110" s="10">
        <v>30</v>
      </c>
      <c r="D110" s="10"/>
      <c r="E110" s="10">
        <v>3</v>
      </c>
      <c r="F110" s="10"/>
      <c r="G110" s="11">
        <v>0</v>
      </c>
      <c r="H110" s="10">
        <v>60</v>
      </c>
      <c r="I110" s="10" t="s">
        <v>61</v>
      </c>
      <c r="J110" s="10"/>
      <c r="K110" s="10">
        <v>3</v>
      </c>
      <c r="L110" s="10">
        <f t="shared" si="37"/>
        <v>0</v>
      </c>
      <c r="M110" s="10"/>
      <c r="N110" s="10"/>
      <c r="O110" s="10"/>
      <c r="P110" s="10"/>
      <c r="Q110" s="10">
        <v>0</v>
      </c>
      <c r="R110" s="10"/>
      <c r="S110" s="10"/>
      <c r="T110" s="10">
        <f t="shared" si="38"/>
        <v>0.6</v>
      </c>
      <c r="U110" s="12"/>
      <c r="V110" s="12"/>
      <c r="W110" s="12"/>
      <c r="X110" s="12"/>
      <c r="Y110" s="4">
        <f t="shared" si="35"/>
        <v>0</v>
      </c>
      <c r="Z110" s="4">
        <f t="shared" si="36"/>
        <v>0</v>
      </c>
      <c r="AA110" s="4"/>
      <c r="AB110" s="12"/>
      <c r="AC110" s="5">
        <f t="shared" si="32"/>
        <v>0</v>
      </c>
      <c r="AD110" s="10">
        <f t="shared" si="39"/>
        <v>0</v>
      </c>
      <c r="AE110" s="10">
        <v>0.4</v>
      </c>
      <c r="AF110" s="10">
        <v>0.2</v>
      </c>
      <c r="AG110" s="10">
        <v>1</v>
      </c>
      <c r="AH110" s="10">
        <v>1</v>
      </c>
      <c r="AI110" s="10">
        <v>0.6</v>
      </c>
      <c r="AJ110" s="10">
        <v>0.8</v>
      </c>
      <c r="AK110" s="10">
        <v>0.8</v>
      </c>
      <c r="AL110" s="10">
        <v>2</v>
      </c>
      <c r="AM110" s="10">
        <v>2</v>
      </c>
      <c r="AN110" s="10">
        <v>0.8</v>
      </c>
      <c r="AO110" s="10"/>
      <c r="AP110" s="5">
        <f t="shared" si="40"/>
        <v>0</v>
      </c>
      <c r="AQ110" s="18">
        <f t="shared" si="41"/>
        <v>0</v>
      </c>
      <c r="AR110" s="18">
        <f t="shared" si="42"/>
        <v>0</v>
      </c>
      <c r="AS110" s="5">
        <f t="shared" si="43"/>
        <v>0</v>
      </c>
    </row>
    <row r="111" spans="1:45" x14ac:dyDescent="0.25">
      <c r="A111" s="5" t="s">
        <v>176</v>
      </c>
      <c r="B111" s="5" t="s">
        <v>53</v>
      </c>
      <c r="C111" s="5">
        <v>101</v>
      </c>
      <c r="D111" s="5">
        <v>220</v>
      </c>
      <c r="E111" s="5">
        <v>207</v>
      </c>
      <c r="F111" s="5">
        <v>7</v>
      </c>
      <c r="G111" s="7">
        <v>0.3</v>
      </c>
      <c r="H111" s="5">
        <v>40</v>
      </c>
      <c r="I111" s="5" t="s">
        <v>47</v>
      </c>
      <c r="J111" s="5"/>
      <c r="K111" s="5">
        <v>234</v>
      </c>
      <c r="L111" s="5">
        <f t="shared" si="37"/>
        <v>-27</v>
      </c>
      <c r="M111" s="5"/>
      <c r="N111" s="5"/>
      <c r="O111" s="5"/>
      <c r="P111" s="5">
        <v>-126</v>
      </c>
      <c r="Q111" s="5">
        <v>121.85151999999999</v>
      </c>
      <c r="R111" s="5">
        <v>208.54848000000001</v>
      </c>
      <c r="S111" s="5">
        <f>-63/G111</f>
        <v>-210</v>
      </c>
      <c r="T111" s="5">
        <f t="shared" si="38"/>
        <v>41.4</v>
      </c>
      <c r="U111" s="4">
        <f>11*T111-R111-Q111-P111-O111-F111-V111-AB111</f>
        <v>142.55999999999997</v>
      </c>
      <c r="V111" s="4">
        <v>101.44</v>
      </c>
      <c r="W111" s="4">
        <v>-102.00000000000001</v>
      </c>
      <c r="X111" s="4"/>
      <c r="Y111" s="4">
        <f t="shared" si="35"/>
        <v>142.55999999999997</v>
      </c>
      <c r="Z111" s="4">
        <f t="shared" si="36"/>
        <v>142.55999999999997</v>
      </c>
      <c r="AA111" s="4"/>
      <c r="AB111" s="4"/>
      <c r="AC111" s="5">
        <f t="shared" si="32"/>
        <v>3.4637681159420284</v>
      </c>
      <c r="AD111" s="5">
        <f t="shared" si="39"/>
        <v>5.1062801932367154</v>
      </c>
      <c r="AE111" s="5">
        <v>45.4</v>
      </c>
      <c r="AF111" s="5">
        <v>42</v>
      </c>
      <c r="AG111" s="5">
        <v>32.799999999999997</v>
      </c>
      <c r="AH111" s="5">
        <v>34.200000000000003</v>
      </c>
      <c r="AI111" s="5">
        <v>48.4</v>
      </c>
      <c r="AJ111" s="5">
        <v>53.4</v>
      </c>
      <c r="AK111" s="5">
        <v>14.4</v>
      </c>
      <c r="AL111" s="5">
        <v>11.4</v>
      </c>
      <c r="AM111" s="5">
        <v>33.4</v>
      </c>
      <c r="AN111" s="5">
        <v>28</v>
      </c>
      <c r="AO111" s="5"/>
      <c r="AP111" s="5">
        <f t="shared" si="40"/>
        <v>30</v>
      </c>
      <c r="AQ111" s="18">
        <f t="shared" si="41"/>
        <v>43</v>
      </c>
      <c r="AR111" s="18">
        <f t="shared" si="42"/>
        <v>0</v>
      </c>
      <c r="AS111" s="5">
        <f t="shared" si="43"/>
        <v>0</v>
      </c>
    </row>
    <row r="112" spans="1:45" x14ac:dyDescent="0.25">
      <c r="A112" s="5" t="s">
        <v>178</v>
      </c>
      <c r="B112" s="5" t="s">
        <v>46</v>
      </c>
      <c r="C112" s="5">
        <v>142.36500000000001</v>
      </c>
      <c r="D112" s="5">
        <v>167.292</v>
      </c>
      <c r="E112" s="5">
        <v>92.459000000000003</v>
      </c>
      <c r="F112" s="5">
        <v>217.19800000000001</v>
      </c>
      <c r="G112" s="7">
        <v>1</v>
      </c>
      <c r="H112" s="5">
        <v>55</v>
      </c>
      <c r="I112" s="5" t="s">
        <v>47</v>
      </c>
      <c r="J112" s="5"/>
      <c r="K112" s="5">
        <v>77.349999999999994</v>
      </c>
      <c r="L112" s="5">
        <f t="shared" si="37"/>
        <v>15.109000000000009</v>
      </c>
      <c r="M112" s="5"/>
      <c r="N112" s="5"/>
      <c r="O112" s="5"/>
      <c r="P112" s="5"/>
      <c r="Q112" s="5">
        <v>55.491199999999992</v>
      </c>
      <c r="R112" s="5"/>
      <c r="S112" s="5"/>
      <c r="T112" s="5">
        <f t="shared" si="38"/>
        <v>18.491800000000001</v>
      </c>
      <c r="U112" s="4"/>
      <c r="V112" s="4"/>
      <c r="W112" s="4"/>
      <c r="X112" s="4"/>
      <c r="Y112" s="4">
        <f t="shared" si="35"/>
        <v>0</v>
      </c>
      <c r="Z112" s="4">
        <f t="shared" si="36"/>
        <v>0</v>
      </c>
      <c r="AA112" s="4"/>
      <c r="AB112" s="4"/>
      <c r="AC112" s="5">
        <f t="shared" si="32"/>
        <v>14.746493040158342</v>
      </c>
      <c r="AD112" s="5">
        <f t="shared" si="39"/>
        <v>14.746493040158342</v>
      </c>
      <c r="AE112" s="5">
        <v>20.605</v>
      </c>
      <c r="AF112" s="5">
        <v>20.893799999999999</v>
      </c>
      <c r="AG112" s="5">
        <v>18.738800000000001</v>
      </c>
      <c r="AH112" s="5">
        <v>20.331600000000002</v>
      </c>
      <c r="AI112" s="5">
        <v>17.024799999999999</v>
      </c>
      <c r="AJ112" s="5">
        <v>19.844799999999999</v>
      </c>
      <c r="AK112" s="5">
        <v>21.769400000000001</v>
      </c>
      <c r="AL112" s="5">
        <v>15.845800000000001</v>
      </c>
      <c r="AM112" s="5">
        <v>21.074000000000002</v>
      </c>
      <c r="AN112" s="5">
        <v>24.769600000000001</v>
      </c>
      <c r="AO112" s="5"/>
      <c r="AP112" s="5">
        <f t="shared" si="40"/>
        <v>0</v>
      </c>
      <c r="AQ112" s="18">
        <f t="shared" si="41"/>
        <v>0</v>
      </c>
      <c r="AR112" s="18">
        <f t="shared" si="42"/>
        <v>0</v>
      </c>
      <c r="AS112" s="5">
        <f t="shared" si="43"/>
        <v>0</v>
      </c>
    </row>
    <row r="113" spans="1:45" x14ac:dyDescent="0.25">
      <c r="A113" s="10" t="s">
        <v>179</v>
      </c>
      <c r="B113" s="10" t="s">
        <v>53</v>
      </c>
      <c r="C113" s="10"/>
      <c r="D113" s="10"/>
      <c r="E113" s="10"/>
      <c r="F113" s="10"/>
      <c r="G113" s="11">
        <v>0</v>
      </c>
      <c r="H113" s="10"/>
      <c r="I113" s="10" t="s">
        <v>47</v>
      </c>
      <c r="J113" s="10"/>
      <c r="K113" s="10"/>
      <c r="L113" s="10">
        <f t="shared" si="37"/>
        <v>0</v>
      </c>
      <c r="M113" s="10"/>
      <c r="N113" s="10"/>
      <c r="O113" s="10"/>
      <c r="P113" s="10"/>
      <c r="Q113" s="10">
        <v>0</v>
      </c>
      <c r="R113" s="10"/>
      <c r="S113" s="10"/>
      <c r="T113" s="10">
        <f t="shared" si="38"/>
        <v>0</v>
      </c>
      <c r="U113" s="12"/>
      <c r="V113" s="12"/>
      <c r="W113" s="12"/>
      <c r="X113" s="12"/>
      <c r="Y113" s="4">
        <f t="shared" si="35"/>
        <v>0</v>
      </c>
      <c r="Z113" s="4">
        <f t="shared" si="36"/>
        <v>0</v>
      </c>
      <c r="AA113" s="4"/>
      <c r="AB113" s="12"/>
      <c r="AC113" s="5" t="e">
        <f t="shared" si="32"/>
        <v>#DIV/0!</v>
      </c>
      <c r="AD113" s="10" t="e">
        <f t="shared" si="39"/>
        <v>#DIV/0!</v>
      </c>
      <c r="AE113" s="10">
        <v>0</v>
      </c>
      <c r="AF113" s="10">
        <v>0</v>
      </c>
      <c r="AG113" s="10">
        <v>0</v>
      </c>
      <c r="AH113" s="10">
        <v>0</v>
      </c>
      <c r="AI113" s="10">
        <v>0</v>
      </c>
      <c r="AJ113" s="10">
        <v>0</v>
      </c>
      <c r="AK113" s="10">
        <v>0</v>
      </c>
      <c r="AL113" s="10">
        <v>0</v>
      </c>
      <c r="AM113" s="10">
        <v>0</v>
      </c>
      <c r="AN113" s="10">
        <v>0</v>
      </c>
      <c r="AO113" s="10" t="s">
        <v>54</v>
      </c>
      <c r="AP113" s="5">
        <f t="shared" si="40"/>
        <v>0</v>
      </c>
      <c r="AQ113" s="18">
        <f t="shared" si="41"/>
        <v>0</v>
      </c>
      <c r="AR113" s="18">
        <f t="shared" si="42"/>
        <v>0</v>
      </c>
      <c r="AS113" s="5">
        <f t="shared" si="43"/>
        <v>0</v>
      </c>
    </row>
    <row r="114" spans="1:45" x14ac:dyDescent="0.25">
      <c r="A114" s="5" t="s">
        <v>180</v>
      </c>
      <c r="B114" s="5" t="s">
        <v>53</v>
      </c>
      <c r="C114" s="5">
        <v>18</v>
      </c>
      <c r="D114" s="5">
        <v>16</v>
      </c>
      <c r="E114" s="5">
        <v>8</v>
      </c>
      <c r="F114" s="5">
        <v>20</v>
      </c>
      <c r="G114" s="7">
        <v>0.1</v>
      </c>
      <c r="H114" s="5">
        <v>30</v>
      </c>
      <c r="I114" s="5" t="s">
        <v>47</v>
      </c>
      <c r="J114" s="5"/>
      <c r="K114" s="5">
        <v>10</v>
      </c>
      <c r="L114" s="5">
        <f t="shared" si="37"/>
        <v>-2</v>
      </c>
      <c r="M114" s="5"/>
      <c r="N114" s="5"/>
      <c r="O114" s="5"/>
      <c r="P114" s="5"/>
      <c r="Q114" s="5">
        <v>0</v>
      </c>
      <c r="R114" s="5"/>
      <c r="S114" s="5"/>
      <c r="T114" s="5">
        <f t="shared" si="38"/>
        <v>1.6</v>
      </c>
      <c r="U114" s="4"/>
      <c r="V114" s="4"/>
      <c r="W114" s="4"/>
      <c r="X114" s="4"/>
      <c r="Y114" s="4">
        <f t="shared" si="35"/>
        <v>0</v>
      </c>
      <c r="Z114" s="4">
        <f t="shared" si="36"/>
        <v>0</v>
      </c>
      <c r="AA114" s="4"/>
      <c r="AB114" s="4"/>
      <c r="AC114" s="5">
        <f t="shared" si="32"/>
        <v>12.5</v>
      </c>
      <c r="AD114" s="5">
        <f t="shared" si="39"/>
        <v>12.5</v>
      </c>
      <c r="AE114" s="5">
        <v>1.8</v>
      </c>
      <c r="AF114" s="5">
        <v>2</v>
      </c>
      <c r="AG114" s="5">
        <v>1.4</v>
      </c>
      <c r="AH114" s="5">
        <v>1.6</v>
      </c>
      <c r="AI114" s="5">
        <v>1.4</v>
      </c>
      <c r="AJ114" s="5">
        <v>1.4</v>
      </c>
      <c r="AK114" s="5">
        <v>2.2000000000000002</v>
      </c>
      <c r="AL114" s="5">
        <v>3.2</v>
      </c>
      <c r="AM114" s="5">
        <v>1.8</v>
      </c>
      <c r="AN114" s="5">
        <v>0.8</v>
      </c>
      <c r="AO114" s="5"/>
      <c r="AP114" s="5">
        <f t="shared" si="40"/>
        <v>0</v>
      </c>
      <c r="AQ114" s="18">
        <f t="shared" si="41"/>
        <v>0</v>
      </c>
      <c r="AR114" s="18">
        <f t="shared" si="42"/>
        <v>0</v>
      </c>
      <c r="AS114" s="5">
        <f t="shared" si="43"/>
        <v>0</v>
      </c>
    </row>
    <row r="115" spans="1:45" x14ac:dyDescent="0.25">
      <c r="A115" s="5" t="s">
        <v>181</v>
      </c>
      <c r="B115" s="5" t="s">
        <v>53</v>
      </c>
      <c r="C115" s="5">
        <v>398</v>
      </c>
      <c r="D115" s="5">
        <v>120</v>
      </c>
      <c r="E115" s="5">
        <v>211</v>
      </c>
      <c r="F115" s="5">
        <v>237</v>
      </c>
      <c r="G115" s="7">
        <v>0.08</v>
      </c>
      <c r="H115" s="5">
        <v>45</v>
      </c>
      <c r="I115" s="5" t="s">
        <v>47</v>
      </c>
      <c r="J115" s="5"/>
      <c r="K115" s="5">
        <v>224</v>
      </c>
      <c r="L115" s="5">
        <f t="shared" si="37"/>
        <v>-13</v>
      </c>
      <c r="M115" s="5"/>
      <c r="N115" s="5"/>
      <c r="O115" s="5"/>
      <c r="P115" s="5"/>
      <c r="Q115" s="5">
        <v>216.268</v>
      </c>
      <c r="R115" s="5"/>
      <c r="S115" s="5"/>
      <c r="T115" s="5">
        <f t="shared" si="38"/>
        <v>42.2</v>
      </c>
      <c r="U115" s="4">
        <f>11*T115-R115-Q115-P115-O115-F115-V115-AB115</f>
        <v>10.932000000000045</v>
      </c>
      <c r="V115" s="4"/>
      <c r="W115" s="4"/>
      <c r="X115" s="4"/>
      <c r="Y115" s="4">
        <f t="shared" si="35"/>
        <v>10.932000000000045</v>
      </c>
      <c r="Z115" s="4">
        <f t="shared" si="36"/>
        <v>10.932000000000045</v>
      </c>
      <c r="AA115" s="4"/>
      <c r="AB115" s="4"/>
      <c r="AC115" s="5">
        <f t="shared" si="32"/>
        <v>11</v>
      </c>
      <c r="AD115" s="5">
        <f t="shared" si="39"/>
        <v>10.740947867298578</v>
      </c>
      <c r="AE115" s="5">
        <v>43.2</v>
      </c>
      <c r="AF115" s="5">
        <v>37.6</v>
      </c>
      <c r="AG115" s="5">
        <v>41.6</v>
      </c>
      <c r="AH115" s="5">
        <v>50.8</v>
      </c>
      <c r="AI115" s="5">
        <v>54</v>
      </c>
      <c r="AJ115" s="5">
        <v>50</v>
      </c>
      <c r="AK115" s="5">
        <v>41.4</v>
      </c>
      <c r="AL115" s="5">
        <v>40.6</v>
      </c>
      <c r="AM115" s="5">
        <v>39.6</v>
      </c>
      <c r="AN115" s="5">
        <v>39.4</v>
      </c>
      <c r="AO115" s="5"/>
      <c r="AP115" s="5">
        <f t="shared" si="40"/>
        <v>0</v>
      </c>
      <c r="AQ115" s="18">
        <f t="shared" si="41"/>
        <v>1</v>
      </c>
      <c r="AR115" s="18">
        <f t="shared" si="42"/>
        <v>0</v>
      </c>
      <c r="AS115" s="5">
        <f t="shared" si="43"/>
        <v>0</v>
      </c>
    </row>
    <row r="116" spans="1:45" x14ac:dyDescent="0.25">
      <c r="A116" s="5" t="s">
        <v>182</v>
      </c>
      <c r="B116" s="5" t="s">
        <v>53</v>
      </c>
      <c r="C116" s="5">
        <v>104</v>
      </c>
      <c r="D116" s="5">
        <v>114</v>
      </c>
      <c r="E116" s="5">
        <v>115</v>
      </c>
      <c r="F116" s="5">
        <v>94</v>
      </c>
      <c r="G116" s="7">
        <v>0.08</v>
      </c>
      <c r="H116" s="5">
        <v>45</v>
      </c>
      <c r="I116" s="5" t="s">
        <v>47</v>
      </c>
      <c r="J116" s="5"/>
      <c r="K116" s="5">
        <v>122</v>
      </c>
      <c r="L116" s="5">
        <f t="shared" si="37"/>
        <v>-7</v>
      </c>
      <c r="M116" s="5"/>
      <c r="N116" s="5"/>
      <c r="O116" s="5"/>
      <c r="P116" s="5"/>
      <c r="Q116" s="5">
        <v>231.364</v>
      </c>
      <c r="R116" s="5"/>
      <c r="S116" s="5"/>
      <c r="T116" s="5">
        <f t="shared" si="38"/>
        <v>23</v>
      </c>
      <c r="U116" s="4"/>
      <c r="V116" s="4"/>
      <c r="W116" s="4"/>
      <c r="X116" s="4"/>
      <c r="Y116" s="4">
        <f t="shared" si="35"/>
        <v>0</v>
      </c>
      <c r="Z116" s="4">
        <f t="shared" si="36"/>
        <v>0</v>
      </c>
      <c r="AA116" s="4"/>
      <c r="AB116" s="4"/>
      <c r="AC116" s="5">
        <f t="shared" si="32"/>
        <v>14.14626086956522</v>
      </c>
      <c r="AD116" s="5">
        <f t="shared" si="39"/>
        <v>14.14626086956522</v>
      </c>
      <c r="AE116" s="5">
        <v>33.200000000000003</v>
      </c>
      <c r="AF116" s="5">
        <v>35</v>
      </c>
      <c r="AG116" s="5">
        <v>35.6</v>
      </c>
      <c r="AH116" s="5">
        <v>38.6</v>
      </c>
      <c r="AI116" s="5">
        <v>40.6</v>
      </c>
      <c r="AJ116" s="5">
        <v>35.200000000000003</v>
      </c>
      <c r="AK116" s="5">
        <v>30.6</v>
      </c>
      <c r="AL116" s="5">
        <v>23.8</v>
      </c>
      <c r="AM116" s="5">
        <v>11.2</v>
      </c>
      <c r="AN116" s="5">
        <v>20.8</v>
      </c>
      <c r="AO116" s="5"/>
      <c r="AP116" s="5">
        <f t="shared" si="40"/>
        <v>0</v>
      </c>
      <c r="AQ116" s="18">
        <f t="shared" si="41"/>
        <v>0</v>
      </c>
      <c r="AR116" s="18">
        <f t="shared" si="42"/>
        <v>0</v>
      </c>
      <c r="AS116" s="5">
        <f t="shared" si="43"/>
        <v>0</v>
      </c>
    </row>
    <row r="117" spans="1:45" x14ac:dyDescent="0.25">
      <c r="A117" s="5" t="s">
        <v>183</v>
      </c>
      <c r="B117" s="5" t="s">
        <v>53</v>
      </c>
      <c r="C117" s="5">
        <v>15</v>
      </c>
      <c r="D117" s="5">
        <v>12</v>
      </c>
      <c r="E117" s="5">
        <v>2</v>
      </c>
      <c r="F117" s="5">
        <v>21</v>
      </c>
      <c r="G117" s="7">
        <v>0.17</v>
      </c>
      <c r="H117" s="5">
        <v>30</v>
      </c>
      <c r="I117" s="5" t="s">
        <v>47</v>
      </c>
      <c r="J117" s="5"/>
      <c r="K117" s="5">
        <v>3</v>
      </c>
      <c r="L117" s="5">
        <f t="shared" si="37"/>
        <v>-1</v>
      </c>
      <c r="M117" s="5"/>
      <c r="N117" s="5"/>
      <c r="O117" s="5"/>
      <c r="P117" s="5"/>
      <c r="Q117" s="5">
        <v>0</v>
      </c>
      <c r="R117" s="5"/>
      <c r="S117" s="5"/>
      <c r="T117" s="5">
        <f t="shared" si="38"/>
        <v>0.4</v>
      </c>
      <c r="U117" s="4"/>
      <c r="V117" s="4"/>
      <c r="W117" s="4"/>
      <c r="X117" s="4"/>
      <c r="Y117" s="4">
        <f t="shared" si="35"/>
        <v>0</v>
      </c>
      <c r="Z117" s="4">
        <f t="shared" si="36"/>
        <v>0</v>
      </c>
      <c r="AA117" s="4"/>
      <c r="AB117" s="4"/>
      <c r="AC117" s="5">
        <f t="shared" si="32"/>
        <v>52.5</v>
      </c>
      <c r="AD117" s="5">
        <f t="shared" si="39"/>
        <v>52.5</v>
      </c>
      <c r="AE117" s="5">
        <v>0.4</v>
      </c>
      <c r="AF117" s="5">
        <v>1.8</v>
      </c>
      <c r="AG117" s="5">
        <v>1.4</v>
      </c>
      <c r="AH117" s="5">
        <v>0.6</v>
      </c>
      <c r="AI117" s="5">
        <v>0.2</v>
      </c>
      <c r="AJ117" s="5">
        <v>1</v>
      </c>
      <c r="AK117" s="5">
        <v>2</v>
      </c>
      <c r="AL117" s="5">
        <v>3</v>
      </c>
      <c r="AM117" s="5">
        <v>1.6</v>
      </c>
      <c r="AN117" s="5">
        <v>1.4</v>
      </c>
      <c r="AO117" s="17" t="s">
        <v>184</v>
      </c>
      <c r="AP117" s="5">
        <f t="shared" si="40"/>
        <v>0</v>
      </c>
      <c r="AQ117" s="18">
        <f t="shared" si="41"/>
        <v>0</v>
      </c>
      <c r="AR117" s="18">
        <f t="shared" si="42"/>
        <v>0</v>
      </c>
      <c r="AS117" s="5">
        <f t="shared" si="43"/>
        <v>0</v>
      </c>
    </row>
    <row r="118" spans="1:45" x14ac:dyDescent="0.25">
      <c r="A118" s="5" t="s">
        <v>185</v>
      </c>
      <c r="B118" s="5" t="s">
        <v>46</v>
      </c>
      <c r="C118" s="5">
        <v>207.01900000000001</v>
      </c>
      <c r="D118" s="5">
        <v>959.61699999999996</v>
      </c>
      <c r="E118" s="5">
        <v>423.70100000000002</v>
      </c>
      <c r="F118" s="5">
        <v>604.01199999999994</v>
      </c>
      <c r="G118" s="7">
        <v>1</v>
      </c>
      <c r="H118" s="5">
        <v>40</v>
      </c>
      <c r="I118" s="5" t="s">
        <v>47</v>
      </c>
      <c r="J118" s="5"/>
      <c r="K118" s="5">
        <v>431.25</v>
      </c>
      <c r="L118" s="5">
        <f t="shared" si="37"/>
        <v>-7.5489999999999782</v>
      </c>
      <c r="M118" s="5"/>
      <c r="N118" s="5"/>
      <c r="O118" s="5"/>
      <c r="P118" s="5"/>
      <c r="Q118" s="5">
        <v>253.30019399999969</v>
      </c>
      <c r="R118" s="5"/>
      <c r="S118" s="5"/>
      <c r="T118" s="5">
        <f t="shared" si="38"/>
        <v>84.740200000000002</v>
      </c>
      <c r="U118" s="4">
        <f>11*T118-R118-Q118-P118-O118-F118-V118-AB118</f>
        <v>74.830006000000367</v>
      </c>
      <c r="V118" s="4"/>
      <c r="W118" s="4"/>
      <c r="X118" s="4"/>
      <c r="Y118" s="4">
        <f t="shared" si="35"/>
        <v>74.830006000000367</v>
      </c>
      <c r="Z118" s="4">
        <f t="shared" si="36"/>
        <v>74.830006000000367</v>
      </c>
      <c r="AA118" s="4"/>
      <c r="AB118" s="4"/>
      <c r="AC118" s="5">
        <f t="shared" si="32"/>
        <v>11</v>
      </c>
      <c r="AD118" s="5">
        <f t="shared" si="39"/>
        <v>10.116947965664462</v>
      </c>
      <c r="AE118" s="5">
        <v>85.5518</v>
      </c>
      <c r="AF118" s="5">
        <v>88.798400000000001</v>
      </c>
      <c r="AG118" s="5">
        <v>81.619799999999998</v>
      </c>
      <c r="AH118" s="5">
        <v>70.697800000000001</v>
      </c>
      <c r="AI118" s="5">
        <v>58.890599999999992</v>
      </c>
      <c r="AJ118" s="5">
        <v>61.716999999999999</v>
      </c>
      <c r="AK118" s="5">
        <v>68.288199999999989</v>
      </c>
      <c r="AL118" s="5">
        <v>71.225800000000007</v>
      </c>
      <c r="AM118" s="5">
        <v>70.763800000000003</v>
      </c>
      <c r="AN118" s="5">
        <v>70.212599999999995</v>
      </c>
      <c r="AO118" s="5"/>
      <c r="AP118" s="5">
        <f t="shared" si="40"/>
        <v>0</v>
      </c>
      <c r="AQ118" s="18">
        <f t="shared" si="41"/>
        <v>75</v>
      </c>
      <c r="AR118" s="18">
        <f t="shared" si="42"/>
        <v>0</v>
      </c>
      <c r="AS118" s="5">
        <f t="shared" si="43"/>
        <v>0</v>
      </c>
    </row>
    <row r="119" spans="1:45" x14ac:dyDescent="0.25">
      <c r="A119" s="5" t="s">
        <v>186</v>
      </c>
      <c r="B119" s="5" t="s">
        <v>46</v>
      </c>
      <c r="C119" s="5">
        <v>211.02</v>
      </c>
      <c r="D119" s="5">
        <v>578.75599999999997</v>
      </c>
      <c r="E119" s="5">
        <v>320.25599999999997</v>
      </c>
      <c r="F119" s="5">
        <v>393.05200000000002</v>
      </c>
      <c r="G119" s="7">
        <v>1</v>
      </c>
      <c r="H119" s="5">
        <v>40</v>
      </c>
      <c r="I119" s="5" t="s">
        <v>47</v>
      </c>
      <c r="J119" s="5"/>
      <c r="K119" s="5">
        <v>315.89999999999998</v>
      </c>
      <c r="L119" s="5">
        <f t="shared" si="37"/>
        <v>4.3559999999999945</v>
      </c>
      <c r="M119" s="5"/>
      <c r="N119" s="5"/>
      <c r="O119" s="5"/>
      <c r="P119" s="5"/>
      <c r="Q119" s="5">
        <v>166.52969999999999</v>
      </c>
      <c r="R119" s="5"/>
      <c r="S119" s="5"/>
      <c r="T119" s="5">
        <f t="shared" si="38"/>
        <v>64.051199999999994</v>
      </c>
      <c r="U119" s="4">
        <f>11*T119-R119-Q119-P119-O119-F119-V119-AB119</f>
        <v>25.620480000000086</v>
      </c>
      <c r="V119" s="4">
        <v>119.3610199999999</v>
      </c>
      <c r="W119" s="4"/>
      <c r="X119" s="4"/>
      <c r="Y119" s="4">
        <f t="shared" si="35"/>
        <v>25.620480000000086</v>
      </c>
      <c r="Z119" s="4">
        <f t="shared" si="36"/>
        <v>25.620480000000086</v>
      </c>
      <c r="AA119" s="4"/>
      <c r="AB119" s="4"/>
      <c r="AC119" s="5">
        <f t="shared" si="32"/>
        <v>11</v>
      </c>
      <c r="AD119" s="5">
        <f t="shared" si="39"/>
        <v>8.7364748825939245</v>
      </c>
      <c r="AE119" s="5">
        <v>58.3504</v>
      </c>
      <c r="AF119" s="5">
        <v>61.6798</v>
      </c>
      <c r="AG119" s="5">
        <v>49.1038</v>
      </c>
      <c r="AH119" s="5">
        <v>43.895600000000002</v>
      </c>
      <c r="AI119" s="5">
        <v>38.950400000000002</v>
      </c>
      <c r="AJ119" s="5">
        <v>37.585000000000001</v>
      </c>
      <c r="AK119" s="5">
        <v>40.150599999999997</v>
      </c>
      <c r="AL119" s="5">
        <v>43.5214</v>
      </c>
      <c r="AM119" s="5">
        <v>32.672199999999997</v>
      </c>
      <c r="AN119" s="5">
        <v>29.6248</v>
      </c>
      <c r="AO119" s="5"/>
      <c r="AP119" s="5">
        <f t="shared" si="40"/>
        <v>119</v>
      </c>
      <c r="AQ119" s="18">
        <f t="shared" si="41"/>
        <v>26</v>
      </c>
      <c r="AR119" s="18">
        <f t="shared" si="42"/>
        <v>0</v>
      </c>
      <c r="AS119" s="5">
        <f t="shared" si="43"/>
        <v>0</v>
      </c>
    </row>
    <row r="120" spans="1:45" x14ac:dyDescent="0.25">
      <c r="A120" s="5" t="s">
        <v>122</v>
      </c>
      <c r="B120" s="5" t="s">
        <v>46</v>
      </c>
      <c r="C120" s="5">
        <v>329.68400000000003</v>
      </c>
      <c r="D120" s="5">
        <v>1369.3230000000001</v>
      </c>
      <c r="E120" s="5">
        <v>412.93599999999998</v>
      </c>
      <c r="F120" s="5">
        <v>302.30799999999999</v>
      </c>
      <c r="G120" s="7">
        <v>1</v>
      </c>
      <c r="H120" s="5">
        <v>40</v>
      </c>
      <c r="I120" s="5" t="s">
        <v>47</v>
      </c>
      <c r="J120" s="5"/>
      <c r="K120" s="5">
        <v>465.5</v>
      </c>
      <c r="L120" s="5">
        <f t="shared" si="37"/>
        <v>-52.564000000000021</v>
      </c>
      <c r="M120" s="5"/>
      <c r="N120" s="5"/>
      <c r="O120" s="5"/>
      <c r="P120" s="5"/>
      <c r="Q120" s="5">
        <v>230.14787400000009</v>
      </c>
      <c r="R120" s="5"/>
      <c r="S120" s="5"/>
      <c r="T120" s="5">
        <f t="shared" si="38"/>
        <v>82.587199999999996</v>
      </c>
      <c r="U120" s="4">
        <f>11*T120-R120-Q120-P120-O120-F120-V120-AB120</f>
        <v>33.034879999999987</v>
      </c>
      <c r="V120" s="4">
        <v>342.96844599999991</v>
      </c>
      <c r="W120" s="4"/>
      <c r="X120" s="4"/>
      <c r="Y120" s="4">
        <f t="shared" si="35"/>
        <v>33.034879999999987</v>
      </c>
      <c r="Z120" s="4">
        <f t="shared" si="36"/>
        <v>33.034879999999987</v>
      </c>
      <c r="AA120" s="4"/>
      <c r="AB120" s="4"/>
      <c r="AC120" s="5">
        <f t="shared" si="32"/>
        <v>11</v>
      </c>
      <c r="AD120" s="5">
        <f t="shared" si="39"/>
        <v>6.447196103028074</v>
      </c>
      <c r="AE120" s="5">
        <v>93.196200000000005</v>
      </c>
      <c r="AF120" s="5">
        <v>104.8322</v>
      </c>
      <c r="AG120" s="5">
        <v>101.123</v>
      </c>
      <c r="AH120" s="5">
        <v>92.513999999999996</v>
      </c>
      <c r="AI120" s="5">
        <v>78.795199999999994</v>
      </c>
      <c r="AJ120" s="5">
        <v>78.278199999999998</v>
      </c>
      <c r="AK120" s="5">
        <v>85.24199999999999</v>
      </c>
      <c r="AL120" s="5">
        <v>105.099</v>
      </c>
      <c r="AM120" s="5">
        <v>107.1344</v>
      </c>
      <c r="AN120" s="5">
        <v>87.789999999999992</v>
      </c>
      <c r="AO120" s="5"/>
      <c r="AP120" s="5">
        <f t="shared" si="40"/>
        <v>343</v>
      </c>
      <c r="AQ120" s="18">
        <f t="shared" si="41"/>
        <v>33</v>
      </c>
      <c r="AR120" s="18">
        <f t="shared" si="42"/>
        <v>0</v>
      </c>
      <c r="AS120" s="5">
        <f t="shared" si="43"/>
        <v>0</v>
      </c>
    </row>
    <row r="121" spans="1:45" x14ac:dyDescent="0.25">
      <c r="A121" s="10" t="s">
        <v>187</v>
      </c>
      <c r="B121" s="10" t="s">
        <v>53</v>
      </c>
      <c r="C121" s="10"/>
      <c r="D121" s="10"/>
      <c r="E121" s="10"/>
      <c r="F121" s="10"/>
      <c r="G121" s="11">
        <v>0</v>
      </c>
      <c r="H121" s="10"/>
      <c r="I121" s="10" t="s">
        <v>47</v>
      </c>
      <c r="J121" s="10"/>
      <c r="K121" s="10"/>
      <c r="L121" s="10">
        <f t="shared" si="37"/>
        <v>0</v>
      </c>
      <c r="M121" s="10"/>
      <c r="N121" s="10"/>
      <c r="O121" s="10"/>
      <c r="P121" s="10"/>
      <c r="Q121" s="10">
        <v>0</v>
      </c>
      <c r="R121" s="10"/>
      <c r="S121" s="10"/>
      <c r="T121" s="10">
        <f t="shared" si="38"/>
        <v>0</v>
      </c>
      <c r="U121" s="12"/>
      <c r="V121" s="12"/>
      <c r="W121" s="12"/>
      <c r="X121" s="12"/>
      <c r="Y121" s="4">
        <f t="shared" si="35"/>
        <v>0</v>
      </c>
      <c r="Z121" s="4">
        <f t="shared" si="36"/>
        <v>0</v>
      </c>
      <c r="AA121" s="4"/>
      <c r="AB121" s="12"/>
      <c r="AC121" s="5" t="e">
        <f t="shared" si="32"/>
        <v>#DIV/0!</v>
      </c>
      <c r="AD121" s="10" t="e">
        <f t="shared" si="39"/>
        <v>#DIV/0!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  <c r="AL121" s="10">
        <v>0</v>
      </c>
      <c r="AM121" s="10">
        <v>0</v>
      </c>
      <c r="AN121" s="10">
        <v>0</v>
      </c>
      <c r="AO121" s="10" t="s">
        <v>54</v>
      </c>
      <c r="AP121" s="5">
        <f t="shared" si="40"/>
        <v>0</v>
      </c>
      <c r="AQ121" s="18">
        <f t="shared" si="41"/>
        <v>0</v>
      </c>
      <c r="AR121" s="18">
        <f t="shared" si="42"/>
        <v>0</v>
      </c>
      <c r="AS121" s="5">
        <f t="shared" si="43"/>
        <v>0</v>
      </c>
    </row>
    <row r="122" spans="1:45" x14ac:dyDescent="0.25">
      <c r="A122" s="5" t="s">
        <v>188</v>
      </c>
      <c r="B122" s="5" t="s">
        <v>46</v>
      </c>
      <c r="C122" s="5">
        <v>33.598999999999997</v>
      </c>
      <c r="D122" s="5">
        <v>9.657</v>
      </c>
      <c r="E122" s="5">
        <v>6.4080000000000004</v>
      </c>
      <c r="F122" s="5">
        <v>25.32</v>
      </c>
      <c r="G122" s="7">
        <v>1</v>
      </c>
      <c r="H122" s="5">
        <v>55</v>
      </c>
      <c r="I122" s="5" t="s">
        <v>47</v>
      </c>
      <c r="J122" s="5"/>
      <c r="K122" s="5">
        <v>6.5</v>
      </c>
      <c r="L122" s="5">
        <f t="shared" si="37"/>
        <v>-9.1999999999999638E-2</v>
      </c>
      <c r="M122" s="5"/>
      <c r="N122" s="5"/>
      <c r="O122" s="5"/>
      <c r="P122" s="5"/>
      <c r="Q122" s="5">
        <v>0</v>
      </c>
      <c r="R122" s="5"/>
      <c r="S122" s="5"/>
      <c r="T122" s="5">
        <f t="shared" si="38"/>
        <v>1.2816000000000001</v>
      </c>
      <c r="U122" s="4"/>
      <c r="V122" s="4"/>
      <c r="W122" s="4"/>
      <c r="X122" s="4"/>
      <c r="Y122" s="4">
        <f t="shared" si="35"/>
        <v>0</v>
      </c>
      <c r="Z122" s="4">
        <f t="shared" si="36"/>
        <v>0</v>
      </c>
      <c r="AA122" s="4"/>
      <c r="AB122" s="4"/>
      <c r="AC122" s="5">
        <f t="shared" si="32"/>
        <v>19.756554307116104</v>
      </c>
      <c r="AD122" s="5">
        <f t="shared" si="39"/>
        <v>19.756554307116104</v>
      </c>
      <c r="AE122" s="5">
        <v>0.28160000000000002</v>
      </c>
      <c r="AF122" s="5">
        <v>0</v>
      </c>
      <c r="AG122" s="5">
        <v>0.29120000000000001</v>
      </c>
      <c r="AH122" s="5">
        <v>0.29120000000000001</v>
      </c>
      <c r="AI122" s="5">
        <v>3.2582</v>
      </c>
      <c r="AJ122" s="5">
        <v>3.821800000000001</v>
      </c>
      <c r="AK122" s="5">
        <v>0.56359999999999999</v>
      </c>
      <c r="AL122" s="5">
        <v>0.55679999999999996</v>
      </c>
      <c r="AM122" s="5">
        <v>1.0944</v>
      </c>
      <c r="AN122" s="5">
        <v>0.83119999999999994</v>
      </c>
      <c r="AO122" s="17" t="s">
        <v>189</v>
      </c>
      <c r="AP122" s="5">
        <f t="shared" si="40"/>
        <v>0</v>
      </c>
      <c r="AQ122" s="18">
        <f t="shared" si="41"/>
        <v>0</v>
      </c>
      <c r="AR122" s="18">
        <f t="shared" si="42"/>
        <v>0</v>
      </c>
      <c r="AS122" s="5">
        <f t="shared" si="43"/>
        <v>0</v>
      </c>
    </row>
    <row r="123" spans="1:45" x14ac:dyDescent="0.25">
      <c r="A123" s="5" t="s">
        <v>190</v>
      </c>
      <c r="B123" s="5" t="s">
        <v>53</v>
      </c>
      <c r="C123" s="5">
        <v>479</v>
      </c>
      <c r="D123" s="5">
        <v>318</v>
      </c>
      <c r="E123" s="5">
        <v>323</v>
      </c>
      <c r="F123" s="5">
        <v>230</v>
      </c>
      <c r="G123" s="7">
        <v>0.28000000000000003</v>
      </c>
      <c r="H123" s="5">
        <v>40</v>
      </c>
      <c r="I123" s="5" t="s">
        <v>47</v>
      </c>
      <c r="J123" s="5"/>
      <c r="K123" s="5">
        <v>344</v>
      </c>
      <c r="L123" s="5">
        <f t="shared" si="37"/>
        <v>-21</v>
      </c>
      <c r="M123" s="5"/>
      <c r="N123" s="5"/>
      <c r="O123" s="5"/>
      <c r="P123" s="5"/>
      <c r="Q123" s="5">
        <v>145.21278720000001</v>
      </c>
      <c r="R123" s="5">
        <v>248.53121279999999</v>
      </c>
      <c r="S123" s="5"/>
      <c r="T123" s="5">
        <f t="shared" si="38"/>
        <v>64.599999999999994</v>
      </c>
      <c r="U123" s="4">
        <f>11*T123-R123-Q123-P123-O123-F123-V123-AB123</f>
        <v>86.855999999999881</v>
      </c>
      <c r="V123" s="4"/>
      <c r="W123" s="4"/>
      <c r="X123" s="4"/>
      <c r="Y123" s="4">
        <f t="shared" si="35"/>
        <v>86.855999999999881</v>
      </c>
      <c r="Z123" s="4">
        <f t="shared" si="36"/>
        <v>86.855999999999881</v>
      </c>
      <c r="AA123" s="4"/>
      <c r="AB123" s="4"/>
      <c r="AC123" s="5">
        <f t="shared" si="32"/>
        <v>10.999999999999998</v>
      </c>
      <c r="AD123" s="5">
        <f t="shared" si="39"/>
        <v>9.6554798761609906</v>
      </c>
      <c r="AE123" s="5">
        <v>68.400000000000006</v>
      </c>
      <c r="AF123" s="5">
        <v>56</v>
      </c>
      <c r="AG123" s="5">
        <v>64.599999999999994</v>
      </c>
      <c r="AH123" s="5">
        <v>67.400000000000006</v>
      </c>
      <c r="AI123" s="5">
        <v>57.4</v>
      </c>
      <c r="AJ123" s="5">
        <v>60.6</v>
      </c>
      <c r="AK123" s="5">
        <v>65.400000000000006</v>
      </c>
      <c r="AL123" s="5">
        <v>69.8</v>
      </c>
      <c r="AM123" s="5">
        <v>65.2</v>
      </c>
      <c r="AN123" s="5">
        <v>64.8</v>
      </c>
      <c r="AO123" s="5"/>
      <c r="AP123" s="5">
        <f t="shared" si="40"/>
        <v>0</v>
      </c>
      <c r="AQ123" s="18">
        <f t="shared" si="41"/>
        <v>24</v>
      </c>
      <c r="AR123" s="18">
        <f t="shared" si="42"/>
        <v>0</v>
      </c>
      <c r="AS123" s="5">
        <f t="shared" si="43"/>
        <v>0</v>
      </c>
    </row>
    <row r="124" spans="1:45" x14ac:dyDescent="0.25">
      <c r="A124" s="10" t="s">
        <v>191</v>
      </c>
      <c r="B124" s="10" t="s">
        <v>53</v>
      </c>
      <c r="C124" s="10"/>
      <c r="D124" s="10"/>
      <c r="E124" s="10"/>
      <c r="F124" s="10"/>
      <c r="G124" s="11">
        <v>0</v>
      </c>
      <c r="H124" s="10"/>
      <c r="I124" s="10" t="s">
        <v>47</v>
      </c>
      <c r="J124" s="10"/>
      <c r="K124" s="10"/>
      <c r="L124" s="10">
        <f t="shared" si="37"/>
        <v>0</v>
      </c>
      <c r="M124" s="10"/>
      <c r="N124" s="10"/>
      <c r="O124" s="10"/>
      <c r="P124" s="10"/>
      <c r="Q124" s="10">
        <v>0</v>
      </c>
      <c r="R124" s="10"/>
      <c r="S124" s="10"/>
      <c r="T124" s="10">
        <f t="shared" si="38"/>
        <v>0</v>
      </c>
      <c r="U124" s="12"/>
      <c r="V124" s="12"/>
      <c r="W124" s="12"/>
      <c r="X124" s="12"/>
      <c r="Y124" s="4">
        <f t="shared" si="35"/>
        <v>0</v>
      </c>
      <c r="Z124" s="4">
        <f t="shared" si="36"/>
        <v>0</v>
      </c>
      <c r="AA124" s="4"/>
      <c r="AB124" s="12"/>
      <c r="AC124" s="5" t="e">
        <f t="shared" si="32"/>
        <v>#DIV/0!</v>
      </c>
      <c r="AD124" s="10" t="e">
        <f t="shared" si="39"/>
        <v>#DIV/0!</v>
      </c>
      <c r="AE124" s="10">
        <v>0</v>
      </c>
      <c r="AF124" s="10">
        <v>0</v>
      </c>
      <c r="AG124" s="10">
        <v>0</v>
      </c>
      <c r="AH124" s="10">
        <v>0</v>
      </c>
      <c r="AI124" s="10">
        <v>0</v>
      </c>
      <c r="AJ124" s="10">
        <v>0</v>
      </c>
      <c r="AK124" s="10">
        <v>0</v>
      </c>
      <c r="AL124" s="10">
        <v>0</v>
      </c>
      <c r="AM124" s="10">
        <v>0</v>
      </c>
      <c r="AN124" s="10">
        <v>0</v>
      </c>
      <c r="AO124" s="10" t="s">
        <v>54</v>
      </c>
      <c r="AP124" s="5">
        <f t="shared" si="40"/>
        <v>0</v>
      </c>
      <c r="AQ124" s="18">
        <f t="shared" si="41"/>
        <v>0</v>
      </c>
      <c r="AR124" s="18">
        <f t="shared" si="42"/>
        <v>0</v>
      </c>
      <c r="AS124" s="5">
        <f t="shared" si="43"/>
        <v>0</v>
      </c>
    </row>
    <row r="125" spans="1:45" x14ac:dyDescent="0.25">
      <c r="A125" s="5" t="s">
        <v>192</v>
      </c>
      <c r="B125" s="5" t="s">
        <v>53</v>
      </c>
      <c r="C125" s="5">
        <v>555</v>
      </c>
      <c r="D125" s="5">
        <v>223</v>
      </c>
      <c r="E125" s="5">
        <v>334</v>
      </c>
      <c r="F125" s="5">
        <v>258</v>
      </c>
      <c r="G125" s="7">
        <v>0.28000000000000003</v>
      </c>
      <c r="H125" s="5">
        <v>40</v>
      </c>
      <c r="I125" s="5" t="s">
        <v>47</v>
      </c>
      <c r="J125" s="5"/>
      <c r="K125" s="5">
        <v>354</v>
      </c>
      <c r="L125" s="5">
        <f t="shared" si="37"/>
        <v>-20</v>
      </c>
      <c r="M125" s="5"/>
      <c r="N125" s="5"/>
      <c r="O125" s="5"/>
      <c r="P125" s="5"/>
      <c r="Q125" s="5">
        <v>134.90703999999999</v>
      </c>
      <c r="R125" s="5">
        <v>230.89295999999999</v>
      </c>
      <c r="S125" s="5"/>
      <c r="T125" s="5">
        <f t="shared" si="38"/>
        <v>66.8</v>
      </c>
      <c r="U125" s="4">
        <f>11*T125-R125-Q125-P125-O125-F125-V125-AB125</f>
        <v>26.720000000000027</v>
      </c>
      <c r="V125" s="4">
        <v>84.279999999999916</v>
      </c>
      <c r="W125" s="4"/>
      <c r="X125" s="4"/>
      <c r="Y125" s="4">
        <f t="shared" si="35"/>
        <v>26.720000000000027</v>
      </c>
      <c r="Z125" s="4">
        <f t="shared" si="36"/>
        <v>26.720000000000027</v>
      </c>
      <c r="AA125" s="4"/>
      <c r="AB125" s="4"/>
      <c r="AC125" s="5">
        <f t="shared" si="32"/>
        <v>11</v>
      </c>
      <c r="AD125" s="5">
        <f t="shared" si="39"/>
        <v>9.3383233532934131</v>
      </c>
      <c r="AE125" s="5">
        <v>66.400000000000006</v>
      </c>
      <c r="AF125" s="5">
        <v>53</v>
      </c>
      <c r="AG125" s="5">
        <v>66.400000000000006</v>
      </c>
      <c r="AH125" s="5">
        <v>72.8</v>
      </c>
      <c r="AI125" s="5">
        <v>61.4</v>
      </c>
      <c r="AJ125" s="5">
        <v>55.6</v>
      </c>
      <c r="AK125" s="5">
        <v>59</v>
      </c>
      <c r="AL125" s="5">
        <v>71.599999999999994</v>
      </c>
      <c r="AM125" s="5">
        <v>69.2</v>
      </c>
      <c r="AN125" s="5">
        <v>65</v>
      </c>
      <c r="AO125" s="5"/>
      <c r="AP125" s="5">
        <f t="shared" si="40"/>
        <v>24</v>
      </c>
      <c r="AQ125" s="18">
        <f t="shared" si="41"/>
        <v>7</v>
      </c>
      <c r="AR125" s="18">
        <f t="shared" si="42"/>
        <v>0</v>
      </c>
      <c r="AS125" s="5">
        <f t="shared" si="43"/>
        <v>0</v>
      </c>
    </row>
    <row r="126" spans="1:45" x14ac:dyDescent="0.25">
      <c r="A126" s="10" t="s">
        <v>193</v>
      </c>
      <c r="B126" s="10" t="s">
        <v>53</v>
      </c>
      <c r="C126" s="10"/>
      <c r="D126" s="10"/>
      <c r="E126" s="10"/>
      <c r="F126" s="10"/>
      <c r="G126" s="11">
        <v>0</v>
      </c>
      <c r="H126" s="10"/>
      <c r="I126" s="10" t="s">
        <v>47</v>
      </c>
      <c r="J126" s="10"/>
      <c r="K126" s="10"/>
      <c r="L126" s="10">
        <f t="shared" si="37"/>
        <v>0</v>
      </c>
      <c r="M126" s="10"/>
      <c r="N126" s="10"/>
      <c r="O126" s="10"/>
      <c r="P126" s="10"/>
      <c r="Q126" s="10">
        <v>0</v>
      </c>
      <c r="R126" s="10"/>
      <c r="S126" s="10"/>
      <c r="T126" s="10">
        <f t="shared" si="38"/>
        <v>0</v>
      </c>
      <c r="U126" s="12"/>
      <c r="V126" s="12"/>
      <c r="W126" s="12"/>
      <c r="X126" s="12"/>
      <c r="Y126" s="4">
        <f t="shared" si="35"/>
        <v>0</v>
      </c>
      <c r="Z126" s="4">
        <f t="shared" si="36"/>
        <v>0</v>
      </c>
      <c r="AA126" s="4"/>
      <c r="AB126" s="12"/>
      <c r="AC126" s="5" t="e">
        <f t="shared" si="32"/>
        <v>#DIV/0!</v>
      </c>
      <c r="AD126" s="10" t="e">
        <f t="shared" si="39"/>
        <v>#DIV/0!</v>
      </c>
      <c r="AE126" s="10">
        <v>0</v>
      </c>
      <c r="AF126" s="10">
        <v>0</v>
      </c>
      <c r="AG126" s="10">
        <v>0</v>
      </c>
      <c r="AH126" s="10">
        <v>0</v>
      </c>
      <c r="AI126" s="10">
        <v>0</v>
      </c>
      <c r="AJ126" s="10">
        <v>0</v>
      </c>
      <c r="AK126" s="10">
        <v>0</v>
      </c>
      <c r="AL126" s="10">
        <v>0</v>
      </c>
      <c r="AM126" s="10">
        <v>0</v>
      </c>
      <c r="AN126" s="10">
        <v>0</v>
      </c>
      <c r="AO126" s="10" t="s">
        <v>54</v>
      </c>
      <c r="AP126" s="5">
        <f t="shared" si="40"/>
        <v>0</v>
      </c>
      <c r="AQ126" s="18">
        <f t="shared" si="41"/>
        <v>0</v>
      </c>
      <c r="AR126" s="18">
        <f t="shared" si="42"/>
        <v>0</v>
      </c>
      <c r="AS126" s="5">
        <f t="shared" si="43"/>
        <v>0</v>
      </c>
    </row>
    <row r="127" spans="1:45" x14ac:dyDescent="0.25">
      <c r="A127" s="5" t="s">
        <v>194</v>
      </c>
      <c r="B127" s="5" t="s">
        <v>46</v>
      </c>
      <c r="C127" s="5">
        <v>330.714</v>
      </c>
      <c r="D127" s="5">
        <v>136.21799999999999</v>
      </c>
      <c r="E127" s="5">
        <v>148.488</v>
      </c>
      <c r="F127" s="5">
        <v>95.777000000000001</v>
      </c>
      <c r="G127" s="7">
        <v>1</v>
      </c>
      <c r="H127" s="5">
        <v>60</v>
      </c>
      <c r="I127" s="5" t="s">
        <v>47</v>
      </c>
      <c r="J127" s="5"/>
      <c r="K127" s="5">
        <v>147.5</v>
      </c>
      <c r="L127" s="5">
        <f t="shared" si="37"/>
        <v>0.98799999999999955</v>
      </c>
      <c r="M127" s="5"/>
      <c r="N127" s="5"/>
      <c r="O127" s="5"/>
      <c r="P127" s="5"/>
      <c r="Q127" s="5">
        <v>199.48300000000009</v>
      </c>
      <c r="R127" s="5"/>
      <c r="S127" s="5"/>
      <c r="T127" s="5">
        <f t="shared" si="38"/>
        <v>29.697600000000001</v>
      </c>
      <c r="U127" s="4">
        <f>11*T127-R127-Q127-P127-O127-F127-V127-AB127</f>
        <v>31.413599999999931</v>
      </c>
      <c r="V127" s="4"/>
      <c r="W127" s="4"/>
      <c r="X127" s="4"/>
      <c r="Y127" s="4">
        <f t="shared" si="35"/>
        <v>31.413599999999931</v>
      </c>
      <c r="Z127" s="4">
        <f t="shared" si="36"/>
        <v>31.413599999999931</v>
      </c>
      <c r="AA127" s="4"/>
      <c r="AB127" s="4"/>
      <c r="AC127" s="5">
        <f t="shared" si="32"/>
        <v>11</v>
      </c>
      <c r="AD127" s="5">
        <f t="shared" si="39"/>
        <v>9.9422175529335739</v>
      </c>
      <c r="AE127" s="5">
        <v>35.659999999999997</v>
      </c>
      <c r="AF127" s="5">
        <v>26.834399999999999</v>
      </c>
      <c r="AG127" s="5">
        <v>32.64</v>
      </c>
      <c r="AH127" s="5">
        <v>39.406399999999998</v>
      </c>
      <c r="AI127" s="5">
        <v>36.651000000000003</v>
      </c>
      <c r="AJ127" s="5">
        <v>34.523000000000003</v>
      </c>
      <c r="AK127" s="5">
        <v>40.992800000000003</v>
      </c>
      <c r="AL127" s="5">
        <v>43.077399999999997</v>
      </c>
      <c r="AM127" s="5">
        <v>21.758600000000001</v>
      </c>
      <c r="AN127" s="5">
        <v>36.654000000000003</v>
      </c>
      <c r="AO127" s="5"/>
      <c r="AP127" s="5">
        <f t="shared" si="40"/>
        <v>0</v>
      </c>
      <c r="AQ127" s="18">
        <f t="shared" si="41"/>
        <v>31</v>
      </c>
      <c r="AR127" s="18">
        <f t="shared" si="42"/>
        <v>0</v>
      </c>
      <c r="AS127" s="5">
        <f t="shared" si="43"/>
        <v>0</v>
      </c>
    </row>
    <row r="128" spans="1:45" x14ac:dyDescent="0.25">
      <c r="A128" s="5" t="s">
        <v>195</v>
      </c>
      <c r="B128" s="5" t="s">
        <v>46</v>
      </c>
      <c r="C128" s="5">
        <v>197.99</v>
      </c>
      <c r="D128" s="5">
        <v>22.306999999999999</v>
      </c>
      <c r="E128" s="5">
        <v>28.817</v>
      </c>
      <c r="F128" s="5">
        <v>84.58</v>
      </c>
      <c r="G128" s="7">
        <v>1</v>
      </c>
      <c r="H128" s="5">
        <v>50</v>
      </c>
      <c r="I128" s="5" t="s">
        <v>47</v>
      </c>
      <c r="J128" s="5"/>
      <c r="K128" s="5">
        <v>93.3</v>
      </c>
      <c r="L128" s="5">
        <f t="shared" si="37"/>
        <v>-64.483000000000004</v>
      </c>
      <c r="M128" s="5"/>
      <c r="N128" s="5"/>
      <c r="O128" s="5"/>
      <c r="P128" s="5"/>
      <c r="Q128" s="5">
        <v>0</v>
      </c>
      <c r="R128" s="5"/>
      <c r="S128" s="5"/>
      <c r="T128" s="5">
        <f t="shared" si="38"/>
        <v>5.7633999999999999</v>
      </c>
      <c r="U128" s="4"/>
      <c r="V128" s="4"/>
      <c r="W128" s="4"/>
      <c r="X128" s="4"/>
      <c r="Y128" s="4">
        <f t="shared" si="35"/>
        <v>0</v>
      </c>
      <c r="Z128" s="4">
        <f t="shared" si="36"/>
        <v>0</v>
      </c>
      <c r="AA128" s="4"/>
      <c r="AB128" s="4"/>
      <c r="AC128" s="5">
        <f t="shared" si="32"/>
        <v>14.675365235798314</v>
      </c>
      <c r="AD128" s="5">
        <f t="shared" si="39"/>
        <v>14.675365235798314</v>
      </c>
      <c r="AE128" s="5">
        <v>15.0108</v>
      </c>
      <c r="AF128" s="5">
        <v>18.382400000000001</v>
      </c>
      <c r="AG128" s="5">
        <v>18.812799999999999</v>
      </c>
      <c r="AH128" s="5">
        <v>18.2974</v>
      </c>
      <c r="AI128" s="5">
        <v>13.1578</v>
      </c>
      <c r="AJ128" s="5">
        <v>13.4122</v>
      </c>
      <c r="AK128" s="5">
        <v>14.643800000000001</v>
      </c>
      <c r="AL128" s="5">
        <v>18.419</v>
      </c>
      <c r="AM128" s="5">
        <v>17.446000000000002</v>
      </c>
      <c r="AN128" s="5">
        <v>19.5992</v>
      </c>
      <c r="AO128" s="5"/>
      <c r="AP128" s="5">
        <f t="shared" si="40"/>
        <v>0</v>
      </c>
      <c r="AQ128" s="18">
        <f t="shared" si="41"/>
        <v>0</v>
      </c>
      <c r="AR128" s="18">
        <f t="shared" si="42"/>
        <v>0</v>
      </c>
      <c r="AS128" s="5">
        <f t="shared" si="43"/>
        <v>0</v>
      </c>
    </row>
    <row r="129" spans="1:45" x14ac:dyDescent="0.25">
      <c r="A129" s="10" t="s">
        <v>196</v>
      </c>
      <c r="B129" s="10" t="s">
        <v>53</v>
      </c>
      <c r="C129" s="10"/>
      <c r="D129" s="10"/>
      <c r="E129" s="10"/>
      <c r="F129" s="10"/>
      <c r="G129" s="11">
        <v>0</v>
      </c>
      <c r="H129" s="10"/>
      <c r="I129" s="10" t="s">
        <v>47</v>
      </c>
      <c r="J129" s="10"/>
      <c r="K129" s="10"/>
      <c r="L129" s="10">
        <f t="shared" si="37"/>
        <v>0</v>
      </c>
      <c r="M129" s="10"/>
      <c r="N129" s="10"/>
      <c r="O129" s="10"/>
      <c r="P129" s="10"/>
      <c r="Q129" s="10">
        <v>0</v>
      </c>
      <c r="R129" s="10"/>
      <c r="S129" s="10"/>
      <c r="T129" s="10">
        <f t="shared" si="38"/>
        <v>0</v>
      </c>
      <c r="U129" s="12"/>
      <c r="V129" s="12"/>
      <c r="W129" s="12"/>
      <c r="X129" s="12"/>
      <c r="Y129" s="4">
        <f t="shared" si="35"/>
        <v>0</v>
      </c>
      <c r="Z129" s="4">
        <f t="shared" si="36"/>
        <v>0</v>
      </c>
      <c r="AA129" s="4"/>
      <c r="AB129" s="12"/>
      <c r="AC129" s="5" t="e">
        <f t="shared" si="32"/>
        <v>#DIV/0!</v>
      </c>
      <c r="AD129" s="10" t="e">
        <f t="shared" si="39"/>
        <v>#DIV/0!</v>
      </c>
      <c r="AE129" s="10">
        <v>0</v>
      </c>
      <c r="AF129" s="10">
        <v>0</v>
      </c>
      <c r="AG129" s="10">
        <v>0</v>
      </c>
      <c r="AH129" s="10">
        <v>0</v>
      </c>
      <c r="AI129" s="10">
        <v>0</v>
      </c>
      <c r="AJ129" s="10">
        <v>0</v>
      </c>
      <c r="AK129" s="10">
        <v>0</v>
      </c>
      <c r="AL129" s="10">
        <v>0</v>
      </c>
      <c r="AM129" s="10">
        <v>0</v>
      </c>
      <c r="AN129" s="10">
        <v>0</v>
      </c>
      <c r="AO129" s="10" t="s">
        <v>54</v>
      </c>
      <c r="AP129" s="5">
        <f t="shared" si="40"/>
        <v>0</v>
      </c>
      <c r="AQ129" s="18">
        <f t="shared" si="41"/>
        <v>0</v>
      </c>
      <c r="AR129" s="18">
        <f t="shared" si="42"/>
        <v>0</v>
      </c>
      <c r="AS129" s="5">
        <f t="shared" si="43"/>
        <v>0</v>
      </c>
    </row>
    <row r="130" spans="1:45" x14ac:dyDescent="0.25">
      <c r="A130" s="10" t="s">
        <v>197</v>
      </c>
      <c r="B130" s="10" t="s">
        <v>53</v>
      </c>
      <c r="C130" s="10"/>
      <c r="D130" s="10"/>
      <c r="E130" s="10"/>
      <c r="F130" s="10"/>
      <c r="G130" s="11">
        <v>0</v>
      </c>
      <c r="H130" s="10"/>
      <c r="I130" s="10" t="s">
        <v>47</v>
      </c>
      <c r="J130" s="10"/>
      <c r="K130" s="10"/>
      <c r="L130" s="10">
        <f t="shared" si="37"/>
        <v>0</v>
      </c>
      <c r="M130" s="10"/>
      <c r="N130" s="10"/>
      <c r="O130" s="10"/>
      <c r="P130" s="10"/>
      <c r="Q130" s="10">
        <v>0</v>
      </c>
      <c r="R130" s="10"/>
      <c r="S130" s="10"/>
      <c r="T130" s="10">
        <f t="shared" si="38"/>
        <v>0</v>
      </c>
      <c r="U130" s="12"/>
      <c r="V130" s="12"/>
      <c r="W130" s="12"/>
      <c r="X130" s="12"/>
      <c r="Y130" s="4">
        <f t="shared" si="35"/>
        <v>0</v>
      </c>
      <c r="Z130" s="4">
        <f t="shared" si="36"/>
        <v>0</v>
      </c>
      <c r="AA130" s="4"/>
      <c r="AB130" s="12"/>
      <c r="AC130" s="5" t="e">
        <f t="shared" si="32"/>
        <v>#DIV/0!</v>
      </c>
      <c r="AD130" s="10" t="e">
        <f t="shared" si="39"/>
        <v>#DIV/0!</v>
      </c>
      <c r="AE130" s="10">
        <v>0</v>
      </c>
      <c r="AF130" s="10">
        <v>0</v>
      </c>
      <c r="AG130" s="10">
        <v>0</v>
      </c>
      <c r="AH130" s="10">
        <v>0</v>
      </c>
      <c r="AI130" s="10">
        <v>0</v>
      </c>
      <c r="AJ130" s="10">
        <v>0</v>
      </c>
      <c r="AK130" s="10">
        <v>0</v>
      </c>
      <c r="AL130" s="10">
        <v>0</v>
      </c>
      <c r="AM130" s="10">
        <v>0</v>
      </c>
      <c r="AN130" s="10">
        <v>0</v>
      </c>
      <c r="AO130" s="10" t="s">
        <v>54</v>
      </c>
      <c r="AP130" s="5">
        <f t="shared" si="40"/>
        <v>0</v>
      </c>
      <c r="AQ130" s="18">
        <f t="shared" si="41"/>
        <v>0</v>
      </c>
      <c r="AR130" s="18">
        <f t="shared" si="42"/>
        <v>0</v>
      </c>
      <c r="AS130" s="5">
        <f t="shared" si="43"/>
        <v>0</v>
      </c>
    </row>
    <row r="131" spans="1:45" x14ac:dyDescent="0.25">
      <c r="A131" s="5" t="s">
        <v>198</v>
      </c>
      <c r="B131" s="5" t="s">
        <v>46</v>
      </c>
      <c r="C131" s="5">
        <v>331.30599999999998</v>
      </c>
      <c r="D131" s="5">
        <v>703.61099999999999</v>
      </c>
      <c r="E131" s="5">
        <v>354.28</v>
      </c>
      <c r="F131" s="5">
        <v>475.476</v>
      </c>
      <c r="G131" s="7">
        <v>1</v>
      </c>
      <c r="H131" s="5">
        <v>60</v>
      </c>
      <c r="I131" s="5" t="s">
        <v>47</v>
      </c>
      <c r="J131" s="5"/>
      <c r="K131" s="5">
        <v>343.45</v>
      </c>
      <c r="L131" s="5">
        <f t="shared" si="37"/>
        <v>10.829999999999984</v>
      </c>
      <c r="M131" s="5"/>
      <c r="N131" s="5"/>
      <c r="O131" s="5"/>
      <c r="P131" s="5"/>
      <c r="Q131" s="5">
        <v>294.32349999999991</v>
      </c>
      <c r="R131" s="5"/>
      <c r="S131" s="5"/>
      <c r="T131" s="5">
        <f t="shared" si="38"/>
        <v>70.855999999999995</v>
      </c>
      <c r="U131" s="4">
        <f>11*T131-R131-Q131-P131-O131-F131-V131-AB131</f>
        <v>9.6165000000000305</v>
      </c>
      <c r="V131" s="4"/>
      <c r="W131" s="4"/>
      <c r="X131" s="4"/>
      <c r="Y131" s="4">
        <f t="shared" si="35"/>
        <v>9.6165000000000305</v>
      </c>
      <c r="Z131" s="4">
        <f t="shared" si="36"/>
        <v>9.6165000000000305</v>
      </c>
      <c r="AA131" s="4"/>
      <c r="AB131" s="4"/>
      <c r="AC131" s="5">
        <f t="shared" si="32"/>
        <v>11</v>
      </c>
      <c r="AD131" s="5">
        <f t="shared" si="39"/>
        <v>10.864281077114146</v>
      </c>
      <c r="AE131" s="5">
        <v>76.245800000000003</v>
      </c>
      <c r="AF131" s="5">
        <v>71.3352</v>
      </c>
      <c r="AG131" s="5">
        <v>56.040999999999997</v>
      </c>
      <c r="AH131" s="5">
        <v>58.951800000000013</v>
      </c>
      <c r="AI131" s="5">
        <v>56.642000000000003</v>
      </c>
      <c r="AJ131" s="5">
        <v>48.368200000000002</v>
      </c>
      <c r="AK131" s="5">
        <v>57.312800000000003</v>
      </c>
      <c r="AL131" s="5">
        <v>62.732199999999999</v>
      </c>
      <c r="AM131" s="5">
        <v>62.818399999999997</v>
      </c>
      <c r="AN131" s="5">
        <v>59.040599999999998</v>
      </c>
      <c r="AO131" s="5"/>
      <c r="AP131" s="5">
        <f t="shared" si="40"/>
        <v>0</v>
      </c>
      <c r="AQ131" s="18">
        <f t="shared" si="41"/>
        <v>10</v>
      </c>
      <c r="AR131" s="18">
        <f t="shared" si="42"/>
        <v>0</v>
      </c>
      <c r="AS131" s="5">
        <f t="shared" si="43"/>
        <v>0</v>
      </c>
    </row>
    <row r="132" spans="1:45" x14ac:dyDescent="0.25">
      <c r="A132" s="5" t="s">
        <v>199</v>
      </c>
      <c r="B132" s="5" t="s">
        <v>46</v>
      </c>
      <c r="C132" s="5">
        <v>413.93</v>
      </c>
      <c r="D132" s="5">
        <v>774.49699999999996</v>
      </c>
      <c r="E132" s="5">
        <v>439.536</v>
      </c>
      <c r="F132" s="5">
        <v>558.27700000000004</v>
      </c>
      <c r="G132" s="7">
        <v>1</v>
      </c>
      <c r="H132" s="5">
        <v>60</v>
      </c>
      <c r="I132" s="5" t="s">
        <v>47</v>
      </c>
      <c r="J132" s="5"/>
      <c r="K132" s="5">
        <v>424.5</v>
      </c>
      <c r="L132" s="5">
        <f t="shared" si="37"/>
        <v>15.036000000000001</v>
      </c>
      <c r="M132" s="5"/>
      <c r="N132" s="5"/>
      <c r="O132" s="5"/>
      <c r="P132" s="5"/>
      <c r="Q132" s="5">
        <v>116.45059152</v>
      </c>
      <c r="R132" s="5">
        <v>199.30480847999999</v>
      </c>
      <c r="S132" s="5"/>
      <c r="T132" s="5">
        <f t="shared" si="38"/>
        <v>87.907200000000003</v>
      </c>
      <c r="U132" s="4">
        <f>11*T132-R132-Q132-P132-O132-F132-V132-AB132</f>
        <v>92.946799999999939</v>
      </c>
      <c r="V132" s="4"/>
      <c r="W132" s="4"/>
      <c r="X132" s="4"/>
      <c r="Y132" s="4">
        <f t="shared" si="35"/>
        <v>92.946799999999939</v>
      </c>
      <c r="Z132" s="4">
        <f t="shared" si="36"/>
        <v>92.946799999999939</v>
      </c>
      <c r="AA132" s="4"/>
      <c r="AB132" s="4"/>
      <c r="AC132" s="5">
        <f t="shared" si="32"/>
        <v>11</v>
      </c>
      <c r="AD132" s="5">
        <f t="shared" si="39"/>
        <v>9.9426713625277561</v>
      </c>
      <c r="AE132" s="5">
        <v>90.133600000000001</v>
      </c>
      <c r="AF132" s="5">
        <v>88.307600000000008</v>
      </c>
      <c r="AG132" s="5">
        <v>81.408000000000001</v>
      </c>
      <c r="AH132" s="5">
        <v>81.493200000000002</v>
      </c>
      <c r="AI132" s="5">
        <v>70.010400000000004</v>
      </c>
      <c r="AJ132" s="5">
        <v>61.485999999999997</v>
      </c>
      <c r="AK132" s="5">
        <v>75.655000000000001</v>
      </c>
      <c r="AL132" s="5">
        <v>87.415199999999999</v>
      </c>
      <c r="AM132" s="5">
        <v>84.498999999999995</v>
      </c>
      <c r="AN132" s="5">
        <v>80.06280000000001</v>
      </c>
      <c r="AO132" s="5"/>
      <c r="AP132" s="5">
        <f t="shared" si="40"/>
        <v>0</v>
      </c>
      <c r="AQ132" s="18">
        <f t="shared" si="41"/>
        <v>93</v>
      </c>
      <c r="AR132" s="18">
        <f t="shared" si="42"/>
        <v>0</v>
      </c>
      <c r="AS132" s="5">
        <f t="shared" si="43"/>
        <v>0</v>
      </c>
    </row>
    <row r="133" spans="1:45" x14ac:dyDescent="0.25">
      <c r="A133" s="5" t="s">
        <v>200</v>
      </c>
      <c r="B133" s="5" t="s">
        <v>46</v>
      </c>
      <c r="C133" s="5">
        <v>262.214</v>
      </c>
      <c r="D133" s="5">
        <v>91.817999999999998</v>
      </c>
      <c r="E133" s="5">
        <v>146.91800000000001</v>
      </c>
      <c r="F133" s="5">
        <v>145.006</v>
      </c>
      <c r="G133" s="7">
        <v>1</v>
      </c>
      <c r="H133" s="5">
        <v>60</v>
      </c>
      <c r="I133" s="5" t="s">
        <v>47</v>
      </c>
      <c r="J133" s="5"/>
      <c r="K133" s="5">
        <v>143.69999999999999</v>
      </c>
      <c r="L133" s="5">
        <f t="shared" si="37"/>
        <v>3.2180000000000177</v>
      </c>
      <c r="M133" s="5"/>
      <c r="N133" s="5"/>
      <c r="O133" s="5"/>
      <c r="P133" s="5"/>
      <c r="Q133" s="5">
        <v>54.690799999999967</v>
      </c>
      <c r="R133" s="5"/>
      <c r="S133" s="5"/>
      <c r="T133" s="5">
        <f t="shared" si="38"/>
        <v>29.383600000000001</v>
      </c>
      <c r="U133" s="4">
        <f>11*T133-R133-Q133-P133-O133-F133-V133-AB133</f>
        <v>11.75344000000004</v>
      </c>
      <c r="V133" s="4">
        <v>111.76936000000001</v>
      </c>
      <c r="W133" s="4"/>
      <c r="X133" s="4"/>
      <c r="Y133" s="4">
        <f t="shared" si="35"/>
        <v>11.75344000000004</v>
      </c>
      <c r="Z133" s="4">
        <f t="shared" si="36"/>
        <v>11.75344000000004</v>
      </c>
      <c r="AA133" s="4"/>
      <c r="AB133" s="4"/>
      <c r="AC133" s="5">
        <f t="shared" si="32"/>
        <v>11</v>
      </c>
      <c r="AD133" s="5">
        <f t="shared" si="39"/>
        <v>6.7961992403925988</v>
      </c>
      <c r="AE133" s="5">
        <v>24.572399999999998</v>
      </c>
      <c r="AF133" s="5">
        <v>27.509399999999999</v>
      </c>
      <c r="AG133" s="5">
        <v>31.500800000000002</v>
      </c>
      <c r="AH133" s="5">
        <v>33.397000000000013</v>
      </c>
      <c r="AI133" s="5">
        <v>28.143799999999999</v>
      </c>
      <c r="AJ133" s="5">
        <v>21.887799999999999</v>
      </c>
      <c r="AK133" s="5">
        <v>25.122</v>
      </c>
      <c r="AL133" s="5">
        <v>29.194600000000001</v>
      </c>
      <c r="AM133" s="5">
        <v>30.5456</v>
      </c>
      <c r="AN133" s="5">
        <v>28.908799999999999</v>
      </c>
      <c r="AO133" s="5"/>
      <c r="AP133" s="5">
        <f t="shared" si="40"/>
        <v>112</v>
      </c>
      <c r="AQ133" s="18">
        <f t="shared" si="41"/>
        <v>12</v>
      </c>
      <c r="AR133" s="18">
        <f t="shared" si="42"/>
        <v>0</v>
      </c>
      <c r="AS133" s="5">
        <f t="shared" si="43"/>
        <v>0</v>
      </c>
    </row>
    <row r="134" spans="1:45" x14ac:dyDescent="0.25">
      <c r="A134" s="23" t="s">
        <v>72</v>
      </c>
      <c r="B134" s="5" t="s">
        <v>46</v>
      </c>
      <c r="C134" s="5">
        <v>1142.876</v>
      </c>
      <c r="D134" s="5">
        <v>2867.7939999999999</v>
      </c>
      <c r="E134" s="5">
        <v>1556.5060000000001</v>
      </c>
      <c r="F134" s="5">
        <v>2149.5390000000002</v>
      </c>
      <c r="G134" s="7">
        <v>1</v>
      </c>
      <c r="H134" s="5">
        <v>60</v>
      </c>
      <c r="I134" s="5" t="s">
        <v>47</v>
      </c>
      <c r="J134" s="5"/>
      <c r="K134" s="5">
        <v>1573.1</v>
      </c>
      <c r="L134" s="5">
        <f t="shared" ref="L134:L165" si="44">E134-K134</f>
        <v>-16.593999999999824</v>
      </c>
      <c r="M134" s="5"/>
      <c r="N134" s="5"/>
      <c r="O134" s="5">
        <v>200</v>
      </c>
      <c r="P134" s="5"/>
      <c r="Q134" s="5">
        <v>0</v>
      </c>
      <c r="R134" s="5"/>
      <c r="S134" s="5"/>
      <c r="T134" s="5">
        <f t="shared" ref="T134:T142" si="45">E134/5</f>
        <v>311.30119999999999</v>
      </c>
      <c r="U134" s="4"/>
      <c r="V134" s="4">
        <v>1150.2537199999999</v>
      </c>
      <c r="W134" s="4"/>
      <c r="X134" s="4">
        <v>1000</v>
      </c>
      <c r="Y134" s="22">
        <v>900</v>
      </c>
      <c r="Z134" s="4">
        <f t="shared" si="36"/>
        <v>300</v>
      </c>
      <c r="AA134" s="22">
        <v>600</v>
      </c>
      <c r="AB134" s="4"/>
      <c r="AC134" s="5">
        <f t="shared" si="32"/>
        <v>17.345878268378023</v>
      </c>
      <c r="AD134" s="5">
        <f t="shared" ref="AD134:AD142" si="46">(F134+O134+P134+Q134+R134)/T134</f>
        <v>7.5474781337174424</v>
      </c>
      <c r="AE134" s="5">
        <v>194.2492</v>
      </c>
      <c r="AF134" s="5">
        <v>172.9366</v>
      </c>
      <c r="AG134" s="5">
        <v>248.2234</v>
      </c>
      <c r="AH134" s="5">
        <v>192.77199999999999</v>
      </c>
      <c r="AI134" s="5">
        <v>106.2038</v>
      </c>
      <c r="AJ134" s="5">
        <v>76.627399999999994</v>
      </c>
      <c r="AK134" s="5">
        <v>49.574399999999997</v>
      </c>
      <c r="AL134" s="5">
        <v>119.9166</v>
      </c>
      <c r="AM134" s="5">
        <v>0</v>
      </c>
      <c r="AN134" s="5">
        <v>238.46119999999999</v>
      </c>
      <c r="AO134" s="5" t="s">
        <v>201</v>
      </c>
      <c r="AP134" s="5">
        <f t="shared" ref="AP134:AP142" si="47">ROUND(G134*V134,0)</f>
        <v>1150</v>
      </c>
      <c r="AQ134" s="18">
        <f t="shared" ref="AQ134:AQ142" si="48">ROUND(G134*Z134,0)</f>
        <v>300</v>
      </c>
      <c r="AR134" s="18">
        <f t="shared" ref="AR134:AR142" si="49">ROUND(G134*AA134,0)</f>
        <v>600</v>
      </c>
      <c r="AS134" s="5">
        <f t="shared" ref="AS134:AS142" si="50">ROUND(G134*AB134,0)</f>
        <v>0</v>
      </c>
    </row>
    <row r="135" spans="1:45" x14ac:dyDescent="0.25">
      <c r="A135" s="5" t="s">
        <v>202</v>
      </c>
      <c r="B135" s="5" t="s">
        <v>53</v>
      </c>
      <c r="C135" s="5">
        <v>459</v>
      </c>
      <c r="D135" s="5">
        <v>266</v>
      </c>
      <c r="E135" s="5">
        <v>493</v>
      </c>
      <c r="F135" s="5">
        <v>113</v>
      </c>
      <c r="G135" s="7">
        <v>0.3</v>
      </c>
      <c r="H135" s="5">
        <v>40</v>
      </c>
      <c r="I135" s="5" t="s">
        <v>47</v>
      </c>
      <c r="J135" s="5"/>
      <c r="K135" s="5">
        <v>506</v>
      </c>
      <c r="L135" s="5">
        <f t="shared" si="44"/>
        <v>-13</v>
      </c>
      <c r="M135" s="5"/>
      <c r="N135" s="5"/>
      <c r="O135" s="5"/>
      <c r="P135" s="5">
        <v>-192</v>
      </c>
      <c r="Q135" s="5">
        <v>186.77617839999991</v>
      </c>
      <c r="R135" s="5">
        <v>319.66682159999982</v>
      </c>
      <c r="S135" s="5">
        <f>-97/G135</f>
        <v>-323.33333333333337</v>
      </c>
      <c r="T135" s="5">
        <f t="shared" si="45"/>
        <v>98.6</v>
      </c>
      <c r="U135" s="4">
        <f>10*T135-R135-Q135-P135-O135-F135-V135-AB135</f>
        <v>132.84000000000015</v>
      </c>
      <c r="V135" s="4">
        <v>425.7170000000001</v>
      </c>
      <c r="W135" s="4"/>
      <c r="X135" s="4"/>
      <c r="Y135" s="4">
        <f t="shared" ref="Y135:Y142" si="51">U135</f>
        <v>132.84000000000015</v>
      </c>
      <c r="Z135" s="4">
        <f t="shared" si="36"/>
        <v>132.84000000000015</v>
      </c>
      <c r="AA135" s="4"/>
      <c r="AB135" s="4"/>
      <c r="AC135" s="5">
        <f t="shared" ref="AC135:AC142" si="52">(F135+O135+P135+Q135+R135+Y135+AB135+V135+S135+X135+W135)/T135</f>
        <v>6.7207572684246113</v>
      </c>
      <c r="AD135" s="5">
        <f t="shared" si="46"/>
        <v>4.3351217038539529</v>
      </c>
      <c r="AE135" s="5">
        <v>83.8</v>
      </c>
      <c r="AF135" s="5">
        <v>69</v>
      </c>
      <c r="AG135" s="5">
        <v>67.8</v>
      </c>
      <c r="AH135" s="5">
        <v>71.400000000000006</v>
      </c>
      <c r="AI135" s="5">
        <v>66.400000000000006</v>
      </c>
      <c r="AJ135" s="5">
        <v>66</v>
      </c>
      <c r="AK135" s="5">
        <v>67.599999999999994</v>
      </c>
      <c r="AL135" s="5">
        <v>70.400000000000006</v>
      </c>
      <c r="AM135" s="5">
        <v>67.2</v>
      </c>
      <c r="AN135" s="5">
        <v>36.6</v>
      </c>
      <c r="AO135" s="5"/>
      <c r="AP135" s="5">
        <f t="shared" si="47"/>
        <v>128</v>
      </c>
      <c r="AQ135" s="18">
        <f t="shared" si="48"/>
        <v>40</v>
      </c>
      <c r="AR135" s="18">
        <f t="shared" si="49"/>
        <v>0</v>
      </c>
      <c r="AS135" s="5">
        <f t="shared" si="50"/>
        <v>0</v>
      </c>
    </row>
    <row r="136" spans="1:45" x14ac:dyDescent="0.25">
      <c r="A136" s="5" t="s">
        <v>203</v>
      </c>
      <c r="B136" s="5" t="s">
        <v>53</v>
      </c>
      <c r="C136" s="5">
        <v>379</v>
      </c>
      <c r="D136" s="5">
        <v>289</v>
      </c>
      <c r="E136" s="5">
        <v>342</v>
      </c>
      <c r="F136" s="5">
        <v>158</v>
      </c>
      <c r="G136" s="7">
        <v>0.3</v>
      </c>
      <c r="H136" s="5">
        <v>40</v>
      </c>
      <c r="I136" s="5" t="s">
        <v>47</v>
      </c>
      <c r="J136" s="5"/>
      <c r="K136" s="5">
        <v>355</v>
      </c>
      <c r="L136" s="5">
        <f t="shared" si="44"/>
        <v>-13</v>
      </c>
      <c r="M136" s="5"/>
      <c r="N136" s="5"/>
      <c r="O136" s="5"/>
      <c r="P136" s="5"/>
      <c r="Q136" s="5">
        <v>161.46064000000001</v>
      </c>
      <c r="R136" s="5">
        <v>276.33935999999989</v>
      </c>
      <c r="S136" s="5"/>
      <c r="T136" s="5">
        <f t="shared" si="45"/>
        <v>68.400000000000006</v>
      </c>
      <c r="U136" s="4">
        <f>11*T136-R136-Q136-P136-O136-F136-V136-AB136</f>
        <v>27.359999999999985</v>
      </c>
      <c r="V136" s="4">
        <v>129.24000000000021</v>
      </c>
      <c r="W136" s="4"/>
      <c r="X136" s="4"/>
      <c r="Y136" s="4">
        <f t="shared" si="51"/>
        <v>27.359999999999985</v>
      </c>
      <c r="Z136" s="4">
        <f t="shared" si="36"/>
        <v>27.359999999999985</v>
      </c>
      <c r="AA136" s="4"/>
      <c r="AB136" s="4"/>
      <c r="AC136" s="5">
        <f t="shared" si="52"/>
        <v>11.000000000000002</v>
      </c>
      <c r="AD136" s="5">
        <f t="shared" si="46"/>
        <v>8.7105263157894726</v>
      </c>
      <c r="AE136" s="5">
        <v>71</v>
      </c>
      <c r="AF136" s="5">
        <v>56</v>
      </c>
      <c r="AG136" s="5">
        <v>55.2</v>
      </c>
      <c r="AH136" s="5">
        <v>59.2</v>
      </c>
      <c r="AI136" s="5">
        <v>57</v>
      </c>
      <c r="AJ136" s="5">
        <v>54</v>
      </c>
      <c r="AK136" s="5">
        <v>52.6</v>
      </c>
      <c r="AL136" s="5">
        <v>60</v>
      </c>
      <c r="AM136" s="5">
        <v>57.4</v>
      </c>
      <c r="AN136" s="5">
        <v>27.2</v>
      </c>
      <c r="AO136" s="5"/>
      <c r="AP136" s="5">
        <f t="shared" si="47"/>
        <v>39</v>
      </c>
      <c r="AQ136" s="18">
        <f t="shared" si="48"/>
        <v>8</v>
      </c>
      <c r="AR136" s="18">
        <f t="shared" si="49"/>
        <v>0</v>
      </c>
      <c r="AS136" s="5">
        <f t="shared" si="50"/>
        <v>0</v>
      </c>
    </row>
    <row r="137" spans="1:45" x14ac:dyDescent="0.25">
      <c r="A137" s="5" t="s">
        <v>204</v>
      </c>
      <c r="B137" s="5" t="s">
        <v>46</v>
      </c>
      <c r="C137" s="5">
        <v>380.55700000000002</v>
      </c>
      <c r="D137" s="5">
        <v>366.476</v>
      </c>
      <c r="E137" s="5">
        <v>330.48200000000003</v>
      </c>
      <c r="F137" s="5">
        <v>252.36</v>
      </c>
      <c r="G137" s="7">
        <v>1</v>
      </c>
      <c r="H137" s="5">
        <v>50</v>
      </c>
      <c r="I137" s="5" t="s">
        <v>47</v>
      </c>
      <c r="J137" s="5"/>
      <c r="K137" s="5">
        <v>318.55</v>
      </c>
      <c r="L137" s="5">
        <f t="shared" si="44"/>
        <v>11.932000000000016</v>
      </c>
      <c r="M137" s="5"/>
      <c r="N137" s="5"/>
      <c r="O137" s="5"/>
      <c r="P137" s="5"/>
      <c r="Q137" s="5">
        <v>113.00194272</v>
      </c>
      <c r="R137" s="5">
        <v>193.40245727999991</v>
      </c>
      <c r="S137" s="5"/>
      <c r="T137" s="5">
        <f t="shared" si="45"/>
        <v>66.096400000000003</v>
      </c>
      <c r="U137" s="4">
        <f>11*T137-R137-Q137-P137-O137-F137-V137-AB137</f>
        <v>26.438560000000052</v>
      </c>
      <c r="V137" s="4">
        <v>141.85744000000011</v>
      </c>
      <c r="W137" s="4"/>
      <c r="X137" s="4"/>
      <c r="Y137" s="4">
        <f t="shared" si="51"/>
        <v>26.438560000000052</v>
      </c>
      <c r="Z137" s="4">
        <f t="shared" si="36"/>
        <v>26.438560000000052</v>
      </c>
      <c r="AA137" s="4"/>
      <c r="AB137" s="4"/>
      <c r="AC137" s="5">
        <f t="shared" si="52"/>
        <v>11</v>
      </c>
      <c r="AD137" s="5">
        <f t="shared" si="46"/>
        <v>8.4537796309632576</v>
      </c>
      <c r="AE137" s="5">
        <v>58.156999999999996</v>
      </c>
      <c r="AF137" s="5">
        <v>49.684600000000003</v>
      </c>
      <c r="AG137" s="5">
        <v>52.064</v>
      </c>
      <c r="AH137" s="5">
        <v>54.797600000000003</v>
      </c>
      <c r="AI137" s="5">
        <v>47.229799999999997</v>
      </c>
      <c r="AJ137" s="5">
        <v>50.653799999999997</v>
      </c>
      <c r="AK137" s="5">
        <v>59.935799999999993</v>
      </c>
      <c r="AL137" s="5">
        <v>60.668999999999997</v>
      </c>
      <c r="AM137" s="5">
        <v>68.052400000000006</v>
      </c>
      <c r="AN137" s="5">
        <v>60.573599999999999</v>
      </c>
      <c r="AO137" s="5"/>
      <c r="AP137" s="5">
        <f t="shared" si="47"/>
        <v>142</v>
      </c>
      <c r="AQ137" s="18">
        <f t="shared" si="48"/>
        <v>26</v>
      </c>
      <c r="AR137" s="18">
        <f t="shared" si="49"/>
        <v>0</v>
      </c>
      <c r="AS137" s="5">
        <f t="shared" si="50"/>
        <v>0</v>
      </c>
    </row>
    <row r="138" spans="1:45" x14ac:dyDescent="0.25">
      <c r="A138" s="5" t="s">
        <v>205</v>
      </c>
      <c r="B138" s="5" t="s">
        <v>53</v>
      </c>
      <c r="C138" s="5">
        <v>301</v>
      </c>
      <c r="D138" s="5">
        <v>431</v>
      </c>
      <c r="E138" s="5">
        <v>234</v>
      </c>
      <c r="F138" s="5">
        <v>379</v>
      </c>
      <c r="G138" s="7">
        <v>0.3</v>
      </c>
      <c r="H138" s="5">
        <v>40</v>
      </c>
      <c r="I138" s="5" t="s">
        <v>47</v>
      </c>
      <c r="J138" s="5"/>
      <c r="K138" s="5">
        <v>241</v>
      </c>
      <c r="L138" s="5">
        <f t="shared" si="44"/>
        <v>-7</v>
      </c>
      <c r="M138" s="5"/>
      <c r="N138" s="5"/>
      <c r="O138" s="5"/>
      <c r="P138" s="5"/>
      <c r="Q138" s="5">
        <v>198.22199999999961</v>
      </c>
      <c r="R138" s="5"/>
      <c r="S138" s="5"/>
      <c r="T138" s="5">
        <f t="shared" si="45"/>
        <v>46.8</v>
      </c>
      <c r="U138" s="4"/>
      <c r="V138" s="4"/>
      <c r="W138" s="4"/>
      <c r="X138" s="4"/>
      <c r="Y138" s="4">
        <f t="shared" si="51"/>
        <v>0</v>
      </c>
      <c r="Z138" s="4">
        <f t="shared" si="36"/>
        <v>0</v>
      </c>
      <c r="AA138" s="4"/>
      <c r="AB138" s="4"/>
      <c r="AC138" s="5">
        <f t="shared" si="52"/>
        <v>12.333803418803411</v>
      </c>
      <c r="AD138" s="5">
        <f t="shared" si="46"/>
        <v>12.333803418803411</v>
      </c>
      <c r="AE138" s="5">
        <v>58.4</v>
      </c>
      <c r="AF138" s="5">
        <v>57.6</v>
      </c>
      <c r="AG138" s="5">
        <v>44.2</v>
      </c>
      <c r="AH138" s="5">
        <v>51.6</v>
      </c>
      <c r="AI138" s="5">
        <v>59.6</v>
      </c>
      <c r="AJ138" s="5">
        <v>56.6</v>
      </c>
      <c r="AK138" s="5">
        <v>60</v>
      </c>
      <c r="AL138" s="5">
        <v>48.6</v>
      </c>
      <c r="AM138" s="5">
        <v>42</v>
      </c>
      <c r="AN138" s="5">
        <v>55.6</v>
      </c>
      <c r="AO138" s="5"/>
      <c r="AP138" s="5">
        <f t="shared" si="47"/>
        <v>0</v>
      </c>
      <c r="AQ138" s="18">
        <f t="shared" si="48"/>
        <v>0</v>
      </c>
      <c r="AR138" s="18">
        <f t="shared" si="49"/>
        <v>0</v>
      </c>
      <c r="AS138" s="5">
        <f t="shared" si="50"/>
        <v>0</v>
      </c>
    </row>
    <row r="139" spans="1:45" x14ac:dyDescent="0.25">
      <c r="A139" s="5" t="s">
        <v>206</v>
      </c>
      <c r="B139" s="5" t="s">
        <v>53</v>
      </c>
      <c r="C139" s="5">
        <v>55</v>
      </c>
      <c r="D139" s="5">
        <v>78</v>
      </c>
      <c r="E139" s="5">
        <v>34</v>
      </c>
      <c r="F139" s="5">
        <v>80</v>
      </c>
      <c r="G139" s="7">
        <v>0.12</v>
      </c>
      <c r="H139" s="5">
        <v>45</v>
      </c>
      <c r="I139" s="5" t="s">
        <v>47</v>
      </c>
      <c r="J139" s="5"/>
      <c r="K139" s="5">
        <v>38</v>
      </c>
      <c r="L139" s="5">
        <f t="shared" si="44"/>
        <v>-4</v>
      </c>
      <c r="M139" s="5"/>
      <c r="N139" s="5"/>
      <c r="O139" s="5"/>
      <c r="P139" s="5"/>
      <c r="Q139" s="5">
        <v>21.399999999999991</v>
      </c>
      <c r="R139" s="5"/>
      <c r="S139" s="5"/>
      <c r="T139" s="5">
        <f t="shared" si="45"/>
        <v>6.8</v>
      </c>
      <c r="U139" s="4"/>
      <c r="V139" s="4"/>
      <c r="W139" s="4"/>
      <c r="X139" s="4"/>
      <c r="Y139" s="4">
        <f t="shared" si="51"/>
        <v>0</v>
      </c>
      <c r="Z139" s="4">
        <f t="shared" si="36"/>
        <v>0</v>
      </c>
      <c r="AA139" s="4"/>
      <c r="AB139" s="4"/>
      <c r="AC139" s="5">
        <f t="shared" si="52"/>
        <v>14.911764705882351</v>
      </c>
      <c r="AD139" s="5">
        <f t="shared" si="46"/>
        <v>14.911764705882351</v>
      </c>
      <c r="AE139" s="5">
        <v>10.199999999999999</v>
      </c>
      <c r="AF139" s="5">
        <v>11.4</v>
      </c>
      <c r="AG139" s="5">
        <v>5.6</v>
      </c>
      <c r="AH139" s="5">
        <v>5.6</v>
      </c>
      <c r="AI139" s="5">
        <v>9.8000000000000007</v>
      </c>
      <c r="AJ139" s="5">
        <v>9.6</v>
      </c>
      <c r="AK139" s="5">
        <v>6</v>
      </c>
      <c r="AL139" s="5">
        <v>2.8</v>
      </c>
      <c r="AM139" s="5">
        <v>-0.2</v>
      </c>
      <c r="AN139" s="5">
        <v>4</v>
      </c>
      <c r="AO139" s="5"/>
      <c r="AP139" s="5">
        <f t="shared" si="47"/>
        <v>0</v>
      </c>
      <c r="AQ139" s="18">
        <f t="shared" si="48"/>
        <v>0</v>
      </c>
      <c r="AR139" s="18">
        <f t="shared" si="49"/>
        <v>0</v>
      </c>
      <c r="AS139" s="5">
        <f t="shared" si="50"/>
        <v>0</v>
      </c>
    </row>
    <row r="140" spans="1:45" x14ac:dyDescent="0.25">
      <c r="A140" s="5" t="s">
        <v>207</v>
      </c>
      <c r="B140" s="5" t="s">
        <v>53</v>
      </c>
      <c r="C140" s="5"/>
      <c r="D140" s="5">
        <v>204</v>
      </c>
      <c r="E140" s="5"/>
      <c r="F140" s="5">
        <v>204</v>
      </c>
      <c r="G140" s="7">
        <v>0.25</v>
      </c>
      <c r="H140" s="5"/>
      <c r="I140" s="5" t="s">
        <v>47</v>
      </c>
      <c r="J140" s="5"/>
      <c r="K140" s="5"/>
      <c r="L140" s="5">
        <f t="shared" si="44"/>
        <v>0</v>
      </c>
      <c r="M140" s="5"/>
      <c r="N140" s="5"/>
      <c r="O140" s="5"/>
      <c r="P140" s="5"/>
      <c r="Q140" s="5">
        <v>0</v>
      </c>
      <c r="R140" s="5"/>
      <c r="S140" s="5"/>
      <c r="T140" s="5">
        <f t="shared" si="45"/>
        <v>0</v>
      </c>
      <c r="U140" s="4"/>
      <c r="V140" s="4"/>
      <c r="W140" s="4"/>
      <c r="X140" s="4"/>
      <c r="Y140" s="4">
        <f t="shared" si="51"/>
        <v>0</v>
      </c>
      <c r="Z140" s="4">
        <f t="shared" si="36"/>
        <v>0</v>
      </c>
      <c r="AA140" s="4"/>
      <c r="AB140" s="4"/>
      <c r="AC140" s="5" t="e">
        <f t="shared" si="52"/>
        <v>#DIV/0!</v>
      </c>
      <c r="AD140" s="5" t="e">
        <f t="shared" si="46"/>
        <v>#DIV/0!</v>
      </c>
      <c r="AE140" s="5">
        <v>0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5">
        <v>0</v>
      </c>
      <c r="AM140" s="5">
        <v>0</v>
      </c>
      <c r="AN140" s="5">
        <v>0</v>
      </c>
      <c r="AO140" s="5" t="s">
        <v>208</v>
      </c>
      <c r="AP140" s="5">
        <f t="shared" si="47"/>
        <v>0</v>
      </c>
      <c r="AQ140" s="18">
        <f t="shared" si="48"/>
        <v>0</v>
      </c>
      <c r="AR140" s="18">
        <f t="shared" si="49"/>
        <v>0</v>
      </c>
      <c r="AS140" s="5">
        <f t="shared" si="50"/>
        <v>0</v>
      </c>
    </row>
    <row r="141" spans="1:45" x14ac:dyDescent="0.25">
      <c r="A141" s="5" t="s">
        <v>209</v>
      </c>
      <c r="B141" s="5" t="s">
        <v>53</v>
      </c>
      <c r="C141" s="5"/>
      <c r="D141" s="5">
        <v>204</v>
      </c>
      <c r="E141" s="5"/>
      <c r="F141" s="5">
        <v>204</v>
      </c>
      <c r="G141" s="7">
        <v>0.32500000000000001</v>
      </c>
      <c r="H141" s="5"/>
      <c r="I141" s="5" t="s">
        <v>47</v>
      </c>
      <c r="J141" s="5"/>
      <c r="K141" s="5"/>
      <c r="L141" s="5">
        <f t="shared" si="44"/>
        <v>0</v>
      </c>
      <c r="M141" s="5"/>
      <c r="N141" s="5"/>
      <c r="O141" s="5"/>
      <c r="P141" s="5"/>
      <c r="Q141" s="5">
        <v>0</v>
      </c>
      <c r="R141" s="5"/>
      <c r="S141" s="5"/>
      <c r="T141" s="5">
        <f t="shared" si="45"/>
        <v>0</v>
      </c>
      <c r="U141" s="4"/>
      <c r="V141" s="4"/>
      <c r="W141" s="4"/>
      <c r="X141" s="4"/>
      <c r="Y141" s="4">
        <f t="shared" si="51"/>
        <v>0</v>
      </c>
      <c r="Z141" s="4">
        <f t="shared" si="36"/>
        <v>0</v>
      </c>
      <c r="AA141" s="4"/>
      <c r="AB141" s="4"/>
      <c r="AC141" s="5" t="e">
        <f t="shared" si="52"/>
        <v>#DIV/0!</v>
      </c>
      <c r="AD141" s="5" t="e">
        <f t="shared" si="46"/>
        <v>#DIV/0!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 t="s">
        <v>208</v>
      </c>
      <c r="AP141" s="5">
        <f t="shared" si="47"/>
        <v>0</v>
      </c>
      <c r="AQ141" s="18">
        <f t="shared" si="48"/>
        <v>0</v>
      </c>
      <c r="AR141" s="18">
        <f t="shared" si="49"/>
        <v>0</v>
      </c>
      <c r="AS141" s="5">
        <f t="shared" si="50"/>
        <v>0</v>
      </c>
    </row>
    <row r="142" spans="1:45" x14ac:dyDescent="0.25">
      <c r="A142" s="5" t="s">
        <v>210</v>
      </c>
      <c r="B142" s="5" t="s">
        <v>53</v>
      </c>
      <c r="C142" s="5"/>
      <c r="D142" s="5">
        <v>204</v>
      </c>
      <c r="E142" s="5"/>
      <c r="F142" s="5">
        <v>204</v>
      </c>
      <c r="G142" s="7">
        <v>0.25</v>
      </c>
      <c r="H142" s="5"/>
      <c r="I142" s="5" t="s">
        <v>47</v>
      </c>
      <c r="J142" s="5"/>
      <c r="K142" s="5"/>
      <c r="L142" s="5">
        <f t="shared" si="44"/>
        <v>0</v>
      </c>
      <c r="M142" s="5"/>
      <c r="N142" s="5"/>
      <c r="O142" s="5"/>
      <c r="P142" s="5"/>
      <c r="Q142" s="5">
        <v>0</v>
      </c>
      <c r="R142" s="5"/>
      <c r="S142" s="5"/>
      <c r="T142" s="5">
        <f t="shared" si="45"/>
        <v>0</v>
      </c>
      <c r="U142" s="4"/>
      <c r="V142" s="4"/>
      <c r="W142" s="4"/>
      <c r="X142" s="4"/>
      <c r="Y142" s="4">
        <f t="shared" si="51"/>
        <v>0</v>
      </c>
      <c r="Z142" s="4">
        <f t="shared" si="36"/>
        <v>0</v>
      </c>
      <c r="AA142" s="4"/>
      <c r="AB142" s="4"/>
      <c r="AC142" s="5" t="e">
        <f t="shared" si="52"/>
        <v>#DIV/0!</v>
      </c>
      <c r="AD142" s="5" t="e">
        <f t="shared" si="46"/>
        <v>#DIV/0!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 t="s">
        <v>208</v>
      </c>
      <c r="AP142" s="5">
        <f t="shared" si="47"/>
        <v>0</v>
      </c>
      <c r="AQ142" s="18">
        <f t="shared" si="48"/>
        <v>0</v>
      </c>
      <c r="AR142" s="18">
        <f t="shared" si="49"/>
        <v>0</v>
      </c>
      <c r="AS142" s="5">
        <f t="shared" si="50"/>
        <v>0</v>
      </c>
    </row>
    <row r="143" spans="1:45" x14ac:dyDescent="0.25">
      <c r="A143" s="5"/>
      <c r="B143" s="5"/>
      <c r="C143" s="5"/>
      <c r="D143" s="5"/>
      <c r="E143" s="5"/>
      <c r="F143" s="5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18"/>
      <c r="AR143" s="18"/>
      <c r="AS143" s="5"/>
    </row>
    <row r="144" spans="1:45" x14ac:dyDescent="0.25">
      <c r="A144" s="5"/>
      <c r="B144" s="5"/>
      <c r="C144" s="5"/>
      <c r="D144" s="5"/>
      <c r="E144" s="5"/>
      <c r="F144" s="5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18"/>
      <c r="AR144" s="18"/>
      <c r="AS144" s="5"/>
    </row>
    <row r="145" spans="1:45" x14ac:dyDescent="0.25">
      <c r="A145" s="5"/>
      <c r="B145" s="5"/>
      <c r="C145" s="5"/>
      <c r="D145" s="5"/>
      <c r="E145" s="5"/>
      <c r="F145" s="5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18"/>
      <c r="AR145" s="18"/>
      <c r="AS145" s="5"/>
    </row>
    <row r="146" spans="1:45" x14ac:dyDescent="0.25">
      <c r="A146" s="5"/>
      <c r="B146" s="5"/>
      <c r="C146" s="5"/>
      <c r="D146" s="5"/>
      <c r="E146" s="5"/>
      <c r="F146" s="5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18"/>
      <c r="AR146" s="18"/>
      <c r="AS146" s="5"/>
    </row>
    <row r="147" spans="1:45" x14ac:dyDescent="0.25">
      <c r="A147" s="5"/>
      <c r="B147" s="5"/>
      <c r="C147" s="5"/>
      <c r="D147" s="5"/>
      <c r="E147" s="5"/>
      <c r="F147" s="5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18"/>
      <c r="AR147" s="18"/>
      <c r="AS147" s="5"/>
    </row>
    <row r="148" spans="1:45" x14ac:dyDescent="0.25">
      <c r="A148" s="5"/>
      <c r="B148" s="5"/>
      <c r="C148" s="5"/>
      <c r="D148" s="5"/>
      <c r="E148" s="5"/>
      <c r="F148" s="5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18"/>
      <c r="AR148" s="18"/>
      <c r="AS148" s="5"/>
    </row>
    <row r="149" spans="1:45" x14ac:dyDescent="0.25">
      <c r="A149" s="5"/>
      <c r="B149" s="5"/>
      <c r="C149" s="5"/>
      <c r="D149" s="5"/>
      <c r="E149" s="5"/>
      <c r="F149" s="5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18"/>
      <c r="AR149" s="18"/>
      <c r="AS149" s="5"/>
    </row>
    <row r="150" spans="1:45" x14ac:dyDescent="0.25">
      <c r="A150" s="5"/>
      <c r="B150" s="5"/>
      <c r="C150" s="5"/>
      <c r="D150" s="5"/>
      <c r="E150" s="5"/>
      <c r="F150" s="5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18"/>
      <c r="AR150" s="18"/>
      <c r="AS150" s="5"/>
    </row>
    <row r="151" spans="1:45" x14ac:dyDescent="0.25">
      <c r="A151" s="5"/>
      <c r="B151" s="5"/>
      <c r="C151" s="5"/>
      <c r="D151" s="5"/>
      <c r="E151" s="5"/>
      <c r="F151" s="5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18"/>
      <c r="AR151" s="18"/>
      <c r="AS151" s="5"/>
    </row>
    <row r="152" spans="1:45" x14ac:dyDescent="0.25">
      <c r="A152" s="5"/>
      <c r="B152" s="5"/>
      <c r="C152" s="5"/>
      <c r="D152" s="5"/>
      <c r="E152" s="5"/>
      <c r="F152" s="5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18"/>
      <c r="AR152" s="18"/>
      <c r="AS152" s="5"/>
    </row>
    <row r="153" spans="1:45" x14ac:dyDescent="0.25">
      <c r="A153" s="5"/>
      <c r="B153" s="5"/>
      <c r="C153" s="5"/>
      <c r="D153" s="5"/>
      <c r="E153" s="5"/>
      <c r="F153" s="5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18"/>
      <c r="AR153" s="18"/>
      <c r="AS153" s="5"/>
    </row>
    <row r="154" spans="1:45" x14ac:dyDescent="0.25">
      <c r="A154" s="5"/>
      <c r="B154" s="5"/>
      <c r="C154" s="5"/>
      <c r="D154" s="5"/>
      <c r="E154" s="5"/>
      <c r="F154" s="5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18"/>
      <c r="AR154" s="18"/>
      <c r="AS154" s="5"/>
    </row>
    <row r="155" spans="1:45" x14ac:dyDescent="0.25">
      <c r="A155" s="5"/>
      <c r="B155" s="5"/>
      <c r="C155" s="5"/>
      <c r="D155" s="5"/>
      <c r="E155" s="5"/>
      <c r="F155" s="5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18"/>
      <c r="AR155" s="18"/>
      <c r="AS155" s="5"/>
    </row>
    <row r="156" spans="1:45" x14ac:dyDescent="0.25">
      <c r="A156" s="5"/>
      <c r="B156" s="5"/>
      <c r="C156" s="5"/>
      <c r="D156" s="5"/>
      <c r="E156" s="5"/>
      <c r="F156" s="5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18"/>
      <c r="AR156" s="18"/>
      <c r="AS156" s="5"/>
    </row>
    <row r="157" spans="1:45" x14ac:dyDescent="0.25">
      <c r="A157" s="5"/>
      <c r="B157" s="5"/>
      <c r="C157" s="5"/>
      <c r="D157" s="5"/>
      <c r="E157" s="5"/>
      <c r="F157" s="5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18"/>
      <c r="AR157" s="18"/>
      <c r="AS157" s="5"/>
    </row>
    <row r="158" spans="1:45" x14ac:dyDescent="0.25">
      <c r="A158" s="5"/>
      <c r="B158" s="5"/>
      <c r="C158" s="5"/>
      <c r="D158" s="5"/>
      <c r="E158" s="5"/>
      <c r="F158" s="5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18"/>
      <c r="AR158" s="18"/>
      <c r="AS158" s="5"/>
    </row>
    <row r="159" spans="1:45" x14ac:dyDescent="0.25">
      <c r="A159" s="5"/>
      <c r="B159" s="5"/>
      <c r="C159" s="5"/>
      <c r="D159" s="5"/>
      <c r="E159" s="5"/>
      <c r="F159" s="5"/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18"/>
      <c r="AR159" s="18"/>
      <c r="AS159" s="5"/>
    </row>
    <row r="160" spans="1:45" x14ac:dyDescent="0.25">
      <c r="A160" s="5"/>
      <c r="B160" s="5"/>
      <c r="C160" s="5"/>
      <c r="D160" s="5"/>
      <c r="E160" s="5"/>
      <c r="F160" s="5"/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18"/>
      <c r="AR160" s="18"/>
      <c r="AS160" s="5"/>
    </row>
    <row r="161" spans="1:45" x14ac:dyDescent="0.25">
      <c r="A161" s="5"/>
      <c r="B161" s="5"/>
      <c r="C161" s="5"/>
      <c r="D161" s="5"/>
      <c r="E161" s="5"/>
      <c r="F161" s="5"/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18"/>
      <c r="AR161" s="18"/>
      <c r="AS161" s="5"/>
    </row>
    <row r="162" spans="1:45" x14ac:dyDescent="0.25">
      <c r="A162" s="5"/>
      <c r="B162" s="5"/>
      <c r="C162" s="5"/>
      <c r="D162" s="5"/>
      <c r="E162" s="5"/>
      <c r="F162" s="5"/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18"/>
      <c r="AR162" s="18"/>
      <c r="AS162" s="5"/>
    </row>
    <row r="163" spans="1:45" x14ac:dyDescent="0.25">
      <c r="A163" s="5"/>
      <c r="B163" s="5"/>
      <c r="C163" s="5"/>
      <c r="D163" s="5"/>
      <c r="E163" s="5"/>
      <c r="F163" s="5"/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18"/>
      <c r="AR163" s="18"/>
      <c r="AS163" s="5"/>
    </row>
    <row r="164" spans="1:45" x14ac:dyDescent="0.25">
      <c r="A164" s="5"/>
      <c r="B164" s="5"/>
      <c r="C164" s="5"/>
      <c r="D164" s="5"/>
      <c r="E164" s="5"/>
      <c r="F164" s="5"/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18"/>
      <c r="AR164" s="18"/>
      <c r="AS164" s="5"/>
    </row>
    <row r="165" spans="1:45" x14ac:dyDescent="0.25">
      <c r="A165" s="5"/>
      <c r="B165" s="5"/>
      <c r="C165" s="5"/>
      <c r="D165" s="5"/>
      <c r="E165" s="5"/>
      <c r="F165" s="5"/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18"/>
      <c r="AR165" s="18"/>
      <c r="AS165" s="5"/>
    </row>
    <row r="166" spans="1:45" x14ac:dyDescent="0.25">
      <c r="A166" s="5"/>
      <c r="B166" s="5"/>
      <c r="C166" s="5"/>
      <c r="D166" s="5"/>
      <c r="E166" s="5"/>
      <c r="F166" s="5"/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18"/>
      <c r="AR166" s="18"/>
      <c r="AS166" s="5"/>
    </row>
    <row r="167" spans="1:45" x14ac:dyDescent="0.25">
      <c r="A167" s="5"/>
      <c r="B167" s="5"/>
      <c r="C167" s="5"/>
      <c r="D167" s="5"/>
      <c r="E167" s="5"/>
      <c r="F167" s="5"/>
      <c r="G167" s="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18"/>
      <c r="AR167" s="18"/>
      <c r="AS167" s="5"/>
    </row>
    <row r="168" spans="1:45" x14ac:dyDescent="0.25">
      <c r="A168" s="5"/>
      <c r="B168" s="5"/>
      <c r="C168" s="5"/>
      <c r="D168" s="5"/>
      <c r="E168" s="5"/>
      <c r="F168" s="5"/>
      <c r="G168" s="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18"/>
      <c r="AR168" s="18"/>
      <c r="AS168" s="5"/>
    </row>
    <row r="169" spans="1:45" x14ac:dyDescent="0.25">
      <c r="A169" s="5"/>
      <c r="B169" s="5"/>
      <c r="C169" s="5"/>
      <c r="D169" s="5"/>
      <c r="E169" s="5"/>
      <c r="F169" s="5"/>
      <c r="G169" s="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18"/>
      <c r="AR169" s="18"/>
      <c r="AS169" s="5"/>
    </row>
    <row r="170" spans="1:45" x14ac:dyDescent="0.25">
      <c r="A170" s="5"/>
      <c r="B170" s="5"/>
      <c r="C170" s="5"/>
      <c r="D170" s="5"/>
      <c r="E170" s="5"/>
      <c r="F170" s="5"/>
      <c r="G170" s="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18"/>
      <c r="AR170" s="18"/>
      <c r="AS170" s="5"/>
    </row>
    <row r="171" spans="1:45" x14ac:dyDescent="0.25">
      <c r="A171" s="5"/>
      <c r="B171" s="5"/>
      <c r="C171" s="5"/>
      <c r="D171" s="5"/>
      <c r="E171" s="5"/>
      <c r="F171" s="5"/>
      <c r="G171" s="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18"/>
      <c r="AR171" s="18"/>
      <c r="AS171" s="5"/>
    </row>
    <row r="172" spans="1:45" x14ac:dyDescent="0.25">
      <c r="A172" s="5"/>
      <c r="B172" s="5"/>
      <c r="C172" s="5"/>
      <c r="D172" s="5"/>
      <c r="E172" s="5"/>
      <c r="F172" s="5"/>
      <c r="G172" s="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18"/>
      <c r="AR172" s="18"/>
      <c r="AS172" s="5"/>
    </row>
    <row r="173" spans="1:45" x14ac:dyDescent="0.25">
      <c r="A173" s="5"/>
      <c r="B173" s="5"/>
      <c r="C173" s="5"/>
      <c r="D173" s="5"/>
      <c r="E173" s="5"/>
      <c r="F173" s="5"/>
      <c r="G173" s="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18"/>
      <c r="AR173" s="18"/>
      <c r="AS173" s="5"/>
    </row>
    <row r="174" spans="1:45" x14ac:dyDescent="0.25">
      <c r="A174" s="5"/>
      <c r="B174" s="5"/>
      <c r="C174" s="5"/>
      <c r="D174" s="5"/>
      <c r="E174" s="5"/>
      <c r="F174" s="5"/>
      <c r="G174" s="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18"/>
      <c r="AR174" s="18"/>
      <c r="AS174" s="5"/>
    </row>
    <row r="175" spans="1:45" x14ac:dyDescent="0.25">
      <c r="A175" s="5"/>
      <c r="B175" s="5"/>
      <c r="C175" s="5"/>
      <c r="D175" s="5"/>
      <c r="E175" s="5"/>
      <c r="F175" s="5"/>
      <c r="G175" s="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18"/>
      <c r="AR175" s="18"/>
      <c r="AS175" s="5"/>
    </row>
    <row r="176" spans="1:45" x14ac:dyDescent="0.25">
      <c r="A176" s="5"/>
      <c r="B176" s="5"/>
      <c r="C176" s="5"/>
      <c r="D176" s="5"/>
      <c r="E176" s="5"/>
      <c r="F176" s="5"/>
      <c r="G176" s="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18"/>
      <c r="AR176" s="18"/>
      <c r="AS176" s="5"/>
    </row>
    <row r="177" spans="1:45" x14ac:dyDescent="0.25">
      <c r="A177" s="5"/>
      <c r="B177" s="5"/>
      <c r="C177" s="5"/>
      <c r="D177" s="5"/>
      <c r="E177" s="5"/>
      <c r="F177" s="5"/>
      <c r="G177" s="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18"/>
      <c r="AR177" s="18"/>
      <c r="AS177" s="5"/>
    </row>
    <row r="178" spans="1:45" x14ac:dyDescent="0.25">
      <c r="A178" s="5"/>
      <c r="B178" s="5"/>
      <c r="C178" s="5"/>
      <c r="D178" s="5"/>
      <c r="E178" s="5"/>
      <c r="F178" s="5"/>
      <c r="G178" s="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18"/>
      <c r="AR178" s="18"/>
      <c r="AS178" s="5"/>
    </row>
    <row r="179" spans="1:45" x14ac:dyDescent="0.25">
      <c r="A179" s="5"/>
      <c r="B179" s="5"/>
      <c r="C179" s="5"/>
      <c r="D179" s="5"/>
      <c r="E179" s="5"/>
      <c r="F179" s="5"/>
      <c r="G179" s="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18"/>
      <c r="AR179" s="18"/>
      <c r="AS179" s="5"/>
    </row>
    <row r="180" spans="1:45" x14ac:dyDescent="0.25">
      <c r="A180" s="5"/>
      <c r="B180" s="5"/>
      <c r="C180" s="5"/>
      <c r="D180" s="5"/>
      <c r="E180" s="5"/>
      <c r="F180" s="5"/>
      <c r="G180" s="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18"/>
      <c r="AR180" s="18"/>
      <c r="AS180" s="5"/>
    </row>
    <row r="181" spans="1:45" x14ac:dyDescent="0.25">
      <c r="A181" s="5"/>
      <c r="B181" s="5"/>
      <c r="C181" s="5"/>
      <c r="D181" s="5"/>
      <c r="E181" s="5"/>
      <c r="F181" s="5"/>
      <c r="G181" s="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18"/>
      <c r="AR181" s="18"/>
      <c r="AS181" s="5"/>
    </row>
    <row r="182" spans="1:45" x14ac:dyDescent="0.25">
      <c r="A182" s="5"/>
      <c r="B182" s="5"/>
      <c r="C182" s="5"/>
      <c r="D182" s="5"/>
      <c r="E182" s="5"/>
      <c r="F182" s="5"/>
      <c r="G182" s="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18"/>
      <c r="AR182" s="18"/>
      <c r="AS182" s="5"/>
    </row>
    <row r="183" spans="1:45" x14ac:dyDescent="0.25">
      <c r="A183" s="5"/>
      <c r="B183" s="5"/>
      <c r="C183" s="5"/>
      <c r="D183" s="5"/>
      <c r="E183" s="5"/>
      <c r="F183" s="5"/>
      <c r="G183" s="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18"/>
      <c r="AR183" s="18"/>
      <c r="AS183" s="5"/>
    </row>
    <row r="184" spans="1:45" x14ac:dyDescent="0.25">
      <c r="A184" s="5"/>
      <c r="B184" s="5"/>
      <c r="C184" s="5"/>
      <c r="D184" s="5"/>
      <c r="E184" s="5"/>
      <c r="F184" s="5"/>
      <c r="G184" s="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18"/>
      <c r="AR184" s="18"/>
      <c r="AS184" s="5"/>
    </row>
    <row r="185" spans="1:45" x14ac:dyDescent="0.25">
      <c r="A185" s="5"/>
      <c r="B185" s="5"/>
      <c r="C185" s="5"/>
      <c r="D185" s="5"/>
      <c r="E185" s="5"/>
      <c r="F185" s="5"/>
      <c r="G185" s="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18"/>
      <c r="AR185" s="18"/>
      <c r="AS185" s="5"/>
    </row>
    <row r="186" spans="1:45" x14ac:dyDescent="0.25">
      <c r="A186" s="5"/>
      <c r="B186" s="5"/>
      <c r="C186" s="5"/>
      <c r="D186" s="5"/>
      <c r="E186" s="5"/>
      <c r="F186" s="5"/>
      <c r="G186" s="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18"/>
      <c r="AR186" s="18"/>
      <c r="AS186" s="5"/>
    </row>
    <row r="187" spans="1:45" x14ac:dyDescent="0.25">
      <c r="A187" s="5"/>
      <c r="B187" s="5"/>
      <c r="C187" s="5"/>
      <c r="D187" s="5"/>
      <c r="E187" s="5"/>
      <c r="F187" s="5"/>
      <c r="G187" s="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18"/>
      <c r="AR187" s="18"/>
      <c r="AS187" s="5"/>
    </row>
    <row r="188" spans="1:45" x14ac:dyDescent="0.25">
      <c r="A188" s="5"/>
      <c r="B188" s="5"/>
      <c r="C188" s="5"/>
      <c r="D188" s="5"/>
      <c r="E188" s="5"/>
      <c r="F188" s="5"/>
      <c r="G188" s="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18"/>
      <c r="AR188" s="18"/>
      <c r="AS188" s="5"/>
    </row>
    <row r="189" spans="1:45" x14ac:dyDescent="0.25">
      <c r="A189" s="5"/>
      <c r="B189" s="5"/>
      <c r="C189" s="5"/>
      <c r="D189" s="5"/>
      <c r="E189" s="5"/>
      <c r="F189" s="5"/>
      <c r="G189" s="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18"/>
      <c r="AR189" s="18"/>
      <c r="AS189" s="5"/>
    </row>
    <row r="190" spans="1:45" x14ac:dyDescent="0.25">
      <c r="A190" s="5"/>
      <c r="B190" s="5"/>
      <c r="C190" s="5"/>
      <c r="D190" s="5"/>
      <c r="E190" s="5"/>
      <c r="F190" s="5"/>
      <c r="G190" s="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18"/>
      <c r="AR190" s="18"/>
      <c r="AS190" s="5"/>
    </row>
    <row r="191" spans="1:45" x14ac:dyDescent="0.25">
      <c r="A191" s="5"/>
      <c r="B191" s="5"/>
      <c r="C191" s="5"/>
      <c r="D191" s="5"/>
      <c r="E191" s="5"/>
      <c r="F191" s="5"/>
      <c r="G191" s="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18"/>
      <c r="AR191" s="18"/>
      <c r="AS191" s="5"/>
    </row>
    <row r="192" spans="1:45" x14ac:dyDescent="0.25">
      <c r="A192" s="5"/>
      <c r="B192" s="5"/>
      <c r="C192" s="5"/>
      <c r="D192" s="5"/>
      <c r="E192" s="5"/>
      <c r="F192" s="5"/>
      <c r="G192" s="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18"/>
      <c r="AR192" s="18"/>
      <c r="AS192" s="5"/>
    </row>
    <row r="193" spans="1:45" x14ac:dyDescent="0.25">
      <c r="A193" s="5"/>
      <c r="B193" s="5"/>
      <c r="C193" s="5"/>
      <c r="D193" s="5"/>
      <c r="E193" s="5"/>
      <c r="F193" s="5"/>
      <c r="G193" s="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18"/>
      <c r="AR193" s="18"/>
      <c r="AS193" s="5"/>
    </row>
    <row r="194" spans="1:45" x14ac:dyDescent="0.25">
      <c r="A194" s="5"/>
      <c r="B194" s="5"/>
      <c r="C194" s="5"/>
      <c r="D194" s="5"/>
      <c r="E194" s="5"/>
      <c r="F194" s="5"/>
      <c r="G194" s="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18"/>
      <c r="AR194" s="18"/>
      <c r="AS194" s="5"/>
    </row>
    <row r="195" spans="1:45" x14ac:dyDescent="0.25">
      <c r="A195" s="5"/>
      <c r="B195" s="5"/>
      <c r="C195" s="5"/>
      <c r="D195" s="5"/>
      <c r="E195" s="5"/>
      <c r="F195" s="5"/>
      <c r="G195" s="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18"/>
      <c r="AR195" s="18"/>
      <c r="AS195" s="5"/>
    </row>
    <row r="196" spans="1:45" x14ac:dyDescent="0.25">
      <c r="A196" s="5"/>
      <c r="B196" s="5"/>
      <c r="C196" s="5"/>
      <c r="D196" s="5"/>
      <c r="E196" s="5"/>
      <c r="F196" s="5"/>
      <c r="G196" s="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18"/>
      <c r="AR196" s="18"/>
      <c r="AS196" s="5"/>
    </row>
    <row r="197" spans="1:45" x14ac:dyDescent="0.25">
      <c r="A197" s="5"/>
      <c r="B197" s="5"/>
      <c r="C197" s="5"/>
      <c r="D197" s="5"/>
      <c r="E197" s="5"/>
      <c r="F197" s="5"/>
      <c r="G197" s="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18"/>
      <c r="AR197" s="18"/>
      <c r="AS197" s="5"/>
    </row>
    <row r="198" spans="1:45" x14ac:dyDescent="0.25">
      <c r="A198" s="5"/>
      <c r="B198" s="5"/>
      <c r="C198" s="5"/>
      <c r="D198" s="5"/>
      <c r="E198" s="5"/>
      <c r="F198" s="5"/>
      <c r="G198" s="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18"/>
      <c r="AR198" s="18"/>
      <c r="AS198" s="5"/>
    </row>
    <row r="199" spans="1:45" x14ac:dyDescent="0.25">
      <c r="A199" s="5"/>
      <c r="B199" s="5"/>
      <c r="C199" s="5"/>
      <c r="D199" s="5"/>
      <c r="E199" s="5"/>
      <c r="F199" s="5"/>
      <c r="G199" s="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18"/>
      <c r="AR199" s="18"/>
      <c r="AS199" s="5"/>
    </row>
    <row r="200" spans="1:45" x14ac:dyDescent="0.25">
      <c r="A200" s="5"/>
      <c r="B200" s="5"/>
      <c r="C200" s="5"/>
      <c r="D200" s="5"/>
      <c r="E200" s="5"/>
      <c r="F200" s="5"/>
      <c r="G200" s="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18"/>
      <c r="AR200" s="18"/>
      <c r="AS200" s="5"/>
    </row>
    <row r="201" spans="1:45" x14ac:dyDescent="0.25">
      <c r="A201" s="5"/>
      <c r="B201" s="5"/>
      <c r="C201" s="5"/>
      <c r="D201" s="5"/>
      <c r="E201" s="5"/>
      <c r="F201" s="5"/>
      <c r="G201" s="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18"/>
      <c r="AR201" s="18"/>
      <c r="AS201" s="5"/>
    </row>
    <row r="202" spans="1:45" x14ac:dyDescent="0.25">
      <c r="A202" s="5"/>
      <c r="B202" s="5"/>
      <c r="C202" s="5"/>
      <c r="D202" s="5"/>
      <c r="E202" s="5"/>
      <c r="F202" s="5"/>
      <c r="G202" s="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18"/>
      <c r="AR202" s="18"/>
      <c r="AS202" s="5"/>
    </row>
    <row r="203" spans="1:45" x14ac:dyDescent="0.25">
      <c r="A203" s="5"/>
      <c r="B203" s="5"/>
      <c r="C203" s="5"/>
      <c r="D203" s="5"/>
      <c r="E203" s="5"/>
      <c r="F203" s="5"/>
      <c r="G203" s="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18"/>
      <c r="AR203" s="18"/>
      <c r="AS203" s="5"/>
    </row>
    <row r="204" spans="1:45" x14ac:dyDescent="0.25">
      <c r="A204" s="5"/>
      <c r="B204" s="5"/>
      <c r="C204" s="5"/>
      <c r="D204" s="5"/>
      <c r="E204" s="5"/>
      <c r="F204" s="5"/>
      <c r="G204" s="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18"/>
      <c r="AR204" s="18"/>
      <c r="AS204" s="5"/>
    </row>
    <row r="205" spans="1:45" x14ac:dyDescent="0.25">
      <c r="A205" s="5"/>
      <c r="B205" s="5"/>
      <c r="C205" s="5"/>
      <c r="D205" s="5"/>
      <c r="E205" s="5"/>
      <c r="F205" s="5"/>
      <c r="G205" s="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18"/>
      <c r="AR205" s="18"/>
      <c r="AS205" s="5"/>
    </row>
    <row r="206" spans="1:45" x14ac:dyDescent="0.25">
      <c r="A206" s="5"/>
      <c r="B206" s="5"/>
      <c r="C206" s="5"/>
      <c r="D206" s="5"/>
      <c r="E206" s="5"/>
      <c r="F206" s="5"/>
      <c r="G206" s="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18"/>
      <c r="AR206" s="18"/>
      <c r="AS206" s="5"/>
    </row>
    <row r="207" spans="1:45" x14ac:dyDescent="0.25">
      <c r="A207" s="5"/>
      <c r="B207" s="5"/>
      <c r="C207" s="5"/>
      <c r="D207" s="5"/>
      <c r="E207" s="5"/>
      <c r="F207" s="5"/>
      <c r="G207" s="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18"/>
      <c r="AR207" s="18"/>
      <c r="AS207" s="5"/>
    </row>
    <row r="208" spans="1:45" x14ac:dyDescent="0.25">
      <c r="A208" s="5"/>
      <c r="B208" s="5"/>
      <c r="C208" s="5"/>
      <c r="D208" s="5"/>
      <c r="E208" s="5"/>
      <c r="F208" s="5"/>
      <c r="G208" s="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18"/>
      <c r="AR208" s="18"/>
      <c r="AS208" s="5"/>
    </row>
    <row r="209" spans="1:45" x14ac:dyDescent="0.25">
      <c r="A209" s="5"/>
      <c r="B209" s="5"/>
      <c r="C209" s="5"/>
      <c r="D209" s="5"/>
      <c r="E209" s="5"/>
      <c r="F209" s="5"/>
      <c r="G209" s="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18"/>
      <c r="AR209" s="18"/>
      <c r="AS209" s="5"/>
    </row>
    <row r="210" spans="1:45" x14ac:dyDescent="0.25">
      <c r="A210" s="5"/>
      <c r="B210" s="5"/>
      <c r="C210" s="5"/>
      <c r="D210" s="5"/>
      <c r="E210" s="5"/>
      <c r="F210" s="5"/>
      <c r="G210" s="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18"/>
      <c r="AR210" s="18"/>
      <c r="AS210" s="5"/>
    </row>
    <row r="211" spans="1:45" x14ac:dyDescent="0.25">
      <c r="A211" s="5"/>
      <c r="B211" s="5"/>
      <c r="C211" s="5"/>
      <c r="D211" s="5"/>
      <c r="E211" s="5"/>
      <c r="F211" s="5"/>
      <c r="G211" s="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18"/>
      <c r="AR211" s="18"/>
      <c r="AS211" s="5"/>
    </row>
    <row r="212" spans="1:45" x14ac:dyDescent="0.25">
      <c r="A212" s="5"/>
      <c r="B212" s="5"/>
      <c r="C212" s="5"/>
      <c r="D212" s="5"/>
      <c r="E212" s="5"/>
      <c r="F212" s="5"/>
      <c r="G212" s="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18"/>
      <c r="AR212" s="18"/>
      <c r="AS212" s="5"/>
    </row>
    <row r="213" spans="1:45" x14ac:dyDescent="0.25">
      <c r="A213" s="5"/>
      <c r="B213" s="5"/>
      <c r="C213" s="5"/>
      <c r="D213" s="5"/>
      <c r="E213" s="5"/>
      <c r="F213" s="5"/>
      <c r="G213" s="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18"/>
      <c r="AR213" s="18"/>
      <c r="AS213" s="5"/>
    </row>
    <row r="214" spans="1:45" x14ac:dyDescent="0.25">
      <c r="A214" s="5"/>
      <c r="B214" s="5"/>
      <c r="C214" s="5"/>
      <c r="D214" s="5"/>
      <c r="E214" s="5"/>
      <c r="F214" s="5"/>
      <c r="G214" s="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18"/>
      <c r="AR214" s="18"/>
      <c r="AS214" s="5"/>
    </row>
    <row r="215" spans="1:45" x14ac:dyDescent="0.25">
      <c r="A215" s="5"/>
      <c r="B215" s="5"/>
      <c r="C215" s="5"/>
      <c r="D215" s="5"/>
      <c r="E215" s="5"/>
      <c r="F215" s="5"/>
      <c r="G215" s="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18"/>
      <c r="AR215" s="18"/>
      <c r="AS215" s="5"/>
    </row>
    <row r="216" spans="1:45" x14ac:dyDescent="0.25">
      <c r="A216" s="5"/>
      <c r="B216" s="5"/>
      <c r="C216" s="5"/>
      <c r="D216" s="5"/>
      <c r="E216" s="5"/>
      <c r="F216" s="5"/>
      <c r="G216" s="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18"/>
      <c r="AR216" s="18"/>
      <c r="AS216" s="5"/>
    </row>
    <row r="217" spans="1:45" x14ac:dyDescent="0.25">
      <c r="A217" s="5"/>
      <c r="B217" s="5"/>
      <c r="C217" s="5"/>
      <c r="D217" s="5"/>
      <c r="E217" s="5"/>
      <c r="F217" s="5"/>
      <c r="G217" s="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18"/>
      <c r="AR217" s="18"/>
      <c r="AS217" s="5"/>
    </row>
    <row r="218" spans="1:45" x14ac:dyDescent="0.25">
      <c r="A218" s="5"/>
      <c r="B218" s="5"/>
      <c r="C218" s="5"/>
      <c r="D218" s="5"/>
      <c r="E218" s="5"/>
      <c r="F218" s="5"/>
      <c r="G218" s="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18"/>
      <c r="AR218" s="18"/>
      <c r="AS218" s="5"/>
    </row>
    <row r="219" spans="1:45" x14ac:dyDescent="0.25">
      <c r="A219" s="5"/>
      <c r="B219" s="5"/>
      <c r="C219" s="5"/>
      <c r="D219" s="5"/>
      <c r="E219" s="5"/>
      <c r="F219" s="5"/>
      <c r="G219" s="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18"/>
      <c r="AR219" s="18"/>
      <c r="AS219" s="5"/>
    </row>
    <row r="220" spans="1:45" x14ac:dyDescent="0.25">
      <c r="A220" s="5"/>
      <c r="B220" s="5"/>
      <c r="C220" s="5"/>
      <c r="D220" s="5"/>
      <c r="E220" s="5"/>
      <c r="F220" s="5"/>
      <c r="G220" s="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18"/>
      <c r="AR220" s="18"/>
      <c r="AS220" s="5"/>
    </row>
    <row r="221" spans="1:45" x14ac:dyDescent="0.25">
      <c r="A221" s="5"/>
      <c r="B221" s="5"/>
      <c r="C221" s="5"/>
      <c r="D221" s="5"/>
      <c r="E221" s="5"/>
      <c r="F221" s="5"/>
      <c r="G221" s="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18"/>
      <c r="AR221" s="18"/>
      <c r="AS221" s="5"/>
    </row>
    <row r="222" spans="1:45" x14ac:dyDescent="0.25">
      <c r="A222" s="5"/>
      <c r="B222" s="5"/>
      <c r="C222" s="5"/>
      <c r="D222" s="5"/>
      <c r="E222" s="5"/>
      <c r="F222" s="5"/>
      <c r="G222" s="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18"/>
      <c r="AR222" s="18"/>
      <c r="AS222" s="5"/>
    </row>
    <row r="223" spans="1:45" x14ac:dyDescent="0.25">
      <c r="A223" s="5"/>
      <c r="B223" s="5"/>
      <c r="C223" s="5"/>
      <c r="D223" s="5"/>
      <c r="E223" s="5"/>
      <c r="F223" s="5"/>
      <c r="G223" s="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18"/>
      <c r="AR223" s="18"/>
      <c r="AS223" s="5"/>
    </row>
    <row r="224" spans="1:45" x14ac:dyDescent="0.25">
      <c r="A224" s="5"/>
      <c r="B224" s="5"/>
      <c r="C224" s="5"/>
      <c r="D224" s="5"/>
      <c r="E224" s="5"/>
      <c r="F224" s="5"/>
      <c r="G224" s="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18"/>
      <c r="AR224" s="18"/>
      <c r="AS224" s="5"/>
    </row>
    <row r="225" spans="1:45" x14ac:dyDescent="0.25">
      <c r="A225" s="5"/>
      <c r="B225" s="5"/>
      <c r="C225" s="5"/>
      <c r="D225" s="5"/>
      <c r="E225" s="5"/>
      <c r="F225" s="5"/>
      <c r="G225" s="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18"/>
      <c r="AR225" s="18"/>
      <c r="AS225" s="5"/>
    </row>
    <row r="226" spans="1:45" x14ac:dyDescent="0.25">
      <c r="A226" s="5"/>
      <c r="B226" s="5"/>
      <c r="C226" s="5"/>
      <c r="D226" s="5"/>
      <c r="E226" s="5"/>
      <c r="F226" s="5"/>
      <c r="G226" s="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18"/>
      <c r="AR226" s="18"/>
      <c r="AS226" s="5"/>
    </row>
    <row r="227" spans="1:45" x14ac:dyDescent="0.25">
      <c r="A227" s="5"/>
      <c r="B227" s="5"/>
      <c r="C227" s="5"/>
      <c r="D227" s="5"/>
      <c r="E227" s="5"/>
      <c r="F227" s="5"/>
      <c r="G227" s="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18"/>
      <c r="AR227" s="18"/>
      <c r="AS227" s="5"/>
    </row>
    <row r="228" spans="1:45" x14ac:dyDescent="0.25">
      <c r="A228" s="5"/>
      <c r="B228" s="5"/>
      <c r="C228" s="5"/>
      <c r="D228" s="5"/>
      <c r="E228" s="5"/>
      <c r="F228" s="5"/>
      <c r="G228" s="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18"/>
      <c r="AR228" s="18"/>
      <c r="AS228" s="5"/>
    </row>
    <row r="229" spans="1:45" x14ac:dyDescent="0.25">
      <c r="A229" s="5"/>
      <c r="B229" s="5"/>
      <c r="C229" s="5"/>
      <c r="D229" s="5"/>
      <c r="E229" s="5"/>
      <c r="F229" s="5"/>
      <c r="G229" s="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18"/>
      <c r="AR229" s="18"/>
      <c r="AS229" s="5"/>
    </row>
    <row r="230" spans="1:45" x14ac:dyDescent="0.25">
      <c r="A230" s="5"/>
      <c r="B230" s="5"/>
      <c r="C230" s="5"/>
      <c r="D230" s="5"/>
      <c r="E230" s="5"/>
      <c r="F230" s="5"/>
      <c r="G230" s="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18"/>
      <c r="AR230" s="18"/>
      <c r="AS230" s="5"/>
    </row>
    <row r="231" spans="1:45" x14ac:dyDescent="0.25">
      <c r="A231" s="5"/>
      <c r="B231" s="5"/>
      <c r="C231" s="5"/>
      <c r="D231" s="5"/>
      <c r="E231" s="5"/>
      <c r="F231" s="5"/>
      <c r="G231" s="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18"/>
      <c r="AR231" s="18"/>
      <c r="AS231" s="5"/>
    </row>
    <row r="232" spans="1:45" x14ac:dyDescent="0.25">
      <c r="A232" s="5"/>
      <c r="B232" s="5"/>
      <c r="C232" s="5"/>
      <c r="D232" s="5"/>
      <c r="E232" s="5"/>
      <c r="F232" s="5"/>
      <c r="G232" s="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18"/>
      <c r="AR232" s="18"/>
      <c r="AS232" s="5"/>
    </row>
    <row r="233" spans="1:45" x14ac:dyDescent="0.25">
      <c r="A233" s="5"/>
      <c r="B233" s="5"/>
      <c r="C233" s="5"/>
      <c r="D233" s="5"/>
      <c r="E233" s="5"/>
      <c r="F233" s="5"/>
      <c r="G233" s="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18"/>
      <c r="AR233" s="18"/>
      <c r="AS233" s="5"/>
    </row>
    <row r="234" spans="1:45" x14ac:dyDescent="0.25">
      <c r="A234" s="5"/>
      <c r="B234" s="5"/>
      <c r="C234" s="5"/>
      <c r="D234" s="5"/>
      <c r="E234" s="5"/>
      <c r="F234" s="5"/>
      <c r="G234" s="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18"/>
      <c r="AR234" s="18"/>
      <c r="AS234" s="5"/>
    </row>
    <row r="235" spans="1:45" x14ac:dyDescent="0.25">
      <c r="A235" s="5"/>
      <c r="B235" s="5"/>
      <c r="C235" s="5"/>
      <c r="D235" s="5"/>
      <c r="E235" s="5"/>
      <c r="F235" s="5"/>
      <c r="G235" s="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18"/>
      <c r="AR235" s="18"/>
      <c r="AS235" s="5"/>
    </row>
    <row r="236" spans="1:45" x14ac:dyDescent="0.25">
      <c r="A236" s="5"/>
      <c r="B236" s="5"/>
      <c r="C236" s="5"/>
      <c r="D236" s="5"/>
      <c r="E236" s="5"/>
      <c r="F236" s="5"/>
      <c r="G236" s="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18"/>
      <c r="AR236" s="18"/>
      <c r="AS236" s="5"/>
    </row>
    <row r="237" spans="1:45" x14ac:dyDescent="0.25">
      <c r="A237" s="5"/>
      <c r="B237" s="5"/>
      <c r="C237" s="5"/>
      <c r="D237" s="5"/>
      <c r="E237" s="5"/>
      <c r="F237" s="5"/>
      <c r="G237" s="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18"/>
      <c r="AR237" s="18"/>
      <c r="AS237" s="5"/>
    </row>
    <row r="238" spans="1:45" x14ac:dyDescent="0.25">
      <c r="A238" s="5"/>
      <c r="B238" s="5"/>
      <c r="C238" s="5"/>
      <c r="D238" s="5"/>
      <c r="E238" s="5"/>
      <c r="F238" s="5"/>
      <c r="G238" s="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18"/>
      <c r="AR238" s="18"/>
      <c r="AS238" s="5"/>
    </row>
    <row r="239" spans="1:45" x14ac:dyDescent="0.25">
      <c r="A239" s="5"/>
      <c r="B239" s="5"/>
      <c r="C239" s="5"/>
      <c r="D239" s="5"/>
      <c r="E239" s="5"/>
      <c r="F239" s="5"/>
      <c r="G239" s="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18"/>
      <c r="AR239" s="18"/>
      <c r="AS239" s="5"/>
    </row>
    <row r="240" spans="1:45" x14ac:dyDescent="0.25">
      <c r="A240" s="5"/>
      <c r="B240" s="5"/>
      <c r="C240" s="5"/>
      <c r="D240" s="5"/>
      <c r="E240" s="5"/>
      <c r="F240" s="5"/>
      <c r="G240" s="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18"/>
      <c r="AR240" s="18"/>
      <c r="AS240" s="5"/>
    </row>
    <row r="241" spans="1:45" x14ac:dyDescent="0.25">
      <c r="A241" s="5"/>
      <c r="B241" s="5"/>
      <c r="C241" s="5"/>
      <c r="D241" s="5"/>
      <c r="E241" s="5"/>
      <c r="F241" s="5"/>
      <c r="G241" s="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18"/>
      <c r="AR241" s="18"/>
      <c r="AS241" s="5"/>
    </row>
    <row r="242" spans="1:45" x14ac:dyDescent="0.25">
      <c r="A242" s="5"/>
      <c r="B242" s="5"/>
      <c r="C242" s="5"/>
      <c r="D242" s="5"/>
      <c r="E242" s="5"/>
      <c r="F242" s="5"/>
      <c r="G242" s="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18"/>
      <c r="AR242" s="18"/>
      <c r="AS242" s="5"/>
    </row>
    <row r="243" spans="1:45" x14ac:dyDescent="0.25">
      <c r="A243" s="5"/>
      <c r="B243" s="5"/>
      <c r="C243" s="5"/>
      <c r="D243" s="5"/>
      <c r="E243" s="5"/>
      <c r="F243" s="5"/>
      <c r="G243" s="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18"/>
      <c r="AR243" s="18"/>
      <c r="AS243" s="5"/>
    </row>
    <row r="244" spans="1:45" x14ac:dyDescent="0.25">
      <c r="A244" s="5"/>
      <c r="B244" s="5"/>
      <c r="C244" s="5"/>
      <c r="D244" s="5"/>
      <c r="E244" s="5"/>
      <c r="F244" s="5"/>
      <c r="G244" s="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18"/>
      <c r="AR244" s="18"/>
      <c r="AS244" s="5"/>
    </row>
    <row r="245" spans="1:45" x14ac:dyDescent="0.25">
      <c r="A245" s="5"/>
      <c r="B245" s="5"/>
      <c r="C245" s="5"/>
      <c r="D245" s="5"/>
      <c r="E245" s="5"/>
      <c r="F245" s="5"/>
      <c r="G245" s="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18"/>
      <c r="AR245" s="18"/>
      <c r="AS245" s="5"/>
    </row>
    <row r="246" spans="1:45" x14ac:dyDescent="0.25">
      <c r="A246" s="5"/>
      <c r="B246" s="5"/>
      <c r="C246" s="5"/>
      <c r="D246" s="5"/>
      <c r="E246" s="5"/>
      <c r="F246" s="5"/>
      <c r="G246" s="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18"/>
      <c r="AR246" s="18"/>
      <c r="AS246" s="5"/>
    </row>
    <row r="247" spans="1:45" x14ac:dyDescent="0.25">
      <c r="A247" s="5"/>
      <c r="B247" s="5"/>
      <c r="C247" s="5"/>
      <c r="D247" s="5"/>
      <c r="E247" s="5"/>
      <c r="F247" s="5"/>
      <c r="G247" s="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18"/>
      <c r="AR247" s="18"/>
      <c r="AS247" s="5"/>
    </row>
    <row r="248" spans="1:45" x14ac:dyDescent="0.25">
      <c r="A248" s="5"/>
      <c r="B248" s="5"/>
      <c r="C248" s="5"/>
      <c r="D248" s="5"/>
      <c r="E248" s="5"/>
      <c r="F248" s="5"/>
      <c r="G248" s="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18"/>
      <c r="AR248" s="18"/>
      <c r="AS248" s="5"/>
    </row>
    <row r="249" spans="1:45" x14ac:dyDescent="0.25">
      <c r="A249" s="5"/>
      <c r="B249" s="5"/>
      <c r="C249" s="5"/>
      <c r="D249" s="5"/>
      <c r="E249" s="5"/>
      <c r="F249" s="5"/>
      <c r="G249" s="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18"/>
      <c r="AR249" s="18"/>
      <c r="AS249" s="5"/>
    </row>
    <row r="250" spans="1:45" x14ac:dyDescent="0.25">
      <c r="A250" s="5"/>
      <c r="B250" s="5"/>
      <c r="C250" s="5"/>
      <c r="D250" s="5"/>
      <c r="E250" s="5"/>
      <c r="F250" s="5"/>
      <c r="G250" s="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18"/>
      <c r="AR250" s="18"/>
      <c r="AS250" s="5"/>
    </row>
    <row r="251" spans="1:45" x14ac:dyDescent="0.25">
      <c r="A251" s="5"/>
      <c r="B251" s="5"/>
      <c r="C251" s="5"/>
      <c r="D251" s="5"/>
      <c r="E251" s="5"/>
      <c r="F251" s="5"/>
      <c r="G251" s="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18"/>
      <c r="AR251" s="18"/>
      <c r="AS251" s="5"/>
    </row>
    <row r="252" spans="1:45" x14ac:dyDescent="0.25">
      <c r="A252" s="5"/>
      <c r="B252" s="5"/>
      <c r="C252" s="5"/>
      <c r="D252" s="5"/>
      <c r="E252" s="5"/>
      <c r="F252" s="5"/>
      <c r="G252" s="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18"/>
      <c r="AR252" s="18"/>
      <c r="AS252" s="5"/>
    </row>
    <row r="253" spans="1:45" x14ac:dyDescent="0.25">
      <c r="A253" s="5"/>
      <c r="B253" s="5"/>
      <c r="C253" s="5"/>
      <c r="D253" s="5"/>
      <c r="E253" s="5"/>
      <c r="F253" s="5"/>
      <c r="G253" s="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18"/>
      <c r="AR253" s="18"/>
      <c r="AS253" s="5"/>
    </row>
    <row r="254" spans="1:45" x14ac:dyDescent="0.25">
      <c r="A254" s="5"/>
      <c r="B254" s="5"/>
      <c r="C254" s="5"/>
      <c r="D254" s="5"/>
      <c r="E254" s="5"/>
      <c r="F254" s="5"/>
      <c r="G254" s="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18"/>
      <c r="AR254" s="18"/>
      <c r="AS254" s="5"/>
    </row>
    <row r="255" spans="1:45" x14ac:dyDescent="0.25">
      <c r="A255" s="5"/>
      <c r="B255" s="5"/>
      <c r="C255" s="5"/>
      <c r="D255" s="5"/>
      <c r="E255" s="5"/>
      <c r="F255" s="5"/>
      <c r="G255" s="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18"/>
      <c r="AR255" s="18"/>
      <c r="AS255" s="5"/>
    </row>
    <row r="256" spans="1:45" x14ac:dyDescent="0.25">
      <c r="A256" s="5"/>
      <c r="B256" s="5"/>
      <c r="C256" s="5"/>
      <c r="D256" s="5"/>
      <c r="E256" s="5"/>
      <c r="F256" s="5"/>
      <c r="G256" s="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18"/>
      <c r="AR256" s="18"/>
      <c r="AS256" s="5"/>
    </row>
    <row r="257" spans="1:45" x14ac:dyDescent="0.25">
      <c r="A257" s="5"/>
      <c r="B257" s="5"/>
      <c r="C257" s="5"/>
      <c r="D257" s="5"/>
      <c r="E257" s="5"/>
      <c r="F257" s="5"/>
      <c r="G257" s="7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18"/>
      <c r="AR257" s="18"/>
      <c r="AS257" s="5"/>
    </row>
    <row r="258" spans="1:45" x14ac:dyDescent="0.25">
      <c r="A258" s="5"/>
      <c r="B258" s="5"/>
      <c r="C258" s="5"/>
      <c r="D258" s="5"/>
      <c r="E258" s="5"/>
      <c r="F258" s="5"/>
      <c r="G258" s="7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18"/>
      <c r="AR258" s="18"/>
      <c r="AS258" s="5"/>
    </row>
    <row r="259" spans="1:45" x14ac:dyDescent="0.25">
      <c r="A259" s="5"/>
      <c r="B259" s="5"/>
      <c r="C259" s="5"/>
      <c r="D259" s="5"/>
      <c r="E259" s="5"/>
      <c r="F259" s="5"/>
      <c r="G259" s="7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18"/>
      <c r="AR259" s="18"/>
      <c r="AS259" s="5"/>
    </row>
    <row r="260" spans="1:45" x14ac:dyDescent="0.25">
      <c r="A260" s="5"/>
      <c r="B260" s="5"/>
      <c r="C260" s="5"/>
      <c r="D260" s="5"/>
      <c r="E260" s="5"/>
      <c r="F260" s="5"/>
      <c r="G260" s="7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18"/>
      <c r="AR260" s="18"/>
      <c r="AS260" s="5"/>
    </row>
    <row r="261" spans="1:45" x14ac:dyDescent="0.25">
      <c r="A261" s="5"/>
      <c r="B261" s="5"/>
      <c r="C261" s="5"/>
      <c r="D261" s="5"/>
      <c r="E261" s="5"/>
      <c r="F261" s="5"/>
      <c r="G261" s="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18"/>
      <c r="AR261" s="18"/>
      <c r="AS261" s="5"/>
    </row>
    <row r="262" spans="1:45" x14ac:dyDescent="0.25">
      <c r="A262" s="5"/>
      <c r="B262" s="5"/>
      <c r="C262" s="5"/>
      <c r="D262" s="5"/>
      <c r="E262" s="5"/>
      <c r="F262" s="5"/>
      <c r="G262" s="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18"/>
      <c r="AR262" s="18"/>
      <c r="AS262" s="5"/>
    </row>
    <row r="263" spans="1:45" x14ac:dyDescent="0.25">
      <c r="A263" s="5"/>
      <c r="B263" s="5"/>
      <c r="C263" s="5"/>
      <c r="D263" s="5"/>
      <c r="E263" s="5"/>
      <c r="F263" s="5"/>
      <c r="G263" s="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18"/>
      <c r="AR263" s="18"/>
      <c r="AS263" s="5"/>
    </row>
    <row r="264" spans="1:45" x14ac:dyDescent="0.25">
      <c r="A264" s="5"/>
      <c r="B264" s="5"/>
      <c r="C264" s="5"/>
      <c r="D264" s="5"/>
      <c r="E264" s="5"/>
      <c r="F264" s="5"/>
      <c r="G264" s="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18"/>
      <c r="AR264" s="18"/>
      <c r="AS264" s="5"/>
    </row>
    <row r="265" spans="1:45" x14ac:dyDescent="0.25">
      <c r="A265" s="5"/>
      <c r="B265" s="5"/>
      <c r="C265" s="5"/>
      <c r="D265" s="5"/>
      <c r="E265" s="5"/>
      <c r="F265" s="5"/>
      <c r="G265" s="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18"/>
      <c r="AR265" s="18"/>
      <c r="AS265" s="5"/>
    </row>
    <row r="266" spans="1:45" x14ac:dyDescent="0.25">
      <c r="A266" s="5"/>
      <c r="B266" s="5"/>
      <c r="C266" s="5"/>
      <c r="D266" s="5"/>
      <c r="E266" s="5"/>
      <c r="F266" s="5"/>
      <c r="G266" s="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18"/>
      <c r="AR266" s="18"/>
      <c r="AS266" s="5"/>
    </row>
    <row r="267" spans="1:45" x14ac:dyDescent="0.25">
      <c r="A267" s="5"/>
      <c r="B267" s="5"/>
      <c r="C267" s="5"/>
      <c r="D267" s="5"/>
      <c r="E267" s="5"/>
      <c r="F267" s="5"/>
      <c r="G267" s="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18"/>
      <c r="AR267" s="18"/>
      <c r="AS267" s="5"/>
    </row>
    <row r="268" spans="1:45" x14ac:dyDescent="0.25">
      <c r="A268" s="5"/>
      <c r="B268" s="5"/>
      <c r="C268" s="5"/>
      <c r="D268" s="5"/>
      <c r="E268" s="5"/>
      <c r="F268" s="5"/>
      <c r="G268" s="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18"/>
      <c r="AR268" s="18"/>
      <c r="AS268" s="5"/>
    </row>
    <row r="269" spans="1:45" x14ac:dyDescent="0.25">
      <c r="A269" s="5"/>
      <c r="B269" s="5"/>
      <c r="C269" s="5"/>
      <c r="D269" s="5"/>
      <c r="E269" s="5"/>
      <c r="F269" s="5"/>
      <c r="G269" s="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18"/>
      <c r="AR269" s="18"/>
      <c r="AS269" s="5"/>
    </row>
    <row r="270" spans="1:45" x14ac:dyDescent="0.25">
      <c r="A270" s="5"/>
      <c r="B270" s="5"/>
      <c r="C270" s="5"/>
      <c r="D270" s="5"/>
      <c r="E270" s="5"/>
      <c r="F270" s="5"/>
      <c r="G270" s="7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18"/>
      <c r="AR270" s="18"/>
      <c r="AS270" s="5"/>
    </row>
    <row r="271" spans="1:45" x14ac:dyDescent="0.25">
      <c r="A271" s="5"/>
      <c r="B271" s="5"/>
      <c r="C271" s="5"/>
      <c r="D271" s="5"/>
      <c r="E271" s="5"/>
      <c r="F271" s="5"/>
      <c r="G271" s="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18"/>
      <c r="AR271" s="18"/>
      <c r="AS271" s="5"/>
    </row>
    <row r="272" spans="1:45" x14ac:dyDescent="0.25">
      <c r="A272" s="5"/>
      <c r="B272" s="5"/>
      <c r="C272" s="5"/>
      <c r="D272" s="5"/>
      <c r="E272" s="5"/>
      <c r="F272" s="5"/>
      <c r="G272" s="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18"/>
      <c r="AR272" s="18"/>
      <c r="AS272" s="5"/>
    </row>
    <row r="273" spans="1:45" x14ac:dyDescent="0.25">
      <c r="A273" s="5"/>
      <c r="B273" s="5"/>
      <c r="C273" s="5"/>
      <c r="D273" s="5"/>
      <c r="E273" s="5"/>
      <c r="F273" s="5"/>
      <c r="G273" s="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18"/>
      <c r="AR273" s="18"/>
      <c r="AS273" s="5"/>
    </row>
    <row r="274" spans="1:45" x14ac:dyDescent="0.25">
      <c r="A274" s="5"/>
      <c r="B274" s="5"/>
      <c r="C274" s="5"/>
      <c r="D274" s="5"/>
      <c r="E274" s="5"/>
      <c r="F274" s="5"/>
      <c r="G274" s="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18"/>
      <c r="AR274" s="18"/>
      <c r="AS274" s="5"/>
    </row>
    <row r="275" spans="1:45" x14ac:dyDescent="0.25">
      <c r="A275" s="5"/>
      <c r="B275" s="5"/>
      <c r="C275" s="5"/>
      <c r="D275" s="5"/>
      <c r="E275" s="5"/>
      <c r="F275" s="5"/>
      <c r="G275" s="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18"/>
      <c r="AR275" s="18"/>
      <c r="AS275" s="5"/>
    </row>
    <row r="276" spans="1:45" x14ac:dyDescent="0.25">
      <c r="A276" s="5"/>
      <c r="B276" s="5"/>
      <c r="C276" s="5"/>
      <c r="D276" s="5"/>
      <c r="E276" s="5"/>
      <c r="F276" s="5"/>
      <c r="G276" s="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18"/>
      <c r="AR276" s="18"/>
      <c r="AS276" s="5"/>
    </row>
    <row r="277" spans="1:45" x14ac:dyDescent="0.25">
      <c r="A277" s="5"/>
      <c r="B277" s="5"/>
      <c r="C277" s="5"/>
      <c r="D277" s="5"/>
      <c r="E277" s="5"/>
      <c r="F277" s="5"/>
      <c r="G277" s="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18"/>
      <c r="AR277" s="18"/>
      <c r="AS277" s="5"/>
    </row>
    <row r="278" spans="1:45" x14ac:dyDescent="0.25">
      <c r="A278" s="5"/>
      <c r="B278" s="5"/>
      <c r="C278" s="5"/>
      <c r="D278" s="5"/>
      <c r="E278" s="5"/>
      <c r="F278" s="5"/>
      <c r="G278" s="7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18"/>
      <c r="AR278" s="18"/>
      <c r="AS278" s="5"/>
    </row>
    <row r="279" spans="1:45" x14ac:dyDescent="0.25">
      <c r="A279" s="5"/>
      <c r="B279" s="5"/>
      <c r="C279" s="5"/>
      <c r="D279" s="5"/>
      <c r="E279" s="5"/>
      <c r="F279" s="5"/>
      <c r="G279" s="7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18"/>
      <c r="AR279" s="18"/>
      <c r="AS279" s="5"/>
    </row>
    <row r="280" spans="1:45" x14ac:dyDescent="0.25">
      <c r="A280" s="5"/>
      <c r="B280" s="5"/>
      <c r="C280" s="5"/>
      <c r="D280" s="5"/>
      <c r="E280" s="5"/>
      <c r="F280" s="5"/>
      <c r="G280" s="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18"/>
      <c r="AR280" s="18"/>
      <c r="AS280" s="5"/>
    </row>
    <row r="281" spans="1:45" x14ac:dyDescent="0.25">
      <c r="A281" s="5"/>
      <c r="B281" s="5"/>
      <c r="C281" s="5"/>
      <c r="D281" s="5"/>
      <c r="E281" s="5"/>
      <c r="F281" s="5"/>
      <c r="G281" s="7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18"/>
      <c r="AR281" s="18"/>
      <c r="AS281" s="5"/>
    </row>
    <row r="282" spans="1:45" x14ac:dyDescent="0.25">
      <c r="A282" s="5"/>
      <c r="B282" s="5"/>
      <c r="C282" s="5"/>
      <c r="D282" s="5"/>
      <c r="E282" s="5"/>
      <c r="F282" s="5"/>
      <c r="G282" s="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18"/>
      <c r="AR282" s="18"/>
      <c r="AS282" s="5"/>
    </row>
    <row r="283" spans="1:45" x14ac:dyDescent="0.25">
      <c r="A283" s="5"/>
      <c r="B283" s="5"/>
      <c r="C283" s="5"/>
      <c r="D283" s="5"/>
      <c r="E283" s="5"/>
      <c r="F283" s="5"/>
      <c r="G283" s="7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18"/>
      <c r="AR283" s="18"/>
      <c r="AS283" s="5"/>
    </row>
    <row r="284" spans="1:45" x14ac:dyDescent="0.25">
      <c r="A284" s="5"/>
      <c r="B284" s="5"/>
      <c r="C284" s="5"/>
      <c r="D284" s="5"/>
      <c r="E284" s="5"/>
      <c r="F284" s="5"/>
      <c r="G284" s="7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18"/>
      <c r="AR284" s="18"/>
      <c r="AS284" s="5"/>
    </row>
    <row r="285" spans="1:45" x14ac:dyDescent="0.25">
      <c r="A285" s="5"/>
      <c r="B285" s="5"/>
      <c r="C285" s="5"/>
      <c r="D285" s="5"/>
      <c r="E285" s="5"/>
      <c r="F285" s="5"/>
      <c r="G285" s="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18"/>
      <c r="AR285" s="18"/>
      <c r="AS285" s="5"/>
    </row>
    <row r="286" spans="1:45" x14ac:dyDescent="0.25">
      <c r="A286" s="5"/>
      <c r="B286" s="5"/>
      <c r="C286" s="5"/>
      <c r="D286" s="5"/>
      <c r="E286" s="5"/>
      <c r="F286" s="5"/>
      <c r="G286" s="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18"/>
      <c r="AR286" s="18"/>
      <c r="AS286" s="5"/>
    </row>
    <row r="287" spans="1:45" x14ac:dyDescent="0.25">
      <c r="A287" s="5"/>
      <c r="B287" s="5"/>
      <c r="C287" s="5"/>
      <c r="D287" s="5"/>
      <c r="E287" s="5"/>
      <c r="F287" s="5"/>
      <c r="G287" s="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18"/>
      <c r="AR287" s="18"/>
      <c r="AS287" s="5"/>
    </row>
    <row r="288" spans="1:45" x14ac:dyDescent="0.25">
      <c r="A288" s="5"/>
      <c r="B288" s="5"/>
      <c r="C288" s="5"/>
      <c r="D288" s="5"/>
      <c r="E288" s="5"/>
      <c r="F288" s="5"/>
      <c r="G288" s="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18"/>
      <c r="AR288" s="18"/>
      <c r="AS288" s="5"/>
    </row>
    <row r="289" spans="1:45" x14ac:dyDescent="0.25">
      <c r="A289" s="5"/>
      <c r="B289" s="5"/>
      <c r="C289" s="5"/>
      <c r="D289" s="5"/>
      <c r="E289" s="5"/>
      <c r="F289" s="5"/>
      <c r="G289" s="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18"/>
      <c r="AR289" s="18"/>
      <c r="AS289" s="5"/>
    </row>
    <row r="290" spans="1:45" x14ac:dyDescent="0.25">
      <c r="A290" s="5"/>
      <c r="B290" s="5"/>
      <c r="C290" s="5"/>
      <c r="D290" s="5"/>
      <c r="E290" s="5"/>
      <c r="F290" s="5"/>
      <c r="G290" s="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18"/>
      <c r="AR290" s="18"/>
      <c r="AS290" s="5"/>
    </row>
    <row r="291" spans="1:45" x14ac:dyDescent="0.25">
      <c r="A291" s="5"/>
      <c r="B291" s="5"/>
      <c r="C291" s="5"/>
      <c r="D291" s="5"/>
      <c r="E291" s="5"/>
      <c r="F291" s="5"/>
      <c r="G291" s="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18"/>
      <c r="AR291" s="18"/>
      <c r="AS291" s="5"/>
    </row>
    <row r="292" spans="1:45" x14ac:dyDescent="0.25">
      <c r="A292" s="5"/>
      <c r="B292" s="5"/>
      <c r="C292" s="5"/>
      <c r="D292" s="5"/>
      <c r="E292" s="5"/>
      <c r="F292" s="5"/>
      <c r="G292" s="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18"/>
      <c r="AR292" s="18"/>
      <c r="AS292" s="5"/>
    </row>
    <row r="293" spans="1:45" x14ac:dyDescent="0.25">
      <c r="A293" s="5"/>
      <c r="B293" s="5"/>
      <c r="C293" s="5"/>
      <c r="D293" s="5"/>
      <c r="E293" s="5"/>
      <c r="F293" s="5"/>
      <c r="G293" s="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18"/>
      <c r="AR293" s="18"/>
      <c r="AS293" s="5"/>
    </row>
    <row r="294" spans="1:45" x14ac:dyDescent="0.25">
      <c r="A294" s="5"/>
      <c r="B294" s="5"/>
      <c r="C294" s="5"/>
      <c r="D294" s="5"/>
      <c r="E294" s="5"/>
      <c r="F294" s="5"/>
      <c r="G294" s="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18"/>
      <c r="AR294" s="18"/>
      <c r="AS294" s="5"/>
    </row>
    <row r="295" spans="1:45" x14ac:dyDescent="0.25">
      <c r="A295" s="5"/>
      <c r="B295" s="5"/>
      <c r="C295" s="5"/>
      <c r="D295" s="5"/>
      <c r="E295" s="5"/>
      <c r="F295" s="5"/>
      <c r="G295" s="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18"/>
      <c r="AR295" s="18"/>
      <c r="AS295" s="5"/>
    </row>
    <row r="296" spans="1:45" x14ac:dyDescent="0.25">
      <c r="A296" s="5"/>
      <c r="B296" s="5"/>
      <c r="C296" s="5"/>
      <c r="D296" s="5"/>
      <c r="E296" s="5"/>
      <c r="F296" s="5"/>
      <c r="G296" s="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18"/>
      <c r="AR296" s="18"/>
      <c r="AS296" s="5"/>
    </row>
    <row r="297" spans="1:45" x14ac:dyDescent="0.25">
      <c r="A297" s="5"/>
      <c r="B297" s="5"/>
      <c r="C297" s="5"/>
      <c r="D297" s="5"/>
      <c r="E297" s="5"/>
      <c r="F297" s="5"/>
      <c r="G297" s="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18"/>
      <c r="AR297" s="18"/>
      <c r="AS297" s="5"/>
    </row>
    <row r="298" spans="1:45" x14ac:dyDescent="0.25">
      <c r="A298" s="5"/>
      <c r="B298" s="5"/>
      <c r="C298" s="5"/>
      <c r="D298" s="5"/>
      <c r="E298" s="5"/>
      <c r="F298" s="5"/>
      <c r="G298" s="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18"/>
      <c r="AR298" s="18"/>
      <c r="AS298" s="5"/>
    </row>
    <row r="299" spans="1:45" x14ac:dyDescent="0.25">
      <c r="A299" s="5"/>
      <c r="B299" s="5"/>
      <c r="C299" s="5"/>
      <c r="D299" s="5"/>
      <c r="E299" s="5"/>
      <c r="F299" s="5"/>
      <c r="G299" s="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18"/>
      <c r="AR299" s="18"/>
      <c r="AS299" s="5"/>
    </row>
    <row r="300" spans="1:45" x14ac:dyDescent="0.25">
      <c r="A300" s="5"/>
      <c r="B300" s="5"/>
      <c r="C300" s="5"/>
      <c r="D300" s="5"/>
      <c r="E300" s="5"/>
      <c r="F300" s="5"/>
      <c r="G300" s="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18"/>
      <c r="AR300" s="18"/>
      <c r="AS300" s="5"/>
    </row>
    <row r="301" spans="1:45" x14ac:dyDescent="0.25">
      <c r="A301" s="5"/>
      <c r="B301" s="5"/>
      <c r="C301" s="5"/>
      <c r="D301" s="5"/>
      <c r="E301" s="5"/>
      <c r="F301" s="5"/>
      <c r="G301" s="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18"/>
      <c r="AR301" s="18"/>
      <c r="AS301" s="5"/>
    </row>
    <row r="302" spans="1:45" x14ac:dyDescent="0.25">
      <c r="A302" s="5"/>
      <c r="B302" s="5"/>
      <c r="C302" s="5"/>
      <c r="D302" s="5"/>
      <c r="E302" s="5"/>
      <c r="F302" s="5"/>
      <c r="G302" s="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18"/>
      <c r="AR302" s="18"/>
      <c r="AS302" s="5"/>
    </row>
    <row r="303" spans="1:45" x14ac:dyDescent="0.25">
      <c r="A303" s="5"/>
      <c r="B303" s="5"/>
      <c r="C303" s="5"/>
      <c r="D303" s="5"/>
      <c r="E303" s="5"/>
      <c r="F303" s="5"/>
      <c r="G303" s="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18"/>
      <c r="AR303" s="18"/>
      <c r="AS303" s="5"/>
    </row>
    <row r="304" spans="1:45" x14ac:dyDescent="0.25">
      <c r="A304" s="5"/>
      <c r="B304" s="5"/>
      <c r="C304" s="5"/>
      <c r="D304" s="5"/>
      <c r="E304" s="5"/>
      <c r="F304" s="5"/>
      <c r="G304" s="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18"/>
      <c r="AR304" s="18"/>
      <c r="AS304" s="5"/>
    </row>
    <row r="305" spans="1:45" x14ac:dyDescent="0.25">
      <c r="A305" s="5"/>
      <c r="B305" s="5"/>
      <c r="C305" s="5"/>
      <c r="D305" s="5"/>
      <c r="E305" s="5"/>
      <c r="F305" s="5"/>
      <c r="G305" s="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18"/>
      <c r="AR305" s="18"/>
      <c r="AS305" s="5"/>
    </row>
    <row r="306" spans="1:45" x14ac:dyDescent="0.25">
      <c r="A306" s="5"/>
      <c r="B306" s="5"/>
      <c r="C306" s="5"/>
      <c r="D306" s="5"/>
      <c r="E306" s="5"/>
      <c r="F306" s="5"/>
      <c r="G306" s="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18"/>
      <c r="AR306" s="18"/>
      <c r="AS306" s="5"/>
    </row>
    <row r="307" spans="1:45" x14ac:dyDescent="0.25">
      <c r="A307" s="5"/>
      <c r="B307" s="5"/>
      <c r="C307" s="5"/>
      <c r="D307" s="5"/>
      <c r="E307" s="5"/>
      <c r="F307" s="5"/>
      <c r="G307" s="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18"/>
      <c r="AR307" s="18"/>
      <c r="AS307" s="5"/>
    </row>
    <row r="308" spans="1:45" x14ac:dyDescent="0.25">
      <c r="A308" s="5"/>
      <c r="B308" s="5"/>
      <c r="C308" s="5"/>
      <c r="D308" s="5"/>
      <c r="E308" s="5"/>
      <c r="F308" s="5"/>
      <c r="G308" s="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18"/>
      <c r="AR308" s="18"/>
      <c r="AS308" s="5"/>
    </row>
    <row r="309" spans="1:45" x14ac:dyDescent="0.25">
      <c r="A309" s="5"/>
      <c r="B309" s="5"/>
      <c r="C309" s="5"/>
      <c r="D309" s="5"/>
      <c r="E309" s="5"/>
      <c r="F309" s="5"/>
      <c r="G309" s="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18"/>
      <c r="AR309" s="18"/>
      <c r="AS309" s="5"/>
    </row>
    <row r="310" spans="1:45" x14ac:dyDescent="0.25">
      <c r="A310" s="5"/>
      <c r="B310" s="5"/>
      <c r="C310" s="5"/>
      <c r="D310" s="5"/>
      <c r="E310" s="5"/>
      <c r="F310" s="5"/>
      <c r="G310" s="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18"/>
      <c r="AR310" s="18"/>
      <c r="AS310" s="5"/>
    </row>
    <row r="311" spans="1:45" x14ac:dyDescent="0.25">
      <c r="A311" s="5"/>
      <c r="B311" s="5"/>
      <c r="C311" s="5"/>
      <c r="D311" s="5"/>
      <c r="E311" s="5"/>
      <c r="F311" s="5"/>
      <c r="G311" s="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18"/>
      <c r="AR311" s="18"/>
      <c r="AS311" s="5"/>
    </row>
    <row r="312" spans="1:45" x14ac:dyDescent="0.25">
      <c r="A312" s="5"/>
      <c r="B312" s="5"/>
      <c r="C312" s="5"/>
      <c r="D312" s="5"/>
      <c r="E312" s="5"/>
      <c r="F312" s="5"/>
      <c r="G312" s="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18"/>
      <c r="AR312" s="18"/>
      <c r="AS312" s="5"/>
    </row>
    <row r="313" spans="1:45" x14ac:dyDescent="0.25">
      <c r="A313" s="5"/>
      <c r="B313" s="5"/>
      <c r="C313" s="5"/>
      <c r="D313" s="5"/>
      <c r="E313" s="5"/>
      <c r="F313" s="5"/>
      <c r="G313" s="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18"/>
      <c r="AR313" s="18"/>
      <c r="AS313" s="5"/>
    </row>
    <row r="314" spans="1:45" x14ac:dyDescent="0.25">
      <c r="A314" s="5"/>
      <c r="B314" s="5"/>
      <c r="C314" s="5"/>
      <c r="D314" s="5"/>
      <c r="E314" s="5"/>
      <c r="F314" s="5"/>
      <c r="G314" s="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18"/>
      <c r="AR314" s="18"/>
      <c r="AS314" s="5"/>
    </row>
    <row r="315" spans="1:45" x14ac:dyDescent="0.25">
      <c r="A315" s="5"/>
      <c r="B315" s="5"/>
      <c r="C315" s="5"/>
      <c r="D315" s="5"/>
      <c r="E315" s="5"/>
      <c r="F315" s="5"/>
      <c r="G315" s="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18"/>
      <c r="AR315" s="18"/>
      <c r="AS315" s="5"/>
    </row>
    <row r="316" spans="1:45" x14ac:dyDescent="0.25">
      <c r="A316" s="5"/>
      <c r="B316" s="5"/>
      <c r="C316" s="5"/>
      <c r="D316" s="5"/>
      <c r="E316" s="5"/>
      <c r="F316" s="5"/>
      <c r="G316" s="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18"/>
      <c r="AR316" s="18"/>
      <c r="AS316" s="5"/>
    </row>
    <row r="317" spans="1:45" x14ac:dyDescent="0.25">
      <c r="A317" s="5"/>
      <c r="B317" s="5"/>
      <c r="C317" s="5"/>
      <c r="D317" s="5"/>
      <c r="E317" s="5"/>
      <c r="F317" s="5"/>
      <c r="G317" s="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18"/>
      <c r="AR317" s="18"/>
      <c r="AS317" s="5"/>
    </row>
    <row r="318" spans="1:45" x14ac:dyDescent="0.25">
      <c r="A318" s="5"/>
      <c r="B318" s="5"/>
      <c r="C318" s="5"/>
      <c r="D318" s="5"/>
      <c r="E318" s="5"/>
      <c r="F318" s="5"/>
      <c r="G318" s="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18"/>
      <c r="AR318" s="18"/>
      <c r="AS318" s="5"/>
    </row>
    <row r="319" spans="1:45" x14ac:dyDescent="0.25">
      <c r="A319" s="5"/>
      <c r="B319" s="5"/>
      <c r="C319" s="5"/>
      <c r="D319" s="5"/>
      <c r="E319" s="5"/>
      <c r="F319" s="5"/>
      <c r="G319" s="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18"/>
      <c r="AR319" s="18"/>
      <c r="AS319" s="5"/>
    </row>
    <row r="320" spans="1:45" x14ac:dyDescent="0.25">
      <c r="A320" s="5"/>
      <c r="B320" s="5"/>
      <c r="C320" s="5"/>
      <c r="D320" s="5"/>
      <c r="E320" s="5"/>
      <c r="F320" s="5"/>
      <c r="G320" s="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18"/>
      <c r="AR320" s="18"/>
      <c r="AS320" s="5"/>
    </row>
    <row r="321" spans="1:45" x14ac:dyDescent="0.25">
      <c r="A321" s="5"/>
      <c r="B321" s="5"/>
      <c r="C321" s="5"/>
      <c r="D321" s="5"/>
      <c r="E321" s="5"/>
      <c r="F321" s="5"/>
      <c r="G321" s="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18"/>
      <c r="AR321" s="18"/>
      <c r="AS321" s="5"/>
    </row>
    <row r="322" spans="1:45" x14ac:dyDescent="0.25">
      <c r="A322" s="5"/>
      <c r="B322" s="5"/>
      <c r="C322" s="5"/>
      <c r="D322" s="5"/>
      <c r="E322" s="5"/>
      <c r="F322" s="5"/>
      <c r="G322" s="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18"/>
      <c r="AR322" s="18"/>
      <c r="AS322" s="5"/>
    </row>
    <row r="323" spans="1:45" x14ac:dyDescent="0.25">
      <c r="A323" s="5"/>
      <c r="B323" s="5"/>
      <c r="C323" s="5"/>
      <c r="D323" s="5"/>
      <c r="E323" s="5"/>
      <c r="F323" s="5"/>
      <c r="G323" s="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18"/>
      <c r="AR323" s="18"/>
      <c r="AS323" s="5"/>
    </row>
    <row r="324" spans="1:45" x14ac:dyDescent="0.25">
      <c r="A324" s="5"/>
      <c r="B324" s="5"/>
      <c r="C324" s="5"/>
      <c r="D324" s="5"/>
      <c r="E324" s="5"/>
      <c r="F324" s="5"/>
      <c r="G324" s="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18"/>
      <c r="AR324" s="18"/>
      <c r="AS324" s="5"/>
    </row>
    <row r="325" spans="1:45" x14ac:dyDescent="0.25">
      <c r="A325" s="5"/>
      <c r="B325" s="5"/>
      <c r="C325" s="5"/>
      <c r="D325" s="5"/>
      <c r="E325" s="5"/>
      <c r="F325" s="5"/>
      <c r="G325" s="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18"/>
      <c r="AR325" s="18"/>
      <c r="AS325" s="5"/>
    </row>
    <row r="326" spans="1:45" x14ac:dyDescent="0.25">
      <c r="A326" s="5"/>
      <c r="B326" s="5"/>
      <c r="C326" s="5"/>
      <c r="D326" s="5"/>
      <c r="E326" s="5"/>
      <c r="F326" s="5"/>
      <c r="G326" s="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18"/>
      <c r="AR326" s="18"/>
      <c r="AS326" s="5"/>
    </row>
    <row r="327" spans="1:45" x14ac:dyDescent="0.25">
      <c r="A327" s="5"/>
      <c r="B327" s="5"/>
      <c r="C327" s="5"/>
      <c r="D327" s="5"/>
      <c r="E327" s="5"/>
      <c r="F327" s="5"/>
      <c r="G327" s="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18"/>
      <c r="AR327" s="18"/>
      <c r="AS327" s="5"/>
    </row>
    <row r="328" spans="1:45" x14ac:dyDescent="0.25">
      <c r="A328" s="5"/>
      <c r="B328" s="5"/>
      <c r="C328" s="5"/>
      <c r="D328" s="5"/>
      <c r="E328" s="5"/>
      <c r="F328" s="5"/>
      <c r="G328" s="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18"/>
      <c r="AR328" s="18"/>
      <c r="AS328" s="5"/>
    </row>
    <row r="329" spans="1:45" x14ac:dyDescent="0.25">
      <c r="A329" s="5"/>
      <c r="B329" s="5"/>
      <c r="C329" s="5"/>
      <c r="D329" s="5"/>
      <c r="E329" s="5"/>
      <c r="F329" s="5"/>
      <c r="G329" s="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18"/>
      <c r="AR329" s="18"/>
      <c r="AS329" s="5"/>
    </row>
    <row r="330" spans="1:45" x14ac:dyDescent="0.25">
      <c r="A330" s="5"/>
      <c r="B330" s="5"/>
      <c r="C330" s="5"/>
      <c r="D330" s="5"/>
      <c r="E330" s="5"/>
      <c r="F330" s="5"/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18"/>
      <c r="AR330" s="18"/>
      <c r="AS330" s="5"/>
    </row>
    <row r="331" spans="1:45" x14ac:dyDescent="0.25">
      <c r="A331" s="5"/>
      <c r="B331" s="5"/>
      <c r="C331" s="5"/>
      <c r="D331" s="5"/>
      <c r="E331" s="5"/>
      <c r="F331" s="5"/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18"/>
      <c r="AR331" s="18"/>
      <c r="AS331" s="5"/>
    </row>
    <row r="332" spans="1:45" x14ac:dyDescent="0.25">
      <c r="A332" s="5"/>
      <c r="B332" s="5"/>
      <c r="C332" s="5"/>
      <c r="D332" s="5"/>
      <c r="E332" s="5"/>
      <c r="F332" s="5"/>
      <c r="G332" s="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18"/>
      <c r="AR332" s="18"/>
      <c r="AS332" s="5"/>
    </row>
    <row r="333" spans="1:45" x14ac:dyDescent="0.25">
      <c r="A333" s="5"/>
      <c r="B333" s="5"/>
      <c r="C333" s="5"/>
      <c r="D333" s="5"/>
      <c r="E333" s="5"/>
      <c r="F333" s="5"/>
      <c r="G333" s="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18"/>
      <c r="AR333" s="18"/>
      <c r="AS333" s="5"/>
    </row>
    <row r="334" spans="1:45" x14ac:dyDescent="0.25">
      <c r="A334" s="5"/>
      <c r="B334" s="5"/>
      <c r="C334" s="5"/>
      <c r="D334" s="5"/>
      <c r="E334" s="5"/>
      <c r="F334" s="5"/>
      <c r="G334" s="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18"/>
      <c r="AR334" s="18"/>
      <c r="AS334" s="5"/>
    </row>
    <row r="335" spans="1:45" x14ac:dyDescent="0.25">
      <c r="A335" s="5"/>
      <c r="B335" s="5"/>
      <c r="C335" s="5"/>
      <c r="D335" s="5"/>
      <c r="E335" s="5"/>
      <c r="F335" s="5"/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18"/>
      <c r="AR335" s="18"/>
      <c r="AS335" s="5"/>
    </row>
    <row r="336" spans="1:45" x14ac:dyDescent="0.25">
      <c r="A336" s="5"/>
      <c r="B336" s="5"/>
      <c r="C336" s="5"/>
      <c r="D336" s="5"/>
      <c r="E336" s="5"/>
      <c r="F336" s="5"/>
      <c r="G336" s="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18"/>
      <c r="AR336" s="18"/>
      <c r="AS336" s="5"/>
    </row>
    <row r="337" spans="1:45" x14ac:dyDescent="0.25">
      <c r="A337" s="5"/>
      <c r="B337" s="5"/>
      <c r="C337" s="5"/>
      <c r="D337" s="5"/>
      <c r="E337" s="5"/>
      <c r="F337" s="5"/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18"/>
      <c r="AR337" s="18"/>
      <c r="AS337" s="5"/>
    </row>
    <row r="338" spans="1:45" x14ac:dyDescent="0.25">
      <c r="A338" s="5"/>
      <c r="B338" s="5"/>
      <c r="C338" s="5"/>
      <c r="D338" s="5"/>
      <c r="E338" s="5"/>
      <c r="F338" s="5"/>
      <c r="G338" s="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18"/>
      <c r="AR338" s="18"/>
      <c r="AS338" s="5"/>
    </row>
    <row r="339" spans="1:45" x14ac:dyDescent="0.25">
      <c r="A339" s="5"/>
      <c r="B339" s="5"/>
      <c r="C339" s="5"/>
      <c r="D339" s="5"/>
      <c r="E339" s="5"/>
      <c r="F339" s="5"/>
      <c r="G339" s="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18"/>
      <c r="AR339" s="18"/>
      <c r="AS339" s="5"/>
    </row>
    <row r="340" spans="1:45" x14ac:dyDescent="0.25">
      <c r="A340" s="5"/>
      <c r="B340" s="5"/>
      <c r="C340" s="5"/>
      <c r="D340" s="5"/>
      <c r="E340" s="5"/>
      <c r="F340" s="5"/>
      <c r="G340" s="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18"/>
      <c r="AR340" s="18"/>
      <c r="AS340" s="5"/>
    </row>
    <row r="341" spans="1:45" x14ac:dyDescent="0.25">
      <c r="A341" s="5"/>
      <c r="B341" s="5"/>
      <c r="C341" s="5"/>
      <c r="D341" s="5"/>
      <c r="E341" s="5"/>
      <c r="F341" s="5"/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18"/>
      <c r="AR341" s="18"/>
      <c r="AS341" s="5"/>
    </row>
    <row r="342" spans="1:45" x14ac:dyDescent="0.25">
      <c r="A342" s="5"/>
      <c r="B342" s="5"/>
      <c r="C342" s="5"/>
      <c r="D342" s="5"/>
      <c r="E342" s="5"/>
      <c r="F342" s="5"/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18"/>
      <c r="AR342" s="18"/>
      <c r="AS342" s="5"/>
    </row>
    <row r="343" spans="1:45" x14ac:dyDescent="0.25">
      <c r="A343" s="5"/>
      <c r="B343" s="5"/>
      <c r="C343" s="5"/>
      <c r="D343" s="5"/>
      <c r="E343" s="5"/>
      <c r="F343" s="5"/>
      <c r="G343" s="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18"/>
      <c r="AR343" s="18"/>
      <c r="AS343" s="5"/>
    </row>
    <row r="344" spans="1:45" x14ac:dyDescent="0.25">
      <c r="A344" s="5"/>
      <c r="B344" s="5"/>
      <c r="C344" s="5"/>
      <c r="D344" s="5"/>
      <c r="E344" s="5"/>
      <c r="F344" s="5"/>
      <c r="G344" s="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18"/>
      <c r="AR344" s="18"/>
      <c r="AS344" s="5"/>
    </row>
    <row r="345" spans="1:45" x14ac:dyDescent="0.25">
      <c r="A345" s="5"/>
      <c r="B345" s="5"/>
      <c r="C345" s="5"/>
      <c r="D345" s="5"/>
      <c r="E345" s="5"/>
      <c r="F345" s="5"/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18"/>
      <c r="AR345" s="18"/>
      <c r="AS345" s="5"/>
    </row>
    <row r="346" spans="1:45" x14ac:dyDescent="0.25">
      <c r="A346" s="5"/>
      <c r="B346" s="5"/>
      <c r="C346" s="5"/>
      <c r="D346" s="5"/>
      <c r="E346" s="5"/>
      <c r="F346" s="5"/>
      <c r="G346" s="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18"/>
      <c r="AR346" s="18"/>
      <c r="AS346" s="5"/>
    </row>
    <row r="347" spans="1:45" x14ac:dyDescent="0.25">
      <c r="A347" s="5"/>
      <c r="B347" s="5"/>
      <c r="C347" s="5"/>
      <c r="D347" s="5"/>
      <c r="E347" s="5"/>
      <c r="F347" s="5"/>
      <c r="G347" s="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18"/>
      <c r="AR347" s="18"/>
      <c r="AS347" s="5"/>
    </row>
    <row r="348" spans="1:45" x14ac:dyDescent="0.25">
      <c r="A348" s="5"/>
      <c r="B348" s="5"/>
      <c r="C348" s="5"/>
      <c r="D348" s="5"/>
      <c r="E348" s="5"/>
      <c r="F348" s="5"/>
      <c r="G348" s="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18"/>
      <c r="AR348" s="18"/>
      <c r="AS348" s="5"/>
    </row>
    <row r="349" spans="1:45" x14ac:dyDescent="0.25">
      <c r="A349" s="5"/>
      <c r="B349" s="5"/>
      <c r="C349" s="5"/>
      <c r="D349" s="5"/>
      <c r="E349" s="5"/>
      <c r="F349" s="5"/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18"/>
      <c r="AR349" s="18"/>
      <c r="AS349" s="5"/>
    </row>
    <row r="350" spans="1:45" x14ac:dyDescent="0.25">
      <c r="A350" s="5"/>
      <c r="B350" s="5"/>
      <c r="C350" s="5"/>
      <c r="D350" s="5"/>
      <c r="E350" s="5"/>
      <c r="F350" s="5"/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18"/>
      <c r="AR350" s="18"/>
      <c r="AS350" s="5"/>
    </row>
    <row r="351" spans="1:45" x14ac:dyDescent="0.25">
      <c r="A351" s="5"/>
      <c r="B351" s="5"/>
      <c r="C351" s="5"/>
      <c r="D351" s="5"/>
      <c r="E351" s="5"/>
      <c r="F351" s="5"/>
      <c r="G351" s="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18"/>
      <c r="AR351" s="18"/>
      <c r="AS351" s="5"/>
    </row>
    <row r="352" spans="1:45" x14ac:dyDescent="0.25">
      <c r="A352" s="5"/>
      <c r="B352" s="5"/>
      <c r="C352" s="5"/>
      <c r="D352" s="5"/>
      <c r="E352" s="5"/>
      <c r="F352" s="5"/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18"/>
      <c r="AR352" s="18"/>
      <c r="AS352" s="5"/>
    </row>
    <row r="353" spans="1:45" x14ac:dyDescent="0.25">
      <c r="A353" s="5"/>
      <c r="B353" s="5"/>
      <c r="C353" s="5"/>
      <c r="D353" s="5"/>
      <c r="E353" s="5"/>
      <c r="F353" s="5"/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18"/>
      <c r="AR353" s="18"/>
      <c r="AS353" s="5"/>
    </row>
    <row r="354" spans="1:45" x14ac:dyDescent="0.25">
      <c r="A354" s="5"/>
      <c r="B354" s="5"/>
      <c r="C354" s="5"/>
      <c r="D354" s="5"/>
      <c r="E354" s="5"/>
      <c r="F354" s="5"/>
      <c r="G354" s="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18"/>
      <c r="AR354" s="18"/>
      <c r="AS354" s="5"/>
    </row>
    <row r="355" spans="1:45" x14ac:dyDescent="0.25">
      <c r="A355" s="5"/>
      <c r="B355" s="5"/>
      <c r="C355" s="5"/>
      <c r="D355" s="5"/>
      <c r="E355" s="5"/>
      <c r="F355" s="5"/>
      <c r="G355" s="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18"/>
      <c r="AR355" s="18"/>
      <c r="AS355" s="5"/>
    </row>
    <row r="356" spans="1:45" x14ac:dyDescent="0.25">
      <c r="A356" s="5"/>
      <c r="B356" s="5"/>
      <c r="C356" s="5"/>
      <c r="D356" s="5"/>
      <c r="E356" s="5"/>
      <c r="F356" s="5"/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18"/>
      <c r="AR356" s="18"/>
      <c r="AS356" s="5"/>
    </row>
    <row r="357" spans="1:45" x14ac:dyDescent="0.25">
      <c r="A357" s="5"/>
      <c r="B357" s="5"/>
      <c r="C357" s="5"/>
      <c r="D357" s="5"/>
      <c r="E357" s="5"/>
      <c r="F357" s="5"/>
      <c r="G357" s="7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18"/>
      <c r="AR357" s="18"/>
      <c r="AS357" s="5"/>
    </row>
    <row r="358" spans="1:45" x14ac:dyDescent="0.25">
      <c r="A358" s="5"/>
      <c r="B358" s="5"/>
      <c r="C358" s="5"/>
      <c r="D358" s="5"/>
      <c r="E358" s="5"/>
      <c r="F358" s="5"/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18"/>
      <c r="AR358" s="18"/>
      <c r="AS358" s="5"/>
    </row>
    <row r="359" spans="1:45" x14ac:dyDescent="0.25">
      <c r="A359" s="5"/>
      <c r="B359" s="5"/>
      <c r="C359" s="5"/>
      <c r="D359" s="5"/>
      <c r="E359" s="5"/>
      <c r="F359" s="5"/>
      <c r="G359" s="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18"/>
      <c r="AR359" s="18"/>
      <c r="AS359" s="5"/>
    </row>
    <row r="360" spans="1:45" x14ac:dyDescent="0.25">
      <c r="A360" s="5"/>
      <c r="B360" s="5"/>
      <c r="C360" s="5"/>
      <c r="D360" s="5"/>
      <c r="E360" s="5"/>
      <c r="F360" s="5"/>
      <c r="G360" s="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18"/>
      <c r="AR360" s="18"/>
      <c r="AS360" s="5"/>
    </row>
    <row r="361" spans="1:45" x14ac:dyDescent="0.25">
      <c r="A361" s="5"/>
      <c r="B361" s="5"/>
      <c r="C361" s="5"/>
      <c r="D361" s="5"/>
      <c r="E361" s="5"/>
      <c r="F361" s="5"/>
      <c r="G361" s="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18"/>
      <c r="AR361" s="18"/>
      <c r="AS361" s="5"/>
    </row>
    <row r="362" spans="1:45" x14ac:dyDescent="0.25">
      <c r="A362" s="5"/>
      <c r="B362" s="5"/>
      <c r="C362" s="5"/>
      <c r="D362" s="5"/>
      <c r="E362" s="5"/>
      <c r="F362" s="5"/>
      <c r="G362" s="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18"/>
      <c r="AR362" s="18"/>
      <c r="AS362" s="5"/>
    </row>
    <row r="363" spans="1:45" x14ac:dyDescent="0.25">
      <c r="A363" s="5"/>
      <c r="B363" s="5"/>
      <c r="C363" s="5"/>
      <c r="D363" s="5"/>
      <c r="E363" s="5"/>
      <c r="F363" s="5"/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18"/>
      <c r="AR363" s="18"/>
      <c r="AS363" s="5"/>
    </row>
    <row r="364" spans="1:45" x14ac:dyDescent="0.25">
      <c r="A364" s="5"/>
      <c r="B364" s="5"/>
      <c r="C364" s="5"/>
      <c r="D364" s="5"/>
      <c r="E364" s="5"/>
      <c r="F364" s="5"/>
      <c r="G364" s="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18"/>
      <c r="AR364" s="18"/>
      <c r="AS364" s="5"/>
    </row>
    <row r="365" spans="1:45" x14ac:dyDescent="0.25">
      <c r="A365" s="5"/>
      <c r="B365" s="5"/>
      <c r="C365" s="5"/>
      <c r="D365" s="5"/>
      <c r="E365" s="5"/>
      <c r="F365" s="5"/>
      <c r="G365" s="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18"/>
      <c r="AR365" s="18"/>
      <c r="AS365" s="5"/>
    </row>
    <row r="366" spans="1:45" x14ac:dyDescent="0.25">
      <c r="A366" s="5"/>
      <c r="B366" s="5"/>
      <c r="C366" s="5"/>
      <c r="D366" s="5"/>
      <c r="E366" s="5"/>
      <c r="F366" s="5"/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18"/>
      <c r="AR366" s="18"/>
      <c r="AS366" s="5"/>
    </row>
    <row r="367" spans="1:45" x14ac:dyDescent="0.25">
      <c r="A367" s="5"/>
      <c r="B367" s="5"/>
      <c r="C367" s="5"/>
      <c r="D367" s="5"/>
      <c r="E367" s="5"/>
      <c r="F367" s="5"/>
      <c r="G367" s="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18"/>
      <c r="AR367" s="18"/>
      <c r="AS367" s="5"/>
    </row>
    <row r="368" spans="1:45" x14ac:dyDescent="0.25">
      <c r="A368" s="5"/>
      <c r="B368" s="5"/>
      <c r="C368" s="5"/>
      <c r="D368" s="5"/>
      <c r="E368" s="5"/>
      <c r="F368" s="5"/>
      <c r="G368" s="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18"/>
      <c r="AR368" s="18"/>
      <c r="AS368" s="5"/>
    </row>
    <row r="369" spans="1:45" x14ac:dyDescent="0.25">
      <c r="A369" s="5"/>
      <c r="B369" s="5"/>
      <c r="C369" s="5"/>
      <c r="D369" s="5"/>
      <c r="E369" s="5"/>
      <c r="F369" s="5"/>
      <c r="G369" s="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18"/>
      <c r="AR369" s="18"/>
      <c r="AS369" s="5"/>
    </row>
    <row r="370" spans="1:45" x14ac:dyDescent="0.25">
      <c r="A370" s="5"/>
      <c r="B370" s="5"/>
      <c r="C370" s="5"/>
      <c r="D370" s="5"/>
      <c r="E370" s="5"/>
      <c r="F370" s="5"/>
      <c r="G370" s="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18"/>
      <c r="AR370" s="18"/>
      <c r="AS370" s="5"/>
    </row>
    <row r="371" spans="1:45" x14ac:dyDescent="0.25">
      <c r="A371" s="5"/>
      <c r="B371" s="5"/>
      <c r="C371" s="5"/>
      <c r="D371" s="5"/>
      <c r="E371" s="5"/>
      <c r="F371" s="5"/>
      <c r="G371" s="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18"/>
      <c r="AR371" s="18"/>
      <c r="AS371" s="5"/>
    </row>
    <row r="372" spans="1:45" x14ac:dyDescent="0.25">
      <c r="A372" s="5"/>
      <c r="B372" s="5"/>
      <c r="C372" s="5"/>
      <c r="D372" s="5"/>
      <c r="E372" s="5"/>
      <c r="F372" s="5"/>
      <c r="G372" s="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18"/>
      <c r="AR372" s="18"/>
      <c r="AS372" s="5"/>
    </row>
    <row r="373" spans="1:45" x14ac:dyDescent="0.25">
      <c r="A373" s="5"/>
      <c r="B373" s="5"/>
      <c r="C373" s="5"/>
      <c r="D373" s="5"/>
      <c r="E373" s="5"/>
      <c r="F373" s="5"/>
      <c r="G373" s="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18"/>
      <c r="AR373" s="18"/>
      <c r="AS373" s="5"/>
    </row>
    <row r="374" spans="1:45" x14ac:dyDescent="0.25">
      <c r="A374" s="5"/>
      <c r="B374" s="5"/>
      <c r="C374" s="5"/>
      <c r="D374" s="5"/>
      <c r="E374" s="5"/>
      <c r="F374" s="5"/>
      <c r="G374" s="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18"/>
      <c r="AR374" s="18"/>
      <c r="AS374" s="5"/>
    </row>
    <row r="375" spans="1:45" x14ac:dyDescent="0.25">
      <c r="A375" s="5"/>
      <c r="B375" s="5"/>
      <c r="C375" s="5"/>
      <c r="D375" s="5"/>
      <c r="E375" s="5"/>
      <c r="F375" s="5"/>
      <c r="G375" s="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18"/>
      <c r="AR375" s="18"/>
      <c r="AS375" s="5"/>
    </row>
    <row r="376" spans="1:45" x14ac:dyDescent="0.25">
      <c r="A376" s="5"/>
      <c r="B376" s="5"/>
      <c r="C376" s="5"/>
      <c r="D376" s="5"/>
      <c r="E376" s="5"/>
      <c r="F376" s="5"/>
      <c r="G376" s="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18"/>
      <c r="AR376" s="18"/>
      <c r="AS376" s="5"/>
    </row>
    <row r="377" spans="1:45" x14ac:dyDescent="0.25">
      <c r="A377" s="5"/>
      <c r="B377" s="5"/>
      <c r="C377" s="5"/>
      <c r="D377" s="5"/>
      <c r="E377" s="5"/>
      <c r="F377" s="5"/>
      <c r="G377" s="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18"/>
      <c r="AR377" s="18"/>
      <c r="AS377" s="5"/>
    </row>
    <row r="378" spans="1:45" x14ac:dyDescent="0.25">
      <c r="A378" s="5"/>
      <c r="B378" s="5"/>
      <c r="C378" s="5"/>
      <c r="D378" s="5"/>
      <c r="E378" s="5"/>
      <c r="F378" s="5"/>
      <c r="G378" s="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18"/>
      <c r="AR378" s="18"/>
      <c r="AS378" s="5"/>
    </row>
    <row r="379" spans="1:45" x14ac:dyDescent="0.25">
      <c r="A379" s="5"/>
      <c r="B379" s="5"/>
      <c r="C379" s="5"/>
      <c r="D379" s="5"/>
      <c r="E379" s="5"/>
      <c r="F379" s="5"/>
      <c r="G379" s="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18"/>
      <c r="AR379" s="18"/>
      <c r="AS379" s="5"/>
    </row>
    <row r="380" spans="1:45" x14ac:dyDescent="0.25">
      <c r="A380" s="5"/>
      <c r="B380" s="5"/>
      <c r="C380" s="5"/>
      <c r="D380" s="5"/>
      <c r="E380" s="5"/>
      <c r="F380" s="5"/>
      <c r="G380" s="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18"/>
      <c r="AR380" s="18"/>
      <c r="AS380" s="5"/>
    </row>
    <row r="381" spans="1:45" x14ac:dyDescent="0.25">
      <c r="A381" s="5"/>
      <c r="B381" s="5"/>
      <c r="C381" s="5"/>
      <c r="D381" s="5"/>
      <c r="E381" s="5"/>
      <c r="F381" s="5"/>
      <c r="G381" s="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18"/>
      <c r="AR381" s="18"/>
      <c r="AS381" s="5"/>
    </row>
    <row r="382" spans="1:45" x14ac:dyDescent="0.25">
      <c r="A382" s="5"/>
      <c r="B382" s="5"/>
      <c r="C382" s="5"/>
      <c r="D382" s="5"/>
      <c r="E382" s="5"/>
      <c r="F382" s="5"/>
      <c r="G382" s="7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18"/>
      <c r="AR382" s="18"/>
      <c r="AS382" s="5"/>
    </row>
    <row r="383" spans="1:45" x14ac:dyDescent="0.25">
      <c r="A383" s="5"/>
      <c r="B383" s="5"/>
      <c r="C383" s="5"/>
      <c r="D383" s="5"/>
      <c r="E383" s="5"/>
      <c r="F383" s="5"/>
      <c r="G383" s="7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18"/>
      <c r="AR383" s="18"/>
      <c r="AS383" s="5"/>
    </row>
    <row r="384" spans="1:45" x14ac:dyDescent="0.25">
      <c r="A384" s="5"/>
      <c r="B384" s="5"/>
      <c r="C384" s="5"/>
      <c r="D384" s="5"/>
      <c r="E384" s="5"/>
      <c r="F384" s="5"/>
      <c r="G384" s="7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18"/>
      <c r="AR384" s="18"/>
      <c r="AS384" s="5"/>
    </row>
    <row r="385" spans="1:45" x14ac:dyDescent="0.25">
      <c r="A385" s="5"/>
      <c r="B385" s="5"/>
      <c r="C385" s="5"/>
      <c r="D385" s="5"/>
      <c r="E385" s="5"/>
      <c r="F385" s="5"/>
      <c r="G385" s="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18"/>
      <c r="AR385" s="18"/>
      <c r="AS385" s="5"/>
    </row>
    <row r="386" spans="1:45" x14ac:dyDescent="0.25">
      <c r="A386" s="5"/>
      <c r="B386" s="5"/>
      <c r="C386" s="5"/>
      <c r="D386" s="5"/>
      <c r="E386" s="5"/>
      <c r="F386" s="5"/>
      <c r="G386" s="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18"/>
      <c r="AR386" s="18"/>
      <c r="AS386" s="5"/>
    </row>
    <row r="387" spans="1:45" x14ac:dyDescent="0.25">
      <c r="A387" s="5"/>
      <c r="B387" s="5"/>
      <c r="C387" s="5"/>
      <c r="D387" s="5"/>
      <c r="E387" s="5"/>
      <c r="F387" s="5"/>
      <c r="G387" s="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18"/>
      <c r="AR387" s="18"/>
      <c r="AS387" s="5"/>
    </row>
    <row r="388" spans="1:45" x14ac:dyDescent="0.25">
      <c r="A388" s="5"/>
      <c r="B388" s="5"/>
      <c r="C388" s="5"/>
      <c r="D388" s="5"/>
      <c r="E388" s="5"/>
      <c r="F388" s="5"/>
      <c r="G388" s="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18"/>
      <c r="AR388" s="18"/>
      <c r="AS388" s="5"/>
    </row>
    <row r="389" spans="1:45" x14ac:dyDescent="0.25">
      <c r="A389" s="5"/>
      <c r="B389" s="5"/>
      <c r="C389" s="5"/>
      <c r="D389" s="5"/>
      <c r="E389" s="5"/>
      <c r="F389" s="5"/>
      <c r="G389" s="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18"/>
      <c r="AR389" s="18"/>
      <c r="AS389" s="5"/>
    </row>
    <row r="390" spans="1:45" x14ac:dyDescent="0.25">
      <c r="A390" s="5"/>
      <c r="B390" s="5"/>
      <c r="C390" s="5"/>
      <c r="D390" s="5"/>
      <c r="E390" s="5"/>
      <c r="F390" s="5"/>
      <c r="G390" s="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18"/>
      <c r="AR390" s="18"/>
      <c r="AS390" s="5"/>
    </row>
    <row r="391" spans="1:45" x14ac:dyDescent="0.25">
      <c r="A391" s="5"/>
      <c r="B391" s="5"/>
      <c r="C391" s="5"/>
      <c r="D391" s="5"/>
      <c r="E391" s="5"/>
      <c r="F391" s="5"/>
      <c r="G391" s="7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18"/>
      <c r="AR391" s="18"/>
      <c r="AS391" s="5"/>
    </row>
    <row r="392" spans="1:45" x14ac:dyDescent="0.25">
      <c r="A392" s="5"/>
      <c r="B392" s="5"/>
      <c r="C392" s="5"/>
      <c r="D392" s="5"/>
      <c r="E392" s="5"/>
      <c r="F392" s="5"/>
      <c r="G392" s="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18"/>
      <c r="AR392" s="18"/>
      <c r="AS392" s="5"/>
    </row>
    <row r="393" spans="1:45" x14ac:dyDescent="0.25">
      <c r="A393" s="5"/>
      <c r="B393" s="5"/>
      <c r="C393" s="5"/>
      <c r="D393" s="5"/>
      <c r="E393" s="5"/>
      <c r="F393" s="5"/>
      <c r="G393" s="7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18"/>
      <c r="AR393" s="18"/>
      <c r="AS393" s="5"/>
    </row>
    <row r="394" spans="1:45" x14ac:dyDescent="0.25">
      <c r="A394" s="5"/>
      <c r="B394" s="5"/>
      <c r="C394" s="5"/>
      <c r="D394" s="5"/>
      <c r="E394" s="5"/>
      <c r="F394" s="5"/>
      <c r="G394" s="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18"/>
      <c r="AR394" s="18"/>
      <c r="AS394" s="5"/>
    </row>
    <row r="395" spans="1:45" x14ac:dyDescent="0.25">
      <c r="A395" s="5"/>
      <c r="B395" s="5"/>
      <c r="C395" s="5"/>
      <c r="D395" s="5"/>
      <c r="E395" s="5"/>
      <c r="F395" s="5"/>
      <c r="G395" s="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18"/>
      <c r="AR395" s="18"/>
      <c r="AS395" s="5"/>
    </row>
    <row r="396" spans="1:45" x14ac:dyDescent="0.25">
      <c r="A396" s="5"/>
      <c r="B396" s="5"/>
      <c r="C396" s="5"/>
      <c r="D396" s="5"/>
      <c r="E396" s="5"/>
      <c r="F396" s="5"/>
      <c r="G396" s="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18"/>
      <c r="AR396" s="18"/>
      <c r="AS396" s="5"/>
    </row>
    <row r="397" spans="1:45" x14ac:dyDescent="0.25">
      <c r="A397" s="5"/>
      <c r="B397" s="5"/>
      <c r="C397" s="5"/>
      <c r="D397" s="5"/>
      <c r="E397" s="5"/>
      <c r="F397" s="5"/>
      <c r="G397" s="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18"/>
      <c r="AR397" s="18"/>
      <c r="AS397" s="5"/>
    </row>
    <row r="398" spans="1:45" x14ac:dyDescent="0.25">
      <c r="A398" s="5"/>
      <c r="B398" s="5"/>
      <c r="C398" s="5"/>
      <c r="D398" s="5"/>
      <c r="E398" s="5"/>
      <c r="F398" s="5"/>
      <c r="G398" s="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18"/>
      <c r="AR398" s="18"/>
      <c r="AS398" s="5"/>
    </row>
    <row r="399" spans="1:45" x14ac:dyDescent="0.25">
      <c r="A399" s="5"/>
      <c r="B399" s="5"/>
      <c r="C399" s="5"/>
      <c r="D399" s="5"/>
      <c r="E399" s="5"/>
      <c r="F399" s="5"/>
      <c r="G399" s="7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18"/>
      <c r="AR399" s="18"/>
      <c r="AS399" s="5"/>
    </row>
    <row r="400" spans="1:45" x14ac:dyDescent="0.25">
      <c r="A400" s="5"/>
      <c r="B400" s="5"/>
      <c r="C400" s="5"/>
      <c r="D400" s="5"/>
      <c r="E400" s="5"/>
      <c r="F400" s="5"/>
      <c r="G400" s="7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18"/>
      <c r="AR400" s="18"/>
      <c r="AS400" s="5"/>
    </row>
    <row r="401" spans="1:45" x14ac:dyDescent="0.25">
      <c r="A401" s="5"/>
      <c r="B401" s="5"/>
      <c r="C401" s="5"/>
      <c r="D401" s="5"/>
      <c r="E401" s="5"/>
      <c r="F401" s="5"/>
      <c r="G401" s="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18"/>
      <c r="AR401" s="18"/>
      <c r="AS401" s="5"/>
    </row>
    <row r="402" spans="1:45" x14ac:dyDescent="0.25">
      <c r="A402" s="5"/>
      <c r="B402" s="5"/>
      <c r="C402" s="5"/>
      <c r="D402" s="5"/>
      <c r="E402" s="5"/>
      <c r="F402" s="5"/>
      <c r="G402" s="7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18"/>
      <c r="AR402" s="18"/>
      <c r="AS402" s="5"/>
    </row>
    <row r="403" spans="1:45" x14ac:dyDescent="0.25">
      <c r="A403" s="5"/>
      <c r="B403" s="5"/>
      <c r="C403" s="5"/>
      <c r="D403" s="5"/>
      <c r="E403" s="5"/>
      <c r="F403" s="5"/>
      <c r="G403" s="7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18"/>
      <c r="AR403" s="18"/>
      <c r="AS403" s="5"/>
    </row>
    <row r="404" spans="1:45" x14ac:dyDescent="0.25">
      <c r="A404" s="5"/>
      <c r="B404" s="5"/>
      <c r="C404" s="5"/>
      <c r="D404" s="5"/>
      <c r="E404" s="5"/>
      <c r="F404" s="5"/>
      <c r="G404" s="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18"/>
      <c r="AR404" s="18"/>
      <c r="AS404" s="5"/>
    </row>
    <row r="405" spans="1:45" x14ac:dyDescent="0.25">
      <c r="A405" s="5"/>
      <c r="B405" s="5"/>
      <c r="C405" s="5"/>
      <c r="D405" s="5"/>
      <c r="E405" s="5"/>
      <c r="F405" s="5"/>
      <c r="G405" s="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18"/>
      <c r="AR405" s="18"/>
      <c r="AS405" s="5"/>
    </row>
    <row r="406" spans="1:45" x14ac:dyDescent="0.25">
      <c r="A406" s="5"/>
      <c r="B406" s="5"/>
      <c r="C406" s="5"/>
      <c r="D406" s="5"/>
      <c r="E406" s="5"/>
      <c r="F406" s="5"/>
      <c r="G406" s="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18"/>
      <c r="AR406" s="18"/>
      <c r="AS406" s="5"/>
    </row>
    <row r="407" spans="1:45" x14ac:dyDescent="0.25">
      <c r="A407" s="5"/>
      <c r="B407" s="5"/>
      <c r="C407" s="5"/>
      <c r="D407" s="5"/>
      <c r="E407" s="5"/>
      <c r="F407" s="5"/>
      <c r="G407" s="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18"/>
      <c r="AR407" s="18"/>
      <c r="AS407" s="5"/>
    </row>
    <row r="408" spans="1:45" x14ac:dyDescent="0.25">
      <c r="A408" s="5"/>
      <c r="B408" s="5"/>
      <c r="C408" s="5"/>
      <c r="D408" s="5"/>
      <c r="E408" s="5"/>
      <c r="F408" s="5"/>
      <c r="G408" s="7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18"/>
      <c r="AR408" s="18"/>
      <c r="AS408" s="5"/>
    </row>
    <row r="409" spans="1:45" x14ac:dyDescent="0.25">
      <c r="A409" s="5"/>
      <c r="B409" s="5"/>
      <c r="C409" s="5"/>
      <c r="D409" s="5"/>
      <c r="E409" s="5"/>
      <c r="F409" s="5"/>
      <c r="G409" s="7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18"/>
      <c r="AR409" s="18"/>
      <c r="AS409" s="5"/>
    </row>
    <row r="410" spans="1:45" x14ac:dyDescent="0.25">
      <c r="A410" s="5"/>
      <c r="B410" s="5"/>
      <c r="C410" s="5"/>
      <c r="D410" s="5"/>
      <c r="E410" s="5"/>
      <c r="F410" s="5"/>
      <c r="G410" s="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18"/>
      <c r="AR410" s="18"/>
      <c r="AS410" s="5"/>
    </row>
    <row r="411" spans="1:45" x14ac:dyDescent="0.25">
      <c r="A411" s="5"/>
      <c r="B411" s="5"/>
      <c r="C411" s="5"/>
      <c r="D411" s="5"/>
      <c r="E411" s="5"/>
      <c r="F411" s="5"/>
      <c r="G411" s="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18"/>
      <c r="AR411" s="18"/>
      <c r="AS411" s="5"/>
    </row>
    <row r="412" spans="1:45" x14ac:dyDescent="0.25">
      <c r="A412" s="5"/>
      <c r="B412" s="5"/>
      <c r="C412" s="5"/>
      <c r="D412" s="5"/>
      <c r="E412" s="5"/>
      <c r="F412" s="5"/>
      <c r="G412" s="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18"/>
      <c r="AR412" s="18"/>
      <c r="AS412" s="5"/>
    </row>
    <row r="413" spans="1:45" x14ac:dyDescent="0.25">
      <c r="A413" s="5"/>
      <c r="B413" s="5"/>
      <c r="C413" s="5"/>
      <c r="D413" s="5"/>
      <c r="E413" s="5"/>
      <c r="F413" s="5"/>
      <c r="G413" s="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18"/>
      <c r="AR413" s="18"/>
      <c r="AS413" s="5"/>
    </row>
    <row r="414" spans="1:45" x14ac:dyDescent="0.25">
      <c r="A414" s="5"/>
      <c r="B414" s="5"/>
      <c r="C414" s="5"/>
      <c r="D414" s="5"/>
      <c r="E414" s="5"/>
      <c r="F414" s="5"/>
      <c r="G414" s="7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18"/>
      <c r="AR414" s="18"/>
      <c r="AS414" s="5"/>
    </row>
    <row r="415" spans="1:45" x14ac:dyDescent="0.25">
      <c r="A415" s="5"/>
      <c r="B415" s="5"/>
      <c r="C415" s="5"/>
      <c r="D415" s="5"/>
      <c r="E415" s="5"/>
      <c r="F415" s="5"/>
      <c r="G415" s="7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18"/>
      <c r="AR415" s="18"/>
      <c r="AS415" s="5"/>
    </row>
    <row r="416" spans="1:45" x14ac:dyDescent="0.25">
      <c r="A416" s="5"/>
      <c r="B416" s="5"/>
      <c r="C416" s="5"/>
      <c r="D416" s="5"/>
      <c r="E416" s="5"/>
      <c r="F416" s="5"/>
      <c r="G416" s="7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18"/>
      <c r="AR416" s="18"/>
      <c r="AS416" s="5"/>
    </row>
    <row r="417" spans="1:45" x14ac:dyDescent="0.25">
      <c r="A417" s="5"/>
      <c r="B417" s="5"/>
      <c r="C417" s="5"/>
      <c r="D417" s="5"/>
      <c r="E417" s="5"/>
      <c r="F417" s="5"/>
      <c r="G417" s="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18"/>
      <c r="AR417" s="18"/>
      <c r="AS417" s="5"/>
    </row>
    <row r="418" spans="1:45" x14ac:dyDescent="0.25">
      <c r="A418" s="5"/>
      <c r="B418" s="5"/>
      <c r="C418" s="5"/>
      <c r="D418" s="5"/>
      <c r="E418" s="5"/>
      <c r="F418" s="5"/>
      <c r="G418" s="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18"/>
      <c r="AR418" s="18"/>
      <c r="AS418" s="5"/>
    </row>
    <row r="419" spans="1:45" x14ac:dyDescent="0.25">
      <c r="A419" s="5"/>
      <c r="B419" s="5"/>
      <c r="C419" s="5"/>
      <c r="D419" s="5"/>
      <c r="E419" s="5"/>
      <c r="F419" s="5"/>
      <c r="G419" s="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18"/>
      <c r="AR419" s="18"/>
      <c r="AS419" s="5"/>
    </row>
    <row r="420" spans="1:45" x14ac:dyDescent="0.25">
      <c r="A420" s="5"/>
      <c r="B420" s="5"/>
      <c r="C420" s="5"/>
      <c r="D420" s="5"/>
      <c r="E420" s="5"/>
      <c r="F420" s="5"/>
      <c r="G420" s="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18"/>
      <c r="AR420" s="18"/>
      <c r="AS420" s="5"/>
    </row>
    <row r="421" spans="1:45" x14ac:dyDescent="0.25">
      <c r="A421" s="5"/>
      <c r="B421" s="5"/>
      <c r="C421" s="5"/>
      <c r="D421" s="5"/>
      <c r="E421" s="5"/>
      <c r="F421" s="5"/>
      <c r="G421" s="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18"/>
      <c r="AR421" s="18"/>
      <c r="AS421" s="5"/>
    </row>
    <row r="422" spans="1:45" x14ac:dyDescent="0.25">
      <c r="A422" s="5"/>
      <c r="B422" s="5"/>
      <c r="C422" s="5"/>
      <c r="D422" s="5"/>
      <c r="E422" s="5"/>
      <c r="F422" s="5"/>
      <c r="G422" s="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18"/>
      <c r="AR422" s="18"/>
      <c r="AS422" s="5"/>
    </row>
    <row r="423" spans="1:45" x14ac:dyDescent="0.25">
      <c r="A423" s="5"/>
      <c r="B423" s="5"/>
      <c r="C423" s="5"/>
      <c r="D423" s="5"/>
      <c r="E423" s="5"/>
      <c r="F423" s="5"/>
      <c r="G423" s="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18"/>
      <c r="AR423" s="18"/>
      <c r="AS423" s="5"/>
    </row>
    <row r="424" spans="1:45" x14ac:dyDescent="0.25">
      <c r="A424" s="5"/>
      <c r="B424" s="5"/>
      <c r="C424" s="5"/>
      <c r="D424" s="5"/>
      <c r="E424" s="5"/>
      <c r="F424" s="5"/>
      <c r="G424" s="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18"/>
      <c r="AR424" s="18"/>
      <c r="AS424" s="5"/>
    </row>
    <row r="425" spans="1:45" x14ac:dyDescent="0.25">
      <c r="A425" s="5"/>
      <c r="B425" s="5"/>
      <c r="C425" s="5"/>
      <c r="D425" s="5"/>
      <c r="E425" s="5"/>
      <c r="F425" s="5"/>
      <c r="G425" s="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18"/>
      <c r="AR425" s="18"/>
      <c r="AS425" s="5"/>
    </row>
    <row r="426" spans="1:45" x14ac:dyDescent="0.25">
      <c r="A426" s="5"/>
      <c r="B426" s="5"/>
      <c r="C426" s="5"/>
      <c r="D426" s="5"/>
      <c r="E426" s="5"/>
      <c r="F426" s="5"/>
      <c r="G426" s="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18"/>
      <c r="AR426" s="18"/>
      <c r="AS426" s="5"/>
    </row>
    <row r="427" spans="1:45" x14ac:dyDescent="0.25">
      <c r="A427" s="5"/>
      <c r="B427" s="5"/>
      <c r="C427" s="5"/>
      <c r="D427" s="5"/>
      <c r="E427" s="5"/>
      <c r="F427" s="5"/>
      <c r="G427" s="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18"/>
      <c r="AR427" s="18"/>
      <c r="AS427" s="5"/>
    </row>
    <row r="428" spans="1:45" x14ac:dyDescent="0.25">
      <c r="A428" s="5"/>
      <c r="B428" s="5"/>
      <c r="C428" s="5"/>
      <c r="D428" s="5"/>
      <c r="E428" s="5"/>
      <c r="F428" s="5"/>
      <c r="G428" s="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18"/>
      <c r="AR428" s="18"/>
      <c r="AS428" s="5"/>
    </row>
    <row r="429" spans="1:45" x14ac:dyDescent="0.25">
      <c r="A429" s="5"/>
      <c r="B429" s="5"/>
      <c r="C429" s="5"/>
      <c r="D429" s="5"/>
      <c r="E429" s="5"/>
      <c r="F429" s="5"/>
      <c r="G429" s="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18"/>
      <c r="AR429" s="18"/>
      <c r="AS429" s="5"/>
    </row>
    <row r="430" spans="1:45" x14ac:dyDescent="0.25">
      <c r="A430" s="5"/>
      <c r="B430" s="5"/>
      <c r="C430" s="5"/>
      <c r="D430" s="5"/>
      <c r="E430" s="5"/>
      <c r="F430" s="5"/>
      <c r="G430" s="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18"/>
      <c r="AR430" s="18"/>
      <c r="AS430" s="5"/>
    </row>
    <row r="431" spans="1:45" x14ac:dyDescent="0.25">
      <c r="A431" s="5"/>
      <c r="B431" s="5"/>
      <c r="C431" s="5"/>
      <c r="D431" s="5"/>
      <c r="E431" s="5"/>
      <c r="F431" s="5"/>
      <c r="G431" s="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18"/>
      <c r="AR431" s="18"/>
      <c r="AS431" s="5"/>
    </row>
    <row r="432" spans="1:45" x14ac:dyDescent="0.25">
      <c r="A432" s="5"/>
      <c r="B432" s="5"/>
      <c r="C432" s="5"/>
      <c r="D432" s="5"/>
      <c r="E432" s="5"/>
      <c r="F432" s="5"/>
      <c r="G432" s="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18"/>
      <c r="AR432" s="18"/>
      <c r="AS432" s="5"/>
    </row>
    <row r="433" spans="1:45" x14ac:dyDescent="0.25">
      <c r="A433" s="5"/>
      <c r="B433" s="5"/>
      <c r="C433" s="5"/>
      <c r="D433" s="5"/>
      <c r="E433" s="5"/>
      <c r="F433" s="5"/>
      <c r="G433" s="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18"/>
      <c r="AR433" s="18"/>
      <c r="AS433" s="5"/>
    </row>
    <row r="434" spans="1:45" x14ac:dyDescent="0.25">
      <c r="A434" s="5"/>
      <c r="B434" s="5"/>
      <c r="C434" s="5"/>
      <c r="D434" s="5"/>
      <c r="E434" s="5"/>
      <c r="F434" s="5"/>
      <c r="G434" s="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18"/>
      <c r="AR434" s="18"/>
      <c r="AS434" s="5"/>
    </row>
    <row r="435" spans="1:45" x14ac:dyDescent="0.25">
      <c r="A435" s="5"/>
      <c r="B435" s="5"/>
      <c r="C435" s="5"/>
      <c r="D435" s="5"/>
      <c r="E435" s="5"/>
      <c r="F435" s="5"/>
      <c r="G435" s="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18"/>
      <c r="AR435" s="18"/>
      <c r="AS435" s="5"/>
    </row>
    <row r="436" spans="1:45" x14ac:dyDescent="0.25">
      <c r="A436" s="5"/>
      <c r="B436" s="5"/>
      <c r="C436" s="5"/>
      <c r="D436" s="5"/>
      <c r="E436" s="5"/>
      <c r="F436" s="5"/>
      <c r="G436" s="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18"/>
      <c r="AR436" s="18"/>
      <c r="AS436" s="5"/>
    </row>
    <row r="437" spans="1:45" x14ac:dyDescent="0.25">
      <c r="A437" s="5"/>
      <c r="B437" s="5"/>
      <c r="C437" s="5"/>
      <c r="D437" s="5"/>
      <c r="E437" s="5"/>
      <c r="F437" s="5"/>
      <c r="G437" s="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18"/>
      <c r="AR437" s="18"/>
      <c r="AS437" s="5"/>
    </row>
    <row r="438" spans="1:45" x14ac:dyDescent="0.25">
      <c r="A438" s="5"/>
      <c r="B438" s="5"/>
      <c r="C438" s="5"/>
      <c r="D438" s="5"/>
      <c r="E438" s="5"/>
      <c r="F438" s="5"/>
      <c r="G438" s="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18"/>
      <c r="AR438" s="18"/>
      <c r="AS438" s="5"/>
    </row>
    <row r="439" spans="1:45" x14ac:dyDescent="0.25">
      <c r="A439" s="5"/>
      <c r="B439" s="5"/>
      <c r="C439" s="5"/>
      <c r="D439" s="5"/>
      <c r="E439" s="5"/>
      <c r="F439" s="5"/>
      <c r="G439" s="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18"/>
      <c r="AR439" s="18"/>
      <c r="AS439" s="5"/>
    </row>
    <row r="440" spans="1:45" x14ac:dyDescent="0.25">
      <c r="A440" s="5"/>
      <c r="B440" s="5"/>
      <c r="C440" s="5"/>
      <c r="D440" s="5"/>
      <c r="E440" s="5"/>
      <c r="F440" s="5"/>
      <c r="G440" s="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18"/>
      <c r="AR440" s="18"/>
      <c r="AS440" s="5"/>
    </row>
    <row r="441" spans="1:45" x14ac:dyDescent="0.25">
      <c r="A441" s="5"/>
      <c r="B441" s="5"/>
      <c r="C441" s="5"/>
      <c r="D441" s="5"/>
      <c r="E441" s="5"/>
      <c r="F441" s="5"/>
      <c r="G441" s="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18"/>
      <c r="AR441" s="18"/>
      <c r="AS441" s="5"/>
    </row>
    <row r="442" spans="1:45" x14ac:dyDescent="0.25">
      <c r="A442" s="5"/>
      <c r="B442" s="5"/>
      <c r="C442" s="5"/>
      <c r="D442" s="5"/>
      <c r="E442" s="5"/>
      <c r="F442" s="5"/>
      <c r="G442" s="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18"/>
      <c r="AR442" s="18"/>
      <c r="AS442" s="5"/>
    </row>
    <row r="443" spans="1:45" x14ac:dyDescent="0.25">
      <c r="A443" s="5"/>
      <c r="B443" s="5"/>
      <c r="C443" s="5"/>
      <c r="D443" s="5"/>
      <c r="E443" s="5"/>
      <c r="F443" s="5"/>
      <c r="G443" s="7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18"/>
      <c r="AR443" s="18"/>
      <c r="AS443" s="5"/>
    </row>
    <row r="444" spans="1:45" x14ac:dyDescent="0.25">
      <c r="A444" s="5"/>
      <c r="B444" s="5"/>
      <c r="C444" s="5"/>
      <c r="D444" s="5"/>
      <c r="E444" s="5"/>
      <c r="F444" s="5"/>
      <c r="G444" s="7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18"/>
      <c r="AR444" s="18"/>
      <c r="AS444" s="5"/>
    </row>
    <row r="445" spans="1:45" x14ac:dyDescent="0.25">
      <c r="A445" s="5"/>
      <c r="B445" s="5"/>
      <c r="C445" s="5"/>
      <c r="D445" s="5"/>
      <c r="E445" s="5"/>
      <c r="F445" s="5"/>
      <c r="G445" s="7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18"/>
      <c r="AR445" s="18"/>
      <c r="AS445" s="5"/>
    </row>
    <row r="446" spans="1:45" x14ac:dyDescent="0.25">
      <c r="A446" s="5"/>
      <c r="B446" s="5"/>
      <c r="C446" s="5"/>
      <c r="D446" s="5"/>
      <c r="E446" s="5"/>
      <c r="F446" s="5"/>
      <c r="G446" s="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18"/>
      <c r="AR446" s="18"/>
      <c r="AS446" s="5"/>
    </row>
    <row r="447" spans="1:45" x14ac:dyDescent="0.25">
      <c r="A447" s="5"/>
      <c r="B447" s="5"/>
      <c r="C447" s="5"/>
      <c r="D447" s="5"/>
      <c r="E447" s="5"/>
      <c r="F447" s="5"/>
      <c r="G447" s="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18"/>
      <c r="AR447" s="18"/>
      <c r="AS447" s="5"/>
    </row>
    <row r="448" spans="1:45" x14ac:dyDescent="0.25">
      <c r="A448" s="5"/>
      <c r="B448" s="5"/>
      <c r="C448" s="5"/>
      <c r="D448" s="5"/>
      <c r="E448" s="5"/>
      <c r="F448" s="5"/>
      <c r="G448" s="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18"/>
      <c r="AR448" s="18"/>
      <c r="AS448" s="5"/>
    </row>
    <row r="449" spans="1:45" x14ac:dyDescent="0.25">
      <c r="A449" s="5"/>
      <c r="B449" s="5"/>
      <c r="C449" s="5"/>
      <c r="D449" s="5"/>
      <c r="E449" s="5"/>
      <c r="F449" s="5"/>
      <c r="G449" s="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18"/>
      <c r="AR449" s="18"/>
      <c r="AS449" s="5"/>
    </row>
    <row r="450" spans="1:45" x14ac:dyDescent="0.25">
      <c r="A450" s="5"/>
      <c r="B450" s="5"/>
      <c r="C450" s="5"/>
      <c r="D450" s="5"/>
      <c r="E450" s="5"/>
      <c r="F450" s="5"/>
      <c r="G450" s="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18"/>
      <c r="AR450" s="18"/>
      <c r="AS450" s="5"/>
    </row>
    <row r="451" spans="1:45" x14ac:dyDescent="0.25">
      <c r="A451" s="5"/>
      <c r="B451" s="5"/>
      <c r="C451" s="5"/>
      <c r="D451" s="5"/>
      <c r="E451" s="5"/>
      <c r="F451" s="5"/>
      <c r="G451" s="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18"/>
      <c r="AR451" s="18"/>
      <c r="AS451" s="5"/>
    </row>
    <row r="452" spans="1:45" x14ac:dyDescent="0.25">
      <c r="A452" s="5"/>
      <c r="B452" s="5"/>
      <c r="C452" s="5"/>
      <c r="D452" s="5"/>
      <c r="E452" s="5"/>
      <c r="F452" s="5"/>
      <c r="G452" s="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18"/>
      <c r="AR452" s="18"/>
      <c r="AS452" s="5"/>
    </row>
    <row r="453" spans="1:45" x14ac:dyDescent="0.25">
      <c r="A453" s="5"/>
      <c r="B453" s="5"/>
      <c r="C453" s="5"/>
      <c r="D453" s="5"/>
      <c r="E453" s="5"/>
      <c r="F453" s="5"/>
      <c r="G453" s="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18"/>
      <c r="AR453" s="18"/>
      <c r="AS453" s="5"/>
    </row>
    <row r="454" spans="1:45" x14ac:dyDescent="0.25">
      <c r="A454" s="5"/>
      <c r="B454" s="5"/>
      <c r="C454" s="5"/>
      <c r="D454" s="5"/>
      <c r="E454" s="5"/>
      <c r="F454" s="5"/>
      <c r="G454" s="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18"/>
      <c r="AR454" s="18"/>
      <c r="AS454" s="5"/>
    </row>
    <row r="455" spans="1:45" x14ac:dyDescent="0.25">
      <c r="A455" s="5"/>
      <c r="B455" s="5"/>
      <c r="C455" s="5"/>
      <c r="D455" s="5"/>
      <c r="E455" s="5"/>
      <c r="F455" s="5"/>
      <c r="G455" s="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18"/>
      <c r="AR455" s="18"/>
      <c r="AS455" s="5"/>
    </row>
    <row r="456" spans="1:45" x14ac:dyDescent="0.25">
      <c r="A456" s="5"/>
      <c r="B456" s="5"/>
      <c r="C456" s="5"/>
      <c r="D456" s="5"/>
      <c r="E456" s="5"/>
      <c r="F456" s="5"/>
      <c r="G456" s="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18"/>
      <c r="AR456" s="18"/>
      <c r="AS456" s="5"/>
    </row>
    <row r="457" spans="1:45" x14ac:dyDescent="0.25">
      <c r="A457" s="5"/>
      <c r="B457" s="5"/>
      <c r="C457" s="5"/>
      <c r="D457" s="5"/>
      <c r="E457" s="5"/>
      <c r="F457" s="5"/>
      <c r="G457" s="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18"/>
      <c r="AR457" s="18"/>
      <c r="AS457" s="5"/>
    </row>
    <row r="458" spans="1:45" x14ac:dyDescent="0.25">
      <c r="A458" s="5"/>
      <c r="B458" s="5"/>
      <c r="C458" s="5"/>
      <c r="D458" s="5"/>
      <c r="E458" s="5"/>
      <c r="F458" s="5"/>
      <c r="G458" s="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18"/>
      <c r="AR458" s="18"/>
      <c r="AS458" s="5"/>
    </row>
    <row r="459" spans="1:45" x14ac:dyDescent="0.25">
      <c r="A459" s="5"/>
      <c r="B459" s="5"/>
      <c r="C459" s="5"/>
      <c r="D459" s="5"/>
      <c r="E459" s="5"/>
      <c r="F459" s="5"/>
      <c r="G459" s="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18"/>
      <c r="AR459" s="18"/>
      <c r="AS459" s="5"/>
    </row>
    <row r="460" spans="1:45" x14ac:dyDescent="0.25">
      <c r="A460" s="5"/>
      <c r="B460" s="5"/>
      <c r="C460" s="5"/>
      <c r="D460" s="5"/>
      <c r="E460" s="5"/>
      <c r="F460" s="5"/>
      <c r="G460" s="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18"/>
      <c r="AR460" s="18"/>
      <c r="AS460" s="5"/>
    </row>
    <row r="461" spans="1:45" x14ac:dyDescent="0.25">
      <c r="A461" s="5"/>
      <c r="B461" s="5"/>
      <c r="C461" s="5"/>
      <c r="D461" s="5"/>
      <c r="E461" s="5"/>
      <c r="F461" s="5"/>
      <c r="G461" s="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18"/>
      <c r="AR461" s="18"/>
      <c r="AS461" s="5"/>
    </row>
    <row r="462" spans="1:45" x14ac:dyDescent="0.25">
      <c r="A462" s="5"/>
      <c r="B462" s="5"/>
      <c r="C462" s="5"/>
      <c r="D462" s="5"/>
      <c r="E462" s="5"/>
      <c r="F462" s="5"/>
      <c r="G462" s="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18"/>
      <c r="AR462" s="18"/>
      <c r="AS462" s="5"/>
    </row>
    <row r="463" spans="1:45" x14ac:dyDescent="0.25">
      <c r="A463" s="5"/>
      <c r="B463" s="5"/>
      <c r="C463" s="5"/>
      <c r="D463" s="5"/>
      <c r="E463" s="5"/>
      <c r="F463" s="5"/>
      <c r="G463" s="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18"/>
      <c r="AR463" s="18"/>
      <c r="AS463" s="5"/>
    </row>
    <row r="464" spans="1:45" x14ac:dyDescent="0.25">
      <c r="A464" s="5"/>
      <c r="B464" s="5"/>
      <c r="C464" s="5"/>
      <c r="D464" s="5"/>
      <c r="E464" s="5"/>
      <c r="F464" s="5"/>
      <c r="G464" s="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18"/>
      <c r="AR464" s="18"/>
      <c r="AS464" s="5"/>
    </row>
    <row r="465" spans="1:45" x14ac:dyDescent="0.25">
      <c r="A465" s="5"/>
      <c r="B465" s="5"/>
      <c r="C465" s="5"/>
      <c r="D465" s="5"/>
      <c r="E465" s="5"/>
      <c r="F465" s="5"/>
      <c r="G465" s="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18"/>
      <c r="AR465" s="18"/>
      <c r="AS465" s="5"/>
    </row>
    <row r="466" spans="1:45" x14ac:dyDescent="0.25">
      <c r="A466" s="5"/>
      <c r="B466" s="5"/>
      <c r="C466" s="5"/>
      <c r="D466" s="5"/>
      <c r="E466" s="5"/>
      <c r="F466" s="5"/>
      <c r="G466" s="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18"/>
      <c r="AR466" s="18"/>
      <c r="AS466" s="5"/>
    </row>
    <row r="467" spans="1:45" x14ac:dyDescent="0.25">
      <c r="A467" s="5"/>
      <c r="B467" s="5"/>
      <c r="C467" s="5"/>
      <c r="D467" s="5"/>
      <c r="E467" s="5"/>
      <c r="F467" s="5"/>
      <c r="G467" s="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18"/>
      <c r="AR467" s="18"/>
      <c r="AS467" s="5"/>
    </row>
    <row r="468" spans="1:45" x14ac:dyDescent="0.25">
      <c r="A468" s="5"/>
      <c r="B468" s="5"/>
      <c r="C468" s="5"/>
      <c r="D468" s="5"/>
      <c r="E468" s="5"/>
      <c r="F468" s="5"/>
      <c r="G468" s="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18"/>
      <c r="AR468" s="18"/>
      <c r="AS468" s="5"/>
    </row>
    <row r="469" spans="1:45" x14ac:dyDescent="0.25">
      <c r="A469" s="5"/>
      <c r="B469" s="5"/>
      <c r="C469" s="5"/>
      <c r="D469" s="5"/>
      <c r="E469" s="5"/>
      <c r="F469" s="5"/>
      <c r="G469" s="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18"/>
      <c r="AR469" s="18"/>
      <c r="AS469" s="5"/>
    </row>
    <row r="470" spans="1:45" x14ac:dyDescent="0.25">
      <c r="A470" s="5"/>
      <c r="B470" s="5"/>
      <c r="C470" s="5"/>
      <c r="D470" s="5"/>
      <c r="E470" s="5"/>
      <c r="F470" s="5"/>
      <c r="G470" s="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18"/>
      <c r="AR470" s="18"/>
      <c r="AS470" s="5"/>
    </row>
    <row r="471" spans="1:45" x14ac:dyDescent="0.25">
      <c r="A471" s="5"/>
      <c r="B471" s="5"/>
      <c r="C471" s="5"/>
      <c r="D471" s="5"/>
      <c r="E471" s="5"/>
      <c r="F471" s="5"/>
      <c r="G471" s="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18"/>
      <c r="AR471" s="18"/>
      <c r="AS471" s="5"/>
    </row>
    <row r="472" spans="1:45" x14ac:dyDescent="0.25">
      <c r="A472" s="5"/>
      <c r="B472" s="5"/>
      <c r="C472" s="5"/>
      <c r="D472" s="5"/>
      <c r="E472" s="5"/>
      <c r="F472" s="5"/>
      <c r="G472" s="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18"/>
      <c r="AR472" s="18"/>
      <c r="AS472" s="5"/>
    </row>
    <row r="473" spans="1:45" x14ac:dyDescent="0.25">
      <c r="A473" s="5"/>
      <c r="B473" s="5"/>
      <c r="C473" s="5"/>
      <c r="D473" s="5"/>
      <c r="E473" s="5"/>
      <c r="F473" s="5"/>
      <c r="G473" s="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18"/>
      <c r="AR473" s="18"/>
      <c r="AS473" s="5"/>
    </row>
    <row r="474" spans="1:45" x14ac:dyDescent="0.25">
      <c r="A474" s="5"/>
      <c r="B474" s="5"/>
      <c r="C474" s="5"/>
      <c r="D474" s="5"/>
      <c r="E474" s="5"/>
      <c r="F474" s="5"/>
      <c r="G474" s="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18"/>
      <c r="AR474" s="18"/>
      <c r="AS474" s="5"/>
    </row>
    <row r="475" spans="1:45" x14ac:dyDescent="0.25">
      <c r="A475" s="5"/>
      <c r="B475" s="5"/>
      <c r="C475" s="5"/>
      <c r="D475" s="5"/>
      <c r="E475" s="5"/>
      <c r="F475" s="5"/>
      <c r="G475" s="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18"/>
      <c r="AR475" s="18"/>
      <c r="AS475" s="5"/>
    </row>
    <row r="476" spans="1:45" x14ac:dyDescent="0.25">
      <c r="A476" s="5"/>
      <c r="B476" s="5"/>
      <c r="C476" s="5"/>
      <c r="D476" s="5"/>
      <c r="E476" s="5"/>
      <c r="F476" s="5"/>
      <c r="G476" s="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18"/>
      <c r="AR476" s="18"/>
      <c r="AS476" s="5"/>
    </row>
    <row r="477" spans="1:45" x14ac:dyDescent="0.25">
      <c r="A477" s="5"/>
      <c r="B477" s="5"/>
      <c r="C477" s="5"/>
      <c r="D477" s="5"/>
      <c r="E477" s="5"/>
      <c r="F477" s="5"/>
      <c r="G477" s="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18"/>
      <c r="AR477" s="18"/>
      <c r="AS477" s="5"/>
    </row>
    <row r="478" spans="1:45" x14ac:dyDescent="0.25">
      <c r="A478" s="5"/>
      <c r="B478" s="5"/>
      <c r="C478" s="5"/>
      <c r="D478" s="5"/>
      <c r="E478" s="5"/>
      <c r="F478" s="5"/>
      <c r="G478" s="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18"/>
      <c r="AR478" s="18"/>
      <c r="AS478" s="5"/>
    </row>
    <row r="479" spans="1:45" x14ac:dyDescent="0.25">
      <c r="A479" s="5"/>
      <c r="B479" s="5"/>
      <c r="C479" s="5"/>
      <c r="D479" s="5"/>
      <c r="E479" s="5"/>
      <c r="F479" s="5"/>
      <c r="G479" s="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18"/>
      <c r="AR479" s="18"/>
      <c r="AS479" s="5"/>
    </row>
    <row r="480" spans="1:45" x14ac:dyDescent="0.25">
      <c r="A480" s="5"/>
      <c r="B480" s="5"/>
      <c r="C480" s="5"/>
      <c r="D480" s="5"/>
      <c r="E480" s="5"/>
      <c r="F480" s="5"/>
      <c r="G480" s="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18"/>
      <c r="AR480" s="18"/>
      <c r="AS480" s="5"/>
    </row>
    <row r="481" spans="1:45" x14ac:dyDescent="0.25">
      <c r="A481" s="5"/>
      <c r="B481" s="5"/>
      <c r="C481" s="5"/>
      <c r="D481" s="5"/>
      <c r="E481" s="5"/>
      <c r="F481" s="5"/>
      <c r="G481" s="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18"/>
      <c r="AR481" s="18"/>
      <c r="AS481" s="5"/>
    </row>
    <row r="482" spans="1:45" x14ac:dyDescent="0.25">
      <c r="A482" s="5"/>
      <c r="B482" s="5"/>
      <c r="C482" s="5"/>
      <c r="D482" s="5"/>
      <c r="E482" s="5"/>
      <c r="F482" s="5"/>
      <c r="G482" s="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18"/>
      <c r="AR482" s="18"/>
      <c r="AS482" s="5"/>
    </row>
    <row r="483" spans="1:45" x14ac:dyDescent="0.25">
      <c r="A483" s="5"/>
      <c r="B483" s="5"/>
      <c r="C483" s="5"/>
      <c r="D483" s="5"/>
      <c r="E483" s="5"/>
      <c r="F483" s="5"/>
      <c r="G483" s="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18"/>
      <c r="AR483" s="18"/>
      <c r="AS483" s="5"/>
    </row>
    <row r="484" spans="1:45" x14ac:dyDescent="0.25">
      <c r="A484" s="5"/>
      <c r="B484" s="5"/>
      <c r="C484" s="5"/>
      <c r="D484" s="5"/>
      <c r="E484" s="5"/>
      <c r="F484" s="5"/>
      <c r="G484" s="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18"/>
      <c r="AR484" s="18"/>
      <c r="AS484" s="5"/>
    </row>
    <row r="485" spans="1:45" x14ac:dyDescent="0.25">
      <c r="A485" s="5"/>
      <c r="B485" s="5"/>
      <c r="C485" s="5"/>
      <c r="D485" s="5"/>
      <c r="E485" s="5"/>
      <c r="F485" s="5"/>
      <c r="G485" s="7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18"/>
      <c r="AR485" s="18"/>
      <c r="AS485" s="5"/>
    </row>
    <row r="486" spans="1:45" x14ac:dyDescent="0.25">
      <c r="A486" s="5"/>
      <c r="B486" s="5"/>
      <c r="C486" s="5"/>
      <c r="D486" s="5"/>
      <c r="E486" s="5"/>
      <c r="F486" s="5"/>
      <c r="G486" s="7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18"/>
      <c r="AR486" s="18"/>
      <c r="AS486" s="5"/>
    </row>
    <row r="487" spans="1:45" x14ac:dyDescent="0.25">
      <c r="A487" s="5"/>
      <c r="B487" s="5"/>
      <c r="C487" s="5"/>
      <c r="D487" s="5"/>
      <c r="E487" s="5"/>
      <c r="F487" s="5"/>
      <c r="G487" s="7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18"/>
      <c r="AR487" s="18"/>
      <c r="AS487" s="5"/>
    </row>
    <row r="488" spans="1:45" x14ac:dyDescent="0.25">
      <c r="A488" s="5"/>
      <c r="B488" s="5"/>
      <c r="C488" s="5"/>
      <c r="D488" s="5"/>
      <c r="E488" s="5"/>
      <c r="F488" s="5"/>
      <c r="G488" s="7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18"/>
      <c r="AR488" s="18"/>
      <c r="AS488" s="5"/>
    </row>
    <row r="489" spans="1:45" x14ac:dyDescent="0.25">
      <c r="A489" s="5"/>
      <c r="B489" s="5"/>
      <c r="C489" s="5"/>
      <c r="D489" s="5"/>
      <c r="E489" s="5"/>
      <c r="F489" s="5"/>
      <c r="G489" s="7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18"/>
      <c r="AR489" s="18"/>
      <c r="AS489" s="5"/>
    </row>
    <row r="490" spans="1:45" x14ac:dyDescent="0.25">
      <c r="A490" s="5"/>
      <c r="B490" s="5"/>
      <c r="C490" s="5"/>
      <c r="D490" s="5"/>
      <c r="E490" s="5"/>
      <c r="F490" s="5"/>
      <c r="G490" s="7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18"/>
      <c r="AR490" s="18"/>
      <c r="AS490" s="5"/>
    </row>
    <row r="491" spans="1:45" x14ac:dyDescent="0.25">
      <c r="A491" s="5"/>
      <c r="B491" s="5"/>
      <c r="C491" s="5"/>
      <c r="D491" s="5"/>
      <c r="E491" s="5"/>
      <c r="F491" s="5"/>
      <c r="G491" s="7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18"/>
      <c r="AR491" s="18"/>
      <c r="AS491" s="5"/>
    </row>
    <row r="492" spans="1:45" x14ac:dyDescent="0.25">
      <c r="A492" s="5"/>
      <c r="B492" s="5"/>
      <c r="C492" s="5"/>
      <c r="D492" s="5"/>
      <c r="E492" s="5"/>
      <c r="F492" s="5"/>
      <c r="G492" s="7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18"/>
      <c r="AR492" s="18"/>
      <c r="AS492" s="5"/>
    </row>
    <row r="493" spans="1:45" x14ac:dyDescent="0.25">
      <c r="A493" s="5"/>
      <c r="B493" s="5"/>
      <c r="C493" s="5"/>
      <c r="D493" s="5"/>
      <c r="E493" s="5"/>
      <c r="F493" s="5"/>
      <c r="G493" s="7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18"/>
      <c r="AR493" s="18"/>
      <c r="AS493" s="5"/>
    </row>
    <row r="494" spans="1:45" x14ac:dyDescent="0.25">
      <c r="A494" s="5"/>
      <c r="B494" s="5"/>
      <c r="C494" s="5"/>
      <c r="D494" s="5"/>
      <c r="E494" s="5"/>
      <c r="F494" s="5"/>
      <c r="G494" s="7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18"/>
      <c r="AR494" s="18"/>
      <c r="AS494" s="5"/>
    </row>
    <row r="495" spans="1:45" x14ac:dyDescent="0.25">
      <c r="A495" s="5"/>
      <c r="B495" s="5"/>
      <c r="C495" s="5"/>
      <c r="D495" s="5"/>
      <c r="E495" s="5"/>
      <c r="F495" s="5"/>
      <c r="G495" s="7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18"/>
      <c r="AR495" s="18"/>
      <c r="AS495" s="5"/>
    </row>
    <row r="496" spans="1:45" x14ac:dyDescent="0.25">
      <c r="A496" s="5"/>
      <c r="B496" s="5"/>
      <c r="C496" s="5"/>
      <c r="D496" s="5"/>
      <c r="E496" s="5"/>
      <c r="F496" s="5"/>
      <c r="G496" s="7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18"/>
      <c r="AR496" s="18"/>
      <c r="AS496" s="5"/>
    </row>
  </sheetData>
  <autoFilter ref="A3:AP142" xr:uid="{00000000-0009-0000-0000-000000000000}"/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K17" sqref="K17"/>
    </sheetView>
  </sheetViews>
  <sheetFormatPr defaultRowHeight="15" x14ac:dyDescent="0.25"/>
  <cols>
    <col min="2" max="2" width="75.42578125" bestFit="1" customWidth="1"/>
  </cols>
  <sheetData>
    <row r="1" spans="1:3" x14ac:dyDescent="0.25">
      <c r="A1" t="s">
        <v>69</v>
      </c>
      <c r="B1" t="s">
        <v>211</v>
      </c>
      <c r="C1">
        <v>-510</v>
      </c>
    </row>
    <row r="2" spans="1:3" x14ac:dyDescent="0.25">
      <c r="A2" t="s">
        <v>84</v>
      </c>
      <c r="B2" t="s">
        <v>212</v>
      </c>
      <c r="C2">
        <v>-151.19999999999999</v>
      </c>
    </row>
    <row r="3" spans="1:3" x14ac:dyDescent="0.25">
      <c r="A3" t="s">
        <v>49</v>
      </c>
      <c r="B3" t="s">
        <v>213</v>
      </c>
      <c r="C3">
        <v>-243</v>
      </c>
    </row>
    <row r="4" spans="1:3" x14ac:dyDescent="0.25">
      <c r="A4" t="s">
        <v>56</v>
      </c>
      <c r="B4" t="s">
        <v>214</v>
      </c>
      <c r="C4">
        <v>-75.599999999999994</v>
      </c>
    </row>
    <row r="5" spans="1:3" x14ac:dyDescent="0.25">
      <c r="A5" t="s">
        <v>58</v>
      </c>
      <c r="B5" t="s">
        <v>215</v>
      </c>
      <c r="C5">
        <v>-210.6</v>
      </c>
    </row>
    <row r="6" spans="1:3" x14ac:dyDescent="0.25">
      <c r="A6" t="s">
        <v>51</v>
      </c>
      <c r="B6" t="s">
        <v>216</v>
      </c>
      <c r="C6">
        <v>-81</v>
      </c>
    </row>
    <row r="7" spans="1:3" x14ac:dyDescent="0.25">
      <c r="A7" t="s">
        <v>95</v>
      </c>
      <c r="B7" t="s">
        <v>217</v>
      </c>
      <c r="C7">
        <v>-364.8</v>
      </c>
    </row>
    <row r="8" spans="1:3" x14ac:dyDescent="0.25">
      <c r="A8" t="s">
        <v>98</v>
      </c>
      <c r="B8" t="s">
        <v>218</v>
      </c>
      <c r="C8">
        <v>-194.4</v>
      </c>
    </row>
    <row r="9" spans="1:3" x14ac:dyDescent="0.25">
      <c r="A9" t="s">
        <v>111</v>
      </c>
      <c r="B9" t="s">
        <v>219</v>
      </c>
      <c r="C9">
        <v>-153.6</v>
      </c>
    </row>
    <row r="10" spans="1:3" x14ac:dyDescent="0.25">
      <c r="A10" t="s">
        <v>101</v>
      </c>
      <c r="B10" t="s">
        <v>220</v>
      </c>
      <c r="C10">
        <v>-156.6</v>
      </c>
    </row>
    <row r="11" spans="1:3" x14ac:dyDescent="0.25">
      <c r="A11" t="s">
        <v>140</v>
      </c>
      <c r="B11" t="s">
        <v>221</v>
      </c>
      <c r="C11">
        <v>-327.60000000000002</v>
      </c>
    </row>
    <row r="12" spans="1:3" x14ac:dyDescent="0.25">
      <c r="A12" t="s">
        <v>133</v>
      </c>
      <c r="B12" t="s">
        <v>222</v>
      </c>
      <c r="C12">
        <v>-31.2</v>
      </c>
    </row>
    <row r="13" spans="1:3" x14ac:dyDescent="0.25">
      <c r="A13" t="s">
        <v>130</v>
      </c>
      <c r="B13" t="s">
        <v>223</v>
      </c>
      <c r="C13">
        <v>-16.2</v>
      </c>
    </row>
    <row r="14" spans="1:3" x14ac:dyDescent="0.25">
      <c r="A14" t="s">
        <v>153</v>
      </c>
      <c r="B14" t="s">
        <v>224</v>
      </c>
      <c r="C14">
        <v>-117.6</v>
      </c>
    </row>
    <row r="15" spans="1:3" x14ac:dyDescent="0.25">
      <c r="A15" t="s">
        <v>151</v>
      </c>
      <c r="B15" t="s">
        <v>225</v>
      </c>
      <c r="C15">
        <v>-37.799999999999997</v>
      </c>
    </row>
    <row r="16" spans="1:3" x14ac:dyDescent="0.25">
      <c r="A16" t="s">
        <v>177</v>
      </c>
      <c r="B16" t="s">
        <v>226</v>
      </c>
      <c r="C16">
        <v>-30.6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недогруз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2026-07-28T09:15:46Z</dcterms:created>
  <dcterms:modified xsi:type="dcterms:W3CDTF">2026-07-29T12:18:50Z</dcterms:modified>
</cp:coreProperties>
</file>