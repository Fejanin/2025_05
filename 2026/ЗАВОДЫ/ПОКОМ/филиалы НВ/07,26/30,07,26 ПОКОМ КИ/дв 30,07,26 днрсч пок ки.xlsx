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892B6578-A3CA-47C3-BDCE-DE6A1F438A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ы" sheetId="2" r:id="rId2"/>
  </sheets>
  <externalReferences>
    <externalReference r:id="rId3"/>
  </externalReferences>
  <definedNames>
    <definedName name="_xlnm._FilterDatabase" localSheetId="0" hidden="1">Sheet!$A$3:$AO$134</definedName>
  </definedNames>
  <calcPr calcId="191029"/>
</workbook>
</file>

<file path=xl/calcChain.xml><?xml version="1.0" encoding="utf-8"?>
<calcChain xmlns="http://schemas.openxmlformats.org/spreadsheetml/2006/main">
  <c r="AP7" i="1" l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6" i="1"/>
  <c r="R5" i="1"/>
  <c r="V5" i="1"/>
  <c r="AQ134" i="1"/>
  <c r="Z134" i="1"/>
  <c r="M134" i="1"/>
  <c r="X134" i="1" s="1"/>
  <c r="AE134" i="1" s="1"/>
  <c r="L134" i="1"/>
  <c r="AQ133" i="1"/>
  <c r="Z133" i="1"/>
  <c r="AD133" i="1" s="1"/>
  <c r="M133" i="1"/>
  <c r="X133" i="1" s="1"/>
  <c r="AE133" i="1" s="1"/>
  <c r="L133" i="1"/>
  <c r="AQ132" i="1"/>
  <c r="Z132" i="1"/>
  <c r="AD132" i="1" s="1"/>
  <c r="M132" i="1"/>
  <c r="X132" i="1" s="1"/>
  <c r="AE132" i="1" s="1"/>
  <c r="L132" i="1"/>
  <c r="AQ131" i="1"/>
  <c r="Z131" i="1"/>
  <c r="M131" i="1"/>
  <c r="X131" i="1" s="1"/>
  <c r="AE131" i="1" s="1"/>
  <c r="L131" i="1"/>
  <c r="AQ130" i="1"/>
  <c r="M130" i="1"/>
  <c r="X130" i="1" s="1"/>
  <c r="L130" i="1"/>
  <c r="AQ129" i="1"/>
  <c r="M129" i="1"/>
  <c r="X129" i="1" s="1"/>
  <c r="L129" i="1"/>
  <c r="AQ128" i="1"/>
  <c r="M128" i="1"/>
  <c r="X128" i="1" s="1"/>
  <c r="L128" i="1"/>
  <c r="AQ127" i="1"/>
  <c r="M127" i="1"/>
  <c r="X127" i="1" s="1"/>
  <c r="L127" i="1"/>
  <c r="AQ126" i="1"/>
  <c r="Z126" i="1"/>
  <c r="AA126" i="1" s="1"/>
  <c r="AO126" i="1" s="1"/>
  <c r="F126" i="1"/>
  <c r="AD126" i="1" s="1"/>
  <c r="E126" i="1"/>
  <c r="M126" i="1" s="1"/>
  <c r="X126" i="1" s="1"/>
  <c r="AQ125" i="1"/>
  <c r="Z125" i="1"/>
  <c r="AA125" i="1" s="1"/>
  <c r="AO125" i="1" s="1"/>
  <c r="M125" i="1"/>
  <c r="X125" i="1" s="1"/>
  <c r="AE125" i="1" s="1"/>
  <c r="L125" i="1"/>
  <c r="AQ124" i="1"/>
  <c r="M124" i="1"/>
  <c r="X124" i="1" s="1"/>
  <c r="L124" i="1"/>
  <c r="AQ123" i="1"/>
  <c r="Z123" i="1"/>
  <c r="AA123" i="1" s="1"/>
  <c r="AO123" i="1" s="1"/>
  <c r="M123" i="1"/>
  <c r="X123" i="1" s="1"/>
  <c r="L123" i="1"/>
  <c r="AQ122" i="1"/>
  <c r="Z122" i="1"/>
  <c r="AA122" i="1" s="1"/>
  <c r="AO122" i="1" s="1"/>
  <c r="M122" i="1"/>
  <c r="X122" i="1" s="1"/>
  <c r="L122" i="1"/>
  <c r="AQ121" i="1"/>
  <c r="Z121" i="1"/>
  <c r="M121" i="1"/>
  <c r="X121" i="1" s="1"/>
  <c r="AE121" i="1" s="1"/>
  <c r="L121" i="1"/>
  <c r="AQ120" i="1"/>
  <c r="Z120" i="1"/>
  <c r="M120" i="1"/>
  <c r="X120" i="1" s="1"/>
  <c r="AE120" i="1" s="1"/>
  <c r="L120" i="1"/>
  <c r="AQ119" i="1"/>
  <c r="M119" i="1"/>
  <c r="X119" i="1" s="1"/>
  <c r="L119" i="1"/>
  <c r="AQ118" i="1"/>
  <c r="Z118" i="1"/>
  <c r="AA118" i="1" s="1"/>
  <c r="AO118" i="1" s="1"/>
  <c r="M118" i="1"/>
  <c r="X118" i="1" s="1"/>
  <c r="AE118" i="1" s="1"/>
  <c r="L118" i="1"/>
  <c r="AQ117" i="1"/>
  <c r="M117" i="1"/>
  <c r="X117" i="1" s="1"/>
  <c r="AE117" i="1" s="1"/>
  <c r="L117" i="1"/>
  <c r="AQ116" i="1"/>
  <c r="M116" i="1"/>
  <c r="X116" i="1" s="1"/>
  <c r="L116" i="1"/>
  <c r="M115" i="1"/>
  <c r="X115" i="1" s="1"/>
  <c r="AE115" i="1" s="1"/>
  <c r="L115" i="1"/>
  <c r="AQ114" i="1"/>
  <c r="M114" i="1"/>
  <c r="X114" i="1" s="1"/>
  <c r="AE114" i="1" s="1"/>
  <c r="L114" i="1"/>
  <c r="AQ113" i="1"/>
  <c r="M113" i="1"/>
  <c r="X113" i="1" s="1"/>
  <c r="AE113" i="1" s="1"/>
  <c r="L113" i="1"/>
  <c r="AQ112" i="1"/>
  <c r="M112" i="1"/>
  <c r="X112" i="1" s="1"/>
  <c r="L112" i="1"/>
  <c r="AQ111" i="1"/>
  <c r="M111" i="1"/>
  <c r="X111" i="1" s="1"/>
  <c r="AE111" i="1" s="1"/>
  <c r="L111" i="1"/>
  <c r="AQ110" i="1"/>
  <c r="M110" i="1"/>
  <c r="X110" i="1" s="1"/>
  <c r="L110" i="1"/>
  <c r="AQ109" i="1"/>
  <c r="M109" i="1"/>
  <c r="X109" i="1" s="1"/>
  <c r="AE109" i="1" s="1"/>
  <c r="L109" i="1"/>
  <c r="AQ108" i="1"/>
  <c r="M108" i="1"/>
  <c r="X108" i="1" s="1"/>
  <c r="AE108" i="1" s="1"/>
  <c r="L108" i="1"/>
  <c r="AQ107" i="1"/>
  <c r="M107" i="1"/>
  <c r="X107" i="1" s="1"/>
  <c r="AE107" i="1" s="1"/>
  <c r="L107" i="1"/>
  <c r="AQ106" i="1"/>
  <c r="M106" i="1"/>
  <c r="X106" i="1" s="1"/>
  <c r="AE106" i="1" s="1"/>
  <c r="L106" i="1"/>
  <c r="AQ105" i="1"/>
  <c r="Z105" i="1"/>
  <c r="AD105" i="1" s="1"/>
  <c r="M105" i="1"/>
  <c r="X105" i="1" s="1"/>
  <c r="AE105" i="1" s="1"/>
  <c r="L105" i="1"/>
  <c r="AQ104" i="1"/>
  <c r="Z104" i="1"/>
  <c r="AA104" i="1" s="1"/>
  <c r="AO104" i="1" s="1"/>
  <c r="M104" i="1"/>
  <c r="X104" i="1" s="1"/>
  <c r="L104" i="1"/>
  <c r="AQ103" i="1"/>
  <c r="Z103" i="1"/>
  <c r="M103" i="1"/>
  <c r="X103" i="1" s="1"/>
  <c r="AE103" i="1" s="1"/>
  <c r="L103" i="1"/>
  <c r="AQ102" i="1"/>
  <c r="M102" i="1"/>
  <c r="X102" i="1" s="1"/>
  <c r="L102" i="1"/>
  <c r="AQ101" i="1"/>
  <c r="Z101" i="1"/>
  <c r="M101" i="1"/>
  <c r="X101" i="1" s="1"/>
  <c r="AE101" i="1" s="1"/>
  <c r="L101" i="1"/>
  <c r="AQ100" i="1"/>
  <c r="M100" i="1"/>
  <c r="X100" i="1" s="1"/>
  <c r="AE100" i="1" s="1"/>
  <c r="L100" i="1"/>
  <c r="AQ99" i="1"/>
  <c r="M99" i="1"/>
  <c r="X99" i="1" s="1"/>
  <c r="L99" i="1"/>
  <c r="AQ98" i="1"/>
  <c r="M98" i="1"/>
  <c r="X98" i="1" s="1"/>
  <c r="AE98" i="1" s="1"/>
  <c r="L98" i="1"/>
  <c r="AQ97" i="1"/>
  <c r="M97" i="1"/>
  <c r="X97" i="1" s="1"/>
  <c r="L97" i="1"/>
  <c r="AQ96" i="1"/>
  <c r="M96" i="1"/>
  <c r="X96" i="1" s="1"/>
  <c r="AE96" i="1" s="1"/>
  <c r="L96" i="1"/>
  <c r="AQ95" i="1"/>
  <c r="Z95" i="1"/>
  <c r="AA95" i="1" s="1"/>
  <c r="AO95" i="1" s="1"/>
  <c r="M95" i="1"/>
  <c r="X95" i="1" s="1"/>
  <c r="AE95" i="1" s="1"/>
  <c r="L95" i="1"/>
  <c r="AQ94" i="1"/>
  <c r="Z94" i="1"/>
  <c r="AA94" i="1" s="1"/>
  <c r="AO94" i="1" s="1"/>
  <c r="M94" i="1"/>
  <c r="X94" i="1" s="1"/>
  <c r="AE94" i="1" s="1"/>
  <c r="L94" i="1"/>
  <c r="AQ93" i="1"/>
  <c r="Z93" i="1"/>
  <c r="AA93" i="1" s="1"/>
  <c r="AO93" i="1" s="1"/>
  <c r="M93" i="1"/>
  <c r="X93" i="1" s="1"/>
  <c r="L93" i="1"/>
  <c r="AQ92" i="1"/>
  <c r="F92" i="1"/>
  <c r="E92" i="1"/>
  <c r="AQ91" i="1"/>
  <c r="Z91" i="1"/>
  <c r="M91" i="1"/>
  <c r="X91" i="1" s="1"/>
  <c r="AE91" i="1" s="1"/>
  <c r="L91" i="1"/>
  <c r="M90" i="1"/>
  <c r="X90" i="1" s="1"/>
  <c r="Y90" i="1" s="1"/>
  <c r="L90" i="1"/>
  <c r="AQ89" i="1"/>
  <c r="M89" i="1"/>
  <c r="X89" i="1" s="1"/>
  <c r="Y89" i="1" s="1"/>
  <c r="Z89" i="1" s="1"/>
  <c r="AD89" i="1" s="1"/>
  <c r="L89" i="1"/>
  <c r="M88" i="1"/>
  <c r="X88" i="1" s="1"/>
  <c r="AE88" i="1" s="1"/>
  <c r="L88" i="1"/>
  <c r="AQ87" i="1"/>
  <c r="Z87" i="1"/>
  <c r="AA87" i="1" s="1"/>
  <c r="AO87" i="1" s="1"/>
  <c r="M87" i="1"/>
  <c r="X87" i="1" s="1"/>
  <c r="AE87" i="1" s="1"/>
  <c r="L87" i="1"/>
  <c r="AQ86" i="1"/>
  <c r="Z86" i="1"/>
  <c r="AD86" i="1" s="1"/>
  <c r="M86" i="1"/>
  <c r="X86" i="1" s="1"/>
  <c r="AE86" i="1" s="1"/>
  <c r="L86" i="1"/>
  <c r="AQ85" i="1"/>
  <c r="M85" i="1"/>
  <c r="X85" i="1" s="1"/>
  <c r="L85" i="1"/>
  <c r="AQ84" i="1"/>
  <c r="Z84" i="1"/>
  <c r="AA84" i="1" s="1"/>
  <c r="AO84" i="1" s="1"/>
  <c r="M84" i="1"/>
  <c r="X84" i="1" s="1"/>
  <c r="L84" i="1"/>
  <c r="AQ83" i="1"/>
  <c r="Z83" i="1"/>
  <c r="AA83" i="1" s="1"/>
  <c r="AO83" i="1" s="1"/>
  <c r="M83" i="1"/>
  <c r="X83" i="1" s="1"/>
  <c r="L83" i="1"/>
  <c r="AQ82" i="1"/>
  <c r="M82" i="1"/>
  <c r="X82" i="1" s="1"/>
  <c r="L82" i="1"/>
  <c r="AQ81" i="1"/>
  <c r="M81" i="1"/>
  <c r="X81" i="1" s="1"/>
  <c r="L81" i="1"/>
  <c r="Z80" i="1"/>
  <c r="AB80" i="1" s="1"/>
  <c r="M80" i="1"/>
  <c r="X80" i="1" s="1"/>
  <c r="L80" i="1"/>
  <c r="AQ79" i="1"/>
  <c r="M79" i="1"/>
  <c r="X79" i="1" s="1"/>
  <c r="L79" i="1"/>
  <c r="AQ78" i="1"/>
  <c r="Z78" i="1"/>
  <c r="AD78" i="1" s="1"/>
  <c r="M78" i="1"/>
  <c r="X78" i="1" s="1"/>
  <c r="AE78" i="1" s="1"/>
  <c r="L78" i="1"/>
  <c r="AQ77" i="1"/>
  <c r="Z77" i="1"/>
  <c r="AA77" i="1" s="1"/>
  <c r="AO77" i="1" s="1"/>
  <c r="M77" i="1"/>
  <c r="X77" i="1" s="1"/>
  <c r="AE77" i="1" s="1"/>
  <c r="L77" i="1"/>
  <c r="AQ76" i="1"/>
  <c r="Z76" i="1"/>
  <c r="AA76" i="1" s="1"/>
  <c r="AO76" i="1" s="1"/>
  <c r="M76" i="1"/>
  <c r="X76" i="1" s="1"/>
  <c r="AE76" i="1" s="1"/>
  <c r="L76" i="1"/>
  <c r="M75" i="1"/>
  <c r="X75" i="1" s="1"/>
  <c r="L75" i="1"/>
  <c r="M74" i="1"/>
  <c r="X74" i="1" s="1"/>
  <c r="L74" i="1"/>
  <c r="M73" i="1"/>
  <c r="X73" i="1" s="1"/>
  <c r="L73" i="1"/>
  <c r="AQ72" i="1"/>
  <c r="Z72" i="1"/>
  <c r="M72" i="1"/>
  <c r="X72" i="1" s="1"/>
  <c r="AE72" i="1" s="1"/>
  <c r="L72" i="1"/>
  <c r="AQ71" i="1"/>
  <c r="M71" i="1"/>
  <c r="X71" i="1" s="1"/>
  <c r="Y71" i="1" s="1"/>
  <c r="L71" i="1"/>
  <c r="AQ70" i="1"/>
  <c r="M70" i="1"/>
  <c r="X70" i="1" s="1"/>
  <c r="L70" i="1"/>
  <c r="AQ69" i="1"/>
  <c r="M69" i="1"/>
  <c r="X69" i="1" s="1"/>
  <c r="L69" i="1"/>
  <c r="AQ68" i="1"/>
  <c r="M68" i="1"/>
  <c r="X68" i="1" s="1"/>
  <c r="L68" i="1"/>
  <c r="AQ67" i="1"/>
  <c r="Z67" i="1"/>
  <c r="M67" i="1"/>
  <c r="X67" i="1" s="1"/>
  <c r="AE67" i="1" s="1"/>
  <c r="L67" i="1"/>
  <c r="AQ66" i="1"/>
  <c r="Z66" i="1"/>
  <c r="M66" i="1"/>
  <c r="X66" i="1" s="1"/>
  <c r="AE66" i="1" s="1"/>
  <c r="L66" i="1"/>
  <c r="AQ65" i="1"/>
  <c r="AA65" i="1"/>
  <c r="AO65" i="1" s="1"/>
  <c r="M65" i="1"/>
  <c r="X65" i="1" s="1"/>
  <c r="AD65" i="1" s="1"/>
  <c r="L65" i="1"/>
  <c r="AQ64" i="1"/>
  <c r="AA64" i="1"/>
  <c r="AO64" i="1" s="1"/>
  <c r="M64" i="1"/>
  <c r="X64" i="1" s="1"/>
  <c r="AD64" i="1" s="1"/>
  <c r="L64" i="1"/>
  <c r="AQ63" i="1"/>
  <c r="Z63" i="1"/>
  <c r="M63" i="1"/>
  <c r="X63" i="1" s="1"/>
  <c r="AE63" i="1" s="1"/>
  <c r="L63" i="1"/>
  <c r="AQ62" i="1"/>
  <c r="M62" i="1"/>
  <c r="X62" i="1" s="1"/>
  <c r="Y62" i="1" s="1"/>
  <c r="Z62" i="1" s="1"/>
  <c r="AD62" i="1" s="1"/>
  <c r="L62" i="1"/>
  <c r="AQ61" i="1"/>
  <c r="M61" i="1"/>
  <c r="X61" i="1" s="1"/>
  <c r="L61" i="1"/>
  <c r="AQ60" i="1"/>
  <c r="M60" i="1"/>
  <c r="X60" i="1" s="1"/>
  <c r="Y60" i="1" s="1"/>
  <c r="Z60" i="1" s="1"/>
  <c r="AD60" i="1" s="1"/>
  <c r="L60" i="1"/>
  <c r="AQ59" i="1"/>
  <c r="M59" i="1"/>
  <c r="X59" i="1" s="1"/>
  <c r="L59" i="1"/>
  <c r="AQ58" i="1"/>
  <c r="Z58" i="1"/>
  <c r="AD58" i="1" s="1"/>
  <c r="M58" i="1"/>
  <c r="X58" i="1" s="1"/>
  <c r="AE58" i="1" s="1"/>
  <c r="L58" i="1"/>
  <c r="AQ57" i="1"/>
  <c r="M57" i="1"/>
  <c r="X57" i="1" s="1"/>
  <c r="L57" i="1"/>
  <c r="AQ56" i="1"/>
  <c r="Z56" i="1"/>
  <c r="AA56" i="1" s="1"/>
  <c r="AO56" i="1" s="1"/>
  <c r="M56" i="1"/>
  <c r="X56" i="1" s="1"/>
  <c r="AE56" i="1" s="1"/>
  <c r="L56" i="1"/>
  <c r="AQ55" i="1"/>
  <c r="Z55" i="1"/>
  <c r="AA55" i="1" s="1"/>
  <c r="AO55" i="1" s="1"/>
  <c r="M55" i="1"/>
  <c r="X55" i="1" s="1"/>
  <c r="L55" i="1"/>
  <c r="AQ54" i="1"/>
  <c r="M54" i="1"/>
  <c r="X54" i="1" s="1"/>
  <c r="L54" i="1"/>
  <c r="AQ53" i="1"/>
  <c r="Z53" i="1"/>
  <c r="AA53" i="1" s="1"/>
  <c r="AO53" i="1" s="1"/>
  <c r="M53" i="1"/>
  <c r="X53" i="1" s="1"/>
  <c r="AE53" i="1" s="1"/>
  <c r="L53" i="1"/>
  <c r="AQ52" i="1"/>
  <c r="M52" i="1"/>
  <c r="X52" i="1" s="1"/>
  <c r="L52" i="1"/>
  <c r="AQ51" i="1"/>
  <c r="Z51" i="1"/>
  <c r="AA51" i="1" s="1"/>
  <c r="AO51" i="1" s="1"/>
  <c r="M51" i="1"/>
  <c r="X51" i="1" s="1"/>
  <c r="AE51" i="1" s="1"/>
  <c r="L51" i="1"/>
  <c r="M50" i="1"/>
  <c r="X50" i="1" s="1"/>
  <c r="Y50" i="1" s="1"/>
  <c r="L50" i="1"/>
  <c r="M49" i="1"/>
  <c r="X49" i="1" s="1"/>
  <c r="AE49" i="1" s="1"/>
  <c r="L49" i="1"/>
  <c r="AQ48" i="1"/>
  <c r="M48" i="1"/>
  <c r="X48" i="1" s="1"/>
  <c r="L48" i="1"/>
  <c r="AQ47" i="1"/>
  <c r="M47" i="1"/>
  <c r="X47" i="1" s="1"/>
  <c r="L47" i="1"/>
  <c r="AQ46" i="1"/>
  <c r="Z46" i="1"/>
  <c r="AA46" i="1" s="1"/>
  <c r="AO46" i="1" s="1"/>
  <c r="M46" i="1"/>
  <c r="X46" i="1" s="1"/>
  <c r="L46" i="1"/>
  <c r="AQ45" i="1"/>
  <c r="Z45" i="1"/>
  <c r="M45" i="1"/>
  <c r="X45" i="1" s="1"/>
  <c r="AE45" i="1" s="1"/>
  <c r="L45" i="1"/>
  <c r="AQ44" i="1"/>
  <c r="M44" i="1"/>
  <c r="X44" i="1" s="1"/>
  <c r="AE44" i="1" s="1"/>
  <c r="L44" i="1"/>
  <c r="AQ43" i="1"/>
  <c r="M43" i="1"/>
  <c r="X43" i="1" s="1"/>
  <c r="AE43" i="1" s="1"/>
  <c r="L43" i="1"/>
  <c r="AQ42" i="1"/>
  <c r="AA42" i="1"/>
  <c r="AO42" i="1" s="1"/>
  <c r="M42" i="1"/>
  <c r="X42" i="1" s="1"/>
  <c r="AD42" i="1" s="1"/>
  <c r="L42" i="1"/>
  <c r="AQ41" i="1"/>
  <c r="M41" i="1"/>
  <c r="X41" i="1" s="1"/>
  <c r="L41" i="1"/>
  <c r="AQ40" i="1"/>
  <c r="Z40" i="1"/>
  <c r="AA40" i="1" s="1"/>
  <c r="AO40" i="1" s="1"/>
  <c r="M40" i="1"/>
  <c r="X40" i="1" s="1"/>
  <c r="AE40" i="1" s="1"/>
  <c r="L40" i="1"/>
  <c r="AQ39" i="1"/>
  <c r="M39" i="1"/>
  <c r="X39" i="1" s="1"/>
  <c r="L39" i="1"/>
  <c r="M38" i="1"/>
  <c r="X38" i="1" s="1"/>
  <c r="AE38" i="1" s="1"/>
  <c r="L38" i="1"/>
  <c r="AQ37" i="1"/>
  <c r="Z37" i="1"/>
  <c r="AA37" i="1" s="1"/>
  <c r="AO37" i="1" s="1"/>
  <c r="M37" i="1"/>
  <c r="X37" i="1" s="1"/>
  <c r="AE37" i="1" s="1"/>
  <c r="L37" i="1"/>
  <c r="AQ36" i="1"/>
  <c r="Z36" i="1"/>
  <c r="AA36" i="1" s="1"/>
  <c r="AO36" i="1" s="1"/>
  <c r="M36" i="1"/>
  <c r="X36" i="1" s="1"/>
  <c r="AE36" i="1" s="1"/>
  <c r="L36" i="1"/>
  <c r="AQ35" i="1"/>
  <c r="Z35" i="1"/>
  <c r="AA35" i="1" s="1"/>
  <c r="AO35" i="1" s="1"/>
  <c r="M35" i="1"/>
  <c r="X35" i="1" s="1"/>
  <c r="AE35" i="1" s="1"/>
  <c r="L35" i="1"/>
  <c r="AQ34" i="1"/>
  <c r="Z34" i="1"/>
  <c r="AA34" i="1" s="1"/>
  <c r="AO34" i="1" s="1"/>
  <c r="M34" i="1"/>
  <c r="X34" i="1" s="1"/>
  <c r="AE34" i="1" s="1"/>
  <c r="L34" i="1"/>
  <c r="AQ33" i="1"/>
  <c r="M33" i="1"/>
  <c r="X33" i="1" s="1"/>
  <c r="Y33" i="1" s="1"/>
  <c r="L33" i="1"/>
  <c r="AQ32" i="1"/>
  <c r="Z32" i="1"/>
  <c r="AA32" i="1" s="1"/>
  <c r="AO32" i="1" s="1"/>
  <c r="M32" i="1"/>
  <c r="X32" i="1" s="1"/>
  <c r="L32" i="1"/>
  <c r="M31" i="1"/>
  <c r="X31" i="1" s="1"/>
  <c r="L31" i="1"/>
  <c r="AQ30" i="1"/>
  <c r="Z30" i="1"/>
  <c r="AA30" i="1" s="1"/>
  <c r="AO30" i="1" s="1"/>
  <c r="M30" i="1"/>
  <c r="X30" i="1" s="1"/>
  <c r="L30" i="1"/>
  <c r="AQ29" i="1"/>
  <c r="Z29" i="1"/>
  <c r="AA29" i="1" s="1"/>
  <c r="AO29" i="1" s="1"/>
  <c r="M29" i="1"/>
  <c r="X29" i="1" s="1"/>
  <c r="L29" i="1"/>
  <c r="AQ28" i="1"/>
  <c r="M28" i="1"/>
  <c r="X28" i="1" s="1"/>
  <c r="Y28" i="1" s="1"/>
  <c r="Z28" i="1" s="1"/>
  <c r="AD28" i="1" s="1"/>
  <c r="L28" i="1"/>
  <c r="M27" i="1"/>
  <c r="X27" i="1" s="1"/>
  <c r="L27" i="1"/>
  <c r="AQ26" i="1"/>
  <c r="Z26" i="1"/>
  <c r="AA26" i="1" s="1"/>
  <c r="AO26" i="1" s="1"/>
  <c r="M26" i="1"/>
  <c r="X26" i="1" s="1"/>
  <c r="L26" i="1"/>
  <c r="M25" i="1"/>
  <c r="X25" i="1" s="1"/>
  <c r="L25" i="1"/>
  <c r="AQ24" i="1"/>
  <c r="M24" i="1"/>
  <c r="X24" i="1" s="1"/>
  <c r="L24" i="1"/>
  <c r="AQ23" i="1"/>
  <c r="Z23" i="1"/>
  <c r="AA23" i="1" s="1"/>
  <c r="AO23" i="1" s="1"/>
  <c r="M23" i="1"/>
  <c r="X23" i="1" s="1"/>
  <c r="L23" i="1"/>
  <c r="M22" i="1"/>
  <c r="X22" i="1" s="1"/>
  <c r="L22" i="1"/>
  <c r="AQ21" i="1"/>
  <c r="Z21" i="1"/>
  <c r="AA21" i="1" s="1"/>
  <c r="AO21" i="1" s="1"/>
  <c r="M21" i="1"/>
  <c r="X21" i="1" s="1"/>
  <c r="L21" i="1"/>
  <c r="AQ20" i="1"/>
  <c r="Z20" i="1"/>
  <c r="M20" i="1"/>
  <c r="X20" i="1" s="1"/>
  <c r="AE20" i="1" s="1"/>
  <c r="L20" i="1"/>
  <c r="AQ19" i="1"/>
  <c r="Z19" i="1"/>
  <c r="M19" i="1"/>
  <c r="X19" i="1" s="1"/>
  <c r="AE19" i="1" s="1"/>
  <c r="L19" i="1"/>
  <c r="AQ18" i="1"/>
  <c r="Z18" i="1"/>
  <c r="AA18" i="1" s="1"/>
  <c r="AO18" i="1" s="1"/>
  <c r="M18" i="1"/>
  <c r="X18" i="1" s="1"/>
  <c r="AE18" i="1" s="1"/>
  <c r="L18" i="1"/>
  <c r="M17" i="1"/>
  <c r="X17" i="1" s="1"/>
  <c r="AE17" i="1" s="1"/>
  <c r="L17" i="1"/>
  <c r="M16" i="1"/>
  <c r="X16" i="1" s="1"/>
  <c r="L16" i="1"/>
  <c r="AQ15" i="1"/>
  <c r="Z15" i="1"/>
  <c r="M15" i="1"/>
  <c r="X15" i="1" s="1"/>
  <c r="AE15" i="1" s="1"/>
  <c r="L15" i="1"/>
  <c r="AQ14" i="1"/>
  <c r="M14" i="1"/>
  <c r="X14" i="1" s="1"/>
  <c r="AE14" i="1" s="1"/>
  <c r="L14" i="1"/>
  <c r="AQ13" i="1"/>
  <c r="M13" i="1"/>
  <c r="X13" i="1" s="1"/>
  <c r="L13" i="1"/>
  <c r="AQ12" i="1"/>
  <c r="M12" i="1"/>
  <c r="X12" i="1" s="1"/>
  <c r="Y12" i="1" s="1"/>
  <c r="Z12" i="1" s="1"/>
  <c r="AD12" i="1" s="1"/>
  <c r="L12" i="1"/>
  <c r="M11" i="1"/>
  <c r="X11" i="1" s="1"/>
  <c r="L11" i="1"/>
  <c r="Z10" i="1"/>
  <c r="AB10" i="1" s="1"/>
  <c r="AQ10" i="1" s="1"/>
  <c r="M10" i="1"/>
  <c r="X10" i="1" s="1"/>
  <c r="AE10" i="1" s="1"/>
  <c r="L10" i="1"/>
  <c r="AQ9" i="1"/>
  <c r="M9" i="1"/>
  <c r="X9" i="1" s="1"/>
  <c r="L9" i="1"/>
  <c r="M8" i="1"/>
  <c r="X8" i="1" s="1"/>
  <c r="AE8" i="1" s="1"/>
  <c r="L8" i="1"/>
  <c r="M7" i="1"/>
  <c r="X7" i="1" s="1"/>
  <c r="L7" i="1"/>
  <c r="M6" i="1"/>
  <c r="X6" i="1" s="1"/>
  <c r="L6" i="1"/>
  <c r="AM5" i="1"/>
  <c r="AL5" i="1"/>
  <c r="AK5" i="1"/>
  <c r="AJ5" i="1"/>
  <c r="AI5" i="1"/>
  <c r="AH5" i="1"/>
  <c r="AG5" i="1"/>
  <c r="AF5" i="1"/>
  <c r="W5" i="1"/>
  <c r="U5" i="1"/>
  <c r="T5" i="1"/>
  <c r="S5" i="1"/>
  <c r="Q5" i="1"/>
  <c r="P5" i="1"/>
  <c r="O5" i="1"/>
  <c r="N5" i="1"/>
  <c r="K5" i="1"/>
  <c r="AD63" i="1" l="1"/>
  <c r="AD120" i="1"/>
  <c r="AD121" i="1"/>
  <c r="Y7" i="1"/>
  <c r="Z7" i="1" s="1"/>
  <c r="Y8" i="1"/>
  <c r="AD103" i="1"/>
  <c r="Y17" i="1"/>
  <c r="Z17" i="1" s="1"/>
  <c r="AD17" i="1" s="1"/>
  <c r="AD19" i="1"/>
  <c r="Y38" i="1"/>
  <c r="AD67" i="1"/>
  <c r="Y47" i="1"/>
  <c r="Z47" i="1" s="1"/>
  <c r="Y49" i="1"/>
  <c r="AD20" i="1"/>
  <c r="AD134" i="1"/>
  <c r="AD45" i="1"/>
  <c r="AD15" i="1"/>
  <c r="AD125" i="1"/>
  <c r="AD84" i="1"/>
  <c r="AD101" i="1"/>
  <c r="AD131" i="1"/>
  <c r="AD66" i="1"/>
  <c r="AD72" i="1"/>
  <c r="AD91" i="1"/>
  <c r="AD104" i="1"/>
  <c r="AD83" i="1"/>
  <c r="AD23" i="1"/>
  <c r="AD123" i="1"/>
  <c r="AD122" i="1"/>
  <c r="AD21" i="1"/>
  <c r="AD80" i="1"/>
  <c r="AD40" i="1"/>
  <c r="AD18" i="1"/>
  <c r="AD118" i="1"/>
  <c r="AD77" i="1"/>
  <c r="AD37" i="1"/>
  <c r="AD76" i="1"/>
  <c r="AD56" i="1"/>
  <c r="AD36" i="1"/>
  <c r="AD55" i="1"/>
  <c r="AD35" i="1"/>
  <c r="AD95" i="1"/>
  <c r="AD34" i="1"/>
  <c r="AD94" i="1"/>
  <c r="AD53" i="1"/>
  <c r="AD93" i="1"/>
  <c r="AD32" i="1"/>
  <c r="AD51" i="1"/>
  <c r="AD30" i="1"/>
  <c r="AD10" i="1"/>
  <c r="AD29" i="1"/>
  <c r="AD87" i="1"/>
  <c r="AD46" i="1"/>
  <c r="AD26" i="1"/>
  <c r="E5" i="1"/>
  <c r="F5" i="1"/>
  <c r="AE42" i="1"/>
  <c r="Y82" i="1"/>
  <c r="Z82" i="1" s="1"/>
  <c r="AD82" i="1" s="1"/>
  <c r="AE82" i="1"/>
  <c r="AE47" i="1"/>
  <c r="AE75" i="1"/>
  <c r="Y75" i="1"/>
  <c r="Z75" i="1" s="1"/>
  <c r="AD75" i="1" s="1"/>
  <c r="Y27" i="1"/>
  <c r="Z27" i="1" s="1"/>
  <c r="AD27" i="1" s="1"/>
  <c r="AE27" i="1"/>
  <c r="AE93" i="1"/>
  <c r="AE26" i="1"/>
  <c r="AE55" i="1"/>
  <c r="AE104" i="1"/>
  <c r="AE116" i="1"/>
  <c r="Y116" i="1"/>
  <c r="Z116" i="1" s="1"/>
  <c r="AD116" i="1" s="1"/>
  <c r="Y110" i="1"/>
  <c r="Z110" i="1" s="1"/>
  <c r="AD110" i="1" s="1"/>
  <c r="AE110" i="1"/>
  <c r="Y25" i="1"/>
  <c r="Z25" i="1" s="1"/>
  <c r="AE25" i="1"/>
  <c r="AQ80" i="1"/>
  <c r="AA80" i="1"/>
  <c r="AO80" i="1" s="1"/>
  <c r="AE112" i="1"/>
  <c r="Y112" i="1"/>
  <c r="Z112" i="1" s="1"/>
  <c r="AD112" i="1" s="1"/>
  <c r="AE13" i="1"/>
  <c r="Y13" i="1"/>
  <c r="Z13" i="1" s="1"/>
  <c r="AD13" i="1" s="1"/>
  <c r="AE119" i="1"/>
  <c r="Y119" i="1"/>
  <c r="Z119" i="1" s="1"/>
  <c r="AE80" i="1"/>
  <c r="Y44" i="1"/>
  <c r="Z44" i="1" s="1"/>
  <c r="AD44" i="1" s="1"/>
  <c r="AA67" i="1"/>
  <c r="AO67" i="1" s="1"/>
  <c r="AA86" i="1"/>
  <c r="AO86" i="1" s="1"/>
  <c r="Y114" i="1"/>
  <c r="Z114" i="1" s="1"/>
  <c r="AD114" i="1" s="1"/>
  <c r="AA121" i="1"/>
  <c r="AO121" i="1" s="1"/>
  <c r="AA131" i="1"/>
  <c r="AO131" i="1" s="1"/>
  <c r="Y108" i="1"/>
  <c r="Z108" i="1" s="1"/>
  <c r="AD108" i="1" s="1"/>
  <c r="L92" i="1"/>
  <c r="M92" i="1"/>
  <c r="X92" i="1" s="1"/>
  <c r="Z92" i="1" s="1"/>
  <c r="AA15" i="1"/>
  <c r="AO15" i="1" s="1"/>
  <c r="AA19" i="1"/>
  <c r="AO19" i="1" s="1"/>
  <c r="AE28" i="1"/>
  <c r="Y106" i="1"/>
  <c r="Z106" i="1" s="1"/>
  <c r="AD106" i="1" s="1"/>
  <c r="AA120" i="1"/>
  <c r="AO120" i="1" s="1"/>
  <c r="AE7" i="1"/>
  <c r="AA103" i="1"/>
  <c r="AO103" i="1" s="1"/>
  <c r="AA134" i="1"/>
  <c r="AO134" i="1" s="1"/>
  <c r="AE9" i="1"/>
  <c r="Y9" i="1"/>
  <c r="Z9" i="1" s="1"/>
  <c r="AD9" i="1" s="1"/>
  <c r="AE57" i="1"/>
  <c r="Y57" i="1"/>
  <c r="Z57" i="1" s="1"/>
  <c r="AD57" i="1" s="1"/>
  <c r="Y73" i="1"/>
  <c r="Z73" i="1" s="1"/>
  <c r="AD73" i="1" s="1"/>
  <c r="AE73" i="1"/>
  <c r="AE99" i="1"/>
  <c r="Y99" i="1"/>
  <c r="Z99" i="1" s="1"/>
  <c r="AD99" i="1" s="1"/>
  <c r="AE126" i="1"/>
  <c r="Y48" i="1"/>
  <c r="Z48" i="1" s="1"/>
  <c r="AD48" i="1" s="1"/>
  <c r="AE48" i="1"/>
  <c r="Y54" i="1"/>
  <c r="Z54" i="1" s="1"/>
  <c r="AD54" i="1" s="1"/>
  <c r="AE54" i="1"/>
  <c r="AE74" i="1"/>
  <c r="Y74" i="1"/>
  <c r="Z74" i="1" s="1"/>
  <c r="AD74" i="1" s="1"/>
  <c r="AE122" i="1"/>
  <c r="AE68" i="1"/>
  <c r="Y68" i="1"/>
  <c r="Z68" i="1" s="1"/>
  <c r="AD68" i="1" s="1"/>
  <c r="AE32" i="1"/>
  <c r="AE41" i="1"/>
  <c r="Y41" i="1"/>
  <c r="Z41" i="1" s="1"/>
  <c r="AD41" i="1" s="1"/>
  <c r="AE64" i="1"/>
  <c r="Y64" i="1"/>
  <c r="AE83" i="1"/>
  <c r="AE11" i="1"/>
  <c r="Y11" i="1"/>
  <c r="Z11" i="1" s="1"/>
  <c r="AD11" i="1" s="1"/>
  <c r="Y79" i="1"/>
  <c r="Z79" i="1" s="1"/>
  <c r="AD79" i="1" s="1"/>
  <c r="AE79" i="1"/>
  <c r="AE127" i="1"/>
  <c r="Y127" i="1"/>
  <c r="Z127" i="1" s="1"/>
  <c r="AD127" i="1" s="1"/>
  <c r="AE22" i="1"/>
  <c r="Y22" i="1"/>
  <c r="Z22" i="1" s="1"/>
  <c r="AD22" i="1" s="1"/>
  <c r="AE59" i="1"/>
  <c r="Y59" i="1"/>
  <c r="Z59" i="1" s="1"/>
  <c r="AD59" i="1" s="1"/>
  <c r="AE69" i="1"/>
  <c r="Y69" i="1"/>
  <c r="Z69" i="1" s="1"/>
  <c r="AD69" i="1" s="1"/>
  <c r="AE50" i="1"/>
  <c r="Z50" i="1"/>
  <c r="AD50" i="1" s="1"/>
  <c r="AA28" i="1"/>
  <c r="AO28" i="1" s="1"/>
  <c r="Z33" i="1"/>
  <c r="AD33" i="1" s="1"/>
  <c r="AE33" i="1"/>
  <c r="AE65" i="1"/>
  <c r="AE123" i="1"/>
  <c r="Y128" i="1"/>
  <c r="Z128" i="1" s="1"/>
  <c r="AD128" i="1" s="1"/>
  <c r="AE128" i="1"/>
  <c r="AA12" i="1"/>
  <c r="AO12" i="1" s="1"/>
  <c r="AE24" i="1"/>
  <c r="Y24" i="1"/>
  <c r="Z24" i="1" s="1"/>
  <c r="AD24" i="1" s="1"/>
  <c r="AA60" i="1"/>
  <c r="AO60" i="1" s="1"/>
  <c r="AE84" i="1"/>
  <c r="Y102" i="1"/>
  <c r="Z102" i="1" s="1"/>
  <c r="AD102" i="1" s="1"/>
  <c r="AE102" i="1"/>
  <c r="AE70" i="1"/>
  <c r="Y70" i="1"/>
  <c r="Z70" i="1" s="1"/>
  <c r="AD70" i="1" s="1"/>
  <c r="AE6" i="1"/>
  <c r="Y6" i="1"/>
  <c r="Y16" i="1"/>
  <c r="Z16" i="1" s="1"/>
  <c r="AD16" i="1" s="1"/>
  <c r="AE16" i="1"/>
  <c r="AE46" i="1"/>
  <c r="AE129" i="1"/>
  <c r="Y129" i="1"/>
  <c r="Z129" i="1" s="1"/>
  <c r="AD129" i="1" s="1"/>
  <c r="AE30" i="1"/>
  <c r="AE29" i="1"/>
  <c r="AE71" i="1"/>
  <c r="Z71" i="1"/>
  <c r="AD71" i="1" s="1"/>
  <c r="AE97" i="1"/>
  <c r="Y97" i="1"/>
  <c r="Z97" i="1" s="1"/>
  <c r="AD97" i="1" s="1"/>
  <c r="Y124" i="1"/>
  <c r="Z124" i="1" s="1"/>
  <c r="AD124" i="1" s="1"/>
  <c r="AE124" i="1"/>
  <c r="Y61" i="1"/>
  <c r="Z61" i="1" s="1"/>
  <c r="AD61" i="1" s="1"/>
  <c r="AE61" i="1"/>
  <c r="AE23" i="1"/>
  <c r="AE21" i="1"/>
  <c r="AE52" i="1"/>
  <c r="Y52" i="1"/>
  <c r="Z52" i="1" s="1"/>
  <c r="AD52" i="1" s="1"/>
  <c r="Y85" i="1"/>
  <c r="Z85" i="1" s="1"/>
  <c r="AD85" i="1" s="1"/>
  <c r="AE85" i="1"/>
  <c r="AA89" i="1"/>
  <c r="AO89" i="1" s="1"/>
  <c r="Y130" i="1"/>
  <c r="Z130" i="1" s="1"/>
  <c r="AD130" i="1" s="1"/>
  <c r="AE130" i="1"/>
  <c r="Y31" i="1"/>
  <c r="Z31" i="1" s="1"/>
  <c r="AD31" i="1" s="1"/>
  <c r="AE31" i="1"/>
  <c r="Y81" i="1"/>
  <c r="Z81" i="1" s="1"/>
  <c r="AD81" i="1" s="1"/>
  <c r="AE81" i="1"/>
  <c r="AE39" i="1"/>
  <c r="Y39" i="1"/>
  <c r="Z39" i="1" s="1"/>
  <c r="AD39" i="1" s="1"/>
  <c r="AA62" i="1"/>
  <c r="AO62" i="1" s="1"/>
  <c r="AE90" i="1"/>
  <c r="Z90" i="1"/>
  <c r="AD90" i="1" s="1"/>
  <c r="Y14" i="1"/>
  <c r="Z14" i="1" s="1"/>
  <c r="AD14" i="1" s="1"/>
  <c r="AA20" i="1"/>
  <c r="AO20" i="1" s="1"/>
  <c r="Y43" i="1"/>
  <c r="Z43" i="1" s="1"/>
  <c r="AD43" i="1" s="1"/>
  <c r="AA78" i="1"/>
  <c r="AO78" i="1" s="1"/>
  <c r="Y107" i="1"/>
  <c r="Z107" i="1" s="1"/>
  <c r="AD107" i="1" s="1"/>
  <c r="Y109" i="1"/>
  <c r="Z109" i="1" s="1"/>
  <c r="AD109" i="1" s="1"/>
  <c r="Y111" i="1"/>
  <c r="Z111" i="1" s="1"/>
  <c r="AD111" i="1" s="1"/>
  <c r="Y113" i="1"/>
  <c r="Z113" i="1" s="1"/>
  <c r="AD113" i="1" s="1"/>
  <c r="Y115" i="1"/>
  <c r="Z115" i="1" s="1"/>
  <c r="AD115" i="1" s="1"/>
  <c r="AA66" i="1"/>
  <c r="AO66" i="1" s="1"/>
  <c r="AE12" i="1"/>
  <c r="AE60" i="1"/>
  <c r="AE62" i="1"/>
  <c r="AE89" i="1"/>
  <c r="Z38" i="1"/>
  <c r="AD38" i="1" s="1"/>
  <c r="Y96" i="1"/>
  <c r="Z96" i="1" s="1"/>
  <c r="AD96" i="1" s="1"/>
  <c r="Y98" i="1"/>
  <c r="Z98" i="1" s="1"/>
  <c r="AD98" i="1" s="1"/>
  <c r="Y100" i="1"/>
  <c r="Z100" i="1" s="1"/>
  <c r="AD100" i="1" s="1"/>
  <c r="AA133" i="1"/>
  <c r="AO133" i="1" s="1"/>
  <c r="AA63" i="1"/>
  <c r="AO63" i="1" s="1"/>
  <c r="Y88" i="1"/>
  <c r="Z88" i="1" s="1"/>
  <c r="AD88" i="1" s="1"/>
  <c r="Z8" i="1"/>
  <c r="AD8" i="1" s="1"/>
  <c r="Z49" i="1"/>
  <c r="AD49" i="1" s="1"/>
  <c r="AA72" i="1"/>
  <c r="AO72" i="1" s="1"/>
  <c r="AA45" i="1"/>
  <c r="AO45" i="1" s="1"/>
  <c r="Y117" i="1"/>
  <c r="Z117" i="1" s="1"/>
  <c r="AD117" i="1" s="1"/>
  <c r="AA105" i="1"/>
  <c r="AO105" i="1" s="1"/>
  <c r="L126" i="1"/>
  <c r="AA101" i="1"/>
  <c r="AO101" i="1" s="1"/>
  <c r="AA132" i="1"/>
  <c r="AO132" i="1" s="1"/>
  <c r="AA10" i="1"/>
  <c r="AO10" i="1" s="1"/>
  <c r="AA58" i="1"/>
  <c r="AO58" i="1" s="1"/>
  <c r="AA91" i="1"/>
  <c r="AO91" i="1" s="1"/>
  <c r="AD7" i="1" l="1"/>
  <c r="AB7" i="1"/>
  <c r="AQ7" i="1" s="1"/>
  <c r="AD47" i="1"/>
  <c r="AA47" i="1"/>
  <c r="AO47" i="1" s="1"/>
  <c r="M5" i="1"/>
  <c r="AE92" i="1"/>
  <c r="L5" i="1"/>
  <c r="X5" i="1"/>
  <c r="AA116" i="1"/>
  <c r="AO116" i="1" s="1"/>
  <c r="AA119" i="1"/>
  <c r="AO119" i="1" s="1"/>
  <c r="AD119" i="1"/>
  <c r="AB25" i="1"/>
  <c r="AQ25" i="1" s="1"/>
  <c r="AD25" i="1"/>
  <c r="AA82" i="1"/>
  <c r="AO82" i="1" s="1"/>
  <c r="AB27" i="1"/>
  <c r="AQ27" i="1" s="1"/>
  <c r="AA92" i="1"/>
  <c r="AO92" i="1" s="1"/>
  <c r="AD92" i="1"/>
  <c r="AA108" i="1"/>
  <c r="AO108" i="1" s="1"/>
  <c r="AA110" i="1"/>
  <c r="AO110" i="1" s="1"/>
  <c r="AB17" i="1"/>
  <c r="AA114" i="1"/>
  <c r="AO114" i="1" s="1"/>
  <c r="AA44" i="1"/>
  <c r="AO44" i="1" s="1"/>
  <c r="AA106" i="1"/>
  <c r="AO106" i="1" s="1"/>
  <c r="AA13" i="1"/>
  <c r="AO13" i="1" s="1"/>
  <c r="AA7" i="1"/>
  <c r="AO7" i="1" s="1"/>
  <c r="AA112" i="1"/>
  <c r="AO112" i="1" s="1"/>
  <c r="AB75" i="1"/>
  <c r="AA33" i="1"/>
  <c r="AO33" i="1" s="1"/>
  <c r="AA127" i="1"/>
  <c r="AO127" i="1" s="1"/>
  <c r="AA79" i="1"/>
  <c r="AO79" i="1" s="1"/>
  <c r="AA54" i="1"/>
  <c r="AO54" i="1" s="1"/>
  <c r="AA97" i="1"/>
  <c r="AO97" i="1" s="1"/>
  <c r="AA52" i="1"/>
  <c r="AO52" i="1" s="1"/>
  <c r="AA25" i="1"/>
  <c r="AO25" i="1" s="1"/>
  <c r="AB11" i="1"/>
  <c r="AQ11" i="1" s="1"/>
  <c r="AA48" i="1"/>
  <c r="AO48" i="1" s="1"/>
  <c r="AA96" i="1"/>
  <c r="AO96" i="1" s="1"/>
  <c r="AA102" i="1"/>
  <c r="AO102" i="1" s="1"/>
  <c r="AB50" i="1"/>
  <c r="AQ50" i="1" s="1"/>
  <c r="AA130" i="1"/>
  <c r="AO130" i="1" s="1"/>
  <c r="AB74" i="1"/>
  <c r="AQ74" i="1" s="1"/>
  <c r="AA70" i="1"/>
  <c r="AO70" i="1" s="1"/>
  <c r="AA39" i="1"/>
  <c r="AO39" i="1" s="1"/>
  <c r="AA129" i="1"/>
  <c r="AO129" i="1" s="1"/>
  <c r="AA43" i="1"/>
  <c r="AO43" i="1" s="1"/>
  <c r="AA99" i="1"/>
  <c r="AO99" i="1" s="1"/>
  <c r="AA14" i="1"/>
  <c r="AO14" i="1" s="1"/>
  <c r="AA24" i="1"/>
  <c r="AO24" i="1" s="1"/>
  <c r="AA69" i="1"/>
  <c r="AO69" i="1" s="1"/>
  <c r="AA41" i="1"/>
  <c r="AO41" i="1" s="1"/>
  <c r="AA107" i="1"/>
  <c r="AO107" i="1" s="1"/>
  <c r="AA61" i="1"/>
  <c r="AO61" i="1" s="1"/>
  <c r="AA100" i="1"/>
  <c r="AO100" i="1" s="1"/>
  <c r="AA117" i="1"/>
  <c r="AO117" i="1" s="1"/>
  <c r="AA59" i="1"/>
  <c r="AO59" i="1" s="1"/>
  <c r="AB73" i="1"/>
  <c r="AQ73" i="1" s="1"/>
  <c r="AB115" i="1"/>
  <c r="AQ115" i="1" s="1"/>
  <c r="AA81" i="1"/>
  <c r="AO81" i="1" s="1"/>
  <c r="AA57" i="1"/>
  <c r="AO57" i="1" s="1"/>
  <c r="AB22" i="1"/>
  <c r="AQ22" i="1" s="1"/>
  <c r="AA71" i="1"/>
  <c r="AO71" i="1" s="1"/>
  <c r="AA85" i="1"/>
  <c r="AO85" i="1" s="1"/>
  <c r="AB38" i="1"/>
  <c r="AQ38" i="1" s="1"/>
  <c r="AB49" i="1"/>
  <c r="AQ49" i="1" s="1"/>
  <c r="AA113" i="1"/>
  <c r="AO113" i="1" s="1"/>
  <c r="AA68" i="1"/>
  <c r="AO68" i="1" s="1"/>
  <c r="AA98" i="1"/>
  <c r="AO98" i="1" s="1"/>
  <c r="AB8" i="1"/>
  <c r="AQ8" i="1" s="1"/>
  <c r="AA111" i="1"/>
  <c r="AO111" i="1" s="1"/>
  <c r="AB16" i="1"/>
  <c r="AQ16" i="1" s="1"/>
  <c r="AA16" i="1"/>
  <c r="AO16" i="1" s="1"/>
  <c r="AA128" i="1"/>
  <c r="AO128" i="1" s="1"/>
  <c r="AA9" i="1"/>
  <c r="AO9" i="1" s="1"/>
  <c r="AB90" i="1"/>
  <c r="AQ90" i="1" s="1"/>
  <c r="AB88" i="1"/>
  <c r="AQ88" i="1" s="1"/>
  <c r="AA88" i="1"/>
  <c r="AO88" i="1" s="1"/>
  <c r="AA109" i="1"/>
  <c r="AO109" i="1" s="1"/>
  <c r="AB31" i="1"/>
  <c r="AQ31" i="1" s="1"/>
  <c r="AA124" i="1"/>
  <c r="AO124" i="1" s="1"/>
  <c r="Y5" i="1"/>
  <c r="Z6" i="1"/>
  <c r="AD6" i="1" s="1"/>
  <c r="AA27" i="1" l="1"/>
  <c r="AO27" i="1" s="1"/>
  <c r="AA115" i="1"/>
  <c r="AO115" i="1" s="1"/>
  <c r="AQ75" i="1"/>
  <c r="AA75" i="1"/>
  <c r="AO75" i="1" s="1"/>
  <c r="AA11" i="1"/>
  <c r="AO11" i="1" s="1"/>
  <c r="AA49" i="1"/>
  <c r="AO49" i="1" s="1"/>
  <c r="AQ17" i="1"/>
  <c r="AA17" i="1"/>
  <c r="AO17" i="1" s="1"/>
  <c r="AA8" i="1"/>
  <c r="AO8" i="1" s="1"/>
  <c r="AA38" i="1"/>
  <c r="AO38" i="1" s="1"/>
  <c r="AA74" i="1"/>
  <c r="AO74" i="1" s="1"/>
  <c r="AA31" i="1"/>
  <c r="AO31" i="1" s="1"/>
  <c r="Z5" i="1"/>
  <c r="AB6" i="1"/>
  <c r="AA50" i="1"/>
  <c r="AO50" i="1" s="1"/>
  <c r="AA22" i="1"/>
  <c r="AO22" i="1" s="1"/>
  <c r="AA90" i="1"/>
  <c r="AO90" i="1" s="1"/>
  <c r="AA73" i="1"/>
  <c r="AO73" i="1" s="1"/>
  <c r="AB5" i="1" l="1"/>
  <c r="AQ6" i="1"/>
  <c r="AQ5" i="1" s="1"/>
  <c r="AA6" i="1"/>
  <c r="AO6" i="1" l="1"/>
  <c r="AO5" i="1" s="1"/>
  <c r="AA5" i="1"/>
</calcChain>
</file>

<file path=xl/sharedStrings.xml><?xml version="1.0" encoding="utf-8"?>
<sst xmlns="http://schemas.openxmlformats.org/spreadsheetml/2006/main" count="503" uniqueCount="210">
  <si>
    <t>дн</t>
  </si>
  <si>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</si>
  <si>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</si>
  <si>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</si>
  <si>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</si>
  <si>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</si>
  <si>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</si>
  <si>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</si>
  <si>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</si>
  <si>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</si>
  <si>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</si>
  <si>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</si>
  <si>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</si>
  <si>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</si>
  <si>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</si>
  <si>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</si>
  <si>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</si>
  <si>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</si>
  <si>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</si>
  <si>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</si>
  <si>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</si>
  <si>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</si>
  <si>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</si>
  <si>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</si>
  <si>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</si>
  <si>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</si>
  <si>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</si>
  <si>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брак</t>
  </si>
  <si>
    <t>01,09,</t>
  </si>
  <si>
    <t>01,09,предзаказ</t>
  </si>
  <si>
    <t>02,09,</t>
  </si>
  <si>
    <t>02,09,доз</t>
  </si>
  <si>
    <t>02,09,(2)</t>
  </si>
  <si>
    <t>02,09,(2)доз</t>
  </si>
  <si>
    <t>30,07,</t>
  </si>
  <si>
    <t>03,08,</t>
  </si>
  <si>
    <t>04,08,</t>
  </si>
  <si>
    <t>Боярко</t>
  </si>
  <si>
    <t>28,07,</t>
  </si>
  <si>
    <t>23,07,</t>
  </si>
  <si>
    <t>21,07,</t>
  </si>
  <si>
    <t>20,07,</t>
  </si>
  <si>
    <t>16,07,</t>
  </si>
  <si>
    <t>14,07,</t>
  </si>
  <si>
    <t>09,07,</t>
  </si>
  <si>
    <t>07,07,</t>
  </si>
  <si>
    <t xml:space="preserve"> 005  Колбаса Докторская ГОСТ, Вязанка вектор,ВЕС. ПОКОМ</t>
  </si>
  <si>
    <t>кг</t>
  </si>
  <si>
    <t>ТОП / 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</si>
  <si>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</si>
  <si>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</si>
  <si>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</si>
  <si>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</si>
  <si>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матрица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</si>
  <si>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</si>
  <si>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</si>
  <si>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</si>
  <si>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</si>
  <si>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</si>
  <si>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</si>
  <si>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</si>
  <si>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</si>
  <si>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</si>
  <si>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</si>
  <si>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перемещение ЛП????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</si>
  <si>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</si>
  <si>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</si>
  <si>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</si>
  <si>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</si>
  <si>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</si>
  <si>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</si>
  <si>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</si>
  <si>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</si>
  <si>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</si>
  <si>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</si>
  <si>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</si>
  <si>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</si>
  <si>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</si>
  <si>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</si>
  <si>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</si>
  <si>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</si>
  <si>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</si>
  <si>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</si>
  <si>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</si>
  <si>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</si>
  <si>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</si>
  <si>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</si>
  <si>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</si>
  <si>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</si>
  <si>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</si>
  <si>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</si>
  <si>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</si>
  <si>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</si>
  <si>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</si>
  <si>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</si>
  <si>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</si>
  <si>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</si>
  <si>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</si>
  <si>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</si>
  <si>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</si>
  <si>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31,07,26 начали заказывать / 150кг под задачи ТК (31,07,26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</si>
  <si>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</si>
  <si>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</si>
  <si>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</si>
  <si>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нужно увеличить продажи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</si>
  <si>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</si>
  <si>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</si>
  <si>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</si>
  <si>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</si>
  <si>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</si>
  <si>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</si>
  <si>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</si>
  <si>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</si>
  <si>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</si>
  <si>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</si>
  <si>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</si>
  <si>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</si>
  <si>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</si>
  <si>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</si>
  <si>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</si>
  <si>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</si>
  <si>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</si>
  <si>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</si>
  <si>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</si>
  <si>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</si>
  <si>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150кг под задачи ТК (31,07,26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</si>
  <si>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</si>
  <si>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</si>
  <si>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</si>
  <si>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</si>
  <si>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</si>
  <si>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</si>
  <si>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</si>
  <si>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</si>
  <si>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</si>
  <si>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</si>
  <si>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</si>
  <si>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</si>
  <si>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</si>
  <si>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</si>
  <si>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</si>
  <si>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</si>
  <si>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15,07,26)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</si>
  <si>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</si>
  <si>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</si>
  <si>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</si>
  <si>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</si>
  <si>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</si>
  <si>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</si>
  <si>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</si>
  <si>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</si>
  <si>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</si>
  <si>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</si>
  <si>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</si>
  <si>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</si>
  <si>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</si>
  <si>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</si>
  <si>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</si>
  <si>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</si>
  <si>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</si>
  <si>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</si>
  <si>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</si>
  <si>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</si>
  <si>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</si>
  <si>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</si>
  <si>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</si>
  <si>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</si>
  <si>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</si>
  <si>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</si>
  <si>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</si>
  <si>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</si>
  <si>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</si>
  <si>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</si>
  <si>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</si>
  <si>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</si>
  <si>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</si>
  <si>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</si>
  <si>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</si>
  <si>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</si>
  <si>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</si>
  <si>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</si>
  <si>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</si>
  <si>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</si>
  <si>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</si>
  <si>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</si>
  <si>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</si>
  <si>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</si>
  <si>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</si>
  <si>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</si>
  <si>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</si>
  <si>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</si>
  <si>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</si>
  <si>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нужно увеличить продажи!!! / 08,07,26 +250кг (задача от завода для ТК / просили 350кг)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</si>
  <si>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</si>
  <si>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</si>
  <si>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</si>
  <si>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</si>
  <si>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</si>
  <si>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</si>
  <si>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</si>
  <si>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</si>
  <si>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</si>
  <si>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Сосиски «Молочные для завтрака» Весовой п/а ТМ «Особый рецепт»</t>
  </si>
  <si>
    <t>Сосиски «Молочные для завтрака» Фикс.вес 0,4 П/а мгс ТМ «Особый рецепт»</t>
  </si>
  <si>
    <t>Сардельки «Сливушки» фикс.вес 0,33 п/а мгс ТМ «Вязанка»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</si>
  <si>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</si>
  <si>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</si>
  <si>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Сосиски «Баварские» Фикс.вес 0,35 П/а ТМ «Стародворье»</t>
  </si>
  <si>
    <t>02,09,(2)недогр</t>
  </si>
  <si>
    <t>01,09,доз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</si>
</sst>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0" fontId="0" fillId="0" borderId="1" xfId="0"/>
    <xf numFmtId="165" fontId="1" fillId="0" borderId="1" xfId="1" applyNumberFormat="1"/>
    <xf numFmtId="164" fontId="6" fillId="0" borderId="1" xfId="1" applyNumberFormat="1" applyFont="1"/>
    <xf numFmtId="164" fontId="1" fillId="8" borderId="1" xfId="1" applyNumberFormat="1" applyFill="1"/>
    <xf numFmtId="164" fontId="5" fillId="0" borderId="1" xfId="1" applyNumberFormat="1" applyFont="1"/>
    <xf numFmtId="0" fontId="0" fillId="0" borderId="1" xfId="0" applyBorder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 applyBorder="1"/>
    <xf numFmtId="164" fontId="1" fillId="9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2026\&#1047;&#1040;&#1042;&#1054;&#1044;&#1067;\&#1055;&#1054;&#1050;&#1054;&#1052;\&#1092;&#1080;&#1083;&#1080;&#1072;&#1083;&#1099;%20&#1053;&#1042;\07,26\30,07,26%20&#1055;&#1054;&#1050;&#1054;&#1052;%20&#1050;&#1048;\&#1044;&#1086;&#1085;&#1077;&#1094;&#1082;%20&#1050;&#1048;%20&#1053;&#1042;%2003,08.xlsx" TargetMode="External"/><Relationship Id="rId1" Type="http://schemas.openxmlformats.org/officeDocument/2006/relationships/externalLinkPath" Target="&#1044;&#1086;&#1085;&#1077;&#1094;&#1082;%20&#1050;&#1048;%20&#1053;&#1042;%2003,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">
          <cell r="A1" t="str">
            <v xml:space="preserve"> 005  Колбаса Докторская ГОСТ, Вязанка вектор,ВЕС. ПОКОМ</v>
          </cell>
          <cell r="B1">
            <v>361</v>
          </cell>
        </row>
        <row r="2">
          <cell r="A2" t="str">
            <v xml:space="preserve"> 016  Сосиски Вязанка Молочные, Вязанка вискофан  ВЕС.ПОКОМ</v>
          </cell>
          <cell r="B2">
            <v>497</v>
          </cell>
        </row>
        <row r="3">
          <cell r="A3" t="str">
            <v xml:space="preserve"> 017  Сосиски Вязанка Сливочные, Вязанка амицел ВЕС.ПОКОМ</v>
          </cell>
          <cell r="B3">
            <v>944</v>
          </cell>
        </row>
        <row r="4">
          <cell r="A4" t="str">
            <v xml:space="preserve"> 023  Колбаса Докторская ГОСТ, Вязанка вектор, 0,4 кг, ПОКОМ</v>
          </cell>
          <cell r="B4">
            <v>4</v>
          </cell>
        </row>
        <row r="5">
          <cell r="A5" t="str">
            <v xml:space="preserve"> 030  Сосиски Вязанка Молочные, Вязанка вискофан МГС, 0.45кг, ПОКОМ</v>
          </cell>
          <cell r="B5">
            <v>429</v>
          </cell>
        </row>
        <row r="6">
          <cell r="A6" t="str">
            <v xml:space="preserve"> 032  Сосиски Вязанка Сливочные, Вязанка амицел МГС, 0.45кг, ПОКОМ</v>
          </cell>
          <cell r="B6">
            <v>368</v>
          </cell>
        </row>
        <row r="7">
          <cell r="A7" t="str">
            <v xml:space="preserve"> 047  Кол Баварская, белков.обол. в термоусад. пакете 0.17 кг, ТМ Стародворье  ПОКОМ</v>
          </cell>
          <cell r="B7">
            <v>40</v>
          </cell>
        </row>
        <row r="8">
          <cell r="A8" t="str">
            <v xml:space="preserve"> 062  Колбаса Кракушка пряная с сальцем, 0.3кг в/у п/к, БАВАРУШКА ПОКОМ</v>
          </cell>
          <cell r="B8">
            <v>13</v>
          </cell>
        </row>
        <row r="9">
          <cell r="A9" t="str">
            <v xml:space="preserve"> 083  Колбаса Швейцарская 0,17 кг., ШТ., сырокопченая   ПОКОМ</v>
          </cell>
          <cell r="B9">
            <v>13</v>
          </cell>
        </row>
        <row r="10">
          <cell r="A10" t="str">
            <v xml:space="preserve"> 103  Сосиски Классические, 0.42кг,ядрена копотьПОКОМ</v>
          </cell>
          <cell r="B10">
            <v>0</v>
          </cell>
        </row>
        <row r="11">
          <cell r="A11" t="str">
            <v xml:space="preserve"> 200  Ветчина Дугушка ТМ Стародворье, вектор в/у    ПОКОМ</v>
          </cell>
          <cell r="B11">
            <v>966</v>
          </cell>
        </row>
        <row r="12">
          <cell r="A12" t="str">
            <v xml:space="preserve"> 201  Ветчина Нежная ТМ Особый рецепт, (2,5кг), ПОКОМ</v>
          </cell>
          <cell r="B12">
            <v>367</v>
          </cell>
        </row>
        <row r="13">
          <cell r="A13" t="str">
            <v xml:space="preserve"> 215  Колбаса Докторская ГОСТ Дугушка, ВЕС, ТМ Стародворье ПОКОМ</v>
          </cell>
          <cell r="B13">
            <v>0</v>
          </cell>
        </row>
        <row r="14">
          <cell r="A14" t="str">
            <v xml:space="preserve"> 219  Колбаса Докторская Особая ТМ Особый рецепт, ВЕС  ПОКОМ</v>
          </cell>
          <cell r="B14">
            <v>0</v>
          </cell>
        </row>
        <row r="15">
          <cell r="A15" t="str">
            <v xml:space="preserve"> 225  Колбаса Дугушка со шпиком, ВЕС, ТМ Стародворье   ПОКОМ</v>
          </cell>
          <cell r="B15">
            <v>0</v>
          </cell>
        </row>
        <row r="16">
          <cell r="A16" t="str">
            <v xml:space="preserve"> 226  Колбаса Княжеская, с/к белков.обол в термоусад. пакете, ВЕС, ТМ Стародворье ПОКОМ</v>
          </cell>
          <cell r="B16">
            <v>0</v>
          </cell>
        </row>
        <row r="17">
          <cell r="A17" t="str">
            <v xml:space="preserve"> 229  Колбаса Молочная Дугушка, в/у, ВЕС, ТМ Стародворье   ПОКОМ</v>
          </cell>
          <cell r="B17">
            <v>836</v>
          </cell>
        </row>
        <row r="18">
          <cell r="A18" t="str">
            <v xml:space="preserve"> 230  Колбаса Молочная Особая ТМ Особый рецепт, п/а, ВЕС. ПОКОМ</v>
          </cell>
          <cell r="B18">
            <v>0</v>
          </cell>
        </row>
        <row r="19">
          <cell r="A19" t="str">
            <v xml:space="preserve"> 236  Колбаса Рубленая ЗАПЕЧ. Дугушка ТМ Стародворье, вектор, в/к    ПОКОМ</v>
          </cell>
          <cell r="B19">
            <v>51</v>
          </cell>
        </row>
        <row r="20">
          <cell r="A20" t="str">
            <v xml:space="preserve"> 239  Колбаса Салями запеч Дугушка, оболочка вектор, ВЕС, ТМ Стародворье  ПОКОМ</v>
          </cell>
          <cell r="B20">
            <v>329</v>
          </cell>
        </row>
        <row r="21">
          <cell r="A21" t="str">
            <v xml:space="preserve"> 240  Колбаса Салями охотничья, ВЕС. ПОКОМ</v>
          </cell>
          <cell r="B21">
            <v>0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>
            <v>418</v>
          </cell>
        </row>
        <row r="23">
          <cell r="A23" t="str">
            <v xml:space="preserve"> 244  Колбаса Сервелат Кремлевский, ВЕС. ПОКОМ</v>
          </cell>
          <cell r="B23">
            <v>36</v>
          </cell>
        </row>
        <row r="24">
          <cell r="A24" t="str">
            <v xml:space="preserve"> 247  Сардельки Нежные, ВЕС.  ПОКОМ</v>
          </cell>
          <cell r="B24">
            <v>0</v>
          </cell>
        </row>
        <row r="25">
          <cell r="A25" t="str">
            <v xml:space="preserve"> 248  Сардельки Сочные ТМ Особый рецепт,   ПОКОМ</v>
          </cell>
          <cell r="B25">
            <v>0</v>
          </cell>
        </row>
        <row r="26">
          <cell r="A26" t="str">
            <v xml:space="preserve"> 250  Сардельки стародворские с говядиной в обол. NDX, ВЕС. ПОКОМ</v>
          </cell>
          <cell r="B26">
            <v>281</v>
          </cell>
        </row>
        <row r="27">
          <cell r="A27" t="str">
            <v xml:space="preserve"> 253  Сосиски Ганноверские   ПОКОМ</v>
          </cell>
          <cell r="B27">
            <v>0</v>
          </cell>
        </row>
        <row r="28">
          <cell r="A28" t="str">
            <v xml:space="preserve"> 255  Сосиски Молочные для завтрака ТМ Особый рецепт, п/а МГС, ВЕС, ТМ Стародворье  ПОКОМ</v>
          </cell>
          <cell r="B28">
            <v>804</v>
          </cell>
        </row>
        <row r="29">
          <cell r="A29" t="str">
            <v xml:space="preserve"> 257  Сосиски Молочные оригинальные ТМ Особый рецепт, ВЕС.   ПОКОМ</v>
          </cell>
          <cell r="B29">
            <v>0</v>
          </cell>
        </row>
        <row r="30">
          <cell r="A30" t="str">
            <v xml:space="preserve"> 263  Шпикачки Стародворские, ВЕС.  ПОКОМ</v>
          </cell>
          <cell r="B30">
            <v>0</v>
          </cell>
        </row>
        <row r="31">
          <cell r="A31" t="str">
            <v xml:space="preserve"> 265  Колбаса Балыкбургская, ВЕС, ТМ Баварушка  ПОКОМ</v>
          </cell>
          <cell r="B31">
            <v>0</v>
          </cell>
        </row>
        <row r="32">
          <cell r="A32" t="str">
            <v xml:space="preserve"> 267  Колбаса Салями Филейбургская зернистая, оболочка фиброуз, ВЕС, ТМ Баварушка  ПОКОМ</v>
          </cell>
          <cell r="B32">
            <v>0</v>
          </cell>
        </row>
        <row r="33">
          <cell r="A33" t="str">
            <v xml:space="preserve"> 273  Сосиски Сочинки с сочной грудинкой, МГС 0.4кг,   ПОКОМ</v>
          </cell>
          <cell r="B33">
            <v>463</v>
          </cell>
        </row>
        <row r="34">
          <cell r="A34" t="str">
            <v xml:space="preserve"> 276  Колбаса Сливушка ТМ Вязанка в оболочке полиамид 0,45 кг  ПОКОМ</v>
          </cell>
          <cell r="B34">
            <v>212</v>
          </cell>
        </row>
        <row r="35">
          <cell r="A35" t="str">
            <v xml:space="preserve"> 278  Сосиски Сочинки с сочным окороком, МГС 0.4кг,   ПОКОМ</v>
          </cell>
          <cell r="B35">
            <v>0</v>
          </cell>
        </row>
        <row r="36">
          <cell r="A36" t="str">
            <v xml:space="preserve"> 281  Сосиски Молочные для завтрака ТМ Особый рецепт, 0,4кг  ПОКОМ</v>
          </cell>
          <cell r="B36">
            <v>41</v>
          </cell>
        </row>
        <row r="37">
          <cell r="A37" t="str">
            <v xml:space="preserve"> 283  Сосиски Сочинки, ВЕС, ТМ Стародворье ПОКОМ</v>
          </cell>
          <cell r="B37">
            <v>120</v>
          </cell>
        </row>
        <row r="38">
          <cell r="A38" t="str">
            <v xml:space="preserve"> 285  Паштет печеночный со слив.маслом ТМ Стародворье ламистер 0,1 кг  ПОКОМ</v>
          </cell>
          <cell r="B38">
            <v>16</v>
          </cell>
        </row>
        <row r="39">
          <cell r="A39" t="str">
            <v xml:space="preserve"> 296  Колбаса Мясорубская с рубленой грудинкой 0,35кг срез ТМ Стародворье  ПОКОМ</v>
          </cell>
          <cell r="B39">
            <v>46</v>
          </cell>
        </row>
        <row r="40">
          <cell r="A40" t="str">
            <v xml:space="preserve"> 297  Колбаса Мясорубская с рубленой грудинкой ВЕС ТМ Стародворье  ПОКОМ</v>
          </cell>
          <cell r="B40">
            <v>0</v>
          </cell>
        </row>
        <row r="41">
          <cell r="A41" t="str">
            <v xml:space="preserve"> 301  Сосиски Сочинки по-баварски с сыром,  0.4кг, ТМ Стародворье  ПОКОМ</v>
          </cell>
          <cell r="B41">
            <v>120</v>
          </cell>
        </row>
        <row r="42">
          <cell r="A42" t="str">
            <v xml:space="preserve"> 302  Сосиски Сочинки по-баварски,  0.4кг, ТМ Стародворье  ПОКОМ</v>
          </cell>
          <cell r="B42">
            <v>109</v>
          </cell>
        </row>
        <row r="43">
          <cell r="A43" t="str">
            <v xml:space="preserve"> 305  Колбаса Сервелат Мясорубский с мелкорубленным окороком в/у  ТМ Стародворье ВЕС   ПОКОМ</v>
          </cell>
          <cell r="B43">
            <v>15</v>
          </cell>
        </row>
        <row r="44">
          <cell r="A44" t="str">
            <v xml:space="preserve"> 307  Колбаса Сервелат Мясорубский с мелкорубленным окороком 0,35 кг срез ТМ Стародворье   Поком</v>
          </cell>
          <cell r="B44">
            <v>49</v>
          </cell>
        </row>
        <row r="45">
          <cell r="A45" t="str">
            <v xml:space="preserve"> 309  Сосиски Сочинки с сыром 0,4 кг ТМ Стародворье  ПОКОМ</v>
          </cell>
          <cell r="B45">
            <v>69</v>
          </cell>
        </row>
        <row r="46">
          <cell r="A46" t="str">
            <v xml:space="preserve"> 312  Ветчина Филейская ВЕС ТМ  Вязанка ТС Столичная  ПОКОМ</v>
          </cell>
          <cell r="B46">
            <v>0</v>
          </cell>
        </row>
        <row r="47">
          <cell r="A47" t="str">
            <v xml:space="preserve"> 315  Колбаса вареная Молокуша ТМ Вязанка ВЕС, ПОКОМ</v>
          </cell>
          <cell r="B47">
            <v>322</v>
          </cell>
        </row>
        <row r="48">
          <cell r="A48" t="str">
            <v xml:space="preserve"> 318  Сосиски Датские ТМ Зареченские, ВЕС  ПОКОМ</v>
          </cell>
          <cell r="B48">
            <v>0</v>
          </cell>
        </row>
        <row r="49">
          <cell r="A49" t="str">
            <v xml:space="preserve"> 319  Колбаса вареная Филейская ТМ Вязанка ТС Классическая, 0,45 кг. ПОКОМ</v>
          </cell>
          <cell r="B49">
            <v>161</v>
          </cell>
        </row>
        <row r="50">
          <cell r="A50" t="str">
            <v xml:space="preserve"> 322  Колбаса вареная Молокуша 0,45кг ТМ Вязанка  ПОКОМ</v>
          </cell>
          <cell r="B50">
            <v>0</v>
          </cell>
        </row>
        <row r="51">
          <cell r="A51" t="str">
            <v xml:space="preserve"> 328  Сардельки Сочинки Стародворье ТМ  0,4 кг ПОКОМ</v>
          </cell>
          <cell r="B51">
            <v>0</v>
          </cell>
        </row>
        <row r="52">
          <cell r="A52" t="str">
            <v xml:space="preserve"> 329  Сардельки Сочинки с сыром Стародворье ТМ, 0,4 кг. ПОКОМ</v>
          </cell>
          <cell r="B52">
            <v>6</v>
          </cell>
        </row>
        <row r="53">
          <cell r="A53" t="str">
            <v xml:space="preserve"> 330  Колбаса вареная Филейская ТМ Вязанка ТС Классическая ВЕС  ПОКОМ</v>
          </cell>
          <cell r="B53">
            <v>0</v>
          </cell>
        </row>
        <row r="54">
          <cell r="A54" t="str">
            <v xml:space="preserve"> 334  Паштет Любительский ТМ Стародворье ламистер 0,1 кг  ПОКОМ</v>
          </cell>
          <cell r="B54">
            <v>7</v>
          </cell>
        </row>
        <row r="55">
          <cell r="A55" t="str">
            <v xml:space="preserve"> 335  Колбаса Сливушка ТМ Вязанка. ВЕС.  ПОКОМ </v>
          </cell>
          <cell r="B55">
            <v>278</v>
          </cell>
        </row>
        <row r="56">
          <cell r="A56" t="str">
            <v xml:space="preserve"> 336  Ветчина Сливушка с индейкой ТМ Вязанка. ВЕС  ПОКОМ</v>
          </cell>
          <cell r="B56">
            <v>25</v>
          </cell>
        </row>
        <row r="57">
          <cell r="A57" t="str">
            <v xml:space="preserve"> 338  Паштет печеночный с морковью ТМ Стародворье ламистер 0,1 кг.  ПОКОМ</v>
          </cell>
          <cell r="B57">
            <v>6</v>
          </cell>
        </row>
        <row r="58">
          <cell r="A58" t="str">
            <v xml:space="preserve"> 339  Колбаса вареная Филейская ТМ Вязанка ТС Классическая, 0,40 кг.  ПОКОМ</v>
          </cell>
          <cell r="B58">
            <v>0</v>
          </cell>
        </row>
        <row r="59">
          <cell r="A59" t="str">
            <v xml:space="preserve"> 340  Сосиски Сочинки Молочные ТМ Стародворье, ВЕС ПОКОМ</v>
          </cell>
          <cell r="B59">
            <v>150</v>
          </cell>
        </row>
        <row r="60">
          <cell r="A60" t="str">
            <v xml:space="preserve"> 341 Сосиски Сочинки Сливочные ТМ Стародворье ВЕС ПОКОМ</v>
          </cell>
          <cell r="B60">
            <v>150</v>
          </cell>
        </row>
        <row r="61">
          <cell r="A61" t="str">
            <v xml:space="preserve"> 342 Сосиски Сочинки Молочные ТМ Стародворье 0,4 кг ПОКОМ</v>
          </cell>
          <cell r="B61">
            <v>0</v>
          </cell>
        </row>
        <row r="62">
          <cell r="A62" t="str">
            <v xml:space="preserve"> 343 Сосиски Сочинки Сливочные ТМ Стародворье  0,4 кг ПОКОМ</v>
          </cell>
          <cell r="B62">
            <v>0</v>
          </cell>
        </row>
        <row r="63">
          <cell r="A63" t="str">
            <v xml:space="preserve"> 344  Колбаса Сочинка по-европейски с сочной грудинкой ТМ Стародворье, ВЕС ПОКОМ</v>
          </cell>
          <cell r="B63">
            <v>111</v>
          </cell>
        </row>
        <row r="64">
          <cell r="A64" t="str">
            <v xml:space="preserve"> 345  Колбаса Сочинка по-фински с сочным окроком ТМ Стародворье ВЕС ПОКОМ</v>
          </cell>
          <cell r="B64">
            <v>40</v>
          </cell>
        </row>
        <row r="65">
          <cell r="A65" t="str">
            <v xml:space="preserve"> 346  Колбаса Сочинка зернистая с сочной грудинкой ТМ Стародворье.ВЕС ПОКОМ</v>
          </cell>
          <cell r="B65">
            <v>95</v>
          </cell>
        </row>
        <row r="66">
          <cell r="A66" t="str">
            <v xml:space="preserve"> 347  Колбаса Сочинка рубленая с сочным окороком ТМ Стародворье ВЕС ПОКОМ</v>
          </cell>
          <cell r="B66">
            <v>73</v>
          </cell>
        </row>
        <row r="67">
          <cell r="A67" t="str">
            <v xml:space="preserve"> 355  Колбаса Сервелат запеченный ТМ Стародворье ТС Дугушка. 0,6 кг. ПОКОМ</v>
          </cell>
          <cell r="B67">
            <v>0</v>
          </cell>
        </row>
        <row r="68">
          <cell r="A68" t="str">
            <v xml:space="preserve"> 364  Сардельки Филейские Вязанка ВЕС NDX ТМ Вязанка  ПОКОМ</v>
          </cell>
          <cell r="B68">
            <v>277</v>
          </cell>
        </row>
        <row r="69">
          <cell r="A69" t="str">
            <v xml:space="preserve"> 376  Колбаса Докторская Дугушка 0,6кг ГОСТ ТМ Стародворье  ПОКОМ </v>
          </cell>
          <cell r="B69">
            <v>182</v>
          </cell>
        </row>
        <row r="70">
          <cell r="A70" t="str">
            <v xml:space="preserve"> 377  Колбаса Молочная Дугушка 0,6кг ТМ Стародворье  ПОКОМ</v>
          </cell>
          <cell r="B70">
            <v>152</v>
          </cell>
        </row>
        <row r="71">
          <cell r="A71" t="str">
            <v xml:space="preserve"> 387  Колбаса вареная Мусульманская Халяль ТМ Вязанка, 0,4 кг ПОКОМ</v>
          </cell>
          <cell r="B71">
            <v>0</v>
          </cell>
        </row>
        <row r="72">
          <cell r="A72" t="str">
            <v xml:space="preserve"> 388  Сосиски Восточные Халяль ТМ Вязанка 0,33 кг АК. ПОКОМ</v>
          </cell>
          <cell r="B72">
            <v>0</v>
          </cell>
        </row>
        <row r="73">
          <cell r="A73" t="str">
            <v xml:space="preserve"> 394 Колбаса полукопченая Аль-Ислами халяль ТМ Вязанка оболочка фиброуз в в/у 0,35 кг  ПОКОМ</v>
          </cell>
          <cell r="B73">
            <v>0</v>
          </cell>
        </row>
        <row r="74">
          <cell r="A74" t="str">
            <v xml:space="preserve"> 395  Колбаса Докторская ГОСТ ТМ Вязанка в оболочке полиамид 0,37 кг. ПОКОМ</v>
          </cell>
          <cell r="B74">
            <v>22</v>
          </cell>
        </row>
        <row r="75">
          <cell r="A75" t="str">
            <v xml:space="preserve"> 397  Ветчина Дугушка ТМ Стародворье ТС Дугушка в полиамидной оболочке 0,6 кг. ПОКОМ</v>
          </cell>
          <cell r="B75">
            <v>95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B76">
            <v>130</v>
          </cell>
        </row>
        <row r="77">
          <cell r="A77" t="str">
            <v xml:space="preserve"> 408  Ветчина Сливушка с индейкой ТМ Вязанка, 0,4кг  ПОКОМ</v>
          </cell>
          <cell r="B77">
            <v>25</v>
          </cell>
        </row>
        <row r="78">
          <cell r="A78" t="str">
            <v xml:space="preserve"> 410  Сосиски Баварские с сыром ТМ Стародворье 0,35 кг. ПОКОМ</v>
          </cell>
          <cell r="B78">
            <v>35</v>
          </cell>
        </row>
        <row r="79">
          <cell r="A79" t="str">
            <v xml:space="preserve"> 412  Сосиски Баварские ТМ Стародворье 0,35 кг ПОКОМ</v>
          </cell>
          <cell r="B79">
            <v>140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B80">
            <v>8</v>
          </cell>
        </row>
        <row r="81">
          <cell r="A81" t="str">
            <v xml:space="preserve"> 433 Колбаса Стародворская со шпиком  в оболочке полиамид. ТМ Стародворье ВЕС ПОКОМ</v>
          </cell>
          <cell r="B81">
            <v>0</v>
          </cell>
        </row>
        <row r="82">
          <cell r="A82" t="str">
            <v xml:space="preserve"> 436  Колбаса Молочная стародворская с молоком, ВЕС, ТМ Стародворье  ПОКОМ</v>
          </cell>
          <cell r="B82">
            <v>0</v>
          </cell>
        </row>
        <row r="83">
          <cell r="A83" t="str">
            <v xml:space="preserve"> 449  Колбаса Дугушка Стародворская ВЕС ТС Дугушка ПОКОМ</v>
          </cell>
          <cell r="B83">
            <v>308</v>
          </cell>
        </row>
        <row r="84">
          <cell r="A84" t="str">
            <v xml:space="preserve"> 451 Сосиски Филейские ТМ Вязанка в оболочке целлофан 0,3 кг. ПОКОМ</v>
          </cell>
          <cell r="B84">
            <v>35</v>
          </cell>
        </row>
        <row r="85">
          <cell r="A85" t="str">
            <v xml:space="preserve"> 452  Колбаса Со шпиком ВЕС большой батон ТМ Особый рецепт  ПОКОМ</v>
          </cell>
          <cell r="B85">
            <v>337</v>
          </cell>
        </row>
        <row r="86">
          <cell r="A86" t="str">
            <v xml:space="preserve"> 456  Колбаса Филейная ТМ Особый рецепт ВЕС большой батон  ПОКОМ</v>
          </cell>
          <cell r="B86">
            <v>0</v>
          </cell>
        </row>
        <row r="87">
          <cell r="A87" t="str">
            <v xml:space="preserve"> 457  Колбаса Молочная ТМ Особый рецепт ВЕС большой батон  ПОКОМ</v>
          </cell>
          <cell r="B87">
            <v>151</v>
          </cell>
        </row>
        <row r="88">
          <cell r="A88" t="str">
            <v xml:space="preserve"> 460  Колбаса Стародворская Традиционная ВЕС ТМ Стародворье в оболочке полиамид. ПОКОМ</v>
          </cell>
          <cell r="B88">
            <v>0</v>
          </cell>
        </row>
        <row r="89">
          <cell r="A89" t="str">
            <v xml:space="preserve"> 463  Колбаса Молочная Традиционнаяв оболочке полиамид.ТМ Стародворье. ВЕС ПОКОМ</v>
          </cell>
          <cell r="B89">
            <v>0</v>
          </cell>
        </row>
        <row r="90">
          <cell r="A90" t="str">
            <v xml:space="preserve"> 485  Колбаса Молочная по-стародворски ТМ Стародворье в оболочке полиамид. ВЕС ПОКОМ </v>
          </cell>
          <cell r="B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>
            <v>12</v>
          </cell>
        </row>
        <row r="92">
          <cell r="A92" t="str">
            <v xml:space="preserve"> 517  Сосиски С сыром ТМ Ядрена копоть 0,3кг  ПОКОМ</v>
          </cell>
          <cell r="B92">
            <v>9</v>
          </cell>
        </row>
        <row r="93">
          <cell r="A93" t="str">
            <v xml:space="preserve"> 523  Колбаса Сальчичон нарезка 0,07кг ТМ Стародворье  ПОКОМ </v>
          </cell>
          <cell r="B93">
            <v>6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>
            <v>4</v>
          </cell>
        </row>
        <row r="95">
          <cell r="A95" t="str">
            <v xml:space="preserve"> 525  Колбаса Фуэт нарезка 0,07кг ТМ Стародворье  ПОКОМ</v>
          </cell>
          <cell r="B95">
            <v>3</v>
          </cell>
        </row>
        <row r="96">
          <cell r="A96" t="str">
            <v xml:space="preserve"> 526  Корейка вяленая выдержанная нарезка 0,05кг ТМ Стародворье  ПОКОМ</v>
          </cell>
          <cell r="B96">
            <v>0</v>
          </cell>
        </row>
        <row r="97">
          <cell r="A97" t="str">
            <v xml:space="preserve"> 544  Сосиски Мясные для гриля ТС Ядрена копоть 0,3 кг  ПОКОМ</v>
          </cell>
          <cell r="B97">
            <v>9</v>
          </cell>
        </row>
        <row r="98">
          <cell r="A98" t="str">
            <v xml:space="preserve"> 547  Колбаса Мясная Классическая ТМ Вязанка в оболочке полиамид. ВЕС  ПОКОМ</v>
          </cell>
          <cell r="B98">
            <v>0</v>
          </cell>
        </row>
        <row r="99">
          <cell r="A99" t="str">
            <v xml:space="preserve"> 551  Колбаса Сливушка ТМ Вязанка в модифицированной газовой среде 0,11 кг нарезка  ПОКОМ</v>
          </cell>
          <cell r="B99">
            <v>9</v>
          </cell>
        </row>
        <row r="100">
          <cell r="A100" t="str">
            <v xml:space="preserve"> 552  Ветчина Сливушка с индейкой ТМ Вязанка в модифицированной газовой среде 0,1 кг нарезка  ПОКОМ</v>
          </cell>
          <cell r="B100">
            <v>0</v>
          </cell>
        </row>
        <row r="101">
          <cell r="A101" t="str">
            <v xml:space="preserve"> 553  Ассорти колбас Мясорубская коллекция: Сервелат Делюкс, С балыком 0,08 кг нарезка  ПОКОМ</v>
          </cell>
          <cell r="B101">
            <v>15</v>
          </cell>
        </row>
        <row r="102">
          <cell r="A102" t="str">
            <v xml:space="preserve"> 554  Колбаса Сервелат Мясорубский ТМ Стародворье в упаковке скин 0,08 кг нарезка  ПОКОМ</v>
          </cell>
          <cell r="B102">
            <v>11</v>
          </cell>
        </row>
        <row r="103">
          <cell r="A103" t="str">
            <v xml:space="preserve"> 555  Колбаса Молокуша ТМ Вязанка в модифицированной газовой среде 0,17 кг нарезка  ПОКОМ</v>
          </cell>
          <cell r="B103">
            <v>18</v>
          </cell>
        </row>
        <row r="104">
          <cell r="A104" t="str">
            <v xml:space="preserve"> 556  Колбаса Сервелат Ореховый ТМ Вязанка в оболочке фиброуз в вакуумной упаковке, ВЕС  ПОКОМ</v>
          </cell>
          <cell r="B104">
            <v>80</v>
          </cell>
        </row>
        <row r="105">
          <cell r="A105" t="str">
            <v xml:space="preserve"> 557  Колбаса Сервелат Финский ТМ Вязанка в оболочке фиброуз в вакуумной упаковке, ВЕС  ПОКОМ</v>
          </cell>
          <cell r="B105">
            <v>148</v>
          </cell>
        </row>
        <row r="106">
          <cell r="A106" t="str">
            <v xml:space="preserve"> 558  Колбаса Балыковая НОВАЯ ВЕС Вязанка фиброуз в/у ПОКОМ</v>
          </cell>
          <cell r="B106">
            <v>161</v>
          </cell>
        </row>
        <row r="107">
          <cell r="A107" t="str">
            <v xml:space="preserve"> 564  Сосиски Сочные 0,3 кг ТМ Вязанка  ПОКОМ</v>
          </cell>
          <cell r="B107">
            <v>16</v>
          </cell>
        </row>
        <row r="108">
          <cell r="A108" t="str">
            <v xml:space="preserve"> 567 Колбаса Со шпиком Стародворская ТМ Стародворье в оболочке полиамид ВЕС  ПОКОМ</v>
          </cell>
          <cell r="B108">
            <v>7</v>
          </cell>
        </row>
        <row r="109">
          <cell r="A109" t="str">
            <v xml:space="preserve"> 569  Колбаса Балыковая ТМ Вязанка в оболочке фиброуз в вакуумной упаковке 0,28 кг срез.  ПОКОМ</v>
          </cell>
          <cell r="B109">
            <v>85</v>
          </cell>
        </row>
        <row r="110">
          <cell r="A110" t="str">
            <v xml:space="preserve"> 570  Колбаса Сервелат Финский ТМ Вязанка в оболочке фиброуз в вак. упаковке 0,28 кг срез  ПОКОМ</v>
          </cell>
          <cell r="B110">
            <v>65</v>
          </cell>
        </row>
        <row r="111">
          <cell r="A111" t="str">
            <v xml:space="preserve"> 571  Колбаса Сервелат Ореховый ТМ Вязанка в оболочке фиброуз в вак. упаковке 0,28 кг срез  ПОКОМ</v>
          </cell>
          <cell r="B111">
            <v>134</v>
          </cell>
        </row>
        <row r="112">
          <cell r="A112" t="str">
            <v xml:space="preserve"> 574  Колбаса Сервелат Финский ТМ Вязанка в упаковке скин 0,09 кг нарезка  ПОКОМ</v>
          </cell>
          <cell r="B112">
            <v>2</v>
          </cell>
        </row>
        <row r="113">
          <cell r="A113" t="str">
            <v xml:space="preserve"> 577  Колбаса Молочная Стародворская ТМ Стародворье в оболочке полиамид НД ВЕС.  ПОКОМ</v>
          </cell>
          <cell r="B113">
            <v>0</v>
          </cell>
        </row>
        <row r="114">
          <cell r="A114" t="str">
            <v xml:space="preserve"> 579  Колбаса Ветчинно-рубленая ТМ Особый рецепт в оболочке полиамид.ВЕС  ПОКОМ</v>
          </cell>
          <cell r="B114">
            <v>60</v>
          </cell>
        </row>
        <row r="115">
          <cell r="A115" t="str">
            <v xml:space="preserve"> 580  Ветчина Нежная с индейкой ТМ Особый рецепт в оболочке полиамид.ВЕС  ПОКОМ</v>
          </cell>
          <cell r="B115">
            <v>0</v>
          </cell>
        </row>
        <row r="116">
          <cell r="A116" t="str">
            <v xml:space="preserve"> 583  Колбаса Балыковая ТМ Вязанка в упаковке скин 0,09 кг нарезка  ПОКОМ</v>
          </cell>
          <cell r="B116">
            <v>0</v>
          </cell>
        </row>
        <row r="117">
          <cell r="A117" t="str">
            <v xml:space="preserve"> 584  Колбаса Сервелат Ореховый ТМ Вязанка в упаковке скин 0,09 кг нарезка  ПОКОМ</v>
          </cell>
          <cell r="B117">
            <v>0</v>
          </cell>
        </row>
        <row r="118">
          <cell r="A118" t="str">
            <v xml:space="preserve"> 585  Колбаса Молочная ТМ Стародворье в оболочке вектор НД ВЕС.  ПОКОМ</v>
          </cell>
          <cell r="B118">
            <v>0</v>
          </cell>
        </row>
        <row r="119">
          <cell r="A119" t="str">
            <v xml:space="preserve"> 586  Колбаса Мясная ТМ Стародворье в оболочке вектор НД ВЕС.  ПОКОМ</v>
          </cell>
          <cell r="B119">
            <v>388</v>
          </cell>
        </row>
        <row r="120">
          <cell r="A120" t="str">
            <v xml:space="preserve"> 588 Колбаса Со шпиком ТМ Стародворье в оболочке вектор ВЕС  ПОКОМ</v>
          </cell>
          <cell r="B120">
            <v>0</v>
          </cell>
        </row>
        <row r="121">
          <cell r="A121" t="str">
            <v xml:space="preserve"> 597  Колбаса Классическая ТМ Особый рецепт в оболочке полиамид ВЕС. ПОКОМ</v>
          </cell>
          <cell r="B121">
            <v>0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>
            <v>32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>
            <v>9</v>
          </cell>
        </row>
        <row r="124">
          <cell r="A124" t="str">
            <v>503 Колбаса Филейская со шпиком ТМ Вязанка в оболочке полиамид.ПОКОМ</v>
          </cell>
          <cell r="B124">
            <v>35</v>
          </cell>
        </row>
        <row r="125">
          <cell r="A125" t="str">
            <v>515  Колбаса Сервелат Мясорубский Делюкс 0,3кг ТМ Стародворье  ПОКОМ</v>
          </cell>
          <cell r="B125">
            <v>8</v>
          </cell>
        </row>
        <row r="126">
          <cell r="A126" t="str">
            <v>519  Грудинка 0,12 кг нарезка ТМ Стародворье  ПОКОМ</v>
          </cell>
          <cell r="B126">
            <v>0</v>
          </cell>
        </row>
        <row r="127">
          <cell r="A127" t="str">
            <v xml:space="preserve"> 614  Буженина в пряном маринаде 0,25 кг консервы из мяса индейки ТМ Стародворье  ПОКОМ</v>
          </cell>
          <cell r="B127">
            <v>0</v>
          </cell>
        </row>
        <row r="128">
          <cell r="A128" t="str">
            <v xml:space="preserve"> 615  Гречка по-купечески с говядиной и овощами 0,325кг ТМ Стародворье  ПОКОМ</v>
          </cell>
          <cell r="B128">
            <v>0</v>
          </cell>
        </row>
        <row r="129">
          <cell r="A129" t="str">
            <v xml:space="preserve"> 616  Индейка томлёная в собственном соку 0,25кг ТМ Стародлворье Консервый из мяс.птицы  ПОКОМ</v>
          </cell>
          <cell r="B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2"/>
  <sheetViews>
    <sheetView tabSelected="1" zoomScale="85" workbookViewId="0">
      <pane xSplit="2" ySplit="5" topLeftCell="E78" activePane="bottomRight" state="frozen"/>
      <selection pane="topRight"/>
      <selection pane="bottomLeft"/>
      <selection pane="bottomRight" activeCell="T97" sqref="T97"/>
    </sheetView>
  </sheetViews>
  <sheetFormatPr defaultRowHeight="15" x14ac:dyDescent="0.25"/>
  <cols>
    <col min="1" max="1" width="40.855468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7" width="7" customWidth="1"/>
    <col min="18" max="18" width="7" style="26" customWidth="1"/>
    <col min="19" max="19" width="7" customWidth="1"/>
    <col min="20" max="20" width="7" style="17" customWidth="1"/>
    <col min="21" max="21" width="7" customWidth="1"/>
    <col min="22" max="22" width="7" style="17" customWidth="1"/>
    <col min="23" max="28" width="7" customWidth="1"/>
    <col min="29" max="29" width="7" style="17" customWidth="1"/>
    <col min="30" max="31" width="5" customWidth="1"/>
    <col min="32" max="39" width="6.7109375" customWidth="1"/>
    <col min="40" max="40" width="10.85546875" customWidth="1"/>
    <col min="41" max="41" width="7" customWidth="1"/>
    <col min="42" max="42" width="7" style="22" customWidth="1"/>
    <col min="43" max="43" width="7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3"/>
      <c r="S1" s="1"/>
      <c r="T1" s="1"/>
      <c r="U1" s="1"/>
      <c r="V1" s="1"/>
      <c r="W1" s="1"/>
      <c r="X1" s="1"/>
      <c r="Y1" s="1"/>
      <c r="Z1" s="18">
        <v>0.71</v>
      </c>
      <c r="AA1" s="1"/>
      <c r="AB1" s="18">
        <v>0.68200000000000005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21">
        <v>1800</v>
      </c>
      <c r="S2" s="1"/>
      <c r="T2" s="21">
        <v>4100</v>
      </c>
      <c r="U2" s="1"/>
      <c r="V2" s="1"/>
      <c r="W2" s="21">
        <v>1540</v>
      </c>
      <c r="X2" s="1"/>
      <c r="Y2" s="1"/>
      <c r="Z2" s="19" t="s">
        <v>0</v>
      </c>
      <c r="AA2" s="1"/>
      <c r="AB2" s="19" t="s">
        <v>1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>
        <v>12660</v>
      </c>
      <c r="AP2" s="1"/>
      <c r="AQ2" s="1">
        <v>16700</v>
      </c>
    </row>
    <row r="3" spans="1:4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8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16</v>
      </c>
      <c r="Q3" s="2" t="s">
        <v>16</v>
      </c>
      <c r="R3" s="2" t="s">
        <v>16</v>
      </c>
      <c r="S3" s="2" t="s">
        <v>16</v>
      </c>
      <c r="T3" s="2" t="s">
        <v>16</v>
      </c>
      <c r="U3" s="2" t="s">
        <v>16</v>
      </c>
      <c r="V3" s="2" t="s">
        <v>16</v>
      </c>
      <c r="W3" s="2" t="s">
        <v>16</v>
      </c>
      <c r="X3" s="2" t="s">
        <v>17</v>
      </c>
      <c r="Y3" s="3" t="s">
        <v>18</v>
      </c>
      <c r="Z3" s="3" t="s">
        <v>19</v>
      </c>
      <c r="AA3" s="3" t="s">
        <v>20</v>
      </c>
      <c r="AB3" s="3" t="s">
        <v>20</v>
      </c>
      <c r="AC3" s="3" t="s">
        <v>21</v>
      </c>
      <c r="AD3" s="2" t="s">
        <v>22</v>
      </c>
      <c r="AE3" s="2" t="s">
        <v>23</v>
      </c>
      <c r="AF3" s="2" t="s">
        <v>24</v>
      </c>
      <c r="AG3" s="2" t="s">
        <v>24</v>
      </c>
      <c r="AH3" s="2" t="s">
        <v>24</v>
      </c>
      <c r="AI3" s="2" t="s">
        <v>24</v>
      </c>
      <c r="AJ3" s="2" t="s">
        <v>24</v>
      </c>
      <c r="AK3" s="2" t="s">
        <v>24</v>
      </c>
      <c r="AL3" s="2" t="s">
        <v>24</v>
      </c>
      <c r="AM3" s="2" t="s">
        <v>24</v>
      </c>
      <c r="AN3" s="2" t="s">
        <v>25</v>
      </c>
      <c r="AO3" s="2" t="s">
        <v>26</v>
      </c>
      <c r="AP3" s="1"/>
      <c r="AQ3" s="2" t="s">
        <v>26</v>
      </c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27</v>
      </c>
      <c r="P4" s="1" t="s">
        <v>28</v>
      </c>
      <c r="Q4" s="1" t="s">
        <v>29</v>
      </c>
      <c r="R4" s="23" t="s">
        <v>209</v>
      </c>
      <c r="S4" s="1" t="s">
        <v>30</v>
      </c>
      <c r="T4" s="1" t="s">
        <v>31</v>
      </c>
      <c r="U4" s="1" t="s">
        <v>32</v>
      </c>
      <c r="V4" s="1" t="s">
        <v>208</v>
      </c>
      <c r="W4" s="1" t="s">
        <v>33</v>
      </c>
      <c r="X4" s="1" t="s">
        <v>34</v>
      </c>
      <c r="Y4" s="1"/>
      <c r="Z4" s="1"/>
      <c r="AA4" s="1" t="s">
        <v>35</v>
      </c>
      <c r="AB4" s="1" t="s">
        <v>36</v>
      </c>
      <c r="AC4" s="1" t="s">
        <v>37</v>
      </c>
      <c r="AD4" s="1"/>
      <c r="AE4" s="1"/>
      <c r="AF4" s="1" t="s">
        <v>38</v>
      </c>
      <c r="AG4" s="1" t="s">
        <v>39</v>
      </c>
      <c r="AH4" s="1" t="s">
        <v>40</v>
      </c>
      <c r="AI4" s="1" t="s">
        <v>41</v>
      </c>
      <c r="AJ4" s="1" t="s">
        <v>42</v>
      </c>
      <c r="AK4" s="1" t="s">
        <v>43</v>
      </c>
      <c r="AL4" s="1" t="s">
        <v>44</v>
      </c>
      <c r="AM4" s="1" t="s">
        <v>45</v>
      </c>
      <c r="AN4" s="1"/>
      <c r="AO4" s="1" t="s">
        <v>35</v>
      </c>
      <c r="AP4" s="1"/>
      <c r="AQ4" s="1" t="s">
        <v>36</v>
      </c>
    </row>
    <row r="5" spans="1:43" x14ac:dyDescent="0.25">
      <c r="A5" s="1"/>
      <c r="B5" s="1"/>
      <c r="C5" s="1"/>
      <c r="D5" s="1"/>
      <c r="E5" s="4">
        <f>SUM(E6:E492)</f>
        <v>67932.835000000006</v>
      </c>
      <c r="F5" s="4">
        <f>SUM(F6:F492)</f>
        <v>50904.661999999989</v>
      </c>
      <c r="G5" s="7"/>
      <c r="H5" s="1"/>
      <c r="I5" s="1"/>
      <c r="J5" s="1"/>
      <c r="K5" s="4">
        <f t="shared" ref="K5:AB5" si="0">SUM(K6:K492)</f>
        <v>78555.284999999989</v>
      </c>
      <c r="L5" s="4">
        <f t="shared" si="0"/>
        <v>-10622.449999999999</v>
      </c>
      <c r="M5" s="4">
        <f t="shared" si="0"/>
        <v>63818.747999999985</v>
      </c>
      <c r="N5" s="4">
        <f t="shared" si="0"/>
        <v>4114.0870000000004</v>
      </c>
      <c r="O5" s="4">
        <f t="shared" si="0"/>
        <v>-3500</v>
      </c>
      <c r="P5" s="4">
        <f t="shared" si="0"/>
        <v>25070.965705257146</v>
      </c>
      <c r="Q5" s="4">
        <f t="shared" si="0"/>
        <v>15350</v>
      </c>
      <c r="R5" s="24">
        <f t="shared" ref="R5" si="1">SUM(R6:R492)</f>
        <v>1800</v>
      </c>
      <c r="S5" s="4">
        <f t="shared" si="0"/>
        <v>1600</v>
      </c>
      <c r="T5" s="4">
        <f t="shared" si="0"/>
        <v>4100</v>
      </c>
      <c r="U5" s="4">
        <f t="shared" si="0"/>
        <v>23000</v>
      </c>
      <c r="V5" s="4">
        <f t="shared" si="0"/>
        <v>-3114</v>
      </c>
      <c r="W5" s="4">
        <f t="shared" si="0"/>
        <v>1540</v>
      </c>
      <c r="X5" s="4">
        <f t="shared" si="0"/>
        <v>12763.749600000003</v>
      </c>
      <c r="Y5" s="4">
        <f t="shared" si="0"/>
        <v>34261.777373600016</v>
      </c>
      <c r="Z5" s="4">
        <f t="shared" si="0"/>
        <v>40426.206503600035</v>
      </c>
      <c r="AA5" s="4">
        <f t="shared" si="0"/>
        <v>18699.021131496789</v>
      </c>
      <c r="AB5" s="4">
        <f t="shared" si="0"/>
        <v>21727.185372103198</v>
      </c>
      <c r="AC5" s="4"/>
      <c r="AD5" s="1"/>
      <c r="AE5" s="1"/>
      <c r="AF5" s="4">
        <f t="shared" ref="AF5:AM5" si="2">SUM(AF6:AF492)</f>
        <v>14118.473</v>
      </c>
      <c r="AG5" s="4">
        <f t="shared" si="2"/>
        <v>10392.847799999996</v>
      </c>
      <c r="AH5" s="4">
        <f t="shared" si="2"/>
        <v>11560.837400000002</v>
      </c>
      <c r="AI5" s="4">
        <f t="shared" si="2"/>
        <v>11734.1994</v>
      </c>
      <c r="AJ5" s="4">
        <f t="shared" si="2"/>
        <v>14138.868400000007</v>
      </c>
      <c r="AK5" s="4">
        <f t="shared" si="2"/>
        <v>14537.335200000001</v>
      </c>
      <c r="AL5" s="4">
        <f t="shared" si="2"/>
        <v>14045.6934</v>
      </c>
      <c r="AM5" s="4">
        <f t="shared" si="2"/>
        <v>13116.186799999999</v>
      </c>
      <c r="AN5" s="1"/>
      <c r="AO5" s="4">
        <f>SUM(AO6:AO492)</f>
        <v>12671</v>
      </c>
      <c r="AP5" s="1"/>
      <c r="AQ5" s="4">
        <f>SUM(AQ6:AQ492)</f>
        <v>16729</v>
      </c>
    </row>
    <row r="6" spans="1:43" x14ac:dyDescent="0.25">
      <c r="A6" s="1" t="s">
        <v>46</v>
      </c>
      <c r="B6" s="1" t="s">
        <v>47</v>
      </c>
      <c r="C6" s="1">
        <v>1920.41</v>
      </c>
      <c r="D6" s="1">
        <v>2613.8719999999998</v>
      </c>
      <c r="E6" s="1">
        <v>1919.5830000000001</v>
      </c>
      <c r="F6" s="1">
        <v>2027.259</v>
      </c>
      <c r="G6" s="7">
        <v>1</v>
      </c>
      <c r="H6" s="1">
        <v>50</v>
      </c>
      <c r="I6" s="1" t="s">
        <v>48</v>
      </c>
      <c r="J6" s="1"/>
      <c r="K6" s="1">
        <v>1966.02</v>
      </c>
      <c r="L6" s="1">
        <f t="shared" ref="L6:L37" si="3">E6-K6</f>
        <v>-46.436999999999898</v>
      </c>
      <c r="M6" s="1">
        <f t="shared" ref="M6:M37" si="4">E6-N6</f>
        <v>1919.5830000000001</v>
      </c>
      <c r="N6" s="1"/>
      <c r="O6" s="1"/>
      <c r="P6" s="1">
        <v>725.0862823999978</v>
      </c>
      <c r="Q6" s="1"/>
      <c r="R6" s="23"/>
      <c r="S6" s="1">
        <v>800</v>
      </c>
      <c r="T6" s="1"/>
      <c r="U6" s="1"/>
      <c r="V6" s="1"/>
      <c r="W6" s="1"/>
      <c r="X6" s="1">
        <f t="shared" ref="X6:X37" si="5">M6/5</f>
        <v>383.91660000000002</v>
      </c>
      <c r="Y6" s="5">
        <f>11.5*X6-W6-U6-S6-P6-O6-F6</f>
        <v>862.69561760000215</v>
      </c>
      <c r="Z6" s="5">
        <f>Y6+$Z$1*X6</f>
        <v>1135.2764036000021</v>
      </c>
      <c r="AA6" s="5">
        <f t="shared" ref="AA6:AA37" si="6">Z6-AB6</f>
        <v>361.01789634480065</v>
      </c>
      <c r="AB6" s="5">
        <f>$AB$1*Z6</f>
        <v>774.25850725520149</v>
      </c>
      <c r="AC6" s="1"/>
      <c r="AD6" s="1">
        <f>(F6+O6+P6+S6+U6+W6+Z6+Q6+T6+R6+V6)/X6</f>
        <v>12.21</v>
      </c>
      <c r="AE6" s="1">
        <f t="shared" ref="AE6:AE37" si="7">(F6+O6+P6+S6+U6+W6)/X6</f>
        <v>9.2529087890442803</v>
      </c>
      <c r="AF6" s="1">
        <v>414.53539999999992</v>
      </c>
      <c r="AG6" s="1">
        <v>309.1234</v>
      </c>
      <c r="AH6" s="1">
        <v>397.22059999999999</v>
      </c>
      <c r="AI6" s="1">
        <v>387.44979999999998</v>
      </c>
      <c r="AJ6" s="1">
        <v>475.30520000000001</v>
      </c>
      <c r="AK6" s="1">
        <v>548.64239999999995</v>
      </c>
      <c r="AL6" s="1">
        <v>471.7946</v>
      </c>
      <c r="AM6" s="1">
        <v>438.9076</v>
      </c>
      <c r="AN6" s="1"/>
      <c r="AO6" s="1">
        <f t="shared" ref="AO6:AO37" si="8">ROUND(G6*AA6,0)</f>
        <v>361</v>
      </c>
      <c r="AP6" s="1">
        <f>VLOOKUP(A6,[1]Лист1!$A:$B,2,0)</f>
        <v>361</v>
      </c>
      <c r="AQ6" s="1">
        <f t="shared" ref="AQ6:AQ37" si="9">ROUND(G6*AB6,0)</f>
        <v>774</v>
      </c>
    </row>
    <row r="7" spans="1:43" x14ac:dyDescent="0.25">
      <c r="A7" s="1" t="s">
        <v>49</v>
      </c>
      <c r="B7" s="1" t="s">
        <v>47</v>
      </c>
      <c r="C7" s="1">
        <v>598.005</v>
      </c>
      <c r="D7" s="1">
        <v>1030.546</v>
      </c>
      <c r="E7" s="1">
        <v>1194.7829999999999</v>
      </c>
      <c r="F7" s="1">
        <v>190.63900000000001</v>
      </c>
      <c r="G7" s="7">
        <v>1</v>
      </c>
      <c r="H7" s="1">
        <v>45</v>
      </c>
      <c r="I7" s="1" t="s">
        <v>48</v>
      </c>
      <c r="J7" s="1"/>
      <c r="K7" s="1">
        <v>1150.703</v>
      </c>
      <c r="L7" s="1">
        <f t="shared" si="3"/>
        <v>44.079999999999927</v>
      </c>
      <c r="M7" s="1">
        <f t="shared" si="4"/>
        <v>1161.9669999999999</v>
      </c>
      <c r="N7" s="1">
        <v>32.816000000000003</v>
      </c>
      <c r="O7" s="1"/>
      <c r="P7" s="1">
        <v>284.72726200000028</v>
      </c>
      <c r="Q7" s="1">
        <v>800</v>
      </c>
      <c r="R7" s="23"/>
      <c r="S7" s="1"/>
      <c r="T7" s="1"/>
      <c r="U7" s="1"/>
      <c r="V7" s="1"/>
      <c r="W7" s="1"/>
      <c r="X7" s="1">
        <f t="shared" si="5"/>
        <v>232.39339999999999</v>
      </c>
      <c r="Y7" s="5">
        <f>11.5*X7-W7-U7-S7-P7-O7-F7-Q7</f>
        <v>1397.1578379999992</v>
      </c>
      <c r="Z7" s="5">
        <f>Y7+$Z$1*X7</f>
        <v>1562.1571519999991</v>
      </c>
      <c r="AA7" s="5">
        <f t="shared" si="6"/>
        <v>496.76597433599954</v>
      </c>
      <c r="AB7" s="5">
        <f>$AB$1*Z7</f>
        <v>1065.3911776639995</v>
      </c>
      <c r="AC7" s="1"/>
      <c r="AD7" s="1">
        <f t="shared" ref="AD7:AD70" si="10">(F7+O7+P7+S7+U7+W7+Z7+Q7+T7+R7+V7)/X7</f>
        <v>12.209999999999997</v>
      </c>
      <c r="AE7" s="1">
        <f t="shared" si="7"/>
        <v>2.045523934844967</v>
      </c>
      <c r="AF7" s="1">
        <v>194.2758</v>
      </c>
      <c r="AG7" s="1">
        <v>139.5838</v>
      </c>
      <c r="AH7" s="1">
        <v>139.13839999999999</v>
      </c>
      <c r="AI7" s="1">
        <v>153.54400000000001</v>
      </c>
      <c r="AJ7" s="1">
        <v>198.9838</v>
      </c>
      <c r="AK7" s="1">
        <v>211.20099999999999</v>
      </c>
      <c r="AL7" s="1">
        <v>193.32560000000001</v>
      </c>
      <c r="AM7" s="1">
        <v>182.81979999999999</v>
      </c>
      <c r="AN7" s="1"/>
      <c r="AO7" s="1">
        <f t="shared" si="8"/>
        <v>497</v>
      </c>
      <c r="AP7" s="1">
        <f>VLOOKUP(A7,[1]Лист1!$A:$B,2,0)</f>
        <v>497</v>
      </c>
      <c r="AQ7" s="1">
        <f t="shared" si="9"/>
        <v>1065</v>
      </c>
    </row>
    <row r="8" spans="1:43" x14ac:dyDescent="0.25">
      <c r="A8" s="1" t="s">
        <v>50</v>
      </c>
      <c r="B8" s="1" t="s">
        <v>47</v>
      </c>
      <c r="C8" s="1">
        <v>2259.2249999999999</v>
      </c>
      <c r="D8" s="1">
        <v>3088.6869999999999</v>
      </c>
      <c r="E8" s="1">
        <v>3123.7359999999999</v>
      </c>
      <c r="F8" s="1">
        <v>801.89700000000005</v>
      </c>
      <c r="G8" s="7">
        <v>1</v>
      </c>
      <c r="H8" s="1">
        <v>45</v>
      </c>
      <c r="I8" s="1" t="s">
        <v>48</v>
      </c>
      <c r="J8" s="1"/>
      <c r="K8" s="1">
        <v>3159.01</v>
      </c>
      <c r="L8" s="1">
        <f t="shared" si="3"/>
        <v>-35.274000000000342</v>
      </c>
      <c r="M8" s="1">
        <f t="shared" si="4"/>
        <v>3018.04</v>
      </c>
      <c r="N8" s="1">
        <v>105.696</v>
      </c>
      <c r="O8" s="1"/>
      <c r="P8" s="1">
        <v>800</v>
      </c>
      <c r="Q8" s="1">
        <v>2300</v>
      </c>
      <c r="R8" s="23"/>
      <c r="S8" s="1"/>
      <c r="T8" s="1"/>
      <c r="U8" s="1">
        <v>500</v>
      </c>
      <c r="V8" s="1"/>
      <c r="W8" s="1"/>
      <c r="X8" s="1">
        <f t="shared" si="5"/>
        <v>603.60799999999995</v>
      </c>
      <c r="Y8" s="5">
        <f>11.5*X8-W8-U8-S8-P8-O8-F8-Q8</f>
        <v>2539.5949999999993</v>
      </c>
      <c r="Z8" s="5">
        <f>Y8+$Z$1*X8</f>
        <v>2968.1566799999991</v>
      </c>
      <c r="AA8" s="5">
        <f t="shared" si="6"/>
        <v>943.87382423999952</v>
      </c>
      <c r="AB8" s="5">
        <f>$AB$1*Z8</f>
        <v>2024.2828557599996</v>
      </c>
      <c r="AC8" s="1"/>
      <c r="AD8" s="1">
        <f t="shared" si="10"/>
        <v>12.209999999999999</v>
      </c>
      <c r="AE8" s="1">
        <f t="shared" si="7"/>
        <v>3.4822219056076129</v>
      </c>
      <c r="AF8" s="1">
        <v>601.60220000000004</v>
      </c>
      <c r="AG8" s="1">
        <v>449.45300000000009</v>
      </c>
      <c r="AH8" s="1">
        <v>483.47179999999997</v>
      </c>
      <c r="AI8" s="1">
        <v>504.71640000000002</v>
      </c>
      <c r="AJ8" s="1">
        <v>603.90640000000008</v>
      </c>
      <c r="AK8" s="1">
        <v>611.28559999999993</v>
      </c>
      <c r="AL8" s="1">
        <v>564.65660000000003</v>
      </c>
      <c r="AM8" s="1">
        <v>559.11500000000001</v>
      </c>
      <c r="AN8" s="1"/>
      <c r="AO8" s="1">
        <f t="shared" si="8"/>
        <v>944</v>
      </c>
      <c r="AP8" s="1">
        <f>VLOOKUP(A8,[1]Лист1!$A:$B,2,0)</f>
        <v>944</v>
      </c>
      <c r="AQ8" s="1">
        <f t="shared" si="9"/>
        <v>2024</v>
      </c>
    </row>
    <row r="9" spans="1:43" x14ac:dyDescent="0.25">
      <c r="A9" s="1" t="s">
        <v>51</v>
      </c>
      <c r="B9" s="1" t="s">
        <v>52</v>
      </c>
      <c r="C9" s="1"/>
      <c r="D9" s="1">
        <v>22</v>
      </c>
      <c r="E9" s="1">
        <v>13</v>
      </c>
      <c r="F9" s="1">
        <v>6</v>
      </c>
      <c r="G9" s="7">
        <v>0.4</v>
      </c>
      <c r="H9" s="1">
        <v>50</v>
      </c>
      <c r="I9" s="1" t="s">
        <v>53</v>
      </c>
      <c r="J9" s="1"/>
      <c r="K9" s="1">
        <v>21</v>
      </c>
      <c r="L9" s="1">
        <f t="shared" si="3"/>
        <v>-8</v>
      </c>
      <c r="M9" s="1">
        <f t="shared" si="4"/>
        <v>13</v>
      </c>
      <c r="N9" s="1"/>
      <c r="O9" s="1"/>
      <c r="P9" s="1">
        <v>13</v>
      </c>
      <c r="Q9" s="1"/>
      <c r="R9" s="23"/>
      <c r="S9" s="1"/>
      <c r="T9" s="1"/>
      <c r="U9" s="1"/>
      <c r="V9" s="1"/>
      <c r="W9" s="1"/>
      <c r="X9" s="1">
        <f t="shared" si="5"/>
        <v>2.6</v>
      </c>
      <c r="Y9" s="5">
        <f>11.5*X9-W9-U9-S9-P9-O9-F9</f>
        <v>10.900000000000002</v>
      </c>
      <c r="Z9" s="5">
        <f>Y9</f>
        <v>10.900000000000002</v>
      </c>
      <c r="AA9" s="5">
        <f t="shared" si="6"/>
        <v>10.900000000000002</v>
      </c>
      <c r="AB9" s="5"/>
      <c r="AC9" s="1"/>
      <c r="AD9" s="1">
        <f t="shared" si="10"/>
        <v>11.5</v>
      </c>
      <c r="AE9" s="1">
        <f t="shared" si="7"/>
        <v>7.3076923076923075</v>
      </c>
      <c r="AF9" s="1">
        <v>2.2000000000000002</v>
      </c>
      <c r="AG9" s="1">
        <v>0</v>
      </c>
      <c r="AH9" s="1">
        <v>0</v>
      </c>
      <c r="AI9" s="1">
        <v>0</v>
      </c>
      <c r="AJ9" s="1">
        <v>0</v>
      </c>
      <c r="AK9" s="1">
        <v>0.6</v>
      </c>
      <c r="AL9" s="1">
        <v>0.6</v>
      </c>
      <c r="AM9" s="1">
        <v>0</v>
      </c>
      <c r="AN9" s="1" t="s">
        <v>54</v>
      </c>
      <c r="AO9" s="1">
        <f t="shared" si="8"/>
        <v>4</v>
      </c>
      <c r="AP9" s="1">
        <f>VLOOKUP(A9,[1]Лист1!$A:$B,2,0)</f>
        <v>4</v>
      </c>
      <c r="AQ9" s="1">
        <f t="shared" si="9"/>
        <v>0</v>
      </c>
    </row>
    <row r="10" spans="1:43" x14ac:dyDescent="0.25">
      <c r="A10" s="1" t="s">
        <v>55</v>
      </c>
      <c r="B10" s="1" t="s">
        <v>52</v>
      </c>
      <c r="C10" s="1">
        <v>292</v>
      </c>
      <c r="D10" s="1">
        <v>3888.201</v>
      </c>
      <c r="E10" s="1">
        <v>3529.355</v>
      </c>
      <c r="F10" s="1">
        <v>126.645</v>
      </c>
      <c r="G10" s="7">
        <v>0.45</v>
      </c>
      <c r="H10" s="1">
        <v>45</v>
      </c>
      <c r="I10" s="16" t="s">
        <v>56</v>
      </c>
      <c r="J10" s="1"/>
      <c r="K10" s="1">
        <v>3764</v>
      </c>
      <c r="L10" s="1">
        <f t="shared" si="3"/>
        <v>-234.64499999999998</v>
      </c>
      <c r="M10" s="1">
        <f t="shared" si="4"/>
        <v>3529.355</v>
      </c>
      <c r="N10" s="1"/>
      <c r="O10" s="1"/>
      <c r="P10" s="1">
        <v>1000</v>
      </c>
      <c r="Q10" s="1"/>
      <c r="R10" s="23"/>
      <c r="S10" s="1"/>
      <c r="T10" s="1"/>
      <c r="U10" s="1">
        <v>1000</v>
      </c>
      <c r="V10" s="1"/>
      <c r="W10" s="1"/>
      <c r="X10" s="1">
        <f t="shared" si="5"/>
        <v>705.87099999999998</v>
      </c>
      <c r="Y10" s="5">
        <v>3000</v>
      </c>
      <c r="Z10" s="5">
        <f>Y10</f>
        <v>3000</v>
      </c>
      <c r="AA10" s="5">
        <f t="shared" si="6"/>
        <v>953.99999999999977</v>
      </c>
      <c r="AB10" s="5">
        <f>$AB$1*Z10</f>
        <v>2046.0000000000002</v>
      </c>
      <c r="AC10" s="1"/>
      <c r="AD10" s="1">
        <f t="shared" si="10"/>
        <v>7.262863894394302</v>
      </c>
      <c r="AE10" s="1">
        <f t="shared" si="7"/>
        <v>3.0127955391282542</v>
      </c>
      <c r="AF10" s="1">
        <v>624.67100000000005</v>
      </c>
      <c r="AG10" s="1">
        <v>265.39999999999998</v>
      </c>
      <c r="AH10" s="1">
        <v>547.20000000000005</v>
      </c>
      <c r="AI10" s="1">
        <v>563.6</v>
      </c>
      <c r="AJ10" s="1">
        <v>673.6</v>
      </c>
      <c r="AK10" s="1">
        <v>380.8</v>
      </c>
      <c r="AL10" s="1">
        <v>376.4</v>
      </c>
      <c r="AM10" s="1">
        <v>381.8</v>
      </c>
      <c r="AN10" s="1" t="s">
        <v>57</v>
      </c>
      <c r="AO10" s="1">
        <f t="shared" si="8"/>
        <v>429</v>
      </c>
      <c r="AP10" s="1">
        <f>VLOOKUP(A10,[1]Лист1!$A:$B,2,0)</f>
        <v>429</v>
      </c>
      <c r="AQ10" s="1">
        <f t="shared" si="9"/>
        <v>921</v>
      </c>
    </row>
    <row r="11" spans="1:43" x14ac:dyDescent="0.25">
      <c r="A11" s="1" t="s">
        <v>58</v>
      </c>
      <c r="B11" s="1" t="s">
        <v>52</v>
      </c>
      <c r="C11" s="1">
        <v>3172</v>
      </c>
      <c r="D11" s="1">
        <v>2301</v>
      </c>
      <c r="E11" s="1">
        <v>3536.8290000000002</v>
      </c>
      <c r="F11" s="1">
        <v>1075.171</v>
      </c>
      <c r="G11" s="7">
        <v>0.45</v>
      </c>
      <c r="H11" s="1">
        <v>45</v>
      </c>
      <c r="I11" s="1" t="s">
        <v>48</v>
      </c>
      <c r="J11" s="1"/>
      <c r="K11" s="1">
        <v>3813</v>
      </c>
      <c r="L11" s="1">
        <f t="shared" si="3"/>
        <v>-276.17099999999982</v>
      </c>
      <c r="M11" s="1">
        <f t="shared" si="4"/>
        <v>3536.8290000000002</v>
      </c>
      <c r="N11" s="1"/>
      <c r="O11" s="1"/>
      <c r="P11" s="1">
        <v>1989.4869999999989</v>
      </c>
      <c r="Q11" s="1"/>
      <c r="R11" s="23"/>
      <c r="S11" s="1"/>
      <c r="T11" s="1"/>
      <c r="U11" s="1">
        <v>3000</v>
      </c>
      <c r="V11" s="1"/>
      <c r="W11" s="1"/>
      <c r="X11" s="1">
        <f t="shared" si="5"/>
        <v>707.36580000000004</v>
      </c>
      <c r="Y11" s="5">
        <f>11.5*X11-W11-U11-S11-P11-O11-F11</f>
        <v>2070.0487000000012</v>
      </c>
      <c r="Z11" s="5">
        <f>Y11+$Z$1*X11</f>
        <v>2572.2784180000012</v>
      </c>
      <c r="AA11" s="5">
        <f t="shared" si="6"/>
        <v>817.98453692400017</v>
      </c>
      <c r="AB11" s="5">
        <f>$AB$1*Z11</f>
        <v>1754.2938810760011</v>
      </c>
      <c r="AC11" s="1"/>
      <c r="AD11" s="1">
        <f t="shared" si="10"/>
        <v>12.21</v>
      </c>
      <c r="AE11" s="1">
        <f t="shared" si="7"/>
        <v>8.5735810241320678</v>
      </c>
      <c r="AF11" s="1">
        <v>771.7657999999999</v>
      </c>
      <c r="AG11" s="1">
        <v>431.2</v>
      </c>
      <c r="AH11" s="1">
        <v>445.4</v>
      </c>
      <c r="AI11" s="1">
        <v>495.2</v>
      </c>
      <c r="AJ11" s="1">
        <v>660.46</v>
      </c>
      <c r="AK11" s="1">
        <v>717.66000000000008</v>
      </c>
      <c r="AL11" s="1">
        <v>698.8</v>
      </c>
      <c r="AM11" s="1">
        <v>602.20000000000005</v>
      </c>
      <c r="AN11" s="1"/>
      <c r="AO11" s="1">
        <f t="shared" si="8"/>
        <v>368</v>
      </c>
      <c r="AP11" s="1">
        <f>VLOOKUP(A11,[1]Лист1!$A:$B,2,0)</f>
        <v>368</v>
      </c>
      <c r="AQ11" s="1">
        <f t="shared" si="9"/>
        <v>789</v>
      </c>
    </row>
    <row r="12" spans="1:43" x14ac:dyDescent="0.25">
      <c r="A12" s="1" t="s">
        <v>59</v>
      </c>
      <c r="B12" s="1" t="s">
        <v>52</v>
      </c>
      <c r="C12" s="1">
        <v>66</v>
      </c>
      <c r="D12" s="1">
        <v>143</v>
      </c>
      <c r="E12" s="1">
        <v>175</v>
      </c>
      <c r="F12" s="1">
        <v>17</v>
      </c>
      <c r="G12" s="7">
        <v>0.17</v>
      </c>
      <c r="H12" s="1">
        <v>180</v>
      </c>
      <c r="I12" s="1" t="s">
        <v>53</v>
      </c>
      <c r="J12" s="1"/>
      <c r="K12" s="1">
        <v>181</v>
      </c>
      <c r="L12" s="1">
        <f t="shared" si="3"/>
        <v>-6</v>
      </c>
      <c r="M12" s="1">
        <f t="shared" si="4"/>
        <v>175</v>
      </c>
      <c r="N12" s="1"/>
      <c r="O12" s="1"/>
      <c r="P12" s="1">
        <v>150.6</v>
      </c>
      <c r="Q12" s="1"/>
      <c r="R12" s="23"/>
      <c r="S12" s="1"/>
      <c r="T12" s="1"/>
      <c r="U12" s="1"/>
      <c r="V12" s="1"/>
      <c r="W12" s="1"/>
      <c r="X12" s="1">
        <f t="shared" si="5"/>
        <v>35</v>
      </c>
      <c r="Y12" s="5">
        <f>11.5*X12-W12-U12-S12-P12-O12-F12</f>
        <v>234.9</v>
      </c>
      <c r="Z12" s="5">
        <f>Y12</f>
        <v>234.9</v>
      </c>
      <c r="AA12" s="5">
        <f t="shared" si="6"/>
        <v>234.9</v>
      </c>
      <c r="AB12" s="5"/>
      <c r="AC12" s="1"/>
      <c r="AD12" s="1">
        <f t="shared" si="10"/>
        <v>11.5</v>
      </c>
      <c r="AE12" s="1">
        <f t="shared" si="7"/>
        <v>4.7885714285714283</v>
      </c>
      <c r="AF12" s="1">
        <v>24.6</v>
      </c>
      <c r="AG12" s="1">
        <v>9</v>
      </c>
      <c r="AH12" s="1">
        <v>5.4</v>
      </c>
      <c r="AI12" s="1">
        <v>12.6</v>
      </c>
      <c r="AJ12" s="1">
        <v>17.2</v>
      </c>
      <c r="AK12" s="1">
        <v>21</v>
      </c>
      <c r="AL12" s="1">
        <v>14.4</v>
      </c>
      <c r="AM12" s="1">
        <v>13.6</v>
      </c>
      <c r="AN12" s="1"/>
      <c r="AO12" s="1">
        <f t="shared" si="8"/>
        <v>40</v>
      </c>
      <c r="AP12" s="1">
        <f>VLOOKUP(A12,[1]Лист1!$A:$B,2,0)</f>
        <v>40</v>
      </c>
      <c r="AQ12" s="1">
        <f t="shared" si="9"/>
        <v>0</v>
      </c>
    </row>
    <row r="13" spans="1:43" x14ac:dyDescent="0.25">
      <c r="A13" s="1" t="s">
        <v>60</v>
      </c>
      <c r="B13" s="1" t="s">
        <v>52</v>
      </c>
      <c r="C13" s="1">
        <v>1</v>
      </c>
      <c r="D13" s="1">
        <v>122</v>
      </c>
      <c r="E13" s="1">
        <v>42</v>
      </c>
      <c r="F13" s="1">
        <v>53</v>
      </c>
      <c r="G13" s="7">
        <v>0.3</v>
      </c>
      <c r="H13" s="1">
        <v>40</v>
      </c>
      <c r="I13" s="1" t="s">
        <v>53</v>
      </c>
      <c r="J13" s="1"/>
      <c r="K13" s="1">
        <v>50</v>
      </c>
      <c r="L13" s="1">
        <f t="shared" si="3"/>
        <v>-8</v>
      </c>
      <c r="M13" s="1">
        <f t="shared" si="4"/>
        <v>42</v>
      </c>
      <c r="N13" s="1"/>
      <c r="O13" s="1"/>
      <c r="P13" s="1">
        <v>0</v>
      </c>
      <c r="Q13" s="1"/>
      <c r="R13" s="23"/>
      <c r="S13" s="1"/>
      <c r="T13" s="1"/>
      <c r="U13" s="1"/>
      <c r="V13" s="1"/>
      <c r="W13" s="1"/>
      <c r="X13" s="1">
        <f t="shared" si="5"/>
        <v>8.4</v>
      </c>
      <c r="Y13" s="5">
        <f>11.5*X13-W13-U13-S13-P13-O13-F13</f>
        <v>43.600000000000009</v>
      </c>
      <c r="Z13" s="5">
        <f>Y13</f>
        <v>43.600000000000009</v>
      </c>
      <c r="AA13" s="5">
        <f t="shared" si="6"/>
        <v>43.600000000000009</v>
      </c>
      <c r="AB13" s="5"/>
      <c r="AC13" s="1"/>
      <c r="AD13" s="1">
        <f t="shared" si="10"/>
        <v>11.5</v>
      </c>
      <c r="AE13" s="1">
        <f t="shared" si="7"/>
        <v>6.3095238095238093</v>
      </c>
      <c r="AF13" s="1">
        <v>3.2</v>
      </c>
      <c r="AG13" s="1">
        <v>1</v>
      </c>
      <c r="AH13" s="1">
        <v>0.8</v>
      </c>
      <c r="AI13" s="1">
        <v>2.6</v>
      </c>
      <c r="AJ13" s="1">
        <v>9.4</v>
      </c>
      <c r="AK13" s="1">
        <v>13.4</v>
      </c>
      <c r="AL13" s="1">
        <v>4.4000000000000004</v>
      </c>
      <c r="AM13" s="1">
        <v>0.4</v>
      </c>
      <c r="AN13" s="1"/>
      <c r="AO13" s="1">
        <f t="shared" si="8"/>
        <v>13</v>
      </c>
      <c r="AP13" s="1">
        <f>VLOOKUP(A13,[1]Лист1!$A:$B,2,0)</f>
        <v>13</v>
      </c>
      <c r="AQ13" s="1">
        <f t="shared" si="9"/>
        <v>0</v>
      </c>
    </row>
    <row r="14" spans="1:43" x14ac:dyDescent="0.25">
      <c r="A14" s="1" t="s">
        <v>61</v>
      </c>
      <c r="B14" s="1" t="s">
        <v>52</v>
      </c>
      <c r="C14" s="1">
        <v>484</v>
      </c>
      <c r="D14" s="1">
        <v>80</v>
      </c>
      <c r="E14" s="1">
        <v>301</v>
      </c>
      <c r="F14" s="1">
        <v>230</v>
      </c>
      <c r="G14" s="7">
        <v>0.17</v>
      </c>
      <c r="H14" s="1">
        <v>180</v>
      </c>
      <c r="I14" s="1" t="s">
        <v>53</v>
      </c>
      <c r="J14" s="1"/>
      <c r="K14" s="1">
        <v>307</v>
      </c>
      <c r="L14" s="1">
        <f t="shared" si="3"/>
        <v>-6</v>
      </c>
      <c r="M14" s="1">
        <f t="shared" si="4"/>
        <v>301</v>
      </c>
      <c r="N14" s="1"/>
      <c r="O14" s="1"/>
      <c r="P14" s="1">
        <v>384.2</v>
      </c>
      <c r="Q14" s="1"/>
      <c r="R14" s="23"/>
      <c r="S14" s="1"/>
      <c r="T14" s="1"/>
      <c r="U14" s="1"/>
      <c r="V14" s="1"/>
      <c r="W14" s="1"/>
      <c r="X14" s="1">
        <f t="shared" si="5"/>
        <v>60.2</v>
      </c>
      <c r="Y14" s="5">
        <f>11.5*X14-W14-U14-S14-P14-O14-F14</f>
        <v>78.10000000000008</v>
      </c>
      <c r="Z14" s="5">
        <f>Y14</f>
        <v>78.10000000000008</v>
      </c>
      <c r="AA14" s="5">
        <f t="shared" si="6"/>
        <v>78.10000000000008</v>
      </c>
      <c r="AB14" s="5"/>
      <c r="AC14" s="1"/>
      <c r="AD14" s="1">
        <f t="shared" si="10"/>
        <v>11.500000000000002</v>
      </c>
      <c r="AE14" s="1">
        <f t="shared" si="7"/>
        <v>10.20265780730897</v>
      </c>
      <c r="AF14" s="1">
        <v>65.2</v>
      </c>
      <c r="AG14" s="1">
        <v>36.6</v>
      </c>
      <c r="AH14" s="1">
        <v>21.4</v>
      </c>
      <c r="AI14" s="1">
        <v>16.2</v>
      </c>
      <c r="AJ14" s="1">
        <v>29.4</v>
      </c>
      <c r="AK14" s="1">
        <v>74.2</v>
      </c>
      <c r="AL14" s="1">
        <v>73.8</v>
      </c>
      <c r="AM14" s="1">
        <v>37.6</v>
      </c>
      <c r="AN14" s="1"/>
      <c r="AO14" s="1">
        <f t="shared" si="8"/>
        <v>13</v>
      </c>
      <c r="AP14" s="1">
        <f>VLOOKUP(A14,[1]Лист1!$A:$B,2,0)</f>
        <v>13</v>
      </c>
      <c r="AQ14" s="1">
        <f t="shared" si="9"/>
        <v>0</v>
      </c>
    </row>
    <row r="15" spans="1:43" x14ac:dyDescent="0.25">
      <c r="A15" s="9" t="s">
        <v>62</v>
      </c>
      <c r="B15" s="9" t="s">
        <v>52</v>
      </c>
      <c r="C15" s="9"/>
      <c r="D15" s="9">
        <v>384</v>
      </c>
      <c r="E15" s="9">
        <v>21</v>
      </c>
      <c r="F15" s="9">
        <v>363</v>
      </c>
      <c r="G15" s="10">
        <v>0</v>
      </c>
      <c r="H15" s="9"/>
      <c r="I15" s="9" t="s">
        <v>63</v>
      </c>
      <c r="J15" s="9"/>
      <c r="K15" s="9">
        <v>27</v>
      </c>
      <c r="L15" s="9">
        <f t="shared" si="3"/>
        <v>-6</v>
      </c>
      <c r="M15" s="9">
        <f t="shared" si="4"/>
        <v>21</v>
      </c>
      <c r="N15" s="9"/>
      <c r="O15" s="9"/>
      <c r="P15" s="9">
        <v>0</v>
      </c>
      <c r="Q15" s="9"/>
      <c r="R15" s="25"/>
      <c r="S15" s="9"/>
      <c r="T15" s="9"/>
      <c r="U15" s="9"/>
      <c r="V15" s="9"/>
      <c r="W15" s="9"/>
      <c r="X15" s="9">
        <f t="shared" si="5"/>
        <v>4.2</v>
      </c>
      <c r="Y15" s="11"/>
      <c r="Z15" s="5">
        <f>Y15</f>
        <v>0</v>
      </c>
      <c r="AA15" s="5">
        <f t="shared" si="6"/>
        <v>0</v>
      </c>
      <c r="AB15" s="5"/>
      <c r="AC15" s="9"/>
      <c r="AD15" s="1">
        <f t="shared" si="10"/>
        <v>86.428571428571431</v>
      </c>
      <c r="AE15" s="9">
        <f t="shared" si="7"/>
        <v>86.428571428571431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 t="s">
        <v>64</v>
      </c>
      <c r="AO15" s="1">
        <f t="shared" si="8"/>
        <v>0</v>
      </c>
      <c r="AP15" s="1">
        <f>VLOOKUP(A15,[1]Лист1!$A:$B,2,0)</f>
        <v>0</v>
      </c>
      <c r="AQ15" s="1">
        <f t="shared" si="9"/>
        <v>0</v>
      </c>
    </row>
    <row r="16" spans="1:43" x14ac:dyDescent="0.25">
      <c r="A16" s="1" t="s">
        <v>65</v>
      </c>
      <c r="B16" s="1" t="s">
        <v>47</v>
      </c>
      <c r="C16" s="1">
        <v>3574.5349999999999</v>
      </c>
      <c r="D16" s="1">
        <v>3026.3180000000002</v>
      </c>
      <c r="E16" s="1">
        <v>3733.9769999999999</v>
      </c>
      <c r="F16" s="1">
        <v>1545.165</v>
      </c>
      <c r="G16" s="7">
        <v>1</v>
      </c>
      <c r="H16" s="1">
        <v>70</v>
      </c>
      <c r="I16" s="1" t="s">
        <v>48</v>
      </c>
      <c r="J16" s="1"/>
      <c r="K16" s="1">
        <v>3676.3150000000001</v>
      </c>
      <c r="L16" s="1">
        <f t="shared" si="3"/>
        <v>57.661999999999807</v>
      </c>
      <c r="M16" s="1">
        <f t="shared" si="4"/>
        <v>3733.9769999999999</v>
      </c>
      <c r="N16" s="1"/>
      <c r="O16" s="1"/>
      <c r="P16" s="1">
        <v>1737</v>
      </c>
      <c r="Q16" s="1"/>
      <c r="R16" s="23"/>
      <c r="S16" s="1">
        <v>800</v>
      </c>
      <c r="T16" s="1"/>
      <c r="U16" s="1">
        <v>2000</v>
      </c>
      <c r="V16" s="1"/>
      <c r="W16" s="1"/>
      <c r="X16" s="1">
        <f t="shared" si="5"/>
        <v>746.79539999999997</v>
      </c>
      <c r="Y16" s="5">
        <f>11.5*X16-W16-U16-S16-P16-O16-F16</f>
        <v>2505.9821000000002</v>
      </c>
      <c r="Z16" s="5">
        <f>Y16+$Z$1*X16</f>
        <v>3036.2068340000001</v>
      </c>
      <c r="AA16" s="5">
        <f t="shared" si="6"/>
        <v>965.51377321199971</v>
      </c>
      <c r="AB16" s="5">
        <f>$AB$1*Z16</f>
        <v>2070.6930607880004</v>
      </c>
      <c r="AC16" s="1"/>
      <c r="AD16" s="1">
        <f t="shared" si="10"/>
        <v>12.209999999999999</v>
      </c>
      <c r="AE16" s="1">
        <f t="shared" si="7"/>
        <v>8.1443525227927225</v>
      </c>
      <c r="AF16" s="1">
        <v>794.77139999999997</v>
      </c>
      <c r="AG16" s="1">
        <v>554.79759999999999</v>
      </c>
      <c r="AH16" s="1">
        <v>546.93779999999992</v>
      </c>
      <c r="AI16" s="1">
        <v>609.09219999999993</v>
      </c>
      <c r="AJ16" s="1">
        <v>717.98599999999999</v>
      </c>
      <c r="AK16" s="1">
        <v>729.06079999999997</v>
      </c>
      <c r="AL16" s="1">
        <v>733.47640000000001</v>
      </c>
      <c r="AM16" s="1">
        <v>698.62239999999997</v>
      </c>
      <c r="AN16" s="1"/>
      <c r="AO16" s="1">
        <f t="shared" si="8"/>
        <v>966</v>
      </c>
      <c r="AP16" s="1">
        <f>VLOOKUP(A16,[1]Лист1!$A:$B,2,0)</f>
        <v>966</v>
      </c>
      <c r="AQ16" s="1">
        <f t="shared" si="9"/>
        <v>2071</v>
      </c>
    </row>
    <row r="17" spans="1:43" x14ac:dyDescent="0.25">
      <c r="A17" s="1" t="s">
        <v>66</v>
      </c>
      <c r="B17" s="1" t="s">
        <v>47</v>
      </c>
      <c r="C17" s="1">
        <v>1513.126</v>
      </c>
      <c r="D17" s="1">
        <v>6049.6570000000002</v>
      </c>
      <c r="E17" s="1">
        <v>2687.7150000000001</v>
      </c>
      <c r="F17" s="1">
        <v>4010.6190000000001</v>
      </c>
      <c r="G17" s="7">
        <v>1</v>
      </c>
      <c r="H17" s="1">
        <v>50</v>
      </c>
      <c r="I17" s="1" t="s">
        <v>48</v>
      </c>
      <c r="J17" s="1"/>
      <c r="K17" s="1">
        <v>2760.232</v>
      </c>
      <c r="L17" s="1">
        <f t="shared" si="3"/>
        <v>-72.516999999999825</v>
      </c>
      <c r="M17" s="1">
        <f t="shared" si="4"/>
        <v>2687.7150000000001</v>
      </c>
      <c r="N17" s="1"/>
      <c r="O17" s="1"/>
      <c r="P17" s="1">
        <v>0</v>
      </c>
      <c r="Q17" s="1">
        <v>1400</v>
      </c>
      <c r="R17" s="23"/>
      <c r="S17" s="1"/>
      <c r="T17" s="1"/>
      <c r="U17" s="1"/>
      <c r="V17" s="1"/>
      <c r="W17" s="1"/>
      <c r="X17" s="1">
        <f t="shared" si="5"/>
        <v>537.54300000000001</v>
      </c>
      <c r="Y17" s="5">
        <f>11.5*X17-W17-U17-S17-P17-O17-F17-Q17</f>
        <v>771.12549999999965</v>
      </c>
      <c r="Z17" s="5">
        <f>Y17+$Z$1*X17</f>
        <v>1152.7810299999996</v>
      </c>
      <c r="AA17" s="5">
        <f t="shared" si="6"/>
        <v>366.58436753999979</v>
      </c>
      <c r="AB17" s="5">
        <f>$AB$1*Z17</f>
        <v>786.19666245999986</v>
      </c>
      <c r="AC17" s="1"/>
      <c r="AD17" s="1">
        <f t="shared" si="10"/>
        <v>12.209999999999999</v>
      </c>
      <c r="AE17" s="1">
        <f t="shared" si="7"/>
        <v>7.4610198625970385</v>
      </c>
      <c r="AF17" s="1">
        <v>623.73239999999998</v>
      </c>
      <c r="AG17" s="1">
        <v>623.553</v>
      </c>
      <c r="AH17" s="1">
        <v>655.59559999999999</v>
      </c>
      <c r="AI17" s="1">
        <v>514.53160000000003</v>
      </c>
      <c r="AJ17" s="1">
        <v>650.99779999999998</v>
      </c>
      <c r="AK17" s="1">
        <v>665.4226000000001</v>
      </c>
      <c r="AL17" s="1">
        <v>618.9745999999999</v>
      </c>
      <c r="AM17" s="1">
        <v>533.11019999999996</v>
      </c>
      <c r="AN17" s="1"/>
      <c r="AO17" s="1">
        <f t="shared" si="8"/>
        <v>367</v>
      </c>
      <c r="AP17" s="1">
        <f>VLOOKUP(A17,[1]Лист1!$A:$B,2,0)</f>
        <v>367</v>
      </c>
      <c r="AQ17" s="1">
        <f t="shared" si="9"/>
        <v>786</v>
      </c>
    </row>
    <row r="18" spans="1:43" x14ac:dyDescent="0.25">
      <c r="A18" s="1" t="s">
        <v>67</v>
      </c>
      <c r="B18" s="1" t="s">
        <v>47</v>
      </c>
      <c r="C18" s="1">
        <v>312.58499999999998</v>
      </c>
      <c r="D18" s="1">
        <v>200.64599999999999</v>
      </c>
      <c r="E18" s="1">
        <v>94.51</v>
      </c>
      <c r="F18" s="1">
        <v>327.36399999999998</v>
      </c>
      <c r="G18" s="7">
        <v>1</v>
      </c>
      <c r="H18" s="1">
        <v>60</v>
      </c>
      <c r="I18" s="1" t="s">
        <v>53</v>
      </c>
      <c r="J18" s="1"/>
      <c r="K18" s="1">
        <v>324.39999999999998</v>
      </c>
      <c r="L18" s="1">
        <f t="shared" si="3"/>
        <v>-229.89</v>
      </c>
      <c r="M18" s="1">
        <f t="shared" si="4"/>
        <v>94.51</v>
      </c>
      <c r="N18" s="1"/>
      <c r="O18" s="1"/>
      <c r="P18" s="1">
        <v>0</v>
      </c>
      <c r="Q18" s="1"/>
      <c r="R18" s="23"/>
      <c r="S18" s="1"/>
      <c r="T18" s="1"/>
      <c r="U18" s="1"/>
      <c r="V18" s="1"/>
      <c r="W18" s="1"/>
      <c r="X18" s="1">
        <f t="shared" si="5"/>
        <v>18.902000000000001</v>
      </c>
      <c r="Y18" s="5"/>
      <c r="Z18" s="5">
        <f>Y18</f>
        <v>0</v>
      </c>
      <c r="AA18" s="5">
        <f t="shared" si="6"/>
        <v>0</v>
      </c>
      <c r="AB18" s="5"/>
      <c r="AC18" s="1"/>
      <c r="AD18" s="1">
        <f t="shared" si="10"/>
        <v>17.31901386096709</v>
      </c>
      <c r="AE18" s="1">
        <f t="shared" si="7"/>
        <v>17.31901386096709</v>
      </c>
      <c r="AF18" s="1">
        <v>36.507800000000003</v>
      </c>
      <c r="AG18" s="1">
        <v>45.231999999999992</v>
      </c>
      <c r="AH18" s="1">
        <v>39.912599999999998</v>
      </c>
      <c r="AI18" s="1">
        <v>46.755800000000001</v>
      </c>
      <c r="AJ18" s="1">
        <v>52.686199999999999</v>
      </c>
      <c r="AK18" s="1">
        <v>53.1126</v>
      </c>
      <c r="AL18" s="1">
        <v>49.364400000000003</v>
      </c>
      <c r="AM18" s="1">
        <v>53.144799999999996</v>
      </c>
      <c r="AN18" s="1"/>
      <c r="AO18" s="1">
        <f t="shared" si="8"/>
        <v>0</v>
      </c>
      <c r="AP18" s="1">
        <f>VLOOKUP(A18,[1]Лист1!$A:$B,2,0)</f>
        <v>0</v>
      </c>
      <c r="AQ18" s="1">
        <f t="shared" si="9"/>
        <v>0</v>
      </c>
    </row>
    <row r="19" spans="1:43" x14ac:dyDescent="0.25">
      <c r="A19" s="9" t="s">
        <v>68</v>
      </c>
      <c r="B19" s="9" t="s">
        <v>47</v>
      </c>
      <c r="C19" s="9"/>
      <c r="D19" s="9"/>
      <c r="E19" s="12">
        <v>2.4740000000000002</v>
      </c>
      <c r="F19" s="12">
        <v>-4.9740000000000002</v>
      </c>
      <c r="G19" s="10">
        <v>0</v>
      </c>
      <c r="H19" s="9"/>
      <c r="I19" s="9" t="s">
        <v>63</v>
      </c>
      <c r="J19" s="9" t="s">
        <v>69</v>
      </c>
      <c r="K19" s="9">
        <v>5</v>
      </c>
      <c r="L19" s="9">
        <f t="shared" si="3"/>
        <v>-2.5259999999999998</v>
      </c>
      <c r="M19" s="9">
        <f t="shared" si="4"/>
        <v>2.4740000000000002</v>
      </c>
      <c r="N19" s="9"/>
      <c r="O19" s="9"/>
      <c r="P19" s="9">
        <v>0</v>
      </c>
      <c r="Q19" s="9"/>
      <c r="R19" s="25"/>
      <c r="S19" s="9"/>
      <c r="T19" s="9"/>
      <c r="U19" s="9"/>
      <c r="V19" s="9"/>
      <c r="W19" s="9"/>
      <c r="X19" s="9">
        <f t="shared" si="5"/>
        <v>0.49480000000000002</v>
      </c>
      <c r="Y19" s="11"/>
      <c r="Z19" s="5">
        <f>Y19</f>
        <v>0</v>
      </c>
      <c r="AA19" s="5">
        <f t="shared" si="6"/>
        <v>0</v>
      </c>
      <c r="AB19" s="5"/>
      <c r="AC19" s="9"/>
      <c r="AD19" s="1">
        <f t="shared" si="10"/>
        <v>-10.052546483427648</v>
      </c>
      <c r="AE19" s="9">
        <f t="shared" si="7"/>
        <v>-10.052546483427648</v>
      </c>
      <c r="AF19" s="9">
        <v>0.49480000000000002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/>
      <c r="AO19" s="1">
        <f t="shared" si="8"/>
        <v>0</v>
      </c>
      <c r="AP19" s="1">
        <f>VLOOKUP(A19,[1]Лист1!$A:$B,2,0)</f>
        <v>0</v>
      </c>
      <c r="AQ19" s="1">
        <f t="shared" si="9"/>
        <v>0</v>
      </c>
    </row>
    <row r="20" spans="1:43" x14ac:dyDescent="0.25">
      <c r="A20" s="9" t="s">
        <v>70</v>
      </c>
      <c r="B20" s="9" t="s">
        <v>47</v>
      </c>
      <c r="C20" s="9"/>
      <c r="D20" s="9"/>
      <c r="E20" s="9"/>
      <c r="F20" s="9"/>
      <c r="G20" s="10">
        <v>0</v>
      </c>
      <c r="H20" s="9"/>
      <c r="I20" s="9" t="s">
        <v>53</v>
      </c>
      <c r="J20" s="9"/>
      <c r="K20" s="9"/>
      <c r="L20" s="9">
        <f t="shared" si="3"/>
        <v>0</v>
      </c>
      <c r="M20" s="9">
        <f t="shared" si="4"/>
        <v>0</v>
      </c>
      <c r="N20" s="9"/>
      <c r="O20" s="9"/>
      <c r="P20" s="9">
        <v>0</v>
      </c>
      <c r="Q20" s="9"/>
      <c r="R20" s="25"/>
      <c r="S20" s="9"/>
      <c r="T20" s="9"/>
      <c r="U20" s="9"/>
      <c r="V20" s="9"/>
      <c r="W20" s="9"/>
      <c r="X20" s="9">
        <f t="shared" si="5"/>
        <v>0</v>
      </c>
      <c r="Y20" s="11"/>
      <c r="Z20" s="5">
        <f>Y20</f>
        <v>0</v>
      </c>
      <c r="AA20" s="5">
        <f t="shared" si="6"/>
        <v>0</v>
      </c>
      <c r="AB20" s="5"/>
      <c r="AC20" s="9"/>
      <c r="AD20" s="1" t="e">
        <f t="shared" si="10"/>
        <v>#DIV/0!</v>
      </c>
      <c r="AE20" s="9" t="e">
        <f t="shared" si="7"/>
        <v>#DIV/0!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 t="s">
        <v>71</v>
      </c>
      <c r="AO20" s="1">
        <f t="shared" si="8"/>
        <v>0</v>
      </c>
      <c r="AP20" s="1">
        <f>VLOOKUP(A20,[1]Лист1!$A:$B,2,0)</f>
        <v>0</v>
      </c>
      <c r="AQ20" s="1">
        <f t="shared" si="9"/>
        <v>0</v>
      </c>
    </row>
    <row r="21" spans="1:43" x14ac:dyDescent="0.25">
      <c r="A21" s="1" t="s">
        <v>72</v>
      </c>
      <c r="B21" s="1" t="s">
        <v>47</v>
      </c>
      <c r="C21" s="1">
        <v>6.4649999999999999</v>
      </c>
      <c r="D21" s="1">
        <v>16.745000000000001</v>
      </c>
      <c r="E21" s="1">
        <v>5.2240000000000002</v>
      </c>
      <c r="F21" s="1">
        <v>15.840999999999999</v>
      </c>
      <c r="G21" s="7">
        <v>1</v>
      </c>
      <c r="H21" s="1">
        <v>180</v>
      </c>
      <c r="I21" s="1" t="s">
        <v>53</v>
      </c>
      <c r="J21" s="1"/>
      <c r="K21" s="1">
        <v>4.7</v>
      </c>
      <c r="L21" s="1">
        <f t="shared" si="3"/>
        <v>0.52400000000000002</v>
      </c>
      <c r="M21" s="1">
        <f t="shared" si="4"/>
        <v>5.2240000000000002</v>
      </c>
      <c r="N21" s="1"/>
      <c r="O21" s="1"/>
      <c r="P21" s="1">
        <v>0</v>
      </c>
      <c r="Q21" s="1"/>
      <c r="R21" s="23"/>
      <c r="S21" s="1"/>
      <c r="T21" s="1"/>
      <c r="U21" s="1"/>
      <c r="V21" s="1"/>
      <c r="W21" s="1"/>
      <c r="X21" s="1">
        <f t="shared" si="5"/>
        <v>1.0448</v>
      </c>
      <c r="Y21" s="5"/>
      <c r="Z21" s="5">
        <f>Y21</f>
        <v>0</v>
      </c>
      <c r="AA21" s="5">
        <f t="shared" si="6"/>
        <v>0</v>
      </c>
      <c r="AB21" s="5"/>
      <c r="AC21" s="1"/>
      <c r="AD21" s="1">
        <f t="shared" si="10"/>
        <v>15.161753445635528</v>
      </c>
      <c r="AE21" s="1">
        <f t="shared" si="7"/>
        <v>15.161753445635528</v>
      </c>
      <c r="AF21" s="1">
        <v>1.1863999999999999</v>
      </c>
      <c r="AG21" s="1">
        <v>0.42980000000000002</v>
      </c>
      <c r="AH21" s="1">
        <v>0.57140000000000002</v>
      </c>
      <c r="AI21" s="1">
        <v>0.63460000000000005</v>
      </c>
      <c r="AJ21" s="1">
        <v>1.0533999999999999</v>
      </c>
      <c r="AK21" s="1">
        <v>1.054</v>
      </c>
      <c r="AL21" s="1">
        <v>0.2838</v>
      </c>
      <c r="AM21" s="1">
        <v>6.9999999999999993E-2</v>
      </c>
      <c r="AN21" s="1"/>
      <c r="AO21" s="1">
        <f t="shared" si="8"/>
        <v>0</v>
      </c>
      <c r="AP21" s="1">
        <f>VLOOKUP(A21,[1]Лист1!$A:$B,2,0)</f>
        <v>0</v>
      </c>
      <c r="AQ21" s="1">
        <f t="shared" si="9"/>
        <v>0</v>
      </c>
    </row>
    <row r="22" spans="1:43" x14ac:dyDescent="0.25">
      <c r="A22" s="1" t="s">
        <v>73</v>
      </c>
      <c r="B22" s="1" t="s">
        <v>47</v>
      </c>
      <c r="C22" s="1">
        <v>2521.835</v>
      </c>
      <c r="D22" s="1">
        <v>4798.2960000000003</v>
      </c>
      <c r="E22" s="1">
        <v>4162.9830000000002</v>
      </c>
      <c r="F22" s="1">
        <v>1694.723</v>
      </c>
      <c r="G22" s="7">
        <v>1</v>
      </c>
      <c r="H22" s="1">
        <v>60</v>
      </c>
      <c r="I22" s="1" t="s">
        <v>48</v>
      </c>
      <c r="J22" s="1"/>
      <c r="K22" s="1">
        <v>4092.73</v>
      </c>
      <c r="L22" s="1">
        <f t="shared" si="3"/>
        <v>70.253000000000156</v>
      </c>
      <c r="M22" s="1">
        <f t="shared" si="4"/>
        <v>3982.7530000000002</v>
      </c>
      <c r="N22" s="1">
        <v>180.23</v>
      </c>
      <c r="O22" s="1"/>
      <c r="P22" s="1">
        <v>1901.5915999999991</v>
      </c>
      <c r="Q22" s="1"/>
      <c r="R22" s="23"/>
      <c r="S22" s="1"/>
      <c r="T22" s="1"/>
      <c r="U22" s="1">
        <v>3500</v>
      </c>
      <c r="V22" s="1"/>
      <c r="W22" s="1"/>
      <c r="X22" s="1">
        <f t="shared" si="5"/>
        <v>796.55060000000003</v>
      </c>
      <c r="Y22" s="5">
        <f>11.5*X22-W22-U22-S22-P22-O22-F22</f>
        <v>2064.0173000000023</v>
      </c>
      <c r="Z22" s="5">
        <f>Y22+$Z$1*X22</f>
        <v>2629.5682260000021</v>
      </c>
      <c r="AA22" s="5">
        <f t="shared" si="6"/>
        <v>836.20269586800055</v>
      </c>
      <c r="AB22" s="5">
        <f>$AB$1*Z22</f>
        <v>1793.3655301320016</v>
      </c>
      <c r="AC22" s="1"/>
      <c r="AD22" s="1">
        <f t="shared" si="10"/>
        <v>12.21</v>
      </c>
      <c r="AE22" s="1">
        <f t="shared" si="7"/>
        <v>8.908805793379603</v>
      </c>
      <c r="AF22" s="1">
        <v>870.48359999999991</v>
      </c>
      <c r="AG22" s="1">
        <v>625.42460000000005</v>
      </c>
      <c r="AH22" s="1">
        <v>675.56319999999994</v>
      </c>
      <c r="AI22" s="1">
        <v>724.81880000000001</v>
      </c>
      <c r="AJ22" s="1">
        <v>877.02520000000004</v>
      </c>
      <c r="AK22" s="1">
        <v>881.83860000000004</v>
      </c>
      <c r="AL22" s="1">
        <v>955.75059999999996</v>
      </c>
      <c r="AM22" s="1">
        <v>939.14380000000006</v>
      </c>
      <c r="AN22" s="1"/>
      <c r="AO22" s="1">
        <f t="shared" si="8"/>
        <v>836</v>
      </c>
      <c r="AP22" s="1">
        <f>VLOOKUP(A22,[1]Лист1!$A:$B,2,0)</f>
        <v>836</v>
      </c>
      <c r="AQ22" s="1">
        <f t="shared" si="9"/>
        <v>1793</v>
      </c>
    </row>
    <row r="23" spans="1:43" x14ac:dyDescent="0.25">
      <c r="A23" s="9" t="s">
        <v>74</v>
      </c>
      <c r="B23" s="9" t="s">
        <v>47</v>
      </c>
      <c r="C23" s="9"/>
      <c r="D23" s="9"/>
      <c r="E23" s="12">
        <v>7.4930000000000003</v>
      </c>
      <c r="F23" s="12">
        <v>-7.4930000000000003</v>
      </c>
      <c r="G23" s="10">
        <v>0</v>
      </c>
      <c r="H23" s="9"/>
      <c r="I23" s="9" t="s">
        <v>63</v>
      </c>
      <c r="J23" s="9" t="s">
        <v>75</v>
      </c>
      <c r="K23" s="9">
        <v>7.5</v>
      </c>
      <c r="L23" s="9">
        <f t="shared" si="3"/>
        <v>-6.9999999999996732E-3</v>
      </c>
      <c r="M23" s="9">
        <f t="shared" si="4"/>
        <v>7.4930000000000003</v>
      </c>
      <c r="N23" s="9"/>
      <c r="O23" s="9"/>
      <c r="P23" s="9">
        <v>0</v>
      </c>
      <c r="Q23" s="9"/>
      <c r="R23" s="25"/>
      <c r="S23" s="9"/>
      <c r="T23" s="9"/>
      <c r="U23" s="9"/>
      <c r="V23" s="9"/>
      <c r="W23" s="9"/>
      <c r="X23" s="9">
        <f t="shared" si="5"/>
        <v>1.4986000000000002</v>
      </c>
      <c r="Y23" s="11"/>
      <c r="Z23" s="5">
        <f>Y23</f>
        <v>0</v>
      </c>
      <c r="AA23" s="5">
        <f t="shared" si="6"/>
        <v>0</v>
      </c>
      <c r="AB23" s="5"/>
      <c r="AC23" s="9"/>
      <c r="AD23" s="1">
        <f t="shared" si="10"/>
        <v>-5</v>
      </c>
      <c r="AE23" s="9">
        <f t="shared" si="7"/>
        <v>-5</v>
      </c>
      <c r="AF23" s="9">
        <v>1.4985999999999999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/>
      <c r="AO23" s="1">
        <f t="shared" si="8"/>
        <v>0</v>
      </c>
      <c r="AP23" s="1">
        <f>VLOOKUP(A23,[1]Лист1!$A:$B,2,0)</f>
        <v>0</v>
      </c>
      <c r="AQ23" s="1">
        <f t="shared" si="9"/>
        <v>0</v>
      </c>
    </row>
    <row r="24" spans="1:43" x14ac:dyDescent="0.25">
      <c r="A24" s="1" t="s">
        <v>76</v>
      </c>
      <c r="B24" s="1" t="s">
        <v>47</v>
      </c>
      <c r="C24" s="1">
        <v>741.00699999999995</v>
      </c>
      <c r="D24" s="1">
        <v>184.47399999999999</v>
      </c>
      <c r="E24" s="1">
        <v>532.79200000000003</v>
      </c>
      <c r="F24" s="1">
        <v>301.05900000000003</v>
      </c>
      <c r="G24" s="7">
        <v>1</v>
      </c>
      <c r="H24" s="1">
        <v>70</v>
      </c>
      <c r="I24" s="1" t="s">
        <v>53</v>
      </c>
      <c r="J24" s="1"/>
      <c r="K24" s="1">
        <v>561.19000000000005</v>
      </c>
      <c r="L24" s="1">
        <f t="shared" si="3"/>
        <v>-28.398000000000025</v>
      </c>
      <c r="M24" s="1">
        <f t="shared" si="4"/>
        <v>432.59200000000004</v>
      </c>
      <c r="N24" s="1">
        <v>100.2</v>
      </c>
      <c r="O24" s="1"/>
      <c r="P24" s="1">
        <v>343.26725999999991</v>
      </c>
      <c r="Q24" s="1"/>
      <c r="R24" s="23"/>
      <c r="S24" s="1"/>
      <c r="T24" s="1"/>
      <c r="U24" s="1">
        <v>300</v>
      </c>
      <c r="V24" s="1"/>
      <c r="W24" s="1"/>
      <c r="X24" s="1">
        <f t="shared" si="5"/>
        <v>86.518400000000014</v>
      </c>
      <c r="Y24" s="5">
        <f>11.5*X24-W24-U24-S24-P24-O24-F24</f>
        <v>50.635340000000269</v>
      </c>
      <c r="Z24" s="5">
        <f>Y24</f>
        <v>50.635340000000269</v>
      </c>
      <c r="AA24" s="5">
        <f t="shared" si="6"/>
        <v>50.635340000000269</v>
      </c>
      <c r="AB24" s="5"/>
      <c r="AC24" s="1"/>
      <c r="AD24" s="1">
        <f t="shared" si="10"/>
        <v>11.5</v>
      </c>
      <c r="AE24" s="1">
        <f t="shared" si="7"/>
        <v>10.914744840403888</v>
      </c>
      <c r="AF24" s="1">
        <v>112.26900000000001</v>
      </c>
      <c r="AG24" s="1">
        <v>80.832799999999992</v>
      </c>
      <c r="AH24" s="1">
        <v>82.780600000000007</v>
      </c>
      <c r="AI24" s="1">
        <v>84.445999999999998</v>
      </c>
      <c r="AJ24" s="1">
        <v>87.766999999999996</v>
      </c>
      <c r="AK24" s="1">
        <v>81.984399999999994</v>
      </c>
      <c r="AL24" s="1">
        <v>105.79219999999999</v>
      </c>
      <c r="AM24" s="1">
        <v>91.558999999999997</v>
      </c>
      <c r="AN24" s="1"/>
      <c r="AO24" s="1">
        <f t="shared" si="8"/>
        <v>51</v>
      </c>
      <c r="AP24" s="1">
        <f>VLOOKUP(A24,[1]Лист1!$A:$B,2,0)</f>
        <v>51</v>
      </c>
      <c r="AQ24" s="1">
        <f t="shared" si="9"/>
        <v>0</v>
      </c>
    </row>
    <row r="25" spans="1:43" x14ac:dyDescent="0.25">
      <c r="A25" s="1" t="s">
        <v>77</v>
      </c>
      <c r="B25" s="1" t="s">
        <v>47</v>
      </c>
      <c r="C25" s="1">
        <v>976.16200000000003</v>
      </c>
      <c r="D25" s="1">
        <v>1194.0999999999999</v>
      </c>
      <c r="E25" s="1">
        <v>1424.3019999999999</v>
      </c>
      <c r="F25" s="1">
        <v>547.82100000000003</v>
      </c>
      <c r="G25" s="7">
        <v>1</v>
      </c>
      <c r="H25" s="1">
        <v>70</v>
      </c>
      <c r="I25" s="1" t="s">
        <v>48</v>
      </c>
      <c r="J25" s="1"/>
      <c r="K25" s="1">
        <v>1400.8889999999999</v>
      </c>
      <c r="L25" s="1">
        <f t="shared" si="3"/>
        <v>23.413000000000011</v>
      </c>
      <c r="M25" s="1">
        <f t="shared" si="4"/>
        <v>1271.232</v>
      </c>
      <c r="N25" s="1">
        <v>153.07</v>
      </c>
      <c r="O25" s="1"/>
      <c r="P25" s="1">
        <v>723.06279999999992</v>
      </c>
      <c r="Q25" s="1"/>
      <c r="R25" s="23"/>
      <c r="S25" s="1"/>
      <c r="T25" s="1"/>
      <c r="U25" s="1">
        <v>800</v>
      </c>
      <c r="V25" s="1"/>
      <c r="W25" s="1"/>
      <c r="X25" s="1">
        <f t="shared" si="5"/>
        <v>254.24639999999999</v>
      </c>
      <c r="Y25" s="5">
        <f>11.5*X25-W25-U25-S25-P25-O25-F25</f>
        <v>852.94979999999998</v>
      </c>
      <c r="Z25" s="5">
        <f>Y25+$Z$1*X25</f>
        <v>1033.4647439999999</v>
      </c>
      <c r="AA25" s="5">
        <f t="shared" si="6"/>
        <v>328.6417885919999</v>
      </c>
      <c r="AB25" s="5">
        <f>$AB$1*Z25</f>
        <v>704.82295540799998</v>
      </c>
      <c r="AC25" s="1"/>
      <c r="AD25" s="1">
        <f t="shared" si="10"/>
        <v>12.21</v>
      </c>
      <c r="AE25" s="1">
        <f t="shared" si="7"/>
        <v>8.1451843565926598</v>
      </c>
      <c r="AF25" s="1">
        <v>255.9778</v>
      </c>
      <c r="AG25" s="1">
        <v>183.00020000000001</v>
      </c>
      <c r="AH25" s="1">
        <v>190.50559999999999</v>
      </c>
      <c r="AI25" s="1">
        <v>210.42779999999999</v>
      </c>
      <c r="AJ25" s="1">
        <v>235.95099999999999</v>
      </c>
      <c r="AK25" s="1">
        <v>225.54</v>
      </c>
      <c r="AL25" s="1">
        <v>220.38339999999999</v>
      </c>
      <c r="AM25" s="1">
        <v>213.50020000000001</v>
      </c>
      <c r="AN25" s="1"/>
      <c r="AO25" s="1">
        <f t="shared" si="8"/>
        <v>329</v>
      </c>
      <c r="AP25" s="1">
        <f>VLOOKUP(A25,[1]Лист1!$A:$B,2,0)</f>
        <v>329</v>
      </c>
      <c r="AQ25" s="1">
        <f t="shared" si="9"/>
        <v>705</v>
      </c>
    </row>
    <row r="26" spans="1:43" x14ac:dyDescent="0.25">
      <c r="A26" s="9" t="s">
        <v>78</v>
      </c>
      <c r="B26" s="9" t="s">
        <v>47</v>
      </c>
      <c r="C26" s="9"/>
      <c r="D26" s="9"/>
      <c r="E26" s="9"/>
      <c r="F26" s="9"/>
      <c r="G26" s="10">
        <v>0</v>
      </c>
      <c r="H26" s="9"/>
      <c r="I26" s="9" t="s">
        <v>53</v>
      </c>
      <c r="J26" s="9"/>
      <c r="K26" s="9"/>
      <c r="L26" s="9">
        <f t="shared" si="3"/>
        <v>0</v>
      </c>
      <c r="M26" s="9">
        <f t="shared" si="4"/>
        <v>0</v>
      </c>
      <c r="N26" s="9"/>
      <c r="O26" s="9"/>
      <c r="P26" s="9">
        <v>0</v>
      </c>
      <c r="Q26" s="9"/>
      <c r="R26" s="25"/>
      <c r="S26" s="9"/>
      <c r="T26" s="9"/>
      <c r="U26" s="9"/>
      <c r="V26" s="9"/>
      <c r="W26" s="9"/>
      <c r="X26" s="9">
        <f t="shared" si="5"/>
        <v>0</v>
      </c>
      <c r="Y26" s="11"/>
      <c r="Z26" s="5">
        <f>Y26</f>
        <v>0</v>
      </c>
      <c r="AA26" s="5">
        <f t="shared" si="6"/>
        <v>0</v>
      </c>
      <c r="AB26" s="5"/>
      <c r="AC26" s="9"/>
      <c r="AD26" s="1" t="e">
        <f t="shared" si="10"/>
        <v>#DIV/0!</v>
      </c>
      <c r="AE26" s="9" t="e">
        <f t="shared" si="7"/>
        <v>#DIV/0!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 t="s">
        <v>71</v>
      </c>
      <c r="AO26" s="1">
        <f t="shared" si="8"/>
        <v>0</v>
      </c>
      <c r="AP26" s="1">
        <f>VLOOKUP(A26,[1]Лист1!$A:$B,2,0)</f>
        <v>0</v>
      </c>
      <c r="AQ26" s="1">
        <f t="shared" si="9"/>
        <v>0</v>
      </c>
    </row>
    <row r="27" spans="1:43" x14ac:dyDescent="0.25">
      <c r="A27" s="1" t="s">
        <v>79</v>
      </c>
      <c r="B27" s="1" t="s">
        <v>47</v>
      </c>
      <c r="C27" s="1">
        <v>1747.5229999999999</v>
      </c>
      <c r="D27" s="1">
        <v>2040.44</v>
      </c>
      <c r="E27" s="1">
        <v>2087.0160000000001</v>
      </c>
      <c r="F27" s="1">
        <v>998.59500000000003</v>
      </c>
      <c r="G27" s="7">
        <v>1</v>
      </c>
      <c r="H27" s="1">
        <v>70</v>
      </c>
      <c r="I27" s="1" t="s">
        <v>48</v>
      </c>
      <c r="J27" s="1"/>
      <c r="K27" s="1">
        <v>2108.8000000000002</v>
      </c>
      <c r="L27" s="1">
        <f t="shared" si="3"/>
        <v>-21.784000000000106</v>
      </c>
      <c r="M27" s="1">
        <f t="shared" si="4"/>
        <v>2087.0160000000001</v>
      </c>
      <c r="N27" s="1"/>
      <c r="O27" s="1"/>
      <c r="P27" s="1">
        <v>784.08680000000049</v>
      </c>
      <c r="Q27" s="1"/>
      <c r="R27" s="23"/>
      <c r="S27" s="1"/>
      <c r="T27" s="1"/>
      <c r="U27" s="1">
        <v>2000</v>
      </c>
      <c r="V27" s="1"/>
      <c r="W27" s="1"/>
      <c r="X27" s="1">
        <f t="shared" si="5"/>
        <v>417.40320000000003</v>
      </c>
      <c r="Y27" s="5">
        <f>11.5*X27-W27-U27-S27-P27-O27-F27</f>
        <v>1017.4549999999997</v>
      </c>
      <c r="Z27" s="5">
        <f>Y27+$Z$1*X27</f>
        <v>1313.8112719999997</v>
      </c>
      <c r="AA27" s="5">
        <f t="shared" si="6"/>
        <v>417.79198449599983</v>
      </c>
      <c r="AB27" s="5">
        <f>$AB$1*Z27</f>
        <v>896.01928750399986</v>
      </c>
      <c r="AC27" s="1"/>
      <c r="AD27" s="1">
        <f t="shared" si="10"/>
        <v>12.209999999999999</v>
      </c>
      <c r="AE27" s="1">
        <f t="shared" si="7"/>
        <v>9.0624168669526259</v>
      </c>
      <c r="AF27" s="1">
        <v>457.06279999999998</v>
      </c>
      <c r="AG27" s="1">
        <v>304.71480000000003</v>
      </c>
      <c r="AH27" s="1">
        <v>332.03960000000001</v>
      </c>
      <c r="AI27" s="1">
        <v>377.9864</v>
      </c>
      <c r="AJ27" s="1">
        <v>429.1764</v>
      </c>
      <c r="AK27" s="1">
        <v>423.87560000000002</v>
      </c>
      <c r="AL27" s="1">
        <v>418.34640000000002</v>
      </c>
      <c r="AM27" s="1">
        <v>400.0342</v>
      </c>
      <c r="AN27" s="1"/>
      <c r="AO27" s="1">
        <f t="shared" si="8"/>
        <v>418</v>
      </c>
      <c r="AP27" s="1">
        <f>VLOOKUP(A27,[1]Лист1!$A:$B,2,0)</f>
        <v>418</v>
      </c>
      <c r="AQ27" s="1">
        <f t="shared" si="9"/>
        <v>896</v>
      </c>
    </row>
    <row r="28" spans="1:43" x14ac:dyDescent="0.25">
      <c r="A28" s="1" t="s">
        <v>80</v>
      </c>
      <c r="B28" s="1" t="s">
        <v>47</v>
      </c>
      <c r="C28" s="1">
        <v>44.959000000000003</v>
      </c>
      <c r="D28" s="1">
        <v>2.9249999999999998</v>
      </c>
      <c r="E28" s="1">
        <v>39.256</v>
      </c>
      <c r="F28" s="1">
        <v>4.2809999999999997</v>
      </c>
      <c r="G28" s="7">
        <v>1</v>
      </c>
      <c r="H28" s="1">
        <v>40</v>
      </c>
      <c r="I28" s="1" t="s">
        <v>53</v>
      </c>
      <c r="J28" s="1"/>
      <c r="K28" s="1">
        <v>39.299999999999997</v>
      </c>
      <c r="L28" s="1">
        <f t="shared" si="3"/>
        <v>-4.399999999999693E-2</v>
      </c>
      <c r="M28" s="1">
        <f t="shared" si="4"/>
        <v>39.256</v>
      </c>
      <c r="N28" s="1"/>
      <c r="O28" s="1"/>
      <c r="P28" s="1">
        <v>49.604200000000013</v>
      </c>
      <c r="Q28" s="1"/>
      <c r="R28" s="23"/>
      <c r="S28" s="1"/>
      <c r="T28" s="1"/>
      <c r="U28" s="1"/>
      <c r="V28" s="1"/>
      <c r="W28" s="1"/>
      <c r="X28" s="1">
        <f t="shared" si="5"/>
        <v>7.8512000000000004</v>
      </c>
      <c r="Y28" s="5">
        <f>11.5*X28-W28-U28-S28-P28-O28-F28</f>
        <v>36.403599999999997</v>
      </c>
      <c r="Z28" s="5">
        <f>Y28</f>
        <v>36.403599999999997</v>
      </c>
      <c r="AA28" s="5">
        <f t="shared" si="6"/>
        <v>36.403599999999997</v>
      </c>
      <c r="AB28" s="5"/>
      <c r="AC28" s="1"/>
      <c r="AD28" s="1">
        <f t="shared" si="10"/>
        <v>11.5</v>
      </c>
      <c r="AE28" s="1">
        <f t="shared" si="7"/>
        <v>6.8633075198695757</v>
      </c>
      <c r="AF28" s="1">
        <v>8.7356000000000016</v>
      </c>
      <c r="AG28" s="1">
        <v>3.5047999999999999</v>
      </c>
      <c r="AH28" s="1">
        <v>4.6479999999999997</v>
      </c>
      <c r="AI28" s="1">
        <v>5.9480000000000004</v>
      </c>
      <c r="AJ28" s="1">
        <v>7.4024000000000001</v>
      </c>
      <c r="AK28" s="1">
        <v>6.2479999999999993</v>
      </c>
      <c r="AL28" s="1">
        <v>11.03</v>
      </c>
      <c r="AM28" s="1">
        <v>9.5733999999999995</v>
      </c>
      <c r="AN28" s="1"/>
      <c r="AO28" s="1">
        <f t="shared" si="8"/>
        <v>36</v>
      </c>
      <c r="AP28" s="1">
        <f>VLOOKUP(A28,[1]Лист1!$A:$B,2,0)</f>
        <v>36</v>
      </c>
      <c r="AQ28" s="1">
        <f t="shared" si="9"/>
        <v>0</v>
      </c>
    </row>
    <row r="29" spans="1:43" x14ac:dyDescent="0.25">
      <c r="A29" s="9" t="s">
        <v>81</v>
      </c>
      <c r="B29" s="9" t="s">
        <v>47</v>
      </c>
      <c r="C29" s="9"/>
      <c r="D29" s="9"/>
      <c r="E29" s="9"/>
      <c r="F29" s="9"/>
      <c r="G29" s="10">
        <v>0</v>
      </c>
      <c r="H29" s="9"/>
      <c r="I29" s="9" t="s">
        <v>53</v>
      </c>
      <c r="J29" s="9"/>
      <c r="K29" s="9"/>
      <c r="L29" s="9">
        <f t="shared" si="3"/>
        <v>0</v>
      </c>
      <c r="M29" s="9">
        <f t="shared" si="4"/>
        <v>0</v>
      </c>
      <c r="N29" s="9"/>
      <c r="O29" s="9"/>
      <c r="P29" s="9">
        <v>0</v>
      </c>
      <c r="Q29" s="9"/>
      <c r="R29" s="25"/>
      <c r="S29" s="9"/>
      <c r="T29" s="9"/>
      <c r="U29" s="9"/>
      <c r="V29" s="9"/>
      <c r="W29" s="9"/>
      <c r="X29" s="9">
        <f t="shared" si="5"/>
        <v>0</v>
      </c>
      <c r="Y29" s="11"/>
      <c r="Z29" s="5">
        <f>Y29</f>
        <v>0</v>
      </c>
      <c r="AA29" s="5">
        <f t="shared" si="6"/>
        <v>0</v>
      </c>
      <c r="AB29" s="5"/>
      <c r="AC29" s="9"/>
      <c r="AD29" s="1" t="e">
        <f t="shared" si="10"/>
        <v>#DIV/0!</v>
      </c>
      <c r="AE29" s="9" t="e">
        <f t="shared" si="7"/>
        <v>#DIV/0!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 t="s">
        <v>71</v>
      </c>
      <c r="AO29" s="1">
        <f t="shared" si="8"/>
        <v>0</v>
      </c>
      <c r="AP29" s="1">
        <f>VLOOKUP(A29,[1]Лист1!$A:$B,2,0)</f>
        <v>0</v>
      </c>
      <c r="AQ29" s="1">
        <f t="shared" si="9"/>
        <v>0</v>
      </c>
    </row>
    <row r="30" spans="1:43" x14ac:dyDescent="0.25">
      <c r="A30" s="9" t="s">
        <v>82</v>
      </c>
      <c r="B30" s="9" t="s">
        <v>47</v>
      </c>
      <c r="C30" s="9"/>
      <c r="D30" s="9"/>
      <c r="E30" s="9"/>
      <c r="F30" s="9"/>
      <c r="G30" s="10">
        <v>0</v>
      </c>
      <c r="H30" s="9"/>
      <c r="I30" s="9" t="s">
        <v>53</v>
      </c>
      <c r="J30" s="9"/>
      <c r="K30" s="9"/>
      <c r="L30" s="9">
        <f t="shared" si="3"/>
        <v>0</v>
      </c>
      <c r="M30" s="9">
        <f t="shared" si="4"/>
        <v>0</v>
      </c>
      <c r="N30" s="9"/>
      <c r="O30" s="9"/>
      <c r="P30" s="9">
        <v>0</v>
      </c>
      <c r="Q30" s="9"/>
      <c r="R30" s="25"/>
      <c r="S30" s="9"/>
      <c r="T30" s="9"/>
      <c r="U30" s="9"/>
      <c r="V30" s="9"/>
      <c r="W30" s="9"/>
      <c r="X30" s="9">
        <f t="shared" si="5"/>
        <v>0</v>
      </c>
      <c r="Y30" s="11"/>
      <c r="Z30" s="5">
        <f>Y30</f>
        <v>0</v>
      </c>
      <c r="AA30" s="5">
        <f t="shared" si="6"/>
        <v>0</v>
      </c>
      <c r="AB30" s="5"/>
      <c r="AC30" s="9"/>
      <c r="AD30" s="1" t="e">
        <f t="shared" si="10"/>
        <v>#DIV/0!</v>
      </c>
      <c r="AE30" s="9" t="e">
        <f t="shared" si="7"/>
        <v>#DIV/0!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 t="s">
        <v>71</v>
      </c>
      <c r="AO30" s="1">
        <f t="shared" si="8"/>
        <v>0</v>
      </c>
      <c r="AP30" s="1">
        <f>VLOOKUP(A30,[1]Лист1!$A:$B,2,0)</f>
        <v>0</v>
      </c>
      <c r="AQ30" s="1">
        <f t="shared" si="9"/>
        <v>0</v>
      </c>
    </row>
    <row r="31" spans="1:43" x14ac:dyDescent="0.25">
      <c r="A31" s="1" t="s">
        <v>83</v>
      </c>
      <c r="B31" s="1" t="s">
        <v>47</v>
      </c>
      <c r="C31" s="1">
        <v>4422.6440000000002</v>
      </c>
      <c r="D31" s="1">
        <v>3561.1439999999998</v>
      </c>
      <c r="E31" s="1">
        <v>1963.7</v>
      </c>
      <c r="F31" s="1">
        <v>4970.9489999999996</v>
      </c>
      <c r="G31" s="7">
        <v>1</v>
      </c>
      <c r="H31" s="1">
        <v>30</v>
      </c>
      <c r="I31" s="1" t="s">
        <v>48</v>
      </c>
      <c r="J31" s="1"/>
      <c r="K31" s="1">
        <v>3116.16</v>
      </c>
      <c r="L31" s="1">
        <f t="shared" si="3"/>
        <v>-1152.4599999999998</v>
      </c>
      <c r="M31" s="1">
        <f t="shared" si="4"/>
        <v>1257.413</v>
      </c>
      <c r="N31" s="1">
        <v>706.28700000000003</v>
      </c>
      <c r="O31" s="1">
        <v>-3500</v>
      </c>
      <c r="P31" s="1">
        <v>316.48535800000042</v>
      </c>
      <c r="Q31" s="1"/>
      <c r="R31" s="23"/>
      <c r="S31" s="1"/>
      <c r="T31" s="1"/>
      <c r="U31" s="1">
        <v>400</v>
      </c>
      <c r="V31" s="1"/>
      <c r="W31" s="1"/>
      <c r="X31" s="1">
        <f t="shared" si="5"/>
        <v>251.48259999999999</v>
      </c>
      <c r="Y31" s="5">
        <f>11.5*X31-W31-U31-S31-P31-O31-F31</f>
        <v>704.61554200000046</v>
      </c>
      <c r="Z31" s="5">
        <f>Y31+$Z$1*X31</f>
        <v>883.16818800000044</v>
      </c>
      <c r="AA31" s="5">
        <f t="shared" si="6"/>
        <v>280.84748378400013</v>
      </c>
      <c r="AB31" s="5">
        <f>$AB$1*Z31</f>
        <v>602.32070421600031</v>
      </c>
      <c r="AC31" s="1"/>
      <c r="AD31" s="1">
        <f t="shared" si="10"/>
        <v>12.210000000000003</v>
      </c>
      <c r="AE31" s="1">
        <f t="shared" si="7"/>
        <v>8.6981539001107837</v>
      </c>
      <c r="AF31" s="1">
        <v>368.85539999999997</v>
      </c>
      <c r="AG31" s="1">
        <v>396.49419999999998</v>
      </c>
      <c r="AH31" s="1">
        <v>440.45499999999998</v>
      </c>
      <c r="AI31" s="1">
        <v>413.21019999999999</v>
      </c>
      <c r="AJ31" s="1">
        <v>344.91699999999997</v>
      </c>
      <c r="AK31" s="1">
        <v>256.0514</v>
      </c>
      <c r="AL31" s="1">
        <v>349.7722</v>
      </c>
      <c r="AM31" s="1">
        <v>272.06720000000001</v>
      </c>
      <c r="AN31" s="1" t="s">
        <v>84</v>
      </c>
      <c r="AO31" s="1">
        <f t="shared" si="8"/>
        <v>281</v>
      </c>
      <c r="AP31" s="1">
        <f>VLOOKUP(A31,[1]Лист1!$A:$B,2,0)</f>
        <v>281</v>
      </c>
      <c r="AQ31" s="1">
        <f t="shared" si="9"/>
        <v>602</v>
      </c>
    </row>
    <row r="32" spans="1:43" x14ac:dyDescent="0.25">
      <c r="A32" s="9" t="s">
        <v>85</v>
      </c>
      <c r="B32" s="9" t="s">
        <v>47</v>
      </c>
      <c r="C32" s="9">
        <v>63.018999999999998</v>
      </c>
      <c r="D32" s="9"/>
      <c r="E32" s="9">
        <v>62.759</v>
      </c>
      <c r="F32" s="9">
        <v>-0.23</v>
      </c>
      <c r="G32" s="10">
        <v>0</v>
      </c>
      <c r="H32" s="9">
        <v>40</v>
      </c>
      <c r="I32" s="9" t="s">
        <v>63</v>
      </c>
      <c r="J32" s="9"/>
      <c r="K32" s="9">
        <v>61.5</v>
      </c>
      <c r="L32" s="9">
        <f t="shared" si="3"/>
        <v>1.2590000000000003</v>
      </c>
      <c r="M32" s="9">
        <f t="shared" si="4"/>
        <v>62.759</v>
      </c>
      <c r="N32" s="9"/>
      <c r="O32" s="9"/>
      <c r="P32" s="9">
        <v>0</v>
      </c>
      <c r="Q32" s="9"/>
      <c r="R32" s="25"/>
      <c r="S32" s="9"/>
      <c r="T32" s="9"/>
      <c r="U32" s="9"/>
      <c r="V32" s="9"/>
      <c r="W32" s="9"/>
      <c r="X32" s="9">
        <f t="shared" si="5"/>
        <v>12.5518</v>
      </c>
      <c r="Y32" s="11"/>
      <c r="Z32" s="5">
        <f>Y32</f>
        <v>0</v>
      </c>
      <c r="AA32" s="5">
        <f t="shared" si="6"/>
        <v>0</v>
      </c>
      <c r="AB32" s="5"/>
      <c r="AC32" s="9"/>
      <c r="AD32" s="1">
        <f t="shared" si="10"/>
        <v>-1.8324065074331968E-2</v>
      </c>
      <c r="AE32" s="9">
        <f t="shared" si="7"/>
        <v>-1.8324065074331968E-2</v>
      </c>
      <c r="AF32" s="9">
        <v>13.9894</v>
      </c>
      <c r="AG32" s="9">
        <v>4.5703999999999994</v>
      </c>
      <c r="AH32" s="9">
        <v>4.0182000000000002</v>
      </c>
      <c r="AI32" s="9">
        <v>1.0573999999999999</v>
      </c>
      <c r="AJ32" s="9">
        <v>8.8558000000000003</v>
      </c>
      <c r="AK32" s="9">
        <v>9.4266000000000005</v>
      </c>
      <c r="AL32" s="9">
        <v>13.422000000000001</v>
      </c>
      <c r="AM32" s="9">
        <v>12.8826</v>
      </c>
      <c r="AN32" s="9"/>
      <c r="AO32" s="1">
        <f t="shared" si="8"/>
        <v>0</v>
      </c>
      <c r="AP32" s="1">
        <f>VLOOKUP(A32,[1]Лист1!$A:$B,2,0)</f>
        <v>0</v>
      </c>
      <c r="AQ32" s="1">
        <f t="shared" si="9"/>
        <v>0</v>
      </c>
    </row>
    <row r="33" spans="1:43" x14ac:dyDescent="0.25">
      <c r="A33" s="1" t="s">
        <v>86</v>
      </c>
      <c r="B33" s="1" t="s">
        <v>47</v>
      </c>
      <c r="C33" s="1">
        <v>3657.1909999999998</v>
      </c>
      <c r="D33" s="1">
        <v>1904.1659999999999</v>
      </c>
      <c r="E33" s="1">
        <v>4239.9120000000003</v>
      </c>
      <c r="F33" s="1">
        <v>-103.289</v>
      </c>
      <c r="G33" s="7">
        <v>1</v>
      </c>
      <c r="H33" s="1">
        <v>40</v>
      </c>
      <c r="I33" s="1" t="s">
        <v>48</v>
      </c>
      <c r="J33" s="1"/>
      <c r="K33" s="1">
        <v>7840.5039999999999</v>
      </c>
      <c r="L33" s="1">
        <f t="shared" si="3"/>
        <v>-3600.5919999999996</v>
      </c>
      <c r="M33" s="1">
        <f t="shared" si="4"/>
        <v>3440.2160000000003</v>
      </c>
      <c r="N33" s="1">
        <v>799.69600000000003</v>
      </c>
      <c r="O33" s="1"/>
      <c r="P33" s="1">
        <v>1200</v>
      </c>
      <c r="Q33" s="1">
        <v>6000</v>
      </c>
      <c r="R33" s="23"/>
      <c r="S33" s="1"/>
      <c r="T33" s="1"/>
      <c r="U33" s="1">
        <v>500</v>
      </c>
      <c r="V33" s="1">
        <v>-504</v>
      </c>
      <c r="W33" s="1"/>
      <c r="X33" s="1">
        <f t="shared" si="5"/>
        <v>688.04320000000007</v>
      </c>
      <c r="Y33" s="5">
        <f>11.5*X33-W33-U33-S33-P33-O33-F33-Q33</f>
        <v>315.78580000000056</v>
      </c>
      <c r="Z33" s="5">
        <f>Y33+$Z$1*X33</f>
        <v>804.29647200000056</v>
      </c>
      <c r="AA33" s="5">
        <f t="shared" si="6"/>
        <v>804.29647200000056</v>
      </c>
      <c r="AB33" s="5"/>
      <c r="AC33" s="1"/>
      <c r="AD33" s="1">
        <f t="shared" si="10"/>
        <v>11.477487855413731</v>
      </c>
      <c r="AE33" s="1">
        <f t="shared" si="7"/>
        <v>2.3206551565366822</v>
      </c>
      <c r="AF33" s="1">
        <v>1184.2532000000001</v>
      </c>
      <c r="AG33" s="1">
        <v>1031.4698000000001</v>
      </c>
      <c r="AH33" s="1">
        <v>1271.6156000000001</v>
      </c>
      <c r="AI33" s="1">
        <v>1208.7454</v>
      </c>
      <c r="AJ33" s="1">
        <v>1373.8782000000001</v>
      </c>
      <c r="AK33" s="1">
        <v>1608.1394</v>
      </c>
      <c r="AL33" s="1">
        <v>1503.0753999999999</v>
      </c>
      <c r="AM33" s="1">
        <v>1112.3946000000001</v>
      </c>
      <c r="AN33" s="1"/>
      <c r="AO33" s="1">
        <f t="shared" si="8"/>
        <v>804</v>
      </c>
      <c r="AP33" s="1">
        <f>VLOOKUP(A33,[1]Лист1!$A:$B,2,0)</f>
        <v>804</v>
      </c>
      <c r="AQ33" s="1">
        <f t="shared" si="9"/>
        <v>0</v>
      </c>
    </row>
    <row r="34" spans="1:43" x14ac:dyDescent="0.25">
      <c r="A34" s="9" t="s">
        <v>88</v>
      </c>
      <c r="B34" s="9" t="s">
        <v>47</v>
      </c>
      <c r="C34" s="9"/>
      <c r="D34" s="9"/>
      <c r="E34" s="9"/>
      <c r="F34" s="9"/>
      <c r="G34" s="10">
        <v>0</v>
      </c>
      <c r="H34" s="9"/>
      <c r="I34" s="9" t="s">
        <v>53</v>
      </c>
      <c r="J34" s="9"/>
      <c r="K34" s="9"/>
      <c r="L34" s="9">
        <f t="shared" si="3"/>
        <v>0</v>
      </c>
      <c r="M34" s="9">
        <f t="shared" si="4"/>
        <v>0</v>
      </c>
      <c r="N34" s="9"/>
      <c r="O34" s="9"/>
      <c r="P34" s="9">
        <v>0</v>
      </c>
      <c r="Q34" s="9"/>
      <c r="R34" s="25"/>
      <c r="S34" s="9"/>
      <c r="T34" s="9"/>
      <c r="U34" s="9"/>
      <c r="V34" s="9"/>
      <c r="W34" s="9"/>
      <c r="X34" s="9">
        <f t="shared" si="5"/>
        <v>0</v>
      </c>
      <c r="Y34" s="11"/>
      <c r="Z34" s="5">
        <f>Y34</f>
        <v>0</v>
      </c>
      <c r="AA34" s="5">
        <f t="shared" si="6"/>
        <v>0</v>
      </c>
      <c r="AB34" s="5"/>
      <c r="AC34" s="9"/>
      <c r="AD34" s="1" t="e">
        <f t="shared" si="10"/>
        <v>#DIV/0!</v>
      </c>
      <c r="AE34" s="9" t="e">
        <f t="shared" si="7"/>
        <v>#DIV/0!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 t="s">
        <v>71</v>
      </c>
      <c r="AO34" s="1">
        <f t="shared" si="8"/>
        <v>0</v>
      </c>
      <c r="AP34" s="1">
        <f>VLOOKUP(A34,[1]Лист1!$A:$B,2,0)</f>
        <v>0</v>
      </c>
      <c r="AQ34" s="1">
        <f t="shared" si="9"/>
        <v>0</v>
      </c>
    </row>
    <row r="35" spans="1:43" x14ac:dyDescent="0.25">
      <c r="A35" s="9" t="s">
        <v>89</v>
      </c>
      <c r="B35" s="9" t="s">
        <v>47</v>
      </c>
      <c r="C35" s="9"/>
      <c r="D35" s="9"/>
      <c r="E35" s="9"/>
      <c r="F35" s="9"/>
      <c r="G35" s="10">
        <v>0</v>
      </c>
      <c r="H35" s="9"/>
      <c r="I35" s="9" t="s">
        <v>53</v>
      </c>
      <c r="J35" s="9"/>
      <c r="K35" s="9"/>
      <c r="L35" s="9">
        <f t="shared" si="3"/>
        <v>0</v>
      </c>
      <c r="M35" s="9">
        <f t="shared" si="4"/>
        <v>0</v>
      </c>
      <c r="N35" s="9"/>
      <c r="O35" s="9"/>
      <c r="P35" s="9">
        <v>0</v>
      </c>
      <c r="Q35" s="9"/>
      <c r="R35" s="25"/>
      <c r="S35" s="9"/>
      <c r="T35" s="9"/>
      <c r="U35" s="9"/>
      <c r="V35" s="9"/>
      <c r="W35" s="9"/>
      <c r="X35" s="9">
        <f t="shared" si="5"/>
        <v>0</v>
      </c>
      <c r="Y35" s="11"/>
      <c r="Z35" s="5">
        <f>Y35</f>
        <v>0</v>
      </c>
      <c r="AA35" s="5">
        <f t="shared" si="6"/>
        <v>0</v>
      </c>
      <c r="AB35" s="5"/>
      <c r="AC35" s="9"/>
      <c r="AD35" s="1" t="e">
        <f t="shared" si="10"/>
        <v>#DIV/0!</v>
      </c>
      <c r="AE35" s="9" t="e">
        <f t="shared" si="7"/>
        <v>#DIV/0!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 t="s">
        <v>71</v>
      </c>
      <c r="AO35" s="1">
        <f t="shared" si="8"/>
        <v>0</v>
      </c>
      <c r="AP35" s="1">
        <f>VLOOKUP(A35,[1]Лист1!$A:$B,2,0)</f>
        <v>0</v>
      </c>
      <c r="AQ35" s="1">
        <f t="shared" si="9"/>
        <v>0</v>
      </c>
    </row>
    <row r="36" spans="1:43" x14ac:dyDescent="0.25">
      <c r="A36" s="9" t="s">
        <v>90</v>
      </c>
      <c r="B36" s="9" t="s">
        <v>47</v>
      </c>
      <c r="C36" s="9"/>
      <c r="D36" s="9"/>
      <c r="E36" s="9"/>
      <c r="F36" s="9"/>
      <c r="G36" s="10">
        <v>0</v>
      </c>
      <c r="H36" s="9"/>
      <c r="I36" s="9" t="s">
        <v>53</v>
      </c>
      <c r="J36" s="9"/>
      <c r="K36" s="9"/>
      <c r="L36" s="9">
        <f t="shared" si="3"/>
        <v>0</v>
      </c>
      <c r="M36" s="9">
        <f t="shared" si="4"/>
        <v>0</v>
      </c>
      <c r="N36" s="9"/>
      <c r="O36" s="9"/>
      <c r="P36" s="9">
        <v>0</v>
      </c>
      <c r="Q36" s="9"/>
      <c r="R36" s="25"/>
      <c r="S36" s="9"/>
      <c r="T36" s="9"/>
      <c r="U36" s="9"/>
      <c r="V36" s="9"/>
      <c r="W36" s="9"/>
      <c r="X36" s="9">
        <f t="shared" si="5"/>
        <v>0</v>
      </c>
      <c r="Y36" s="11"/>
      <c r="Z36" s="5">
        <f>Y36</f>
        <v>0</v>
      </c>
      <c r="AA36" s="5">
        <f t="shared" si="6"/>
        <v>0</v>
      </c>
      <c r="AB36" s="5"/>
      <c r="AC36" s="9"/>
      <c r="AD36" s="1" t="e">
        <f t="shared" si="10"/>
        <v>#DIV/0!</v>
      </c>
      <c r="AE36" s="9" t="e">
        <f t="shared" si="7"/>
        <v>#DIV/0!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 t="s">
        <v>71</v>
      </c>
      <c r="AO36" s="1">
        <f t="shared" si="8"/>
        <v>0</v>
      </c>
      <c r="AP36" s="1">
        <f>VLOOKUP(A36,[1]Лист1!$A:$B,2,0)</f>
        <v>0</v>
      </c>
      <c r="AQ36" s="1">
        <f t="shared" si="9"/>
        <v>0</v>
      </c>
    </row>
    <row r="37" spans="1:43" x14ac:dyDescent="0.25">
      <c r="A37" s="9" t="s">
        <v>91</v>
      </c>
      <c r="B37" s="9" t="s">
        <v>47</v>
      </c>
      <c r="C37" s="9"/>
      <c r="D37" s="9"/>
      <c r="E37" s="9"/>
      <c r="F37" s="9"/>
      <c r="G37" s="10">
        <v>0</v>
      </c>
      <c r="H37" s="9"/>
      <c r="I37" s="9" t="s">
        <v>53</v>
      </c>
      <c r="J37" s="9"/>
      <c r="K37" s="9"/>
      <c r="L37" s="9">
        <f t="shared" si="3"/>
        <v>0</v>
      </c>
      <c r="M37" s="9">
        <f t="shared" si="4"/>
        <v>0</v>
      </c>
      <c r="N37" s="9"/>
      <c r="O37" s="9"/>
      <c r="P37" s="9">
        <v>0</v>
      </c>
      <c r="Q37" s="9"/>
      <c r="R37" s="25"/>
      <c r="S37" s="9"/>
      <c r="T37" s="9"/>
      <c r="U37" s="9"/>
      <c r="V37" s="9"/>
      <c r="W37" s="9"/>
      <c r="X37" s="9">
        <f t="shared" si="5"/>
        <v>0</v>
      </c>
      <c r="Y37" s="11"/>
      <c r="Z37" s="5">
        <f>Y37</f>
        <v>0</v>
      </c>
      <c r="AA37" s="5">
        <f t="shared" si="6"/>
        <v>0</v>
      </c>
      <c r="AB37" s="5"/>
      <c r="AC37" s="9"/>
      <c r="AD37" s="1" t="e">
        <f t="shared" si="10"/>
        <v>#DIV/0!</v>
      </c>
      <c r="AE37" s="9" t="e">
        <f t="shared" si="7"/>
        <v>#DIV/0!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 t="s">
        <v>71</v>
      </c>
      <c r="AO37" s="1">
        <f t="shared" si="8"/>
        <v>0</v>
      </c>
      <c r="AP37" s="1">
        <f>VLOOKUP(A37,[1]Лист1!$A:$B,2,0)</f>
        <v>0</v>
      </c>
      <c r="AQ37" s="1">
        <f t="shared" si="9"/>
        <v>0</v>
      </c>
    </row>
    <row r="38" spans="1:43" x14ac:dyDescent="0.25">
      <c r="A38" s="1" t="s">
        <v>92</v>
      </c>
      <c r="B38" s="1" t="s">
        <v>52</v>
      </c>
      <c r="C38" s="1">
        <v>3956</v>
      </c>
      <c r="D38" s="1">
        <v>2996</v>
      </c>
      <c r="E38" s="1">
        <v>4308</v>
      </c>
      <c r="F38" s="1">
        <v>1677</v>
      </c>
      <c r="G38" s="7">
        <v>0.4</v>
      </c>
      <c r="H38" s="1">
        <v>45</v>
      </c>
      <c r="I38" s="1" t="s">
        <v>48</v>
      </c>
      <c r="J38" s="1"/>
      <c r="K38" s="1">
        <v>4556</v>
      </c>
      <c r="L38" s="1">
        <f t="shared" ref="L38:L69" si="11">E38-K38</f>
        <v>-248</v>
      </c>
      <c r="M38" s="1">
        <f t="shared" ref="M38:M69" si="12">E38-N38</f>
        <v>4308</v>
      </c>
      <c r="N38" s="1"/>
      <c r="O38" s="1"/>
      <c r="P38" s="1">
        <v>1200</v>
      </c>
      <c r="Q38" s="1">
        <v>3000</v>
      </c>
      <c r="R38" s="23"/>
      <c r="S38" s="1"/>
      <c r="T38" s="1"/>
      <c r="U38" s="1">
        <v>1000</v>
      </c>
      <c r="V38" s="1">
        <v>-1002</v>
      </c>
      <c r="W38" s="1"/>
      <c r="X38" s="1">
        <f t="shared" ref="X38:X69" si="13">M38/5</f>
        <v>861.6</v>
      </c>
      <c r="Y38" s="5">
        <f>11.5*X38-W38-U38-S38-P38-O38-F38-Q38</f>
        <v>3031.3999999999996</v>
      </c>
      <c r="Z38" s="5">
        <f>Y38+$Z$1*X38</f>
        <v>3643.1359999999995</v>
      </c>
      <c r="AA38" s="5">
        <f t="shared" ref="AA38:AA69" si="14">Z38-AB38</f>
        <v>1158.5172479999997</v>
      </c>
      <c r="AB38" s="5">
        <f>$AB$1*Z38</f>
        <v>2484.6187519999999</v>
      </c>
      <c r="AC38" s="1"/>
      <c r="AD38" s="1">
        <f t="shared" si="10"/>
        <v>11.047047353760444</v>
      </c>
      <c r="AE38" s="1">
        <f t="shared" ref="AE38:AE69" si="15">(F38+O38+P38+S38+U38+W38)/X38</f>
        <v>4.4997678737233056</v>
      </c>
      <c r="AF38" s="1">
        <v>877.4</v>
      </c>
      <c r="AG38" s="1">
        <v>623.4</v>
      </c>
      <c r="AH38" s="1">
        <v>584.79999999999995</v>
      </c>
      <c r="AI38" s="1">
        <v>637.6</v>
      </c>
      <c r="AJ38" s="1">
        <v>816</v>
      </c>
      <c r="AK38" s="1">
        <v>898.6</v>
      </c>
      <c r="AL38" s="1">
        <v>865</v>
      </c>
      <c r="AM38" s="1">
        <v>794.6</v>
      </c>
      <c r="AN38" s="1"/>
      <c r="AO38" s="1">
        <f t="shared" ref="AO38:AO69" si="16">ROUND(G38*AA38,0)</f>
        <v>463</v>
      </c>
      <c r="AP38" s="1">
        <f>VLOOKUP(A38,[1]Лист1!$A:$B,2,0)</f>
        <v>463</v>
      </c>
      <c r="AQ38" s="1">
        <f t="shared" ref="AQ38:AQ69" si="17">ROUND(G38*AB38,0)</f>
        <v>994</v>
      </c>
    </row>
    <row r="39" spans="1:43" x14ac:dyDescent="0.25">
      <c r="A39" s="1" t="s">
        <v>94</v>
      </c>
      <c r="B39" s="1" t="s">
        <v>52</v>
      </c>
      <c r="C39" s="1">
        <v>1900.75</v>
      </c>
      <c r="D39" s="1">
        <v>46</v>
      </c>
      <c r="E39" s="1">
        <v>634</v>
      </c>
      <c r="F39" s="1">
        <v>1076.75</v>
      </c>
      <c r="G39" s="7">
        <v>0.45</v>
      </c>
      <c r="H39" s="1">
        <v>50</v>
      </c>
      <c r="I39" s="1" t="s">
        <v>53</v>
      </c>
      <c r="J39" s="1"/>
      <c r="K39" s="1">
        <v>779</v>
      </c>
      <c r="L39" s="1">
        <f t="shared" si="11"/>
        <v>-145</v>
      </c>
      <c r="M39" s="1">
        <f t="shared" si="12"/>
        <v>634</v>
      </c>
      <c r="N39" s="1"/>
      <c r="O39" s="1"/>
      <c r="P39" s="1">
        <v>0</v>
      </c>
      <c r="Q39" s="1"/>
      <c r="R39" s="23"/>
      <c r="S39" s="1"/>
      <c r="T39" s="1"/>
      <c r="U39" s="1"/>
      <c r="V39" s="1"/>
      <c r="W39" s="1"/>
      <c r="X39" s="1">
        <f t="shared" si="13"/>
        <v>126.8</v>
      </c>
      <c r="Y39" s="5">
        <f>11.5*X39-W39-U39-S39-P39-O39-F39</f>
        <v>381.45000000000005</v>
      </c>
      <c r="Z39" s="5">
        <f>Y39+$Z$1*X39</f>
        <v>471.47800000000007</v>
      </c>
      <c r="AA39" s="5">
        <f t="shared" si="14"/>
        <v>471.47800000000007</v>
      </c>
      <c r="AB39" s="5"/>
      <c r="AC39" s="1"/>
      <c r="AD39" s="1">
        <f t="shared" si="10"/>
        <v>12.21</v>
      </c>
      <c r="AE39" s="1">
        <f t="shared" si="15"/>
        <v>8.4917192429022084</v>
      </c>
      <c r="AF39" s="1">
        <v>127.8</v>
      </c>
      <c r="AG39" s="1">
        <v>67.2</v>
      </c>
      <c r="AH39" s="1">
        <v>118.2</v>
      </c>
      <c r="AI39" s="1">
        <v>109.4</v>
      </c>
      <c r="AJ39" s="1">
        <v>109.6</v>
      </c>
      <c r="AK39" s="1">
        <v>174.8</v>
      </c>
      <c r="AL39" s="1">
        <v>277.8</v>
      </c>
      <c r="AM39" s="1">
        <v>284.8</v>
      </c>
      <c r="AN39" s="1"/>
      <c r="AO39" s="1">
        <f t="shared" si="16"/>
        <v>212</v>
      </c>
      <c r="AP39" s="1">
        <f>VLOOKUP(A39,[1]Лист1!$A:$B,2,0)</f>
        <v>212</v>
      </c>
      <c r="AQ39" s="1">
        <f t="shared" si="17"/>
        <v>0</v>
      </c>
    </row>
    <row r="40" spans="1:43" x14ac:dyDescent="0.25">
      <c r="A40" s="1" t="s">
        <v>95</v>
      </c>
      <c r="B40" s="1" t="s">
        <v>52</v>
      </c>
      <c r="C40" s="1">
        <v>763</v>
      </c>
      <c r="D40" s="1">
        <v>1419</v>
      </c>
      <c r="E40" s="1">
        <v>944</v>
      </c>
      <c r="F40" s="1">
        <v>762</v>
      </c>
      <c r="G40" s="7">
        <v>0.4</v>
      </c>
      <c r="H40" s="1">
        <v>45</v>
      </c>
      <c r="I40" s="1" t="s">
        <v>53</v>
      </c>
      <c r="J40" s="1"/>
      <c r="K40" s="1">
        <v>1427</v>
      </c>
      <c r="L40" s="1">
        <f t="shared" si="11"/>
        <v>-483</v>
      </c>
      <c r="M40" s="1">
        <f t="shared" si="12"/>
        <v>944</v>
      </c>
      <c r="N40" s="1"/>
      <c r="O40" s="1"/>
      <c r="P40" s="1">
        <v>763.97800000000007</v>
      </c>
      <c r="Q40" s="1"/>
      <c r="R40" s="23"/>
      <c r="S40" s="1"/>
      <c r="T40" s="1"/>
      <c r="U40" s="1">
        <v>1000</v>
      </c>
      <c r="V40" s="1">
        <v>-1002</v>
      </c>
      <c r="W40" s="1"/>
      <c r="X40" s="1">
        <f t="shared" si="13"/>
        <v>188.8</v>
      </c>
      <c r="Y40" s="5"/>
      <c r="Z40" s="5">
        <f>Y40</f>
        <v>0</v>
      </c>
      <c r="AA40" s="5">
        <f t="shared" si="14"/>
        <v>0</v>
      </c>
      <c r="AB40" s="5"/>
      <c r="AC40" s="1"/>
      <c r="AD40" s="1">
        <f t="shared" si="10"/>
        <v>8.0719173728813551</v>
      </c>
      <c r="AE40" s="1">
        <f t="shared" si="15"/>
        <v>13.379120762711864</v>
      </c>
      <c r="AF40" s="1">
        <v>301.60000000000002</v>
      </c>
      <c r="AG40" s="1">
        <v>192.2</v>
      </c>
      <c r="AH40" s="1">
        <v>141.6</v>
      </c>
      <c r="AI40" s="1">
        <v>149</v>
      </c>
      <c r="AJ40" s="1">
        <v>204.2</v>
      </c>
      <c r="AK40" s="1">
        <v>235.2</v>
      </c>
      <c r="AL40" s="1">
        <v>211</v>
      </c>
      <c r="AM40" s="1">
        <v>165</v>
      </c>
      <c r="AN40" s="1"/>
      <c r="AO40" s="1">
        <f t="shared" si="16"/>
        <v>0</v>
      </c>
      <c r="AP40" s="1">
        <f>VLOOKUP(A40,[1]Лист1!$A:$B,2,0)</f>
        <v>0</v>
      </c>
      <c r="AQ40" s="1">
        <f t="shared" si="17"/>
        <v>0</v>
      </c>
    </row>
    <row r="41" spans="1:43" x14ac:dyDescent="0.25">
      <c r="A41" s="1" t="s">
        <v>97</v>
      </c>
      <c r="B41" s="1" t="s">
        <v>52</v>
      </c>
      <c r="C41" s="1">
        <v>481</v>
      </c>
      <c r="D41" s="1">
        <v>523</v>
      </c>
      <c r="E41" s="1">
        <v>434</v>
      </c>
      <c r="F41" s="1">
        <v>176</v>
      </c>
      <c r="G41" s="7">
        <v>0.4</v>
      </c>
      <c r="H41" s="1">
        <v>40</v>
      </c>
      <c r="I41" s="1" t="s">
        <v>53</v>
      </c>
      <c r="J41" s="1"/>
      <c r="K41" s="1">
        <v>764</v>
      </c>
      <c r="L41" s="1">
        <f t="shared" si="11"/>
        <v>-330</v>
      </c>
      <c r="M41" s="1">
        <f t="shared" si="12"/>
        <v>434</v>
      </c>
      <c r="N41" s="1"/>
      <c r="O41" s="1"/>
      <c r="P41" s="1">
        <v>320.14</v>
      </c>
      <c r="Q41" s="1"/>
      <c r="R41" s="23"/>
      <c r="S41" s="1"/>
      <c r="T41" s="1"/>
      <c r="U41" s="1">
        <v>400</v>
      </c>
      <c r="V41" s="1">
        <v>-402</v>
      </c>
      <c r="W41" s="1"/>
      <c r="X41" s="1">
        <f t="shared" si="13"/>
        <v>86.8</v>
      </c>
      <c r="Y41" s="5">
        <f>11.5*X41-W41-U41-S41-P41-O41-F41</f>
        <v>102.05999999999995</v>
      </c>
      <c r="Z41" s="5">
        <f>Y41</f>
        <v>102.05999999999995</v>
      </c>
      <c r="AA41" s="5">
        <f t="shared" si="14"/>
        <v>102.05999999999995</v>
      </c>
      <c r="AB41" s="5"/>
      <c r="AC41" s="1"/>
      <c r="AD41" s="1">
        <f t="shared" si="10"/>
        <v>6.8686635944700454</v>
      </c>
      <c r="AE41" s="1">
        <f t="shared" si="15"/>
        <v>10.324193548387097</v>
      </c>
      <c r="AF41" s="1">
        <v>126.8</v>
      </c>
      <c r="AG41" s="1">
        <v>86</v>
      </c>
      <c r="AH41" s="1">
        <v>78.400000000000006</v>
      </c>
      <c r="AI41" s="1">
        <v>89</v>
      </c>
      <c r="AJ41" s="1">
        <v>117.4</v>
      </c>
      <c r="AK41" s="1">
        <v>80.400000000000006</v>
      </c>
      <c r="AL41" s="1">
        <v>83.2</v>
      </c>
      <c r="AM41" s="1">
        <v>136</v>
      </c>
      <c r="AN41" s="1"/>
      <c r="AO41" s="1">
        <f t="shared" si="16"/>
        <v>41</v>
      </c>
      <c r="AP41" s="1">
        <f>VLOOKUP(A41,[1]Лист1!$A:$B,2,0)</f>
        <v>41</v>
      </c>
      <c r="AQ41" s="1">
        <f t="shared" si="17"/>
        <v>0</v>
      </c>
    </row>
    <row r="42" spans="1:43" x14ac:dyDescent="0.25">
      <c r="A42" s="1" t="s">
        <v>99</v>
      </c>
      <c r="B42" s="1" t="s">
        <v>47</v>
      </c>
      <c r="C42" s="1"/>
      <c r="D42" s="1"/>
      <c r="E42" s="1"/>
      <c r="F42" s="1"/>
      <c r="G42" s="7">
        <v>1</v>
      </c>
      <c r="H42" s="1"/>
      <c r="I42" s="1" t="s">
        <v>53</v>
      </c>
      <c r="J42" s="1"/>
      <c r="K42" s="1"/>
      <c r="L42" s="1">
        <f t="shared" si="11"/>
        <v>0</v>
      </c>
      <c r="M42" s="1">
        <f t="shared" si="12"/>
        <v>0</v>
      </c>
      <c r="N42" s="1"/>
      <c r="O42" s="1"/>
      <c r="P42" s="1">
        <v>0</v>
      </c>
      <c r="Q42" s="1"/>
      <c r="R42" s="23"/>
      <c r="S42" s="1"/>
      <c r="T42" s="1"/>
      <c r="U42" s="1"/>
      <c r="V42" s="1"/>
      <c r="W42" s="1"/>
      <c r="X42" s="1">
        <f t="shared" si="13"/>
        <v>0</v>
      </c>
      <c r="Y42" s="5"/>
      <c r="Z42" s="5">
        <v>120</v>
      </c>
      <c r="AA42" s="5">
        <f t="shared" si="14"/>
        <v>120</v>
      </c>
      <c r="AB42" s="5"/>
      <c r="AC42" s="1">
        <v>150</v>
      </c>
      <c r="AD42" s="1" t="e">
        <f t="shared" si="10"/>
        <v>#DIV/0!</v>
      </c>
      <c r="AE42" s="1" t="e">
        <f t="shared" si="15"/>
        <v>#DIV/0!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 t="s">
        <v>100</v>
      </c>
      <c r="AO42" s="1">
        <f t="shared" si="16"/>
        <v>120</v>
      </c>
      <c r="AP42" s="1">
        <f>VLOOKUP(A42,[1]Лист1!$A:$B,2,0)</f>
        <v>120</v>
      </c>
      <c r="AQ42" s="1">
        <f t="shared" si="17"/>
        <v>0</v>
      </c>
    </row>
    <row r="43" spans="1:43" x14ac:dyDescent="0.25">
      <c r="A43" s="1" t="s">
        <v>101</v>
      </c>
      <c r="B43" s="1" t="s">
        <v>52</v>
      </c>
      <c r="C43" s="1">
        <v>186</v>
      </c>
      <c r="D43" s="1">
        <v>294</v>
      </c>
      <c r="E43" s="1">
        <v>287</v>
      </c>
      <c r="F43" s="1">
        <v>167</v>
      </c>
      <c r="G43" s="7">
        <v>0.1</v>
      </c>
      <c r="H43" s="1">
        <v>731</v>
      </c>
      <c r="I43" s="1" t="s">
        <v>53</v>
      </c>
      <c r="J43" s="1"/>
      <c r="K43" s="1">
        <v>298</v>
      </c>
      <c r="L43" s="1">
        <f t="shared" si="11"/>
        <v>-11</v>
      </c>
      <c r="M43" s="1">
        <f t="shared" si="12"/>
        <v>287</v>
      </c>
      <c r="N43" s="1"/>
      <c r="O43" s="1"/>
      <c r="P43" s="1">
        <v>236.2</v>
      </c>
      <c r="Q43" s="1"/>
      <c r="R43" s="23"/>
      <c r="S43" s="1"/>
      <c r="T43" s="1"/>
      <c r="U43" s="1">
        <v>100</v>
      </c>
      <c r="V43" s="1"/>
      <c r="W43" s="1"/>
      <c r="X43" s="1">
        <f t="shared" si="13"/>
        <v>57.4</v>
      </c>
      <c r="Y43" s="5">
        <f>11.5*X43-W43-U43-S43-P43-O43-F43</f>
        <v>156.90000000000003</v>
      </c>
      <c r="Z43" s="5">
        <f t="shared" ref="Z43:Z63" si="18">Y43</f>
        <v>156.90000000000003</v>
      </c>
      <c r="AA43" s="5">
        <f t="shared" si="14"/>
        <v>156.90000000000003</v>
      </c>
      <c r="AB43" s="5"/>
      <c r="AC43" s="1"/>
      <c r="AD43" s="1">
        <f t="shared" si="10"/>
        <v>11.5</v>
      </c>
      <c r="AE43" s="1">
        <f t="shared" si="15"/>
        <v>8.7665505226480835</v>
      </c>
      <c r="AF43" s="1">
        <v>55.2</v>
      </c>
      <c r="AG43" s="1">
        <v>30.6</v>
      </c>
      <c r="AH43" s="1">
        <v>40</v>
      </c>
      <c r="AI43" s="1">
        <v>46</v>
      </c>
      <c r="AJ43" s="1">
        <v>46</v>
      </c>
      <c r="AK43" s="1">
        <v>42</v>
      </c>
      <c r="AL43" s="1">
        <v>46</v>
      </c>
      <c r="AM43" s="1">
        <v>39</v>
      </c>
      <c r="AN43" s="1"/>
      <c r="AO43" s="1">
        <f t="shared" si="16"/>
        <v>16</v>
      </c>
      <c r="AP43" s="1">
        <f>VLOOKUP(A43,[1]Лист1!$A:$B,2,0)</f>
        <v>16</v>
      </c>
      <c r="AQ43" s="1">
        <f t="shared" si="17"/>
        <v>0</v>
      </c>
    </row>
    <row r="44" spans="1:43" x14ac:dyDescent="0.25">
      <c r="A44" s="1" t="s">
        <v>102</v>
      </c>
      <c r="B44" s="1" t="s">
        <v>52</v>
      </c>
      <c r="C44" s="1">
        <v>136</v>
      </c>
      <c r="D44" s="1">
        <v>124</v>
      </c>
      <c r="E44" s="1">
        <v>142</v>
      </c>
      <c r="F44" s="1">
        <v>95</v>
      </c>
      <c r="G44" s="7">
        <v>0.35</v>
      </c>
      <c r="H44" s="1">
        <v>40</v>
      </c>
      <c r="I44" s="1" t="s">
        <v>53</v>
      </c>
      <c r="J44" s="1"/>
      <c r="K44" s="1">
        <v>156</v>
      </c>
      <c r="L44" s="1">
        <f t="shared" si="11"/>
        <v>-14</v>
      </c>
      <c r="M44" s="1">
        <f t="shared" si="12"/>
        <v>142</v>
      </c>
      <c r="N44" s="1"/>
      <c r="O44" s="1"/>
      <c r="P44" s="1">
        <v>99.399999999999977</v>
      </c>
      <c r="Q44" s="1"/>
      <c r="R44" s="23"/>
      <c r="S44" s="1"/>
      <c r="T44" s="1"/>
      <c r="U44" s="1"/>
      <c r="V44" s="1"/>
      <c r="W44" s="1"/>
      <c r="X44" s="1">
        <f t="shared" si="13"/>
        <v>28.4</v>
      </c>
      <c r="Y44" s="5">
        <f>11.5*X44-W44-U44-S44-P44-O44-F44</f>
        <v>132.19999999999999</v>
      </c>
      <c r="Z44" s="5">
        <f t="shared" si="18"/>
        <v>132.19999999999999</v>
      </c>
      <c r="AA44" s="5">
        <f t="shared" si="14"/>
        <v>132.19999999999999</v>
      </c>
      <c r="AB44" s="5"/>
      <c r="AC44" s="1"/>
      <c r="AD44" s="1">
        <f t="shared" si="10"/>
        <v>11.5</v>
      </c>
      <c r="AE44" s="1">
        <f t="shared" si="15"/>
        <v>6.845070422535211</v>
      </c>
      <c r="AF44" s="1">
        <v>24.4</v>
      </c>
      <c r="AG44" s="1">
        <v>10.199999999999999</v>
      </c>
      <c r="AH44" s="1">
        <v>3.8</v>
      </c>
      <c r="AI44" s="1">
        <v>4.8</v>
      </c>
      <c r="AJ44" s="1">
        <v>13</v>
      </c>
      <c r="AK44" s="1">
        <v>28.4</v>
      </c>
      <c r="AL44" s="1">
        <v>24.2</v>
      </c>
      <c r="AM44" s="1">
        <v>16.399999999999999</v>
      </c>
      <c r="AN44" s="1"/>
      <c r="AO44" s="1">
        <f t="shared" si="16"/>
        <v>46</v>
      </c>
      <c r="AP44" s="1">
        <f>VLOOKUP(A44,[1]Лист1!$A:$B,2,0)</f>
        <v>46</v>
      </c>
      <c r="AQ44" s="1">
        <f t="shared" si="17"/>
        <v>0</v>
      </c>
    </row>
    <row r="45" spans="1:43" x14ac:dyDescent="0.25">
      <c r="A45" s="1" t="s">
        <v>103</v>
      </c>
      <c r="B45" s="1" t="s">
        <v>47</v>
      </c>
      <c r="C45" s="1">
        <v>19.395</v>
      </c>
      <c r="D45" s="1">
        <v>34.883000000000003</v>
      </c>
      <c r="E45" s="1">
        <v>8.2530000000000001</v>
      </c>
      <c r="F45" s="1">
        <v>38.985999999999997</v>
      </c>
      <c r="G45" s="7">
        <v>1</v>
      </c>
      <c r="H45" s="1">
        <v>40</v>
      </c>
      <c r="I45" s="1" t="s">
        <v>53</v>
      </c>
      <c r="J45" s="1"/>
      <c r="K45" s="1">
        <v>14.2</v>
      </c>
      <c r="L45" s="1">
        <f t="shared" si="11"/>
        <v>-5.9469999999999992</v>
      </c>
      <c r="M45" s="1">
        <f t="shared" si="12"/>
        <v>8.2530000000000001</v>
      </c>
      <c r="N45" s="1"/>
      <c r="O45" s="1"/>
      <c r="P45" s="1">
        <v>0</v>
      </c>
      <c r="Q45" s="1"/>
      <c r="R45" s="23"/>
      <c r="S45" s="1"/>
      <c r="T45" s="1"/>
      <c r="U45" s="1"/>
      <c r="V45" s="1"/>
      <c r="W45" s="1"/>
      <c r="X45" s="1">
        <f t="shared" si="13"/>
        <v>1.6506000000000001</v>
      </c>
      <c r="Y45" s="5"/>
      <c r="Z45" s="5">
        <f t="shared" si="18"/>
        <v>0</v>
      </c>
      <c r="AA45" s="5">
        <f t="shared" si="14"/>
        <v>0</v>
      </c>
      <c r="AB45" s="5"/>
      <c r="AC45" s="1"/>
      <c r="AD45" s="1">
        <f t="shared" si="10"/>
        <v>23.619289955167815</v>
      </c>
      <c r="AE45" s="1">
        <f t="shared" si="15"/>
        <v>23.619289955167815</v>
      </c>
      <c r="AF45" s="1">
        <v>2.6989999999999998</v>
      </c>
      <c r="AG45" s="1">
        <v>4.2096</v>
      </c>
      <c r="AH45" s="1">
        <v>3.2993999999999999</v>
      </c>
      <c r="AI45" s="1">
        <v>1.956</v>
      </c>
      <c r="AJ45" s="1">
        <v>1.4396</v>
      </c>
      <c r="AK45" s="1">
        <v>2.4447999999999999</v>
      </c>
      <c r="AL45" s="1">
        <v>3.2065999999999999</v>
      </c>
      <c r="AM45" s="1">
        <v>2.0581999999999998</v>
      </c>
      <c r="AN45" s="13" t="s">
        <v>104</v>
      </c>
      <c r="AO45" s="1">
        <f t="shared" si="16"/>
        <v>0</v>
      </c>
      <c r="AP45" s="1">
        <f>VLOOKUP(A45,[1]Лист1!$A:$B,2,0)</f>
        <v>0</v>
      </c>
      <c r="AQ45" s="1">
        <f t="shared" si="17"/>
        <v>0</v>
      </c>
    </row>
    <row r="46" spans="1:43" x14ac:dyDescent="0.25">
      <c r="A46" s="1" t="s">
        <v>105</v>
      </c>
      <c r="B46" s="1" t="s">
        <v>52</v>
      </c>
      <c r="C46" s="1">
        <v>-15</v>
      </c>
      <c r="D46" s="1">
        <v>2</v>
      </c>
      <c r="E46" s="1">
        <v>3</v>
      </c>
      <c r="F46" s="1">
        <v>-29</v>
      </c>
      <c r="G46" s="7">
        <v>0.4</v>
      </c>
      <c r="H46" s="1">
        <v>40</v>
      </c>
      <c r="I46" s="1" t="s">
        <v>53</v>
      </c>
      <c r="J46" s="1"/>
      <c r="K46" s="1">
        <v>294</v>
      </c>
      <c r="L46" s="1">
        <f t="shared" si="11"/>
        <v>-291</v>
      </c>
      <c r="M46" s="1">
        <f t="shared" si="12"/>
        <v>3</v>
      </c>
      <c r="N46" s="1"/>
      <c r="O46" s="1"/>
      <c r="P46" s="1">
        <v>0</v>
      </c>
      <c r="Q46" s="1"/>
      <c r="R46" s="23"/>
      <c r="S46" s="1"/>
      <c r="T46" s="1"/>
      <c r="U46" s="1"/>
      <c r="V46" s="1"/>
      <c r="W46" s="1"/>
      <c r="X46" s="1">
        <f t="shared" si="13"/>
        <v>0.6</v>
      </c>
      <c r="Y46" s="5">
        <v>300</v>
      </c>
      <c r="Z46" s="5">
        <f t="shared" si="18"/>
        <v>300</v>
      </c>
      <c r="AA46" s="5">
        <f t="shared" si="14"/>
        <v>300</v>
      </c>
      <c r="AB46" s="5"/>
      <c r="AC46" s="1"/>
      <c r="AD46" s="1">
        <f t="shared" si="10"/>
        <v>451.66666666666669</v>
      </c>
      <c r="AE46" s="1">
        <f t="shared" si="15"/>
        <v>-48.333333333333336</v>
      </c>
      <c r="AF46" s="1">
        <v>1.4</v>
      </c>
      <c r="AG46" s="1">
        <v>0.2</v>
      </c>
      <c r="AH46" s="1">
        <v>-1</v>
      </c>
      <c r="AI46" s="1">
        <v>-1.2</v>
      </c>
      <c r="AJ46" s="1">
        <v>-1</v>
      </c>
      <c r="AK46" s="1">
        <v>-1</v>
      </c>
      <c r="AL46" s="1">
        <v>12</v>
      </c>
      <c r="AM46" s="1">
        <v>65.400000000000006</v>
      </c>
      <c r="AN46" s="1"/>
      <c r="AO46" s="1">
        <f t="shared" si="16"/>
        <v>120</v>
      </c>
      <c r="AP46" s="1">
        <f>VLOOKUP(A46,[1]Лист1!$A:$B,2,0)</f>
        <v>120</v>
      </c>
      <c r="AQ46" s="1">
        <f t="shared" si="17"/>
        <v>0</v>
      </c>
    </row>
    <row r="47" spans="1:43" x14ac:dyDescent="0.25">
      <c r="A47" s="1" t="s">
        <v>106</v>
      </c>
      <c r="B47" s="1" t="s">
        <v>52</v>
      </c>
      <c r="C47" s="1">
        <v>288</v>
      </c>
      <c r="D47" s="1">
        <v>33</v>
      </c>
      <c r="E47" s="1">
        <v>293</v>
      </c>
      <c r="F47" s="1">
        <v>2</v>
      </c>
      <c r="G47" s="7">
        <v>0.4</v>
      </c>
      <c r="H47" s="1">
        <v>45</v>
      </c>
      <c r="I47" s="1" t="s">
        <v>53</v>
      </c>
      <c r="J47" s="1"/>
      <c r="K47" s="1">
        <v>398</v>
      </c>
      <c r="L47" s="1">
        <f t="shared" si="11"/>
        <v>-105</v>
      </c>
      <c r="M47" s="1">
        <f t="shared" si="12"/>
        <v>293</v>
      </c>
      <c r="N47" s="1"/>
      <c r="O47" s="1"/>
      <c r="P47" s="1">
        <v>0</v>
      </c>
      <c r="Q47" s="1">
        <v>400</v>
      </c>
      <c r="R47" s="23"/>
      <c r="S47" s="1"/>
      <c r="T47" s="1"/>
      <c r="U47" s="1"/>
      <c r="V47" s="1"/>
      <c r="W47" s="1"/>
      <c r="X47" s="1">
        <f t="shared" si="13"/>
        <v>58.6</v>
      </c>
      <c r="Y47" s="5">
        <f>11.5*X47-W47-U47-S47-P47-O47-F47-Q47</f>
        <v>271.89999999999998</v>
      </c>
      <c r="Z47" s="5">
        <f t="shared" si="18"/>
        <v>271.89999999999998</v>
      </c>
      <c r="AA47" s="5">
        <f t="shared" si="14"/>
        <v>271.89999999999998</v>
      </c>
      <c r="AB47" s="5"/>
      <c r="AC47" s="1"/>
      <c r="AD47" s="1">
        <f t="shared" si="10"/>
        <v>11.5</v>
      </c>
      <c r="AE47" s="1">
        <f t="shared" si="15"/>
        <v>3.4129692832764506E-2</v>
      </c>
      <c r="AF47" s="1">
        <v>50</v>
      </c>
      <c r="AG47" s="1">
        <v>30.6</v>
      </c>
      <c r="AH47" s="1">
        <v>40.799999999999997</v>
      </c>
      <c r="AI47" s="1">
        <v>47</v>
      </c>
      <c r="AJ47" s="1">
        <v>52.2</v>
      </c>
      <c r="AK47" s="1">
        <v>48.4</v>
      </c>
      <c r="AL47" s="1">
        <v>56.4</v>
      </c>
      <c r="AM47" s="1">
        <v>42</v>
      </c>
      <c r="AN47" s="1"/>
      <c r="AO47" s="1">
        <f t="shared" si="16"/>
        <v>109</v>
      </c>
      <c r="AP47" s="1">
        <f>VLOOKUP(A47,[1]Лист1!$A:$B,2,0)</f>
        <v>109</v>
      </c>
      <c r="AQ47" s="1">
        <f t="shared" si="17"/>
        <v>0</v>
      </c>
    </row>
    <row r="48" spans="1:43" x14ac:dyDescent="0.25">
      <c r="A48" s="1" t="s">
        <v>107</v>
      </c>
      <c r="B48" s="1" t="s">
        <v>47</v>
      </c>
      <c r="C48" s="1">
        <v>12.605</v>
      </c>
      <c r="D48" s="1">
        <v>40.399000000000001</v>
      </c>
      <c r="E48" s="1">
        <v>35.619</v>
      </c>
      <c r="F48" s="1">
        <v>13.765000000000001</v>
      </c>
      <c r="G48" s="7">
        <v>1</v>
      </c>
      <c r="H48" s="1">
        <v>40</v>
      </c>
      <c r="I48" s="1" t="s">
        <v>53</v>
      </c>
      <c r="J48" s="1"/>
      <c r="K48" s="1">
        <v>48.1</v>
      </c>
      <c r="L48" s="1">
        <f t="shared" si="11"/>
        <v>-12.481000000000002</v>
      </c>
      <c r="M48" s="1">
        <f t="shared" si="12"/>
        <v>35.619</v>
      </c>
      <c r="N48" s="1"/>
      <c r="O48" s="1"/>
      <c r="P48" s="1">
        <v>53.349600000000002</v>
      </c>
      <c r="Q48" s="1"/>
      <c r="R48" s="23"/>
      <c r="S48" s="1"/>
      <c r="T48" s="1"/>
      <c r="U48" s="1"/>
      <c r="V48" s="1"/>
      <c r="W48" s="1"/>
      <c r="X48" s="1">
        <f t="shared" si="13"/>
        <v>7.1238000000000001</v>
      </c>
      <c r="Y48" s="5">
        <f>11.5*X48-W48-U48-S48-P48-O48-F48</f>
        <v>14.809099999999994</v>
      </c>
      <c r="Z48" s="5">
        <f t="shared" si="18"/>
        <v>14.809099999999994</v>
      </c>
      <c r="AA48" s="5">
        <f t="shared" si="14"/>
        <v>14.809099999999994</v>
      </c>
      <c r="AB48" s="5"/>
      <c r="AC48" s="1"/>
      <c r="AD48" s="1">
        <f t="shared" si="10"/>
        <v>11.5</v>
      </c>
      <c r="AE48" s="1">
        <f t="shared" si="15"/>
        <v>9.4211797074595012</v>
      </c>
      <c r="AF48" s="1">
        <v>8.9621999999999993</v>
      </c>
      <c r="AG48" s="1">
        <v>4.3483999999999998</v>
      </c>
      <c r="AH48" s="1">
        <v>3.9114</v>
      </c>
      <c r="AI48" s="1">
        <v>4.0561999999999996</v>
      </c>
      <c r="AJ48" s="1">
        <v>5.2270000000000003</v>
      </c>
      <c r="AK48" s="1">
        <v>5.5009999999999986</v>
      </c>
      <c r="AL48" s="1">
        <v>4.4914000000000014</v>
      </c>
      <c r="AM48" s="1">
        <v>6.1063999999999998</v>
      </c>
      <c r="AN48" s="1"/>
      <c r="AO48" s="1">
        <f t="shared" si="16"/>
        <v>15</v>
      </c>
      <c r="AP48" s="1">
        <f>VLOOKUP(A48,[1]Лист1!$A:$B,2,0)</f>
        <v>15</v>
      </c>
      <c r="AQ48" s="1">
        <f t="shared" si="17"/>
        <v>0</v>
      </c>
    </row>
    <row r="49" spans="1:43" x14ac:dyDescent="0.25">
      <c r="A49" s="1" t="s">
        <v>108</v>
      </c>
      <c r="B49" s="1" t="s">
        <v>52</v>
      </c>
      <c r="C49" s="1">
        <v>170</v>
      </c>
      <c r="D49" s="1">
        <v>785</v>
      </c>
      <c r="E49" s="1">
        <v>601</v>
      </c>
      <c r="F49" s="1">
        <v>280</v>
      </c>
      <c r="G49" s="7">
        <v>0.35</v>
      </c>
      <c r="H49" s="1">
        <v>40</v>
      </c>
      <c r="I49" s="16" t="s">
        <v>56</v>
      </c>
      <c r="J49" s="1"/>
      <c r="K49" s="1">
        <v>636</v>
      </c>
      <c r="L49" s="1">
        <f t="shared" si="11"/>
        <v>-35</v>
      </c>
      <c r="M49" s="1">
        <f t="shared" si="12"/>
        <v>601</v>
      </c>
      <c r="N49" s="1"/>
      <c r="O49" s="1"/>
      <c r="P49" s="1">
        <v>200</v>
      </c>
      <c r="Q49" s="1">
        <v>400</v>
      </c>
      <c r="R49" s="23"/>
      <c r="S49" s="1"/>
      <c r="T49" s="1"/>
      <c r="U49" s="1"/>
      <c r="V49" s="1"/>
      <c r="W49" s="1"/>
      <c r="X49" s="1">
        <f t="shared" si="13"/>
        <v>120.2</v>
      </c>
      <c r="Y49" s="5">
        <f t="shared" ref="Y49:Y50" si="19">11.5*X49-W49-U49-S49-P49-O49-F49-Q49</f>
        <v>502.29999999999995</v>
      </c>
      <c r="Z49" s="5">
        <f t="shared" si="18"/>
        <v>502.29999999999995</v>
      </c>
      <c r="AA49" s="5">
        <f t="shared" si="14"/>
        <v>159.73139999999995</v>
      </c>
      <c r="AB49" s="5">
        <f>$AB$1*Z49</f>
        <v>342.5686</v>
      </c>
      <c r="AC49" s="1"/>
      <c r="AD49" s="1">
        <f t="shared" si="10"/>
        <v>11.5</v>
      </c>
      <c r="AE49" s="1">
        <f t="shared" si="15"/>
        <v>3.9933444259567388</v>
      </c>
      <c r="AF49" s="1">
        <v>117.4</v>
      </c>
      <c r="AG49" s="1">
        <v>88</v>
      </c>
      <c r="AH49" s="1">
        <v>80.8</v>
      </c>
      <c r="AI49" s="1">
        <v>89.4</v>
      </c>
      <c r="AJ49" s="1">
        <v>110</v>
      </c>
      <c r="AK49" s="1">
        <v>269.2</v>
      </c>
      <c r="AL49" s="1">
        <v>266.39999999999998</v>
      </c>
      <c r="AM49" s="1">
        <v>466.2</v>
      </c>
      <c r="AN49" s="1" t="s">
        <v>109</v>
      </c>
      <c r="AO49" s="1">
        <f t="shared" si="16"/>
        <v>56</v>
      </c>
      <c r="AP49" s="1">
        <f>VLOOKUP(A49,[1]Лист1!$A:$B,2,0)</f>
        <v>49</v>
      </c>
      <c r="AQ49" s="1">
        <f t="shared" si="17"/>
        <v>120</v>
      </c>
    </row>
    <row r="50" spans="1:43" x14ac:dyDescent="0.25">
      <c r="A50" s="1" t="s">
        <v>110</v>
      </c>
      <c r="B50" s="1" t="s">
        <v>52</v>
      </c>
      <c r="C50" s="1">
        <v>35</v>
      </c>
      <c r="D50" s="1">
        <v>531</v>
      </c>
      <c r="E50" s="1">
        <v>394</v>
      </c>
      <c r="F50" s="1">
        <v>101</v>
      </c>
      <c r="G50" s="7">
        <v>0.4</v>
      </c>
      <c r="H50" s="1">
        <v>40</v>
      </c>
      <c r="I50" s="1" t="s">
        <v>53</v>
      </c>
      <c r="J50" s="1"/>
      <c r="K50" s="1">
        <v>482</v>
      </c>
      <c r="L50" s="1">
        <f t="shared" si="11"/>
        <v>-88</v>
      </c>
      <c r="M50" s="1">
        <f t="shared" si="12"/>
        <v>394</v>
      </c>
      <c r="N50" s="1"/>
      <c r="O50" s="1"/>
      <c r="P50" s="1">
        <v>60</v>
      </c>
      <c r="Q50" s="1">
        <v>200</v>
      </c>
      <c r="R50" s="23"/>
      <c r="S50" s="1"/>
      <c r="T50" s="1"/>
      <c r="U50" s="1"/>
      <c r="V50" s="1"/>
      <c r="W50" s="1"/>
      <c r="X50" s="1">
        <f t="shared" si="13"/>
        <v>78.8</v>
      </c>
      <c r="Y50" s="5">
        <f t="shared" si="19"/>
        <v>545.19999999999993</v>
      </c>
      <c r="Z50" s="5">
        <f t="shared" si="18"/>
        <v>545.19999999999993</v>
      </c>
      <c r="AA50" s="5">
        <f t="shared" si="14"/>
        <v>173.37359999999995</v>
      </c>
      <c r="AB50" s="5">
        <f>$AB$1*Z50</f>
        <v>371.82639999999998</v>
      </c>
      <c r="AC50" s="1"/>
      <c r="AD50" s="1">
        <f t="shared" si="10"/>
        <v>11.5</v>
      </c>
      <c r="AE50" s="1">
        <f t="shared" si="15"/>
        <v>2.0431472081218276</v>
      </c>
      <c r="AF50" s="1">
        <v>51</v>
      </c>
      <c r="AG50" s="1">
        <v>35.799999999999997</v>
      </c>
      <c r="AH50" s="1">
        <v>61</v>
      </c>
      <c r="AI50" s="1">
        <v>63.8</v>
      </c>
      <c r="AJ50" s="1">
        <v>76</v>
      </c>
      <c r="AK50" s="1">
        <v>54.6</v>
      </c>
      <c r="AL50" s="1">
        <v>57.4</v>
      </c>
      <c r="AM50" s="1">
        <v>95.4</v>
      </c>
      <c r="AN50" s="1"/>
      <c r="AO50" s="1">
        <f t="shared" si="16"/>
        <v>69</v>
      </c>
      <c r="AP50" s="1">
        <f>VLOOKUP(A50,[1]Лист1!$A:$B,2,0)</f>
        <v>69</v>
      </c>
      <c r="AQ50" s="1">
        <f t="shared" si="17"/>
        <v>149</v>
      </c>
    </row>
    <row r="51" spans="1:43" x14ac:dyDescent="0.25">
      <c r="A51" s="1" t="s">
        <v>111</v>
      </c>
      <c r="B51" s="1" t="s">
        <v>47</v>
      </c>
      <c r="C51" s="1">
        <v>18.844000000000001</v>
      </c>
      <c r="D51" s="1">
        <v>207.92</v>
      </c>
      <c r="E51" s="1">
        <v>70.212000000000003</v>
      </c>
      <c r="F51" s="1">
        <v>132.22800000000001</v>
      </c>
      <c r="G51" s="7">
        <v>1</v>
      </c>
      <c r="H51" s="1">
        <v>50</v>
      </c>
      <c r="I51" s="1" t="s">
        <v>53</v>
      </c>
      <c r="J51" s="1"/>
      <c r="K51" s="1">
        <v>91.5</v>
      </c>
      <c r="L51" s="1">
        <f t="shared" si="11"/>
        <v>-21.287999999999997</v>
      </c>
      <c r="M51" s="1">
        <f t="shared" si="12"/>
        <v>70.212000000000003</v>
      </c>
      <c r="N51" s="1"/>
      <c r="O51" s="1"/>
      <c r="P51" s="1">
        <v>33.113399999999963</v>
      </c>
      <c r="Q51" s="1"/>
      <c r="R51" s="23"/>
      <c r="S51" s="1"/>
      <c r="T51" s="1"/>
      <c r="U51" s="1"/>
      <c r="V51" s="1"/>
      <c r="W51" s="1"/>
      <c r="X51" s="1">
        <f t="shared" si="13"/>
        <v>14.042400000000001</v>
      </c>
      <c r="Y51" s="5"/>
      <c r="Z51" s="5">
        <f t="shared" si="18"/>
        <v>0</v>
      </c>
      <c r="AA51" s="5">
        <f t="shared" si="14"/>
        <v>0</v>
      </c>
      <c r="AB51" s="5"/>
      <c r="AC51" s="1"/>
      <c r="AD51" s="1">
        <f t="shared" si="10"/>
        <v>11.774440266621088</v>
      </c>
      <c r="AE51" s="1">
        <f t="shared" si="15"/>
        <v>11.774440266621088</v>
      </c>
      <c r="AF51" s="1">
        <v>19.11</v>
      </c>
      <c r="AG51" s="1">
        <v>17.2288</v>
      </c>
      <c r="AH51" s="1">
        <v>15.883800000000001</v>
      </c>
      <c r="AI51" s="1">
        <v>16.6876</v>
      </c>
      <c r="AJ51" s="1">
        <v>20.451000000000001</v>
      </c>
      <c r="AK51" s="1">
        <v>20.7852</v>
      </c>
      <c r="AL51" s="1">
        <v>18.385200000000001</v>
      </c>
      <c r="AM51" s="1">
        <v>26.343</v>
      </c>
      <c r="AN51" s="1"/>
      <c r="AO51" s="1">
        <f t="shared" si="16"/>
        <v>0</v>
      </c>
      <c r="AP51" s="1">
        <f>VLOOKUP(A51,[1]Лист1!$A:$B,2,0)</f>
        <v>0</v>
      </c>
      <c r="AQ51" s="1">
        <f t="shared" si="17"/>
        <v>0</v>
      </c>
    </row>
    <row r="52" spans="1:43" x14ac:dyDescent="0.25">
      <c r="A52" s="1" t="s">
        <v>112</v>
      </c>
      <c r="B52" s="1" t="s">
        <v>47</v>
      </c>
      <c r="C52" s="1">
        <v>289.09800000000001</v>
      </c>
      <c r="D52" s="1">
        <v>889.23599999999999</v>
      </c>
      <c r="E52" s="1">
        <v>391.173</v>
      </c>
      <c r="F52" s="1">
        <v>577.62099999999998</v>
      </c>
      <c r="G52" s="7">
        <v>1</v>
      </c>
      <c r="H52" s="1">
        <v>50</v>
      </c>
      <c r="I52" s="1" t="s">
        <v>53</v>
      </c>
      <c r="J52" s="1"/>
      <c r="K52" s="1">
        <v>387.54</v>
      </c>
      <c r="L52" s="1">
        <f t="shared" si="11"/>
        <v>3.6329999999999814</v>
      </c>
      <c r="M52" s="1">
        <f t="shared" si="12"/>
        <v>391.173</v>
      </c>
      <c r="N52" s="1"/>
      <c r="O52" s="1"/>
      <c r="P52" s="1">
        <v>0</v>
      </c>
      <c r="Q52" s="1"/>
      <c r="R52" s="23"/>
      <c r="S52" s="1"/>
      <c r="T52" s="1"/>
      <c r="U52" s="1"/>
      <c r="V52" s="1"/>
      <c r="W52" s="1"/>
      <c r="X52" s="1">
        <f t="shared" si="13"/>
        <v>78.2346</v>
      </c>
      <c r="Y52" s="5">
        <f>11.5*X52-W52-U52-S52-P52-O52-F52</f>
        <v>322.07690000000002</v>
      </c>
      <c r="Z52" s="5">
        <f t="shared" si="18"/>
        <v>322.07690000000002</v>
      </c>
      <c r="AA52" s="5">
        <f t="shared" si="14"/>
        <v>322.07690000000002</v>
      </c>
      <c r="AB52" s="5"/>
      <c r="AC52" s="1"/>
      <c r="AD52" s="1">
        <f t="shared" si="10"/>
        <v>11.5</v>
      </c>
      <c r="AE52" s="1">
        <f t="shared" si="15"/>
        <v>7.3831910689132423</v>
      </c>
      <c r="AF52" s="1">
        <v>79.395399999999995</v>
      </c>
      <c r="AG52" s="1">
        <v>52.078800000000022</v>
      </c>
      <c r="AH52" s="1">
        <v>97.671800000000005</v>
      </c>
      <c r="AI52" s="1">
        <v>62.823599999999999</v>
      </c>
      <c r="AJ52" s="1">
        <v>78.122199999999992</v>
      </c>
      <c r="AK52" s="1">
        <v>85.384200000000007</v>
      </c>
      <c r="AL52" s="1">
        <v>84.619600000000005</v>
      </c>
      <c r="AM52" s="1">
        <v>57.522199999999998</v>
      </c>
      <c r="AN52" s="1"/>
      <c r="AO52" s="1">
        <f t="shared" si="16"/>
        <v>322</v>
      </c>
      <c r="AP52" s="1">
        <f>VLOOKUP(A52,[1]Лист1!$A:$B,2,0)</f>
        <v>322</v>
      </c>
      <c r="AQ52" s="1">
        <f t="shared" si="17"/>
        <v>0</v>
      </c>
    </row>
    <row r="53" spans="1:43" x14ac:dyDescent="0.25">
      <c r="A53" s="9" t="s">
        <v>113</v>
      </c>
      <c r="B53" s="9" t="s">
        <v>47</v>
      </c>
      <c r="C53" s="9"/>
      <c r="D53" s="9"/>
      <c r="E53" s="9"/>
      <c r="F53" s="9"/>
      <c r="G53" s="10">
        <v>0</v>
      </c>
      <c r="H53" s="9"/>
      <c r="I53" s="9" t="s">
        <v>53</v>
      </c>
      <c r="J53" s="9"/>
      <c r="K53" s="9"/>
      <c r="L53" s="9">
        <f t="shared" si="11"/>
        <v>0</v>
      </c>
      <c r="M53" s="9">
        <f t="shared" si="12"/>
        <v>0</v>
      </c>
      <c r="N53" s="9"/>
      <c r="O53" s="9"/>
      <c r="P53" s="9">
        <v>0</v>
      </c>
      <c r="Q53" s="9"/>
      <c r="R53" s="25"/>
      <c r="S53" s="9"/>
      <c r="T53" s="9"/>
      <c r="U53" s="9"/>
      <c r="V53" s="9"/>
      <c r="W53" s="9"/>
      <c r="X53" s="9">
        <f t="shared" si="13"/>
        <v>0</v>
      </c>
      <c r="Y53" s="11"/>
      <c r="Z53" s="5">
        <f t="shared" si="18"/>
        <v>0</v>
      </c>
      <c r="AA53" s="5">
        <f t="shared" si="14"/>
        <v>0</v>
      </c>
      <c r="AB53" s="5"/>
      <c r="AC53" s="9"/>
      <c r="AD53" s="1" t="e">
        <f t="shared" si="10"/>
        <v>#DIV/0!</v>
      </c>
      <c r="AE53" s="9" t="e">
        <f t="shared" si="15"/>
        <v>#DIV/0!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 t="s">
        <v>71</v>
      </c>
      <c r="AO53" s="1">
        <f t="shared" si="16"/>
        <v>0</v>
      </c>
      <c r="AP53" s="1">
        <f>VLOOKUP(A53,[1]Лист1!$A:$B,2,0)</f>
        <v>0</v>
      </c>
      <c r="AQ53" s="1">
        <f t="shared" si="17"/>
        <v>0</v>
      </c>
    </row>
    <row r="54" spans="1:43" x14ac:dyDescent="0.25">
      <c r="A54" s="1" t="s">
        <v>114</v>
      </c>
      <c r="B54" s="1" t="s">
        <v>52</v>
      </c>
      <c r="C54" s="1">
        <v>225</v>
      </c>
      <c r="D54" s="1">
        <v>702</v>
      </c>
      <c r="E54" s="1">
        <v>431</v>
      </c>
      <c r="F54" s="1">
        <v>303</v>
      </c>
      <c r="G54" s="7">
        <v>0.45</v>
      </c>
      <c r="H54" s="1">
        <v>50</v>
      </c>
      <c r="I54" s="1" t="s">
        <v>53</v>
      </c>
      <c r="J54" s="1"/>
      <c r="K54" s="1">
        <v>533</v>
      </c>
      <c r="L54" s="1">
        <f t="shared" si="11"/>
        <v>-102</v>
      </c>
      <c r="M54" s="1">
        <f t="shared" si="12"/>
        <v>431</v>
      </c>
      <c r="N54" s="1"/>
      <c r="O54" s="1"/>
      <c r="P54" s="1">
        <v>231.1999999999999</v>
      </c>
      <c r="Q54" s="1"/>
      <c r="R54" s="23"/>
      <c r="S54" s="1"/>
      <c r="T54" s="1"/>
      <c r="U54" s="1">
        <v>100</v>
      </c>
      <c r="V54" s="1"/>
      <c r="W54" s="1"/>
      <c r="X54" s="1">
        <f t="shared" si="13"/>
        <v>86.2</v>
      </c>
      <c r="Y54" s="5">
        <f>11.5*X54-W54-U54-S54-P54-O54-F54</f>
        <v>357.10000000000014</v>
      </c>
      <c r="Z54" s="5">
        <f t="shared" si="18"/>
        <v>357.10000000000014</v>
      </c>
      <c r="AA54" s="5">
        <f t="shared" si="14"/>
        <v>357.10000000000014</v>
      </c>
      <c r="AB54" s="5"/>
      <c r="AC54" s="1"/>
      <c r="AD54" s="1">
        <f t="shared" si="10"/>
        <v>11.5</v>
      </c>
      <c r="AE54" s="1">
        <f t="shared" si="15"/>
        <v>7.3573085846867743</v>
      </c>
      <c r="AF54" s="1">
        <v>84</v>
      </c>
      <c r="AG54" s="1">
        <v>66.400000000000006</v>
      </c>
      <c r="AH54" s="1">
        <v>64.8</v>
      </c>
      <c r="AI54" s="1">
        <v>74.2</v>
      </c>
      <c r="AJ54" s="1">
        <v>96</v>
      </c>
      <c r="AK54" s="1">
        <v>96.8</v>
      </c>
      <c r="AL54" s="1">
        <v>97.4</v>
      </c>
      <c r="AM54" s="1">
        <v>102</v>
      </c>
      <c r="AN54" s="1"/>
      <c r="AO54" s="1">
        <f t="shared" si="16"/>
        <v>161</v>
      </c>
      <c r="AP54" s="1">
        <f>VLOOKUP(A54,[1]Лист1!$A:$B,2,0)</f>
        <v>161</v>
      </c>
      <c r="AQ54" s="1">
        <f t="shared" si="17"/>
        <v>0</v>
      </c>
    </row>
    <row r="55" spans="1:43" x14ac:dyDescent="0.25">
      <c r="A55" s="1" t="s">
        <v>115</v>
      </c>
      <c r="B55" s="1" t="s">
        <v>52</v>
      </c>
      <c r="C55" s="1">
        <v>587</v>
      </c>
      <c r="D55" s="1">
        <v>739</v>
      </c>
      <c r="E55" s="1">
        <v>564</v>
      </c>
      <c r="F55" s="1">
        <v>525</v>
      </c>
      <c r="G55" s="7">
        <v>0.45</v>
      </c>
      <c r="H55" s="1">
        <v>50</v>
      </c>
      <c r="I55" s="1" t="s">
        <v>53</v>
      </c>
      <c r="J55" s="1"/>
      <c r="K55" s="1">
        <v>738</v>
      </c>
      <c r="L55" s="1">
        <f t="shared" si="11"/>
        <v>-174</v>
      </c>
      <c r="M55" s="1">
        <f t="shared" si="12"/>
        <v>564</v>
      </c>
      <c r="N55" s="1"/>
      <c r="O55" s="1"/>
      <c r="P55" s="1">
        <v>406</v>
      </c>
      <c r="Q55" s="1"/>
      <c r="R55" s="23"/>
      <c r="S55" s="1"/>
      <c r="T55" s="1"/>
      <c r="U55" s="1">
        <v>500</v>
      </c>
      <c r="V55" s="1"/>
      <c r="W55" s="1"/>
      <c r="X55" s="1">
        <f t="shared" si="13"/>
        <v>112.8</v>
      </c>
      <c r="Y55" s="5"/>
      <c r="Z55" s="5">
        <f t="shared" si="18"/>
        <v>0</v>
      </c>
      <c r="AA55" s="5">
        <f t="shared" si="14"/>
        <v>0</v>
      </c>
      <c r="AB55" s="5"/>
      <c r="AC55" s="1"/>
      <c r="AD55" s="1">
        <f t="shared" si="10"/>
        <v>12.686170212765958</v>
      </c>
      <c r="AE55" s="1">
        <f t="shared" si="15"/>
        <v>12.686170212765958</v>
      </c>
      <c r="AF55" s="1">
        <v>148.19999999999999</v>
      </c>
      <c r="AG55" s="1">
        <v>93.6</v>
      </c>
      <c r="AH55" s="1">
        <v>89.2</v>
      </c>
      <c r="AI55" s="1">
        <v>95.2</v>
      </c>
      <c r="AJ55" s="1">
        <v>128.6</v>
      </c>
      <c r="AK55" s="1">
        <v>132</v>
      </c>
      <c r="AL55" s="1">
        <v>114.6</v>
      </c>
      <c r="AM55" s="1">
        <v>104.4</v>
      </c>
      <c r="AN55" s="1"/>
      <c r="AO55" s="1">
        <f t="shared" si="16"/>
        <v>0</v>
      </c>
      <c r="AP55" s="1">
        <f>VLOOKUP(A55,[1]Лист1!$A:$B,2,0)</f>
        <v>0</v>
      </c>
      <c r="AQ55" s="1">
        <f t="shared" si="17"/>
        <v>0</v>
      </c>
    </row>
    <row r="56" spans="1:43" x14ac:dyDescent="0.25">
      <c r="A56" s="9" t="s">
        <v>116</v>
      </c>
      <c r="B56" s="9" t="s">
        <v>52</v>
      </c>
      <c r="C56" s="9"/>
      <c r="D56" s="9"/>
      <c r="E56" s="9"/>
      <c r="F56" s="9"/>
      <c r="G56" s="10">
        <v>0</v>
      </c>
      <c r="H56" s="9"/>
      <c r="I56" s="9" t="s">
        <v>53</v>
      </c>
      <c r="J56" s="9"/>
      <c r="K56" s="9"/>
      <c r="L56" s="9">
        <f t="shared" si="11"/>
        <v>0</v>
      </c>
      <c r="M56" s="9">
        <f t="shared" si="12"/>
        <v>0</v>
      </c>
      <c r="N56" s="9"/>
      <c r="O56" s="9"/>
      <c r="P56" s="9">
        <v>0</v>
      </c>
      <c r="Q56" s="9"/>
      <c r="R56" s="25"/>
      <c r="S56" s="9"/>
      <c r="T56" s="9"/>
      <c r="U56" s="9"/>
      <c r="V56" s="9"/>
      <c r="W56" s="9"/>
      <c r="X56" s="9">
        <f t="shared" si="13"/>
        <v>0</v>
      </c>
      <c r="Y56" s="11"/>
      <c r="Z56" s="5">
        <f t="shared" si="18"/>
        <v>0</v>
      </c>
      <c r="AA56" s="5">
        <f t="shared" si="14"/>
        <v>0</v>
      </c>
      <c r="AB56" s="5"/>
      <c r="AC56" s="9"/>
      <c r="AD56" s="1" t="e">
        <f t="shared" si="10"/>
        <v>#DIV/0!</v>
      </c>
      <c r="AE56" s="9" t="e">
        <f t="shared" si="15"/>
        <v>#DIV/0!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 t="s">
        <v>71</v>
      </c>
      <c r="AO56" s="1">
        <f t="shared" si="16"/>
        <v>0</v>
      </c>
      <c r="AP56" s="1">
        <f>VLOOKUP(A56,[1]Лист1!$A:$B,2,0)</f>
        <v>0</v>
      </c>
      <c r="AQ56" s="1">
        <f t="shared" si="17"/>
        <v>0</v>
      </c>
    </row>
    <row r="57" spans="1:43" x14ac:dyDescent="0.25">
      <c r="A57" s="1" t="s">
        <v>117</v>
      </c>
      <c r="B57" s="1" t="s">
        <v>52</v>
      </c>
      <c r="C57" s="1">
        <v>14</v>
      </c>
      <c r="D57" s="1">
        <v>41</v>
      </c>
      <c r="E57" s="1">
        <v>24</v>
      </c>
      <c r="F57" s="1">
        <v>8</v>
      </c>
      <c r="G57" s="7">
        <v>0.4</v>
      </c>
      <c r="H57" s="1">
        <v>40</v>
      </c>
      <c r="I57" s="1" t="s">
        <v>53</v>
      </c>
      <c r="J57" s="1"/>
      <c r="K57" s="1">
        <v>38</v>
      </c>
      <c r="L57" s="1">
        <f t="shared" si="11"/>
        <v>-14</v>
      </c>
      <c r="M57" s="1">
        <f t="shared" si="12"/>
        <v>24</v>
      </c>
      <c r="N57" s="1"/>
      <c r="O57" s="1"/>
      <c r="P57" s="1">
        <v>32.020000000000003</v>
      </c>
      <c r="Q57" s="1"/>
      <c r="R57" s="23"/>
      <c r="S57" s="1"/>
      <c r="T57" s="1"/>
      <c r="U57" s="1"/>
      <c r="V57" s="1"/>
      <c r="W57" s="1"/>
      <c r="X57" s="1">
        <f t="shared" si="13"/>
        <v>4.8</v>
      </c>
      <c r="Y57" s="5">
        <f>11.5*X57-W57-U57-S57-P57-O57-F57</f>
        <v>15.179999999999993</v>
      </c>
      <c r="Z57" s="5">
        <f t="shared" si="18"/>
        <v>15.179999999999993</v>
      </c>
      <c r="AA57" s="5">
        <f t="shared" si="14"/>
        <v>15.179999999999993</v>
      </c>
      <c r="AB57" s="5"/>
      <c r="AC57" s="1"/>
      <c r="AD57" s="1">
        <f t="shared" si="10"/>
        <v>11.5</v>
      </c>
      <c r="AE57" s="1">
        <f t="shared" si="15"/>
        <v>8.3375000000000004</v>
      </c>
      <c r="AF57" s="1">
        <v>5.6</v>
      </c>
      <c r="AG57" s="1">
        <v>3</v>
      </c>
      <c r="AH57" s="1">
        <v>3.2</v>
      </c>
      <c r="AI57" s="1">
        <v>3.8</v>
      </c>
      <c r="AJ57" s="1">
        <v>3.8</v>
      </c>
      <c r="AK57" s="1">
        <v>-0.6</v>
      </c>
      <c r="AL57" s="1">
        <v>0.8</v>
      </c>
      <c r="AM57" s="1">
        <v>12.2</v>
      </c>
      <c r="AN57" s="1"/>
      <c r="AO57" s="1">
        <f t="shared" si="16"/>
        <v>6</v>
      </c>
      <c r="AP57" s="1">
        <f>VLOOKUP(A57,[1]Лист1!$A:$B,2,0)</f>
        <v>6</v>
      </c>
      <c r="AQ57" s="1">
        <f t="shared" si="17"/>
        <v>0</v>
      </c>
    </row>
    <row r="58" spans="1:43" x14ac:dyDescent="0.25">
      <c r="A58" s="1" t="s">
        <v>118</v>
      </c>
      <c r="B58" s="1" t="s">
        <v>47</v>
      </c>
      <c r="C58" s="1">
        <v>347.04700000000003</v>
      </c>
      <c r="D58" s="1">
        <v>1004.6660000000001</v>
      </c>
      <c r="E58" s="1">
        <v>373.19299999999998</v>
      </c>
      <c r="F58" s="1">
        <v>912.05100000000004</v>
      </c>
      <c r="G58" s="7">
        <v>1</v>
      </c>
      <c r="H58" s="1">
        <v>50</v>
      </c>
      <c r="I58" s="1" t="s">
        <v>48</v>
      </c>
      <c r="J58" s="1"/>
      <c r="K58" s="1">
        <v>382.3</v>
      </c>
      <c r="L58" s="1">
        <f t="shared" si="11"/>
        <v>-9.1070000000000277</v>
      </c>
      <c r="M58" s="1">
        <f t="shared" si="12"/>
        <v>373.19299999999998</v>
      </c>
      <c r="N58" s="1"/>
      <c r="O58" s="1"/>
      <c r="P58" s="1">
        <v>43.43853600000017</v>
      </c>
      <c r="Q58" s="1"/>
      <c r="R58" s="23"/>
      <c r="S58" s="1"/>
      <c r="T58" s="1"/>
      <c r="U58" s="1"/>
      <c r="V58" s="1"/>
      <c r="W58" s="1"/>
      <c r="X58" s="1">
        <f t="shared" si="13"/>
        <v>74.638599999999997</v>
      </c>
      <c r="Y58" s="5"/>
      <c r="Z58" s="5">
        <f t="shared" si="18"/>
        <v>0</v>
      </c>
      <c r="AA58" s="5">
        <f t="shared" si="14"/>
        <v>0</v>
      </c>
      <c r="AB58" s="5"/>
      <c r="AC58" s="1"/>
      <c r="AD58" s="1">
        <f t="shared" si="10"/>
        <v>12.801546867170611</v>
      </c>
      <c r="AE58" s="1">
        <f t="shared" si="15"/>
        <v>12.801546867170611</v>
      </c>
      <c r="AF58" s="1">
        <v>99.823999999999998</v>
      </c>
      <c r="AG58" s="1">
        <v>124.6264</v>
      </c>
      <c r="AH58" s="1">
        <v>103.889</v>
      </c>
      <c r="AI58" s="1">
        <v>63.091200000000001</v>
      </c>
      <c r="AJ58" s="1">
        <v>69.980199999999996</v>
      </c>
      <c r="AK58" s="1">
        <v>120.0566</v>
      </c>
      <c r="AL58" s="1">
        <v>112.971</v>
      </c>
      <c r="AM58" s="1">
        <v>95.999600000000001</v>
      </c>
      <c r="AN58" s="1"/>
      <c r="AO58" s="1">
        <f t="shared" si="16"/>
        <v>0</v>
      </c>
      <c r="AP58" s="1">
        <f>VLOOKUP(A58,[1]Лист1!$A:$B,2,0)</f>
        <v>0</v>
      </c>
      <c r="AQ58" s="1">
        <f t="shared" si="17"/>
        <v>0</v>
      </c>
    </row>
    <row r="59" spans="1:43" x14ac:dyDescent="0.25">
      <c r="A59" s="1" t="s">
        <v>119</v>
      </c>
      <c r="B59" s="1" t="s">
        <v>52</v>
      </c>
      <c r="C59" s="1">
        <v>133</v>
      </c>
      <c r="D59" s="1">
        <v>137</v>
      </c>
      <c r="E59" s="1">
        <v>132</v>
      </c>
      <c r="F59" s="1">
        <v>112</v>
      </c>
      <c r="G59" s="7">
        <v>0.1</v>
      </c>
      <c r="H59" s="1">
        <v>731</v>
      </c>
      <c r="I59" s="1" t="s">
        <v>53</v>
      </c>
      <c r="J59" s="1"/>
      <c r="K59" s="1">
        <v>146</v>
      </c>
      <c r="L59" s="1">
        <f t="shared" si="11"/>
        <v>-14</v>
      </c>
      <c r="M59" s="1">
        <f t="shared" si="12"/>
        <v>132</v>
      </c>
      <c r="N59" s="1"/>
      <c r="O59" s="1"/>
      <c r="P59" s="1">
        <v>118.6</v>
      </c>
      <c r="Q59" s="1"/>
      <c r="R59" s="23"/>
      <c r="S59" s="1"/>
      <c r="T59" s="1"/>
      <c r="U59" s="1"/>
      <c r="V59" s="1"/>
      <c r="W59" s="1"/>
      <c r="X59" s="1">
        <f t="shared" si="13"/>
        <v>26.4</v>
      </c>
      <c r="Y59" s="5">
        <f>11.5*X59-W59-U59-S59-P59-O59-F59</f>
        <v>72.999999999999972</v>
      </c>
      <c r="Z59" s="5">
        <f t="shared" si="18"/>
        <v>72.999999999999972</v>
      </c>
      <c r="AA59" s="5">
        <f t="shared" si="14"/>
        <v>72.999999999999972</v>
      </c>
      <c r="AB59" s="5"/>
      <c r="AC59" s="1"/>
      <c r="AD59" s="1">
        <f t="shared" si="10"/>
        <v>11.5</v>
      </c>
      <c r="AE59" s="1">
        <f t="shared" si="15"/>
        <v>8.7348484848484844</v>
      </c>
      <c r="AF59" s="1">
        <v>26.6</v>
      </c>
      <c r="AG59" s="1">
        <v>17.600000000000001</v>
      </c>
      <c r="AH59" s="1">
        <v>20.2</v>
      </c>
      <c r="AI59" s="1">
        <v>21.8</v>
      </c>
      <c r="AJ59" s="1">
        <v>26.4</v>
      </c>
      <c r="AK59" s="1">
        <v>29.2</v>
      </c>
      <c r="AL59" s="1">
        <v>30</v>
      </c>
      <c r="AM59" s="1">
        <v>19.600000000000001</v>
      </c>
      <c r="AN59" s="1"/>
      <c r="AO59" s="1">
        <f t="shared" si="16"/>
        <v>7</v>
      </c>
      <c r="AP59" s="1">
        <f>VLOOKUP(A59,[1]Лист1!$A:$B,2,0)</f>
        <v>7</v>
      </c>
      <c r="AQ59" s="1">
        <f t="shared" si="17"/>
        <v>0</v>
      </c>
    </row>
    <row r="60" spans="1:43" x14ac:dyDescent="0.25">
      <c r="A60" s="1" t="s">
        <v>120</v>
      </c>
      <c r="B60" s="1" t="s">
        <v>47</v>
      </c>
      <c r="C60" s="1">
        <v>524.17899999999997</v>
      </c>
      <c r="D60" s="1">
        <v>296.10700000000003</v>
      </c>
      <c r="E60" s="1">
        <v>593.71299999999997</v>
      </c>
      <c r="F60" s="1">
        <v>67.713999999999999</v>
      </c>
      <c r="G60" s="7">
        <v>1</v>
      </c>
      <c r="H60" s="1">
        <v>50</v>
      </c>
      <c r="I60" s="1" t="s">
        <v>48</v>
      </c>
      <c r="J60" s="1"/>
      <c r="K60" s="1">
        <v>596.63599999999997</v>
      </c>
      <c r="L60" s="1">
        <f t="shared" si="11"/>
        <v>-2.9230000000000018</v>
      </c>
      <c r="M60" s="1">
        <f t="shared" si="12"/>
        <v>432.95399999999995</v>
      </c>
      <c r="N60" s="1">
        <v>160.75899999999999</v>
      </c>
      <c r="O60" s="1"/>
      <c r="P60" s="1">
        <v>650.53757800000017</v>
      </c>
      <c r="Q60" s="1"/>
      <c r="R60" s="23"/>
      <c r="S60" s="1"/>
      <c r="T60" s="1"/>
      <c r="U60" s="1"/>
      <c r="V60" s="1"/>
      <c r="W60" s="1"/>
      <c r="X60" s="1">
        <f t="shared" si="13"/>
        <v>86.590799999999987</v>
      </c>
      <c r="Y60" s="5">
        <f>11.5*X60-W60-U60-S60-P60-O60-F60</f>
        <v>277.54262199999965</v>
      </c>
      <c r="Z60" s="5">
        <f t="shared" si="18"/>
        <v>277.54262199999965</v>
      </c>
      <c r="AA60" s="5">
        <f t="shared" si="14"/>
        <v>277.54262199999965</v>
      </c>
      <c r="AB60" s="5"/>
      <c r="AC60" s="1"/>
      <c r="AD60" s="1">
        <f t="shared" si="10"/>
        <v>11.5</v>
      </c>
      <c r="AE60" s="1">
        <f t="shared" si="15"/>
        <v>8.2947793299057206</v>
      </c>
      <c r="AF60" s="1">
        <v>102.032</v>
      </c>
      <c r="AG60" s="1">
        <v>70.132199999999997</v>
      </c>
      <c r="AH60" s="1">
        <v>63.280999999999992</v>
      </c>
      <c r="AI60" s="1">
        <v>79.756600000000006</v>
      </c>
      <c r="AJ60" s="1">
        <v>81.925600000000003</v>
      </c>
      <c r="AK60" s="1">
        <v>86.080600000000004</v>
      </c>
      <c r="AL60" s="1">
        <v>92.588999999999999</v>
      </c>
      <c r="AM60" s="1">
        <v>122.23399999999999</v>
      </c>
      <c r="AN60" s="1"/>
      <c r="AO60" s="1">
        <f t="shared" si="16"/>
        <v>278</v>
      </c>
      <c r="AP60" s="1">
        <f>VLOOKUP(A60,[1]Лист1!$A:$B,2,0)</f>
        <v>278</v>
      </c>
      <c r="AQ60" s="1">
        <f t="shared" si="17"/>
        <v>0</v>
      </c>
    </row>
    <row r="61" spans="1:43" x14ac:dyDescent="0.25">
      <c r="A61" s="1" t="s">
        <v>121</v>
      </c>
      <c r="B61" s="1" t="s">
        <v>47</v>
      </c>
      <c r="C61" s="1">
        <v>41.777000000000001</v>
      </c>
      <c r="D61" s="1">
        <v>10.972</v>
      </c>
      <c r="E61" s="1">
        <v>37.869999999999997</v>
      </c>
      <c r="F61" s="1">
        <v>10.839</v>
      </c>
      <c r="G61" s="7">
        <v>1</v>
      </c>
      <c r="H61" s="1">
        <v>55</v>
      </c>
      <c r="I61" s="1" t="s">
        <v>53</v>
      </c>
      <c r="J61" s="1"/>
      <c r="K61" s="1">
        <v>36.5</v>
      </c>
      <c r="L61" s="1">
        <f t="shared" si="11"/>
        <v>1.3699999999999974</v>
      </c>
      <c r="M61" s="1">
        <f t="shared" si="12"/>
        <v>37.869999999999997</v>
      </c>
      <c r="N61" s="1"/>
      <c r="O61" s="1"/>
      <c r="P61" s="1">
        <v>51.130200000000002</v>
      </c>
      <c r="Q61" s="1"/>
      <c r="R61" s="23"/>
      <c r="S61" s="1"/>
      <c r="T61" s="1"/>
      <c r="U61" s="1"/>
      <c r="V61" s="1"/>
      <c r="W61" s="1"/>
      <c r="X61" s="1">
        <f t="shared" si="13"/>
        <v>7.5739999999999998</v>
      </c>
      <c r="Y61" s="5">
        <f>11.5*X61-W61-U61-S61-P61-O61-F61</f>
        <v>25.131799999999998</v>
      </c>
      <c r="Z61" s="5">
        <f t="shared" si="18"/>
        <v>25.131799999999998</v>
      </c>
      <c r="AA61" s="5">
        <f t="shared" si="14"/>
        <v>25.131799999999998</v>
      </c>
      <c r="AB61" s="5"/>
      <c r="AC61" s="1"/>
      <c r="AD61" s="1">
        <f t="shared" si="10"/>
        <v>11.5</v>
      </c>
      <c r="AE61" s="1">
        <f t="shared" si="15"/>
        <v>8.1818325851597571</v>
      </c>
      <c r="AF61" s="1">
        <v>8.3827999999999996</v>
      </c>
      <c r="AG61" s="1">
        <v>3.4996</v>
      </c>
      <c r="AH61" s="1">
        <v>4.0301999999999998</v>
      </c>
      <c r="AI61" s="1">
        <v>4.2412000000000001</v>
      </c>
      <c r="AJ61" s="1">
        <v>5.3171999999999997</v>
      </c>
      <c r="AK61" s="1">
        <v>3.4356</v>
      </c>
      <c r="AL61" s="1">
        <v>4.8685999999999998</v>
      </c>
      <c r="AM61" s="1">
        <v>7.0706000000000007</v>
      </c>
      <c r="AN61" s="1"/>
      <c r="AO61" s="1">
        <f t="shared" si="16"/>
        <v>25</v>
      </c>
      <c r="AP61" s="1">
        <f>VLOOKUP(A61,[1]Лист1!$A:$B,2,0)</f>
        <v>25</v>
      </c>
      <c r="AQ61" s="1">
        <f t="shared" si="17"/>
        <v>0</v>
      </c>
    </row>
    <row r="62" spans="1:43" x14ac:dyDescent="0.25">
      <c r="A62" s="1" t="s">
        <v>122</v>
      </c>
      <c r="B62" s="1" t="s">
        <v>52</v>
      </c>
      <c r="C62" s="1">
        <v>161</v>
      </c>
      <c r="D62" s="1">
        <v>72</v>
      </c>
      <c r="E62" s="1">
        <v>115</v>
      </c>
      <c r="F62" s="1">
        <v>97</v>
      </c>
      <c r="G62" s="7">
        <v>0.1</v>
      </c>
      <c r="H62" s="1">
        <v>731</v>
      </c>
      <c r="I62" s="1" t="s">
        <v>53</v>
      </c>
      <c r="J62" s="1"/>
      <c r="K62" s="1">
        <v>124</v>
      </c>
      <c r="L62" s="1">
        <f t="shared" si="11"/>
        <v>-9</v>
      </c>
      <c r="M62" s="1">
        <f t="shared" si="12"/>
        <v>115</v>
      </c>
      <c r="N62" s="1"/>
      <c r="O62" s="1"/>
      <c r="P62" s="1">
        <v>112.2</v>
      </c>
      <c r="Q62" s="1"/>
      <c r="R62" s="23"/>
      <c r="S62" s="1"/>
      <c r="T62" s="1"/>
      <c r="U62" s="1"/>
      <c r="V62" s="1"/>
      <c r="W62" s="1"/>
      <c r="X62" s="1">
        <f t="shared" si="13"/>
        <v>23</v>
      </c>
      <c r="Y62" s="5">
        <f>11.5*X62-W62-U62-S62-P62-O62-F62</f>
        <v>55.300000000000011</v>
      </c>
      <c r="Z62" s="5">
        <f t="shared" si="18"/>
        <v>55.300000000000011</v>
      </c>
      <c r="AA62" s="5">
        <f t="shared" si="14"/>
        <v>55.300000000000011</v>
      </c>
      <c r="AB62" s="5"/>
      <c r="AC62" s="1"/>
      <c r="AD62" s="1">
        <f t="shared" si="10"/>
        <v>11.5</v>
      </c>
      <c r="AE62" s="1">
        <f t="shared" si="15"/>
        <v>9.0956521739130434</v>
      </c>
      <c r="AF62" s="1">
        <v>24.2</v>
      </c>
      <c r="AG62" s="1">
        <v>17.600000000000001</v>
      </c>
      <c r="AH62" s="1">
        <v>17.600000000000001</v>
      </c>
      <c r="AI62" s="1">
        <v>20.8</v>
      </c>
      <c r="AJ62" s="1">
        <v>23.6</v>
      </c>
      <c r="AK62" s="1">
        <v>27.2</v>
      </c>
      <c r="AL62" s="1">
        <v>30.4</v>
      </c>
      <c r="AM62" s="1">
        <v>17.600000000000001</v>
      </c>
      <c r="AN62" s="1"/>
      <c r="AO62" s="1">
        <f t="shared" si="16"/>
        <v>6</v>
      </c>
      <c r="AP62" s="1">
        <f>VLOOKUP(A62,[1]Лист1!$A:$B,2,0)</f>
        <v>6</v>
      </c>
      <c r="AQ62" s="1">
        <f t="shared" si="17"/>
        <v>0</v>
      </c>
    </row>
    <row r="63" spans="1:43" x14ac:dyDescent="0.25">
      <c r="A63" s="1" t="s">
        <v>123</v>
      </c>
      <c r="B63" s="1" t="s">
        <v>52</v>
      </c>
      <c r="C63" s="1">
        <v>-4</v>
      </c>
      <c r="D63" s="1">
        <v>40</v>
      </c>
      <c r="E63" s="1">
        <v>5</v>
      </c>
      <c r="F63" s="1">
        <v>28</v>
      </c>
      <c r="G63" s="7">
        <v>0.4</v>
      </c>
      <c r="H63" s="1">
        <v>50</v>
      </c>
      <c r="I63" s="1" t="s">
        <v>53</v>
      </c>
      <c r="J63" s="1"/>
      <c r="K63" s="1">
        <v>17</v>
      </c>
      <c r="L63" s="1">
        <f t="shared" si="11"/>
        <v>-12</v>
      </c>
      <c r="M63" s="1">
        <f t="shared" si="12"/>
        <v>5</v>
      </c>
      <c r="N63" s="1"/>
      <c r="O63" s="1"/>
      <c r="P63" s="1">
        <v>0</v>
      </c>
      <c r="Q63" s="1"/>
      <c r="R63" s="23"/>
      <c r="S63" s="1"/>
      <c r="T63" s="1"/>
      <c r="U63" s="1"/>
      <c r="V63" s="1"/>
      <c r="W63" s="1"/>
      <c r="X63" s="1">
        <f t="shared" si="13"/>
        <v>1</v>
      </c>
      <c r="Y63" s="5"/>
      <c r="Z63" s="5">
        <f t="shared" si="18"/>
        <v>0</v>
      </c>
      <c r="AA63" s="5">
        <f t="shared" si="14"/>
        <v>0</v>
      </c>
      <c r="AB63" s="5"/>
      <c r="AC63" s="1"/>
      <c r="AD63" s="1">
        <f t="shared" si="10"/>
        <v>28</v>
      </c>
      <c r="AE63" s="1">
        <f t="shared" si="15"/>
        <v>28</v>
      </c>
      <c r="AF63" s="1">
        <v>1.6</v>
      </c>
      <c r="AG63" s="1">
        <v>2.8</v>
      </c>
      <c r="AH63" s="1">
        <v>1.2</v>
      </c>
      <c r="AI63" s="1">
        <v>0.2</v>
      </c>
      <c r="AJ63" s="1">
        <v>1.6</v>
      </c>
      <c r="AK63" s="1">
        <v>2.8</v>
      </c>
      <c r="AL63" s="1">
        <v>1.2</v>
      </c>
      <c r="AM63" s="1">
        <v>0</v>
      </c>
      <c r="AN63" s="1"/>
      <c r="AO63" s="1">
        <f t="shared" si="16"/>
        <v>0</v>
      </c>
      <c r="AP63" s="1">
        <f>VLOOKUP(A63,[1]Лист1!$A:$B,2,0)</f>
        <v>0</v>
      </c>
      <c r="AQ63" s="1">
        <f t="shared" si="17"/>
        <v>0</v>
      </c>
    </row>
    <row r="64" spans="1:43" x14ac:dyDescent="0.25">
      <c r="A64" s="1" t="s">
        <v>124</v>
      </c>
      <c r="B64" s="1" t="s">
        <v>47</v>
      </c>
      <c r="C64" s="1">
        <v>50.677</v>
      </c>
      <c r="D64" s="1">
        <v>54.546999999999997</v>
      </c>
      <c r="E64" s="1">
        <v>56.594999999999999</v>
      </c>
      <c r="F64" s="1">
        <v>16.312999999999999</v>
      </c>
      <c r="G64" s="7">
        <v>1</v>
      </c>
      <c r="H64" s="1">
        <v>40</v>
      </c>
      <c r="I64" s="1" t="s">
        <v>53</v>
      </c>
      <c r="J64" s="1"/>
      <c r="K64" s="1">
        <v>64.5</v>
      </c>
      <c r="L64" s="1">
        <f t="shared" si="11"/>
        <v>-7.9050000000000011</v>
      </c>
      <c r="M64" s="1">
        <f t="shared" si="12"/>
        <v>56.594999999999999</v>
      </c>
      <c r="N64" s="1"/>
      <c r="O64" s="1"/>
      <c r="P64" s="1">
        <v>0</v>
      </c>
      <c r="Q64" s="1"/>
      <c r="R64" s="23"/>
      <c r="S64" s="1"/>
      <c r="T64" s="1"/>
      <c r="U64" s="1"/>
      <c r="V64" s="1"/>
      <c r="W64" s="1"/>
      <c r="X64" s="1">
        <f t="shared" si="13"/>
        <v>11.318999999999999</v>
      </c>
      <c r="Y64" s="5">
        <f>7*X64-W64-U64-S64-P64-O64-F64</f>
        <v>62.919999999999987</v>
      </c>
      <c r="Z64" s="5">
        <v>150</v>
      </c>
      <c r="AA64" s="5">
        <f t="shared" si="14"/>
        <v>150</v>
      </c>
      <c r="AB64" s="5"/>
      <c r="AC64" s="1">
        <v>150</v>
      </c>
      <c r="AD64" s="1">
        <f t="shared" si="10"/>
        <v>14.69325912183055</v>
      </c>
      <c r="AE64" s="1">
        <f t="shared" si="15"/>
        <v>1.4412050534499514</v>
      </c>
      <c r="AF64" s="1">
        <v>7.4388000000000014</v>
      </c>
      <c r="AG64" s="1">
        <v>8.8168000000000006</v>
      </c>
      <c r="AH64" s="1">
        <v>9.9623999999999988</v>
      </c>
      <c r="AI64" s="1">
        <v>9.6790000000000003</v>
      </c>
      <c r="AJ64" s="1">
        <v>10.668799999999999</v>
      </c>
      <c r="AK64" s="1">
        <v>14.4322</v>
      </c>
      <c r="AL64" s="1">
        <v>12.6326</v>
      </c>
      <c r="AM64" s="1">
        <v>14.220599999999999</v>
      </c>
      <c r="AN64" s="1" t="s">
        <v>125</v>
      </c>
      <c r="AO64" s="1">
        <f t="shared" si="16"/>
        <v>150</v>
      </c>
      <c r="AP64" s="1">
        <f>VLOOKUP(A64,[1]Лист1!$A:$B,2,0)</f>
        <v>150</v>
      </c>
      <c r="AQ64" s="1">
        <f t="shared" si="17"/>
        <v>0</v>
      </c>
    </row>
    <row r="65" spans="1:43" x14ac:dyDescent="0.25">
      <c r="A65" s="1" t="s">
        <v>126</v>
      </c>
      <c r="B65" s="1" t="s">
        <v>47</v>
      </c>
      <c r="C65" s="1">
        <v>12.116</v>
      </c>
      <c r="D65" s="1">
        <v>49.966999999999999</v>
      </c>
      <c r="E65" s="1">
        <v>2.78</v>
      </c>
      <c r="F65" s="1">
        <v>-12.244999999999999</v>
      </c>
      <c r="G65" s="7">
        <v>1</v>
      </c>
      <c r="H65" s="1">
        <v>40</v>
      </c>
      <c r="I65" s="1" t="s">
        <v>53</v>
      </c>
      <c r="J65" s="1"/>
      <c r="K65" s="1">
        <v>117.9</v>
      </c>
      <c r="L65" s="1">
        <f t="shared" si="11"/>
        <v>-115.12</v>
      </c>
      <c r="M65" s="1">
        <f t="shared" si="12"/>
        <v>2.78</v>
      </c>
      <c r="N65" s="1"/>
      <c r="O65" s="1"/>
      <c r="P65" s="1">
        <v>43.06019999999998</v>
      </c>
      <c r="Q65" s="1"/>
      <c r="R65" s="23"/>
      <c r="S65" s="1"/>
      <c r="T65" s="1"/>
      <c r="U65" s="1"/>
      <c r="V65" s="1"/>
      <c r="W65" s="1"/>
      <c r="X65" s="1">
        <f t="shared" si="13"/>
        <v>0.55599999999999994</v>
      </c>
      <c r="Y65" s="5">
        <v>40</v>
      </c>
      <c r="Z65" s="5">
        <v>150</v>
      </c>
      <c r="AA65" s="5">
        <f t="shared" si="14"/>
        <v>150</v>
      </c>
      <c r="AB65" s="5"/>
      <c r="AC65" s="1">
        <v>150</v>
      </c>
      <c r="AD65" s="1">
        <f t="shared" si="10"/>
        <v>325.2071942446043</v>
      </c>
      <c r="AE65" s="1">
        <f t="shared" si="15"/>
        <v>55.423021582733789</v>
      </c>
      <c r="AF65" s="1">
        <v>8.0599999999999987</v>
      </c>
      <c r="AG65" s="1">
        <v>8.0434000000000001</v>
      </c>
      <c r="AH65" s="1">
        <v>1.6077999999999999</v>
      </c>
      <c r="AI65" s="1">
        <v>1.6077999999999999</v>
      </c>
      <c r="AJ65" s="1">
        <v>1.6292</v>
      </c>
      <c r="AK65" s="1">
        <v>1.1017999999999999</v>
      </c>
      <c r="AL65" s="1">
        <v>0.30680000000000002</v>
      </c>
      <c r="AM65" s="1">
        <v>0.37080000000000002</v>
      </c>
      <c r="AN65" s="1" t="s">
        <v>125</v>
      </c>
      <c r="AO65" s="1">
        <f t="shared" si="16"/>
        <v>150</v>
      </c>
      <c r="AP65" s="1">
        <f>VLOOKUP(A65,[1]Лист1!$A:$B,2,0)</f>
        <v>150</v>
      </c>
      <c r="AQ65" s="1">
        <f t="shared" si="17"/>
        <v>0</v>
      </c>
    </row>
    <row r="66" spans="1:43" x14ac:dyDescent="0.25">
      <c r="A66" s="1" t="s">
        <v>127</v>
      </c>
      <c r="B66" s="1" t="s">
        <v>52</v>
      </c>
      <c r="C66" s="1">
        <v>112</v>
      </c>
      <c r="D66" s="1">
        <v>891</v>
      </c>
      <c r="E66" s="1">
        <v>132</v>
      </c>
      <c r="F66" s="1">
        <v>723</v>
      </c>
      <c r="G66" s="7">
        <v>0.4</v>
      </c>
      <c r="H66" s="1">
        <v>40</v>
      </c>
      <c r="I66" s="1" t="s">
        <v>53</v>
      </c>
      <c r="J66" s="1"/>
      <c r="K66" s="1">
        <v>293</v>
      </c>
      <c r="L66" s="1">
        <f t="shared" si="11"/>
        <v>-161</v>
      </c>
      <c r="M66" s="1">
        <f t="shared" si="12"/>
        <v>132</v>
      </c>
      <c r="N66" s="1"/>
      <c r="O66" s="1"/>
      <c r="P66" s="1">
        <v>188.46799999999999</v>
      </c>
      <c r="Q66" s="1"/>
      <c r="R66" s="23"/>
      <c r="S66" s="1"/>
      <c r="T66" s="1"/>
      <c r="U66" s="1"/>
      <c r="V66" s="1"/>
      <c r="W66" s="1"/>
      <c r="X66" s="1">
        <f t="shared" si="13"/>
        <v>26.4</v>
      </c>
      <c r="Y66" s="5"/>
      <c r="Z66" s="5">
        <f>Y66</f>
        <v>0</v>
      </c>
      <c r="AA66" s="5">
        <f t="shared" si="14"/>
        <v>0</v>
      </c>
      <c r="AB66" s="5"/>
      <c r="AC66" s="1"/>
      <c r="AD66" s="1">
        <f t="shared" si="10"/>
        <v>34.525303030303029</v>
      </c>
      <c r="AE66" s="1">
        <f t="shared" si="15"/>
        <v>34.525303030303029</v>
      </c>
      <c r="AF66" s="1">
        <v>94.8</v>
      </c>
      <c r="AG66" s="1">
        <v>113.2</v>
      </c>
      <c r="AH66" s="1">
        <v>99</v>
      </c>
      <c r="AI66" s="1">
        <v>107.8</v>
      </c>
      <c r="AJ66" s="1">
        <v>129.19999999999999</v>
      </c>
      <c r="AK66" s="1">
        <v>139.4</v>
      </c>
      <c r="AL66" s="1">
        <v>108.2</v>
      </c>
      <c r="AM66" s="1">
        <v>105.6</v>
      </c>
      <c r="AN66" s="1"/>
      <c r="AO66" s="1">
        <f t="shared" si="16"/>
        <v>0</v>
      </c>
      <c r="AP66" s="1">
        <f>VLOOKUP(A66,[1]Лист1!$A:$B,2,0)</f>
        <v>0</v>
      </c>
      <c r="AQ66" s="1">
        <f t="shared" si="17"/>
        <v>0</v>
      </c>
    </row>
    <row r="67" spans="1:43" x14ac:dyDescent="0.25">
      <c r="A67" s="1" t="s">
        <v>128</v>
      </c>
      <c r="B67" s="1" t="s">
        <v>52</v>
      </c>
      <c r="C67" s="1">
        <v>225</v>
      </c>
      <c r="D67" s="1">
        <v>10</v>
      </c>
      <c r="E67" s="1">
        <v>228</v>
      </c>
      <c r="F67" s="1">
        <v>-7</v>
      </c>
      <c r="G67" s="7">
        <v>0.4</v>
      </c>
      <c r="H67" s="1">
        <v>40</v>
      </c>
      <c r="I67" s="1" t="s">
        <v>53</v>
      </c>
      <c r="J67" s="1"/>
      <c r="K67" s="1">
        <v>306</v>
      </c>
      <c r="L67" s="1">
        <f t="shared" si="11"/>
        <v>-78</v>
      </c>
      <c r="M67" s="1">
        <f t="shared" si="12"/>
        <v>228</v>
      </c>
      <c r="N67" s="1"/>
      <c r="O67" s="1"/>
      <c r="P67" s="1">
        <v>200</v>
      </c>
      <c r="Q67" s="1">
        <v>600</v>
      </c>
      <c r="R67" s="23"/>
      <c r="S67" s="1"/>
      <c r="T67" s="1"/>
      <c r="U67" s="1"/>
      <c r="V67" s="1"/>
      <c r="W67" s="1"/>
      <c r="X67" s="1">
        <f t="shared" si="13"/>
        <v>45.6</v>
      </c>
      <c r="Y67" s="5">
        <v>0</v>
      </c>
      <c r="Z67" s="5">
        <f>Y67</f>
        <v>0</v>
      </c>
      <c r="AA67" s="5">
        <f t="shared" si="14"/>
        <v>0</v>
      </c>
      <c r="AB67" s="5"/>
      <c r="AC67" s="1"/>
      <c r="AD67" s="1">
        <f t="shared" si="10"/>
        <v>17.390350877192983</v>
      </c>
      <c r="AE67" s="1">
        <f t="shared" si="15"/>
        <v>4.2324561403508767</v>
      </c>
      <c r="AF67" s="1">
        <v>95.8</v>
      </c>
      <c r="AG67" s="1">
        <v>80.400000000000006</v>
      </c>
      <c r="AH67" s="1">
        <v>83.4</v>
      </c>
      <c r="AI67" s="1">
        <v>95.6</v>
      </c>
      <c r="AJ67" s="1">
        <v>103.6</v>
      </c>
      <c r="AK67" s="1">
        <v>96.2</v>
      </c>
      <c r="AL67" s="1">
        <v>93</v>
      </c>
      <c r="AM67" s="1">
        <v>100.6</v>
      </c>
      <c r="AN67" s="1"/>
      <c r="AO67" s="1">
        <f t="shared" si="16"/>
        <v>0</v>
      </c>
      <c r="AP67" s="1">
        <f>VLOOKUP(A67,[1]Лист1!$A:$B,2,0)</f>
        <v>0</v>
      </c>
      <c r="AQ67" s="1">
        <f t="shared" si="17"/>
        <v>0</v>
      </c>
    </row>
    <row r="68" spans="1:43" x14ac:dyDescent="0.25">
      <c r="A68" s="1" t="s">
        <v>129</v>
      </c>
      <c r="B68" s="1" t="s">
        <v>47</v>
      </c>
      <c r="C68" s="1">
        <v>106.529</v>
      </c>
      <c r="D68" s="1">
        <v>2.7480000000000002</v>
      </c>
      <c r="E68" s="1">
        <v>85.278000000000006</v>
      </c>
      <c r="F68" s="1">
        <v>8.4320000000000004</v>
      </c>
      <c r="G68" s="7">
        <v>1</v>
      </c>
      <c r="H68" s="1">
        <v>40</v>
      </c>
      <c r="I68" s="1" t="s">
        <v>53</v>
      </c>
      <c r="J68" s="1"/>
      <c r="K68" s="1">
        <v>84.71</v>
      </c>
      <c r="L68" s="1">
        <f t="shared" si="11"/>
        <v>0.56800000000001205</v>
      </c>
      <c r="M68" s="1">
        <f t="shared" si="12"/>
        <v>85.278000000000006</v>
      </c>
      <c r="N68" s="1"/>
      <c r="O68" s="1"/>
      <c r="P68" s="1">
        <v>67.822200000000009</v>
      </c>
      <c r="Q68" s="1"/>
      <c r="R68" s="23"/>
      <c r="S68" s="1"/>
      <c r="T68" s="1"/>
      <c r="U68" s="1"/>
      <c r="V68" s="1"/>
      <c r="W68" s="1"/>
      <c r="X68" s="1">
        <f t="shared" si="13"/>
        <v>17.055600000000002</v>
      </c>
      <c r="Y68" s="5">
        <f>11*X68-W68-U68-S68-P68-O68-F68</f>
        <v>111.3574</v>
      </c>
      <c r="Z68" s="5">
        <f>Y68</f>
        <v>111.3574</v>
      </c>
      <c r="AA68" s="5">
        <f t="shared" si="14"/>
        <v>111.3574</v>
      </c>
      <c r="AB68" s="5"/>
      <c r="AC68" s="1"/>
      <c r="AD68" s="1">
        <f t="shared" si="10"/>
        <v>11</v>
      </c>
      <c r="AE68" s="1">
        <f t="shared" si="15"/>
        <v>4.4709186425572831</v>
      </c>
      <c r="AF68" s="1">
        <v>11.9252</v>
      </c>
      <c r="AG68" s="1">
        <v>7.8718000000000004</v>
      </c>
      <c r="AH68" s="1">
        <v>7.6943999999999999</v>
      </c>
      <c r="AI68" s="1">
        <v>8.5982000000000003</v>
      </c>
      <c r="AJ68" s="1">
        <v>10.3788</v>
      </c>
      <c r="AK68" s="1">
        <v>10.9048</v>
      </c>
      <c r="AL68" s="1">
        <v>10.0128</v>
      </c>
      <c r="AM68" s="1">
        <v>18.179400000000001</v>
      </c>
      <c r="AN68" s="1"/>
      <c r="AO68" s="1">
        <f t="shared" si="16"/>
        <v>111</v>
      </c>
      <c r="AP68" s="1">
        <f>VLOOKUP(A68,[1]Лист1!$A:$B,2,0)</f>
        <v>111</v>
      </c>
      <c r="AQ68" s="1">
        <f t="shared" si="17"/>
        <v>0</v>
      </c>
    </row>
    <row r="69" spans="1:43" x14ac:dyDescent="0.25">
      <c r="A69" s="1" t="s">
        <v>130</v>
      </c>
      <c r="B69" s="1" t="s">
        <v>47</v>
      </c>
      <c r="C69" s="1">
        <v>82.344999999999999</v>
      </c>
      <c r="D69" s="1">
        <v>97.69</v>
      </c>
      <c r="E69" s="1">
        <v>102.08199999999999</v>
      </c>
      <c r="F69" s="1">
        <v>60.774999999999999</v>
      </c>
      <c r="G69" s="7">
        <v>1</v>
      </c>
      <c r="H69" s="1">
        <v>40</v>
      </c>
      <c r="I69" s="1" t="s">
        <v>53</v>
      </c>
      <c r="J69" s="1"/>
      <c r="K69" s="1">
        <v>120.31</v>
      </c>
      <c r="L69" s="1">
        <f t="shared" si="11"/>
        <v>-18.228000000000009</v>
      </c>
      <c r="M69" s="1">
        <f t="shared" si="12"/>
        <v>102.08199999999999</v>
      </c>
      <c r="N69" s="1"/>
      <c r="O69" s="1"/>
      <c r="P69" s="1">
        <v>133.93400000000011</v>
      </c>
      <c r="Q69" s="1"/>
      <c r="R69" s="23"/>
      <c r="S69" s="1"/>
      <c r="T69" s="1"/>
      <c r="U69" s="1"/>
      <c r="V69" s="1"/>
      <c r="W69" s="1"/>
      <c r="X69" s="1">
        <f t="shared" si="13"/>
        <v>20.416399999999999</v>
      </c>
      <c r="Y69" s="5">
        <f>11.5*X69-W69-U69-S69-P69-O69-F69</f>
        <v>40.079599999999893</v>
      </c>
      <c r="Z69" s="5">
        <f>Y69</f>
        <v>40.079599999999893</v>
      </c>
      <c r="AA69" s="5">
        <f t="shared" si="14"/>
        <v>40.079599999999893</v>
      </c>
      <c r="AB69" s="5"/>
      <c r="AC69" s="1"/>
      <c r="AD69" s="1">
        <f t="shared" si="10"/>
        <v>11.5</v>
      </c>
      <c r="AE69" s="1">
        <f t="shared" si="15"/>
        <v>9.5368919104249592</v>
      </c>
      <c r="AF69" s="1">
        <v>21.869800000000001</v>
      </c>
      <c r="AG69" s="1">
        <v>14.438000000000001</v>
      </c>
      <c r="AH69" s="1">
        <v>14.6104</v>
      </c>
      <c r="AI69" s="1">
        <v>11.178800000000001</v>
      </c>
      <c r="AJ69" s="1">
        <v>12.990399999999999</v>
      </c>
      <c r="AK69" s="1">
        <v>13.3424</v>
      </c>
      <c r="AL69" s="1">
        <v>17.515799999999999</v>
      </c>
      <c r="AM69" s="1">
        <v>14.6234</v>
      </c>
      <c r="AN69" s="1"/>
      <c r="AO69" s="1">
        <f t="shared" si="16"/>
        <v>40</v>
      </c>
      <c r="AP69" s="1">
        <f>VLOOKUP(A69,[1]Лист1!$A:$B,2,0)</f>
        <v>40</v>
      </c>
      <c r="AQ69" s="1">
        <f t="shared" si="17"/>
        <v>0</v>
      </c>
    </row>
    <row r="70" spans="1:43" x14ac:dyDescent="0.25">
      <c r="A70" s="1" t="s">
        <v>131</v>
      </c>
      <c r="B70" s="1" t="s">
        <v>47</v>
      </c>
      <c r="C70" s="1">
        <v>415.44400000000002</v>
      </c>
      <c r="D70" s="1">
        <v>1408.941</v>
      </c>
      <c r="E70" s="1">
        <v>533.14</v>
      </c>
      <c r="F70" s="1">
        <v>1206.7339999999999</v>
      </c>
      <c r="G70" s="7">
        <v>1</v>
      </c>
      <c r="H70" s="1">
        <v>40</v>
      </c>
      <c r="I70" s="1" t="s">
        <v>48</v>
      </c>
      <c r="J70" s="1"/>
      <c r="K70" s="1">
        <v>520.80999999999995</v>
      </c>
      <c r="L70" s="1">
        <f t="shared" ref="L70:L101" si="20">E70-K70</f>
        <v>12.330000000000041</v>
      </c>
      <c r="M70" s="1">
        <f t="shared" ref="M70:M101" si="21">E70-N70</f>
        <v>533.14</v>
      </c>
      <c r="N70" s="1"/>
      <c r="O70" s="1"/>
      <c r="P70" s="1">
        <v>0</v>
      </c>
      <c r="Q70" s="1"/>
      <c r="R70" s="23"/>
      <c r="S70" s="1"/>
      <c r="T70" s="1"/>
      <c r="U70" s="1"/>
      <c r="V70" s="1"/>
      <c r="W70" s="1"/>
      <c r="X70" s="1">
        <f t="shared" ref="X70:X101" si="22">M70/5</f>
        <v>106.628</v>
      </c>
      <c r="Y70" s="5">
        <f>11.5*X70-W70-U70-S70-P70-O70-F70</f>
        <v>19.488000000000056</v>
      </c>
      <c r="Z70" s="5">
        <f>Y70+$Z$1*X70</f>
        <v>95.19388000000005</v>
      </c>
      <c r="AA70" s="5">
        <f t="shared" ref="AA70:AA101" si="23">Z70-AB70</f>
        <v>95.19388000000005</v>
      </c>
      <c r="AB70" s="5"/>
      <c r="AC70" s="1"/>
      <c r="AD70" s="1">
        <f t="shared" si="10"/>
        <v>12.209999999999999</v>
      </c>
      <c r="AE70" s="1">
        <f t="shared" ref="AE70:AE101" si="24">(F70+O70+P70+S70+U70+W70)/X70</f>
        <v>11.317233747233372</v>
      </c>
      <c r="AF70" s="1">
        <v>119.44499999999999</v>
      </c>
      <c r="AG70" s="1">
        <v>150.35599999999999</v>
      </c>
      <c r="AH70" s="1">
        <v>156.10319999999999</v>
      </c>
      <c r="AI70" s="1">
        <v>121.55540000000001</v>
      </c>
      <c r="AJ70" s="1">
        <v>176.9426</v>
      </c>
      <c r="AK70" s="1">
        <v>160.39500000000001</v>
      </c>
      <c r="AL70" s="1">
        <v>105.7924</v>
      </c>
      <c r="AM70" s="1">
        <v>94.529399999999995</v>
      </c>
      <c r="AN70" s="1"/>
      <c r="AO70" s="1">
        <f t="shared" ref="AO70:AO101" si="25">ROUND(G70*AA70,0)</f>
        <v>95</v>
      </c>
      <c r="AP70" s="1">
        <f>VLOOKUP(A70,[1]Лист1!$A:$B,2,0)</f>
        <v>95</v>
      </c>
      <c r="AQ70" s="1">
        <f t="shared" ref="AQ70:AQ101" si="26">ROUND(G70*AB70,0)</f>
        <v>0</v>
      </c>
    </row>
    <row r="71" spans="1:43" x14ac:dyDescent="0.25">
      <c r="A71" s="1" t="s">
        <v>132</v>
      </c>
      <c r="B71" s="1" t="s">
        <v>47</v>
      </c>
      <c r="C71" s="1">
        <v>9.2370000000000001</v>
      </c>
      <c r="D71" s="1">
        <v>108.52200000000001</v>
      </c>
      <c r="E71" s="1">
        <v>52.655000000000001</v>
      </c>
      <c r="F71" s="1">
        <v>22.303999999999998</v>
      </c>
      <c r="G71" s="7">
        <v>1</v>
      </c>
      <c r="H71" s="1">
        <v>40</v>
      </c>
      <c r="I71" s="1" t="s">
        <v>53</v>
      </c>
      <c r="J71" s="1"/>
      <c r="K71" s="1">
        <v>51.71</v>
      </c>
      <c r="L71" s="1">
        <f t="shared" si="20"/>
        <v>0.94500000000000028</v>
      </c>
      <c r="M71" s="1">
        <f t="shared" si="21"/>
        <v>52.655000000000001</v>
      </c>
      <c r="N71" s="1"/>
      <c r="O71" s="1"/>
      <c r="P71" s="1">
        <v>20.392199999999988</v>
      </c>
      <c r="Q71" s="1"/>
      <c r="R71" s="23"/>
      <c r="S71" s="1"/>
      <c r="T71" s="1"/>
      <c r="U71" s="1"/>
      <c r="V71" s="1"/>
      <c r="W71" s="1"/>
      <c r="X71" s="1">
        <f t="shared" si="22"/>
        <v>10.531000000000001</v>
      </c>
      <c r="Y71" s="5">
        <f>11*X71-W71-U71-S71-P71-O71-F71</f>
        <v>73.144800000000018</v>
      </c>
      <c r="Z71" s="5">
        <f>Y71</f>
        <v>73.144800000000018</v>
      </c>
      <c r="AA71" s="5">
        <f t="shared" si="23"/>
        <v>73.144800000000018</v>
      </c>
      <c r="AB71" s="5"/>
      <c r="AC71" s="1"/>
      <c r="AD71" s="1">
        <f t="shared" ref="AD71:AD134" si="27">(F71+O71+P71+S71+U71+W71+Z71+Q71+T71+R71+V71)/X71</f>
        <v>11</v>
      </c>
      <c r="AE71" s="1">
        <f t="shared" si="24"/>
        <v>4.0543348210046517</v>
      </c>
      <c r="AF71" s="1">
        <v>10.1662</v>
      </c>
      <c r="AG71" s="1">
        <v>7.0498000000000003</v>
      </c>
      <c r="AH71" s="1">
        <v>8.1069999999999993</v>
      </c>
      <c r="AI71" s="1">
        <v>10.646599999999999</v>
      </c>
      <c r="AJ71" s="1">
        <v>11.2418</v>
      </c>
      <c r="AK71" s="1">
        <v>12.716799999999999</v>
      </c>
      <c r="AL71" s="1">
        <v>8.7721999999999998</v>
      </c>
      <c r="AM71" s="1">
        <v>8.0261999999999993</v>
      </c>
      <c r="AN71" s="1"/>
      <c r="AO71" s="1">
        <f t="shared" si="25"/>
        <v>73</v>
      </c>
      <c r="AP71" s="1">
        <f>VLOOKUP(A71,[1]Лист1!$A:$B,2,0)</f>
        <v>73</v>
      </c>
      <c r="AQ71" s="1">
        <f t="shared" si="26"/>
        <v>0</v>
      </c>
    </row>
    <row r="72" spans="1:43" x14ac:dyDescent="0.25">
      <c r="A72" s="9" t="s">
        <v>133</v>
      </c>
      <c r="B72" s="9" t="s">
        <v>52</v>
      </c>
      <c r="C72" s="9"/>
      <c r="D72" s="9"/>
      <c r="E72" s="9"/>
      <c r="F72" s="9"/>
      <c r="G72" s="10">
        <v>0</v>
      </c>
      <c r="H72" s="9"/>
      <c r="I72" s="9" t="s">
        <v>53</v>
      </c>
      <c r="J72" s="9"/>
      <c r="K72" s="9"/>
      <c r="L72" s="9">
        <f t="shared" si="20"/>
        <v>0</v>
      </c>
      <c r="M72" s="9">
        <f t="shared" si="21"/>
        <v>0</v>
      </c>
      <c r="N72" s="9"/>
      <c r="O72" s="9"/>
      <c r="P72" s="9">
        <v>0</v>
      </c>
      <c r="Q72" s="9"/>
      <c r="R72" s="25"/>
      <c r="S72" s="9"/>
      <c r="T72" s="9"/>
      <c r="U72" s="9"/>
      <c r="V72" s="9"/>
      <c r="W72" s="9"/>
      <c r="X72" s="9">
        <f t="shared" si="22"/>
        <v>0</v>
      </c>
      <c r="Y72" s="11"/>
      <c r="Z72" s="5">
        <f>Y72</f>
        <v>0</v>
      </c>
      <c r="AA72" s="5">
        <f t="shared" si="23"/>
        <v>0</v>
      </c>
      <c r="AB72" s="5"/>
      <c r="AC72" s="9"/>
      <c r="AD72" s="1" t="e">
        <f t="shared" si="27"/>
        <v>#DIV/0!</v>
      </c>
      <c r="AE72" s="9" t="e">
        <f t="shared" si="24"/>
        <v>#DIV/0!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 t="s">
        <v>71</v>
      </c>
      <c r="AO72" s="1">
        <f t="shared" si="25"/>
        <v>0</v>
      </c>
      <c r="AP72" s="1">
        <f>VLOOKUP(A72,[1]Лист1!$A:$B,2,0)</f>
        <v>0</v>
      </c>
      <c r="AQ72" s="1">
        <f t="shared" si="26"/>
        <v>0</v>
      </c>
    </row>
    <row r="73" spans="1:43" x14ac:dyDescent="0.25">
      <c r="A73" s="1" t="s">
        <v>134</v>
      </c>
      <c r="B73" s="1" t="s">
        <v>47</v>
      </c>
      <c r="C73" s="1">
        <v>114.48399999999999</v>
      </c>
      <c r="D73" s="1">
        <v>950.726</v>
      </c>
      <c r="E73" s="1">
        <v>566.721</v>
      </c>
      <c r="F73" s="1">
        <v>392.75099999999998</v>
      </c>
      <c r="G73" s="7">
        <v>1</v>
      </c>
      <c r="H73" s="1">
        <v>30</v>
      </c>
      <c r="I73" s="1" t="s">
        <v>53</v>
      </c>
      <c r="J73" s="1"/>
      <c r="K73" s="1">
        <v>623.79999999999995</v>
      </c>
      <c r="L73" s="1">
        <f t="shared" si="20"/>
        <v>-57.078999999999951</v>
      </c>
      <c r="M73" s="1">
        <f t="shared" si="21"/>
        <v>566.721</v>
      </c>
      <c r="N73" s="1"/>
      <c r="O73" s="1"/>
      <c r="P73" s="1">
        <v>119.3578000000001</v>
      </c>
      <c r="Q73" s="1"/>
      <c r="R73" s="23"/>
      <c r="S73" s="1"/>
      <c r="T73" s="1"/>
      <c r="U73" s="1"/>
      <c r="V73" s="1"/>
      <c r="W73" s="1"/>
      <c r="X73" s="1">
        <f t="shared" si="22"/>
        <v>113.3442</v>
      </c>
      <c r="Y73" s="5">
        <f>11.5*X73-W73-U73-S73-P73-O73-F73</f>
        <v>791.34950000000003</v>
      </c>
      <c r="Z73" s="5">
        <f>Y73+$Z$1*X73</f>
        <v>871.82388200000003</v>
      </c>
      <c r="AA73" s="5">
        <f t="shared" si="23"/>
        <v>277.23999447599999</v>
      </c>
      <c r="AB73" s="5">
        <f>$AB$1*Z73</f>
        <v>594.58388752400003</v>
      </c>
      <c r="AC73" s="1"/>
      <c r="AD73" s="1">
        <f t="shared" si="27"/>
        <v>12.21</v>
      </c>
      <c r="AE73" s="1">
        <f t="shared" si="24"/>
        <v>4.5181738456842089</v>
      </c>
      <c r="AF73" s="1">
        <v>77.829800000000006</v>
      </c>
      <c r="AG73" s="1">
        <v>48.958399999999997</v>
      </c>
      <c r="AH73" s="1">
        <v>62.925199999999997</v>
      </c>
      <c r="AI73" s="1">
        <v>91.303799999999995</v>
      </c>
      <c r="AJ73" s="1">
        <v>116.23739999999999</v>
      </c>
      <c r="AK73" s="1">
        <v>91.614599999999996</v>
      </c>
      <c r="AL73" s="1">
        <v>122.62739999999999</v>
      </c>
      <c r="AM73" s="1">
        <v>181.6866</v>
      </c>
      <c r="AN73" s="1"/>
      <c r="AO73" s="1">
        <f t="shared" si="25"/>
        <v>277</v>
      </c>
      <c r="AP73" s="1">
        <f>VLOOKUP(A73,[1]Лист1!$A:$B,2,0)</f>
        <v>277</v>
      </c>
      <c r="AQ73" s="1">
        <f t="shared" si="26"/>
        <v>595</v>
      </c>
    </row>
    <row r="74" spans="1:43" x14ac:dyDescent="0.25">
      <c r="A74" s="1" t="s">
        <v>135</v>
      </c>
      <c r="B74" s="1" t="s">
        <v>52</v>
      </c>
      <c r="C74" s="1">
        <v>286</v>
      </c>
      <c r="D74" s="1">
        <v>658</v>
      </c>
      <c r="E74" s="1">
        <v>724</v>
      </c>
      <c r="F74" s="1">
        <v>41</v>
      </c>
      <c r="G74" s="7">
        <v>0.6</v>
      </c>
      <c r="H74" s="1">
        <v>60</v>
      </c>
      <c r="I74" s="1" t="s">
        <v>53</v>
      </c>
      <c r="J74" s="1"/>
      <c r="K74" s="1">
        <v>893</v>
      </c>
      <c r="L74" s="1">
        <f t="shared" si="20"/>
        <v>-169</v>
      </c>
      <c r="M74" s="1">
        <f t="shared" si="21"/>
        <v>724</v>
      </c>
      <c r="N74" s="1"/>
      <c r="O74" s="1"/>
      <c r="P74" s="1">
        <v>272.8</v>
      </c>
      <c r="Q74" s="1"/>
      <c r="R74" s="23"/>
      <c r="S74" s="1"/>
      <c r="T74" s="1"/>
      <c r="U74" s="1">
        <v>500</v>
      </c>
      <c r="V74" s="1"/>
      <c r="W74" s="1"/>
      <c r="X74" s="1">
        <f t="shared" si="22"/>
        <v>144.80000000000001</v>
      </c>
      <c r="Y74" s="5">
        <f>11.5*X74-W74-U74-S74-P74-O74-F74</f>
        <v>851.40000000000009</v>
      </c>
      <c r="Z74" s="5">
        <f>Y74+$Z$1*X74</f>
        <v>954.20800000000008</v>
      </c>
      <c r="AA74" s="5">
        <f t="shared" si="23"/>
        <v>303.43814399999997</v>
      </c>
      <c r="AB74" s="5">
        <f>$AB$1*Z74</f>
        <v>650.76985600000012</v>
      </c>
      <c r="AC74" s="1"/>
      <c r="AD74" s="1">
        <f t="shared" si="27"/>
        <v>12.209999999999999</v>
      </c>
      <c r="AE74" s="1">
        <f t="shared" si="24"/>
        <v>5.6201657458563528</v>
      </c>
      <c r="AF74" s="1">
        <v>132.19999999999999</v>
      </c>
      <c r="AG74" s="1">
        <v>65.599999999999994</v>
      </c>
      <c r="AH74" s="1">
        <v>71</v>
      </c>
      <c r="AI74" s="1">
        <v>74</v>
      </c>
      <c r="AJ74" s="1">
        <v>122</v>
      </c>
      <c r="AK74" s="1">
        <v>127.6</v>
      </c>
      <c r="AL74" s="1">
        <v>96.2</v>
      </c>
      <c r="AM74" s="1">
        <v>82</v>
      </c>
      <c r="AN74" s="1"/>
      <c r="AO74" s="1">
        <f t="shared" si="25"/>
        <v>182</v>
      </c>
      <c r="AP74" s="1">
        <f>VLOOKUP(A74,[1]Лист1!$A:$B,2,0)</f>
        <v>182</v>
      </c>
      <c r="AQ74" s="1">
        <f t="shared" si="26"/>
        <v>390</v>
      </c>
    </row>
    <row r="75" spans="1:43" x14ac:dyDescent="0.25">
      <c r="A75" s="1" t="s">
        <v>136</v>
      </c>
      <c r="B75" s="1" t="s">
        <v>52</v>
      </c>
      <c r="C75" s="1">
        <v>178</v>
      </c>
      <c r="D75" s="1">
        <v>654</v>
      </c>
      <c r="E75" s="1">
        <v>626</v>
      </c>
      <c r="F75" s="1">
        <v>49</v>
      </c>
      <c r="G75" s="7">
        <v>0.6</v>
      </c>
      <c r="H75" s="1">
        <v>60</v>
      </c>
      <c r="I75" s="1" t="s">
        <v>53</v>
      </c>
      <c r="J75" s="1"/>
      <c r="K75" s="1">
        <v>672</v>
      </c>
      <c r="L75" s="1">
        <f t="shared" si="20"/>
        <v>-46</v>
      </c>
      <c r="M75" s="1">
        <f t="shared" si="21"/>
        <v>626</v>
      </c>
      <c r="N75" s="1"/>
      <c r="O75" s="1"/>
      <c r="P75" s="1">
        <v>384.05599999999981</v>
      </c>
      <c r="Q75" s="1"/>
      <c r="R75" s="23"/>
      <c r="S75" s="1"/>
      <c r="T75" s="1"/>
      <c r="U75" s="1">
        <v>300</v>
      </c>
      <c r="V75" s="1"/>
      <c r="W75" s="1"/>
      <c r="X75" s="1">
        <f t="shared" si="22"/>
        <v>125.2</v>
      </c>
      <c r="Y75" s="5">
        <f>11.5*X75-W75-U75-S75-P75-O75-F75</f>
        <v>706.74400000000014</v>
      </c>
      <c r="Z75" s="5">
        <f>Y75+$Z$1*X75</f>
        <v>795.63600000000019</v>
      </c>
      <c r="AA75" s="5">
        <f t="shared" si="23"/>
        <v>253.012248</v>
      </c>
      <c r="AB75" s="5">
        <f>$AB$1*Z75</f>
        <v>542.6237520000002</v>
      </c>
      <c r="AC75" s="1"/>
      <c r="AD75" s="1">
        <f t="shared" si="27"/>
        <v>12.209999999999999</v>
      </c>
      <c r="AE75" s="1">
        <f t="shared" si="24"/>
        <v>5.8550798722044712</v>
      </c>
      <c r="AF75" s="1">
        <v>118.6</v>
      </c>
      <c r="AG75" s="1">
        <v>74.400000000000006</v>
      </c>
      <c r="AH75" s="1">
        <v>64.8</v>
      </c>
      <c r="AI75" s="1">
        <v>68.599999999999994</v>
      </c>
      <c r="AJ75" s="1">
        <v>104.6</v>
      </c>
      <c r="AK75" s="1">
        <v>112.2</v>
      </c>
      <c r="AL75" s="1">
        <v>95.2</v>
      </c>
      <c r="AM75" s="1">
        <v>77.400000000000006</v>
      </c>
      <c r="AN75" s="1"/>
      <c r="AO75" s="1">
        <f t="shared" si="25"/>
        <v>152</v>
      </c>
      <c r="AP75" s="1">
        <f>VLOOKUP(A75,[1]Лист1!$A:$B,2,0)</f>
        <v>152</v>
      </c>
      <c r="AQ75" s="1">
        <f t="shared" si="26"/>
        <v>326</v>
      </c>
    </row>
    <row r="76" spans="1:43" x14ac:dyDescent="0.25">
      <c r="A76" s="9" t="s">
        <v>137</v>
      </c>
      <c r="B76" s="9" t="s">
        <v>52</v>
      </c>
      <c r="C76" s="9"/>
      <c r="D76" s="9"/>
      <c r="E76" s="9"/>
      <c r="F76" s="9"/>
      <c r="G76" s="10">
        <v>0</v>
      </c>
      <c r="H76" s="9"/>
      <c r="I76" s="9" t="s">
        <v>53</v>
      </c>
      <c r="J76" s="9"/>
      <c r="K76" s="9"/>
      <c r="L76" s="9">
        <f t="shared" si="20"/>
        <v>0</v>
      </c>
      <c r="M76" s="9">
        <f t="shared" si="21"/>
        <v>0</v>
      </c>
      <c r="N76" s="9"/>
      <c r="O76" s="9"/>
      <c r="P76" s="9">
        <v>0</v>
      </c>
      <c r="Q76" s="9"/>
      <c r="R76" s="25"/>
      <c r="S76" s="9"/>
      <c r="T76" s="9"/>
      <c r="U76" s="9"/>
      <c r="V76" s="9"/>
      <c r="W76" s="9"/>
      <c r="X76" s="9">
        <f t="shared" si="22"/>
        <v>0</v>
      </c>
      <c r="Y76" s="11"/>
      <c r="Z76" s="5">
        <f t="shared" ref="Z76:Z87" si="28">Y76</f>
        <v>0</v>
      </c>
      <c r="AA76" s="5">
        <f t="shared" si="23"/>
        <v>0</v>
      </c>
      <c r="AB76" s="5"/>
      <c r="AC76" s="9"/>
      <c r="AD76" s="1" t="e">
        <f t="shared" si="27"/>
        <v>#DIV/0!</v>
      </c>
      <c r="AE76" s="9" t="e">
        <f t="shared" si="24"/>
        <v>#DIV/0!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 t="s">
        <v>71</v>
      </c>
      <c r="AO76" s="1">
        <f t="shared" si="25"/>
        <v>0</v>
      </c>
      <c r="AP76" s="1">
        <f>VLOOKUP(A76,[1]Лист1!$A:$B,2,0)</f>
        <v>0</v>
      </c>
      <c r="AQ76" s="1">
        <f t="shared" si="26"/>
        <v>0</v>
      </c>
    </row>
    <row r="77" spans="1:43" x14ac:dyDescent="0.25">
      <c r="A77" s="9" t="s">
        <v>138</v>
      </c>
      <c r="B77" s="9" t="s">
        <v>52</v>
      </c>
      <c r="C77" s="9"/>
      <c r="D77" s="9">
        <v>2</v>
      </c>
      <c r="E77" s="9"/>
      <c r="F77" s="9">
        <v>2</v>
      </c>
      <c r="G77" s="10">
        <v>0</v>
      </c>
      <c r="H77" s="9"/>
      <c r="I77" s="9" t="s">
        <v>53</v>
      </c>
      <c r="J77" s="9"/>
      <c r="K77" s="9">
        <v>2</v>
      </c>
      <c r="L77" s="9">
        <f t="shared" si="20"/>
        <v>-2</v>
      </c>
      <c r="M77" s="9">
        <f t="shared" si="21"/>
        <v>0</v>
      </c>
      <c r="N77" s="9"/>
      <c r="O77" s="9"/>
      <c r="P77" s="9">
        <v>0</v>
      </c>
      <c r="Q77" s="9"/>
      <c r="R77" s="25"/>
      <c r="S77" s="9"/>
      <c r="T77" s="9"/>
      <c r="U77" s="9"/>
      <c r="V77" s="9"/>
      <c r="W77" s="9"/>
      <c r="X77" s="9">
        <f t="shared" si="22"/>
        <v>0</v>
      </c>
      <c r="Y77" s="11"/>
      <c r="Z77" s="5">
        <f t="shared" si="28"/>
        <v>0</v>
      </c>
      <c r="AA77" s="5">
        <f t="shared" si="23"/>
        <v>0</v>
      </c>
      <c r="AB77" s="5"/>
      <c r="AC77" s="9"/>
      <c r="AD77" s="1" t="e">
        <f t="shared" si="27"/>
        <v>#DIV/0!</v>
      </c>
      <c r="AE77" s="9" t="e">
        <f t="shared" si="24"/>
        <v>#DIV/0!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 t="s">
        <v>71</v>
      </c>
      <c r="AO77" s="1">
        <f t="shared" si="25"/>
        <v>0</v>
      </c>
      <c r="AP77" s="1">
        <f>VLOOKUP(A77,[1]Лист1!$A:$B,2,0)</f>
        <v>0</v>
      </c>
      <c r="AQ77" s="1">
        <f t="shared" si="26"/>
        <v>0</v>
      </c>
    </row>
    <row r="78" spans="1:43" x14ac:dyDescent="0.25">
      <c r="A78" s="1" t="s">
        <v>139</v>
      </c>
      <c r="B78" s="1" t="s">
        <v>52</v>
      </c>
      <c r="C78" s="1">
        <v>64</v>
      </c>
      <c r="D78" s="1">
        <v>78</v>
      </c>
      <c r="E78" s="1">
        <v>31</v>
      </c>
      <c r="F78" s="1">
        <v>88</v>
      </c>
      <c r="G78" s="7">
        <v>0.35</v>
      </c>
      <c r="H78" s="1">
        <v>90</v>
      </c>
      <c r="I78" s="1" t="s">
        <v>53</v>
      </c>
      <c r="J78" s="1"/>
      <c r="K78" s="1">
        <v>51</v>
      </c>
      <c r="L78" s="1">
        <f t="shared" si="20"/>
        <v>-20</v>
      </c>
      <c r="M78" s="1">
        <f t="shared" si="21"/>
        <v>31</v>
      </c>
      <c r="N78" s="1"/>
      <c r="O78" s="1"/>
      <c r="P78" s="1">
        <v>0</v>
      </c>
      <c r="Q78" s="1"/>
      <c r="R78" s="23"/>
      <c r="S78" s="1"/>
      <c r="T78" s="1"/>
      <c r="U78" s="1"/>
      <c r="V78" s="1"/>
      <c r="W78" s="1"/>
      <c r="X78" s="1">
        <f t="shared" si="22"/>
        <v>6.2</v>
      </c>
      <c r="Y78" s="5"/>
      <c r="Z78" s="5">
        <f t="shared" si="28"/>
        <v>0</v>
      </c>
      <c r="AA78" s="5">
        <f t="shared" si="23"/>
        <v>0</v>
      </c>
      <c r="AB78" s="5"/>
      <c r="AC78" s="1"/>
      <c r="AD78" s="1">
        <f t="shared" si="27"/>
        <v>14.193548387096774</v>
      </c>
      <c r="AE78" s="1">
        <f t="shared" si="24"/>
        <v>14.193548387096774</v>
      </c>
      <c r="AF78" s="1">
        <v>9.4</v>
      </c>
      <c r="AG78" s="1">
        <v>9.4</v>
      </c>
      <c r="AH78" s="1">
        <v>5.2</v>
      </c>
      <c r="AI78" s="1">
        <v>8.1999999999999993</v>
      </c>
      <c r="AJ78" s="1">
        <v>11.2</v>
      </c>
      <c r="AK78" s="1">
        <v>17.399999999999999</v>
      </c>
      <c r="AL78" s="1">
        <v>13.8</v>
      </c>
      <c r="AM78" s="1">
        <v>7.8</v>
      </c>
      <c r="AN78" s="1"/>
      <c r="AO78" s="1">
        <f t="shared" si="25"/>
        <v>0</v>
      </c>
      <c r="AP78" s="1">
        <f>VLOOKUP(A78,[1]Лист1!$A:$B,2,0)</f>
        <v>0</v>
      </c>
      <c r="AQ78" s="1">
        <f t="shared" si="26"/>
        <v>0</v>
      </c>
    </row>
    <row r="79" spans="1:43" x14ac:dyDescent="0.25">
      <c r="A79" s="1" t="s">
        <v>140</v>
      </c>
      <c r="B79" s="1" t="s">
        <v>52</v>
      </c>
      <c r="C79" s="1">
        <v>170</v>
      </c>
      <c r="D79" s="1">
        <v>202</v>
      </c>
      <c r="E79" s="1">
        <v>144</v>
      </c>
      <c r="F79" s="1">
        <v>208</v>
      </c>
      <c r="G79" s="7">
        <v>0.37</v>
      </c>
      <c r="H79" s="1">
        <v>50</v>
      </c>
      <c r="I79" s="1" t="s">
        <v>53</v>
      </c>
      <c r="J79" s="1"/>
      <c r="K79" s="1">
        <v>181</v>
      </c>
      <c r="L79" s="1">
        <f t="shared" si="20"/>
        <v>-37</v>
      </c>
      <c r="M79" s="1">
        <f t="shared" si="21"/>
        <v>144</v>
      </c>
      <c r="N79" s="1"/>
      <c r="O79" s="1"/>
      <c r="P79" s="1">
        <v>62.560000000000123</v>
      </c>
      <c r="Q79" s="1"/>
      <c r="R79" s="23"/>
      <c r="S79" s="1"/>
      <c r="T79" s="1"/>
      <c r="U79" s="1"/>
      <c r="V79" s="1"/>
      <c r="W79" s="1"/>
      <c r="X79" s="1">
        <f t="shared" si="22"/>
        <v>28.8</v>
      </c>
      <c r="Y79" s="5">
        <f>11.5*X79-W79-U79-S79-P79-O79-F79</f>
        <v>60.639999999999873</v>
      </c>
      <c r="Z79" s="5">
        <f t="shared" si="28"/>
        <v>60.639999999999873</v>
      </c>
      <c r="AA79" s="5">
        <f t="shared" si="23"/>
        <v>60.639999999999873</v>
      </c>
      <c r="AB79" s="5"/>
      <c r="AC79" s="1"/>
      <c r="AD79" s="1">
        <f t="shared" si="27"/>
        <v>11.5</v>
      </c>
      <c r="AE79" s="1">
        <f t="shared" si="24"/>
        <v>9.3944444444444475</v>
      </c>
      <c r="AF79" s="1">
        <v>28.8</v>
      </c>
      <c r="AG79" s="1">
        <v>18.2</v>
      </c>
      <c r="AH79" s="1">
        <v>30.6</v>
      </c>
      <c r="AI79" s="1">
        <v>29</v>
      </c>
      <c r="AJ79" s="1">
        <v>32.200000000000003</v>
      </c>
      <c r="AK79" s="1">
        <v>29.2</v>
      </c>
      <c r="AL79" s="1">
        <v>33</v>
      </c>
      <c r="AM79" s="1">
        <v>30</v>
      </c>
      <c r="AN79" s="1"/>
      <c r="AO79" s="1">
        <f t="shared" si="25"/>
        <v>22</v>
      </c>
      <c r="AP79" s="1">
        <f>VLOOKUP(A79,[1]Лист1!$A:$B,2,0)</f>
        <v>22</v>
      </c>
      <c r="AQ79" s="1">
        <f t="shared" si="26"/>
        <v>0</v>
      </c>
    </row>
    <row r="80" spans="1:43" x14ac:dyDescent="0.25">
      <c r="A80" s="1" t="s">
        <v>141</v>
      </c>
      <c r="B80" s="1" t="s">
        <v>52</v>
      </c>
      <c r="C80" s="1">
        <v>461</v>
      </c>
      <c r="D80" s="1">
        <v>658</v>
      </c>
      <c r="E80" s="1">
        <v>983</v>
      </c>
      <c r="F80" s="1">
        <v>63</v>
      </c>
      <c r="G80" s="7">
        <v>0.6</v>
      </c>
      <c r="H80" s="1">
        <v>70</v>
      </c>
      <c r="I80" s="16" t="s">
        <v>56</v>
      </c>
      <c r="J80" s="1"/>
      <c r="K80" s="1">
        <v>1240</v>
      </c>
      <c r="L80" s="1">
        <f t="shared" si="20"/>
        <v>-257</v>
      </c>
      <c r="M80" s="1">
        <f t="shared" si="21"/>
        <v>983</v>
      </c>
      <c r="N80" s="1"/>
      <c r="O80" s="1"/>
      <c r="P80" s="1">
        <v>100</v>
      </c>
      <c r="Q80" s="1"/>
      <c r="R80" s="23"/>
      <c r="S80" s="1"/>
      <c r="T80" s="1"/>
      <c r="U80" s="1"/>
      <c r="V80" s="1"/>
      <c r="W80" s="1"/>
      <c r="X80" s="1">
        <f t="shared" si="22"/>
        <v>196.6</v>
      </c>
      <c r="Y80" s="5">
        <v>500</v>
      </c>
      <c r="Z80" s="5">
        <f t="shared" si="28"/>
        <v>500</v>
      </c>
      <c r="AA80" s="5">
        <f t="shared" si="23"/>
        <v>159</v>
      </c>
      <c r="AB80" s="5">
        <f>$AB$1*Z80</f>
        <v>341</v>
      </c>
      <c r="AC80" s="1"/>
      <c r="AD80" s="1">
        <f t="shared" si="27"/>
        <v>3.3723296032553409</v>
      </c>
      <c r="AE80" s="1">
        <f t="shared" si="24"/>
        <v>0.82909460834181081</v>
      </c>
      <c r="AF80" s="1">
        <v>134</v>
      </c>
      <c r="AG80" s="1">
        <v>33.200000000000003</v>
      </c>
      <c r="AH80" s="1">
        <v>267.8</v>
      </c>
      <c r="AI80" s="1">
        <v>269</v>
      </c>
      <c r="AJ80" s="1">
        <v>267.2</v>
      </c>
      <c r="AK80" s="1">
        <v>46.4</v>
      </c>
      <c r="AL80" s="1">
        <v>45.849400000000003</v>
      </c>
      <c r="AM80" s="1">
        <v>42.6494</v>
      </c>
      <c r="AN80" s="1" t="s">
        <v>142</v>
      </c>
      <c r="AO80" s="1">
        <f t="shared" si="25"/>
        <v>95</v>
      </c>
      <c r="AP80" s="1">
        <f>VLOOKUP(A80,[1]Лист1!$A:$B,2,0)</f>
        <v>95</v>
      </c>
      <c r="AQ80" s="1">
        <f t="shared" si="26"/>
        <v>205</v>
      </c>
    </row>
    <row r="81" spans="1:43" x14ac:dyDescent="0.25">
      <c r="A81" s="1" t="s">
        <v>143</v>
      </c>
      <c r="B81" s="1" t="s">
        <v>52</v>
      </c>
      <c r="C81" s="1">
        <v>-75</v>
      </c>
      <c r="D81" s="1">
        <v>586</v>
      </c>
      <c r="E81" s="1">
        <v>332</v>
      </c>
      <c r="F81" s="1">
        <v>37</v>
      </c>
      <c r="G81" s="7">
        <v>0.33</v>
      </c>
      <c r="H81" s="1">
        <v>40</v>
      </c>
      <c r="I81" s="1" t="s">
        <v>53</v>
      </c>
      <c r="J81" s="1"/>
      <c r="K81" s="1">
        <v>404</v>
      </c>
      <c r="L81" s="1">
        <f t="shared" si="20"/>
        <v>-72</v>
      </c>
      <c r="M81" s="1">
        <f t="shared" si="21"/>
        <v>332</v>
      </c>
      <c r="N81" s="1"/>
      <c r="O81" s="1"/>
      <c r="P81" s="1">
        <v>132.13999999999999</v>
      </c>
      <c r="Q81" s="1"/>
      <c r="R81" s="23"/>
      <c r="S81" s="1"/>
      <c r="T81" s="1"/>
      <c r="U81" s="1">
        <v>100</v>
      </c>
      <c r="V81" s="1">
        <v>-101.99999999999999</v>
      </c>
      <c r="W81" s="1"/>
      <c r="X81" s="1">
        <f t="shared" si="22"/>
        <v>66.400000000000006</v>
      </c>
      <c r="Y81" s="5">
        <f>10*X81-W81-U81-S81-P81-O81-F81</f>
        <v>394.86</v>
      </c>
      <c r="Z81" s="5">
        <f t="shared" si="28"/>
        <v>394.86</v>
      </c>
      <c r="AA81" s="5">
        <f t="shared" si="23"/>
        <v>394.86</v>
      </c>
      <c r="AB81" s="5"/>
      <c r="AC81" s="1"/>
      <c r="AD81" s="1">
        <f t="shared" si="27"/>
        <v>8.4638554216867465</v>
      </c>
      <c r="AE81" s="1">
        <f t="shared" si="24"/>
        <v>4.0533132530120479</v>
      </c>
      <c r="AF81" s="1">
        <v>43.8</v>
      </c>
      <c r="AG81" s="1">
        <v>14</v>
      </c>
      <c r="AH81" s="1">
        <v>35.4</v>
      </c>
      <c r="AI81" s="1">
        <v>34.799999999999997</v>
      </c>
      <c r="AJ81" s="1">
        <v>35.6</v>
      </c>
      <c r="AK81" s="1">
        <v>19.8</v>
      </c>
      <c r="AL81" s="1">
        <v>12.8</v>
      </c>
      <c r="AM81" s="1">
        <v>23.4</v>
      </c>
      <c r="AN81" s="1"/>
      <c r="AO81" s="1">
        <f t="shared" si="25"/>
        <v>130</v>
      </c>
      <c r="AP81" s="1">
        <f>VLOOKUP(A81,[1]Лист1!$A:$B,2,0)</f>
        <v>130</v>
      </c>
      <c r="AQ81" s="1">
        <f t="shared" si="26"/>
        <v>0</v>
      </c>
    </row>
    <row r="82" spans="1:43" x14ac:dyDescent="0.25">
      <c r="A82" s="1" t="s">
        <v>145</v>
      </c>
      <c r="B82" s="1" t="s">
        <v>52</v>
      </c>
      <c r="C82" s="1">
        <v>135</v>
      </c>
      <c r="D82" s="1">
        <v>9</v>
      </c>
      <c r="E82" s="1">
        <v>61</v>
      </c>
      <c r="F82" s="1">
        <v>77</v>
      </c>
      <c r="G82" s="7">
        <v>0.4</v>
      </c>
      <c r="H82" s="1">
        <v>55</v>
      </c>
      <c r="I82" s="1" t="s">
        <v>53</v>
      </c>
      <c r="J82" s="1"/>
      <c r="K82" s="1">
        <v>66</v>
      </c>
      <c r="L82" s="1">
        <f t="shared" si="20"/>
        <v>-5</v>
      </c>
      <c r="M82" s="1">
        <f t="shared" si="21"/>
        <v>61</v>
      </c>
      <c r="N82" s="1"/>
      <c r="O82" s="1"/>
      <c r="P82" s="1">
        <v>0</v>
      </c>
      <c r="Q82" s="1"/>
      <c r="R82" s="23"/>
      <c r="S82" s="1"/>
      <c r="T82" s="1"/>
      <c r="U82" s="1"/>
      <c r="V82" s="1"/>
      <c r="W82" s="1"/>
      <c r="X82" s="1">
        <f t="shared" si="22"/>
        <v>12.2</v>
      </c>
      <c r="Y82" s="5">
        <f>11.5*X82-W82-U82-S82-P82-O82-F82</f>
        <v>63.299999999999983</v>
      </c>
      <c r="Z82" s="5">
        <f t="shared" si="28"/>
        <v>63.299999999999983</v>
      </c>
      <c r="AA82" s="5">
        <f t="shared" si="23"/>
        <v>63.299999999999983</v>
      </c>
      <c r="AB82" s="5"/>
      <c r="AC82" s="1"/>
      <c r="AD82" s="1">
        <f t="shared" si="27"/>
        <v>11.5</v>
      </c>
      <c r="AE82" s="1">
        <f t="shared" si="24"/>
        <v>6.3114754098360661</v>
      </c>
      <c r="AF82" s="1">
        <v>8.4</v>
      </c>
      <c r="AG82" s="1">
        <v>8.4</v>
      </c>
      <c r="AH82" s="1">
        <v>12</v>
      </c>
      <c r="AI82" s="1">
        <v>8.4</v>
      </c>
      <c r="AJ82" s="1">
        <v>7.2</v>
      </c>
      <c r="AK82" s="1">
        <v>5.8</v>
      </c>
      <c r="AL82" s="1">
        <v>17.2</v>
      </c>
      <c r="AM82" s="1">
        <v>11.4</v>
      </c>
      <c r="AN82" s="1"/>
      <c r="AO82" s="1">
        <f t="shared" si="25"/>
        <v>25</v>
      </c>
      <c r="AP82" s="1">
        <f>VLOOKUP(A82,[1]Лист1!$A:$B,2,0)</f>
        <v>25</v>
      </c>
      <c r="AQ82" s="1">
        <f t="shared" si="26"/>
        <v>0</v>
      </c>
    </row>
    <row r="83" spans="1:43" x14ac:dyDescent="0.25">
      <c r="A83" s="1" t="s">
        <v>146</v>
      </c>
      <c r="B83" s="1" t="s">
        <v>52</v>
      </c>
      <c r="C83" s="1">
        <v>36</v>
      </c>
      <c r="D83" s="1">
        <v>14</v>
      </c>
      <c r="E83" s="1">
        <v>44</v>
      </c>
      <c r="F83" s="1">
        <v>-7</v>
      </c>
      <c r="G83" s="7">
        <v>0.35</v>
      </c>
      <c r="H83" s="1">
        <v>40</v>
      </c>
      <c r="I83" s="1" t="s">
        <v>53</v>
      </c>
      <c r="J83" s="1"/>
      <c r="K83" s="1">
        <v>88</v>
      </c>
      <c r="L83" s="1">
        <f t="shared" si="20"/>
        <v>-44</v>
      </c>
      <c r="M83" s="1">
        <f t="shared" si="21"/>
        <v>44</v>
      </c>
      <c r="N83" s="1"/>
      <c r="O83" s="1"/>
      <c r="P83" s="1">
        <v>50</v>
      </c>
      <c r="Q83" s="1">
        <v>250</v>
      </c>
      <c r="R83" s="23"/>
      <c r="S83" s="1"/>
      <c r="T83" s="1"/>
      <c r="U83" s="1"/>
      <c r="V83" s="1"/>
      <c r="W83" s="1"/>
      <c r="X83" s="1">
        <f t="shared" si="22"/>
        <v>8.8000000000000007</v>
      </c>
      <c r="Y83" s="5">
        <v>100</v>
      </c>
      <c r="Z83" s="5">
        <f t="shared" si="28"/>
        <v>100</v>
      </c>
      <c r="AA83" s="5">
        <f t="shared" si="23"/>
        <v>100</v>
      </c>
      <c r="AB83" s="5"/>
      <c r="AC83" s="1"/>
      <c r="AD83" s="1">
        <f t="shared" si="27"/>
        <v>44.659090909090907</v>
      </c>
      <c r="AE83" s="1">
        <f t="shared" si="24"/>
        <v>4.8863636363636358</v>
      </c>
      <c r="AF83" s="1">
        <v>26.2</v>
      </c>
      <c r="AG83" s="1">
        <v>35.799999999999997</v>
      </c>
      <c r="AH83" s="1">
        <v>40.6</v>
      </c>
      <c r="AI83" s="1">
        <v>41.6</v>
      </c>
      <c r="AJ83" s="1">
        <v>46.2</v>
      </c>
      <c r="AK83" s="1">
        <v>34.4</v>
      </c>
      <c r="AL83" s="1">
        <v>36.6</v>
      </c>
      <c r="AM83" s="1">
        <v>30</v>
      </c>
      <c r="AN83" s="1"/>
      <c r="AO83" s="1">
        <f t="shared" si="25"/>
        <v>35</v>
      </c>
      <c r="AP83" s="1">
        <f>VLOOKUP(A83,[1]Лист1!$A:$B,2,0)</f>
        <v>35</v>
      </c>
      <c r="AQ83" s="1">
        <f t="shared" si="26"/>
        <v>0</v>
      </c>
    </row>
    <row r="84" spans="1:43" x14ac:dyDescent="0.25">
      <c r="A84" s="1" t="s">
        <v>147</v>
      </c>
      <c r="B84" s="1" t="s">
        <v>52</v>
      </c>
      <c r="C84" s="1">
        <v>83</v>
      </c>
      <c r="D84" s="1">
        <v>504</v>
      </c>
      <c r="E84" s="1">
        <v>83</v>
      </c>
      <c r="F84" s="1">
        <v>185</v>
      </c>
      <c r="G84" s="7">
        <v>0.35</v>
      </c>
      <c r="H84" s="1">
        <v>45</v>
      </c>
      <c r="I84" s="1" t="s">
        <v>53</v>
      </c>
      <c r="J84" s="1"/>
      <c r="K84" s="1">
        <v>381</v>
      </c>
      <c r="L84" s="1">
        <f t="shared" si="20"/>
        <v>-298</v>
      </c>
      <c r="M84" s="1">
        <f t="shared" si="21"/>
        <v>83</v>
      </c>
      <c r="N84" s="1"/>
      <c r="O84" s="1"/>
      <c r="P84" s="1">
        <v>244.12714285714279</v>
      </c>
      <c r="Q84" s="1"/>
      <c r="R84" s="23"/>
      <c r="S84" s="1"/>
      <c r="T84" s="1"/>
      <c r="U84" s="1">
        <v>100</v>
      </c>
      <c r="V84" s="1">
        <v>-102.00000000000001</v>
      </c>
      <c r="W84" s="1"/>
      <c r="X84" s="1">
        <f t="shared" si="22"/>
        <v>16.600000000000001</v>
      </c>
      <c r="Y84" s="5">
        <v>400</v>
      </c>
      <c r="Z84" s="5">
        <f t="shared" si="28"/>
        <v>400</v>
      </c>
      <c r="AA84" s="5">
        <f t="shared" si="23"/>
        <v>400</v>
      </c>
      <c r="AB84" s="5"/>
      <c r="AC84" s="1"/>
      <c r="AD84" s="1">
        <f t="shared" si="27"/>
        <v>49.826936316695345</v>
      </c>
      <c r="AE84" s="1">
        <f t="shared" si="24"/>
        <v>31.87512908777968</v>
      </c>
      <c r="AF84" s="1">
        <v>66.599999999999994</v>
      </c>
      <c r="AG84" s="1">
        <v>83</v>
      </c>
      <c r="AH84" s="1">
        <v>72.599999999999994</v>
      </c>
      <c r="AI84" s="1">
        <v>72.599999999999994</v>
      </c>
      <c r="AJ84" s="1">
        <v>82</v>
      </c>
      <c r="AK84" s="1">
        <v>85</v>
      </c>
      <c r="AL84" s="1">
        <v>80</v>
      </c>
      <c r="AM84" s="1">
        <v>70.599999999999994</v>
      </c>
      <c r="AN84" s="1"/>
      <c r="AO84" s="1">
        <f t="shared" si="25"/>
        <v>140</v>
      </c>
      <c r="AP84" s="1">
        <f>VLOOKUP(A84,[1]Лист1!$A:$B,2,0)</f>
        <v>140</v>
      </c>
      <c r="AQ84" s="1">
        <f t="shared" si="26"/>
        <v>0</v>
      </c>
    </row>
    <row r="85" spans="1:43" x14ac:dyDescent="0.25">
      <c r="A85" s="1" t="s">
        <v>149</v>
      </c>
      <c r="B85" s="1" t="s">
        <v>52</v>
      </c>
      <c r="C85" s="1">
        <v>18</v>
      </c>
      <c r="D85" s="1">
        <v>42</v>
      </c>
      <c r="E85" s="1">
        <v>20</v>
      </c>
      <c r="F85" s="1">
        <v>18</v>
      </c>
      <c r="G85" s="7">
        <v>0.4</v>
      </c>
      <c r="H85" s="1">
        <v>55</v>
      </c>
      <c r="I85" s="1" t="s">
        <v>53</v>
      </c>
      <c r="J85" s="1"/>
      <c r="K85" s="1">
        <v>20</v>
      </c>
      <c r="L85" s="1">
        <f t="shared" si="20"/>
        <v>0</v>
      </c>
      <c r="M85" s="1">
        <f t="shared" si="21"/>
        <v>20</v>
      </c>
      <c r="N85" s="1"/>
      <c r="O85" s="1"/>
      <c r="P85" s="1">
        <v>8</v>
      </c>
      <c r="Q85" s="1"/>
      <c r="R85" s="23"/>
      <c r="S85" s="1"/>
      <c r="T85" s="1"/>
      <c r="U85" s="1"/>
      <c r="V85" s="1"/>
      <c r="W85" s="1"/>
      <c r="X85" s="1">
        <f t="shared" si="22"/>
        <v>4</v>
      </c>
      <c r="Y85" s="5">
        <f>11.5*X85-W85-U85-S85-P85-O85-F85</f>
        <v>20</v>
      </c>
      <c r="Z85" s="5">
        <f t="shared" si="28"/>
        <v>20</v>
      </c>
      <c r="AA85" s="5">
        <f t="shared" si="23"/>
        <v>20</v>
      </c>
      <c r="AB85" s="5"/>
      <c r="AC85" s="1"/>
      <c r="AD85" s="1">
        <f t="shared" si="27"/>
        <v>11.5</v>
      </c>
      <c r="AE85" s="1">
        <f t="shared" si="24"/>
        <v>6.5</v>
      </c>
      <c r="AF85" s="1">
        <v>4</v>
      </c>
      <c r="AG85" s="1">
        <v>0</v>
      </c>
      <c r="AH85" s="1">
        <v>0.2</v>
      </c>
      <c r="AI85" s="1">
        <v>0.2</v>
      </c>
      <c r="AJ85" s="1">
        <v>4.5999999999999996</v>
      </c>
      <c r="AK85" s="1">
        <v>5</v>
      </c>
      <c r="AL85" s="1">
        <v>1</v>
      </c>
      <c r="AM85" s="1">
        <v>0.4</v>
      </c>
      <c r="AN85" s="1"/>
      <c r="AO85" s="1">
        <f t="shared" si="25"/>
        <v>8</v>
      </c>
      <c r="AP85" s="1">
        <f>VLOOKUP(A85,[1]Лист1!$A:$B,2,0)</f>
        <v>8</v>
      </c>
      <c r="AQ85" s="1">
        <f t="shared" si="26"/>
        <v>0</v>
      </c>
    </row>
    <row r="86" spans="1:43" x14ac:dyDescent="0.25">
      <c r="A86" s="1" t="s">
        <v>150</v>
      </c>
      <c r="B86" s="1" t="s">
        <v>47</v>
      </c>
      <c r="C86" s="1">
        <v>53.720999999999997</v>
      </c>
      <c r="D86" s="1">
        <v>1.4470000000000001</v>
      </c>
      <c r="E86" s="1">
        <v>2.89</v>
      </c>
      <c r="F86" s="1">
        <v>50.831000000000003</v>
      </c>
      <c r="G86" s="7">
        <v>1</v>
      </c>
      <c r="H86" s="1">
        <v>55</v>
      </c>
      <c r="I86" s="1" t="s">
        <v>53</v>
      </c>
      <c r="J86" s="1"/>
      <c r="K86" s="1">
        <v>3.9</v>
      </c>
      <c r="L86" s="1">
        <f t="shared" si="20"/>
        <v>-1.0099999999999998</v>
      </c>
      <c r="M86" s="1">
        <f t="shared" si="21"/>
        <v>2.89</v>
      </c>
      <c r="N86" s="1"/>
      <c r="O86" s="1"/>
      <c r="P86" s="1">
        <v>0</v>
      </c>
      <c r="Q86" s="1"/>
      <c r="R86" s="23"/>
      <c r="S86" s="1"/>
      <c r="T86" s="1"/>
      <c r="U86" s="1"/>
      <c r="V86" s="1"/>
      <c r="W86" s="1"/>
      <c r="X86" s="1">
        <f t="shared" si="22"/>
        <v>0.57800000000000007</v>
      </c>
      <c r="Y86" s="5"/>
      <c r="Z86" s="5">
        <f t="shared" si="28"/>
        <v>0</v>
      </c>
      <c r="AA86" s="5">
        <f t="shared" si="23"/>
        <v>0</v>
      </c>
      <c r="AB86" s="5"/>
      <c r="AC86" s="1"/>
      <c r="AD86" s="1">
        <f t="shared" si="27"/>
        <v>87.942906574394456</v>
      </c>
      <c r="AE86" s="1">
        <f t="shared" si="24"/>
        <v>87.942906574394456</v>
      </c>
      <c r="AF86" s="1">
        <v>1.7447999999999999</v>
      </c>
      <c r="AG86" s="1">
        <v>1.7296</v>
      </c>
      <c r="AH86" s="1">
        <v>1.1372</v>
      </c>
      <c r="AI86" s="1">
        <v>1.4352</v>
      </c>
      <c r="AJ86" s="1">
        <v>2.8454000000000002</v>
      </c>
      <c r="AK86" s="1">
        <v>1.7416</v>
      </c>
      <c r="AL86" s="1">
        <v>3.1873999999999998</v>
      </c>
      <c r="AM86" s="1">
        <v>6.8353999999999999</v>
      </c>
      <c r="AN86" s="14" t="s">
        <v>151</v>
      </c>
      <c r="AO86" s="1">
        <f t="shared" si="25"/>
        <v>0</v>
      </c>
      <c r="AP86" s="1">
        <f>VLOOKUP(A86,[1]Лист1!$A:$B,2,0)</f>
        <v>0</v>
      </c>
      <c r="AQ86" s="1">
        <f t="shared" si="26"/>
        <v>0</v>
      </c>
    </row>
    <row r="87" spans="1:43" x14ac:dyDescent="0.25">
      <c r="A87" s="9" t="s">
        <v>152</v>
      </c>
      <c r="B87" s="9" t="s">
        <v>47</v>
      </c>
      <c r="C87" s="9"/>
      <c r="D87" s="9"/>
      <c r="E87" s="9"/>
      <c r="F87" s="9"/>
      <c r="G87" s="10">
        <v>0</v>
      </c>
      <c r="H87" s="9"/>
      <c r="I87" s="9" t="s">
        <v>53</v>
      </c>
      <c r="J87" s="9"/>
      <c r="K87" s="9"/>
      <c r="L87" s="9">
        <f t="shared" si="20"/>
        <v>0</v>
      </c>
      <c r="M87" s="9">
        <f t="shared" si="21"/>
        <v>0</v>
      </c>
      <c r="N87" s="9"/>
      <c r="O87" s="9"/>
      <c r="P87" s="9">
        <v>0</v>
      </c>
      <c r="Q87" s="9"/>
      <c r="R87" s="25"/>
      <c r="S87" s="9"/>
      <c r="T87" s="9"/>
      <c r="U87" s="9"/>
      <c r="V87" s="9"/>
      <c r="W87" s="9"/>
      <c r="X87" s="9">
        <f t="shared" si="22"/>
        <v>0</v>
      </c>
      <c r="Y87" s="11"/>
      <c r="Z87" s="5">
        <f t="shared" si="28"/>
        <v>0</v>
      </c>
      <c r="AA87" s="5">
        <f t="shared" si="23"/>
        <v>0</v>
      </c>
      <c r="AB87" s="5"/>
      <c r="AC87" s="9"/>
      <c r="AD87" s="1" t="e">
        <f t="shared" si="27"/>
        <v>#DIV/0!</v>
      </c>
      <c r="AE87" s="9" t="e">
        <f t="shared" si="24"/>
        <v>#DIV/0!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 t="s">
        <v>71</v>
      </c>
      <c r="AO87" s="1">
        <f t="shared" si="25"/>
        <v>0</v>
      </c>
      <c r="AP87" s="1">
        <f>VLOOKUP(A87,[1]Лист1!$A:$B,2,0)</f>
        <v>0</v>
      </c>
      <c r="AQ87" s="1">
        <f t="shared" si="26"/>
        <v>0</v>
      </c>
    </row>
    <row r="88" spans="1:43" x14ac:dyDescent="0.25">
      <c r="A88" s="1" t="s">
        <v>153</v>
      </c>
      <c r="B88" s="1" t="s">
        <v>47</v>
      </c>
      <c r="C88" s="1">
        <v>1513.7850000000001</v>
      </c>
      <c r="D88" s="1">
        <v>4107.7740000000003</v>
      </c>
      <c r="E88" s="1">
        <v>2936.1779999999999</v>
      </c>
      <c r="F88" s="1">
        <v>1958.299</v>
      </c>
      <c r="G88" s="7">
        <v>1</v>
      </c>
      <c r="H88" s="1">
        <v>60</v>
      </c>
      <c r="I88" s="1" t="s">
        <v>48</v>
      </c>
      <c r="J88" s="1"/>
      <c r="K88" s="1">
        <v>3008.72</v>
      </c>
      <c r="L88" s="1">
        <f t="shared" si="20"/>
        <v>-72.541999999999916</v>
      </c>
      <c r="M88" s="1">
        <f t="shared" si="21"/>
        <v>2731.8579999999997</v>
      </c>
      <c r="N88" s="1">
        <v>204.32</v>
      </c>
      <c r="O88" s="1"/>
      <c r="P88" s="1">
        <v>1445.727508000002</v>
      </c>
      <c r="Q88" s="1"/>
      <c r="R88" s="23"/>
      <c r="S88" s="1"/>
      <c r="T88" s="1"/>
      <c r="U88" s="1">
        <v>2300</v>
      </c>
      <c r="V88" s="1"/>
      <c r="W88" s="1"/>
      <c r="X88" s="1">
        <f t="shared" si="22"/>
        <v>546.37159999999994</v>
      </c>
      <c r="Y88" s="5">
        <f>11.5*X88-W88-U88-S88-P88-O88-F88</f>
        <v>579.24689199999739</v>
      </c>
      <c r="Z88" s="5">
        <f>Y88+$Z$1*X88</f>
        <v>967.17072799999733</v>
      </c>
      <c r="AA88" s="5">
        <f t="shared" si="23"/>
        <v>307.56029150399911</v>
      </c>
      <c r="AB88" s="5">
        <f>$AB$1*Z88</f>
        <v>659.61043649599821</v>
      </c>
      <c r="AC88" s="1"/>
      <c r="AD88" s="1">
        <f t="shared" si="27"/>
        <v>12.209999999999999</v>
      </c>
      <c r="AE88" s="1">
        <f t="shared" si="24"/>
        <v>10.439829793495859</v>
      </c>
      <c r="AF88" s="1">
        <v>631.18540000000007</v>
      </c>
      <c r="AG88" s="1">
        <v>487.42919999999992</v>
      </c>
      <c r="AH88" s="1">
        <v>486.21499999999997</v>
      </c>
      <c r="AI88" s="1">
        <v>545.07420000000002</v>
      </c>
      <c r="AJ88" s="1">
        <v>663.97019999999998</v>
      </c>
      <c r="AK88" s="1">
        <v>653.57219999999995</v>
      </c>
      <c r="AL88" s="1">
        <v>665.99520000000007</v>
      </c>
      <c r="AM88" s="1">
        <v>698.37220000000002</v>
      </c>
      <c r="AN88" s="1"/>
      <c r="AO88" s="1">
        <f t="shared" si="25"/>
        <v>308</v>
      </c>
      <c r="AP88" s="1">
        <f>VLOOKUP(A88,[1]Лист1!$A:$B,2,0)</f>
        <v>308</v>
      </c>
      <c r="AQ88" s="1">
        <f t="shared" si="26"/>
        <v>660</v>
      </c>
    </row>
    <row r="89" spans="1:43" x14ac:dyDescent="0.25">
      <c r="A89" s="1" t="s">
        <v>154</v>
      </c>
      <c r="B89" s="1" t="s">
        <v>52</v>
      </c>
      <c r="C89" s="1">
        <v>209</v>
      </c>
      <c r="D89" s="1">
        <v>132</v>
      </c>
      <c r="E89" s="1">
        <v>220</v>
      </c>
      <c r="F89" s="1">
        <v>37</v>
      </c>
      <c r="G89" s="7">
        <v>0.3</v>
      </c>
      <c r="H89" s="1">
        <v>40</v>
      </c>
      <c r="I89" s="1" t="s">
        <v>53</v>
      </c>
      <c r="J89" s="1"/>
      <c r="K89" s="1">
        <v>238</v>
      </c>
      <c r="L89" s="1">
        <f t="shared" si="20"/>
        <v>-18</v>
      </c>
      <c r="M89" s="1">
        <f t="shared" si="21"/>
        <v>220</v>
      </c>
      <c r="N89" s="1"/>
      <c r="O89" s="1"/>
      <c r="P89" s="1">
        <v>150.77799999999999</v>
      </c>
      <c r="Q89" s="1"/>
      <c r="R89" s="23"/>
      <c r="S89" s="1"/>
      <c r="T89" s="1"/>
      <c r="U89" s="1">
        <v>200</v>
      </c>
      <c r="V89" s="1"/>
      <c r="W89" s="1"/>
      <c r="X89" s="1">
        <f t="shared" si="22"/>
        <v>44</v>
      </c>
      <c r="Y89" s="5">
        <f>11.5*X89-W89-U89-S89-P89-O89-F89</f>
        <v>118.22200000000001</v>
      </c>
      <c r="Z89" s="5">
        <f>Y89</f>
        <v>118.22200000000001</v>
      </c>
      <c r="AA89" s="5">
        <f t="shared" si="23"/>
        <v>118.22200000000001</v>
      </c>
      <c r="AB89" s="5"/>
      <c r="AC89" s="1"/>
      <c r="AD89" s="1">
        <f t="shared" si="27"/>
        <v>11.5</v>
      </c>
      <c r="AE89" s="1">
        <f t="shared" si="24"/>
        <v>8.8131363636363638</v>
      </c>
      <c r="AF89" s="1">
        <v>54.4</v>
      </c>
      <c r="AG89" s="1">
        <v>32.200000000000003</v>
      </c>
      <c r="AH89" s="1">
        <v>19.600000000000001</v>
      </c>
      <c r="AI89" s="1">
        <v>20.399999999999999</v>
      </c>
      <c r="AJ89" s="1">
        <v>31.2</v>
      </c>
      <c r="AK89" s="1">
        <v>47.6</v>
      </c>
      <c r="AL89" s="1">
        <v>47</v>
      </c>
      <c r="AM89" s="1">
        <v>39.799999999999997</v>
      </c>
      <c r="AN89" s="1"/>
      <c r="AO89" s="1">
        <f t="shared" si="25"/>
        <v>35</v>
      </c>
      <c r="AP89" s="1">
        <f>VLOOKUP(A89,[1]Лист1!$A:$B,2,0)</f>
        <v>35</v>
      </c>
      <c r="AQ89" s="1">
        <f t="shared" si="26"/>
        <v>0</v>
      </c>
    </row>
    <row r="90" spans="1:43" x14ac:dyDescent="0.25">
      <c r="A90" s="1" t="s">
        <v>155</v>
      </c>
      <c r="B90" s="1" t="s">
        <v>47</v>
      </c>
      <c r="C90" s="1">
        <v>984.79</v>
      </c>
      <c r="D90" s="1">
        <v>1850.6859999999999</v>
      </c>
      <c r="E90" s="1">
        <v>1501.6590000000001</v>
      </c>
      <c r="F90" s="1">
        <v>372.363</v>
      </c>
      <c r="G90" s="7">
        <v>1</v>
      </c>
      <c r="H90" s="1">
        <v>60</v>
      </c>
      <c r="I90" s="1" t="s">
        <v>48</v>
      </c>
      <c r="J90" s="1"/>
      <c r="K90" s="1">
        <v>1528.4449999999999</v>
      </c>
      <c r="L90" s="1">
        <f t="shared" si="20"/>
        <v>-26.785999999999831</v>
      </c>
      <c r="M90" s="1">
        <f t="shared" si="21"/>
        <v>1189.2140000000002</v>
      </c>
      <c r="N90" s="1">
        <v>312.44499999999999</v>
      </c>
      <c r="O90" s="1"/>
      <c r="P90" s="1">
        <v>570.81967800000075</v>
      </c>
      <c r="Q90" s="1"/>
      <c r="R90" s="23"/>
      <c r="S90" s="1"/>
      <c r="T90" s="1"/>
      <c r="U90" s="1">
        <v>900</v>
      </c>
      <c r="V90" s="1"/>
      <c r="W90" s="1"/>
      <c r="X90" s="1">
        <f t="shared" si="22"/>
        <v>237.84280000000004</v>
      </c>
      <c r="Y90" s="5">
        <f>11.5*X90-W90-U90-S90-P90-O90-F90</f>
        <v>892.00952199999961</v>
      </c>
      <c r="Z90" s="5">
        <f>Y90+$Z$1*X90</f>
        <v>1060.8779099999997</v>
      </c>
      <c r="AA90" s="5">
        <f t="shared" si="23"/>
        <v>337.3591753799999</v>
      </c>
      <c r="AB90" s="5">
        <f>$AB$1*Z90</f>
        <v>723.5187346199998</v>
      </c>
      <c r="AC90" s="1"/>
      <c r="AD90" s="1">
        <f t="shared" si="27"/>
        <v>12.209999999999999</v>
      </c>
      <c r="AE90" s="1">
        <f t="shared" si="24"/>
        <v>7.7495836661862398</v>
      </c>
      <c r="AF90" s="1">
        <v>261.7706</v>
      </c>
      <c r="AG90" s="1">
        <v>210.9222</v>
      </c>
      <c r="AH90" s="1">
        <v>200.2338</v>
      </c>
      <c r="AI90" s="1">
        <v>224.22739999999999</v>
      </c>
      <c r="AJ90" s="1">
        <v>269.709</v>
      </c>
      <c r="AK90" s="1">
        <v>297.4228</v>
      </c>
      <c r="AL90" s="1">
        <v>254.03819999999999</v>
      </c>
      <c r="AM90" s="1">
        <v>250.9092</v>
      </c>
      <c r="AN90" s="1"/>
      <c r="AO90" s="1">
        <f t="shared" si="25"/>
        <v>337</v>
      </c>
      <c r="AP90" s="1">
        <f>VLOOKUP(A90,[1]Лист1!$A:$B,2,0)</f>
        <v>337</v>
      </c>
      <c r="AQ90" s="1">
        <f t="shared" si="26"/>
        <v>724</v>
      </c>
    </row>
    <row r="91" spans="1:43" x14ac:dyDescent="0.25">
      <c r="A91" s="20" t="s">
        <v>156</v>
      </c>
      <c r="B91" s="1" t="s">
        <v>47</v>
      </c>
      <c r="C91" s="1">
        <v>4586.3289999999997</v>
      </c>
      <c r="D91" s="1">
        <v>5332.732</v>
      </c>
      <c r="E91" s="1">
        <v>2956.32</v>
      </c>
      <c r="F91" s="1">
        <v>5654.9759999999997</v>
      </c>
      <c r="G91" s="7">
        <v>1</v>
      </c>
      <c r="H91" s="1">
        <v>60</v>
      </c>
      <c r="I91" s="1" t="s">
        <v>48</v>
      </c>
      <c r="J91" s="1"/>
      <c r="K91" s="1">
        <v>3040.8009999999999</v>
      </c>
      <c r="L91" s="1">
        <f t="shared" si="20"/>
        <v>-84.480999999999767</v>
      </c>
      <c r="M91" s="1">
        <f t="shared" si="21"/>
        <v>2428.4190000000003</v>
      </c>
      <c r="N91" s="1">
        <v>527.90099999999995</v>
      </c>
      <c r="O91" s="1"/>
      <c r="P91" s="1">
        <v>0</v>
      </c>
      <c r="Q91" s="1"/>
      <c r="R91" s="23">
        <v>800</v>
      </c>
      <c r="S91" s="1"/>
      <c r="T91" s="1">
        <v>1600</v>
      </c>
      <c r="U91" s="1"/>
      <c r="V91" s="1"/>
      <c r="W91" s="1">
        <v>510</v>
      </c>
      <c r="X91" s="1">
        <f t="shared" si="22"/>
        <v>485.68380000000008</v>
      </c>
      <c r="Y91" s="5"/>
      <c r="Z91" s="5">
        <f t="shared" ref="Z91:Z114" si="29">Y91</f>
        <v>0</v>
      </c>
      <c r="AA91" s="5">
        <f t="shared" si="23"/>
        <v>0</v>
      </c>
      <c r="AB91" s="5"/>
      <c r="AC91" s="1"/>
      <c r="AD91" s="1">
        <f t="shared" si="27"/>
        <v>17.63488096576414</v>
      </c>
      <c r="AE91" s="1">
        <f t="shared" si="24"/>
        <v>12.693394344221485</v>
      </c>
      <c r="AF91" s="1">
        <v>514.53820000000007</v>
      </c>
      <c r="AG91" s="1">
        <v>401.62819999999999</v>
      </c>
      <c r="AH91" s="1">
        <v>487.01119999999992</v>
      </c>
      <c r="AI91" s="1">
        <v>453.0684</v>
      </c>
      <c r="AJ91" s="1">
        <v>606.41340000000002</v>
      </c>
      <c r="AK91" s="1">
        <v>702.14319999999998</v>
      </c>
      <c r="AL91" s="1">
        <v>695.84860000000003</v>
      </c>
      <c r="AM91" s="1">
        <v>634.77740000000006</v>
      </c>
      <c r="AN91" s="1"/>
      <c r="AO91" s="1">
        <f t="shared" si="25"/>
        <v>0</v>
      </c>
      <c r="AP91" s="1">
        <f>VLOOKUP(A91,[1]Лист1!$A:$B,2,0)</f>
        <v>0</v>
      </c>
      <c r="AQ91" s="1">
        <f t="shared" si="26"/>
        <v>0</v>
      </c>
    </row>
    <row r="92" spans="1:43" x14ac:dyDescent="0.25">
      <c r="A92" s="20" t="s">
        <v>75</v>
      </c>
      <c r="B92" s="1" t="s">
        <v>47</v>
      </c>
      <c r="C92" s="1">
        <v>2130.8679999999999</v>
      </c>
      <c r="D92" s="1">
        <v>10981.449000000001</v>
      </c>
      <c r="E92" s="12">
        <f>3945.745+E23</f>
        <v>3953.2379999999998</v>
      </c>
      <c r="F92" s="12">
        <f>7038.414+F23</f>
        <v>7030.9209999999994</v>
      </c>
      <c r="G92" s="7">
        <v>1</v>
      </c>
      <c r="H92" s="1">
        <v>60</v>
      </c>
      <c r="I92" s="1" t="s">
        <v>48</v>
      </c>
      <c r="J92" s="1"/>
      <c r="K92" s="1">
        <v>4135.2669999999998</v>
      </c>
      <c r="L92" s="1">
        <f t="shared" si="20"/>
        <v>-182.029</v>
      </c>
      <c r="M92" s="1">
        <f t="shared" si="21"/>
        <v>3122.5709999999999</v>
      </c>
      <c r="N92" s="1">
        <v>830.66700000000003</v>
      </c>
      <c r="O92" s="1"/>
      <c r="P92" s="1">
        <v>0</v>
      </c>
      <c r="Q92" s="1"/>
      <c r="R92" s="23">
        <v>800</v>
      </c>
      <c r="S92" s="1"/>
      <c r="T92" s="1">
        <v>2500</v>
      </c>
      <c r="U92" s="1"/>
      <c r="V92" s="1"/>
      <c r="W92" s="1">
        <v>630</v>
      </c>
      <c r="X92" s="1">
        <f t="shared" si="22"/>
        <v>624.51419999999996</v>
      </c>
      <c r="Y92" s="27">
        <v>151</v>
      </c>
      <c r="Z92" s="5">
        <f t="shared" si="29"/>
        <v>151</v>
      </c>
      <c r="AA92" s="5">
        <f t="shared" si="23"/>
        <v>151</v>
      </c>
      <c r="AB92" s="5"/>
      <c r="AC92" s="1"/>
      <c r="AD92" s="1">
        <f t="shared" si="27"/>
        <v>17.792903668163188</v>
      </c>
      <c r="AE92" s="1">
        <f t="shared" si="24"/>
        <v>12.267008500367165</v>
      </c>
      <c r="AF92" s="1">
        <v>657.89699999999982</v>
      </c>
      <c r="AG92" s="1">
        <v>520.9251999999999</v>
      </c>
      <c r="AH92" s="1">
        <v>627.79740000000004</v>
      </c>
      <c r="AI92" s="1">
        <v>577.65159999999992</v>
      </c>
      <c r="AJ92" s="1">
        <v>698.26039999999989</v>
      </c>
      <c r="AK92" s="1">
        <v>814.36879999999996</v>
      </c>
      <c r="AL92" s="1">
        <v>736.1662</v>
      </c>
      <c r="AM92" s="1">
        <v>609.91200000000003</v>
      </c>
      <c r="AN92" s="1"/>
      <c r="AO92" s="1">
        <f t="shared" si="25"/>
        <v>151</v>
      </c>
      <c r="AP92" s="1">
        <f>VLOOKUP(A92,[1]Лист1!$A:$B,2,0)</f>
        <v>151</v>
      </c>
      <c r="AQ92" s="1">
        <f t="shared" si="26"/>
        <v>0</v>
      </c>
    </row>
    <row r="93" spans="1:43" x14ac:dyDescent="0.25">
      <c r="A93" s="1" t="s">
        <v>157</v>
      </c>
      <c r="B93" s="1" t="s">
        <v>47</v>
      </c>
      <c r="C93" s="1">
        <v>67.259</v>
      </c>
      <c r="D93" s="1">
        <v>55.128999999999998</v>
      </c>
      <c r="E93" s="1">
        <v>14.683</v>
      </c>
      <c r="F93" s="1">
        <v>106.361</v>
      </c>
      <c r="G93" s="7">
        <v>1</v>
      </c>
      <c r="H93" s="1">
        <v>55</v>
      </c>
      <c r="I93" s="1" t="s">
        <v>53</v>
      </c>
      <c r="J93" s="1"/>
      <c r="K93" s="1">
        <v>15.6</v>
      </c>
      <c r="L93" s="1">
        <f t="shared" si="20"/>
        <v>-0.91699999999999982</v>
      </c>
      <c r="M93" s="1">
        <f t="shared" si="21"/>
        <v>14.683</v>
      </c>
      <c r="N93" s="1"/>
      <c r="O93" s="1"/>
      <c r="P93" s="1">
        <v>0</v>
      </c>
      <c r="Q93" s="1"/>
      <c r="R93" s="23"/>
      <c r="S93" s="1"/>
      <c r="T93" s="1"/>
      <c r="U93" s="1"/>
      <c r="V93" s="1"/>
      <c r="W93" s="1"/>
      <c r="X93" s="1">
        <f t="shared" si="22"/>
        <v>2.9365999999999999</v>
      </c>
      <c r="Y93" s="5"/>
      <c r="Z93" s="5">
        <f t="shared" si="29"/>
        <v>0</v>
      </c>
      <c r="AA93" s="5">
        <f t="shared" si="23"/>
        <v>0</v>
      </c>
      <c r="AB93" s="5"/>
      <c r="AC93" s="1"/>
      <c r="AD93" s="1">
        <f t="shared" si="27"/>
        <v>36.219096914799429</v>
      </c>
      <c r="AE93" s="1">
        <f t="shared" si="24"/>
        <v>36.219096914799429</v>
      </c>
      <c r="AF93" s="1">
        <v>2.9626000000000001</v>
      </c>
      <c r="AG93" s="1">
        <v>9.1290000000000013</v>
      </c>
      <c r="AH93" s="1">
        <v>9.1308000000000007</v>
      </c>
      <c r="AI93" s="1">
        <v>9.6712000000000007</v>
      </c>
      <c r="AJ93" s="1">
        <v>9.3979999999999997</v>
      </c>
      <c r="AK93" s="1">
        <v>9.9340000000000011</v>
      </c>
      <c r="AL93" s="1">
        <v>15.5474</v>
      </c>
      <c r="AM93" s="1">
        <v>15.0168</v>
      </c>
      <c r="AN93" s="14" t="s">
        <v>151</v>
      </c>
      <c r="AO93" s="1">
        <f t="shared" si="25"/>
        <v>0</v>
      </c>
      <c r="AP93" s="1">
        <f>VLOOKUP(A93,[1]Лист1!$A:$B,2,0)</f>
        <v>0</v>
      </c>
      <c r="AQ93" s="1">
        <f t="shared" si="26"/>
        <v>0</v>
      </c>
    </row>
    <row r="94" spans="1:43" x14ac:dyDescent="0.25">
      <c r="A94" s="9" t="s">
        <v>158</v>
      </c>
      <c r="B94" s="9" t="s">
        <v>47</v>
      </c>
      <c r="C94" s="9">
        <v>-1.36</v>
      </c>
      <c r="D94" s="9"/>
      <c r="E94" s="9"/>
      <c r="F94" s="9">
        <v>-1.36</v>
      </c>
      <c r="G94" s="10">
        <v>0</v>
      </c>
      <c r="H94" s="9"/>
      <c r="I94" s="9" t="s">
        <v>63</v>
      </c>
      <c r="J94" s="9"/>
      <c r="K94" s="9"/>
      <c r="L94" s="9">
        <f t="shared" si="20"/>
        <v>0</v>
      </c>
      <c r="M94" s="9">
        <f t="shared" si="21"/>
        <v>0</v>
      </c>
      <c r="N94" s="9"/>
      <c r="O94" s="9"/>
      <c r="P94" s="9">
        <v>0</v>
      </c>
      <c r="Q94" s="9"/>
      <c r="R94" s="25"/>
      <c r="S94" s="9"/>
      <c r="T94" s="9"/>
      <c r="U94" s="9"/>
      <c r="V94" s="9"/>
      <c r="W94" s="9"/>
      <c r="X94" s="9">
        <f t="shared" si="22"/>
        <v>0</v>
      </c>
      <c r="Y94" s="11"/>
      <c r="Z94" s="5">
        <f t="shared" si="29"/>
        <v>0</v>
      </c>
      <c r="AA94" s="5">
        <f t="shared" si="23"/>
        <v>0</v>
      </c>
      <c r="AB94" s="5"/>
      <c r="AC94" s="9"/>
      <c r="AD94" s="1" t="e">
        <f t="shared" si="27"/>
        <v>#DIV/0!</v>
      </c>
      <c r="AE94" s="9" t="e">
        <f t="shared" si="24"/>
        <v>#DIV/0!</v>
      </c>
      <c r="AF94" s="9">
        <v>0</v>
      </c>
      <c r="AG94" s="9">
        <v>0.27200000000000002</v>
      </c>
      <c r="AH94" s="9">
        <v>0.27200000000000002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/>
      <c r="AO94" s="1">
        <f t="shared" si="25"/>
        <v>0</v>
      </c>
      <c r="AP94" s="1">
        <f>VLOOKUP(A94,[1]Лист1!$A:$B,2,0)</f>
        <v>0</v>
      </c>
      <c r="AQ94" s="1">
        <f t="shared" si="26"/>
        <v>0</v>
      </c>
    </row>
    <row r="95" spans="1:43" x14ac:dyDescent="0.25">
      <c r="A95" s="9" t="s">
        <v>159</v>
      </c>
      <c r="B95" s="9" t="s">
        <v>47</v>
      </c>
      <c r="C95" s="9">
        <v>562.39800000000002</v>
      </c>
      <c r="D95" s="9">
        <v>2.6709999999999998</v>
      </c>
      <c r="E95" s="9">
        <v>34.32</v>
      </c>
      <c r="F95" s="9">
        <v>408.90100000000001</v>
      </c>
      <c r="G95" s="10">
        <v>0</v>
      </c>
      <c r="H95" s="9"/>
      <c r="I95" s="9" t="s">
        <v>63</v>
      </c>
      <c r="J95" s="9"/>
      <c r="K95" s="9">
        <v>34.9</v>
      </c>
      <c r="L95" s="9">
        <f t="shared" si="20"/>
        <v>-0.57999999999999829</v>
      </c>
      <c r="M95" s="9">
        <f t="shared" si="21"/>
        <v>34.32</v>
      </c>
      <c r="N95" s="9"/>
      <c r="O95" s="9"/>
      <c r="P95" s="9">
        <v>0</v>
      </c>
      <c r="Q95" s="9"/>
      <c r="R95" s="25"/>
      <c r="S95" s="9"/>
      <c r="T95" s="9"/>
      <c r="U95" s="9"/>
      <c r="V95" s="9"/>
      <c r="W95" s="9"/>
      <c r="X95" s="9">
        <f t="shared" si="22"/>
        <v>6.8639999999999999</v>
      </c>
      <c r="Y95" s="11"/>
      <c r="Z95" s="5">
        <f t="shared" si="29"/>
        <v>0</v>
      </c>
      <c r="AA95" s="5">
        <f t="shared" si="23"/>
        <v>0</v>
      </c>
      <c r="AB95" s="5"/>
      <c r="AC95" s="9"/>
      <c r="AD95" s="1">
        <f t="shared" si="27"/>
        <v>59.571824009324011</v>
      </c>
      <c r="AE95" s="9">
        <f t="shared" si="24"/>
        <v>59.571824009324011</v>
      </c>
      <c r="AF95" s="9">
        <v>3.9003999999999999</v>
      </c>
      <c r="AG95" s="9">
        <v>2.42</v>
      </c>
      <c r="AH95" s="9">
        <v>6.7090000000000014</v>
      </c>
      <c r="AI95" s="9">
        <v>6.706999999999999</v>
      </c>
      <c r="AJ95" s="9">
        <v>13.973000000000001</v>
      </c>
      <c r="AK95" s="9">
        <v>18.044</v>
      </c>
      <c r="AL95" s="9">
        <v>9.4331999999999994</v>
      </c>
      <c r="AM95" s="9">
        <v>0.53720000000000001</v>
      </c>
      <c r="AN95" s="9" t="s">
        <v>151</v>
      </c>
      <c r="AO95" s="1">
        <f t="shared" si="25"/>
        <v>0</v>
      </c>
      <c r="AP95" s="1">
        <f>VLOOKUP(A95,[1]Лист1!$A:$B,2,0)</f>
        <v>0</v>
      </c>
      <c r="AQ95" s="1">
        <f t="shared" si="26"/>
        <v>0</v>
      </c>
    </row>
    <row r="96" spans="1:43" x14ac:dyDescent="0.25">
      <c r="A96" s="1" t="s">
        <v>160</v>
      </c>
      <c r="B96" s="1" t="s">
        <v>52</v>
      </c>
      <c r="C96" s="1">
        <v>72</v>
      </c>
      <c r="D96" s="1">
        <v>169</v>
      </c>
      <c r="E96" s="1">
        <v>119</v>
      </c>
      <c r="F96" s="1">
        <v>76</v>
      </c>
      <c r="G96" s="7">
        <v>0.3</v>
      </c>
      <c r="H96" s="1">
        <v>40</v>
      </c>
      <c r="I96" s="1" t="s">
        <v>53</v>
      </c>
      <c r="J96" s="1"/>
      <c r="K96" s="1">
        <v>189</v>
      </c>
      <c r="L96" s="1">
        <f t="shared" si="20"/>
        <v>-70</v>
      </c>
      <c r="M96" s="1">
        <f t="shared" si="21"/>
        <v>119</v>
      </c>
      <c r="N96" s="1"/>
      <c r="O96" s="1"/>
      <c r="P96" s="1">
        <v>157.4</v>
      </c>
      <c r="Q96" s="1"/>
      <c r="R96" s="23"/>
      <c r="S96" s="1"/>
      <c r="T96" s="1"/>
      <c r="U96" s="1"/>
      <c r="V96" s="1"/>
      <c r="W96" s="1"/>
      <c r="X96" s="1">
        <f t="shared" si="22"/>
        <v>23.8</v>
      </c>
      <c r="Y96" s="5">
        <f>11.5*X96-W96-U96-S96-P96-O96-F96</f>
        <v>40.299999999999983</v>
      </c>
      <c r="Z96" s="5">
        <f t="shared" si="29"/>
        <v>40.299999999999983</v>
      </c>
      <c r="AA96" s="5">
        <f t="shared" si="23"/>
        <v>40.299999999999983</v>
      </c>
      <c r="AB96" s="5"/>
      <c r="AC96" s="1"/>
      <c r="AD96" s="1">
        <f t="shared" si="27"/>
        <v>11.5</v>
      </c>
      <c r="AE96" s="1">
        <f t="shared" si="24"/>
        <v>9.8067226890756309</v>
      </c>
      <c r="AF96" s="1">
        <v>25.4</v>
      </c>
      <c r="AG96" s="1">
        <v>17.2</v>
      </c>
      <c r="AH96" s="1">
        <v>20.2</v>
      </c>
      <c r="AI96" s="1">
        <v>22.8</v>
      </c>
      <c r="AJ96" s="1">
        <v>24.2</v>
      </c>
      <c r="AK96" s="1">
        <v>18.2</v>
      </c>
      <c r="AL96" s="1">
        <v>15.4</v>
      </c>
      <c r="AM96" s="1">
        <v>28.2</v>
      </c>
      <c r="AN96" s="1"/>
      <c r="AO96" s="1">
        <f t="shared" si="25"/>
        <v>12</v>
      </c>
      <c r="AP96" s="1">
        <f>VLOOKUP(A96,[1]Лист1!$A:$B,2,0)</f>
        <v>12</v>
      </c>
      <c r="AQ96" s="1">
        <f t="shared" si="26"/>
        <v>0</v>
      </c>
    </row>
    <row r="97" spans="1:43" x14ac:dyDescent="0.25">
      <c r="A97" s="1" t="s">
        <v>161</v>
      </c>
      <c r="B97" s="1" t="s">
        <v>52</v>
      </c>
      <c r="C97" s="1">
        <v>55</v>
      </c>
      <c r="D97" s="1">
        <v>36</v>
      </c>
      <c r="E97" s="1">
        <v>55</v>
      </c>
      <c r="F97" s="1">
        <v>21</v>
      </c>
      <c r="G97" s="7">
        <v>0.3</v>
      </c>
      <c r="H97" s="1">
        <v>40</v>
      </c>
      <c r="I97" s="1" t="s">
        <v>53</v>
      </c>
      <c r="J97" s="1"/>
      <c r="K97" s="1">
        <v>58</v>
      </c>
      <c r="L97" s="1">
        <f t="shared" si="20"/>
        <v>-3</v>
      </c>
      <c r="M97" s="1">
        <f t="shared" si="21"/>
        <v>55</v>
      </c>
      <c r="N97" s="1"/>
      <c r="O97" s="1"/>
      <c r="P97" s="1">
        <v>75.600000000000009</v>
      </c>
      <c r="Q97" s="1"/>
      <c r="R97" s="23"/>
      <c r="S97" s="1"/>
      <c r="T97" s="1"/>
      <c r="U97" s="1"/>
      <c r="V97" s="1"/>
      <c r="W97" s="1"/>
      <c r="X97" s="1">
        <f t="shared" si="22"/>
        <v>11</v>
      </c>
      <c r="Y97" s="5">
        <f>11.5*X97-W97-U97-S97-P97-O97-F97</f>
        <v>29.899999999999991</v>
      </c>
      <c r="Z97" s="5">
        <f t="shared" si="29"/>
        <v>29.899999999999991</v>
      </c>
      <c r="AA97" s="5">
        <f t="shared" si="23"/>
        <v>29.899999999999991</v>
      </c>
      <c r="AB97" s="5"/>
      <c r="AC97" s="1"/>
      <c r="AD97" s="1">
        <f t="shared" si="27"/>
        <v>11.5</v>
      </c>
      <c r="AE97" s="1">
        <f t="shared" si="24"/>
        <v>8.7818181818181831</v>
      </c>
      <c r="AF97" s="1">
        <v>12.4</v>
      </c>
      <c r="AG97" s="1">
        <v>6.8</v>
      </c>
      <c r="AH97" s="1">
        <v>6.4</v>
      </c>
      <c r="AI97" s="1">
        <v>1.4</v>
      </c>
      <c r="AJ97" s="1">
        <v>2</v>
      </c>
      <c r="AK97" s="1">
        <v>2.4</v>
      </c>
      <c r="AL97" s="1">
        <v>12.2</v>
      </c>
      <c r="AM97" s="1">
        <v>13.6</v>
      </c>
      <c r="AN97" s="1"/>
      <c r="AO97" s="1">
        <f t="shared" si="25"/>
        <v>9</v>
      </c>
      <c r="AP97" s="1">
        <f>VLOOKUP(A97,[1]Лист1!$A:$B,2,0)</f>
        <v>9</v>
      </c>
      <c r="AQ97" s="1">
        <f t="shared" si="26"/>
        <v>0</v>
      </c>
    </row>
    <row r="98" spans="1:43" x14ac:dyDescent="0.25">
      <c r="A98" s="1" t="s">
        <v>162</v>
      </c>
      <c r="B98" s="1" t="s">
        <v>52</v>
      </c>
      <c r="C98" s="1">
        <v>67</v>
      </c>
      <c r="D98" s="1">
        <v>245</v>
      </c>
      <c r="E98" s="1">
        <v>167</v>
      </c>
      <c r="F98" s="1">
        <v>87</v>
      </c>
      <c r="G98" s="7">
        <v>7.0000000000000007E-2</v>
      </c>
      <c r="H98" s="1">
        <v>90</v>
      </c>
      <c r="I98" s="1" t="s">
        <v>53</v>
      </c>
      <c r="J98" s="1"/>
      <c r="K98" s="1">
        <v>198</v>
      </c>
      <c r="L98" s="1">
        <f t="shared" si="20"/>
        <v>-31</v>
      </c>
      <c r="M98" s="1">
        <f t="shared" si="21"/>
        <v>167</v>
      </c>
      <c r="N98" s="1"/>
      <c r="O98" s="1"/>
      <c r="P98" s="1">
        <v>106.8</v>
      </c>
      <c r="Q98" s="1"/>
      <c r="R98" s="23"/>
      <c r="S98" s="1"/>
      <c r="T98" s="1"/>
      <c r="U98" s="1">
        <v>100</v>
      </c>
      <c r="V98" s="1"/>
      <c r="W98" s="1"/>
      <c r="X98" s="1">
        <f t="shared" si="22"/>
        <v>33.4</v>
      </c>
      <c r="Y98" s="5">
        <f>11.5*X98-W98-U98-S98-P98-O98-F98</f>
        <v>90.299999999999955</v>
      </c>
      <c r="Z98" s="5">
        <f t="shared" si="29"/>
        <v>90.299999999999955</v>
      </c>
      <c r="AA98" s="5">
        <f t="shared" si="23"/>
        <v>90.299999999999955</v>
      </c>
      <c r="AB98" s="5"/>
      <c r="AC98" s="1"/>
      <c r="AD98" s="1">
        <f t="shared" si="27"/>
        <v>11.5</v>
      </c>
      <c r="AE98" s="1">
        <f t="shared" si="24"/>
        <v>8.7964071856287429</v>
      </c>
      <c r="AF98" s="1">
        <v>34.799999999999997</v>
      </c>
      <c r="AG98" s="1">
        <v>22.2</v>
      </c>
      <c r="AH98" s="1">
        <v>22.6</v>
      </c>
      <c r="AI98" s="1">
        <v>26.8</v>
      </c>
      <c r="AJ98" s="1">
        <v>31.2</v>
      </c>
      <c r="AK98" s="1">
        <v>29.2</v>
      </c>
      <c r="AL98" s="1">
        <v>24.8</v>
      </c>
      <c r="AM98" s="1">
        <v>22.8</v>
      </c>
      <c r="AN98" s="1"/>
      <c r="AO98" s="1">
        <f t="shared" si="25"/>
        <v>6</v>
      </c>
      <c r="AP98" s="1">
        <f>VLOOKUP(A98,[1]Лист1!$A:$B,2,0)</f>
        <v>6</v>
      </c>
      <c r="AQ98" s="1">
        <f t="shared" si="26"/>
        <v>0</v>
      </c>
    </row>
    <row r="99" spans="1:43" x14ac:dyDescent="0.25">
      <c r="A99" s="1" t="s">
        <v>163</v>
      </c>
      <c r="B99" s="1" t="s">
        <v>52</v>
      </c>
      <c r="C99" s="1">
        <v>162</v>
      </c>
      <c r="D99" s="1">
        <v>168</v>
      </c>
      <c r="E99" s="1">
        <v>148</v>
      </c>
      <c r="F99" s="1">
        <v>133</v>
      </c>
      <c r="G99" s="7">
        <v>7.0000000000000007E-2</v>
      </c>
      <c r="H99" s="1">
        <v>90</v>
      </c>
      <c r="I99" s="1" t="s">
        <v>53</v>
      </c>
      <c r="J99" s="1"/>
      <c r="K99" s="1">
        <v>174</v>
      </c>
      <c r="L99" s="1">
        <f t="shared" si="20"/>
        <v>-26</v>
      </c>
      <c r="M99" s="1">
        <f t="shared" si="21"/>
        <v>148</v>
      </c>
      <c r="N99" s="1"/>
      <c r="O99" s="1"/>
      <c r="P99" s="1">
        <v>156.22</v>
      </c>
      <c r="Q99" s="1"/>
      <c r="R99" s="23"/>
      <c r="S99" s="1"/>
      <c r="T99" s="1"/>
      <c r="U99" s="1"/>
      <c r="V99" s="1"/>
      <c r="W99" s="1"/>
      <c r="X99" s="1">
        <f t="shared" si="22"/>
        <v>29.6</v>
      </c>
      <c r="Y99" s="5">
        <f>11.5*X99-W99-U99-S99-P99-O99-F99</f>
        <v>51.180000000000035</v>
      </c>
      <c r="Z99" s="5">
        <f t="shared" si="29"/>
        <v>51.180000000000035</v>
      </c>
      <c r="AA99" s="5">
        <f t="shared" si="23"/>
        <v>51.180000000000035</v>
      </c>
      <c r="AB99" s="5"/>
      <c r="AC99" s="1"/>
      <c r="AD99" s="1">
        <f t="shared" si="27"/>
        <v>11.500000000000002</v>
      </c>
      <c r="AE99" s="1">
        <f t="shared" si="24"/>
        <v>9.7709459459459467</v>
      </c>
      <c r="AF99" s="1">
        <v>31.2</v>
      </c>
      <c r="AG99" s="1">
        <v>22.8</v>
      </c>
      <c r="AH99" s="1">
        <v>26.2</v>
      </c>
      <c r="AI99" s="1">
        <v>20.399999999999999</v>
      </c>
      <c r="AJ99" s="1">
        <v>22</v>
      </c>
      <c r="AK99" s="1">
        <v>23.4</v>
      </c>
      <c r="AL99" s="1">
        <v>33</v>
      </c>
      <c r="AM99" s="1">
        <v>23.8</v>
      </c>
      <c r="AN99" s="1"/>
      <c r="AO99" s="1">
        <f t="shared" si="25"/>
        <v>4</v>
      </c>
      <c r="AP99" s="1">
        <f>VLOOKUP(A99,[1]Лист1!$A:$B,2,0)</f>
        <v>4</v>
      </c>
      <c r="AQ99" s="1">
        <f t="shared" si="26"/>
        <v>0</v>
      </c>
    </row>
    <row r="100" spans="1:43" x14ac:dyDescent="0.25">
      <c r="A100" s="1" t="s">
        <v>164</v>
      </c>
      <c r="B100" s="1" t="s">
        <v>52</v>
      </c>
      <c r="C100" s="1">
        <v>108</v>
      </c>
      <c r="D100" s="1">
        <v>152</v>
      </c>
      <c r="E100" s="1">
        <v>123</v>
      </c>
      <c r="F100" s="1">
        <v>94</v>
      </c>
      <c r="G100" s="7">
        <v>7.0000000000000007E-2</v>
      </c>
      <c r="H100" s="1">
        <v>90</v>
      </c>
      <c r="I100" s="1" t="s">
        <v>53</v>
      </c>
      <c r="J100" s="1"/>
      <c r="K100" s="1">
        <v>151</v>
      </c>
      <c r="L100" s="1">
        <f t="shared" si="20"/>
        <v>-28</v>
      </c>
      <c r="M100" s="1">
        <f t="shared" si="21"/>
        <v>123</v>
      </c>
      <c r="N100" s="1"/>
      <c r="O100" s="1"/>
      <c r="P100" s="1">
        <v>152.80000000000001</v>
      </c>
      <c r="Q100" s="1"/>
      <c r="R100" s="23"/>
      <c r="S100" s="1"/>
      <c r="T100" s="1"/>
      <c r="U100" s="1"/>
      <c r="V100" s="1"/>
      <c r="W100" s="1"/>
      <c r="X100" s="1">
        <f t="shared" si="22"/>
        <v>24.6</v>
      </c>
      <c r="Y100" s="5">
        <f>11.5*X100-W100-U100-S100-P100-O100-F100</f>
        <v>36.100000000000023</v>
      </c>
      <c r="Z100" s="5">
        <f t="shared" si="29"/>
        <v>36.100000000000023</v>
      </c>
      <c r="AA100" s="5">
        <f t="shared" si="23"/>
        <v>36.100000000000023</v>
      </c>
      <c r="AB100" s="5"/>
      <c r="AC100" s="1"/>
      <c r="AD100" s="1">
        <f t="shared" si="27"/>
        <v>11.5</v>
      </c>
      <c r="AE100" s="1">
        <f t="shared" si="24"/>
        <v>10.032520325203253</v>
      </c>
      <c r="AF100" s="1">
        <v>27.4</v>
      </c>
      <c r="AG100" s="1">
        <v>18.8</v>
      </c>
      <c r="AH100" s="1">
        <v>18.399999999999999</v>
      </c>
      <c r="AI100" s="1">
        <v>20.6</v>
      </c>
      <c r="AJ100" s="1">
        <v>22.8</v>
      </c>
      <c r="AK100" s="1">
        <v>20.6</v>
      </c>
      <c r="AL100" s="1">
        <v>21.4</v>
      </c>
      <c r="AM100" s="1">
        <v>16.399999999999999</v>
      </c>
      <c r="AN100" s="1"/>
      <c r="AO100" s="1">
        <f t="shared" si="25"/>
        <v>3</v>
      </c>
      <c r="AP100" s="1">
        <f>VLOOKUP(A100,[1]Лист1!$A:$B,2,0)</f>
        <v>3</v>
      </c>
      <c r="AQ100" s="1">
        <f t="shared" si="26"/>
        <v>0</v>
      </c>
    </row>
    <row r="101" spans="1:43" x14ac:dyDescent="0.25">
      <c r="A101" s="9" t="s">
        <v>165</v>
      </c>
      <c r="B101" s="9" t="s">
        <v>52</v>
      </c>
      <c r="C101" s="9">
        <v>29</v>
      </c>
      <c r="D101" s="9">
        <v>129</v>
      </c>
      <c r="E101" s="9">
        <v>68</v>
      </c>
      <c r="F101" s="9">
        <v>22</v>
      </c>
      <c r="G101" s="10">
        <v>0</v>
      </c>
      <c r="H101" s="9">
        <v>90</v>
      </c>
      <c r="I101" s="9" t="s">
        <v>63</v>
      </c>
      <c r="J101" s="9"/>
      <c r="K101" s="9">
        <v>117</v>
      </c>
      <c r="L101" s="9">
        <f t="shared" si="20"/>
        <v>-49</v>
      </c>
      <c r="M101" s="9">
        <f t="shared" si="21"/>
        <v>68</v>
      </c>
      <c r="N101" s="9"/>
      <c r="O101" s="9"/>
      <c r="P101" s="9">
        <v>0</v>
      </c>
      <c r="Q101" s="9"/>
      <c r="R101" s="25"/>
      <c r="S101" s="9"/>
      <c r="T101" s="9"/>
      <c r="U101" s="9"/>
      <c r="V101" s="9"/>
      <c r="W101" s="9"/>
      <c r="X101" s="9">
        <f t="shared" si="22"/>
        <v>13.6</v>
      </c>
      <c r="Y101" s="11"/>
      <c r="Z101" s="5">
        <f t="shared" si="29"/>
        <v>0</v>
      </c>
      <c r="AA101" s="5">
        <f t="shared" si="23"/>
        <v>0</v>
      </c>
      <c r="AB101" s="5"/>
      <c r="AC101" s="9"/>
      <c r="AD101" s="1">
        <f t="shared" si="27"/>
        <v>1.6176470588235294</v>
      </c>
      <c r="AE101" s="9">
        <f t="shared" si="24"/>
        <v>1.6176470588235294</v>
      </c>
      <c r="AF101" s="9">
        <v>20.2</v>
      </c>
      <c r="AG101" s="9">
        <v>19</v>
      </c>
      <c r="AH101" s="9">
        <v>9.8000000000000007</v>
      </c>
      <c r="AI101" s="9">
        <v>11</v>
      </c>
      <c r="AJ101" s="9">
        <v>12</v>
      </c>
      <c r="AK101" s="9">
        <v>19.8</v>
      </c>
      <c r="AL101" s="9">
        <v>12.4</v>
      </c>
      <c r="AM101" s="9">
        <v>2.6</v>
      </c>
      <c r="AN101" s="9"/>
      <c r="AO101" s="1">
        <f t="shared" si="25"/>
        <v>0</v>
      </c>
      <c r="AP101" s="1">
        <f>VLOOKUP(A101,[1]Лист1!$A:$B,2,0)</f>
        <v>0</v>
      </c>
      <c r="AQ101" s="1">
        <f t="shared" si="26"/>
        <v>0</v>
      </c>
    </row>
    <row r="102" spans="1:43" x14ac:dyDescent="0.25">
      <c r="A102" s="1" t="s">
        <v>166</v>
      </c>
      <c r="B102" s="1" t="s">
        <v>52</v>
      </c>
      <c r="C102" s="1">
        <v>32</v>
      </c>
      <c r="D102" s="1">
        <v>2</v>
      </c>
      <c r="E102" s="1">
        <v>24</v>
      </c>
      <c r="F102" s="1">
        <v>9</v>
      </c>
      <c r="G102" s="7">
        <v>0.3</v>
      </c>
      <c r="H102" s="1">
        <v>40</v>
      </c>
      <c r="I102" s="1" t="s">
        <v>53</v>
      </c>
      <c r="J102" s="1"/>
      <c r="K102" s="1">
        <v>29</v>
      </c>
      <c r="L102" s="1">
        <f t="shared" ref="L102:L133" si="30">E102-K102</f>
        <v>-5</v>
      </c>
      <c r="M102" s="1">
        <f t="shared" ref="M102:M133" si="31">E102-N102</f>
        <v>24</v>
      </c>
      <c r="N102" s="1"/>
      <c r="O102" s="1"/>
      <c r="P102" s="1">
        <v>0</v>
      </c>
      <c r="Q102" s="1"/>
      <c r="R102" s="23"/>
      <c r="S102" s="1"/>
      <c r="T102" s="1"/>
      <c r="U102" s="1"/>
      <c r="V102" s="1"/>
      <c r="W102" s="1"/>
      <c r="X102" s="1">
        <f t="shared" ref="X102:X134" si="32">M102/5</f>
        <v>4.8</v>
      </c>
      <c r="Y102" s="5">
        <f>8*X102-W102-U102-S102-P102-O102-F102</f>
        <v>29.4</v>
      </c>
      <c r="Z102" s="5">
        <f t="shared" si="29"/>
        <v>29.4</v>
      </c>
      <c r="AA102" s="5">
        <f t="shared" ref="AA102:AA133" si="33">Z102-AB102</f>
        <v>29.4</v>
      </c>
      <c r="AB102" s="5"/>
      <c r="AC102" s="1"/>
      <c r="AD102" s="1">
        <f t="shared" si="27"/>
        <v>8</v>
      </c>
      <c r="AE102" s="1">
        <f t="shared" ref="AE102:AE134" si="34">(F102+O102+P102+S102+U102+W102)/X102</f>
        <v>1.875</v>
      </c>
      <c r="AF102" s="1">
        <v>1.6</v>
      </c>
      <c r="AG102" s="1">
        <v>2.8</v>
      </c>
      <c r="AH102" s="1">
        <v>1.6</v>
      </c>
      <c r="AI102" s="1">
        <v>1.2</v>
      </c>
      <c r="AJ102" s="1">
        <v>-0.2</v>
      </c>
      <c r="AK102" s="1">
        <v>-0.4</v>
      </c>
      <c r="AL102" s="1">
        <v>7.8</v>
      </c>
      <c r="AM102" s="1">
        <v>8.1999999999999993</v>
      </c>
      <c r="AN102" s="1"/>
      <c r="AO102" s="1">
        <f t="shared" ref="AO102:AO134" si="35">ROUND(G102*AA102,0)</f>
        <v>9</v>
      </c>
      <c r="AP102" s="1">
        <f>VLOOKUP(A102,[1]Лист1!$A:$B,2,0)</f>
        <v>9</v>
      </c>
      <c r="AQ102" s="1">
        <f t="shared" ref="AQ102:AQ134" si="36">ROUND(G102*AB102,0)</f>
        <v>0</v>
      </c>
    </row>
    <row r="103" spans="1:43" x14ac:dyDescent="0.25">
      <c r="A103" s="1" t="s">
        <v>167</v>
      </c>
      <c r="B103" s="1" t="s">
        <v>47</v>
      </c>
      <c r="C103" s="1">
        <v>21.593</v>
      </c>
      <c r="D103" s="1">
        <v>39.950000000000003</v>
      </c>
      <c r="E103" s="1">
        <v>9.51</v>
      </c>
      <c r="F103" s="1">
        <v>39.173000000000002</v>
      </c>
      <c r="G103" s="7">
        <v>1</v>
      </c>
      <c r="H103" s="1">
        <v>55</v>
      </c>
      <c r="I103" s="1" t="s">
        <v>53</v>
      </c>
      <c r="J103" s="1"/>
      <c r="K103" s="1">
        <v>17.8</v>
      </c>
      <c r="L103" s="1">
        <f t="shared" si="30"/>
        <v>-8.2900000000000009</v>
      </c>
      <c r="M103" s="1">
        <f t="shared" si="31"/>
        <v>9.51</v>
      </c>
      <c r="N103" s="1"/>
      <c r="O103" s="1"/>
      <c r="P103" s="1">
        <v>7.6183000000000023</v>
      </c>
      <c r="Q103" s="1"/>
      <c r="R103" s="23"/>
      <c r="S103" s="1"/>
      <c r="T103" s="1"/>
      <c r="U103" s="1"/>
      <c r="V103" s="1"/>
      <c r="W103" s="1"/>
      <c r="X103" s="1">
        <f t="shared" si="32"/>
        <v>1.9019999999999999</v>
      </c>
      <c r="Y103" s="5"/>
      <c r="Z103" s="5">
        <f t="shared" si="29"/>
        <v>0</v>
      </c>
      <c r="AA103" s="5">
        <f t="shared" si="33"/>
        <v>0</v>
      </c>
      <c r="AB103" s="5"/>
      <c r="AC103" s="1"/>
      <c r="AD103" s="1">
        <f t="shared" si="27"/>
        <v>24.601104100946376</v>
      </c>
      <c r="AE103" s="1">
        <f t="shared" si="34"/>
        <v>24.601104100946376</v>
      </c>
      <c r="AF103" s="1">
        <v>2.5404</v>
      </c>
      <c r="AG103" s="1">
        <v>2.8206000000000002</v>
      </c>
      <c r="AH103" s="1">
        <v>3.2389999999999999</v>
      </c>
      <c r="AI103" s="1">
        <v>3.242</v>
      </c>
      <c r="AJ103" s="1">
        <v>2.7948</v>
      </c>
      <c r="AK103" s="1">
        <v>2.4352</v>
      </c>
      <c r="AL103" s="1">
        <v>2.0659999999999998</v>
      </c>
      <c r="AM103" s="1">
        <v>1.2347999999999999</v>
      </c>
      <c r="AN103" s="1"/>
      <c r="AO103" s="1">
        <f t="shared" si="35"/>
        <v>0</v>
      </c>
      <c r="AP103" s="1">
        <f>VLOOKUP(A103,[1]Лист1!$A:$B,2,0)</f>
        <v>0</v>
      </c>
      <c r="AQ103" s="1">
        <f t="shared" si="36"/>
        <v>0</v>
      </c>
    </row>
    <row r="104" spans="1:43" x14ac:dyDescent="0.25">
      <c r="A104" s="1" t="s">
        <v>168</v>
      </c>
      <c r="B104" s="1" t="s">
        <v>52</v>
      </c>
      <c r="C104" s="1">
        <v>-4</v>
      </c>
      <c r="D104" s="1">
        <v>16</v>
      </c>
      <c r="E104" s="1"/>
      <c r="F104" s="1">
        <v>-13</v>
      </c>
      <c r="G104" s="7">
        <v>0.11</v>
      </c>
      <c r="H104" s="1">
        <v>30</v>
      </c>
      <c r="I104" s="1" t="s">
        <v>53</v>
      </c>
      <c r="J104" s="1"/>
      <c r="K104" s="1">
        <v>146</v>
      </c>
      <c r="L104" s="1">
        <f t="shared" si="30"/>
        <v>-146</v>
      </c>
      <c r="M104" s="1">
        <f t="shared" si="31"/>
        <v>0</v>
      </c>
      <c r="N104" s="1"/>
      <c r="O104" s="1"/>
      <c r="P104" s="1">
        <v>0</v>
      </c>
      <c r="Q104" s="1"/>
      <c r="R104" s="23"/>
      <c r="S104" s="1"/>
      <c r="T104" s="1"/>
      <c r="U104" s="1"/>
      <c r="V104" s="1"/>
      <c r="W104" s="1"/>
      <c r="X104" s="1">
        <f t="shared" si="32"/>
        <v>0</v>
      </c>
      <c r="Y104" s="5">
        <v>80</v>
      </c>
      <c r="Z104" s="5">
        <f t="shared" si="29"/>
        <v>80</v>
      </c>
      <c r="AA104" s="5">
        <f t="shared" si="33"/>
        <v>80</v>
      </c>
      <c r="AB104" s="5"/>
      <c r="AC104" s="1"/>
      <c r="AD104" s="1" t="e">
        <f t="shared" si="27"/>
        <v>#DIV/0!</v>
      </c>
      <c r="AE104" s="1" t="e">
        <f t="shared" si="34"/>
        <v>#DIV/0!</v>
      </c>
      <c r="AF104" s="1">
        <v>0</v>
      </c>
      <c r="AG104" s="1">
        <v>0</v>
      </c>
      <c r="AH104" s="1">
        <v>0.8</v>
      </c>
      <c r="AI104" s="1">
        <v>0.4</v>
      </c>
      <c r="AJ104" s="1">
        <v>0.4</v>
      </c>
      <c r="AK104" s="1">
        <v>0.6</v>
      </c>
      <c r="AL104" s="1">
        <v>9.1999999999999993</v>
      </c>
      <c r="AM104" s="1">
        <v>8.1999999999999993</v>
      </c>
      <c r="AN104" s="1"/>
      <c r="AO104" s="1">
        <f t="shared" si="35"/>
        <v>9</v>
      </c>
      <c r="AP104" s="1">
        <f>VLOOKUP(A104,[1]Лист1!$A:$B,2,0)</f>
        <v>9</v>
      </c>
      <c r="AQ104" s="1">
        <f t="shared" si="36"/>
        <v>0</v>
      </c>
    </row>
    <row r="105" spans="1:43" x14ac:dyDescent="0.25">
      <c r="A105" s="9" t="s">
        <v>169</v>
      </c>
      <c r="B105" s="9" t="s">
        <v>52</v>
      </c>
      <c r="C105" s="9"/>
      <c r="D105" s="9"/>
      <c r="E105" s="9"/>
      <c r="F105" s="9"/>
      <c r="G105" s="10">
        <v>0</v>
      </c>
      <c r="H105" s="9"/>
      <c r="I105" s="9" t="s">
        <v>53</v>
      </c>
      <c r="J105" s="9"/>
      <c r="K105" s="9"/>
      <c r="L105" s="9">
        <f t="shared" si="30"/>
        <v>0</v>
      </c>
      <c r="M105" s="9">
        <f t="shared" si="31"/>
        <v>0</v>
      </c>
      <c r="N105" s="9"/>
      <c r="O105" s="9"/>
      <c r="P105" s="9">
        <v>0</v>
      </c>
      <c r="Q105" s="9"/>
      <c r="R105" s="25"/>
      <c r="S105" s="9"/>
      <c r="T105" s="9"/>
      <c r="U105" s="9"/>
      <c r="V105" s="9"/>
      <c r="W105" s="9"/>
      <c r="X105" s="9">
        <f t="shared" si="32"/>
        <v>0</v>
      </c>
      <c r="Y105" s="11"/>
      <c r="Z105" s="5">
        <f t="shared" si="29"/>
        <v>0</v>
      </c>
      <c r="AA105" s="5">
        <f t="shared" si="33"/>
        <v>0</v>
      </c>
      <c r="AB105" s="5"/>
      <c r="AC105" s="9"/>
      <c r="AD105" s="1" t="e">
        <f t="shared" si="27"/>
        <v>#DIV/0!</v>
      </c>
      <c r="AE105" s="9" t="e">
        <f t="shared" si="34"/>
        <v>#DIV/0!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 t="s">
        <v>71</v>
      </c>
      <c r="AO105" s="1">
        <f t="shared" si="35"/>
        <v>0</v>
      </c>
      <c r="AP105" s="1">
        <f>VLOOKUP(A105,[1]Лист1!$A:$B,2,0)</f>
        <v>0</v>
      </c>
      <c r="AQ105" s="1">
        <f t="shared" si="36"/>
        <v>0</v>
      </c>
    </row>
    <row r="106" spans="1:43" x14ac:dyDescent="0.25">
      <c r="A106" s="1" t="s">
        <v>170</v>
      </c>
      <c r="B106" s="1" t="s">
        <v>52</v>
      </c>
      <c r="C106" s="1">
        <v>159</v>
      </c>
      <c r="D106" s="1">
        <v>379</v>
      </c>
      <c r="E106" s="1">
        <v>295</v>
      </c>
      <c r="F106" s="1">
        <v>137</v>
      </c>
      <c r="G106" s="7">
        <v>0.08</v>
      </c>
      <c r="H106" s="1">
        <v>45</v>
      </c>
      <c r="I106" s="1" t="s">
        <v>53</v>
      </c>
      <c r="J106" s="1"/>
      <c r="K106" s="1">
        <v>362</v>
      </c>
      <c r="L106" s="1">
        <f t="shared" si="30"/>
        <v>-67</v>
      </c>
      <c r="M106" s="1">
        <f t="shared" si="31"/>
        <v>295</v>
      </c>
      <c r="N106" s="1"/>
      <c r="O106" s="1"/>
      <c r="P106" s="1">
        <v>158.6</v>
      </c>
      <c r="Q106" s="1"/>
      <c r="R106" s="23"/>
      <c r="S106" s="1"/>
      <c r="T106" s="1"/>
      <c r="U106" s="1">
        <v>200</v>
      </c>
      <c r="V106" s="1"/>
      <c r="W106" s="1"/>
      <c r="X106" s="1">
        <f t="shared" si="32"/>
        <v>59</v>
      </c>
      <c r="Y106" s="5">
        <f>11.5*X106-W106-U106-S106-P106-O106-F106</f>
        <v>182.89999999999998</v>
      </c>
      <c r="Z106" s="5">
        <f t="shared" si="29"/>
        <v>182.89999999999998</v>
      </c>
      <c r="AA106" s="5">
        <f t="shared" si="33"/>
        <v>182.89999999999998</v>
      </c>
      <c r="AB106" s="5"/>
      <c r="AC106" s="1"/>
      <c r="AD106" s="1">
        <f t="shared" si="27"/>
        <v>11.5</v>
      </c>
      <c r="AE106" s="1">
        <f t="shared" si="34"/>
        <v>8.4</v>
      </c>
      <c r="AF106" s="1">
        <v>58.6</v>
      </c>
      <c r="AG106" s="1">
        <v>35.6</v>
      </c>
      <c r="AH106" s="1">
        <v>40.4</v>
      </c>
      <c r="AI106" s="1">
        <v>39</v>
      </c>
      <c r="AJ106" s="1">
        <v>49</v>
      </c>
      <c r="AK106" s="1">
        <v>45.4</v>
      </c>
      <c r="AL106" s="1">
        <v>45.2</v>
      </c>
      <c r="AM106" s="1">
        <v>38.799999999999997</v>
      </c>
      <c r="AN106" s="1"/>
      <c r="AO106" s="1">
        <f t="shared" si="35"/>
        <v>15</v>
      </c>
      <c r="AP106" s="1">
        <f>VLOOKUP(A106,[1]Лист1!$A:$B,2,0)</f>
        <v>15</v>
      </c>
      <c r="AQ106" s="1">
        <f t="shared" si="36"/>
        <v>0</v>
      </c>
    </row>
    <row r="107" spans="1:43" x14ac:dyDescent="0.25">
      <c r="A107" s="1" t="s">
        <v>171</v>
      </c>
      <c r="B107" s="1" t="s">
        <v>52</v>
      </c>
      <c r="C107" s="1">
        <v>42</v>
      </c>
      <c r="D107" s="1">
        <v>130</v>
      </c>
      <c r="E107" s="1">
        <v>122</v>
      </c>
      <c r="F107" s="1">
        <v>29</v>
      </c>
      <c r="G107" s="7">
        <v>0.08</v>
      </c>
      <c r="H107" s="1">
        <v>45</v>
      </c>
      <c r="I107" s="1" t="s">
        <v>53</v>
      </c>
      <c r="J107" s="1"/>
      <c r="K107" s="1">
        <v>355</v>
      </c>
      <c r="L107" s="1">
        <f t="shared" si="30"/>
        <v>-233</v>
      </c>
      <c r="M107" s="1">
        <f t="shared" si="31"/>
        <v>122</v>
      </c>
      <c r="N107" s="1"/>
      <c r="O107" s="1"/>
      <c r="P107" s="1">
        <v>0</v>
      </c>
      <c r="Q107" s="1"/>
      <c r="R107" s="23"/>
      <c r="S107" s="1"/>
      <c r="T107" s="1"/>
      <c r="U107" s="1"/>
      <c r="V107" s="1"/>
      <c r="W107" s="1"/>
      <c r="X107" s="1">
        <f t="shared" si="32"/>
        <v>24.4</v>
      </c>
      <c r="Y107" s="5">
        <f>7*X107-W107-U107-S107-P107-O107-F107</f>
        <v>141.79999999999998</v>
      </c>
      <c r="Z107" s="5">
        <f t="shared" si="29"/>
        <v>141.79999999999998</v>
      </c>
      <c r="AA107" s="5">
        <f t="shared" si="33"/>
        <v>141.79999999999998</v>
      </c>
      <c r="AB107" s="5"/>
      <c r="AC107" s="1"/>
      <c r="AD107" s="1">
        <f t="shared" si="27"/>
        <v>7</v>
      </c>
      <c r="AE107" s="1">
        <f t="shared" si="34"/>
        <v>1.1885245901639345</v>
      </c>
      <c r="AF107" s="1">
        <v>2.2000000000000002</v>
      </c>
      <c r="AG107" s="1">
        <v>12.4</v>
      </c>
      <c r="AH107" s="1">
        <v>32</v>
      </c>
      <c r="AI107" s="1">
        <v>30.4</v>
      </c>
      <c r="AJ107" s="1">
        <v>36.200000000000003</v>
      </c>
      <c r="AK107" s="1">
        <v>26.6</v>
      </c>
      <c r="AL107" s="1">
        <v>26.8</v>
      </c>
      <c r="AM107" s="1">
        <v>29</v>
      </c>
      <c r="AN107" s="1"/>
      <c r="AO107" s="1">
        <f t="shared" si="35"/>
        <v>11</v>
      </c>
      <c r="AP107" s="1">
        <f>VLOOKUP(A107,[1]Лист1!$A:$B,2,0)</f>
        <v>11</v>
      </c>
      <c r="AQ107" s="1">
        <f t="shared" si="36"/>
        <v>0</v>
      </c>
    </row>
    <row r="108" spans="1:43" x14ac:dyDescent="0.25">
      <c r="A108" s="1" t="s">
        <v>172</v>
      </c>
      <c r="B108" s="1" t="s">
        <v>52</v>
      </c>
      <c r="C108" s="1">
        <v>-14</v>
      </c>
      <c r="D108" s="1">
        <v>167</v>
      </c>
      <c r="E108" s="1">
        <v>78</v>
      </c>
      <c r="F108" s="1">
        <v>-15</v>
      </c>
      <c r="G108" s="7">
        <v>0.17</v>
      </c>
      <c r="H108" s="1">
        <v>30</v>
      </c>
      <c r="I108" s="1" t="s">
        <v>53</v>
      </c>
      <c r="J108" s="1"/>
      <c r="K108" s="1">
        <v>135</v>
      </c>
      <c r="L108" s="1">
        <f t="shared" si="30"/>
        <v>-57</v>
      </c>
      <c r="M108" s="1">
        <f t="shared" si="31"/>
        <v>78</v>
      </c>
      <c r="N108" s="1"/>
      <c r="O108" s="1"/>
      <c r="P108" s="1">
        <v>80</v>
      </c>
      <c r="Q108" s="1"/>
      <c r="R108" s="23"/>
      <c r="S108" s="1"/>
      <c r="T108" s="1"/>
      <c r="U108" s="1"/>
      <c r="V108" s="1"/>
      <c r="W108" s="1"/>
      <c r="X108" s="1">
        <f t="shared" si="32"/>
        <v>15.6</v>
      </c>
      <c r="Y108" s="5">
        <f>11*X108-W108-U108-S108-P108-O108-F108</f>
        <v>106.6</v>
      </c>
      <c r="Z108" s="5">
        <f t="shared" si="29"/>
        <v>106.6</v>
      </c>
      <c r="AA108" s="5">
        <f t="shared" si="33"/>
        <v>106.6</v>
      </c>
      <c r="AB108" s="5"/>
      <c r="AC108" s="1"/>
      <c r="AD108" s="1">
        <f t="shared" si="27"/>
        <v>11</v>
      </c>
      <c r="AE108" s="1">
        <f t="shared" si="34"/>
        <v>4.166666666666667</v>
      </c>
      <c r="AF108" s="1">
        <v>14</v>
      </c>
      <c r="AG108" s="1">
        <v>2.4</v>
      </c>
      <c r="AH108" s="1">
        <v>3.2</v>
      </c>
      <c r="AI108" s="1">
        <v>8</v>
      </c>
      <c r="AJ108" s="1">
        <v>9.1999999999999993</v>
      </c>
      <c r="AK108" s="1">
        <v>7.8</v>
      </c>
      <c r="AL108" s="1">
        <v>2.6</v>
      </c>
      <c r="AM108" s="1">
        <v>1.4</v>
      </c>
      <c r="AN108" s="1"/>
      <c r="AO108" s="1">
        <f t="shared" si="35"/>
        <v>18</v>
      </c>
      <c r="AP108" s="1">
        <f>VLOOKUP(A108,[1]Лист1!$A:$B,2,0)</f>
        <v>18</v>
      </c>
      <c r="AQ108" s="1">
        <f t="shared" si="36"/>
        <v>0</v>
      </c>
    </row>
    <row r="109" spans="1:43" x14ac:dyDescent="0.25">
      <c r="A109" s="1" t="s">
        <v>173</v>
      </c>
      <c r="B109" s="1" t="s">
        <v>47</v>
      </c>
      <c r="C109" s="1">
        <v>144.87</v>
      </c>
      <c r="D109" s="1">
        <v>364.62400000000002</v>
      </c>
      <c r="E109" s="1">
        <v>239.745</v>
      </c>
      <c r="F109" s="1">
        <v>230.44800000000001</v>
      </c>
      <c r="G109" s="7">
        <v>1</v>
      </c>
      <c r="H109" s="1">
        <v>40</v>
      </c>
      <c r="I109" s="1" t="s">
        <v>53</v>
      </c>
      <c r="J109" s="1"/>
      <c r="K109" s="1">
        <v>259.7</v>
      </c>
      <c r="L109" s="1">
        <f t="shared" si="30"/>
        <v>-19.954999999999984</v>
      </c>
      <c r="M109" s="1">
        <f t="shared" si="31"/>
        <v>239.745</v>
      </c>
      <c r="N109" s="1"/>
      <c r="O109" s="1"/>
      <c r="P109" s="1">
        <v>241.33160000000001</v>
      </c>
      <c r="Q109" s="1"/>
      <c r="R109" s="23"/>
      <c r="S109" s="1"/>
      <c r="T109" s="1"/>
      <c r="U109" s="1"/>
      <c r="V109" s="1"/>
      <c r="W109" s="1"/>
      <c r="X109" s="1">
        <f t="shared" si="32"/>
        <v>47.948999999999998</v>
      </c>
      <c r="Y109" s="5">
        <f>11.5*X109-W109-U109-S109-P109-O109-F109</f>
        <v>79.633900000000011</v>
      </c>
      <c r="Z109" s="5">
        <f t="shared" si="29"/>
        <v>79.633900000000011</v>
      </c>
      <c r="AA109" s="5">
        <f t="shared" si="33"/>
        <v>79.633900000000011</v>
      </c>
      <c r="AB109" s="5"/>
      <c r="AC109" s="1"/>
      <c r="AD109" s="1">
        <f t="shared" si="27"/>
        <v>11.5</v>
      </c>
      <c r="AE109" s="1">
        <f t="shared" si="34"/>
        <v>9.8391958122171488</v>
      </c>
      <c r="AF109" s="1">
        <v>50.321599999999997</v>
      </c>
      <c r="AG109" s="1">
        <v>34.956800000000001</v>
      </c>
      <c r="AH109" s="1">
        <v>41.598399999999998</v>
      </c>
      <c r="AI109" s="1">
        <v>45.939</v>
      </c>
      <c r="AJ109" s="1">
        <v>53.251199999999997</v>
      </c>
      <c r="AK109" s="1">
        <v>53.023000000000003</v>
      </c>
      <c r="AL109" s="1">
        <v>48.691000000000003</v>
      </c>
      <c r="AM109" s="1">
        <v>50.067399999999999</v>
      </c>
      <c r="AN109" s="1"/>
      <c r="AO109" s="1">
        <f t="shared" si="35"/>
        <v>80</v>
      </c>
      <c r="AP109" s="1">
        <f>VLOOKUP(A109,[1]Лист1!$A:$B,2,0)</f>
        <v>80</v>
      </c>
      <c r="AQ109" s="1">
        <f t="shared" si="36"/>
        <v>0</v>
      </c>
    </row>
    <row r="110" spans="1:43" x14ac:dyDescent="0.25">
      <c r="A110" s="1" t="s">
        <v>174</v>
      </c>
      <c r="B110" s="1" t="s">
        <v>47</v>
      </c>
      <c r="C110" s="1">
        <v>87.203000000000003</v>
      </c>
      <c r="D110" s="1">
        <v>50.430999999999997</v>
      </c>
      <c r="E110" s="1">
        <v>106.89</v>
      </c>
      <c r="F110" s="1">
        <v>6.5250000000000004</v>
      </c>
      <c r="G110" s="7">
        <v>1</v>
      </c>
      <c r="H110" s="1">
        <v>40</v>
      </c>
      <c r="I110" s="1" t="s">
        <v>53</v>
      </c>
      <c r="J110" s="1"/>
      <c r="K110" s="1">
        <v>115.7</v>
      </c>
      <c r="L110" s="1">
        <f t="shared" si="30"/>
        <v>-8.8100000000000023</v>
      </c>
      <c r="M110" s="1">
        <f t="shared" si="31"/>
        <v>106.89</v>
      </c>
      <c r="N110" s="1"/>
      <c r="O110" s="1"/>
      <c r="P110" s="1">
        <v>80.849400000000003</v>
      </c>
      <c r="Q110" s="1"/>
      <c r="R110" s="23"/>
      <c r="S110" s="1"/>
      <c r="T110" s="1"/>
      <c r="U110" s="1"/>
      <c r="V110" s="1"/>
      <c r="W110" s="1"/>
      <c r="X110" s="1">
        <f t="shared" si="32"/>
        <v>21.378</v>
      </c>
      <c r="Y110" s="5">
        <f>11*X110-W110-U110-S110-P110-O110-F110</f>
        <v>147.78360000000001</v>
      </c>
      <c r="Z110" s="5">
        <f t="shared" si="29"/>
        <v>147.78360000000001</v>
      </c>
      <c r="AA110" s="5">
        <f t="shared" si="33"/>
        <v>147.78360000000001</v>
      </c>
      <c r="AB110" s="5"/>
      <c r="AC110" s="1"/>
      <c r="AD110" s="1">
        <f t="shared" si="27"/>
        <v>11</v>
      </c>
      <c r="AE110" s="1">
        <f t="shared" si="34"/>
        <v>4.0871175975301712</v>
      </c>
      <c r="AF110" s="1">
        <v>13.5524</v>
      </c>
      <c r="AG110" s="1">
        <v>5.1452</v>
      </c>
      <c r="AH110" s="1">
        <v>6.1728000000000014</v>
      </c>
      <c r="AI110" s="1">
        <v>6.9261999999999997</v>
      </c>
      <c r="AJ110" s="1">
        <v>11.025399999999999</v>
      </c>
      <c r="AK110" s="1">
        <v>19.4436</v>
      </c>
      <c r="AL110" s="1">
        <v>17.420200000000001</v>
      </c>
      <c r="AM110" s="1">
        <v>11.458399999999999</v>
      </c>
      <c r="AN110" s="1"/>
      <c r="AO110" s="1">
        <f t="shared" si="35"/>
        <v>148</v>
      </c>
      <c r="AP110" s="1">
        <f>VLOOKUP(A110,[1]Лист1!$A:$B,2,0)</f>
        <v>148</v>
      </c>
      <c r="AQ110" s="1">
        <f t="shared" si="36"/>
        <v>0</v>
      </c>
    </row>
    <row r="111" spans="1:43" x14ac:dyDescent="0.25">
      <c r="A111" s="1" t="s">
        <v>175</v>
      </c>
      <c r="B111" s="1" t="s">
        <v>47</v>
      </c>
      <c r="C111" s="1">
        <v>246.38</v>
      </c>
      <c r="D111" s="1">
        <v>119.89700000000001</v>
      </c>
      <c r="E111" s="1">
        <v>217.43799999999999</v>
      </c>
      <c r="F111" s="1">
        <v>108.968</v>
      </c>
      <c r="G111" s="7">
        <v>1</v>
      </c>
      <c r="H111" s="1">
        <v>40</v>
      </c>
      <c r="I111" s="1" t="s">
        <v>53</v>
      </c>
      <c r="J111" s="1"/>
      <c r="K111" s="1">
        <v>235</v>
      </c>
      <c r="L111" s="1">
        <f t="shared" si="30"/>
        <v>-17.562000000000012</v>
      </c>
      <c r="M111" s="1">
        <f t="shared" si="31"/>
        <v>217.43799999999999</v>
      </c>
      <c r="N111" s="1"/>
      <c r="O111" s="1"/>
      <c r="P111" s="1">
        <v>130.21379999999999</v>
      </c>
      <c r="Q111" s="1"/>
      <c r="R111" s="23"/>
      <c r="S111" s="1"/>
      <c r="T111" s="1"/>
      <c r="U111" s="1">
        <v>100</v>
      </c>
      <c r="V111" s="1"/>
      <c r="W111" s="1"/>
      <c r="X111" s="1">
        <f t="shared" si="32"/>
        <v>43.4876</v>
      </c>
      <c r="Y111" s="5">
        <f>11.5*X111-W111-U111-S111-P111-O111-F111</f>
        <v>160.92559999999997</v>
      </c>
      <c r="Z111" s="5">
        <f t="shared" si="29"/>
        <v>160.92559999999997</v>
      </c>
      <c r="AA111" s="5">
        <f t="shared" si="33"/>
        <v>160.92559999999997</v>
      </c>
      <c r="AB111" s="5"/>
      <c r="AC111" s="1"/>
      <c r="AD111" s="1">
        <f t="shared" si="27"/>
        <v>11.5</v>
      </c>
      <c r="AE111" s="1">
        <f t="shared" si="34"/>
        <v>7.7995060660970026</v>
      </c>
      <c r="AF111" s="1">
        <v>38.700800000000001</v>
      </c>
      <c r="AG111" s="1">
        <v>22.611000000000001</v>
      </c>
      <c r="AH111" s="1">
        <v>27.788799999999998</v>
      </c>
      <c r="AI111" s="1">
        <v>32.3598</v>
      </c>
      <c r="AJ111" s="1">
        <v>36.879600000000003</v>
      </c>
      <c r="AK111" s="1">
        <v>41.132800000000003</v>
      </c>
      <c r="AL111" s="1">
        <v>45.424199999999999</v>
      </c>
      <c r="AM111" s="1">
        <v>42.593600000000002</v>
      </c>
      <c r="AN111" s="1"/>
      <c r="AO111" s="1">
        <f t="shared" si="35"/>
        <v>161</v>
      </c>
      <c r="AP111" s="1">
        <f>VLOOKUP(A111,[1]Лист1!$A:$B,2,0)</f>
        <v>161</v>
      </c>
      <c r="AQ111" s="1">
        <f t="shared" si="36"/>
        <v>0</v>
      </c>
    </row>
    <row r="112" spans="1:43" x14ac:dyDescent="0.25">
      <c r="A112" s="1" t="s">
        <v>176</v>
      </c>
      <c r="B112" s="1" t="s">
        <v>52</v>
      </c>
      <c r="C112" s="1">
        <v>85</v>
      </c>
      <c r="D112" s="1">
        <v>26</v>
      </c>
      <c r="E112" s="1">
        <v>77</v>
      </c>
      <c r="F112" s="1">
        <v>34</v>
      </c>
      <c r="G112" s="7">
        <v>0.3</v>
      </c>
      <c r="H112" s="1">
        <v>45</v>
      </c>
      <c r="I112" s="1" t="s">
        <v>53</v>
      </c>
      <c r="J112" s="1"/>
      <c r="K112" s="1">
        <v>89</v>
      </c>
      <c r="L112" s="1">
        <f t="shared" si="30"/>
        <v>-12</v>
      </c>
      <c r="M112" s="1">
        <f t="shared" si="31"/>
        <v>77</v>
      </c>
      <c r="N112" s="1"/>
      <c r="O112" s="1"/>
      <c r="P112" s="1">
        <v>90</v>
      </c>
      <c r="Q112" s="1"/>
      <c r="R112" s="23"/>
      <c r="S112" s="1"/>
      <c r="T112" s="1"/>
      <c r="U112" s="1"/>
      <c r="V112" s="1"/>
      <c r="W112" s="1"/>
      <c r="X112" s="1">
        <f t="shared" si="32"/>
        <v>15.4</v>
      </c>
      <c r="Y112" s="5">
        <f>11.5*X112-W112-U112-S112-P112-O112-F112</f>
        <v>53.099999999999994</v>
      </c>
      <c r="Z112" s="5">
        <f t="shared" si="29"/>
        <v>53.099999999999994</v>
      </c>
      <c r="AA112" s="5">
        <f t="shared" si="33"/>
        <v>53.099999999999994</v>
      </c>
      <c r="AB112" s="5"/>
      <c r="AC112" s="1"/>
      <c r="AD112" s="1">
        <f t="shared" si="27"/>
        <v>11.5</v>
      </c>
      <c r="AE112" s="1">
        <f t="shared" si="34"/>
        <v>8.0519480519480524</v>
      </c>
      <c r="AF112" s="1">
        <v>15.2</v>
      </c>
      <c r="AG112" s="1">
        <v>5.8</v>
      </c>
      <c r="AH112" s="1">
        <v>0.6</v>
      </c>
      <c r="AI112" s="1">
        <v>0.6</v>
      </c>
      <c r="AJ112" s="1">
        <v>3.8</v>
      </c>
      <c r="AK112" s="1">
        <v>12.4</v>
      </c>
      <c r="AL112" s="1">
        <v>11.2</v>
      </c>
      <c r="AM112" s="1">
        <v>2.8</v>
      </c>
      <c r="AN112" s="1"/>
      <c r="AO112" s="1">
        <f t="shared" si="35"/>
        <v>16</v>
      </c>
      <c r="AP112" s="1">
        <f>VLOOKUP(A112,[1]Лист1!$A:$B,2,0)</f>
        <v>16</v>
      </c>
      <c r="AQ112" s="1">
        <f t="shared" si="36"/>
        <v>0</v>
      </c>
    </row>
    <row r="113" spans="1:43" x14ac:dyDescent="0.25">
      <c r="A113" s="1" t="s">
        <v>177</v>
      </c>
      <c r="B113" s="1" t="s">
        <v>47</v>
      </c>
      <c r="C113" s="1">
        <v>-8.0000000000000002E-3</v>
      </c>
      <c r="D113" s="1">
        <v>21.774999999999999</v>
      </c>
      <c r="E113" s="1">
        <v>5.5259999999999998</v>
      </c>
      <c r="F113" s="1">
        <v>0.55600000000000005</v>
      </c>
      <c r="G113" s="7">
        <v>1</v>
      </c>
      <c r="H113" s="1">
        <v>55</v>
      </c>
      <c r="I113" s="1" t="s">
        <v>53</v>
      </c>
      <c r="J113" s="1"/>
      <c r="K113" s="1">
        <v>5.3659999999999997</v>
      </c>
      <c r="L113" s="1">
        <f t="shared" si="30"/>
        <v>0.16000000000000014</v>
      </c>
      <c r="M113" s="1">
        <f t="shared" si="31"/>
        <v>5.5259999999999998</v>
      </c>
      <c r="N113" s="1"/>
      <c r="O113" s="1"/>
      <c r="P113" s="1">
        <v>0</v>
      </c>
      <c r="Q113" s="1"/>
      <c r="R113" s="23"/>
      <c r="S113" s="1"/>
      <c r="T113" s="1"/>
      <c r="U113" s="1"/>
      <c r="V113" s="1"/>
      <c r="W113" s="1"/>
      <c r="X113" s="1">
        <f t="shared" si="32"/>
        <v>1.1052</v>
      </c>
      <c r="Y113" s="5">
        <f>7*X113-W113-U113-S113-P113-O113-F113</f>
        <v>7.1803999999999997</v>
      </c>
      <c r="Z113" s="5">
        <f t="shared" si="29"/>
        <v>7.1803999999999997</v>
      </c>
      <c r="AA113" s="5">
        <f t="shared" si="33"/>
        <v>7.1803999999999997</v>
      </c>
      <c r="AB113" s="5"/>
      <c r="AC113" s="1"/>
      <c r="AD113" s="1">
        <f t="shared" si="27"/>
        <v>7</v>
      </c>
      <c r="AE113" s="1">
        <f t="shared" si="34"/>
        <v>0.50307636626854879</v>
      </c>
      <c r="AF113" s="1">
        <v>0.27600000000000002</v>
      </c>
      <c r="AG113" s="1">
        <v>0</v>
      </c>
      <c r="AH113" s="1">
        <v>0.40500000000000003</v>
      </c>
      <c r="AI113" s="1">
        <v>0.40500000000000003</v>
      </c>
      <c r="AJ113" s="1">
        <v>1.224</v>
      </c>
      <c r="AK113" s="1">
        <v>0.5544</v>
      </c>
      <c r="AL113" s="1">
        <v>-0.2646</v>
      </c>
      <c r="AM113" s="1">
        <v>0</v>
      </c>
      <c r="AN113" s="1"/>
      <c r="AO113" s="1">
        <f t="shared" si="35"/>
        <v>7</v>
      </c>
      <c r="AP113" s="1">
        <f>VLOOKUP(A113,[1]Лист1!$A:$B,2,0)</f>
        <v>7</v>
      </c>
      <c r="AQ113" s="1">
        <f t="shared" si="36"/>
        <v>0</v>
      </c>
    </row>
    <row r="114" spans="1:43" x14ac:dyDescent="0.25">
      <c r="A114" s="1" t="s">
        <v>178</v>
      </c>
      <c r="B114" s="1" t="s">
        <v>52</v>
      </c>
      <c r="C114" s="1">
        <v>347</v>
      </c>
      <c r="D114" s="1">
        <v>335</v>
      </c>
      <c r="E114" s="1">
        <v>419</v>
      </c>
      <c r="F114" s="1">
        <v>163</v>
      </c>
      <c r="G114" s="7">
        <v>0.28000000000000003</v>
      </c>
      <c r="H114" s="1">
        <v>40</v>
      </c>
      <c r="I114" s="1" t="s">
        <v>53</v>
      </c>
      <c r="J114" s="1"/>
      <c r="K114" s="1">
        <v>461</v>
      </c>
      <c r="L114" s="1">
        <f t="shared" si="30"/>
        <v>-42</v>
      </c>
      <c r="M114" s="1">
        <f t="shared" si="31"/>
        <v>419</v>
      </c>
      <c r="N114" s="1"/>
      <c r="O114" s="1"/>
      <c r="P114" s="1">
        <v>496.19600000000003</v>
      </c>
      <c r="Q114" s="1"/>
      <c r="R114" s="23"/>
      <c r="S114" s="1"/>
      <c r="T114" s="1"/>
      <c r="U114" s="1"/>
      <c r="V114" s="1"/>
      <c r="W114" s="1"/>
      <c r="X114" s="1">
        <f t="shared" si="32"/>
        <v>83.8</v>
      </c>
      <c r="Y114" s="5">
        <f>11.5*X114-W114-U114-S114-P114-O114-F114</f>
        <v>304.50399999999991</v>
      </c>
      <c r="Z114" s="5">
        <f t="shared" si="29"/>
        <v>304.50399999999991</v>
      </c>
      <c r="AA114" s="5">
        <f t="shared" si="33"/>
        <v>304.50399999999991</v>
      </c>
      <c r="AB114" s="5"/>
      <c r="AC114" s="1"/>
      <c r="AD114" s="1">
        <f t="shared" si="27"/>
        <v>11.5</v>
      </c>
      <c r="AE114" s="1">
        <f t="shared" si="34"/>
        <v>7.8663007159904543</v>
      </c>
      <c r="AF114" s="1">
        <v>89</v>
      </c>
      <c r="AG114" s="1">
        <v>60.4</v>
      </c>
      <c r="AH114" s="1">
        <v>51.8</v>
      </c>
      <c r="AI114" s="1">
        <v>57</v>
      </c>
      <c r="AJ114" s="1">
        <v>70</v>
      </c>
      <c r="AK114" s="1">
        <v>76.8</v>
      </c>
      <c r="AL114" s="1">
        <v>82.8</v>
      </c>
      <c r="AM114" s="1">
        <v>77.599999999999994</v>
      </c>
      <c r="AN114" s="1"/>
      <c r="AO114" s="1">
        <f t="shared" si="35"/>
        <v>85</v>
      </c>
      <c r="AP114" s="1">
        <f>VLOOKUP(A114,[1]Лист1!$A:$B,2,0)</f>
        <v>85</v>
      </c>
      <c r="AQ114" s="1">
        <f t="shared" si="36"/>
        <v>0</v>
      </c>
    </row>
    <row r="115" spans="1:43" x14ac:dyDescent="0.25">
      <c r="A115" s="1" t="s">
        <v>179</v>
      </c>
      <c r="B115" s="1" t="s">
        <v>52</v>
      </c>
      <c r="C115" s="1">
        <v>303.726</v>
      </c>
      <c r="D115" s="1">
        <v>317</v>
      </c>
      <c r="E115" s="1">
        <v>545</v>
      </c>
      <c r="F115" s="1">
        <v>6.726</v>
      </c>
      <c r="G115" s="7">
        <v>0.28000000000000003</v>
      </c>
      <c r="H115" s="1">
        <v>40</v>
      </c>
      <c r="I115" s="1" t="s">
        <v>53</v>
      </c>
      <c r="J115" s="1"/>
      <c r="K115" s="1">
        <v>576</v>
      </c>
      <c r="L115" s="1">
        <f t="shared" si="30"/>
        <v>-31</v>
      </c>
      <c r="M115" s="1">
        <f t="shared" si="31"/>
        <v>545</v>
      </c>
      <c r="N115" s="1"/>
      <c r="O115" s="1"/>
      <c r="P115" s="1">
        <v>293.3424</v>
      </c>
      <c r="Q115" s="1"/>
      <c r="R115" s="23"/>
      <c r="S115" s="1"/>
      <c r="T115" s="1"/>
      <c r="U115" s="1">
        <v>300</v>
      </c>
      <c r="V115" s="1"/>
      <c r="W115" s="1"/>
      <c r="X115" s="1">
        <f t="shared" si="32"/>
        <v>109</v>
      </c>
      <c r="Y115" s="5">
        <f>11.5*X115-W115-U115-S115-P115-O115-F115</f>
        <v>653.4316</v>
      </c>
      <c r="Z115" s="5">
        <f>Y115+$Z$1*X115</f>
        <v>730.82159999999999</v>
      </c>
      <c r="AA115" s="5">
        <f t="shared" si="33"/>
        <v>232.40126879999997</v>
      </c>
      <c r="AB115" s="5">
        <f>$AB$1*Z115</f>
        <v>498.42033120000002</v>
      </c>
      <c r="AC115" s="1"/>
      <c r="AD115" s="1">
        <f t="shared" si="27"/>
        <v>12.209999999999999</v>
      </c>
      <c r="AE115" s="1">
        <f t="shared" si="34"/>
        <v>5.5052146788990823</v>
      </c>
      <c r="AF115" s="1">
        <v>91.4</v>
      </c>
      <c r="AG115" s="1">
        <v>49.0548</v>
      </c>
      <c r="AH115" s="1">
        <v>24.854800000000001</v>
      </c>
      <c r="AI115" s="1">
        <v>32.654800000000002</v>
      </c>
      <c r="AJ115" s="1">
        <v>50.4</v>
      </c>
      <c r="AK115" s="1">
        <v>91.8</v>
      </c>
      <c r="AL115" s="1">
        <v>43.6</v>
      </c>
      <c r="AM115" s="1">
        <v>2</v>
      </c>
      <c r="AN115" s="1"/>
      <c r="AO115" s="1">
        <f t="shared" si="35"/>
        <v>65</v>
      </c>
      <c r="AP115" s="1">
        <f>VLOOKUP(A115,[1]Лист1!$A:$B,2,0)</f>
        <v>65</v>
      </c>
      <c r="AQ115" s="1">
        <f t="shared" si="36"/>
        <v>140</v>
      </c>
    </row>
    <row r="116" spans="1:43" x14ac:dyDescent="0.25">
      <c r="A116" s="1" t="s">
        <v>180</v>
      </c>
      <c r="B116" s="1" t="s">
        <v>52</v>
      </c>
      <c r="C116" s="1">
        <v>214.5</v>
      </c>
      <c r="D116" s="1">
        <v>779</v>
      </c>
      <c r="E116" s="1">
        <v>616</v>
      </c>
      <c r="F116" s="1">
        <v>233.5</v>
      </c>
      <c r="G116" s="7">
        <v>0.28000000000000003</v>
      </c>
      <c r="H116" s="1">
        <v>40</v>
      </c>
      <c r="I116" s="1" t="s">
        <v>53</v>
      </c>
      <c r="J116" s="1"/>
      <c r="K116" s="1">
        <v>666</v>
      </c>
      <c r="L116" s="1">
        <f t="shared" si="30"/>
        <v>-50</v>
      </c>
      <c r="M116" s="1">
        <f t="shared" si="31"/>
        <v>616</v>
      </c>
      <c r="N116" s="1"/>
      <c r="O116" s="1"/>
      <c r="P116" s="1">
        <v>393.57900000000018</v>
      </c>
      <c r="Q116" s="1"/>
      <c r="R116" s="23"/>
      <c r="S116" s="1"/>
      <c r="T116" s="1"/>
      <c r="U116" s="1">
        <v>400</v>
      </c>
      <c r="V116" s="1"/>
      <c r="W116" s="1"/>
      <c r="X116" s="1">
        <f t="shared" si="32"/>
        <v>123.2</v>
      </c>
      <c r="Y116" s="5">
        <f>11.5*X116-W116-U116-S116-P116-O116-F116</f>
        <v>389.72099999999978</v>
      </c>
      <c r="Z116" s="5">
        <f>Y116+$Z$1*X116</f>
        <v>477.19299999999976</v>
      </c>
      <c r="AA116" s="5">
        <f t="shared" si="33"/>
        <v>477.19299999999976</v>
      </c>
      <c r="AB116" s="5"/>
      <c r="AC116" s="1"/>
      <c r="AD116" s="1">
        <f t="shared" si="27"/>
        <v>12.209999999999999</v>
      </c>
      <c r="AE116" s="1">
        <f t="shared" si="34"/>
        <v>8.3366801948051954</v>
      </c>
      <c r="AF116" s="1">
        <v>137</v>
      </c>
      <c r="AG116" s="1">
        <v>87.1</v>
      </c>
      <c r="AH116" s="1">
        <v>78.7</v>
      </c>
      <c r="AI116" s="1">
        <v>78.5</v>
      </c>
      <c r="AJ116" s="1">
        <v>103.2</v>
      </c>
      <c r="AK116" s="1">
        <v>101.8</v>
      </c>
      <c r="AL116" s="1">
        <v>99</v>
      </c>
      <c r="AM116" s="1">
        <v>77.8</v>
      </c>
      <c r="AN116" s="1"/>
      <c r="AO116" s="1">
        <f t="shared" si="35"/>
        <v>134</v>
      </c>
      <c r="AP116" s="1">
        <f>VLOOKUP(A116,[1]Лист1!$A:$B,2,0)</f>
        <v>134</v>
      </c>
      <c r="AQ116" s="1">
        <f t="shared" si="36"/>
        <v>0</v>
      </c>
    </row>
    <row r="117" spans="1:43" x14ac:dyDescent="0.25">
      <c r="A117" s="1" t="s">
        <v>181</v>
      </c>
      <c r="B117" s="1" t="s">
        <v>52</v>
      </c>
      <c r="C117" s="1">
        <v>-12</v>
      </c>
      <c r="D117" s="1">
        <v>176</v>
      </c>
      <c r="E117" s="1">
        <v>61</v>
      </c>
      <c r="F117" s="1">
        <v>48</v>
      </c>
      <c r="G117" s="7">
        <v>0.09</v>
      </c>
      <c r="H117" s="1">
        <v>45</v>
      </c>
      <c r="I117" s="1" t="s">
        <v>53</v>
      </c>
      <c r="J117" s="1"/>
      <c r="K117" s="1">
        <v>123</v>
      </c>
      <c r="L117" s="1">
        <f t="shared" si="30"/>
        <v>-62</v>
      </c>
      <c r="M117" s="1">
        <f t="shared" si="31"/>
        <v>61</v>
      </c>
      <c r="N117" s="1"/>
      <c r="O117" s="1"/>
      <c r="P117" s="1">
        <v>71.179999999999978</v>
      </c>
      <c r="Q117" s="1"/>
      <c r="R117" s="23"/>
      <c r="S117" s="1"/>
      <c r="T117" s="1"/>
      <c r="U117" s="1"/>
      <c r="V117" s="1"/>
      <c r="W117" s="1"/>
      <c r="X117" s="1">
        <f t="shared" si="32"/>
        <v>12.2</v>
      </c>
      <c r="Y117" s="5">
        <f>11.5*X117-W117-U117-S117-P117-O117-F117</f>
        <v>21.120000000000005</v>
      </c>
      <c r="Z117" s="5">
        <f t="shared" ref="Z117:Z123" si="37">Y117</f>
        <v>21.120000000000005</v>
      </c>
      <c r="AA117" s="5">
        <f t="shared" si="33"/>
        <v>21.120000000000005</v>
      </c>
      <c r="AB117" s="5"/>
      <c r="AC117" s="1"/>
      <c r="AD117" s="1">
        <f t="shared" si="27"/>
        <v>11.5</v>
      </c>
      <c r="AE117" s="1">
        <f t="shared" si="34"/>
        <v>9.7688524590163919</v>
      </c>
      <c r="AF117" s="1">
        <v>13.2</v>
      </c>
      <c r="AG117" s="1">
        <v>5.4</v>
      </c>
      <c r="AH117" s="1">
        <v>9.8000000000000007</v>
      </c>
      <c r="AI117" s="1">
        <v>6.6</v>
      </c>
      <c r="AJ117" s="1">
        <v>10</v>
      </c>
      <c r="AK117" s="1">
        <v>8.1999999999999993</v>
      </c>
      <c r="AL117" s="1">
        <v>7.6</v>
      </c>
      <c r="AM117" s="1">
        <v>7.2</v>
      </c>
      <c r="AN117" s="1"/>
      <c r="AO117" s="1">
        <f t="shared" si="35"/>
        <v>2</v>
      </c>
      <c r="AP117" s="1">
        <f>VLOOKUP(A117,[1]Лист1!$A:$B,2,0)</f>
        <v>2</v>
      </c>
      <c r="AQ117" s="1">
        <f t="shared" si="36"/>
        <v>0</v>
      </c>
    </row>
    <row r="118" spans="1:43" x14ac:dyDescent="0.25">
      <c r="A118" s="9" t="s">
        <v>182</v>
      </c>
      <c r="B118" s="9" t="s">
        <v>47</v>
      </c>
      <c r="C118" s="9">
        <v>57.996000000000002</v>
      </c>
      <c r="D118" s="9">
        <v>8.1029999999999998</v>
      </c>
      <c r="E118" s="9">
        <v>12.170999999999999</v>
      </c>
      <c r="F118" s="9">
        <v>52.561999999999998</v>
      </c>
      <c r="G118" s="10">
        <v>0</v>
      </c>
      <c r="H118" s="9">
        <v>55</v>
      </c>
      <c r="I118" s="9" t="s">
        <v>63</v>
      </c>
      <c r="J118" s="9"/>
      <c r="K118" s="9">
        <v>11.8</v>
      </c>
      <c r="L118" s="9">
        <f t="shared" si="30"/>
        <v>0.37099999999999866</v>
      </c>
      <c r="M118" s="9">
        <f t="shared" si="31"/>
        <v>12.170999999999999</v>
      </c>
      <c r="N118" s="9"/>
      <c r="O118" s="9"/>
      <c r="P118" s="9">
        <v>0</v>
      </c>
      <c r="Q118" s="9"/>
      <c r="R118" s="25"/>
      <c r="S118" s="9"/>
      <c r="T118" s="9"/>
      <c r="U118" s="9"/>
      <c r="V118" s="9"/>
      <c r="W118" s="9"/>
      <c r="X118" s="9">
        <f t="shared" si="32"/>
        <v>2.4341999999999997</v>
      </c>
      <c r="Y118" s="11"/>
      <c r="Z118" s="5">
        <f t="shared" si="37"/>
        <v>0</v>
      </c>
      <c r="AA118" s="5">
        <f t="shared" si="33"/>
        <v>0</v>
      </c>
      <c r="AB118" s="5"/>
      <c r="AC118" s="9"/>
      <c r="AD118" s="1">
        <f t="shared" si="27"/>
        <v>21.593131213540385</v>
      </c>
      <c r="AE118" s="9">
        <f t="shared" si="34"/>
        <v>21.593131213540385</v>
      </c>
      <c r="AF118" s="9">
        <v>1.6259999999999999</v>
      </c>
      <c r="AG118" s="9">
        <v>1.085</v>
      </c>
      <c r="AH118" s="9">
        <v>1.8994</v>
      </c>
      <c r="AI118" s="9">
        <v>2.1669999999999998</v>
      </c>
      <c r="AJ118" s="9">
        <v>2.1669999999999998</v>
      </c>
      <c r="AK118" s="9">
        <v>0.80959999999999999</v>
      </c>
      <c r="AL118" s="9">
        <v>0</v>
      </c>
      <c r="AM118" s="9">
        <v>0</v>
      </c>
      <c r="AN118" s="9" t="s">
        <v>151</v>
      </c>
      <c r="AO118" s="1">
        <f t="shared" si="35"/>
        <v>0</v>
      </c>
      <c r="AP118" s="1">
        <f>VLOOKUP(A118,[1]Лист1!$A:$B,2,0)</f>
        <v>0</v>
      </c>
      <c r="AQ118" s="1">
        <f t="shared" si="36"/>
        <v>0</v>
      </c>
    </row>
    <row r="119" spans="1:43" x14ac:dyDescent="0.25">
      <c r="A119" s="1" t="s">
        <v>183</v>
      </c>
      <c r="B119" s="1" t="s">
        <v>47</v>
      </c>
      <c r="C119" s="1">
        <v>63.764000000000003</v>
      </c>
      <c r="D119" s="1">
        <v>64.828999999999994</v>
      </c>
      <c r="E119" s="1">
        <v>83.59</v>
      </c>
      <c r="F119" s="1">
        <v>42.506999999999998</v>
      </c>
      <c r="G119" s="7">
        <v>1</v>
      </c>
      <c r="H119" s="1">
        <v>60</v>
      </c>
      <c r="I119" s="1" t="s">
        <v>53</v>
      </c>
      <c r="J119" s="1"/>
      <c r="K119" s="1">
        <v>100</v>
      </c>
      <c r="L119" s="1">
        <f t="shared" si="30"/>
        <v>-16.409999999999997</v>
      </c>
      <c r="M119" s="1">
        <f t="shared" si="31"/>
        <v>83.59</v>
      </c>
      <c r="N119" s="1"/>
      <c r="O119" s="1"/>
      <c r="P119" s="1">
        <v>89.631999999999977</v>
      </c>
      <c r="Q119" s="1"/>
      <c r="R119" s="23"/>
      <c r="S119" s="1"/>
      <c r="T119" s="1"/>
      <c r="U119" s="1"/>
      <c r="V119" s="1"/>
      <c r="W119" s="1"/>
      <c r="X119" s="1">
        <f t="shared" si="32"/>
        <v>16.718</v>
      </c>
      <c r="Y119" s="5">
        <f>11.5*X119-W119-U119-S119-P119-O119-F119</f>
        <v>60.118000000000031</v>
      </c>
      <c r="Z119" s="5">
        <f t="shared" si="37"/>
        <v>60.118000000000031</v>
      </c>
      <c r="AA119" s="5">
        <f t="shared" si="33"/>
        <v>60.118000000000031</v>
      </c>
      <c r="AB119" s="5"/>
      <c r="AC119" s="1"/>
      <c r="AD119" s="1">
        <f t="shared" si="27"/>
        <v>11.5</v>
      </c>
      <c r="AE119" s="1">
        <f t="shared" si="34"/>
        <v>7.9039956932647435</v>
      </c>
      <c r="AF119" s="1">
        <v>14.504</v>
      </c>
      <c r="AG119" s="1">
        <v>5.6520000000000001</v>
      </c>
      <c r="AH119" s="1">
        <v>6.5449999999999999</v>
      </c>
      <c r="AI119" s="1">
        <v>9.0909999999999993</v>
      </c>
      <c r="AJ119" s="1">
        <v>11.584199999999999</v>
      </c>
      <c r="AK119" s="1">
        <v>9.4443999999999999</v>
      </c>
      <c r="AL119" s="1">
        <v>10.747999999999999</v>
      </c>
      <c r="AM119" s="1">
        <v>14.030799999999999</v>
      </c>
      <c r="AN119" s="1"/>
      <c r="AO119" s="1">
        <f t="shared" si="35"/>
        <v>60</v>
      </c>
      <c r="AP119" s="1">
        <f>VLOOKUP(A119,[1]Лист1!$A:$B,2,0)</f>
        <v>60</v>
      </c>
      <c r="AQ119" s="1">
        <f t="shared" si="36"/>
        <v>0</v>
      </c>
    </row>
    <row r="120" spans="1:43" x14ac:dyDescent="0.25">
      <c r="A120" s="1" t="s">
        <v>184</v>
      </c>
      <c r="B120" s="1" t="s">
        <v>47</v>
      </c>
      <c r="C120" s="1">
        <v>9.0429999999999993</v>
      </c>
      <c r="D120" s="1">
        <v>29.844999999999999</v>
      </c>
      <c r="E120" s="1">
        <v>29.52</v>
      </c>
      <c r="F120" s="1">
        <v>9.0009999999999994</v>
      </c>
      <c r="G120" s="7">
        <v>1</v>
      </c>
      <c r="H120" s="1">
        <v>50</v>
      </c>
      <c r="I120" s="1" t="s">
        <v>53</v>
      </c>
      <c r="J120" s="1"/>
      <c r="K120" s="1">
        <v>27.5</v>
      </c>
      <c r="L120" s="1">
        <f t="shared" si="30"/>
        <v>2.0199999999999996</v>
      </c>
      <c r="M120" s="1">
        <f t="shared" si="31"/>
        <v>29.52</v>
      </c>
      <c r="N120" s="1"/>
      <c r="O120" s="1"/>
      <c r="P120" s="1">
        <v>63.256000000000007</v>
      </c>
      <c r="Q120" s="1"/>
      <c r="R120" s="23"/>
      <c r="S120" s="1"/>
      <c r="T120" s="1"/>
      <c r="U120" s="1"/>
      <c r="V120" s="1"/>
      <c r="W120" s="1"/>
      <c r="X120" s="1">
        <f t="shared" si="32"/>
        <v>5.9039999999999999</v>
      </c>
      <c r="Y120" s="5"/>
      <c r="Z120" s="5">
        <f t="shared" si="37"/>
        <v>0</v>
      </c>
      <c r="AA120" s="5">
        <f t="shared" si="33"/>
        <v>0</v>
      </c>
      <c r="AB120" s="5"/>
      <c r="AC120" s="1"/>
      <c r="AD120" s="1">
        <f t="shared" si="27"/>
        <v>12.238651761517616</v>
      </c>
      <c r="AE120" s="1">
        <f t="shared" si="34"/>
        <v>12.238651761517616</v>
      </c>
      <c r="AF120" s="1">
        <v>10.317399999999999</v>
      </c>
      <c r="AG120" s="1">
        <v>4.4803999999999977</v>
      </c>
      <c r="AH120" s="1">
        <v>3.0777999999999999</v>
      </c>
      <c r="AI120" s="1">
        <v>4.9722</v>
      </c>
      <c r="AJ120" s="1">
        <v>7.1712000000000007</v>
      </c>
      <c r="AK120" s="1">
        <v>8.8970000000000002</v>
      </c>
      <c r="AL120" s="1">
        <v>7.3335999999999997</v>
      </c>
      <c r="AM120" s="1">
        <v>4.6264000000000003</v>
      </c>
      <c r="AN120" s="1"/>
      <c r="AO120" s="1">
        <f t="shared" si="35"/>
        <v>0</v>
      </c>
      <c r="AP120" s="1">
        <f>VLOOKUP(A120,[1]Лист1!$A:$B,2,0)</f>
        <v>0</v>
      </c>
      <c r="AQ120" s="1">
        <f t="shared" si="36"/>
        <v>0</v>
      </c>
    </row>
    <row r="121" spans="1:43" x14ac:dyDescent="0.25">
      <c r="A121" s="1" t="s">
        <v>185</v>
      </c>
      <c r="B121" s="1" t="s">
        <v>52</v>
      </c>
      <c r="C121" s="1">
        <v>54</v>
      </c>
      <c r="D121" s="1">
        <v>97</v>
      </c>
      <c r="E121" s="1">
        <v>58</v>
      </c>
      <c r="F121" s="1">
        <v>57</v>
      </c>
      <c r="G121" s="7">
        <v>0.09</v>
      </c>
      <c r="H121" s="1">
        <v>45</v>
      </c>
      <c r="I121" s="1" t="s">
        <v>53</v>
      </c>
      <c r="J121" s="1"/>
      <c r="K121" s="1">
        <v>83</v>
      </c>
      <c r="L121" s="1">
        <f t="shared" si="30"/>
        <v>-25</v>
      </c>
      <c r="M121" s="1">
        <f t="shared" si="31"/>
        <v>58</v>
      </c>
      <c r="N121" s="1"/>
      <c r="O121" s="1"/>
      <c r="P121" s="1">
        <v>78.199999999999989</v>
      </c>
      <c r="Q121" s="1"/>
      <c r="R121" s="23"/>
      <c r="S121" s="1"/>
      <c r="T121" s="1"/>
      <c r="U121" s="1"/>
      <c r="V121" s="1"/>
      <c r="W121" s="1"/>
      <c r="X121" s="1">
        <f t="shared" si="32"/>
        <v>11.6</v>
      </c>
      <c r="Y121" s="5"/>
      <c r="Z121" s="5">
        <f t="shared" si="37"/>
        <v>0</v>
      </c>
      <c r="AA121" s="5">
        <f t="shared" si="33"/>
        <v>0</v>
      </c>
      <c r="AB121" s="5"/>
      <c r="AC121" s="1"/>
      <c r="AD121" s="1">
        <f t="shared" si="27"/>
        <v>11.655172413793103</v>
      </c>
      <c r="AE121" s="1">
        <f t="shared" si="34"/>
        <v>11.655172413793103</v>
      </c>
      <c r="AF121" s="1">
        <v>13.8</v>
      </c>
      <c r="AG121" s="1">
        <v>8.8000000000000007</v>
      </c>
      <c r="AH121" s="1">
        <v>6.4</v>
      </c>
      <c r="AI121" s="1">
        <v>4.8</v>
      </c>
      <c r="AJ121" s="1">
        <v>6.4</v>
      </c>
      <c r="AK121" s="1">
        <v>8.1999999999999993</v>
      </c>
      <c r="AL121" s="1">
        <v>9</v>
      </c>
      <c r="AM121" s="1">
        <v>5.6</v>
      </c>
      <c r="AN121" s="1"/>
      <c r="AO121" s="1">
        <f t="shared" si="35"/>
        <v>0</v>
      </c>
      <c r="AP121" s="1">
        <f>VLOOKUP(A121,[1]Лист1!$A:$B,2,0)</f>
        <v>0</v>
      </c>
      <c r="AQ121" s="1">
        <f t="shared" si="36"/>
        <v>0</v>
      </c>
    </row>
    <row r="122" spans="1:43" x14ac:dyDescent="0.25">
      <c r="A122" s="1" t="s">
        <v>186</v>
      </c>
      <c r="B122" s="1" t="s">
        <v>52</v>
      </c>
      <c r="C122" s="1">
        <v>32</v>
      </c>
      <c r="D122" s="1">
        <v>139</v>
      </c>
      <c r="E122" s="1">
        <v>51</v>
      </c>
      <c r="F122" s="1">
        <v>57</v>
      </c>
      <c r="G122" s="7">
        <v>0.09</v>
      </c>
      <c r="H122" s="1">
        <v>45</v>
      </c>
      <c r="I122" s="1" t="s">
        <v>53</v>
      </c>
      <c r="J122" s="1"/>
      <c r="K122" s="1">
        <v>113</v>
      </c>
      <c r="L122" s="1">
        <f t="shared" si="30"/>
        <v>-62</v>
      </c>
      <c r="M122" s="1">
        <f t="shared" si="31"/>
        <v>51</v>
      </c>
      <c r="N122" s="1"/>
      <c r="O122" s="1"/>
      <c r="P122" s="1">
        <v>103.4</v>
      </c>
      <c r="Q122" s="1"/>
      <c r="R122" s="23"/>
      <c r="S122" s="1"/>
      <c r="T122" s="1"/>
      <c r="U122" s="1"/>
      <c r="V122" s="1"/>
      <c r="W122" s="1"/>
      <c r="X122" s="1">
        <f t="shared" si="32"/>
        <v>10.199999999999999</v>
      </c>
      <c r="Y122" s="5"/>
      <c r="Z122" s="5">
        <f t="shared" si="37"/>
        <v>0</v>
      </c>
      <c r="AA122" s="5">
        <f t="shared" si="33"/>
        <v>0</v>
      </c>
      <c r="AB122" s="5"/>
      <c r="AC122" s="1"/>
      <c r="AD122" s="1">
        <f t="shared" si="27"/>
        <v>15.725490196078432</v>
      </c>
      <c r="AE122" s="1">
        <f t="shared" si="34"/>
        <v>15.725490196078432</v>
      </c>
      <c r="AF122" s="1">
        <v>17.399999999999999</v>
      </c>
      <c r="AG122" s="1">
        <v>9.8000000000000007</v>
      </c>
      <c r="AH122" s="1">
        <v>1.8</v>
      </c>
      <c r="AI122" s="1">
        <v>1.4</v>
      </c>
      <c r="AJ122" s="1">
        <v>0.2</v>
      </c>
      <c r="AK122" s="1">
        <v>6</v>
      </c>
      <c r="AL122" s="1">
        <v>8</v>
      </c>
      <c r="AM122" s="1">
        <v>5.4</v>
      </c>
      <c r="AN122" s="1" t="s">
        <v>187</v>
      </c>
      <c r="AO122" s="1">
        <f t="shared" si="35"/>
        <v>0</v>
      </c>
      <c r="AP122" s="1">
        <f>VLOOKUP(A122,[1]Лист1!$A:$B,2,0)</f>
        <v>0</v>
      </c>
      <c r="AQ122" s="1">
        <f t="shared" si="36"/>
        <v>0</v>
      </c>
    </row>
    <row r="123" spans="1:43" x14ac:dyDescent="0.25">
      <c r="A123" s="1" t="s">
        <v>188</v>
      </c>
      <c r="B123" s="1" t="s">
        <v>47</v>
      </c>
      <c r="C123" s="1">
        <v>60.508000000000003</v>
      </c>
      <c r="D123" s="1">
        <v>78.634</v>
      </c>
      <c r="E123" s="1">
        <v>47.197000000000003</v>
      </c>
      <c r="F123" s="1">
        <v>76.677000000000007</v>
      </c>
      <c r="G123" s="7">
        <v>1</v>
      </c>
      <c r="H123" s="1">
        <v>60</v>
      </c>
      <c r="I123" s="1" t="s">
        <v>53</v>
      </c>
      <c r="J123" s="1"/>
      <c r="K123" s="1">
        <v>46.1</v>
      </c>
      <c r="L123" s="1">
        <f t="shared" si="30"/>
        <v>1.0970000000000013</v>
      </c>
      <c r="M123" s="1">
        <f t="shared" si="31"/>
        <v>47.197000000000003</v>
      </c>
      <c r="N123" s="1"/>
      <c r="O123" s="1"/>
      <c r="P123" s="1">
        <v>83.946400000000068</v>
      </c>
      <c r="Q123" s="1"/>
      <c r="R123" s="23"/>
      <c r="S123" s="1"/>
      <c r="T123" s="1"/>
      <c r="U123" s="1"/>
      <c r="V123" s="1"/>
      <c r="W123" s="1"/>
      <c r="X123" s="1">
        <f t="shared" si="32"/>
        <v>9.4394000000000009</v>
      </c>
      <c r="Y123" s="5"/>
      <c r="Z123" s="5">
        <f t="shared" si="37"/>
        <v>0</v>
      </c>
      <c r="AA123" s="5">
        <f t="shared" si="33"/>
        <v>0</v>
      </c>
      <c r="AB123" s="5"/>
      <c r="AC123" s="1"/>
      <c r="AD123" s="1">
        <f t="shared" si="27"/>
        <v>17.016272220691999</v>
      </c>
      <c r="AE123" s="1">
        <f t="shared" si="34"/>
        <v>17.016272220691999</v>
      </c>
      <c r="AF123" s="1">
        <v>15.491400000000001</v>
      </c>
      <c r="AG123" s="1">
        <v>11.78399999999999</v>
      </c>
      <c r="AH123" s="1">
        <v>8.2132000000000005</v>
      </c>
      <c r="AI123" s="1">
        <v>7.9378000000000002</v>
      </c>
      <c r="AJ123" s="1">
        <v>9.9105999999999987</v>
      </c>
      <c r="AK123" s="1">
        <v>11.642799999999999</v>
      </c>
      <c r="AL123" s="1">
        <v>11.3886</v>
      </c>
      <c r="AM123" s="1">
        <v>6.3688000000000002</v>
      </c>
      <c r="AN123" s="1" t="s">
        <v>189</v>
      </c>
      <c r="AO123" s="1">
        <f t="shared" si="35"/>
        <v>0</v>
      </c>
      <c r="AP123" s="1">
        <f>VLOOKUP(A123,[1]Лист1!$A:$B,2,0)</f>
        <v>0</v>
      </c>
      <c r="AQ123" s="1">
        <f t="shared" si="36"/>
        <v>0</v>
      </c>
    </row>
    <row r="124" spans="1:43" x14ac:dyDescent="0.25">
      <c r="A124" s="1" t="s">
        <v>190</v>
      </c>
      <c r="B124" s="1" t="s">
        <v>47</v>
      </c>
      <c r="C124" s="1">
        <v>353.88499999999999</v>
      </c>
      <c r="D124" s="1">
        <v>700.53499999999997</v>
      </c>
      <c r="E124" s="1">
        <v>607.84100000000001</v>
      </c>
      <c r="F124" s="1">
        <v>372.08</v>
      </c>
      <c r="G124" s="7">
        <v>1</v>
      </c>
      <c r="H124" s="1">
        <v>60</v>
      </c>
      <c r="I124" s="1" t="s">
        <v>53</v>
      </c>
      <c r="J124" s="1"/>
      <c r="K124" s="1">
        <v>634.46699999999998</v>
      </c>
      <c r="L124" s="1">
        <f t="shared" si="30"/>
        <v>-26.625999999999976</v>
      </c>
      <c r="M124" s="1">
        <f t="shared" si="31"/>
        <v>607.84100000000001</v>
      </c>
      <c r="N124" s="1"/>
      <c r="O124" s="1"/>
      <c r="P124" s="1">
        <v>324.38959999999992</v>
      </c>
      <c r="Q124" s="1"/>
      <c r="R124" s="23"/>
      <c r="S124" s="1"/>
      <c r="T124" s="1"/>
      <c r="U124" s="1">
        <v>400</v>
      </c>
      <c r="V124" s="1"/>
      <c r="W124" s="1"/>
      <c r="X124" s="1">
        <f t="shared" si="32"/>
        <v>121.5682</v>
      </c>
      <c r="Y124" s="5">
        <f>11.5*X124-W124-U124-S124-P124-O124-F124</f>
        <v>301.56470000000007</v>
      </c>
      <c r="Z124" s="5">
        <f>Y124+$Z$1*X124</f>
        <v>387.87812200000008</v>
      </c>
      <c r="AA124" s="5">
        <f t="shared" si="33"/>
        <v>387.87812200000008</v>
      </c>
      <c r="AB124" s="5"/>
      <c r="AC124" s="1"/>
      <c r="AD124" s="1">
        <f t="shared" si="27"/>
        <v>12.209999999999999</v>
      </c>
      <c r="AE124" s="1">
        <f t="shared" si="34"/>
        <v>9.0193784229757448</v>
      </c>
      <c r="AF124" s="1">
        <v>123.7212</v>
      </c>
      <c r="AG124" s="1">
        <v>82.874800000000008</v>
      </c>
      <c r="AH124" s="1">
        <v>81.725400000000008</v>
      </c>
      <c r="AI124" s="1">
        <v>95.796599999999998</v>
      </c>
      <c r="AJ124" s="1">
        <v>110.8334</v>
      </c>
      <c r="AK124" s="1">
        <v>111.65</v>
      </c>
      <c r="AL124" s="1">
        <v>111.2154</v>
      </c>
      <c r="AM124" s="1">
        <v>108.0656</v>
      </c>
      <c r="AN124" s="1"/>
      <c r="AO124" s="1">
        <f t="shared" si="35"/>
        <v>388</v>
      </c>
      <c r="AP124" s="1">
        <f>VLOOKUP(A124,[1]Лист1!$A:$B,2,0)</f>
        <v>388</v>
      </c>
      <c r="AQ124" s="1">
        <f t="shared" si="36"/>
        <v>0</v>
      </c>
    </row>
    <row r="125" spans="1:43" x14ac:dyDescent="0.25">
      <c r="A125" s="1" t="s">
        <v>191</v>
      </c>
      <c r="B125" s="1" t="s">
        <v>47</v>
      </c>
      <c r="C125" s="1">
        <v>387.84300000000002</v>
      </c>
      <c r="D125" s="1">
        <v>5.58</v>
      </c>
      <c r="E125" s="1">
        <v>60.831000000000003</v>
      </c>
      <c r="F125" s="1">
        <v>315.964</v>
      </c>
      <c r="G125" s="7">
        <v>1</v>
      </c>
      <c r="H125" s="1">
        <v>60</v>
      </c>
      <c r="I125" s="1" t="s">
        <v>53</v>
      </c>
      <c r="J125" s="1"/>
      <c r="K125" s="1">
        <v>71.3</v>
      </c>
      <c r="L125" s="1">
        <f t="shared" si="30"/>
        <v>-10.468999999999994</v>
      </c>
      <c r="M125" s="1">
        <f t="shared" si="31"/>
        <v>60.831000000000003</v>
      </c>
      <c r="N125" s="1"/>
      <c r="O125" s="1"/>
      <c r="P125" s="1">
        <v>0</v>
      </c>
      <c r="Q125" s="1"/>
      <c r="R125" s="23"/>
      <c r="S125" s="1"/>
      <c r="T125" s="1"/>
      <c r="U125" s="1"/>
      <c r="V125" s="1"/>
      <c r="W125" s="1"/>
      <c r="X125" s="1">
        <f t="shared" si="32"/>
        <v>12.1662</v>
      </c>
      <c r="Y125" s="5"/>
      <c r="Z125" s="5">
        <f t="shared" ref="Z125:Z134" si="38">Y125</f>
        <v>0</v>
      </c>
      <c r="AA125" s="5">
        <f t="shared" si="33"/>
        <v>0</v>
      </c>
      <c r="AB125" s="5"/>
      <c r="AC125" s="1"/>
      <c r="AD125" s="1">
        <f t="shared" si="27"/>
        <v>25.970639969752266</v>
      </c>
      <c r="AE125" s="1">
        <f t="shared" si="34"/>
        <v>25.970639969752266</v>
      </c>
      <c r="AF125" s="1">
        <v>14.089600000000001</v>
      </c>
      <c r="AG125" s="1">
        <v>13.230600000000001</v>
      </c>
      <c r="AH125" s="1">
        <v>9.9158000000000008</v>
      </c>
      <c r="AI125" s="1">
        <v>6.5962000000000014</v>
      </c>
      <c r="AJ125" s="1">
        <v>6.8528000000000002</v>
      </c>
      <c r="AK125" s="1">
        <v>7.9191999999999991</v>
      </c>
      <c r="AL125" s="1">
        <v>6.2633999999999999</v>
      </c>
      <c r="AM125" s="1">
        <v>4.6247999999999996</v>
      </c>
      <c r="AN125" s="15" t="s">
        <v>192</v>
      </c>
      <c r="AO125" s="1">
        <f t="shared" si="35"/>
        <v>0</v>
      </c>
      <c r="AP125" s="1">
        <f>VLOOKUP(A125,[1]Лист1!$A:$B,2,0)</f>
        <v>0</v>
      </c>
      <c r="AQ125" s="1">
        <f t="shared" si="36"/>
        <v>0</v>
      </c>
    </row>
    <row r="126" spans="1:43" x14ac:dyDescent="0.25">
      <c r="A126" s="20" t="s">
        <v>69</v>
      </c>
      <c r="B126" s="1" t="s">
        <v>47</v>
      </c>
      <c r="C126" s="1">
        <v>1157.829</v>
      </c>
      <c r="D126" s="1">
        <v>2268.884</v>
      </c>
      <c r="E126" s="12">
        <f>907.728+E19</f>
        <v>910.202</v>
      </c>
      <c r="F126" s="12">
        <f>2370.468+F19</f>
        <v>2365.4939999999997</v>
      </c>
      <c r="G126" s="7">
        <v>1</v>
      </c>
      <c r="H126" s="1">
        <v>60</v>
      </c>
      <c r="I126" s="1" t="s">
        <v>48</v>
      </c>
      <c r="J126" s="1"/>
      <c r="K126" s="1">
        <v>961.4</v>
      </c>
      <c r="L126" s="1">
        <f t="shared" si="30"/>
        <v>-51.197999999999979</v>
      </c>
      <c r="M126" s="1">
        <f t="shared" si="31"/>
        <v>910.202</v>
      </c>
      <c r="N126" s="1"/>
      <c r="O126" s="1"/>
      <c r="P126" s="1">
        <v>0</v>
      </c>
      <c r="Q126" s="1"/>
      <c r="R126" s="23">
        <v>200</v>
      </c>
      <c r="S126" s="1"/>
      <c r="T126" s="1"/>
      <c r="U126" s="1"/>
      <c r="V126" s="1"/>
      <c r="W126" s="1">
        <v>400</v>
      </c>
      <c r="X126" s="1">
        <f t="shared" si="32"/>
        <v>182.04040000000001</v>
      </c>
      <c r="Y126" s="5"/>
      <c r="Z126" s="5">
        <f t="shared" si="38"/>
        <v>0</v>
      </c>
      <c r="AA126" s="5">
        <f t="shared" si="33"/>
        <v>0</v>
      </c>
      <c r="AB126" s="5"/>
      <c r="AC126" s="1"/>
      <c r="AD126" s="1">
        <f t="shared" si="27"/>
        <v>16.290306986800729</v>
      </c>
      <c r="AE126" s="1">
        <f t="shared" si="34"/>
        <v>15.191649765656413</v>
      </c>
      <c r="AF126" s="1">
        <v>202.87360000000001</v>
      </c>
      <c r="AG126" s="1">
        <v>154.0368</v>
      </c>
      <c r="AH126" s="1">
        <v>145.78739999999999</v>
      </c>
      <c r="AI126" s="1">
        <v>165.05019999999999</v>
      </c>
      <c r="AJ126" s="1">
        <v>223.18119999999999</v>
      </c>
      <c r="AK126" s="1">
        <v>152.50559999999999</v>
      </c>
      <c r="AL126" s="1">
        <v>24.672599999999999</v>
      </c>
      <c r="AM126" s="1">
        <v>20.073399999999999</v>
      </c>
      <c r="AN126" s="1"/>
      <c r="AO126" s="1">
        <f t="shared" si="35"/>
        <v>0</v>
      </c>
      <c r="AP126" s="1">
        <f>VLOOKUP(A126,[1]Лист1!$A:$B,2,0)</f>
        <v>0</v>
      </c>
      <c r="AQ126" s="1">
        <f t="shared" si="36"/>
        <v>0</v>
      </c>
    </row>
    <row r="127" spans="1:43" x14ac:dyDescent="0.25">
      <c r="A127" s="1" t="s">
        <v>193</v>
      </c>
      <c r="B127" s="1" t="s">
        <v>52</v>
      </c>
      <c r="C127" s="1">
        <v>80</v>
      </c>
      <c r="D127" s="1">
        <v>185</v>
      </c>
      <c r="E127" s="1">
        <v>168</v>
      </c>
      <c r="F127" s="1">
        <v>58</v>
      </c>
      <c r="G127" s="7">
        <v>0.3</v>
      </c>
      <c r="H127" s="1">
        <v>40</v>
      </c>
      <c r="I127" s="1" t="s">
        <v>53</v>
      </c>
      <c r="J127" s="1"/>
      <c r="K127" s="1">
        <v>186</v>
      </c>
      <c r="L127" s="1">
        <f t="shared" si="30"/>
        <v>-18</v>
      </c>
      <c r="M127" s="1">
        <f t="shared" si="31"/>
        <v>168</v>
      </c>
      <c r="N127" s="1"/>
      <c r="O127" s="1"/>
      <c r="P127" s="1">
        <v>222.99399999999989</v>
      </c>
      <c r="Q127" s="1"/>
      <c r="R127" s="23"/>
      <c r="S127" s="1"/>
      <c r="T127" s="1"/>
      <c r="U127" s="1"/>
      <c r="V127" s="1"/>
      <c r="W127" s="1"/>
      <c r="X127" s="1">
        <f t="shared" si="32"/>
        <v>33.6</v>
      </c>
      <c r="Y127" s="5">
        <f>11.5*X127-W127-U127-S127-P127-O127-F127</f>
        <v>105.40600000000015</v>
      </c>
      <c r="Z127" s="5">
        <f t="shared" si="38"/>
        <v>105.40600000000015</v>
      </c>
      <c r="AA127" s="5">
        <f t="shared" si="33"/>
        <v>105.40600000000015</v>
      </c>
      <c r="AB127" s="5"/>
      <c r="AC127" s="1"/>
      <c r="AD127" s="1">
        <f t="shared" si="27"/>
        <v>11.500000000000002</v>
      </c>
      <c r="AE127" s="1">
        <f t="shared" si="34"/>
        <v>8.3629166666666634</v>
      </c>
      <c r="AF127" s="1">
        <v>39.4</v>
      </c>
      <c r="AG127" s="1">
        <v>30.6</v>
      </c>
      <c r="AH127" s="1">
        <v>24.4</v>
      </c>
      <c r="AI127" s="1">
        <v>27</v>
      </c>
      <c r="AJ127" s="1">
        <v>31.4</v>
      </c>
      <c r="AK127" s="1">
        <v>32.799999999999997</v>
      </c>
      <c r="AL127" s="1">
        <v>29.8</v>
      </c>
      <c r="AM127" s="1">
        <v>35.799999999999997</v>
      </c>
      <c r="AN127" s="1"/>
      <c r="AO127" s="1">
        <f t="shared" si="35"/>
        <v>32</v>
      </c>
      <c r="AP127" s="1">
        <f>VLOOKUP(A127,[1]Лист1!$A:$B,2,0)</f>
        <v>32</v>
      </c>
      <c r="AQ127" s="1">
        <f t="shared" si="36"/>
        <v>0</v>
      </c>
    </row>
    <row r="128" spans="1:43" x14ac:dyDescent="0.25">
      <c r="A128" s="1" t="s">
        <v>194</v>
      </c>
      <c r="B128" s="1" t="s">
        <v>52</v>
      </c>
      <c r="C128" s="1">
        <v>-6</v>
      </c>
      <c r="D128" s="1">
        <v>305</v>
      </c>
      <c r="E128" s="1">
        <v>104</v>
      </c>
      <c r="F128" s="1">
        <v>161</v>
      </c>
      <c r="G128" s="7">
        <v>0.3</v>
      </c>
      <c r="H128" s="1">
        <v>40</v>
      </c>
      <c r="I128" s="1" t="s">
        <v>53</v>
      </c>
      <c r="J128" s="1"/>
      <c r="K128" s="1">
        <v>116</v>
      </c>
      <c r="L128" s="1">
        <f t="shared" si="30"/>
        <v>-12</v>
      </c>
      <c r="M128" s="1">
        <f t="shared" si="31"/>
        <v>104</v>
      </c>
      <c r="N128" s="1"/>
      <c r="O128" s="1"/>
      <c r="P128" s="1">
        <v>47.399999999999977</v>
      </c>
      <c r="Q128" s="1"/>
      <c r="R128" s="23"/>
      <c r="S128" s="1"/>
      <c r="T128" s="1"/>
      <c r="U128" s="1"/>
      <c r="V128" s="1"/>
      <c r="W128" s="1"/>
      <c r="X128" s="1">
        <f t="shared" si="32"/>
        <v>20.8</v>
      </c>
      <c r="Y128" s="5">
        <f>11.5*X128-W128-U128-S128-P128-O128-F128</f>
        <v>30.80000000000004</v>
      </c>
      <c r="Z128" s="5">
        <f t="shared" si="38"/>
        <v>30.80000000000004</v>
      </c>
      <c r="AA128" s="5">
        <f t="shared" si="33"/>
        <v>30.80000000000004</v>
      </c>
      <c r="AB128" s="5"/>
      <c r="AC128" s="1"/>
      <c r="AD128" s="1">
        <f t="shared" si="27"/>
        <v>11.5</v>
      </c>
      <c r="AE128" s="1">
        <f t="shared" si="34"/>
        <v>10.019230769230768</v>
      </c>
      <c r="AF128" s="1">
        <v>23.6</v>
      </c>
      <c r="AG128" s="1">
        <v>23.6</v>
      </c>
      <c r="AH128" s="1">
        <v>23</v>
      </c>
      <c r="AI128" s="1">
        <v>22</v>
      </c>
      <c r="AJ128" s="1">
        <v>25.8</v>
      </c>
      <c r="AK128" s="1">
        <v>23.2</v>
      </c>
      <c r="AL128" s="1">
        <v>20.6</v>
      </c>
      <c r="AM128" s="1">
        <v>23.8</v>
      </c>
      <c r="AN128" s="1"/>
      <c r="AO128" s="1">
        <f t="shared" si="35"/>
        <v>9</v>
      </c>
      <c r="AP128" s="1">
        <f>VLOOKUP(A128,[1]Лист1!$A:$B,2,0)</f>
        <v>9</v>
      </c>
      <c r="AQ128" s="1">
        <f t="shared" si="36"/>
        <v>0</v>
      </c>
    </row>
    <row r="129" spans="1:43" x14ac:dyDescent="0.25">
      <c r="A129" s="1" t="s">
        <v>195</v>
      </c>
      <c r="B129" s="1" t="s">
        <v>47</v>
      </c>
      <c r="C129" s="1">
        <v>81.798000000000002</v>
      </c>
      <c r="D129" s="1">
        <v>44.5</v>
      </c>
      <c r="E129" s="1">
        <v>73.403000000000006</v>
      </c>
      <c r="F129" s="1">
        <v>42.128999999999998</v>
      </c>
      <c r="G129" s="7">
        <v>1</v>
      </c>
      <c r="H129" s="1">
        <v>50</v>
      </c>
      <c r="I129" s="1" t="s">
        <v>53</v>
      </c>
      <c r="J129" s="1"/>
      <c r="K129" s="1">
        <v>73.05</v>
      </c>
      <c r="L129" s="1">
        <f t="shared" si="30"/>
        <v>0.35300000000000864</v>
      </c>
      <c r="M129" s="1">
        <f t="shared" si="31"/>
        <v>73.403000000000006</v>
      </c>
      <c r="N129" s="1"/>
      <c r="O129" s="1"/>
      <c r="P129" s="1">
        <v>92.068600000000004</v>
      </c>
      <c r="Q129" s="1"/>
      <c r="R129" s="23"/>
      <c r="S129" s="1"/>
      <c r="T129" s="1"/>
      <c r="U129" s="1"/>
      <c r="V129" s="1"/>
      <c r="W129" s="1"/>
      <c r="X129" s="1">
        <f t="shared" si="32"/>
        <v>14.680600000000002</v>
      </c>
      <c r="Y129" s="5">
        <f>11.5*X129-W129-U129-S129-P129-O129-F129</f>
        <v>34.629300000000022</v>
      </c>
      <c r="Z129" s="5">
        <f t="shared" si="38"/>
        <v>34.629300000000022</v>
      </c>
      <c r="AA129" s="5">
        <f t="shared" si="33"/>
        <v>34.629300000000022</v>
      </c>
      <c r="AB129" s="5"/>
      <c r="AC129" s="1"/>
      <c r="AD129" s="1">
        <f t="shared" si="27"/>
        <v>11.5</v>
      </c>
      <c r="AE129" s="1">
        <f t="shared" si="34"/>
        <v>9.1411522689808304</v>
      </c>
      <c r="AF129" s="1">
        <v>16.251000000000001</v>
      </c>
      <c r="AG129" s="1">
        <v>9.7181999999999995</v>
      </c>
      <c r="AH129" s="1">
        <v>8.9572000000000003</v>
      </c>
      <c r="AI129" s="1">
        <v>9.7802000000000007</v>
      </c>
      <c r="AJ129" s="1">
        <v>11.72</v>
      </c>
      <c r="AK129" s="1">
        <v>12.3124</v>
      </c>
      <c r="AL129" s="1">
        <v>10.629799999999999</v>
      </c>
      <c r="AM129" s="1">
        <v>12.518000000000001</v>
      </c>
      <c r="AN129" s="1"/>
      <c r="AO129" s="1">
        <f t="shared" si="35"/>
        <v>35</v>
      </c>
      <c r="AP129" s="1">
        <f>VLOOKUP(A129,[1]Лист1!$A:$B,2,0)</f>
        <v>35</v>
      </c>
      <c r="AQ129" s="1">
        <f t="shared" si="36"/>
        <v>0</v>
      </c>
    </row>
    <row r="130" spans="1:43" x14ac:dyDescent="0.25">
      <c r="A130" s="1" t="s">
        <v>196</v>
      </c>
      <c r="B130" s="1" t="s">
        <v>52</v>
      </c>
      <c r="C130" s="1">
        <v>35</v>
      </c>
      <c r="D130" s="1">
        <v>81</v>
      </c>
      <c r="E130" s="1">
        <v>53</v>
      </c>
      <c r="F130" s="1">
        <v>45</v>
      </c>
      <c r="G130" s="7">
        <v>0.3</v>
      </c>
      <c r="H130" s="1">
        <v>40</v>
      </c>
      <c r="I130" s="1" t="s">
        <v>53</v>
      </c>
      <c r="J130" s="1"/>
      <c r="K130" s="1">
        <v>59</v>
      </c>
      <c r="L130" s="1">
        <f t="shared" si="30"/>
        <v>-6</v>
      </c>
      <c r="M130" s="1">
        <f t="shared" si="31"/>
        <v>53</v>
      </c>
      <c r="N130" s="1"/>
      <c r="O130" s="1"/>
      <c r="P130" s="1">
        <v>48.800000000000011</v>
      </c>
      <c r="Q130" s="1"/>
      <c r="R130" s="23"/>
      <c r="S130" s="1"/>
      <c r="T130" s="1"/>
      <c r="U130" s="1"/>
      <c r="V130" s="1"/>
      <c r="W130" s="1"/>
      <c r="X130" s="1">
        <f t="shared" si="32"/>
        <v>10.6</v>
      </c>
      <c r="Y130" s="5">
        <f>11.5*X130-W130-U130-S130-P130-O130-F130</f>
        <v>28.09999999999998</v>
      </c>
      <c r="Z130" s="5">
        <f t="shared" si="38"/>
        <v>28.09999999999998</v>
      </c>
      <c r="AA130" s="5">
        <f t="shared" si="33"/>
        <v>28.09999999999998</v>
      </c>
      <c r="AB130" s="5"/>
      <c r="AC130" s="1"/>
      <c r="AD130" s="1">
        <f t="shared" si="27"/>
        <v>11.5</v>
      </c>
      <c r="AE130" s="1">
        <f t="shared" si="34"/>
        <v>8.8490566037735867</v>
      </c>
      <c r="AF130" s="1">
        <v>11.8</v>
      </c>
      <c r="AG130" s="1">
        <v>9</v>
      </c>
      <c r="AH130" s="1">
        <v>7.4</v>
      </c>
      <c r="AI130" s="1">
        <v>8.1999999999999993</v>
      </c>
      <c r="AJ130" s="1">
        <v>10.4</v>
      </c>
      <c r="AK130" s="1">
        <v>9</v>
      </c>
      <c r="AL130" s="1">
        <v>10.199999999999999</v>
      </c>
      <c r="AM130" s="1">
        <v>9.8000000000000007</v>
      </c>
      <c r="AN130" s="1"/>
      <c r="AO130" s="1">
        <f t="shared" si="35"/>
        <v>8</v>
      </c>
      <c r="AP130" s="1">
        <f>VLOOKUP(A130,[1]Лист1!$A:$B,2,0)</f>
        <v>8</v>
      </c>
      <c r="AQ130" s="1">
        <f t="shared" si="36"/>
        <v>0</v>
      </c>
    </row>
    <row r="131" spans="1:43" x14ac:dyDescent="0.25">
      <c r="A131" s="1" t="s">
        <v>197</v>
      </c>
      <c r="B131" s="1" t="s">
        <v>52</v>
      </c>
      <c r="C131" s="1">
        <v>33</v>
      </c>
      <c r="D131" s="1">
        <v>108</v>
      </c>
      <c r="E131" s="1">
        <v>30</v>
      </c>
      <c r="F131" s="1">
        <v>100</v>
      </c>
      <c r="G131" s="7">
        <v>0.12</v>
      </c>
      <c r="H131" s="1">
        <v>45</v>
      </c>
      <c r="I131" s="1" t="s">
        <v>53</v>
      </c>
      <c r="J131" s="1"/>
      <c r="K131" s="1">
        <v>43</v>
      </c>
      <c r="L131" s="1">
        <f t="shared" si="30"/>
        <v>-13</v>
      </c>
      <c r="M131" s="1">
        <f t="shared" si="31"/>
        <v>30</v>
      </c>
      <c r="N131" s="1"/>
      <c r="O131" s="1"/>
      <c r="P131" s="1">
        <v>17.599999999999991</v>
      </c>
      <c r="Q131" s="1"/>
      <c r="R131" s="23"/>
      <c r="S131" s="1"/>
      <c r="T131" s="1"/>
      <c r="U131" s="1"/>
      <c r="V131" s="1"/>
      <c r="W131" s="1"/>
      <c r="X131" s="1">
        <f t="shared" si="32"/>
        <v>6</v>
      </c>
      <c r="Y131" s="5"/>
      <c r="Z131" s="5">
        <f t="shared" si="38"/>
        <v>0</v>
      </c>
      <c r="AA131" s="5">
        <f t="shared" si="33"/>
        <v>0</v>
      </c>
      <c r="AB131" s="5"/>
      <c r="AC131" s="1"/>
      <c r="AD131" s="1">
        <f t="shared" si="27"/>
        <v>19.599999999999998</v>
      </c>
      <c r="AE131" s="1">
        <f t="shared" si="34"/>
        <v>19.599999999999998</v>
      </c>
      <c r="AF131" s="1">
        <v>11.4</v>
      </c>
      <c r="AG131" s="1">
        <v>10.4</v>
      </c>
      <c r="AH131" s="1">
        <v>2.2000000000000002</v>
      </c>
      <c r="AI131" s="1">
        <v>3.6</v>
      </c>
      <c r="AJ131" s="1">
        <v>6.6</v>
      </c>
      <c r="AK131" s="1">
        <v>11.8</v>
      </c>
      <c r="AL131" s="1">
        <v>7</v>
      </c>
      <c r="AM131" s="1">
        <v>-0.4</v>
      </c>
      <c r="AN131" s="1"/>
      <c r="AO131" s="1">
        <f t="shared" si="35"/>
        <v>0</v>
      </c>
      <c r="AP131" s="1">
        <f>VLOOKUP(A131,[1]Лист1!$A:$B,2,0)</f>
        <v>0</v>
      </c>
      <c r="AQ131" s="1">
        <f t="shared" si="36"/>
        <v>0</v>
      </c>
    </row>
    <row r="132" spans="1:43" x14ac:dyDescent="0.25">
      <c r="A132" s="1" t="s">
        <v>198</v>
      </c>
      <c r="B132" s="1" t="s">
        <v>52</v>
      </c>
      <c r="C132" s="1"/>
      <c r="D132" s="1">
        <v>204</v>
      </c>
      <c r="E132" s="1"/>
      <c r="F132" s="1">
        <v>190</v>
      </c>
      <c r="G132" s="7">
        <v>0.25</v>
      </c>
      <c r="H132" s="1"/>
      <c r="I132" s="1" t="s">
        <v>53</v>
      </c>
      <c r="J132" s="1"/>
      <c r="K132" s="1"/>
      <c r="L132" s="1">
        <f t="shared" si="30"/>
        <v>0</v>
      </c>
      <c r="M132" s="1">
        <f t="shared" si="31"/>
        <v>0</v>
      </c>
      <c r="N132" s="1"/>
      <c r="O132" s="1"/>
      <c r="P132" s="1">
        <v>0</v>
      </c>
      <c r="Q132" s="1"/>
      <c r="R132" s="23"/>
      <c r="S132" s="1"/>
      <c r="T132" s="1"/>
      <c r="U132" s="1"/>
      <c r="V132" s="1"/>
      <c r="W132" s="1"/>
      <c r="X132" s="1">
        <f t="shared" si="32"/>
        <v>0</v>
      </c>
      <c r="Y132" s="5"/>
      <c r="Z132" s="5">
        <f t="shared" si="38"/>
        <v>0</v>
      </c>
      <c r="AA132" s="5">
        <f t="shared" si="33"/>
        <v>0</v>
      </c>
      <c r="AB132" s="5"/>
      <c r="AC132" s="1"/>
      <c r="AD132" s="1" t="e">
        <f t="shared" si="27"/>
        <v>#DIV/0!</v>
      </c>
      <c r="AE132" s="1" t="e">
        <f t="shared" si="34"/>
        <v>#DIV/0!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 t="s">
        <v>199</v>
      </c>
      <c r="AO132" s="1">
        <f t="shared" si="35"/>
        <v>0</v>
      </c>
      <c r="AP132" s="1">
        <f>VLOOKUP(A132,[1]Лист1!$A:$B,2,0)</f>
        <v>0</v>
      </c>
      <c r="AQ132" s="1">
        <f t="shared" si="36"/>
        <v>0</v>
      </c>
    </row>
    <row r="133" spans="1:43" x14ac:dyDescent="0.25">
      <c r="A133" s="1" t="s">
        <v>200</v>
      </c>
      <c r="B133" s="1" t="s">
        <v>52</v>
      </c>
      <c r="C133" s="1"/>
      <c r="D133" s="1">
        <v>204</v>
      </c>
      <c r="E133" s="1"/>
      <c r="F133" s="1">
        <v>197</v>
      </c>
      <c r="G133" s="7">
        <v>0.32500000000000001</v>
      </c>
      <c r="H133" s="1"/>
      <c r="I133" s="1" t="s">
        <v>53</v>
      </c>
      <c r="J133" s="1"/>
      <c r="K133" s="1"/>
      <c r="L133" s="1">
        <f t="shared" si="30"/>
        <v>0</v>
      </c>
      <c r="M133" s="1">
        <f t="shared" si="31"/>
        <v>0</v>
      </c>
      <c r="N133" s="1"/>
      <c r="O133" s="1"/>
      <c r="P133" s="1">
        <v>0</v>
      </c>
      <c r="Q133" s="1"/>
      <c r="R133" s="23"/>
      <c r="S133" s="1"/>
      <c r="T133" s="1"/>
      <c r="U133" s="1"/>
      <c r="V133" s="1"/>
      <c r="W133" s="1"/>
      <c r="X133" s="1">
        <f t="shared" si="32"/>
        <v>0</v>
      </c>
      <c r="Y133" s="5"/>
      <c r="Z133" s="5">
        <f t="shared" si="38"/>
        <v>0</v>
      </c>
      <c r="AA133" s="5">
        <f t="shared" si="33"/>
        <v>0</v>
      </c>
      <c r="AB133" s="5"/>
      <c r="AC133" s="1"/>
      <c r="AD133" s="1" t="e">
        <f t="shared" si="27"/>
        <v>#DIV/0!</v>
      </c>
      <c r="AE133" s="1" t="e">
        <f t="shared" si="34"/>
        <v>#DIV/0!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 t="s">
        <v>199</v>
      </c>
      <c r="AO133" s="1">
        <f t="shared" si="35"/>
        <v>0</v>
      </c>
      <c r="AP133" s="1">
        <f>VLOOKUP(A133,[1]Лист1!$A:$B,2,0)</f>
        <v>0</v>
      </c>
      <c r="AQ133" s="1">
        <f t="shared" si="36"/>
        <v>0</v>
      </c>
    </row>
    <row r="134" spans="1:43" x14ac:dyDescent="0.25">
      <c r="A134" s="1" t="s">
        <v>201</v>
      </c>
      <c r="B134" s="1" t="s">
        <v>52</v>
      </c>
      <c r="C134" s="1"/>
      <c r="D134" s="1">
        <v>204</v>
      </c>
      <c r="E134" s="1"/>
      <c r="F134" s="1">
        <v>197</v>
      </c>
      <c r="G134" s="7">
        <v>0.25</v>
      </c>
      <c r="H134" s="1"/>
      <c r="I134" s="1" t="s">
        <v>53</v>
      </c>
      <c r="J134" s="1"/>
      <c r="K134" s="1"/>
      <c r="L134" s="1">
        <f t="shared" ref="L134" si="39">E134-K134</f>
        <v>0</v>
      </c>
      <c r="M134" s="1">
        <f t="shared" ref="M134" si="40">E134-N134</f>
        <v>0</v>
      </c>
      <c r="N134" s="1"/>
      <c r="O134" s="1"/>
      <c r="P134" s="1">
        <v>0</v>
      </c>
      <c r="Q134" s="1"/>
      <c r="R134" s="23"/>
      <c r="S134" s="1"/>
      <c r="T134" s="1"/>
      <c r="U134" s="1"/>
      <c r="V134" s="1"/>
      <c r="W134" s="1"/>
      <c r="X134" s="1">
        <f t="shared" si="32"/>
        <v>0</v>
      </c>
      <c r="Y134" s="5"/>
      <c r="Z134" s="5">
        <f t="shared" si="38"/>
        <v>0</v>
      </c>
      <c r="AA134" s="5">
        <f t="shared" ref="AA134" si="41">Z134-AB134</f>
        <v>0</v>
      </c>
      <c r="AB134" s="5"/>
      <c r="AC134" s="1"/>
      <c r="AD134" s="1" t="e">
        <f t="shared" si="27"/>
        <v>#DIV/0!</v>
      </c>
      <c r="AE134" s="1" t="e">
        <f t="shared" si="34"/>
        <v>#DIV/0!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 t="s">
        <v>199</v>
      </c>
      <c r="AO134" s="1">
        <f t="shared" si="35"/>
        <v>0</v>
      </c>
      <c r="AP134" s="1">
        <f>VLOOKUP(A134,[1]Лист1!$A:$B,2,0)</f>
        <v>0</v>
      </c>
      <c r="AQ134" s="1">
        <f t="shared" si="36"/>
        <v>0</v>
      </c>
    </row>
    <row r="135" spans="1:4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3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23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23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23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23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23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23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23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23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23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23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23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23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23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23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23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23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23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23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23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23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23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23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23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23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23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23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23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23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23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23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23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23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23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23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23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23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23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23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23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23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23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23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23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23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23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23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23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23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23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23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23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23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23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23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23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23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23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23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23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23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23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23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23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23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23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23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23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23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23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23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23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23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23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23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23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23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23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23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23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23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23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23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23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23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23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23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23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23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23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23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23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23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23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23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23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23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23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23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23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23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23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23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23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23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23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23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23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23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23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23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23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23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23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23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23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23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23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23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23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23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23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23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23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23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23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23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23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23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23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23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23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23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23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23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23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23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23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23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23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23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23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23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23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3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23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23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23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23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23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23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23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23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23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23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23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23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23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23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23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23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23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23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23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23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23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23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23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23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23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23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23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23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23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23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23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23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23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23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23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23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23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23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23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23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23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23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23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23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23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23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23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23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23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23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23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23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23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23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23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23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23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23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23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23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23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23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23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23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23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23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23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23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23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23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23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23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23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23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23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23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23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23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23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23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23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23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23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23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23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23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23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23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23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23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23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23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23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23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23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23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23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23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23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23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23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23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23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23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23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23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23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23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23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23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23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23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23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23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23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23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23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23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23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23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23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23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23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23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23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23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23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23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23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23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23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23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23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23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23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23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23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23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23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23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23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23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23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23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23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23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23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23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23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23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23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23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23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23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23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23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23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23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23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23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23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23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23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23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23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23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23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23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23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23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23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23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23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23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23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23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23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23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23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23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23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23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23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23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23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23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23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23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23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23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23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23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23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23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23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23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23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23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23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23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23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23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23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23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23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23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23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23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23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23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23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23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23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</sheetData>
  <autoFilter ref="A3:AO134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G13" sqref="G13"/>
    </sheetView>
  </sheetViews>
  <sheetFormatPr defaultRowHeight="15" x14ac:dyDescent="0.25"/>
  <cols>
    <col min="2" max="2" width="75.42578125" bestFit="1" customWidth="1"/>
  </cols>
  <sheetData>
    <row r="1" spans="1:3" x14ac:dyDescent="0.25">
      <c r="A1" t="s">
        <v>87</v>
      </c>
      <c r="B1" t="s">
        <v>202</v>
      </c>
      <c r="C1">
        <v>-504</v>
      </c>
    </row>
    <row r="2" spans="1:3" x14ac:dyDescent="0.25">
      <c r="A2" t="s">
        <v>98</v>
      </c>
      <c r="B2" t="s">
        <v>203</v>
      </c>
      <c r="C2">
        <v>-160.80000000000001</v>
      </c>
    </row>
    <row r="3" spans="1:3" x14ac:dyDescent="0.25">
      <c r="A3" t="s">
        <v>144</v>
      </c>
      <c r="B3" t="s">
        <v>204</v>
      </c>
      <c r="C3">
        <v>-33.659999999999997</v>
      </c>
    </row>
    <row r="4" spans="1:3" x14ac:dyDescent="0.25">
      <c r="A4" t="s">
        <v>93</v>
      </c>
      <c r="B4" t="s">
        <v>205</v>
      </c>
      <c r="C4">
        <v>-400.8</v>
      </c>
    </row>
    <row r="5" spans="1:3" x14ac:dyDescent="0.25">
      <c r="A5" t="s">
        <v>96</v>
      </c>
      <c r="B5" t="s">
        <v>206</v>
      </c>
      <c r="C5">
        <v>-400.8</v>
      </c>
    </row>
    <row r="6" spans="1:3" x14ac:dyDescent="0.25">
      <c r="A6" t="s">
        <v>148</v>
      </c>
      <c r="B6" t="s">
        <v>207</v>
      </c>
      <c r="C6">
        <v>-35.700000000000003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2026-07-30T15:23:37Z</dcterms:created>
  <dcterms:modified xsi:type="dcterms:W3CDTF">2026-08-01T11:07:06Z</dcterms:modified>
</cp:coreProperties>
</file>