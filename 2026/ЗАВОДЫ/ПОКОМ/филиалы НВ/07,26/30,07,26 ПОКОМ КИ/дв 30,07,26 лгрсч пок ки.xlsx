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3056A6E-8B39-40E9-9028-CA67C200EF2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7" i="1" l="1"/>
  <c r="W8" i="1"/>
  <c r="AL8" i="1" s="1"/>
  <c r="W9" i="1"/>
  <c r="W10" i="1"/>
  <c r="AL10" i="1" s="1"/>
  <c r="W11" i="1"/>
  <c r="W12" i="1"/>
  <c r="AL12" i="1" s="1"/>
  <c r="W13" i="1"/>
  <c r="W15" i="1"/>
  <c r="W16" i="1"/>
  <c r="AL16" i="1" s="1"/>
  <c r="W17" i="1"/>
  <c r="AL17" i="1" s="1"/>
  <c r="W18" i="1"/>
  <c r="AL18" i="1" s="1"/>
  <c r="W20" i="1"/>
  <c r="AL20" i="1" s="1"/>
  <c r="W22" i="1"/>
  <c r="AL22" i="1" s="1"/>
  <c r="W26" i="1"/>
  <c r="AL26" i="1" s="1"/>
  <c r="W28" i="1"/>
  <c r="W30" i="1"/>
  <c r="AL30" i="1" s="1"/>
  <c r="W31" i="1"/>
  <c r="W34" i="1"/>
  <c r="AL34" i="1" s="1"/>
  <c r="W35" i="1"/>
  <c r="W36" i="1"/>
  <c r="AL36" i="1" s="1"/>
  <c r="W37" i="1"/>
  <c r="W38" i="1"/>
  <c r="AL38" i="1" s="1"/>
  <c r="W40" i="1"/>
  <c r="AL40" i="1" s="1"/>
  <c r="W41" i="1"/>
  <c r="AL41" i="1" s="1"/>
  <c r="W42" i="1"/>
  <c r="AL42" i="1" s="1"/>
  <c r="W43" i="1"/>
  <c r="AL43" i="1" s="1"/>
  <c r="W44" i="1"/>
  <c r="AL44" i="1" s="1"/>
  <c r="W45" i="1"/>
  <c r="AL45" i="1" s="1"/>
  <c r="W46" i="1"/>
  <c r="AL46" i="1" s="1"/>
  <c r="W50" i="1"/>
  <c r="AL50" i="1" s="1"/>
  <c r="W51" i="1"/>
  <c r="W52" i="1"/>
  <c r="AL52" i="1" s="1"/>
  <c r="W53" i="1"/>
  <c r="W54" i="1"/>
  <c r="AL54" i="1" s="1"/>
  <c r="W58" i="1"/>
  <c r="AL58" i="1" s="1"/>
  <c r="W59" i="1"/>
  <c r="AL59" i="1" s="1"/>
  <c r="W63" i="1"/>
  <c r="W68" i="1"/>
  <c r="AL68" i="1" s="1"/>
  <c r="W72" i="1"/>
  <c r="AL72" i="1" s="1"/>
  <c r="W77" i="1"/>
  <c r="AL77" i="1" s="1"/>
  <c r="W79" i="1"/>
  <c r="W80" i="1"/>
  <c r="AL80" i="1" s="1"/>
  <c r="W90" i="1"/>
  <c r="W92" i="1"/>
  <c r="AL92" i="1" s="1"/>
  <c r="W95" i="1"/>
  <c r="W96" i="1"/>
  <c r="AL96" i="1" s="1"/>
  <c r="W97" i="1"/>
  <c r="W98" i="1"/>
  <c r="AL98" i="1" s="1"/>
  <c r="W100" i="1"/>
  <c r="AL100" i="1" s="1"/>
  <c r="W101" i="1"/>
  <c r="AL101" i="1" s="1"/>
  <c r="W102" i="1"/>
  <c r="AL102" i="1" s="1"/>
  <c r="W104" i="1"/>
  <c r="AL104" i="1" s="1"/>
  <c r="W105" i="1"/>
  <c r="W108" i="1"/>
  <c r="AL108" i="1" s="1"/>
  <c r="W109" i="1"/>
  <c r="W110" i="1"/>
  <c r="AL110" i="1" s="1"/>
  <c r="W111" i="1"/>
  <c r="W113" i="1"/>
  <c r="AL113" i="1" s="1"/>
  <c r="W114" i="1"/>
  <c r="AL114" i="1" s="1"/>
  <c r="W115" i="1"/>
  <c r="AL115" i="1" s="1"/>
  <c r="W118" i="1"/>
  <c r="W121" i="1"/>
  <c r="AL121" i="1" s="1"/>
  <c r="W122" i="1"/>
  <c r="AL122" i="1" s="1"/>
  <c r="W123" i="1"/>
  <c r="AL123" i="1" s="1"/>
  <c r="W125" i="1"/>
  <c r="W127" i="1"/>
  <c r="AL127" i="1" s="1"/>
  <c r="W128" i="1"/>
  <c r="AL128" i="1" s="1"/>
  <c r="W129" i="1"/>
  <c r="AL129" i="1" s="1"/>
  <c r="W130" i="1"/>
  <c r="AL130" i="1" s="1"/>
  <c r="W131" i="1"/>
  <c r="AL131" i="1" s="1"/>
  <c r="W135" i="1"/>
  <c r="W138" i="1"/>
  <c r="AL138" i="1" s="1"/>
  <c r="W6" i="1"/>
  <c r="AL7" i="1"/>
  <c r="AL9" i="1"/>
  <c r="AL11" i="1"/>
  <c r="AL13" i="1"/>
  <c r="AL15" i="1"/>
  <c r="AL28" i="1"/>
  <c r="AL31" i="1"/>
  <c r="AL35" i="1"/>
  <c r="AL37" i="1"/>
  <c r="AL51" i="1"/>
  <c r="AL53" i="1"/>
  <c r="AL63" i="1"/>
  <c r="AL69" i="1"/>
  <c r="AL70" i="1"/>
  <c r="AL79" i="1"/>
  <c r="AL90" i="1"/>
  <c r="AL95" i="1"/>
  <c r="AL97" i="1"/>
  <c r="AL105" i="1"/>
  <c r="AL109" i="1"/>
  <c r="AL111" i="1"/>
  <c r="AL118" i="1"/>
  <c r="AL125" i="1"/>
  <c r="AL135" i="1"/>
  <c r="AL6" i="1"/>
  <c r="U143" i="1" l="1"/>
  <c r="Z143" i="1" s="1"/>
  <c r="L143" i="1"/>
  <c r="U142" i="1"/>
  <c r="Z142" i="1" s="1"/>
  <c r="L142" i="1"/>
  <c r="U141" i="1"/>
  <c r="Z141" i="1" s="1"/>
  <c r="L141" i="1"/>
  <c r="U140" i="1"/>
  <c r="Z140" i="1" s="1"/>
  <c r="L140" i="1"/>
  <c r="U139" i="1"/>
  <c r="Z139" i="1" s="1"/>
  <c r="L139" i="1"/>
  <c r="U138" i="1"/>
  <c r="Z138" i="1" s="1"/>
  <c r="L138" i="1"/>
  <c r="U137" i="1"/>
  <c r="Z137" i="1" s="1"/>
  <c r="L137" i="1"/>
  <c r="U136" i="1"/>
  <c r="Z136" i="1" s="1"/>
  <c r="L136" i="1"/>
  <c r="U135" i="1"/>
  <c r="L135" i="1"/>
  <c r="U134" i="1"/>
  <c r="Z134" i="1" s="1"/>
  <c r="L134" i="1"/>
  <c r="U133" i="1"/>
  <c r="Z133" i="1" s="1"/>
  <c r="L133" i="1"/>
  <c r="U132" i="1"/>
  <c r="Z132" i="1" s="1"/>
  <c r="L132" i="1"/>
  <c r="U131" i="1"/>
  <c r="Y131" i="1" s="1"/>
  <c r="L131" i="1"/>
  <c r="U130" i="1"/>
  <c r="Z130" i="1" s="1"/>
  <c r="L130" i="1"/>
  <c r="U129" i="1"/>
  <c r="L129" i="1"/>
  <c r="U128" i="1"/>
  <c r="Z128" i="1" s="1"/>
  <c r="L128" i="1"/>
  <c r="U127" i="1"/>
  <c r="L127" i="1"/>
  <c r="U126" i="1"/>
  <c r="V126" i="1" s="1"/>
  <c r="W126" i="1" s="1"/>
  <c r="L126" i="1"/>
  <c r="U125" i="1"/>
  <c r="L125" i="1"/>
  <c r="U124" i="1"/>
  <c r="V124" i="1" s="1"/>
  <c r="W124" i="1" s="1"/>
  <c r="L124" i="1"/>
  <c r="U123" i="1"/>
  <c r="Y123" i="1" s="1"/>
  <c r="L123" i="1"/>
  <c r="U122" i="1"/>
  <c r="Z122" i="1" s="1"/>
  <c r="L122" i="1"/>
  <c r="U121" i="1"/>
  <c r="L121" i="1"/>
  <c r="F121" i="1"/>
  <c r="U120" i="1"/>
  <c r="V120" i="1" s="1"/>
  <c r="W120" i="1" s="1"/>
  <c r="L120" i="1"/>
  <c r="U119" i="1"/>
  <c r="Z119" i="1" s="1"/>
  <c r="L119" i="1"/>
  <c r="U118" i="1"/>
  <c r="L118" i="1"/>
  <c r="U117" i="1"/>
  <c r="Z117" i="1" s="1"/>
  <c r="L117" i="1"/>
  <c r="U116" i="1"/>
  <c r="V116" i="1" s="1"/>
  <c r="W116" i="1" s="1"/>
  <c r="L116" i="1"/>
  <c r="U115" i="1"/>
  <c r="L115" i="1"/>
  <c r="U114" i="1"/>
  <c r="Z114" i="1" s="1"/>
  <c r="L114" i="1"/>
  <c r="U113" i="1"/>
  <c r="L113" i="1"/>
  <c r="U112" i="1"/>
  <c r="Z112" i="1" s="1"/>
  <c r="L112" i="1"/>
  <c r="U111" i="1"/>
  <c r="L111" i="1"/>
  <c r="U110" i="1"/>
  <c r="Z110" i="1" s="1"/>
  <c r="L110" i="1"/>
  <c r="U109" i="1"/>
  <c r="Y109" i="1" s="1"/>
  <c r="L109" i="1"/>
  <c r="U108" i="1"/>
  <c r="Z108" i="1" s="1"/>
  <c r="L108" i="1"/>
  <c r="U107" i="1"/>
  <c r="L107" i="1"/>
  <c r="U106" i="1"/>
  <c r="Z106" i="1" s="1"/>
  <c r="L106" i="1"/>
  <c r="U105" i="1"/>
  <c r="L105" i="1"/>
  <c r="U104" i="1"/>
  <c r="L104" i="1"/>
  <c r="U103" i="1"/>
  <c r="Z103" i="1" s="1"/>
  <c r="L103" i="1"/>
  <c r="U102" i="1"/>
  <c r="Z102" i="1" s="1"/>
  <c r="L102" i="1"/>
  <c r="U101" i="1"/>
  <c r="L101" i="1"/>
  <c r="U100" i="1"/>
  <c r="Y100" i="1" s="1"/>
  <c r="L100" i="1"/>
  <c r="U99" i="1"/>
  <c r="V99" i="1" s="1"/>
  <c r="W99" i="1" s="1"/>
  <c r="L99" i="1"/>
  <c r="U98" i="1"/>
  <c r="L98" i="1"/>
  <c r="U97" i="1"/>
  <c r="L97" i="1"/>
  <c r="U96" i="1"/>
  <c r="Y96" i="1" s="1"/>
  <c r="L96" i="1"/>
  <c r="U95" i="1"/>
  <c r="L95" i="1"/>
  <c r="U94" i="1"/>
  <c r="V94" i="1" s="1"/>
  <c r="W94" i="1" s="1"/>
  <c r="L94" i="1"/>
  <c r="U93" i="1"/>
  <c r="Z93" i="1" s="1"/>
  <c r="L93" i="1"/>
  <c r="U92" i="1"/>
  <c r="Z92" i="1" s="1"/>
  <c r="L92" i="1"/>
  <c r="U91" i="1"/>
  <c r="V91" i="1" s="1"/>
  <c r="W91" i="1" s="1"/>
  <c r="L91" i="1"/>
  <c r="U90" i="1"/>
  <c r="L90" i="1"/>
  <c r="U89" i="1"/>
  <c r="Z89" i="1" s="1"/>
  <c r="L89" i="1"/>
  <c r="U88" i="1"/>
  <c r="Z88" i="1" s="1"/>
  <c r="L88" i="1"/>
  <c r="U87" i="1"/>
  <c r="Z87" i="1" s="1"/>
  <c r="L87" i="1"/>
  <c r="U86" i="1"/>
  <c r="Z86" i="1" s="1"/>
  <c r="L86" i="1"/>
  <c r="U85" i="1"/>
  <c r="L85" i="1"/>
  <c r="U84" i="1"/>
  <c r="Z84" i="1" s="1"/>
  <c r="L84" i="1"/>
  <c r="U83" i="1"/>
  <c r="Z83" i="1" s="1"/>
  <c r="L83" i="1"/>
  <c r="U82" i="1"/>
  <c r="Z82" i="1" s="1"/>
  <c r="L82" i="1"/>
  <c r="U81" i="1"/>
  <c r="Z81" i="1" s="1"/>
  <c r="L81" i="1"/>
  <c r="U80" i="1"/>
  <c r="Z80" i="1" s="1"/>
  <c r="L80" i="1"/>
  <c r="U79" i="1"/>
  <c r="L79" i="1"/>
  <c r="U78" i="1"/>
  <c r="Z78" i="1" s="1"/>
  <c r="L78" i="1"/>
  <c r="U77" i="1"/>
  <c r="L77" i="1"/>
  <c r="U76" i="1"/>
  <c r="Z76" i="1" s="1"/>
  <c r="L76" i="1"/>
  <c r="U75" i="1"/>
  <c r="Z75" i="1" s="1"/>
  <c r="L75" i="1"/>
  <c r="U74" i="1"/>
  <c r="Z74" i="1" s="1"/>
  <c r="L74" i="1"/>
  <c r="U73" i="1"/>
  <c r="Z73" i="1" s="1"/>
  <c r="L73" i="1"/>
  <c r="U72" i="1"/>
  <c r="Z72" i="1" s="1"/>
  <c r="L72" i="1"/>
  <c r="U71" i="1"/>
  <c r="V71" i="1" s="1"/>
  <c r="W71" i="1" s="1"/>
  <c r="L71" i="1"/>
  <c r="U70" i="1"/>
  <c r="L70" i="1"/>
  <c r="U69" i="1"/>
  <c r="L69" i="1"/>
  <c r="U68" i="1"/>
  <c r="L68" i="1"/>
  <c r="U67" i="1"/>
  <c r="Z67" i="1" s="1"/>
  <c r="L67" i="1"/>
  <c r="U66" i="1"/>
  <c r="Z66" i="1" s="1"/>
  <c r="L66" i="1"/>
  <c r="U65" i="1"/>
  <c r="V65" i="1" s="1"/>
  <c r="W65" i="1" s="1"/>
  <c r="L65" i="1"/>
  <c r="U64" i="1"/>
  <c r="Z64" i="1" s="1"/>
  <c r="L64" i="1"/>
  <c r="U63" i="1"/>
  <c r="L63" i="1"/>
  <c r="U62" i="1"/>
  <c r="V62" i="1" s="1"/>
  <c r="W62" i="1" s="1"/>
  <c r="L62" i="1"/>
  <c r="U61" i="1"/>
  <c r="Z61" i="1" s="1"/>
  <c r="L61" i="1"/>
  <c r="U60" i="1"/>
  <c r="L60" i="1"/>
  <c r="U59" i="1"/>
  <c r="Y59" i="1" s="1"/>
  <c r="L59" i="1"/>
  <c r="U58" i="1"/>
  <c r="Y58" i="1" s="1"/>
  <c r="L58" i="1"/>
  <c r="U57" i="1"/>
  <c r="Z57" i="1" s="1"/>
  <c r="L57" i="1"/>
  <c r="U56" i="1"/>
  <c r="V56" i="1" s="1"/>
  <c r="W56" i="1" s="1"/>
  <c r="L56" i="1"/>
  <c r="U55" i="1"/>
  <c r="Z55" i="1" s="1"/>
  <c r="L55" i="1"/>
  <c r="U54" i="1"/>
  <c r="Z54" i="1" s="1"/>
  <c r="L54" i="1"/>
  <c r="U53" i="1"/>
  <c r="L53" i="1"/>
  <c r="U52" i="1"/>
  <c r="Y52" i="1" s="1"/>
  <c r="L52" i="1"/>
  <c r="U51" i="1"/>
  <c r="L51" i="1"/>
  <c r="U50" i="1"/>
  <c r="Z50" i="1" s="1"/>
  <c r="L50" i="1"/>
  <c r="U49" i="1"/>
  <c r="Z49" i="1" s="1"/>
  <c r="L49" i="1"/>
  <c r="U48" i="1"/>
  <c r="V48" i="1" s="1"/>
  <c r="W48" i="1" s="1"/>
  <c r="L48" i="1"/>
  <c r="U47" i="1"/>
  <c r="Z47" i="1" s="1"/>
  <c r="L47" i="1"/>
  <c r="U46" i="1"/>
  <c r="Z46" i="1" s="1"/>
  <c r="L46" i="1"/>
  <c r="U45" i="1"/>
  <c r="L45" i="1"/>
  <c r="U44" i="1"/>
  <c r="Y44" i="1" s="1"/>
  <c r="L44" i="1"/>
  <c r="U43" i="1"/>
  <c r="Y43" i="1" s="1"/>
  <c r="L43" i="1"/>
  <c r="U42" i="1"/>
  <c r="Z42" i="1" s="1"/>
  <c r="L42" i="1"/>
  <c r="U41" i="1"/>
  <c r="L41" i="1"/>
  <c r="U40" i="1"/>
  <c r="Z40" i="1" s="1"/>
  <c r="L40" i="1"/>
  <c r="U39" i="1"/>
  <c r="L39" i="1"/>
  <c r="U38" i="1"/>
  <c r="L38" i="1"/>
  <c r="U37" i="1"/>
  <c r="Y37" i="1" s="1"/>
  <c r="L37" i="1"/>
  <c r="U36" i="1"/>
  <c r="L36" i="1"/>
  <c r="U35" i="1"/>
  <c r="Y35" i="1" s="1"/>
  <c r="L35" i="1"/>
  <c r="U34" i="1"/>
  <c r="L34" i="1"/>
  <c r="U33" i="1"/>
  <c r="V33" i="1" s="1"/>
  <c r="W33" i="1" s="1"/>
  <c r="L33" i="1"/>
  <c r="U32" i="1"/>
  <c r="Z32" i="1" s="1"/>
  <c r="L32" i="1"/>
  <c r="U31" i="1"/>
  <c r="L31" i="1"/>
  <c r="U30" i="1"/>
  <c r="L30" i="1"/>
  <c r="U29" i="1"/>
  <c r="Z29" i="1" s="1"/>
  <c r="L29" i="1"/>
  <c r="U28" i="1"/>
  <c r="L28" i="1"/>
  <c r="U27" i="1"/>
  <c r="Z27" i="1" s="1"/>
  <c r="L27" i="1"/>
  <c r="U26" i="1"/>
  <c r="L26" i="1"/>
  <c r="U25" i="1"/>
  <c r="V25" i="1" s="1"/>
  <c r="W25" i="1" s="1"/>
  <c r="L25" i="1"/>
  <c r="U24" i="1"/>
  <c r="Z24" i="1" s="1"/>
  <c r="L24" i="1"/>
  <c r="U23" i="1"/>
  <c r="Z23" i="1" s="1"/>
  <c r="L23" i="1"/>
  <c r="U22" i="1"/>
  <c r="L22" i="1"/>
  <c r="U21" i="1"/>
  <c r="Z21" i="1" s="1"/>
  <c r="L21" i="1"/>
  <c r="U20" i="1"/>
  <c r="L20" i="1"/>
  <c r="U19" i="1"/>
  <c r="V19" i="1" s="1"/>
  <c r="W19" i="1" s="1"/>
  <c r="L19" i="1"/>
  <c r="U18" i="1"/>
  <c r="L18" i="1"/>
  <c r="U17" i="1"/>
  <c r="Y17" i="1" s="1"/>
  <c r="L17" i="1"/>
  <c r="U16" i="1"/>
  <c r="Z16" i="1" s="1"/>
  <c r="L16" i="1"/>
  <c r="U15" i="1"/>
  <c r="L15" i="1"/>
  <c r="U14" i="1"/>
  <c r="Z14" i="1" s="1"/>
  <c r="L14" i="1"/>
  <c r="U13" i="1"/>
  <c r="L13" i="1"/>
  <c r="U12" i="1"/>
  <c r="Y12" i="1" s="1"/>
  <c r="L12" i="1"/>
  <c r="U11" i="1"/>
  <c r="L11" i="1"/>
  <c r="U10" i="1"/>
  <c r="L10" i="1"/>
  <c r="U9" i="1"/>
  <c r="L9" i="1"/>
  <c r="U8" i="1"/>
  <c r="Z8" i="1" s="1"/>
  <c r="L8" i="1"/>
  <c r="U7" i="1"/>
  <c r="Y7" i="1" s="1"/>
  <c r="L7" i="1"/>
  <c r="U6" i="1"/>
  <c r="Y6" i="1" s="1"/>
  <c r="L6" i="1"/>
  <c r="AJ5" i="1"/>
  <c r="AI5" i="1"/>
  <c r="AH5" i="1"/>
  <c r="AG5" i="1"/>
  <c r="AF5" i="1"/>
  <c r="AE5" i="1"/>
  <c r="AD5" i="1"/>
  <c r="AC5" i="1"/>
  <c r="AB5" i="1"/>
  <c r="AA5" i="1"/>
  <c r="T5" i="1"/>
  <c r="S5" i="1"/>
  <c r="R5" i="1"/>
  <c r="Q5" i="1"/>
  <c r="P5" i="1"/>
  <c r="O5" i="1"/>
  <c r="N5" i="1"/>
  <c r="M5" i="1"/>
  <c r="K5" i="1"/>
  <c r="E5" i="1"/>
  <c r="Y122" i="1" l="1"/>
  <c r="Y130" i="1"/>
  <c r="Z9" i="1"/>
  <c r="Y9" i="1"/>
  <c r="Z10" i="1"/>
  <c r="Y10" i="1"/>
  <c r="Z11" i="1"/>
  <c r="Y11" i="1"/>
  <c r="Z13" i="1"/>
  <c r="Y13" i="1"/>
  <c r="Z15" i="1"/>
  <c r="Y15" i="1"/>
  <c r="Z18" i="1"/>
  <c r="Y18" i="1"/>
  <c r="AL19" i="1"/>
  <c r="Y19" i="1"/>
  <c r="Z20" i="1"/>
  <c r="Y20" i="1"/>
  <c r="Z22" i="1"/>
  <c r="Y22" i="1"/>
  <c r="AL25" i="1"/>
  <c r="Y25" i="1"/>
  <c r="Z26" i="1"/>
  <c r="Y26" i="1"/>
  <c r="Z28" i="1"/>
  <c r="Y28" i="1"/>
  <c r="Z30" i="1"/>
  <c r="Y30" i="1"/>
  <c r="Z31" i="1"/>
  <c r="Y31" i="1"/>
  <c r="AL33" i="1"/>
  <c r="Y33" i="1"/>
  <c r="Z34" i="1"/>
  <c r="Y34" i="1"/>
  <c r="Z36" i="1"/>
  <c r="Y36" i="1"/>
  <c r="Z38" i="1"/>
  <c r="Y38" i="1"/>
  <c r="Z41" i="1"/>
  <c r="Y41" i="1"/>
  <c r="Z45" i="1"/>
  <c r="Y45" i="1"/>
  <c r="Y48" i="1"/>
  <c r="AL48" i="1"/>
  <c r="Z51" i="1"/>
  <c r="Y51" i="1"/>
  <c r="Z53" i="1"/>
  <c r="Y53" i="1"/>
  <c r="Y56" i="1"/>
  <c r="AL56" i="1"/>
  <c r="Y62" i="1"/>
  <c r="AL62" i="1"/>
  <c r="Z63" i="1"/>
  <c r="Y63" i="1"/>
  <c r="AL65" i="1"/>
  <c r="Y65" i="1"/>
  <c r="Z68" i="1"/>
  <c r="Y68" i="1"/>
  <c r="Z69" i="1"/>
  <c r="Y69" i="1"/>
  <c r="Z70" i="1"/>
  <c r="Y70" i="1"/>
  <c r="AL71" i="1"/>
  <c r="Y71" i="1"/>
  <c r="Z77" i="1"/>
  <c r="Y77" i="1"/>
  <c r="Z79" i="1"/>
  <c r="Y79" i="1"/>
  <c r="Z90" i="1"/>
  <c r="Y90" i="1"/>
  <c r="AL91" i="1"/>
  <c r="Y91" i="1"/>
  <c r="Y94" i="1"/>
  <c r="AL94" i="1"/>
  <c r="Z95" i="1"/>
  <c r="Y95" i="1"/>
  <c r="Z97" i="1"/>
  <c r="Y97" i="1"/>
  <c r="Z98" i="1"/>
  <c r="Y98" i="1"/>
  <c r="AL99" i="1"/>
  <c r="Y99" i="1"/>
  <c r="Z101" i="1"/>
  <c r="Y101" i="1"/>
  <c r="Z104" i="1"/>
  <c r="Y104" i="1"/>
  <c r="Z105" i="1"/>
  <c r="Y105" i="1"/>
  <c r="Z111" i="1"/>
  <c r="Y111" i="1"/>
  <c r="Z113" i="1"/>
  <c r="Y113" i="1"/>
  <c r="Z115" i="1"/>
  <c r="Y115" i="1"/>
  <c r="AL116" i="1"/>
  <c r="Y116" i="1"/>
  <c r="Z118" i="1"/>
  <c r="Y118" i="1"/>
  <c r="AL120" i="1"/>
  <c r="Y120" i="1"/>
  <c r="Y40" i="1"/>
  <c r="Y50" i="1"/>
  <c r="Y54" i="1"/>
  <c r="Y72" i="1"/>
  <c r="Y92" i="1"/>
  <c r="Y102" i="1"/>
  <c r="Y110" i="1"/>
  <c r="F5" i="1"/>
  <c r="Y121" i="1"/>
  <c r="AL124" i="1"/>
  <c r="Y124" i="1"/>
  <c r="Z125" i="1"/>
  <c r="Y125" i="1"/>
  <c r="AL126" i="1"/>
  <c r="Y126" i="1"/>
  <c r="Z127" i="1"/>
  <c r="Y127" i="1"/>
  <c r="Z129" i="1"/>
  <c r="Y129" i="1"/>
  <c r="Z135" i="1"/>
  <c r="Y135" i="1"/>
  <c r="Y8" i="1"/>
  <c r="Y16" i="1"/>
  <c r="Y42" i="1"/>
  <c r="Y46" i="1"/>
  <c r="Y80" i="1"/>
  <c r="Y108" i="1"/>
  <c r="Y114" i="1"/>
  <c r="Y128" i="1"/>
  <c r="Y138" i="1"/>
  <c r="V106" i="1"/>
  <c r="W106" i="1" s="1"/>
  <c r="V89" i="1"/>
  <c r="W89" i="1" s="1"/>
  <c r="V69" i="1"/>
  <c r="V73" i="1"/>
  <c r="W73" i="1" s="1"/>
  <c r="V140" i="1"/>
  <c r="W140" i="1" s="1"/>
  <c r="V47" i="1"/>
  <c r="W47" i="1" s="1"/>
  <c r="V88" i="1"/>
  <c r="W88" i="1" s="1"/>
  <c r="V119" i="1"/>
  <c r="W119" i="1" s="1"/>
  <c r="V21" i="1"/>
  <c r="W21" i="1" s="1"/>
  <c r="V49" i="1"/>
  <c r="W49" i="1" s="1"/>
  <c r="V23" i="1"/>
  <c r="W23" i="1" s="1"/>
  <c r="V24" i="1"/>
  <c r="W24" i="1" s="1"/>
  <c r="V93" i="1"/>
  <c r="W93" i="1" s="1"/>
  <c r="V74" i="1"/>
  <c r="W74" i="1" s="1"/>
  <c r="V27" i="1"/>
  <c r="W27" i="1" s="1"/>
  <c r="V75" i="1"/>
  <c r="W75" i="1" s="1"/>
  <c r="V29" i="1"/>
  <c r="W29" i="1" s="1"/>
  <c r="V55" i="1"/>
  <c r="W55" i="1" s="1"/>
  <c r="V76" i="1"/>
  <c r="W76" i="1" s="1"/>
  <c r="V132" i="1"/>
  <c r="W132" i="1" s="1"/>
  <c r="V133" i="1"/>
  <c r="W133" i="1" s="1"/>
  <c r="V32" i="1"/>
  <c r="W32" i="1" s="1"/>
  <c r="V57" i="1"/>
  <c r="W57" i="1" s="1"/>
  <c r="V78" i="1"/>
  <c r="W78" i="1" s="1"/>
  <c r="V134" i="1"/>
  <c r="W134" i="1" s="1"/>
  <c r="V103" i="1"/>
  <c r="W103" i="1" s="1"/>
  <c r="V136" i="1"/>
  <c r="W136" i="1" s="1"/>
  <c r="V60" i="1"/>
  <c r="W60" i="1" s="1"/>
  <c r="V81" i="1"/>
  <c r="W81" i="1" s="1"/>
  <c r="V107" i="1"/>
  <c r="W107" i="1" s="1"/>
  <c r="V137" i="1"/>
  <c r="W137" i="1" s="1"/>
  <c r="V39" i="1"/>
  <c r="W39" i="1" s="1"/>
  <c r="V61" i="1"/>
  <c r="W61" i="1" s="1"/>
  <c r="V82" i="1"/>
  <c r="W82" i="1" s="1"/>
  <c r="V112" i="1"/>
  <c r="W112" i="1" s="1"/>
  <c r="Z85" i="1"/>
  <c r="V83" i="1"/>
  <c r="W83" i="1" s="1"/>
  <c r="V139" i="1"/>
  <c r="W139" i="1" s="1"/>
  <c r="V64" i="1"/>
  <c r="W64" i="1" s="1"/>
  <c r="V84" i="1"/>
  <c r="W84" i="1" s="1"/>
  <c r="V85" i="1"/>
  <c r="W85" i="1" s="1"/>
  <c r="V141" i="1"/>
  <c r="W141" i="1" s="1"/>
  <c r="V14" i="1"/>
  <c r="W14" i="1" s="1"/>
  <c r="V66" i="1"/>
  <c r="W66" i="1" s="1"/>
  <c r="V86" i="1"/>
  <c r="W86" i="1" s="1"/>
  <c r="V117" i="1"/>
  <c r="W117" i="1" s="1"/>
  <c r="V142" i="1"/>
  <c r="W142" i="1" s="1"/>
  <c r="V67" i="1"/>
  <c r="W67" i="1" s="1"/>
  <c r="V87" i="1"/>
  <c r="W87" i="1" s="1"/>
  <c r="V143" i="1"/>
  <c r="W143" i="1" s="1"/>
  <c r="Z65" i="1"/>
  <c r="Z120" i="1"/>
  <c r="Z116" i="1"/>
  <c r="Z25" i="1"/>
  <c r="Z123" i="1"/>
  <c r="Z7" i="1"/>
  <c r="U5" i="1"/>
  <c r="Z99" i="1"/>
  <c r="Z6" i="1"/>
  <c r="Z12" i="1"/>
  <c r="Z19" i="1"/>
  <c r="Z94" i="1"/>
  <c r="Z37" i="1"/>
  <c r="Z107" i="1"/>
  <c r="Z124" i="1"/>
  <c r="L5" i="1"/>
  <c r="Z17" i="1"/>
  <c r="Z43" i="1"/>
  <c r="Z59" i="1"/>
  <c r="Z39" i="1"/>
  <c r="Z96" i="1"/>
  <c r="Z100" i="1"/>
  <c r="Z109" i="1"/>
  <c r="Z126" i="1"/>
  <c r="Z35" i="1"/>
  <c r="Z44" i="1"/>
  <c r="Z48" i="1"/>
  <c r="Z52" i="1"/>
  <c r="Z56" i="1"/>
  <c r="Z60" i="1"/>
  <c r="Z131" i="1"/>
  <c r="Z33" i="1"/>
  <c r="Z58" i="1"/>
  <c r="Z62" i="1"/>
  <c r="Z71" i="1"/>
  <c r="Z91" i="1"/>
  <c r="Z121" i="1"/>
  <c r="AL143" i="1" l="1"/>
  <c r="Y143" i="1"/>
  <c r="AL67" i="1"/>
  <c r="Y67" i="1"/>
  <c r="AL117" i="1"/>
  <c r="Y117" i="1"/>
  <c r="AL66" i="1"/>
  <c r="Y66" i="1"/>
  <c r="AL141" i="1"/>
  <c r="Y141" i="1"/>
  <c r="AL84" i="1"/>
  <c r="Y84" i="1"/>
  <c r="AL139" i="1"/>
  <c r="Y139" i="1"/>
  <c r="Y82" i="1"/>
  <c r="AL82" i="1"/>
  <c r="AL39" i="1"/>
  <c r="Y39" i="1"/>
  <c r="AL107" i="1"/>
  <c r="Y107" i="1"/>
  <c r="AL60" i="1"/>
  <c r="Y60" i="1"/>
  <c r="AL103" i="1"/>
  <c r="Y103" i="1"/>
  <c r="AL78" i="1"/>
  <c r="Y78" i="1"/>
  <c r="AL32" i="1"/>
  <c r="Y32" i="1"/>
  <c r="AL132" i="1"/>
  <c r="Y132" i="1"/>
  <c r="AL55" i="1"/>
  <c r="Y55" i="1"/>
  <c r="AL75" i="1"/>
  <c r="Y75" i="1"/>
  <c r="Y74" i="1"/>
  <c r="AL74" i="1"/>
  <c r="Y24" i="1"/>
  <c r="AL24" i="1"/>
  <c r="AL49" i="1"/>
  <c r="Y49" i="1"/>
  <c r="AL119" i="1"/>
  <c r="Y119" i="1"/>
  <c r="AL47" i="1"/>
  <c r="Y47" i="1"/>
  <c r="AL73" i="1"/>
  <c r="Y73" i="1"/>
  <c r="AL89" i="1"/>
  <c r="Y89" i="1"/>
  <c r="AL87" i="1"/>
  <c r="Y87" i="1"/>
  <c r="AL142" i="1"/>
  <c r="Y142" i="1"/>
  <c r="Y86" i="1"/>
  <c r="AL86" i="1"/>
  <c r="AL14" i="1"/>
  <c r="Y14" i="1"/>
  <c r="W5" i="1"/>
  <c r="AL85" i="1"/>
  <c r="Y85" i="1"/>
  <c r="Y64" i="1"/>
  <c r="AL64" i="1"/>
  <c r="AL83" i="1"/>
  <c r="Y83" i="1"/>
  <c r="AL112" i="1"/>
  <c r="Y112" i="1"/>
  <c r="AL61" i="1"/>
  <c r="Y61" i="1"/>
  <c r="AL137" i="1"/>
  <c r="Y137" i="1"/>
  <c r="AL81" i="1"/>
  <c r="Y81" i="1"/>
  <c r="Y136" i="1"/>
  <c r="AL136" i="1"/>
  <c r="Y134" i="1"/>
  <c r="AL134" i="1"/>
  <c r="AL57" i="1"/>
  <c r="Y57" i="1"/>
  <c r="AL133" i="1"/>
  <c r="Y133" i="1"/>
  <c r="AL76" i="1"/>
  <c r="Y76" i="1"/>
  <c r="AL29" i="1"/>
  <c r="Y29" i="1"/>
  <c r="AL27" i="1"/>
  <c r="Y27" i="1"/>
  <c r="AL93" i="1"/>
  <c r="Y93" i="1"/>
  <c r="AL23" i="1"/>
  <c r="Y23" i="1"/>
  <c r="AL21" i="1"/>
  <c r="Y21" i="1"/>
  <c r="AL88" i="1"/>
  <c r="Y88" i="1"/>
  <c r="Y140" i="1"/>
  <c r="AL140" i="1"/>
  <c r="Y106" i="1"/>
  <c r="AL106" i="1"/>
  <c r="V5" i="1"/>
  <c r="AL5" i="1" l="1"/>
</calcChain>
</file>

<file path=xl/sharedStrings.xml><?xml version="1.0" encoding="utf-8"?>
<sst xmlns="http://schemas.openxmlformats.org/spreadsheetml/2006/main" count="500" uniqueCount="196">
  <si>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</si>
  <si>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</si>
  <si>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</si>
  <si>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</si>
  <si>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</si>
  <si>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</si>
  <si>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</si>
  <si>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</si>
  <si>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</si>
  <si>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</si>
  <si>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</si>
  <si>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</si>
  <si>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</si>
  <si>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</si>
  <si>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</si>
  <si>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</si>
  <si>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</si>
  <si>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</si>
  <si>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</si>
  <si>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</si>
  <si>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</si>
  <si>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</si>
  <si>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</si>
  <si>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30,08,недогруз</t>
  </si>
  <si>
    <t>30,08,доз</t>
  </si>
  <si>
    <t>01,09,</t>
  </si>
  <si>
    <t>02,09,</t>
  </si>
  <si>
    <t>01,09,предзаказ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</si>
  <si>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</si>
  <si>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</si>
  <si>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</si>
  <si>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</si>
  <si>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</si>
  <si>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</si>
  <si>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</si>
  <si>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</si>
  <si>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</si>
  <si>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</si>
  <si>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</si>
  <si>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</si>
  <si>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</si>
  <si>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</si>
  <si>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</si>
  <si>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</si>
  <si>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</si>
  <si>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</si>
  <si>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</si>
  <si>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</si>
  <si>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</si>
  <si>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</si>
  <si>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</si>
  <si>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</si>
  <si>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</si>
  <si>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</si>
  <si>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</si>
  <si>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107  Сосиски С сыром,  0.33кг,ядрена копоть ПОКОМ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</si>
  <si>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</si>
  <si>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</si>
  <si>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</si>
  <si>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</si>
  <si>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</si>
  <si>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</si>
  <si>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</si>
  <si>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</si>
  <si>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</si>
  <si>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</si>
  <si>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</si>
  <si>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</si>
  <si>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</si>
  <si>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</si>
  <si>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</si>
  <si>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</si>
  <si>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</si>
  <si>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</si>
  <si>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</si>
  <si>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</si>
  <si>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</si>
  <si>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</si>
  <si>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</si>
  <si>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</si>
  <si>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</si>
  <si>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</si>
  <si>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</si>
  <si>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</si>
  <si>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</si>
  <si>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</si>
  <si>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</si>
  <si>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</si>
  <si>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</si>
  <si>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</si>
  <si>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</si>
  <si>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</si>
  <si>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</si>
  <si>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</si>
  <si>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</si>
  <si>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</si>
  <si>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</si>
  <si>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</si>
  <si>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</si>
  <si>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</si>
  <si>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</si>
  <si>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</si>
  <si>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</si>
  <si>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</si>
  <si>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</si>
  <si>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</si>
  <si>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</si>
  <si>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</si>
  <si>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</si>
  <si>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</si>
  <si>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</si>
  <si>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</si>
  <si>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</si>
  <si>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</si>
  <si>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</si>
  <si>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</si>
  <si>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</si>
  <si>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</si>
  <si>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</si>
  <si>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</si>
  <si>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</si>
  <si>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</si>
  <si>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</si>
  <si>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</si>
  <si>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</si>
  <si>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</si>
  <si>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</si>
  <si>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</si>
  <si>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</si>
  <si>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</si>
  <si>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</si>
  <si>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</si>
  <si>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</si>
  <si>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</si>
  <si>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</si>
  <si>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</si>
  <si>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</si>
  <si>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</si>
  <si>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</si>
  <si>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</si>
  <si>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</si>
  <si>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</si>
  <si>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</si>
  <si>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</si>
  <si>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</si>
  <si>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</si>
  <si>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>нужно увеличить продажи!!! / помощь Донецку</t>
  </si>
  <si>
    <t xml:space="preserve"> 498  Колбаса Сочинка рубленая с сочным окороком 0,3кг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</si>
  <si>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</si>
  <si>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</si>
  <si>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</si>
  <si>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</si>
  <si>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</si>
  <si>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</si>
  <si>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</si>
  <si>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</si>
  <si>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</si>
  <si>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</si>
  <si>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</si>
  <si>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</si>
  <si>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</si>
  <si>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</si>
  <si>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</si>
  <si>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</si>
  <si>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</si>
  <si>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</si>
  <si>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</si>
  <si>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</si>
  <si>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</si>
  <si>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</si>
  <si>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</si>
  <si>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</si>
  <si>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</si>
  <si>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</si>
  <si>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</si>
  <si>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</si>
  <si>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</si>
  <si>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</si>
  <si>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вместо 219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</si>
  <si>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</si>
  <si>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</si>
  <si>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</si>
  <si>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</si>
  <si>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</si>
  <si>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</si>
  <si>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</si>
  <si>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</si>
  <si>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</si>
  <si>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</si>
  <si>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t>21 шт в уценку 30,06,26</t>
  </si>
  <si>
    <t>ТК</t>
  </si>
  <si>
    <t>Боярко</t>
  </si>
  <si>
    <t>120кг под задачи ТК (31,07,26)</t>
  </si>
  <si>
    <t>заказ</t>
  </si>
  <si>
    <t>07,08,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</si>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</sst>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4" fillId="0" borderId="1" xfId="1" applyNumberFormat="1" applyFont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7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6" sqref="AK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23" width="7" customWidth="1"/>
    <col min="24" max="24" width="7" style="19" customWidth="1"/>
    <col min="25" max="26" width="5" customWidth="1"/>
    <col min="27" max="36" width="6.7109375" customWidth="1"/>
    <col min="37" max="37" width="31.28515625" customWidth="1"/>
    <col min="38" max="38" width="7" customWidth="1"/>
    <col min="39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1">
        <v>2.0649999999999999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195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16700</v>
      </c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 t="s">
        <v>193</v>
      </c>
      <c r="X3" s="3" t="s">
        <v>190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 t="s">
        <v>194</v>
      </c>
      <c r="X4" s="1" t="s">
        <v>191</v>
      </c>
      <c r="Y4" s="1"/>
      <c r="Z4" s="1"/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SUM(E6:E499)</f>
        <v>49098.699000000008</v>
      </c>
      <c r="F5" s="4">
        <f>SUM(F6:F499)</f>
        <v>80635.387999999992</v>
      </c>
      <c r="G5" s="7"/>
      <c r="H5" s="1"/>
      <c r="I5" s="1"/>
      <c r="J5" s="1"/>
      <c r="K5" s="4">
        <f t="shared" ref="K5:W5" si="0">SUM(K6:K499)</f>
        <v>52495.015999999981</v>
      </c>
      <c r="L5" s="4">
        <f t="shared" si="0"/>
        <v>-3396.3170000000005</v>
      </c>
      <c r="M5" s="4">
        <f t="shared" si="0"/>
        <v>0</v>
      </c>
      <c r="N5" s="4">
        <f t="shared" si="0"/>
        <v>0</v>
      </c>
      <c r="O5" s="4">
        <f t="shared" si="0"/>
        <v>10762.189071199986</v>
      </c>
      <c r="P5" s="4">
        <f t="shared" si="0"/>
        <v>-4527.5999999999995</v>
      </c>
      <c r="Q5" s="4">
        <f t="shared" si="0"/>
        <v>5700</v>
      </c>
      <c r="R5" s="4">
        <f t="shared" si="0"/>
        <v>3291.2290560000015</v>
      </c>
      <c r="S5" s="4">
        <f t="shared" si="0"/>
        <v>9830</v>
      </c>
      <c r="T5" s="4">
        <f t="shared" si="0"/>
        <v>21200</v>
      </c>
      <c r="U5" s="4">
        <f t="shared" si="0"/>
        <v>9819.7397999999976</v>
      </c>
      <c r="V5" s="4">
        <f t="shared" si="0"/>
        <v>17881.413210400002</v>
      </c>
      <c r="W5" s="4">
        <f t="shared" si="0"/>
        <v>23674.537097400011</v>
      </c>
      <c r="X5" s="4"/>
      <c r="Y5" s="1"/>
      <c r="Z5" s="1"/>
      <c r="AA5" s="4">
        <f t="shared" ref="AA5:AJ5" si="1">SUM(AA6:AA499)</f>
        <v>10683.829199999996</v>
      </c>
      <c r="AB5" s="4">
        <f t="shared" si="1"/>
        <v>11356.38639999999</v>
      </c>
      <c r="AC5" s="4">
        <f t="shared" si="1"/>
        <v>10946.920799999996</v>
      </c>
      <c r="AD5" s="4">
        <f t="shared" si="1"/>
        <v>11020.885399999997</v>
      </c>
      <c r="AE5" s="4">
        <f t="shared" si="1"/>
        <v>11330.113399999998</v>
      </c>
      <c r="AF5" s="4">
        <f t="shared" si="1"/>
        <v>10868.862599999995</v>
      </c>
      <c r="AG5" s="4">
        <f t="shared" si="1"/>
        <v>10230.688399999999</v>
      </c>
      <c r="AH5" s="4">
        <f t="shared" si="1"/>
        <v>10557.787400000001</v>
      </c>
      <c r="AI5" s="4">
        <f t="shared" si="1"/>
        <v>11206.347200000004</v>
      </c>
      <c r="AJ5" s="4">
        <f t="shared" si="1"/>
        <v>10686.477200000005</v>
      </c>
      <c r="AK5" s="1"/>
      <c r="AL5" s="4">
        <f>SUM(AL6:AL499)</f>
        <v>16703</v>
      </c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39</v>
      </c>
      <c r="B6" s="1" t="s">
        <v>40</v>
      </c>
      <c r="C6" s="1">
        <v>3377.2890000000002</v>
      </c>
      <c r="D6" s="1">
        <v>5574.6379999999999</v>
      </c>
      <c r="E6" s="1">
        <v>2313.4369999999999</v>
      </c>
      <c r="F6" s="1">
        <v>3895.9059999999999</v>
      </c>
      <c r="G6" s="7">
        <v>1</v>
      </c>
      <c r="H6" s="1">
        <v>50</v>
      </c>
      <c r="I6" s="1" t="s">
        <v>41</v>
      </c>
      <c r="J6" s="1"/>
      <c r="K6" s="1">
        <v>2331.81</v>
      </c>
      <c r="L6" s="1">
        <f t="shared" ref="L6:L37" si="2">E6-K6</f>
        <v>-18.373000000000047</v>
      </c>
      <c r="M6" s="1"/>
      <c r="N6" s="1"/>
      <c r="O6" s="1">
        <v>316.56813199999851</v>
      </c>
      <c r="P6" s="1"/>
      <c r="Q6" s="1"/>
      <c r="R6" s="1"/>
      <c r="S6" s="1">
        <v>1700</v>
      </c>
      <c r="T6" s="1"/>
      <c r="U6" s="1">
        <f t="shared" ref="U6:U37" si="3">E6/5</f>
        <v>462.68739999999997</v>
      </c>
      <c r="V6" s="5"/>
      <c r="W6" s="5">
        <f>V6</f>
        <v>0</v>
      </c>
      <c r="X6" s="17"/>
      <c r="Y6" s="1">
        <f>(F6+O6+P6+Q6+R6+S6+T6+W6)/U6</f>
        <v>12.778550122609778</v>
      </c>
      <c r="Z6" s="1">
        <f t="shared" ref="Z6:Z37" si="4">(F6+O6+P6+Q6+R6+S6+T6)/U6</f>
        <v>12.778550122609778</v>
      </c>
      <c r="AA6" s="1">
        <v>504.16359999999997</v>
      </c>
      <c r="AB6" s="1">
        <v>475.59160000000003</v>
      </c>
      <c r="AC6" s="1">
        <v>485.4896</v>
      </c>
      <c r="AD6" s="1">
        <v>548.13580000000002</v>
      </c>
      <c r="AE6" s="1">
        <v>531.78219999999999</v>
      </c>
      <c r="AF6" s="1">
        <v>520.48940000000005</v>
      </c>
      <c r="AG6" s="1">
        <v>518.05520000000001</v>
      </c>
      <c r="AH6" s="1">
        <v>649.26400000000001</v>
      </c>
      <c r="AI6" s="1">
        <v>693.28</v>
      </c>
      <c r="AJ6" s="1">
        <v>574.93340000000001</v>
      </c>
      <c r="AK6" s="1"/>
      <c r="AL6" s="1">
        <f>ROUND(G6*W6,0)</f>
        <v>0</v>
      </c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42</v>
      </c>
      <c r="B7" s="1" t="s">
        <v>40</v>
      </c>
      <c r="C7" s="1">
        <v>1327.877</v>
      </c>
      <c r="D7" s="1">
        <v>2445.7640000000001</v>
      </c>
      <c r="E7" s="1">
        <v>1362.0909999999999</v>
      </c>
      <c r="F7" s="1">
        <v>1712.99</v>
      </c>
      <c r="G7" s="7">
        <v>1</v>
      </c>
      <c r="H7" s="1">
        <v>45</v>
      </c>
      <c r="I7" s="1" t="s">
        <v>41</v>
      </c>
      <c r="J7" s="1"/>
      <c r="K7" s="1">
        <v>1319.36</v>
      </c>
      <c r="L7" s="1">
        <f t="shared" si="2"/>
        <v>42.730999999999995</v>
      </c>
      <c r="M7" s="1"/>
      <c r="N7" s="1"/>
      <c r="O7" s="1">
        <v>243.16869039999821</v>
      </c>
      <c r="P7" s="1">
        <v>-243</v>
      </c>
      <c r="Q7" s="1"/>
      <c r="R7" s="1"/>
      <c r="S7" s="1"/>
      <c r="T7" s="1">
        <v>1650</v>
      </c>
      <c r="U7" s="1">
        <f t="shared" si="3"/>
        <v>272.41819999999996</v>
      </c>
      <c r="V7" s="5">
        <v>500</v>
      </c>
      <c r="W7" s="5">
        <f t="shared" ref="W7:W68" si="5">V7</f>
        <v>500</v>
      </c>
      <c r="X7" s="17"/>
      <c r="Y7" s="1">
        <f t="shared" ref="Y7:Y70" si="6">(F7+O7+P7+Q7+R7+S7+T7+W7)/U7</f>
        <v>14.180986036909424</v>
      </c>
      <c r="Z7" s="1">
        <f t="shared" si="4"/>
        <v>12.345572690811402</v>
      </c>
      <c r="AA7" s="1">
        <v>253.45859999999999</v>
      </c>
      <c r="AB7" s="1">
        <v>242.8768</v>
      </c>
      <c r="AC7" s="1">
        <v>235.5034</v>
      </c>
      <c r="AD7" s="1">
        <v>220.28479999999999</v>
      </c>
      <c r="AE7" s="1">
        <v>230.947</v>
      </c>
      <c r="AF7" s="1">
        <v>231.88659999999999</v>
      </c>
      <c r="AG7" s="1">
        <v>229.16200000000001</v>
      </c>
      <c r="AH7" s="1">
        <v>245.24719999999999</v>
      </c>
      <c r="AI7" s="1">
        <v>248.6404</v>
      </c>
      <c r="AJ7" s="1">
        <v>233.95959999999999</v>
      </c>
      <c r="AK7" s="1"/>
      <c r="AL7" s="1">
        <f t="shared" ref="AL7:AL70" si="7">ROUND(G7*W7,0)</f>
        <v>500</v>
      </c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43</v>
      </c>
      <c r="B8" s="1" t="s">
        <v>40</v>
      </c>
      <c r="C8" s="1">
        <v>1432.6420000000001</v>
      </c>
      <c r="D8" s="1">
        <v>1995.7529999999999</v>
      </c>
      <c r="E8" s="1">
        <v>1081.6859999999999</v>
      </c>
      <c r="F8" s="1">
        <v>1599.5940000000001</v>
      </c>
      <c r="G8" s="7">
        <v>1</v>
      </c>
      <c r="H8" s="1">
        <v>45</v>
      </c>
      <c r="I8" s="1" t="s">
        <v>41</v>
      </c>
      <c r="J8" s="1"/>
      <c r="K8" s="1">
        <v>1057.31</v>
      </c>
      <c r="L8" s="1">
        <f t="shared" si="2"/>
        <v>24.375999999999976</v>
      </c>
      <c r="M8" s="1"/>
      <c r="N8" s="1"/>
      <c r="O8" s="1">
        <v>74.684829799997487</v>
      </c>
      <c r="P8" s="1">
        <v>-81</v>
      </c>
      <c r="Q8" s="1"/>
      <c r="R8" s="1"/>
      <c r="S8" s="1"/>
      <c r="T8" s="1">
        <v>1550</v>
      </c>
      <c r="U8" s="1">
        <f t="shared" si="3"/>
        <v>216.3372</v>
      </c>
      <c r="V8" s="5">
        <v>400</v>
      </c>
      <c r="W8" s="5">
        <f t="shared" si="5"/>
        <v>400</v>
      </c>
      <c r="X8" s="17"/>
      <c r="Y8" s="1">
        <f t="shared" si="6"/>
        <v>16.378499998151025</v>
      </c>
      <c r="Z8" s="1">
        <f t="shared" si="4"/>
        <v>14.529534586746976</v>
      </c>
      <c r="AA8" s="1">
        <v>214.10339999999999</v>
      </c>
      <c r="AB8" s="1">
        <v>227.751</v>
      </c>
      <c r="AC8" s="1">
        <v>235.30099999999999</v>
      </c>
      <c r="AD8" s="1">
        <v>231.13040000000001</v>
      </c>
      <c r="AE8" s="1">
        <v>232.49080000000001</v>
      </c>
      <c r="AF8" s="1">
        <v>229.34979999999999</v>
      </c>
      <c r="AG8" s="1">
        <v>233.9804</v>
      </c>
      <c r="AH8" s="1">
        <v>252.5744</v>
      </c>
      <c r="AI8" s="1">
        <v>250.4272</v>
      </c>
      <c r="AJ8" s="1">
        <v>136.15100000000001</v>
      </c>
      <c r="AK8" s="1"/>
      <c r="AL8" s="1">
        <f t="shared" si="7"/>
        <v>400</v>
      </c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9" t="s">
        <v>44</v>
      </c>
      <c r="B9" s="9" t="s">
        <v>45</v>
      </c>
      <c r="C9" s="9"/>
      <c r="D9" s="9"/>
      <c r="E9" s="9"/>
      <c r="F9" s="9"/>
      <c r="G9" s="10">
        <v>0</v>
      </c>
      <c r="H9" s="9"/>
      <c r="I9" s="9" t="s">
        <v>41</v>
      </c>
      <c r="J9" s="9"/>
      <c r="K9" s="9"/>
      <c r="L9" s="9">
        <f t="shared" si="2"/>
        <v>0</v>
      </c>
      <c r="M9" s="9"/>
      <c r="N9" s="9"/>
      <c r="O9" s="9"/>
      <c r="P9" s="9"/>
      <c r="Q9" s="9"/>
      <c r="R9" s="9">
        <v>0</v>
      </c>
      <c r="S9" s="9"/>
      <c r="T9" s="9"/>
      <c r="U9" s="9">
        <f t="shared" si="3"/>
        <v>0</v>
      </c>
      <c r="V9" s="11"/>
      <c r="W9" s="5">
        <f t="shared" si="5"/>
        <v>0</v>
      </c>
      <c r="X9" s="18"/>
      <c r="Y9" s="1" t="e">
        <f t="shared" si="6"/>
        <v>#DIV/0!</v>
      </c>
      <c r="Z9" s="9" t="e">
        <f t="shared" si="4"/>
        <v>#DIV/0!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 t="s">
        <v>46</v>
      </c>
      <c r="AL9" s="1">
        <f t="shared" si="7"/>
        <v>0</v>
      </c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47</v>
      </c>
      <c r="B10" s="1" t="s">
        <v>45</v>
      </c>
      <c r="C10" s="1">
        <v>209</v>
      </c>
      <c r="D10" s="1">
        <v>2238</v>
      </c>
      <c r="E10" s="1">
        <v>591</v>
      </c>
      <c r="F10" s="1">
        <v>981</v>
      </c>
      <c r="G10" s="7">
        <v>0.45</v>
      </c>
      <c r="H10" s="1">
        <v>45</v>
      </c>
      <c r="I10" s="1" t="s">
        <v>41</v>
      </c>
      <c r="J10" s="1"/>
      <c r="K10" s="1">
        <v>612</v>
      </c>
      <c r="L10" s="1">
        <f t="shared" si="2"/>
        <v>-21</v>
      </c>
      <c r="M10" s="1"/>
      <c r="N10" s="1"/>
      <c r="O10" s="1">
        <v>162.3139999999996</v>
      </c>
      <c r="P10" s="1">
        <v>-168</v>
      </c>
      <c r="Q10" s="1"/>
      <c r="R10" s="1"/>
      <c r="S10" s="1">
        <v>350</v>
      </c>
      <c r="T10" s="1"/>
      <c r="U10" s="1">
        <f t="shared" si="3"/>
        <v>118.2</v>
      </c>
      <c r="V10" s="5">
        <v>300</v>
      </c>
      <c r="W10" s="5">
        <f t="shared" si="5"/>
        <v>300</v>
      </c>
      <c r="X10" s="17"/>
      <c r="Y10" s="1">
        <f t="shared" si="6"/>
        <v>13.750541455160741</v>
      </c>
      <c r="Z10" s="1">
        <f t="shared" si="4"/>
        <v>11.212470389170893</v>
      </c>
      <c r="AA10" s="1">
        <v>139</v>
      </c>
      <c r="AB10" s="1">
        <v>136.80000000000001</v>
      </c>
      <c r="AC10" s="1">
        <v>124.8</v>
      </c>
      <c r="AD10" s="1">
        <v>110.6</v>
      </c>
      <c r="AE10" s="1">
        <v>109</v>
      </c>
      <c r="AF10" s="1">
        <v>123.6</v>
      </c>
      <c r="AG10" s="1">
        <v>123.8</v>
      </c>
      <c r="AH10" s="1">
        <v>115.4</v>
      </c>
      <c r="AI10" s="1">
        <v>118.8</v>
      </c>
      <c r="AJ10" s="1">
        <v>111.6</v>
      </c>
      <c r="AK10" s="1"/>
      <c r="AL10" s="1">
        <f t="shared" si="7"/>
        <v>135</v>
      </c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48</v>
      </c>
      <c r="B11" s="1" t="s">
        <v>45</v>
      </c>
      <c r="C11" s="1">
        <v>936</v>
      </c>
      <c r="D11" s="1">
        <v>3381</v>
      </c>
      <c r="E11" s="1">
        <v>1153</v>
      </c>
      <c r="F11" s="1">
        <v>1888</v>
      </c>
      <c r="G11" s="7">
        <v>0.45</v>
      </c>
      <c r="H11" s="1">
        <v>45</v>
      </c>
      <c r="I11" s="1" t="s">
        <v>41</v>
      </c>
      <c r="J11" s="1"/>
      <c r="K11" s="1">
        <v>1166</v>
      </c>
      <c r="L11" s="1">
        <f t="shared" si="2"/>
        <v>-13</v>
      </c>
      <c r="M11" s="1"/>
      <c r="N11" s="1"/>
      <c r="O11" s="1">
        <v>461.90199999999851</v>
      </c>
      <c r="P11" s="1">
        <v>-468</v>
      </c>
      <c r="Q11" s="1"/>
      <c r="R11" s="1"/>
      <c r="S11" s="1">
        <v>680</v>
      </c>
      <c r="T11" s="1"/>
      <c r="U11" s="1">
        <f t="shared" si="3"/>
        <v>230.6</v>
      </c>
      <c r="V11" s="5">
        <v>500</v>
      </c>
      <c r="W11" s="5">
        <f t="shared" si="5"/>
        <v>500</v>
      </c>
      <c r="X11" s="17"/>
      <c r="Y11" s="1">
        <f t="shared" si="6"/>
        <v>13.277979184735468</v>
      </c>
      <c r="Z11" s="1">
        <f t="shared" si="4"/>
        <v>11.109722463139629</v>
      </c>
      <c r="AA11" s="1">
        <v>273.39999999999998</v>
      </c>
      <c r="AB11" s="1">
        <v>246.4</v>
      </c>
      <c r="AC11" s="1">
        <v>230.2</v>
      </c>
      <c r="AD11" s="1">
        <v>217</v>
      </c>
      <c r="AE11" s="1">
        <v>207.6</v>
      </c>
      <c r="AF11" s="1">
        <v>228.4</v>
      </c>
      <c r="AG11" s="1">
        <v>239.6</v>
      </c>
      <c r="AH11" s="1">
        <v>198.8</v>
      </c>
      <c r="AI11" s="1">
        <v>201.8</v>
      </c>
      <c r="AJ11" s="1">
        <v>207.4</v>
      </c>
      <c r="AK11" s="1"/>
      <c r="AL11" s="1">
        <f t="shared" si="7"/>
        <v>225</v>
      </c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49</v>
      </c>
      <c r="B12" s="1" t="s">
        <v>45</v>
      </c>
      <c r="C12" s="1">
        <v>41</v>
      </c>
      <c r="D12" s="1">
        <v>235</v>
      </c>
      <c r="E12" s="1">
        <v>51</v>
      </c>
      <c r="F12" s="1">
        <v>179</v>
      </c>
      <c r="G12" s="7">
        <v>0.17</v>
      </c>
      <c r="H12" s="1">
        <v>180</v>
      </c>
      <c r="I12" s="1" t="s">
        <v>41</v>
      </c>
      <c r="J12" s="1"/>
      <c r="K12" s="1">
        <v>51</v>
      </c>
      <c r="L12" s="1">
        <f t="shared" si="2"/>
        <v>0</v>
      </c>
      <c r="M12" s="1"/>
      <c r="N12" s="1"/>
      <c r="O12" s="1"/>
      <c r="P12" s="1"/>
      <c r="Q12" s="1"/>
      <c r="R12" s="1"/>
      <c r="S12" s="1"/>
      <c r="T12" s="1"/>
      <c r="U12" s="1">
        <f t="shared" si="3"/>
        <v>10.199999999999999</v>
      </c>
      <c r="V12" s="5"/>
      <c r="W12" s="5">
        <f t="shared" si="5"/>
        <v>0</v>
      </c>
      <c r="X12" s="17"/>
      <c r="Y12" s="1">
        <f t="shared" si="6"/>
        <v>17.549019607843139</v>
      </c>
      <c r="Z12" s="1">
        <f t="shared" si="4"/>
        <v>17.549019607843139</v>
      </c>
      <c r="AA12" s="1">
        <v>14.6</v>
      </c>
      <c r="AB12" s="1">
        <v>20.2</v>
      </c>
      <c r="AC12" s="1">
        <v>15.2</v>
      </c>
      <c r="AD12" s="1">
        <v>11.8</v>
      </c>
      <c r="AE12" s="1">
        <v>12.8</v>
      </c>
      <c r="AF12" s="1">
        <v>7.4</v>
      </c>
      <c r="AG12" s="1">
        <v>8.6</v>
      </c>
      <c r="AH12" s="1">
        <v>18.2</v>
      </c>
      <c r="AI12" s="1">
        <v>20.6</v>
      </c>
      <c r="AJ12" s="1">
        <v>16</v>
      </c>
      <c r="AK12" s="1"/>
      <c r="AL12" s="1">
        <f t="shared" si="7"/>
        <v>0</v>
      </c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9" t="s">
        <v>50</v>
      </c>
      <c r="B13" s="9" t="s">
        <v>45</v>
      </c>
      <c r="C13" s="9">
        <v>-47</v>
      </c>
      <c r="D13" s="9">
        <v>47</v>
      </c>
      <c r="E13" s="9"/>
      <c r="F13" s="9"/>
      <c r="G13" s="10">
        <v>0</v>
      </c>
      <c r="H13" s="9"/>
      <c r="I13" s="9" t="s">
        <v>51</v>
      </c>
      <c r="J13" s="9"/>
      <c r="K13" s="9"/>
      <c r="L13" s="9">
        <f t="shared" si="2"/>
        <v>0</v>
      </c>
      <c r="M13" s="9"/>
      <c r="N13" s="9"/>
      <c r="O13" s="9"/>
      <c r="P13" s="9"/>
      <c r="Q13" s="9"/>
      <c r="R13" s="9">
        <v>0</v>
      </c>
      <c r="S13" s="9"/>
      <c r="T13" s="9"/>
      <c r="U13" s="9">
        <f t="shared" si="3"/>
        <v>0</v>
      </c>
      <c r="V13" s="11"/>
      <c r="W13" s="5">
        <f t="shared" si="5"/>
        <v>0</v>
      </c>
      <c r="X13" s="18"/>
      <c r="Y13" s="1" t="e">
        <f t="shared" si="6"/>
        <v>#DIV/0!</v>
      </c>
      <c r="Z13" s="9" t="e">
        <f t="shared" si="4"/>
        <v>#DIV/0!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/>
      <c r="AL13" s="1">
        <f t="shared" si="7"/>
        <v>0</v>
      </c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52</v>
      </c>
      <c r="B14" s="1" t="s">
        <v>45</v>
      </c>
      <c r="C14" s="1">
        <v>92</v>
      </c>
      <c r="D14" s="1">
        <v>195</v>
      </c>
      <c r="E14" s="1">
        <v>111</v>
      </c>
      <c r="F14" s="1">
        <v>108</v>
      </c>
      <c r="G14" s="7">
        <v>0.3</v>
      </c>
      <c r="H14" s="1">
        <v>40</v>
      </c>
      <c r="I14" s="1" t="s">
        <v>41</v>
      </c>
      <c r="J14" s="1"/>
      <c r="K14" s="1">
        <v>116</v>
      </c>
      <c r="L14" s="1">
        <f t="shared" si="2"/>
        <v>-5</v>
      </c>
      <c r="M14" s="1"/>
      <c r="N14" s="1"/>
      <c r="O14" s="1"/>
      <c r="P14" s="1"/>
      <c r="Q14" s="1"/>
      <c r="R14" s="1">
        <v>93.4</v>
      </c>
      <c r="S14" s="1"/>
      <c r="T14" s="1"/>
      <c r="U14" s="1">
        <f t="shared" si="3"/>
        <v>22.2</v>
      </c>
      <c r="V14" s="5">
        <f t="shared" ref="V14" si="8">12*U14-T14-S14-R14-Q14-P14-O14-F14</f>
        <v>64.999999999999972</v>
      </c>
      <c r="W14" s="5">
        <f t="shared" si="5"/>
        <v>64.999999999999972</v>
      </c>
      <c r="X14" s="17"/>
      <c r="Y14" s="1">
        <f t="shared" si="6"/>
        <v>12</v>
      </c>
      <c r="Z14" s="1">
        <f t="shared" si="4"/>
        <v>9.0720720720720731</v>
      </c>
      <c r="AA14" s="1">
        <v>22.8</v>
      </c>
      <c r="AB14" s="1">
        <v>17.600000000000001</v>
      </c>
      <c r="AC14" s="1">
        <v>17.8</v>
      </c>
      <c r="AD14" s="1">
        <v>9.1999999999999993</v>
      </c>
      <c r="AE14" s="1">
        <v>19.399999999999999</v>
      </c>
      <c r="AF14" s="1">
        <v>23</v>
      </c>
      <c r="AG14" s="1">
        <v>10.8</v>
      </c>
      <c r="AH14" s="1">
        <v>11.6</v>
      </c>
      <c r="AI14" s="1">
        <v>7.8</v>
      </c>
      <c r="AJ14" s="1">
        <v>7.8</v>
      </c>
      <c r="AK14" s="1"/>
      <c r="AL14" s="1">
        <f t="shared" si="7"/>
        <v>20</v>
      </c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53</v>
      </c>
      <c r="B15" s="1" t="s">
        <v>45</v>
      </c>
      <c r="C15" s="1">
        <v>67</v>
      </c>
      <c r="D15" s="1">
        <v>727</v>
      </c>
      <c r="E15" s="1">
        <v>168</v>
      </c>
      <c r="F15" s="1">
        <v>477</v>
      </c>
      <c r="G15" s="7">
        <v>0.17</v>
      </c>
      <c r="H15" s="1">
        <v>180</v>
      </c>
      <c r="I15" s="1" t="s">
        <v>41</v>
      </c>
      <c r="J15" s="1"/>
      <c r="K15" s="1">
        <v>168</v>
      </c>
      <c r="L15" s="1">
        <f t="shared" si="2"/>
        <v>0</v>
      </c>
      <c r="M15" s="1"/>
      <c r="N15" s="1"/>
      <c r="O15" s="1"/>
      <c r="P15" s="1"/>
      <c r="Q15" s="1"/>
      <c r="R15" s="1"/>
      <c r="S15" s="1"/>
      <c r="T15" s="1"/>
      <c r="U15" s="1">
        <f t="shared" si="3"/>
        <v>33.6</v>
      </c>
      <c r="V15" s="5"/>
      <c r="W15" s="5">
        <f t="shared" si="5"/>
        <v>0</v>
      </c>
      <c r="X15" s="17"/>
      <c r="Y15" s="1">
        <f t="shared" si="6"/>
        <v>14.196428571428571</v>
      </c>
      <c r="Z15" s="1">
        <f t="shared" si="4"/>
        <v>14.196428571428571</v>
      </c>
      <c r="AA15" s="1">
        <v>38.4</v>
      </c>
      <c r="AB15" s="1">
        <v>56</v>
      </c>
      <c r="AC15" s="1">
        <v>56.2</v>
      </c>
      <c r="AD15" s="1">
        <v>45</v>
      </c>
      <c r="AE15" s="1">
        <v>39.4</v>
      </c>
      <c r="AF15" s="1">
        <v>40.6</v>
      </c>
      <c r="AG15" s="1">
        <v>41</v>
      </c>
      <c r="AH15" s="1">
        <v>51</v>
      </c>
      <c r="AI15" s="1">
        <v>48.8</v>
      </c>
      <c r="AJ15" s="1">
        <v>47</v>
      </c>
      <c r="AK15" s="1"/>
      <c r="AL15" s="1">
        <f t="shared" si="7"/>
        <v>0</v>
      </c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9" t="s">
        <v>54</v>
      </c>
      <c r="B16" s="9" t="s">
        <v>45</v>
      </c>
      <c r="C16" s="9"/>
      <c r="D16" s="9"/>
      <c r="E16" s="9">
        <v>1</v>
      </c>
      <c r="F16" s="9">
        <v>-1</v>
      </c>
      <c r="G16" s="10">
        <v>0</v>
      </c>
      <c r="H16" s="9"/>
      <c r="I16" s="12" t="s">
        <v>51</v>
      </c>
      <c r="J16" s="9"/>
      <c r="K16" s="9">
        <v>1</v>
      </c>
      <c r="L16" s="9">
        <f t="shared" si="2"/>
        <v>0</v>
      </c>
      <c r="M16" s="9"/>
      <c r="N16" s="9"/>
      <c r="O16" s="9"/>
      <c r="P16" s="9"/>
      <c r="Q16" s="9"/>
      <c r="R16" s="9"/>
      <c r="S16" s="9"/>
      <c r="T16" s="9"/>
      <c r="U16" s="9">
        <f t="shared" si="3"/>
        <v>0.2</v>
      </c>
      <c r="V16" s="11"/>
      <c r="W16" s="5">
        <f t="shared" si="5"/>
        <v>0</v>
      </c>
      <c r="X16" s="18"/>
      <c r="Y16" s="1">
        <f t="shared" si="6"/>
        <v>-5</v>
      </c>
      <c r="Z16" s="9">
        <f t="shared" si="4"/>
        <v>-5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/>
      <c r="AL16" s="1">
        <f t="shared" si="7"/>
        <v>0</v>
      </c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9" t="s">
        <v>55</v>
      </c>
      <c r="B17" s="9" t="s">
        <v>45</v>
      </c>
      <c r="C17" s="9">
        <v>-2</v>
      </c>
      <c r="D17" s="9">
        <v>2</v>
      </c>
      <c r="E17" s="9"/>
      <c r="F17" s="9"/>
      <c r="G17" s="10">
        <v>0</v>
      </c>
      <c r="H17" s="9"/>
      <c r="I17" s="9" t="s">
        <v>51</v>
      </c>
      <c r="J17" s="9" t="s">
        <v>56</v>
      </c>
      <c r="K17" s="9"/>
      <c r="L17" s="9">
        <f t="shared" si="2"/>
        <v>0</v>
      </c>
      <c r="M17" s="9"/>
      <c r="N17" s="9"/>
      <c r="O17" s="9"/>
      <c r="P17" s="9"/>
      <c r="Q17" s="9"/>
      <c r="R17" s="9">
        <v>0</v>
      </c>
      <c r="S17" s="9"/>
      <c r="T17" s="9"/>
      <c r="U17" s="9">
        <f t="shared" si="3"/>
        <v>0</v>
      </c>
      <c r="V17" s="11"/>
      <c r="W17" s="5">
        <f t="shared" si="5"/>
        <v>0</v>
      </c>
      <c r="X17" s="18"/>
      <c r="Y17" s="1" t="e">
        <f t="shared" si="6"/>
        <v>#DIV/0!</v>
      </c>
      <c r="Z17" s="9" t="e">
        <f t="shared" si="4"/>
        <v>#DIV/0!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0.4</v>
      </c>
      <c r="AI17" s="9">
        <v>0.4</v>
      </c>
      <c r="AJ17" s="9">
        <v>0</v>
      </c>
      <c r="AK17" s="9"/>
      <c r="AL17" s="1">
        <f t="shared" si="7"/>
        <v>0</v>
      </c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9" t="s">
        <v>57</v>
      </c>
      <c r="B18" s="9" t="s">
        <v>45</v>
      </c>
      <c r="C18" s="9">
        <v>-1</v>
      </c>
      <c r="D18" s="9">
        <v>1</v>
      </c>
      <c r="E18" s="9"/>
      <c r="F18" s="9"/>
      <c r="G18" s="10">
        <v>0</v>
      </c>
      <c r="H18" s="9"/>
      <c r="I18" s="9" t="s">
        <v>51</v>
      </c>
      <c r="J18" s="9"/>
      <c r="K18" s="9"/>
      <c r="L18" s="9">
        <f t="shared" si="2"/>
        <v>0</v>
      </c>
      <c r="M18" s="9"/>
      <c r="N18" s="9"/>
      <c r="O18" s="9"/>
      <c r="P18" s="9"/>
      <c r="Q18" s="9"/>
      <c r="R18" s="9">
        <v>0</v>
      </c>
      <c r="S18" s="9"/>
      <c r="T18" s="9"/>
      <c r="U18" s="9">
        <f t="shared" si="3"/>
        <v>0</v>
      </c>
      <c r="V18" s="11"/>
      <c r="W18" s="5">
        <f t="shared" si="5"/>
        <v>0</v>
      </c>
      <c r="X18" s="18"/>
      <c r="Y18" s="1" t="e">
        <f t="shared" si="6"/>
        <v>#DIV/0!</v>
      </c>
      <c r="Z18" s="9" t="e">
        <f t="shared" si="4"/>
        <v>#DIV/0!</v>
      </c>
      <c r="AA18" s="9">
        <v>0</v>
      </c>
      <c r="AB18" s="9">
        <v>0</v>
      </c>
      <c r="AC18" s="9">
        <v>0</v>
      </c>
      <c r="AD18" s="9">
        <v>0.2</v>
      </c>
      <c r="AE18" s="9">
        <v>0.2</v>
      </c>
      <c r="AF18" s="9">
        <v>0</v>
      </c>
      <c r="AG18" s="9">
        <v>0</v>
      </c>
      <c r="AH18" s="9">
        <v>0.4</v>
      </c>
      <c r="AI18" s="9">
        <v>0.4</v>
      </c>
      <c r="AJ18" s="9">
        <v>0</v>
      </c>
      <c r="AK18" s="9"/>
      <c r="AL18" s="1">
        <f t="shared" si="7"/>
        <v>0</v>
      </c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58</v>
      </c>
      <c r="B19" s="1" t="s">
        <v>40</v>
      </c>
      <c r="C19" s="1">
        <v>1430.673</v>
      </c>
      <c r="D19" s="1">
        <v>2233.8049999999998</v>
      </c>
      <c r="E19" s="1">
        <v>1122.7650000000001</v>
      </c>
      <c r="F19" s="1">
        <v>1572.759</v>
      </c>
      <c r="G19" s="7">
        <v>1</v>
      </c>
      <c r="H19" s="1">
        <v>70</v>
      </c>
      <c r="I19" s="1" t="s">
        <v>41</v>
      </c>
      <c r="J19" s="1"/>
      <c r="K19" s="1">
        <v>1136.645</v>
      </c>
      <c r="L19" s="1">
        <f t="shared" si="2"/>
        <v>-13.879999999999882</v>
      </c>
      <c r="M19" s="1"/>
      <c r="N19" s="1"/>
      <c r="O19" s="1">
        <v>156.09324480000029</v>
      </c>
      <c r="P19" s="1"/>
      <c r="Q19" s="1"/>
      <c r="R19" s="1"/>
      <c r="S19" s="1">
        <v>550</v>
      </c>
      <c r="T19" s="1"/>
      <c r="U19" s="1">
        <f t="shared" si="3"/>
        <v>224.55300000000003</v>
      </c>
      <c r="V19" s="5">
        <f t="shared" ref="V19:V21" si="9">12*U19-T19-S19-R19-Q19-P19-O19-F19</f>
        <v>415.78375520000009</v>
      </c>
      <c r="W19" s="5">
        <f>V19+$W$1*U19</f>
        <v>879.48570020000011</v>
      </c>
      <c r="X19" s="17"/>
      <c r="Y19" s="1">
        <f t="shared" si="6"/>
        <v>14.065</v>
      </c>
      <c r="Z19" s="1">
        <f t="shared" si="4"/>
        <v>10.14839367454454</v>
      </c>
      <c r="AA19" s="1">
        <v>226.56899999999999</v>
      </c>
      <c r="AB19" s="1">
        <v>227.60939999999999</v>
      </c>
      <c r="AC19" s="1">
        <v>217.93199999999999</v>
      </c>
      <c r="AD19" s="1">
        <v>228.4726</v>
      </c>
      <c r="AE19" s="1">
        <v>235.23580000000001</v>
      </c>
      <c r="AF19" s="1">
        <v>236.49680000000001</v>
      </c>
      <c r="AG19" s="1">
        <v>223.6362</v>
      </c>
      <c r="AH19" s="1">
        <v>225.66139999999999</v>
      </c>
      <c r="AI19" s="1">
        <v>232.34639999999999</v>
      </c>
      <c r="AJ19" s="1">
        <v>227.69319999999999</v>
      </c>
      <c r="AK19" s="1"/>
      <c r="AL19" s="1">
        <f t="shared" si="7"/>
        <v>879</v>
      </c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59</v>
      </c>
      <c r="B20" s="1" t="s">
        <v>40</v>
      </c>
      <c r="C20" s="1">
        <v>4024.652</v>
      </c>
      <c r="D20" s="1">
        <v>8115.3490000000002</v>
      </c>
      <c r="E20" s="1">
        <v>3767.1860000000001</v>
      </c>
      <c r="F20" s="1">
        <v>5939.7209999999995</v>
      </c>
      <c r="G20" s="7">
        <v>1</v>
      </c>
      <c r="H20" s="1">
        <v>50</v>
      </c>
      <c r="I20" s="1" t="s">
        <v>41</v>
      </c>
      <c r="J20" s="1"/>
      <c r="K20" s="1">
        <v>3757.65</v>
      </c>
      <c r="L20" s="1">
        <f t="shared" si="2"/>
        <v>9.5360000000000582</v>
      </c>
      <c r="M20" s="1"/>
      <c r="N20" s="1"/>
      <c r="O20" s="1">
        <v>506.67823899999888</v>
      </c>
      <c r="P20" s="1">
        <v>-510</v>
      </c>
      <c r="Q20" s="1"/>
      <c r="R20" s="1"/>
      <c r="S20" s="1"/>
      <c r="T20" s="1">
        <v>5000</v>
      </c>
      <c r="U20" s="1">
        <f t="shared" si="3"/>
        <v>753.43720000000008</v>
      </c>
      <c r="V20" s="5">
        <v>1000</v>
      </c>
      <c r="W20" s="5">
        <f t="shared" si="5"/>
        <v>1000</v>
      </c>
      <c r="X20" s="17"/>
      <c r="Y20" s="1">
        <f t="shared" si="6"/>
        <v>15.84259343579</v>
      </c>
      <c r="Z20" s="1">
        <f t="shared" si="4"/>
        <v>14.515342803620523</v>
      </c>
      <c r="AA20" s="1">
        <v>789.19159999999999</v>
      </c>
      <c r="AB20" s="1">
        <v>779.79539999999997</v>
      </c>
      <c r="AC20" s="1">
        <v>746.61940000000004</v>
      </c>
      <c r="AD20" s="1">
        <v>740.76059999999995</v>
      </c>
      <c r="AE20" s="1">
        <v>725.36279999999999</v>
      </c>
      <c r="AF20" s="1">
        <v>627.70680000000004</v>
      </c>
      <c r="AG20" s="1">
        <v>599.94200000000001</v>
      </c>
      <c r="AH20" s="1">
        <v>727.9</v>
      </c>
      <c r="AI20" s="1">
        <v>787.52279999999996</v>
      </c>
      <c r="AJ20" s="1">
        <v>702.96499999999992</v>
      </c>
      <c r="AK20" s="1"/>
      <c r="AL20" s="1">
        <f t="shared" si="7"/>
        <v>1000</v>
      </c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60</v>
      </c>
      <c r="B21" s="1" t="s">
        <v>40</v>
      </c>
      <c r="C21" s="1">
        <v>111.806</v>
      </c>
      <c r="D21" s="1">
        <v>197.27799999999999</v>
      </c>
      <c r="E21" s="1">
        <v>93.429000000000002</v>
      </c>
      <c r="F21" s="1">
        <v>122.84699999999999</v>
      </c>
      <c r="G21" s="7">
        <v>1</v>
      </c>
      <c r="H21" s="1">
        <v>60</v>
      </c>
      <c r="I21" s="1" t="s">
        <v>41</v>
      </c>
      <c r="J21" s="1"/>
      <c r="K21" s="1">
        <v>96.83</v>
      </c>
      <c r="L21" s="1">
        <f t="shared" si="2"/>
        <v>-3.4009999999999962</v>
      </c>
      <c r="M21" s="1"/>
      <c r="N21" s="1"/>
      <c r="O21" s="1"/>
      <c r="P21" s="1"/>
      <c r="Q21" s="1"/>
      <c r="R21" s="1">
        <v>42.726600000000019</v>
      </c>
      <c r="S21" s="1"/>
      <c r="T21" s="1"/>
      <c r="U21" s="1">
        <f t="shared" si="3"/>
        <v>18.6858</v>
      </c>
      <c r="V21" s="5">
        <f t="shared" si="9"/>
        <v>58.655999999999992</v>
      </c>
      <c r="W21" s="5">
        <f t="shared" si="5"/>
        <v>58.655999999999992</v>
      </c>
      <c r="X21" s="17"/>
      <c r="Y21" s="1">
        <f t="shared" si="6"/>
        <v>12</v>
      </c>
      <c r="Z21" s="1">
        <f t="shared" si="4"/>
        <v>8.8609318305879334</v>
      </c>
      <c r="AA21" s="1">
        <v>21.406600000000001</v>
      </c>
      <c r="AB21" s="1">
        <v>20.923999999999999</v>
      </c>
      <c r="AC21" s="1">
        <v>19.589400000000001</v>
      </c>
      <c r="AD21" s="1">
        <v>22.287800000000001</v>
      </c>
      <c r="AE21" s="1">
        <v>21.7728</v>
      </c>
      <c r="AF21" s="1">
        <v>17.471399999999999</v>
      </c>
      <c r="AG21" s="1">
        <v>18.394600000000001</v>
      </c>
      <c r="AH21" s="1">
        <v>18.616199999999999</v>
      </c>
      <c r="AI21" s="1">
        <v>20.011800000000001</v>
      </c>
      <c r="AJ21" s="1">
        <v>18.930399999999999</v>
      </c>
      <c r="AK21" s="1"/>
      <c r="AL21" s="1">
        <f t="shared" si="7"/>
        <v>59</v>
      </c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9" t="s">
        <v>61</v>
      </c>
      <c r="B22" s="9" t="s">
        <v>40</v>
      </c>
      <c r="C22" s="9">
        <v>-26.027999999999999</v>
      </c>
      <c r="D22" s="9">
        <v>122.569</v>
      </c>
      <c r="E22" s="9"/>
      <c r="F22" s="9"/>
      <c r="G22" s="10">
        <v>0</v>
      </c>
      <c r="H22" s="9"/>
      <c r="I22" s="9" t="s">
        <v>51</v>
      </c>
      <c r="J22" s="9" t="s">
        <v>62</v>
      </c>
      <c r="K22" s="9">
        <v>5</v>
      </c>
      <c r="L22" s="9">
        <f t="shared" si="2"/>
        <v>-5</v>
      </c>
      <c r="M22" s="9"/>
      <c r="N22" s="9"/>
      <c r="O22" s="9"/>
      <c r="P22" s="9"/>
      <c r="Q22" s="9"/>
      <c r="R22" s="9">
        <v>0</v>
      </c>
      <c r="S22" s="9"/>
      <c r="T22" s="9"/>
      <c r="U22" s="9">
        <f t="shared" si="3"/>
        <v>0</v>
      </c>
      <c r="V22" s="11"/>
      <c r="W22" s="5">
        <f t="shared" si="5"/>
        <v>0</v>
      </c>
      <c r="X22" s="18"/>
      <c r="Y22" s="1" t="e">
        <f t="shared" si="6"/>
        <v>#DIV/0!</v>
      </c>
      <c r="Z22" s="9" t="e">
        <f t="shared" si="4"/>
        <v>#DIV/0!</v>
      </c>
      <c r="AA22" s="9">
        <v>0</v>
      </c>
      <c r="AB22" s="9">
        <v>0</v>
      </c>
      <c r="AC22" s="9">
        <v>0</v>
      </c>
      <c r="AD22" s="9">
        <v>-0.40100000000000002</v>
      </c>
      <c r="AE22" s="9">
        <v>-0.52200000000000002</v>
      </c>
      <c r="AF22" s="9">
        <v>-0.28520000000000001</v>
      </c>
      <c r="AG22" s="9">
        <v>1.2378</v>
      </c>
      <c r="AH22" s="9">
        <v>1.2250000000000001</v>
      </c>
      <c r="AI22" s="9">
        <v>97.994200000000006</v>
      </c>
      <c r="AJ22" s="9">
        <v>239.58519999999999</v>
      </c>
      <c r="AK22" s="9" t="s">
        <v>63</v>
      </c>
      <c r="AL22" s="1">
        <f t="shared" si="7"/>
        <v>0</v>
      </c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64</v>
      </c>
      <c r="B23" s="1" t="s">
        <v>40</v>
      </c>
      <c r="C23" s="1">
        <v>65.628</v>
      </c>
      <c r="D23" s="1">
        <v>157.13200000000001</v>
      </c>
      <c r="E23" s="1">
        <v>87.391999999999996</v>
      </c>
      <c r="F23" s="1">
        <v>93.114000000000004</v>
      </c>
      <c r="G23" s="7">
        <v>1</v>
      </c>
      <c r="H23" s="1">
        <v>60</v>
      </c>
      <c r="I23" s="1" t="s">
        <v>41</v>
      </c>
      <c r="J23" s="1"/>
      <c r="K23" s="1">
        <v>90.99</v>
      </c>
      <c r="L23" s="1">
        <f t="shared" si="2"/>
        <v>-3.597999999999999</v>
      </c>
      <c r="M23" s="1"/>
      <c r="N23" s="1"/>
      <c r="O23" s="1"/>
      <c r="P23" s="1"/>
      <c r="Q23" s="1"/>
      <c r="R23" s="1">
        <v>4</v>
      </c>
      <c r="S23" s="1"/>
      <c r="T23" s="1"/>
      <c r="U23" s="1">
        <f t="shared" si="3"/>
        <v>17.478400000000001</v>
      </c>
      <c r="V23" s="5">
        <f t="shared" ref="V23:V27" si="10">12*U23-T23-S23-R23-Q23-P23-O23-F23</f>
        <v>112.6268</v>
      </c>
      <c r="W23" s="5">
        <f t="shared" si="5"/>
        <v>112.6268</v>
      </c>
      <c r="X23" s="17"/>
      <c r="Y23" s="1">
        <f t="shared" si="6"/>
        <v>12</v>
      </c>
      <c r="Z23" s="1">
        <f t="shared" si="4"/>
        <v>5.5562294031490298</v>
      </c>
      <c r="AA23" s="1">
        <v>13.7256</v>
      </c>
      <c r="AB23" s="1">
        <v>14.416600000000001</v>
      </c>
      <c r="AC23" s="1">
        <v>16.773</v>
      </c>
      <c r="AD23" s="1">
        <v>16.835999999999999</v>
      </c>
      <c r="AE23" s="1">
        <v>15.0814</v>
      </c>
      <c r="AF23" s="1">
        <v>11.555400000000001</v>
      </c>
      <c r="AG23" s="1">
        <v>13.023999999999999</v>
      </c>
      <c r="AH23" s="1">
        <v>16.781600000000001</v>
      </c>
      <c r="AI23" s="1">
        <v>17.526199999999999</v>
      </c>
      <c r="AJ23" s="1">
        <v>17.302800000000001</v>
      </c>
      <c r="AK23" s="1"/>
      <c r="AL23" s="1">
        <f t="shared" si="7"/>
        <v>113</v>
      </c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65</v>
      </c>
      <c r="B24" s="1" t="s">
        <v>40</v>
      </c>
      <c r="C24" s="1">
        <v>4.3769999999999998</v>
      </c>
      <c r="D24" s="1">
        <v>19.829000000000001</v>
      </c>
      <c r="E24" s="1">
        <v>8.6549999999999994</v>
      </c>
      <c r="F24" s="1">
        <v>13.488</v>
      </c>
      <c r="G24" s="7">
        <v>1</v>
      </c>
      <c r="H24" s="1">
        <v>180</v>
      </c>
      <c r="I24" s="1" t="s">
        <v>41</v>
      </c>
      <c r="J24" s="1"/>
      <c r="K24" s="1">
        <v>7.9880000000000004</v>
      </c>
      <c r="L24" s="1">
        <f t="shared" si="2"/>
        <v>0.66699999999999893</v>
      </c>
      <c r="M24" s="1"/>
      <c r="N24" s="1"/>
      <c r="O24" s="1"/>
      <c r="P24" s="1"/>
      <c r="Q24" s="1"/>
      <c r="R24" s="1"/>
      <c r="S24" s="1"/>
      <c r="T24" s="1"/>
      <c r="U24" s="1">
        <f t="shared" si="3"/>
        <v>1.7309999999999999</v>
      </c>
      <c r="V24" s="5">
        <f t="shared" si="10"/>
        <v>7.2839999999999989</v>
      </c>
      <c r="W24" s="5">
        <f t="shared" si="5"/>
        <v>7.2839999999999989</v>
      </c>
      <c r="X24" s="17"/>
      <c r="Y24" s="1">
        <f t="shared" si="6"/>
        <v>12</v>
      </c>
      <c r="Z24" s="1">
        <f t="shared" si="4"/>
        <v>7.7920277296360485</v>
      </c>
      <c r="AA24" s="1">
        <v>1.6870000000000001</v>
      </c>
      <c r="AB24" s="1">
        <v>1.4314</v>
      </c>
      <c r="AC24" s="1">
        <v>1.4481999999999999</v>
      </c>
      <c r="AD24" s="1">
        <v>1.9716</v>
      </c>
      <c r="AE24" s="1">
        <v>1.2405999999999999</v>
      </c>
      <c r="AF24" s="1">
        <v>0.79459999999999997</v>
      </c>
      <c r="AG24" s="1">
        <v>0.72240000000000004</v>
      </c>
      <c r="AH24" s="1">
        <v>1.2132000000000001</v>
      </c>
      <c r="AI24" s="1">
        <v>1.4932000000000001</v>
      </c>
      <c r="AJ24" s="1">
        <v>2.0506000000000002</v>
      </c>
      <c r="AK24" s="1"/>
      <c r="AL24" s="1">
        <f t="shared" si="7"/>
        <v>7</v>
      </c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66</v>
      </c>
      <c r="B25" s="1" t="s">
        <v>40</v>
      </c>
      <c r="C25" s="1">
        <v>1910.499</v>
      </c>
      <c r="D25" s="1">
        <v>2221.8919999999998</v>
      </c>
      <c r="E25" s="1">
        <v>1379.556</v>
      </c>
      <c r="F25" s="1">
        <v>2039.04</v>
      </c>
      <c r="G25" s="7">
        <v>1</v>
      </c>
      <c r="H25" s="1">
        <v>60</v>
      </c>
      <c r="I25" s="1" t="s">
        <v>41</v>
      </c>
      <c r="J25" s="1"/>
      <c r="K25" s="1">
        <v>1396.925</v>
      </c>
      <c r="L25" s="1">
        <f t="shared" si="2"/>
        <v>-17.368999999999915</v>
      </c>
      <c r="M25" s="1"/>
      <c r="N25" s="1"/>
      <c r="O25" s="1">
        <v>211.1067197999985</v>
      </c>
      <c r="P25" s="1"/>
      <c r="Q25" s="1"/>
      <c r="R25" s="1"/>
      <c r="S25" s="1">
        <v>700</v>
      </c>
      <c r="T25" s="1"/>
      <c r="U25" s="1">
        <f t="shared" si="3"/>
        <v>275.91120000000001</v>
      </c>
      <c r="V25" s="5">
        <f t="shared" si="10"/>
        <v>360.78768020000143</v>
      </c>
      <c r="W25" s="5">
        <f>V25+$W$1*U25</f>
        <v>930.54430820000141</v>
      </c>
      <c r="X25" s="17"/>
      <c r="Y25" s="1">
        <f t="shared" si="6"/>
        <v>14.065</v>
      </c>
      <c r="Z25" s="1">
        <f t="shared" si="4"/>
        <v>10.692377546833903</v>
      </c>
      <c r="AA25" s="1">
        <v>284.72680000000003</v>
      </c>
      <c r="AB25" s="1">
        <v>282.6728</v>
      </c>
      <c r="AC25" s="1">
        <v>268.63920000000002</v>
      </c>
      <c r="AD25" s="1">
        <v>285.46140000000003</v>
      </c>
      <c r="AE25" s="1">
        <v>300.20659999999998</v>
      </c>
      <c r="AF25" s="1">
        <v>291.22340000000003</v>
      </c>
      <c r="AG25" s="1">
        <v>269.3802</v>
      </c>
      <c r="AH25" s="1">
        <v>282.6694</v>
      </c>
      <c r="AI25" s="1">
        <v>300.6986</v>
      </c>
      <c r="AJ25" s="1">
        <v>288.55360000000002</v>
      </c>
      <c r="AK25" s="1"/>
      <c r="AL25" s="1">
        <f t="shared" si="7"/>
        <v>931</v>
      </c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67</v>
      </c>
      <c r="B26" s="1" t="s">
        <v>40</v>
      </c>
      <c r="C26" s="1">
        <v>250.08699999999999</v>
      </c>
      <c r="D26" s="1">
        <v>345.334</v>
      </c>
      <c r="E26" s="1">
        <v>146.126</v>
      </c>
      <c r="F26" s="1">
        <v>396.96100000000001</v>
      </c>
      <c r="G26" s="7">
        <v>1</v>
      </c>
      <c r="H26" s="1">
        <v>70</v>
      </c>
      <c r="I26" s="1" t="s">
        <v>41</v>
      </c>
      <c r="J26" s="1"/>
      <c r="K26" s="1">
        <v>141.30000000000001</v>
      </c>
      <c r="L26" s="1">
        <f t="shared" si="2"/>
        <v>4.8259999999999934</v>
      </c>
      <c r="M26" s="1"/>
      <c r="N26" s="1"/>
      <c r="O26" s="1"/>
      <c r="P26" s="1"/>
      <c r="Q26" s="1"/>
      <c r="R26" s="1"/>
      <c r="S26" s="1"/>
      <c r="T26" s="1"/>
      <c r="U26" s="1">
        <f t="shared" si="3"/>
        <v>29.225200000000001</v>
      </c>
      <c r="V26" s="5"/>
      <c r="W26" s="5">
        <f t="shared" si="5"/>
        <v>0</v>
      </c>
      <c r="X26" s="17"/>
      <c r="Y26" s="1">
        <f t="shared" si="6"/>
        <v>13.582832623899922</v>
      </c>
      <c r="Z26" s="1">
        <f t="shared" si="4"/>
        <v>13.582832623899922</v>
      </c>
      <c r="AA26" s="1">
        <v>30.331199999999999</v>
      </c>
      <c r="AB26" s="1">
        <v>41.240400000000001</v>
      </c>
      <c r="AC26" s="1">
        <v>40.357600000000012</v>
      </c>
      <c r="AD26" s="1">
        <v>31.3566</v>
      </c>
      <c r="AE26" s="1">
        <v>32.416400000000003</v>
      </c>
      <c r="AF26" s="1">
        <v>50.782600000000002</v>
      </c>
      <c r="AG26" s="1">
        <v>51.17</v>
      </c>
      <c r="AH26" s="1">
        <v>32.328000000000003</v>
      </c>
      <c r="AI26" s="1">
        <v>30.726199999999999</v>
      </c>
      <c r="AJ26" s="1">
        <v>33.437800000000003</v>
      </c>
      <c r="AK26" s="1"/>
      <c r="AL26" s="1">
        <f t="shared" si="7"/>
        <v>0</v>
      </c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68</v>
      </c>
      <c r="B27" s="1" t="s">
        <v>40</v>
      </c>
      <c r="C27" s="1">
        <v>508.44299999999998</v>
      </c>
      <c r="D27" s="1">
        <v>831.26300000000003</v>
      </c>
      <c r="E27" s="1">
        <v>454.31099999999998</v>
      </c>
      <c r="F27" s="1">
        <v>539.45899999999995</v>
      </c>
      <c r="G27" s="7">
        <v>1</v>
      </c>
      <c r="H27" s="1">
        <v>70</v>
      </c>
      <c r="I27" s="1" t="s">
        <v>41</v>
      </c>
      <c r="J27" s="1"/>
      <c r="K27" s="1">
        <v>445.55</v>
      </c>
      <c r="L27" s="1">
        <f t="shared" si="2"/>
        <v>8.7609999999999673</v>
      </c>
      <c r="M27" s="1"/>
      <c r="N27" s="1"/>
      <c r="O27" s="1">
        <v>166.05662000000041</v>
      </c>
      <c r="P27" s="1"/>
      <c r="Q27" s="1"/>
      <c r="R27" s="1">
        <v>35.814160000000022</v>
      </c>
      <c r="S27" s="1"/>
      <c r="T27" s="1"/>
      <c r="U27" s="1">
        <f t="shared" si="3"/>
        <v>90.862200000000001</v>
      </c>
      <c r="V27" s="5">
        <f t="shared" si="10"/>
        <v>349.01661999999942</v>
      </c>
      <c r="W27" s="5">
        <f>V27+$W$1*U27</f>
        <v>536.64706299999943</v>
      </c>
      <c r="X27" s="17"/>
      <c r="Y27" s="1">
        <f t="shared" si="6"/>
        <v>14.065</v>
      </c>
      <c r="Z27" s="1">
        <f t="shared" si="4"/>
        <v>8.1588359075611248</v>
      </c>
      <c r="AA27" s="1">
        <v>89.53540000000001</v>
      </c>
      <c r="AB27" s="1">
        <v>90.167400000000001</v>
      </c>
      <c r="AC27" s="1">
        <v>90.783199999999994</v>
      </c>
      <c r="AD27" s="1">
        <v>90.342600000000004</v>
      </c>
      <c r="AE27" s="1">
        <v>100.7072</v>
      </c>
      <c r="AF27" s="1">
        <v>100.1114</v>
      </c>
      <c r="AG27" s="1">
        <v>93.316600000000008</v>
      </c>
      <c r="AH27" s="1">
        <v>89.801999999999992</v>
      </c>
      <c r="AI27" s="1">
        <v>94.597799999999992</v>
      </c>
      <c r="AJ27" s="1">
        <v>107.1392</v>
      </c>
      <c r="AK27" s="1"/>
      <c r="AL27" s="1">
        <f t="shared" si="7"/>
        <v>537</v>
      </c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9" t="s">
        <v>69</v>
      </c>
      <c r="B28" s="9" t="s">
        <v>40</v>
      </c>
      <c r="C28" s="9"/>
      <c r="D28" s="9"/>
      <c r="E28" s="9"/>
      <c r="F28" s="9"/>
      <c r="G28" s="10">
        <v>0</v>
      </c>
      <c r="H28" s="9"/>
      <c r="I28" s="9" t="s">
        <v>41</v>
      </c>
      <c r="J28" s="9"/>
      <c r="K28" s="9"/>
      <c r="L28" s="9">
        <f t="shared" si="2"/>
        <v>0</v>
      </c>
      <c r="M28" s="9"/>
      <c r="N28" s="9"/>
      <c r="O28" s="9"/>
      <c r="P28" s="9"/>
      <c r="Q28" s="9"/>
      <c r="R28" s="9">
        <v>0</v>
      </c>
      <c r="S28" s="9"/>
      <c r="T28" s="9"/>
      <c r="U28" s="9">
        <f t="shared" si="3"/>
        <v>0</v>
      </c>
      <c r="V28" s="11"/>
      <c r="W28" s="5">
        <f t="shared" si="5"/>
        <v>0</v>
      </c>
      <c r="X28" s="18"/>
      <c r="Y28" s="1" t="e">
        <f t="shared" si="6"/>
        <v>#DIV/0!</v>
      </c>
      <c r="Z28" s="9" t="e">
        <f t="shared" si="4"/>
        <v>#DIV/0!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 t="s">
        <v>46</v>
      </c>
      <c r="AL28" s="1">
        <f t="shared" si="7"/>
        <v>0</v>
      </c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70</v>
      </c>
      <c r="B29" s="1" t="s">
        <v>40</v>
      </c>
      <c r="C29" s="1">
        <v>508.09100000000001</v>
      </c>
      <c r="D29" s="1">
        <v>1662.732</v>
      </c>
      <c r="E29" s="1">
        <v>588.06100000000004</v>
      </c>
      <c r="F29" s="1">
        <v>1106.1890000000001</v>
      </c>
      <c r="G29" s="7">
        <v>1</v>
      </c>
      <c r="H29" s="1">
        <v>70</v>
      </c>
      <c r="I29" s="1" t="s">
        <v>41</v>
      </c>
      <c r="J29" s="1"/>
      <c r="K29" s="1">
        <v>572.09500000000003</v>
      </c>
      <c r="L29" s="1">
        <f t="shared" si="2"/>
        <v>15.966000000000008</v>
      </c>
      <c r="M29" s="1"/>
      <c r="N29" s="1"/>
      <c r="O29" s="1"/>
      <c r="P29" s="1"/>
      <c r="Q29" s="1"/>
      <c r="R29" s="1"/>
      <c r="S29" s="1">
        <v>250</v>
      </c>
      <c r="T29" s="1"/>
      <c r="U29" s="1">
        <f t="shared" si="3"/>
        <v>117.6122</v>
      </c>
      <c r="V29" s="5">
        <f t="shared" ref="V29" si="11">12*U29-T29-S29-R29-Q29-P29-O29-F29</f>
        <v>55.157399999999825</v>
      </c>
      <c r="W29" s="5">
        <f>V29+$W$1*U29</f>
        <v>298.02659299999982</v>
      </c>
      <c r="X29" s="17"/>
      <c r="Y29" s="1">
        <f t="shared" si="6"/>
        <v>14.065</v>
      </c>
      <c r="Z29" s="1">
        <f t="shared" si="4"/>
        <v>11.531023142157022</v>
      </c>
      <c r="AA29" s="1">
        <v>125.7372</v>
      </c>
      <c r="AB29" s="1">
        <v>138.38999999999999</v>
      </c>
      <c r="AC29" s="1">
        <v>139.70419999999999</v>
      </c>
      <c r="AD29" s="1">
        <v>135.19220000000001</v>
      </c>
      <c r="AE29" s="1">
        <v>130.17939999999999</v>
      </c>
      <c r="AF29" s="1">
        <v>121.59180000000001</v>
      </c>
      <c r="AG29" s="1">
        <v>124.3712</v>
      </c>
      <c r="AH29" s="1">
        <v>128.39340000000001</v>
      </c>
      <c r="AI29" s="1">
        <v>130.5224</v>
      </c>
      <c r="AJ29" s="1">
        <v>134.06620000000001</v>
      </c>
      <c r="AK29" s="1"/>
      <c r="AL29" s="1">
        <f t="shared" si="7"/>
        <v>298</v>
      </c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71</v>
      </c>
      <c r="B30" s="1" t="s">
        <v>40</v>
      </c>
      <c r="C30" s="1">
        <v>47.738999999999997</v>
      </c>
      <c r="D30" s="1">
        <v>360.95400000000001</v>
      </c>
      <c r="E30" s="1">
        <v>8.09</v>
      </c>
      <c r="F30" s="1">
        <v>244.78899999999999</v>
      </c>
      <c r="G30" s="7">
        <v>1</v>
      </c>
      <c r="H30" s="1">
        <v>40</v>
      </c>
      <c r="I30" s="1" t="s">
        <v>41</v>
      </c>
      <c r="J30" s="1"/>
      <c r="K30" s="1">
        <v>10.55</v>
      </c>
      <c r="L30" s="1">
        <f t="shared" si="2"/>
        <v>-2.4600000000000009</v>
      </c>
      <c r="M30" s="1"/>
      <c r="N30" s="1"/>
      <c r="O30" s="1"/>
      <c r="P30" s="1"/>
      <c r="Q30" s="1"/>
      <c r="R30" s="1"/>
      <c r="S30" s="1"/>
      <c r="T30" s="1"/>
      <c r="U30" s="1">
        <f t="shared" si="3"/>
        <v>1.6179999999999999</v>
      </c>
      <c r="V30" s="5"/>
      <c r="W30" s="5">
        <f t="shared" si="5"/>
        <v>0</v>
      </c>
      <c r="X30" s="17"/>
      <c r="Y30" s="1">
        <f t="shared" si="6"/>
        <v>151.2911001236094</v>
      </c>
      <c r="Z30" s="1">
        <f t="shared" si="4"/>
        <v>151.2911001236094</v>
      </c>
      <c r="AA30" s="1">
        <v>0.88819999999999999</v>
      </c>
      <c r="AB30" s="1">
        <v>28.8462</v>
      </c>
      <c r="AC30" s="1">
        <v>28.550999999999998</v>
      </c>
      <c r="AD30" s="1">
        <v>16.459599999999998</v>
      </c>
      <c r="AE30" s="1">
        <v>16.6052</v>
      </c>
      <c r="AF30" s="1">
        <v>15.1754</v>
      </c>
      <c r="AG30" s="1">
        <v>15.175800000000001</v>
      </c>
      <c r="AH30" s="1">
        <v>1.0192000000000001</v>
      </c>
      <c r="AI30" s="1">
        <v>0.87319999999999998</v>
      </c>
      <c r="AJ30" s="1">
        <v>19.434200000000001</v>
      </c>
      <c r="AK30" s="1"/>
      <c r="AL30" s="1">
        <f t="shared" si="7"/>
        <v>0</v>
      </c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9" t="s">
        <v>72</v>
      </c>
      <c r="B31" s="9" t="s">
        <v>40</v>
      </c>
      <c r="C31" s="9">
        <v>-1.758</v>
      </c>
      <c r="D31" s="9">
        <v>1.758</v>
      </c>
      <c r="E31" s="9"/>
      <c r="F31" s="9"/>
      <c r="G31" s="10">
        <v>0</v>
      </c>
      <c r="H31" s="9"/>
      <c r="I31" s="9" t="s">
        <v>51</v>
      </c>
      <c r="J31" s="9"/>
      <c r="K31" s="9"/>
      <c r="L31" s="9">
        <f t="shared" si="2"/>
        <v>0</v>
      </c>
      <c r="M31" s="9"/>
      <c r="N31" s="9"/>
      <c r="O31" s="9"/>
      <c r="P31" s="9"/>
      <c r="Q31" s="9"/>
      <c r="R31" s="9">
        <v>0</v>
      </c>
      <c r="S31" s="9"/>
      <c r="T31" s="9"/>
      <c r="U31" s="9">
        <f t="shared" si="3"/>
        <v>0</v>
      </c>
      <c r="V31" s="11"/>
      <c r="W31" s="5">
        <f t="shared" si="5"/>
        <v>0</v>
      </c>
      <c r="X31" s="18"/>
      <c r="Y31" s="1" t="e">
        <f t="shared" si="6"/>
        <v>#DIV/0!</v>
      </c>
      <c r="Z31" s="9" t="e">
        <f t="shared" si="4"/>
        <v>#DIV/0!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0.35160000000000002</v>
      </c>
      <c r="AH31" s="9">
        <v>0.35160000000000002</v>
      </c>
      <c r="AI31" s="9">
        <v>0</v>
      </c>
      <c r="AJ31" s="9">
        <v>0</v>
      </c>
      <c r="AK31" s="9"/>
      <c r="AL31" s="1">
        <f t="shared" si="7"/>
        <v>0</v>
      </c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73</v>
      </c>
      <c r="B32" s="1" t="s">
        <v>40</v>
      </c>
      <c r="C32" s="1">
        <v>146.464</v>
      </c>
      <c r="D32" s="1">
        <v>716.19200000000001</v>
      </c>
      <c r="E32" s="1">
        <v>306.577</v>
      </c>
      <c r="F32" s="1">
        <v>400.93299999999999</v>
      </c>
      <c r="G32" s="7">
        <v>1</v>
      </c>
      <c r="H32" s="1">
        <v>30</v>
      </c>
      <c r="I32" s="1" t="s">
        <v>41</v>
      </c>
      <c r="J32" s="1"/>
      <c r="K32" s="1">
        <v>307.39999999999998</v>
      </c>
      <c r="L32" s="1">
        <f t="shared" si="2"/>
        <v>-0.82299999999997908</v>
      </c>
      <c r="M32" s="1"/>
      <c r="N32" s="1"/>
      <c r="O32" s="1">
        <v>151.4386600000004</v>
      </c>
      <c r="P32" s="1">
        <v>-151.19999999999999</v>
      </c>
      <c r="Q32" s="1"/>
      <c r="R32" s="1">
        <v>26.399839999999951</v>
      </c>
      <c r="S32" s="1"/>
      <c r="T32" s="1"/>
      <c r="U32" s="1">
        <f t="shared" si="3"/>
        <v>61.315399999999997</v>
      </c>
      <c r="V32" s="5">
        <f t="shared" ref="V32:V33" si="12">12*U32-T32-S32-R32-Q32-P32-O32-F32</f>
        <v>308.21329999999955</v>
      </c>
      <c r="W32" s="5">
        <f>V32+$W$1*U32</f>
        <v>434.82960099999957</v>
      </c>
      <c r="X32" s="17"/>
      <c r="Y32" s="1">
        <f t="shared" si="6"/>
        <v>14.065</v>
      </c>
      <c r="Z32" s="1">
        <f t="shared" si="4"/>
        <v>6.973313392720268</v>
      </c>
      <c r="AA32" s="1">
        <v>65.999600000000001</v>
      </c>
      <c r="AB32" s="1">
        <v>56.640599999999992</v>
      </c>
      <c r="AC32" s="1">
        <v>57.695599999999999</v>
      </c>
      <c r="AD32" s="1">
        <v>53.313800000000001</v>
      </c>
      <c r="AE32" s="1">
        <v>47.676200000000001</v>
      </c>
      <c r="AF32" s="1">
        <v>38.641599999999997</v>
      </c>
      <c r="AG32" s="1">
        <v>41.4846</v>
      </c>
      <c r="AH32" s="1">
        <v>49.220399999999998</v>
      </c>
      <c r="AI32" s="1">
        <v>39.5886</v>
      </c>
      <c r="AJ32" s="1">
        <v>39.668999999999997</v>
      </c>
      <c r="AK32" s="1"/>
      <c r="AL32" s="1">
        <f t="shared" si="7"/>
        <v>435</v>
      </c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74</v>
      </c>
      <c r="B33" s="1" t="s">
        <v>40</v>
      </c>
      <c r="C33" s="1">
        <v>163.52500000000001</v>
      </c>
      <c r="D33" s="1">
        <v>339.18</v>
      </c>
      <c r="E33" s="1">
        <v>212.239</v>
      </c>
      <c r="F33" s="1">
        <v>186.108</v>
      </c>
      <c r="G33" s="7">
        <v>1</v>
      </c>
      <c r="H33" s="1">
        <v>40</v>
      </c>
      <c r="I33" s="1" t="s">
        <v>41</v>
      </c>
      <c r="J33" s="1"/>
      <c r="K33" s="1">
        <v>200.3</v>
      </c>
      <c r="L33" s="1">
        <f t="shared" si="2"/>
        <v>11.938999999999993</v>
      </c>
      <c r="M33" s="1"/>
      <c r="N33" s="1"/>
      <c r="O33" s="1"/>
      <c r="P33" s="1"/>
      <c r="Q33" s="1"/>
      <c r="R33" s="1">
        <v>234.05448799999979</v>
      </c>
      <c r="S33" s="1"/>
      <c r="T33" s="1"/>
      <c r="U33" s="1">
        <f t="shared" si="3"/>
        <v>42.447800000000001</v>
      </c>
      <c r="V33" s="5">
        <f t="shared" si="12"/>
        <v>89.211112000000242</v>
      </c>
      <c r="W33" s="5">
        <f t="shared" si="5"/>
        <v>89.211112000000242</v>
      </c>
      <c r="X33" s="17"/>
      <c r="Y33" s="1">
        <f t="shared" si="6"/>
        <v>12.000000000000002</v>
      </c>
      <c r="Z33" s="1">
        <f t="shared" si="4"/>
        <v>9.8983336710029679</v>
      </c>
      <c r="AA33" s="1">
        <v>46.859200000000001</v>
      </c>
      <c r="AB33" s="1">
        <v>44.1312</v>
      </c>
      <c r="AC33" s="1">
        <v>43.206599999999987</v>
      </c>
      <c r="AD33" s="1">
        <v>39.3598</v>
      </c>
      <c r="AE33" s="1">
        <v>38.984400000000001</v>
      </c>
      <c r="AF33" s="1">
        <v>38.6952</v>
      </c>
      <c r="AG33" s="1">
        <v>38.327599999999997</v>
      </c>
      <c r="AH33" s="1">
        <v>37.422600000000003</v>
      </c>
      <c r="AI33" s="1">
        <v>35.545999999999999</v>
      </c>
      <c r="AJ33" s="1">
        <v>35.754199999999997</v>
      </c>
      <c r="AK33" s="1"/>
      <c r="AL33" s="1">
        <f t="shared" si="7"/>
        <v>89</v>
      </c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75</v>
      </c>
      <c r="B34" s="1" t="s">
        <v>40</v>
      </c>
      <c r="C34" s="1">
        <v>15.417999999999999</v>
      </c>
      <c r="D34" s="1">
        <v>6431.3490000000002</v>
      </c>
      <c r="E34" s="1">
        <v>1067.1849999999999</v>
      </c>
      <c r="F34" s="1">
        <v>3612.4459999999999</v>
      </c>
      <c r="G34" s="7">
        <v>1</v>
      </c>
      <c r="H34" s="1">
        <v>30</v>
      </c>
      <c r="I34" s="1" t="s">
        <v>41</v>
      </c>
      <c r="J34" s="1"/>
      <c r="K34" s="1">
        <v>1606.788</v>
      </c>
      <c r="L34" s="1">
        <f t="shared" si="2"/>
        <v>-539.60300000000007</v>
      </c>
      <c r="M34" s="1"/>
      <c r="N34" s="1"/>
      <c r="O34" s="1"/>
      <c r="P34" s="1"/>
      <c r="Q34" s="1"/>
      <c r="R34" s="1"/>
      <c r="S34" s="1"/>
      <c r="T34" s="1"/>
      <c r="U34" s="1">
        <f t="shared" si="3"/>
        <v>213.43699999999998</v>
      </c>
      <c r="V34" s="5"/>
      <c r="W34" s="5">
        <f t="shared" si="5"/>
        <v>0</v>
      </c>
      <c r="X34" s="17"/>
      <c r="Y34" s="1">
        <f t="shared" si="6"/>
        <v>16.925116076406621</v>
      </c>
      <c r="Z34" s="1">
        <f t="shared" si="4"/>
        <v>16.925116076406621</v>
      </c>
      <c r="AA34" s="1">
        <v>215.16399999999999</v>
      </c>
      <c r="AB34" s="1">
        <v>450.7</v>
      </c>
      <c r="AC34" s="1">
        <v>450.23039999999997</v>
      </c>
      <c r="AD34" s="1">
        <v>427.48280000000011</v>
      </c>
      <c r="AE34" s="1">
        <v>418.57639999999998</v>
      </c>
      <c r="AF34" s="1">
        <v>396.39859999999999</v>
      </c>
      <c r="AG34" s="1">
        <v>378.3732</v>
      </c>
      <c r="AH34" s="1">
        <v>434.29799999999989</v>
      </c>
      <c r="AI34" s="1">
        <v>450.32920000000001</v>
      </c>
      <c r="AJ34" s="1">
        <v>429.97359999999998</v>
      </c>
      <c r="AK34" s="1"/>
      <c r="AL34" s="1">
        <f t="shared" si="7"/>
        <v>0</v>
      </c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9" t="s">
        <v>76</v>
      </c>
      <c r="B35" s="9" t="s">
        <v>40</v>
      </c>
      <c r="C35" s="9">
        <v>34.863</v>
      </c>
      <c r="D35" s="9">
        <v>4.4669999999999996</v>
      </c>
      <c r="E35" s="9">
        <v>23.141999999999999</v>
      </c>
      <c r="F35" s="9">
        <v>8.2059999999999995</v>
      </c>
      <c r="G35" s="10">
        <v>0</v>
      </c>
      <c r="H35" s="9">
        <v>45</v>
      </c>
      <c r="I35" s="9" t="s">
        <v>51</v>
      </c>
      <c r="J35" s="9"/>
      <c r="K35" s="9">
        <v>26.55</v>
      </c>
      <c r="L35" s="9">
        <f t="shared" si="2"/>
        <v>-3.4080000000000013</v>
      </c>
      <c r="M35" s="9"/>
      <c r="N35" s="9"/>
      <c r="O35" s="9"/>
      <c r="P35" s="9"/>
      <c r="Q35" s="9"/>
      <c r="R35" s="9">
        <v>0</v>
      </c>
      <c r="S35" s="9"/>
      <c r="T35" s="9"/>
      <c r="U35" s="9">
        <f t="shared" si="3"/>
        <v>4.6284000000000001</v>
      </c>
      <c r="V35" s="11"/>
      <c r="W35" s="5">
        <f t="shared" si="5"/>
        <v>0</v>
      </c>
      <c r="X35" s="18"/>
      <c r="Y35" s="1">
        <f t="shared" si="6"/>
        <v>1.7729669000086421</v>
      </c>
      <c r="Z35" s="9">
        <f t="shared" si="4"/>
        <v>1.7729669000086421</v>
      </c>
      <c r="AA35" s="9">
        <v>3.6878000000000002</v>
      </c>
      <c r="AB35" s="9">
        <v>5.8213999999999997</v>
      </c>
      <c r="AC35" s="9">
        <v>3.9933999999999998</v>
      </c>
      <c r="AD35" s="9">
        <v>2.5615999999999999</v>
      </c>
      <c r="AE35" s="9">
        <v>5.5739999999999998</v>
      </c>
      <c r="AF35" s="9">
        <v>5.3944000000000001</v>
      </c>
      <c r="AG35" s="9">
        <v>2.9910000000000001</v>
      </c>
      <c r="AH35" s="9">
        <v>3.278</v>
      </c>
      <c r="AI35" s="9">
        <v>2.6667999999999998</v>
      </c>
      <c r="AJ35" s="9">
        <v>3.2280000000000002</v>
      </c>
      <c r="AK35" s="9"/>
      <c r="AL35" s="1">
        <f t="shared" si="7"/>
        <v>0</v>
      </c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9" t="s">
        <v>77</v>
      </c>
      <c r="B36" s="9" t="s">
        <v>40</v>
      </c>
      <c r="C36" s="9">
        <v>-0.186</v>
      </c>
      <c r="D36" s="9">
        <v>119.532</v>
      </c>
      <c r="E36" s="9">
        <v>63.084000000000003</v>
      </c>
      <c r="F36" s="9">
        <v>1.1819999999999999</v>
      </c>
      <c r="G36" s="10">
        <v>0</v>
      </c>
      <c r="H36" s="9">
        <v>40</v>
      </c>
      <c r="I36" s="9" t="s">
        <v>51</v>
      </c>
      <c r="J36" s="9"/>
      <c r="K36" s="9">
        <v>179.8</v>
      </c>
      <c r="L36" s="9">
        <f t="shared" si="2"/>
        <v>-116.71600000000001</v>
      </c>
      <c r="M36" s="9"/>
      <c r="N36" s="9"/>
      <c r="O36" s="9"/>
      <c r="P36" s="9"/>
      <c r="Q36" s="9"/>
      <c r="R36" s="9">
        <v>0</v>
      </c>
      <c r="S36" s="9"/>
      <c r="T36" s="9"/>
      <c r="U36" s="9">
        <f t="shared" si="3"/>
        <v>12.616800000000001</v>
      </c>
      <c r="V36" s="11"/>
      <c r="W36" s="5">
        <f t="shared" si="5"/>
        <v>0</v>
      </c>
      <c r="X36" s="18"/>
      <c r="Y36" s="1">
        <f t="shared" si="6"/>
        <v>9.368461099486397E-2</v>
      </c>
      <c r="Z36" s="9">
        <f t="shared" si="4"/>
        <v>9.368461099486397E-2</v>
      </c>
      <c r="AA36" s="9">
        <v>11.9848</v>
      </c>
      <c r="AB36" s="9">
        <v>17.542200000000001</v>
      </c>
      <c r="AC36" s="9">
        <v>20.3004</v>
      </c>
      <c r="AD36" s="9">
        <v>11.212</v>
      </c>
      <c r="AE36" s="9">
        <v>8.2512000000000008</v>
      </c>
      <c r="AF36" s="9">
        <v>7.6128</v>
      </c>
      <c r="AG36" s="9">
        <v>9.6614000000000004</v>
      </c>
      <c r="AH36" s="9">
        <v>3.0419999999999998</v>
      </c>
      <c r="AI36" s="9">
        <v>1.1419999999999999</v>
      </c>
      <c r="AJ36" s="9">
        <v>3.5891999999999999</v>
      </c>
      <c r="AK36" s="9"/>
      <c r="AL36" s="1">
        <f t="shared" si="7"/>
        <v>0</v>
      </c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78</v>
      </c>
      <c r="B37" s="1" t="s">
        <v>40</v>
      </c>
      <c r="C37" s="1">
        <v>-65.521000000000001</v>
      </c>
      <c r="D37" s="1">
        <v>3500.556</v>
      </c>
      <c r="E37" s="1">
        <v>-5.2210000000000001</v>
      </c>
      <c r="F37" s="1">
        <v>1877.454</v>
      </c>
      <c r="G37" s="7">
        <v>1</v>
      </c>
      <c r="H37" s="1">
        <v>40</v>
      </c>
      <c r="I37" s="1" t="s">
        <v>41</v>
      </c>
      <c r="J37" s="1"/>
      <c r="K37" s="1">
        <v>737.6</v>
      </c>
      <c r="L37" s="1">
        <f t="shared" si="2"/>
        <v>-742.82100000000003</v>
      </c>
      <c r="M37" s="1"/>
      <c r="N37" s="1"/>
      <c r="O37" s="1"/>
      <c r="P37" s="1"/>
      <c r="Q37" s="1"/>
      <c r="R37" s="1"/>
      <c r="S37" s="1"/>
      <c r="T37" s="1">
        <v>3600</v>
      </c>
      <c r="U37" s="1">
        <f t="shared" si="3"/>
        <v>-1.0442</v>
      </c>
      <c r="V37" s="5">
        <v>500</v>
      </c>
      <c r="W37" s="5">
        <f t="shared" si="5"/>
        <v>500</v>
      </c>
      <c r="X37" s="17"/>
      <c r="Y37" s="1">
        <f t="shared" si="6"/>
        <v>-5724.4340164719397</v>
      </c>
      <c r="Z37" s="1">
        <f t="shared" si="4"/>
        <v>-5245.5985443401642</v>
      </c>
      <c r="AA37" s="1">
        <v>170.2936</v>
      </c>
      <c r="AB37" s="1">
        <v>540.2518</v>
      </c>
      <c r="AC37" s="1">
        <v>543.82479999999998</v>
      </c>
      <c r="AD37" s="1">
        <v>632.09960000000001</v>
      </c>
      <c r="AE37" s="1">
        <v>771.26760000000002</v>
      </c>
      <c r="AF37" s="1">
        <v>511.33100000000002</v>
      </c>
      <c r="AG37" s="1">
        <v>199.14580000000001</v>
      </c>
      <c r="AH37" s="1">
        <v>179.42859999999999</v>
      </c>
      <c r="AI37" s="1">
        <v>420.00200000000012</v>
      </c>
      <c r="AJ37" s="1">
        <v>606.72160000000008</v>
      </c>
      <c r="AK37" s="1"/>
      <c r="AL37" s="1">
        <f t="shared" si="7"/>
        <v>500</v>
      </c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9" t="s">
        <v>79</v>
      </c>
      <c r="B38" s="9" t="s">
        <v>40</v>
      </c>
      <c r="C38" s="9"/>
      <c r="D38" s="9"/>
      <c r="E38" s="9"/>
      <c r="F38" s="9"/>
      <c r="G38" s="10">
        <v>0</v>
      </c>
      <c r="H38" s="9"/>
      <c r="I38" s="9" t="s">
        <v>41</v>
      </c>
      <c r="J38" s="9"/>
      <c r="K38" s="9"/>
      <c r="L38" s="9">
        <f t="shared" ref="L38:L69" si="13">E38-K38</f>
        <v>0</v>
      </c>
      <c r="M38" s="9"/>
      <c r="N38" s="9"/>
      <c r="O38" s="9"/>
      <c r="P38" s="9"/>
      <c r="Q38" s="9"/>
      <c r="R38" s="9">
        <v>0</v>
      </c>
      <c r="S38" s="9"/>
      <c r="T38" s="9"/>
      <c r="U38" s="9">
        <f t="shared" ref="U38:U69" si="14">E38/5</f>
        <v>0</v>
      </c>
      <c r="V38" s="11"/>
      <c r="W38" s="5">
        <f t="shared" si="5"/>
        <v>0</v>
      </c>
      <c r="X38" s="18"/>
      <c r="Y38" s="1" t="e">
        <f t="shared" si="6"/>
        <v>#DIV/0!</v>
      </c>
      <c r="Z38" s="9" t="e">
        <f t="shared" ref="Z38:Z69" si="15">(F38+O38+P38+Q38+R38+S38+T38)/U38</f>
        <v>#DIV/0!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 t="s">
        <v>46</v>
      </c>
      <c r="AL38" s="1">
        <f t="shared" si="7"/>
        <v>0</v>
      </c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80</v>
      </c>
      <c r="B39" s="1" t="s">
        <v>40</v>
      </c>
      <c r="C39" s="1">
        <v>-2.76</v>
      </c>
      <c r="D39" s="1">
        <v>710.95</v>
      </c>
      <c r="E39" s="1">
        <v>204.28299999999999</v>
      </c>
      <c r="F39" s="1">
        <v>300.29000000000002</v>
      </c>
      <c r="G39" s="7">
        <v>1</v>
      </c>
      <c r="H39" s="1">
        <v>30</v>
      </c>
      <c r="I39" s="1" t="s">
        <v>41</v>
      </c>
      <c r="J39" s="1"/>
      <c r="K39" s="1">
        <v>236.35</v>
      </c>
      <c r="L39" s="1">
        <f t="shared" si="13"/>
        <v>-32.067000000000007</v>
      </c>
      <c r="M39" s="1"/>
      <c r="N39" s="1"/>
      <c r="O39" s="1"/>
      <c r="P39" s="1"/>
      <c r="Q39" s="1"/>
      <c r="R39" s="1"/>
      <c r="S39" s="1"/>
      <c r="T39" s="1"/>
      <c r="U39" s="1">
        <f t="shared" si="14"/>
        <v>40.8566</v>
      </c>
      <c r="V39" s="5">
        <f>12*U39-T39-S39-R39-Q39-P39-O39-F39</f>
        <v>189.98919999999998</v>
      </c>
      <c r="W39" s="5">
        <f t="shared" si="5"/>
        <v>189.98919999999998</v>
      </c>
      <c r="X39" s="17"/>
      <c r="Y39" s="1">
        <f t="shared" si="6"/>
        <v>12</v>
      </c>
      <c r="Z39" s="1">
        <f t="shared" si="15"/>
        <v>7.3498529001434285</v>
      </c>
      <c r="AA39" s="1">
        <v>32.737400000000001</v>
      </c>
      <c r="AB39" s="1">
        <v>46.584200000000003</v>
      </c>
      <c r="AC39" s="1">
        <v>55.434800000000003</v>
      </c>
      <c r="AD39" s="1">
        <v>52.496000000000002</v>
      </c>
      <c r="AE39" s="1">
        <v>46.775199999999998</v>
      </c>
      <c r="AF39" s="1">
        <v>42.855600000000003</v>
      </c>
      <c r="AG39" s="1">
        <v>50.501600000000003</v>
      </c>
      <c r="AH39" s="1">
        <v>53.412799999999997</v>
      </c>
      <c r="AI39" s="1">
        <v>50.7288</v>
      </c>
      <c r="AJ39" s="1">
        <v>48.586599999999997</v>
      </c>
      <c r="AK39" s="1"/>
      <c r="AL39" s="1">
        <f t="shared" si="7"/>
        <v>190</v>
      </c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9" t="s">
        <v>81</v>
      </c>
      <c r="B40" s="9" t="s">
        <v>40</v>
      </c>
      <c r="C40" s="9"/>
      <c r="D40" s="9"/>
      <c r="E40" s="9"/>
      <c r="F40" s="9"/>
      <c r="G40" s="10">
        <v>0</v>
      </c>
      <c r="H40" s="9"/>
      <c r="I40" s="9" t="s">
        <v>41</v>
      </c>
      <c r="J40" s="9"/>
      <c r="K40" s="9"/>
      <c r="L40" s="9">
        <f t="shared" si="13"/>
        <v>0</v>
      </c>
      <c r="M40" s="9"/>
      <c r="N40" s="9"/>
      <c r="O40" s="9"/>
      <c r="P40" s="9"/>
      <c r="Q40" s="9"/>
      <c r="R40" s="9">
        <v>0</v>
      </c>
      <c r="S40" s="9"/>
      <c r="T40" s="9"/>
      <c r="U40" s="9">
        <f t="shared" si="14"/>
        <v>0</v>
      </c>
      <c r="V40" s="11"/>
      <c r="W40" s="5">
        <f t="shared" si="5"/>
        <v>0</v>
      </c>
      <c r="X40" s="18"/>
      <c r="Y40" s="1" t="e">
        <f t="shared" si="6"/>
        <v>#DIV/0!</v>
      </c>
      <c r="Z40" s="9" t="e">
        <f t="shared" si="15"/>
        <v>#DIV/0!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 t="s">
        <v>46</v>
      </c>
      <c r="AL40" s="1">
        <f t="shared" si="7"/>
        <v>0</v>
      </c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9" t="s">
        <v>82</v>
      </c>
      <c r="B41" s="9" t="s">
        <v>40</v>
      </c>
      <c r="C41" s="9"/>
      <c r="D41" s="9"/>
      <c r="E41" s="9"/>
      <c r="F41" s="9"/>
      <c r="G41" s="10">
        <v>0</v>
      </c>
      <c r="H41" s="9"/>
      <c r="I41" s="9" t="s">
        <v>41</v>
      </c>
      <c r="J41" s="9"/>
      <c r="K41" s="9"/>
      <c r="L41" s="9">
        <f t="shared" si="13"/>
        <v>0</v>
      </c>
      <c r="M41" s="9"/>
      <c r="N41" s="9"/>
      <c r="O41" s="9"/>
      <c r="P41" s="9"/>
      <c r="Q41" s="9"/>
      <c r="R41" s="9">
        <v>0</v>
      </c>
      <c r="S41" s="9"/>
      <c r="T41" s="9"/>
      <c r="U41" s="9">
        <f t="shared" si="14"/>
        <v>0</v>
      </c>
      <c r="V41" s="11"/>
      <c r="W41" s="5">
        <f t="shared" si="5"/>
        <v>0</v>
      </c>
      <c r="X41" s="18"/>
      <c r="Y41" s="1" t="e">
        <f t="shared" si="6"/>
        <v>#DIV/0!</v>
      </c>
      <c r="Z41" s="9" t="e">
        <f t="shared" si="15"/>
        <v>#DIV/0!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 t="s">
        <v>46</v>
      </c>
      <c r="AL41" s="1">
        <f t="shared" si="7"/>
        <v>0</v>
      </c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83</v>
      </c>
      <c r="B42" s="1" t="s">
        <v>45</v>
      </c>
      <c r="C42" s="1">
        <v>2319.2069999999999</v>
      </c>
      <c r="D42" s="1">
        <v>11612.793</v>
      </c>
      <c r="E42" s="1">
        <v>4612</v>
      </c>
      <c r="F42" s="1">
        <v>6044.94</v>
      </c>
      <c r="G42" s="7">
        <v>0.4</v>
      </c>
      <c r="H42" s="1">
        <v>45</v>
      </c>
      <c r="I42" s="1" t="s">
        <v>41</v>
      </c>
      <c r="J42" s="1"/>
      <c r="K42" s="1">
        <v>4642</v>
      </c>
      <c r="L42" s="1">
        <f t="shared" si="13"/>
        <v>-30</v>
      </c>
      <c r="M42" s="1"/>
      <c r="N42" s="1"/>
      <c r="O42" s="1">
        <v>907.54369799999677</v>
      </c>
      <c r="P42" s="1">
        <v>-912</v>
      </c>
      <c r="Q42" s="1"/>
      <c r="R42" s="1"/>
      <c r="S42" s="1"/>
      <c r="T42" s="1">
        <v>6100</v>
      </c>
      <c r="U42" s="1">
        <f t="shared" si="14"/>
        <v>922.4</v>
      </c>
      <c r="V42" s="5">
        <v>2000</v>
      </c>
      <c r="W42" s="5">
        <f t="shared" si="5"/>
        <v>2000</v>
      </c>
      <c r="X42" s="17"/>
      <c r="Y42" s="1">
        <f t="shared" si="6"/>
        <v>15.330099412402426</v>
      </c>
      <c r="Z42" s="1">
        <f t="shared" si="15"/>
        <v>13.161842690806587</v>
      </c>
      <c r="AA42" s="1">
        <v>935.8</v>
      </c>
      <c r="AB42" s="1">
        <v>879.4</v>
      </c>
      <c r="AC42" s="1">
        <v>846.35859999999991</v>
      </c>
      <c r="AD42" s="1">
        <v>867.75859999999989</v>
      </c>
      <c r="AE42" s="1">
        <v>893.8</v>
      </c>
      <c r="AF42" s="1">
        <v>890.8</v>
      </c>
      <c r="AG42" s="1">
        <v>822.8</v>
      </c>
      <c r="AH42" s="1">
        <v>878.2</v>
      </c>
      <c r="AI42" s="1">
        <v>947.2</v>
      </c>
      <c r="AJ42" s="1">
        <v>847.2</v>
      </c>
      <c r="AK42" s="1"/>
      <c r="AL42" s="1">
        <f t="shared" si="7"/>
        <v>800</v>
      </c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84</v>
      </c>
      <c r="B43" s="1" t="s">
        <v>45</v>
      </c>
      <c r="C43" s="1">
        <v>351</v>
      </c>
      <c r="D43" s="1">
        <v>1408</v>
      </c>
      <c r="E43" s="1">
        <v>325</v>
      </c>
      <c r="F43" s="1">
        <v>1000</v>
      </c>
      <c r="G43" s="7">
        <v>0.45</v>
      </c>
      <c r="H43" s="1">
        <v>50</v>
      </c>
      <c r="I43" s="1" t="s">
        <v>41</v>
      </c>
      <c r="J43" s="1"/>
      <c r="K43" s="1">
        <v>336</v>
      </c>
      <c r="L43" s="1">
        <f t="shared" si="13"/>
        <v>-11</v>
      </c>
      <c r="M43" s="1"/>
      <c r="N43" s="1"/>
      <c r="O43" s="1"/>
      <c r="P43" s="1"/>
      <c r="Q43" s="1"/>
      <c r="R43" s="1"/>
      <c r="S43" s="1"/>
      <c r="T43" s="1"/>
      <c r="U43" s="1">
        <f t="shared" si="14"/>
        <v>65</v>
      </c>
      <c r="V43" s="5"/>
      <c r="W43" s="5">
        <f t="shared" si="5"/>
        <v>0</v>
      </c>
      <c r="X43" s="17"/>
      <c r="Y43" s="1">
        <f t="shared" si="6"/>
        <v>15.384615384615385</v>
      </c>
      <c r="Z43" s="1">
        <f t="shared" si="15"/>
        <v>15.384615384615385</v>
      </c>
      <c r="AA43" s="1">
        <v>95.6</v>
      </c>
      <c r="AB43" s="1">
        <v>101.8</v>
      </c>
      <c r="AC43" s="1">
        <v>92.4</v>
      </c>
      <c r="AD43" s="1">
        <v>96.2</v>
      </c>
      <c r="AE43" s="1">
        <v>96</v>
      </c>
      <c r="AF43" s="1">
        <v>109.6</v>
      </c>
      <c r="AG43" s="1">
        <v>100.2</v>
      </c>
      <c r="AH43" s="1">
        <v>83.2</v>
      </c>
      <c r="AI43" s="1">
        <v>89.6</v>
      </c>
      <c r="AJ43" s="1">
        <v>100.4</v>
      </c>
      <c r="AK43" s="1"/>
      <c r="AL43" s="1">
        <f t="shared" si="7"/>
        <v>0</v>
      </c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85</v>
      </c>
      <c r="B44" s="1" t="s">
        <v>45</v>
      </c>
      <c r="C44" s="1">
        <v>280</v>
      </c>
      <c r="D44" s="1">
        <v>2605</v>
      </c>
      <c r="E44" s="1">
        <v>528</v>
      </c>
      <c r="F44" s="1">
        <v>1288</v>
      </c>
      <c r="G44" s="7">
        <v>0.4</v>
      </c>
      <c r="H44" s="1">
        <v>45</v>
      </c>
      <c r="I44" s="1" t="s">
        <v>41</v>
      </c>
      <c r="J44" s="1"/>
      <c r="K44" s="1">
        <v>824</v>
      </c>
      <c r="L44" s="1">
        <f t="shared" si="13"/>
        <v>-296</v>
      </c>
      <c r="M44" s="1"/>
      <c r="N44" s="1"/>
      <c r="O44" s="1">
        <v>484.12519999999807</v>
      </c>
      <c r="P44" s="1">
        <v>-486</v>
      </c>
      <c r="Q44" s="1"/>
      <c r="R44" s="1"/>
      <c r="S44" s="1">
        <v>500</v>
      </c>
      <c r="T44" s="1"/>
      <c r="U44" s="1">
        <f t="shared" si="14"/>
        <v>105.6</v>
      </c>
      <c r="V44" s="5">
        <v>500</v>
      </c>
      <c r="W44" s="5">
        <f t="shared" si="5"/>
        <v>500</v>
      </c>
      <c r="X44" s="17"/>
      <c r="Y44" s="1">
        <f t="shared" si="6"/>
        <v>21.648912878787861</v>
      </c>
      <c r="Z44" s="1">
        <f t="shared" si="15"/>
        <v>16.914064393939377</v>
      </c>
      <c r="AA44" s="1">
        <v>196.2</v>
      </c>
      <c r="AB44" s="1">
        <v>218.8</v>
      </c>
      <c r="AC44" s="1">
        <v>207.2</v>
      </c>
      <c r="AD44" s="1">
        <v>223</v>
      </c>
      <c r="AE44" s="1">
        <v>237.2</v>
      </c>
      <c r="AF44" s="1">
        <v>222</v>
      </c>
      <c r="AG44" s="1">
        <v>213.2</v>
      </c>
      <c r="AH44" s="1">
        <v>223.6</v>
      </c>
      <c r="AI44" s="1">
        <v>220.6</v>
      </c>
      <c r="AJ44" s="1">
        <v>223.6</v>
      </c>
      <c r="AK44" s="1"/>
      <c r="AL44" s="1">
        <f t="shared" si="7"/>
        <v>200</v>
      </c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86</v>
      </c>
      <c r="B45" s="1" t="s">
        <v>45</v>
      </c>
      <c r="C45" s="1">
        <v>13</v>
      </c>
      <c r="D45" s="1">
        <v>30</v>
      </c>
      <c r="E45" s="1">
        <v>13</v>
      </c>
      <c r="F45" s="1">
        <v>26</v>
      </c>
      <c r="G45" s="7">
        <v>0.4</v>
      </c>
      <c r="H45" s="1">
        <v>40</v>
      </c>
      <c r="I45" s="1" t="s">
        <v>41</v>
      </c>
      <c r="J45" s="1"/>
      <c r="K45" s="1">
        <v>17</v>
      </c>
      <c r="L45" s="1">
        <f t="shared" si="13"/>
        <v>-4</v>
      </c>
      <c r="M45" s="1"/>
      <c r="N45" s="1"/>
      <c r="O45" s="1"/>
      <c r="P45" s="1"/>
      <c r="Q45" s="1"/>
      <c r="R45" s="1">
        <v>30.400000000000009</v>
      </c>
      <c r="S45" s="1"/>
      <c r="T45" s="1"/>
      <c r="U45" s="1">
        <f t="shared" si="14"/>
        <v>2.6</v>
      </c>
      <c r="V45" s="5"/>
      <c r="W45" s="5">
        <f t="shared" si="5"/>
        <v>0</v>
      </c>
      <c r="X45" s="17"/>
      <c r="Y45" s="1">
        <f t="shared" si="6"/>
        <v>21.692307692307693</v>
      </c>
      <c r="Z45" s="1">
        <f t="shared" si="15"/>
        <v>21.692307692307693</v>
      </c>
      <c r="AA45" s="1">
        <v>5.4</v>
      </c>
      <c r="AB45" s="1">
        <v>4</v>
      </c>
      <c r="AC45" s="1">
        <v>1.4</v>
      </c>
      <c r="AD45" s="1">
        <v>2.8</v>
      </c>
      <c r="AE45" s="1">
        <v>2.6</v>
      </c>
      <c r="AF45" s="1">
        <v>0.2</v>
      </c>
      <c r="AG45" s="1">
        <v>0.4</v>
      </c>
      <c r="AH45" s="1">
        <v>1</v>
      </c>
      <c r="AI45" s="1">
        <v>3.8</v>
      </c>
      <c r="AJ45" s="1">
        <v>3.8</v>
      </c>
      <c r="AK45" s="1"/>
      <c r="AL45" s="1">
        <f t="shared" si="7"/>
        <v>0</v>
      </c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87</v>
      </c>
      <c r="B46" s="1" t="s">
        <v>40</v>
      </c>
      <c r="C46" s="1">
        <v>228.809</v>
      </c>
      <c r="D46" s="1">
        <v>347.62799999999999</v>
      </c>
      <c r="E46" s="1">
        <v>290.21600000000001</v>
      </c>
      <c r="F46" s="1">
        <v>25.271000000000001</v>
      </c>
      <c r="G46" s="7">
        <v>1</v>
      </c>
      <c r="H46" s="1">
        <v>45</v>
      </c>
      <c r="I46" s="1" t="s">
        <v>41</v>
      </c>
      <c r="J46" s="1"/>
      <c r="K46" s="1">
        <v>279.35000000000002</v>
      </c>
      <c r="L46" s="1">
        <f t="shared" si="13"/>
        <v>10.865999999999985</v>
      </c>
      <c r="M46" s="1"/>
      <c r="N46" s="1"/>
      <c r="O46" s="1">
        <v>154.18890199999981</v>
      </c>
      <c r="P46" s="1">
        <v>-156.6</v>
      </c>
      <c r="Q46" s="1"/>
      <c r="R46" s="1">
        <v>259.79052000000007</v>
      </c>
      <c r="S46" s="1"/>
      <c r="T46" s="1"/>
      <c r="U46" s="1">
        <f t="shared" si="14"/>
        <v>58.043199999999999</v>
      </c>
      <c r="V46" s="5">
        <v>550</v>
      </c>
      <c r="W46" s="5">
        <f t="shared" si="5"/>
        <v>550</v>
      </c>
      <c r="X46" s="17"/>
      <c r="Y46" s="1">
        <f t="shared" si="6"/>
        <v>14.34535694103702</v>
      </c>
      <c r="Z46" s="1">
        <f t="shared" si="15"/>
        <v>4.8696560837445206</v>
      </c>
      <c r="AA46" s="1">
        <v>60.015799999999999</v>
      </c>
      <c r="AB46" s="1">
        <v>55.129399999999997</v>
      </c>
      <c r="AC46" s="1">
        <v>48.190600000000003</v>
      </c>
      <c r="AD46" s="1">
        <v>52.069800000000001</v>
      </c>
      <c r="AE46" s="1">
        <v>54.658799999999999</v>
      </c>
      <c r="AF46" s="1">
        <v>61.988999999999997</v>
      </c>
      <c r="AG46" s="1">
        <v>65.972999999999999</v>
      </c>
      <c r="AH46" s="1">
        <v>63.581400000000002</v>
      </c>
      <c r="AI46" s="1">
        <v>50.510399999999997</v>
      </c>
      <c r="AJ46" s="1">
        <v>50.273200000000003</v>
      </c>
      <c r="AK46" s="1"/>
      <c r="AL46" s="1">
        <f t="shared" si="7"/>
        <v>550</v>
      </c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88</v>
      </c>
      <c r="B47" s="1" t="s">
        <v>45</v>
      </c>
      <c r="C47" s="1">
        <v>1240</v>
      </c>
      <c r="D47" s="1">
        <v>32</v>
      </c>
      <c r="E47" s="1">
        <v>353</v>
      </c>
      <c r="F47" s="1">
        <v>792</v>
      </c>
      <c r="G47" s="7">
        <v>0.1</v>
      </c>
      <c r="H47" s="1">
        <v>731</v>
      </c>
      <c r="I47" s="1" t="s">
        <v>41</v>
      </c>
      <c r="J47" s="1"/>
      <c r="K47" s="1">
        <v>353</v>
      </c>
      <c r="L47" s="1">
        <f t="shared" si="13"/>
        <v>0</v>
      </c>
      <c r="M47" s="1"/>
      <c r="N47" s="1"/>
      <c r="O47" s="1"/>
      <c r="P47" s="1"/>
      <c r="Q47" s="1"/>
      <c r="R47" s="1"/>
      <c r="S47" s="1"/>
      <c r="T47" s="1"/>
      <c r="U47" s="1">
        <f t="shared" si="14"/>
        <v>70.599999999999994</v>
      </c>
      <c r="V47" s="5">
        <f t="shared" ref="V47:V62" si="16">12*U47-T47-S47-R47-Q47-P47-O47-F47</f>
        <v>55.199999999999932</v>
      </c>
      <c r="W47" s="5">
        <f>V47+$W$1*U47</f>
        <v>200.98899999999992</v>
      </c>
      <c r="X47" s="17"/>
      <c r="Y47" s="1">
        <f t="shared" si="6"/>
        <v>14.065</v>
      </c>
      <c r="Z47" s="1">
        <f t="shared" si="15"/>
        <v>11.218130311614733</v>
      </c>
      <c r="AA47" s="1">
        <v>80.599999999999994</v>
      </c>
      <c r="AB47" s="1">
        <v>60.2</v>
      </c>
      <c r="AC47" s="1">
        <v>46.4</v>
      </c>
      <c r="AD47" s="1">
        <v>46.8</v>
      </c>
      <c r="AE47" s="1">
        <v>53.2</v>
      </c>
      <c r="AF47" s="1">
        <v>56.4</v>
      </c>
      <c r="AG47" s="1">
        <v>54</v>
      </c>
      <c r="AH47" s="1">
        <v>48.6</v>
      </c>
      <c r="AI47" s="1">
        <v>61.8</v>
      </c>
      <c r="AJ47" s="1">
        <v>66</v>
      </c>
      <c r="AK47" s="1"/>
      <c r="AL47" s="1">
        <f t="shared" si="7"/>
        <v>20</v>
      </c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89</v>
      </c>
      <c r="B48" s="1" t="s">
        <v>45</v>
      </c>
      <c r="C48" s="1">
        <v>308</v>
      </c>
      <c r="D48" s="1">
        <v>98</v>
      </c>
      <c r="E48" s="1">
        <v>225</v>
      </c>
      <c r="F48" s="1"/>
      <c r="G48" s="7">
        <v>0.35</v>
      </c>
      <c r="H48" s="1">
        <v>40</v>
      </c>
      <c r="I48" s="1" t="s">
        <v>41</v>
      </c>
      <c r="J48" s="1"/>
      <c r="K48" s="1">
        <v>250</v>
      </c>
      <c r="L48" s="1">
        <f t="shared" si="13"/>
        <v>-25</v>
      </c>
      <c r="M48" s="1"/>
      <c r="N48" s="1"/>
      <c r="O48" s="1"/>
      <c r="P48" s="1"/>
      <c r="Q48" s="1"/>
      <c r="R48" s="1">
        <v>291.65599999999989</v>
      </c>
      <c r="S48" s="1"/>
      <c r="T48" s="1"/>
      <c r="U48" s="1">
        <f t="shared" si="14"/>
        <v>45</v>
      </c>
      <c r="V48" s="5">
        <f t="shared" si="16"/>
        <v>248.34400000000011</v>
      </c>
      <c r="W48" s="5">
        <f t="shared" si="5"/>
        <v>248.34400000000011</v>
      </c>
      <c r="X48" s="17"/>
      <c r="Y48" s="1">
        <f t="shared" si="6"/>
        <v>12</v>
      </c>
      <c r="Z48" s="1">
        <f t="shared" si="15"/>
        <v>6.4812444444444424</v>
      </c>
      <c r="AA48" s="1">
        <v>43.6</v>
      </c>
      <c r="AB48" s="1">
        <v>47.6</v>
      </c>
      <c r="AC48" s="1">
        <v>44.6</v>
      </c>
      <c r="AD48" s="1">
        <v>46.4</v>
      </c>
      <c r="AE48" s="1">
        <v>55.6</v>
      </c>
      <c r="AF48" s="1">
        <v>56.6</v>
      </c>
      <c r="AG48" s="1">
        <v>52.8</v>
      </c>
      <c r="AH48" s="1">
        <v>57</v>
      </c>
      <c r="AI48" s="1">
        <v>43</v>
      </c>
      <c r="AJ48" s="1">
        <v>47.6</v>
      </c>
      <c r="AK48" s="1"/>
      <c r="AL48" s="1">
        <f t="shared" si="7"/>
        <v>87</v>
      </c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90</v>
      </c>
      <c r="B49" s="1" t="s">
        <v>40</v>
      </c>
      <c r="C49" s="1">
        <v>72.301000000000002</v>
      </c>
      <c r="D49" s="1">
        <v>56.33</v>
      </c>
      <c r="E49" s="1">
        <v>52.832999999999998</v>
      </c>
      <c r="F49" s="1">
        <v>62.918999999999997</v>
      </c>
      <c r="G49" s="7">
        <v>1</v>
      </c>
      <c r="H49" s="1">
        <v>40</v>
      </c>
      <c r="I49" s="1" t="s">
        <v>41</v>
      </c>
      <c r="J49" s="1"/>
      <c r="K49" s="1">
        <v>59</v>
      </c>
      <c r="L49" s="1">
        <f t="shared" si="13"/>
        <v>-6.1670000000000016</v>
      </c>
      <c r="M49" s="1"/>
      <c r="N49" s="1"/>
      <c r="O49" s="1"/>
      <c r="P49" s="1"/>
      <c r="Q49" s="1"/>
      <c r="R49" s="1">
        <v>12.14580000000001</v>
      </c>
      <c r="S49" s="1"/>
      <c r="T49" s="1"/>
      <c r="U49" s="1">
        <f t="shared" si="14"/>
        <v>10.566599999999999</v>
      </c>
      <c r="V49" s="5">
        <f t="shared" si="16"/>
        <v>51.73439999999998</v>
      </c>
      <c r="W49" s="5">
        <f t="shared" si="5"/>
        <v>51.73439999999998</v>
      </c>
      <c r="X49" s="17"/>
      <c r="Y49" s="1">
        <f t="shared" si="6"/>
        <v>12</v>
      </c>
      <c r="Z49" s="1">
        <f t="shared" si="15"/>
        <v>7.1039691102152069</v>
      </c>
      <c r="AA49" s="1">
        <v>9.1028000000000002</v>
      </c>
      <c r="AB49" s="1">
        <v>7.556</v>
      </c>
      <c r="AC49" s="1">
        <v>7.9702000000000002</v>
      </c>
      <c r="AD49" s="1">
        <v>9.6010000000000009</v>
      </c>
      <c r="AE49" s="1">
        <v>10.6218</v>
      </c>
      <c r="AF49" s="1">
        <v>8.5141999999999989</v>
      </c>
      <c r="AG49" s="1">
        <v>5.8933999999999997</v>
      </c>
      <c r="AH49" s="1">
        <v>7.8151999999999999</v>
      </c>
      <c r="AI49" s="1">
        <v>7.2846000000000002</v>
      </c>
      <c r="AJ49" s="1">
        <v>9.9352</v>
      </c>
      <c r="AK49" s="1"/>
      <c r="AL49" s="1">
        <f t="shared" si="7"/>
        <v>52</v>
      </c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91</v>
      </c>
      <c r="B50" s="1" t="s">
        <v>45</v>
      </c>
      <c r="C50" s="1">
        <v>-19</v>
      </c>
      <c r="D50" s="1">
        <v>258</v>
      </c>
      <c r="E50" s="1">
        <v>-4</v>
      </c>
      <c r="F50" s="1">
        <v>144</v>
      </c>
      <c r="G50" s="7">
        <v>0.4</v>
      </c>
      <c r="H50" s="1">
        <v>40</v>
      </c>
      <c r="I50" s="1" t="s">
        <v>41</v>
      </c>
      <c r="J50" s="1"/>
      <c r="K50" s="1">
        <v>137</v>
      </c>
      <c r="L50" s="1">
        <f t="shared" si="13"/>
        <v>-141</v>
      </c>
      <c r="M50" s="1"/>
      <c r="N50" s="1"/>
      <c r="O50" s="1"/>
      <c r="P50" s="1"/>
      <c r="Q50" s="1"/>
      <c r="R50" s="1"/>
      <c r="S50" s="1"/>
      <c r="T50" s="1"/>
      <c r="U50" s="1">
        <f t="shared" si="14"/>
        <v>-0.8</v>
      </c>
      <c r="V50" s="5">
        <v>150</v>
      </c>
      <c r="W50" s="5">
        <f t="shared" si="5"/>
        <v>150</v>
      </c>
      <c r="X50" s="17"/>
      <c r="Y50" s="1">
        <f t="shared" si="6"/>
        <v>-367.5</v>
      </c>
      <c r="Z50" s="1">
        <f t="shared" si="15"/>
        <v>-180</v>
      </c>
      <c r="AA50" s="1">
        <v>17.2</v>
      </c>
      <c r="AB50" s="1">
        <v>30.2</v>
      </c>
      <c r="AC50" s="1">
        <v>32.799999999999997</v>
      </c>
      <c r="AD50" s="1">
        <v>44.6</v>
      </c>
      <c r="AE50" s="1">
        <v>38.6</v>
      </c>
      <c r="AF50" s="1">
        <v>36.200000000000003</v>
      </c>
      <c r="AG50" s="1">
        <v>42.2</v>
      </c>
      <c r="AH50" s="1">
        <v>47.8</v>
      </c>
      <c r="AI50" s="1">
        <v>56.4</v>
      </c>
      <c r="AJ50" s="1">
        <v>47.8</v>
      </c>
      <c r="AK50" s="1"/>
      <c r="AL50" s="1">
        <f t="shared" si="7"/>
        <v>60</v>
      </c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92</v>
      </c>
      <c r="B51" s="1" t="s">
        <v>45</v>
      </c>
      <c r="C51" s="1">
        <v>19</v>
      </c>
      <c r="D51" s="1">
        <v>651</v>
      </c>
      <c r="E51" s="1">
        <v>-4</v>
      </c>
      <c r="F51" s="1">
        <v>214</v>
      </c>
      <c r="G51" s="7">
        <v>0.4</v>
      </c>
      <c r="H51" s="1">
        <v>45</v>
      </c>
      <c r="I51" s="1" t="s">
        <v>41</v>
      </c>
      <c r="J51" s="1"/>
      <c r="K51" s="1">
        <v>264</v>
      </c>
      <c r="L51" s="1">
        <f t="shared" si="13"/>
        <v>-268</v>
      </c>
      <c r="M51" s="1"/>
      <c r="N51" s="1"/>
      <c r="O51" s="1"/>
      <c r="P51" s="1"/>
      <c r="Q51" s="1"/>
      <c r="R51" s="1"/>
      <c r="S51" s="1"/>
      <c r="T51" s="1"/>
      <c r="U51" s="1">
        <f t="shared" si="14"/>
        <v>-0.8</v>
      </c>
      <c r="V51" s="5">
        <v>250</v>
      </c>
      <c r="W51" s="5">
        <f t="shared" si="5"/>
        <v>250</v>
      </c>
      <c r="X51" s="17"/>
      <c r="Y51" s="1">
        <f t="shared" si="6"/>
        <v>-580</v>
      </c>
      <c r="Z51" s="1">
        <f t="shared" si="15"/>
        <v>-267.5</v>
      </c>
      <c r="AA51" s="1">
        <v>6.6</v>
      </c>
      <c r="AB51" s="1">
        <v>42.6</v>
      </c>
      <c r="AC51" s="1">
        <v>57.4</v>
      </c>
      <c r="AD51" s="1">
        <v>39.6</v>
      </c>
      <c r="AE51" s="1">
        <v>35.4</v>
      </c>
      <c r="AF51" s="1">
        <v>36</v>
      </c>
      <c r="AG51" s="1">
        <v>40</v>
      </c>
      <c r="AH51" s="1">
        <v>40.200000000000003</v>
      </c>
      <c r="AI51" s="1">
        <v>48.2</v>
      </c>
      <c r="AJ51" s="1">
        <v>44.4</v>
      </c>
      <c r="AK51" s="1"/>
      <c r="AL51" s="1">
        <f t="shared" si="7"/>
        <v>100</v>
      </c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93</v>
      </c>
      <c r="B52" s="1" t="s">
        <v>40</v>
      </c>
      <c r="C52" s="1">
        <v>134.15799999999999</v>
      </c>
      <c r="D52" s="1">
        <v>410.52699999999999</v>
      </c>
      <c r="E52" s="1">
        <v>112.654</v>
      </c>
      <c r="F52" s="1">
        <v>402.91300000000001</v>
      </c>
      <c r="G52" s="7">
        <v>1</v>
      </c>
      <c r="H52" s="1">
        <v>40</v>
      </c>
      <c r="I52" s="1" t="s">
        <v>41</v>
      </c>
      <c r="J52" s="1"/>
      <c r="K52" s="1">
        <v>124.3</v>
      </c>
      <c r="L52" s="1">
        <f t="shared" si="13"/>
        <v>-11.646000000000001</v>
      </c>
      <c r="M52" s="1"/>
      <c r="N52" s="1"/>
      <c r="O52" s="1"/>
      <c r="P52" s="1"/>
      <c r="Q52" s="1"/>
      <c r="R52" s="1"/>
      <c r="S52" s="1"/>
      <c r="T52" s="1"/>
      <c r="U52" s="1">
        <f t="shared" si="14"/>
        <v>22.530799999999999</v>
      </c>
      <c r="V52" s="5"/>
      <c r="W52" s="5">
        <f t="shared" si="5"/>
        <v>0</v>
      </c>
      <c r="X52" s="17"/>
      <c r="Y52" s="1">
        <f t="shared" si="6"/>
        <v>17.882764926234312</v>
      </c>
      <c r="Z52" s="1">
        <f t="shared" si="15"/>
        <v>17.882764926234312</v>
      </c>
      <c r="AA52" s="1">
        <v>20.517600000000002</v>
      </c>
      <c r="AB52" s="1">
        <v>24.51</v>
      </c>
      <c r="AC52" s="1">
        <v>25.950800000000001</v>
      </c>
      <c r="AD52" s="1">
        <v>25.9468</v>
      </c>
      <c r="AE52" s="1">
        <v>25.837199999999999</v>
      </c>
      <c r="AF52" s="1">
        <v>21.918800000000001</v>
      </c>
      <c r="AG52" s="1">
        <v>21.019200000000001</v>
      </c>
      <c r="AH52" s="1">
        <v>27.880800000000001</v>
      </c>
      <c r="AI52" s="1">
        <v>26.376999999999999</v>
      </c>
      <c r="AJ52" s="1">
        <v>22.745999999999999</v>
      </c>
      <c r="AK52" s="14" t="s">
        <v>94</v>
      </c>
      <c r="AL52" s="1">
        <f t="shared" si="7"/>
        <v>0</v>
      </c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95</v>
      </c>
      <c r="B53" s="1" t="s">
        <v>45</v>
      </c>
      <c r="C53" s="1">
        <v>1808</v>
      </c>
      <c r="D53" s="1">
        <v>2418</v>
      </c>
      <c r="E53" s="1">
        <v>1170</v>
      </c>
      <c r="F53" s="1">
        <v>1951</v>
      </c>
      <c r="G53" s="7">
        <v>0.35</v>
      </c>
      <c r="H53" s="1">
        <v>40</v>
      </c>
      <c r="I53" s="1" t="s">
        <v>41</v>
      </c>
      <c r="J53" s="1"/>
      <c r="K53" s="1">
        <v>1203</v>
      </c>
      <c r="L53" s="1">
        <f t="shared" si="13"/>
        <v>-33</v>
      </c>
      <c r="M53" s="1"/>
      <c r="N53" s="1"/>
      <c r="O53" s="1"/>
      <c r="P53" s="1"/>
      <c r="Q53" s="1"/>
      <c r="R53" s="1"/>
      <c r="S53" s="1"/>
      <c r="T53" s="1">
        <v>1600</v>
      </c>
      <c r="U53" s="1">
        <f t="shared" si="14"/>
        <v>234</v>
      </c>
      <c r="V53" s="5"/>
      <c r="W53" s="5">
        <f t="shared" si="5"/>
        <v>0</v>
      </c>
      <c r="X53" s="17"/>
      <c r="Y53" s="1">
        <f t="shared" si="6"/>
        <v>15.175213675213675</v>
      </c>
      <c r="Z53" s="1">
        <f t="shared" si="15"/>
        <v>15.175213675213675</v>
      </c>
      <c r="AA53" s="1">
        <v>230.6</v>
      </c>
      <c r="AB53" s="1">
        <v>272.2</v>
      </c>
      <c r="AC53" s="1">
        <v>290.39999999999998</v>
      </c>
      <c r="AD53" s="1">
        <v>282.2</v>
      </c>
      <c r="AE53" s="1">
        <v>295</v>
      </c>
      <c r="AF53" s="1">
        <v>315.2</v>
      </c>
      <c r="AG53" s="1">
        <v>312.39999999999998</v>
      </c>
      <c r="AH53" s="1">
        <v>340.2</v>
      </c>
      <c r="AI53" s="1">
        <v>330.4</v>
      </c>
      <c r="AJ53" s="1">
        <v>325.60000000000002</v>
      </c>
      <c r="AK53" s="1"/>
      <c r="AL53" s="1">
        <f t="shared" si="7"/>
        <v>0</v>
      </c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96</v>
      </c>
      <c r="B54" s="1" t="s">
        <v>45</v>
      </c>
      <c r="C54" s="1">
        <v>189</v>
      </c>
      <c r="D54" s="1">
        <v>1060</v>
      </c>
      <c r="E54" s="1">
        <v>430</v>
      </c>
      <c r="F54" s="1">
        <v>637</v>
      </c>
      <c r="G54" s="7">
        <v>0.4</v>
      </c>
      <c r="H54" s="1">
        <v>40</v>
      </c>
      <c r="I54" s="1" t="s">
        <v>41</v>
      </c>
      <c r="J54" s="1"/>
      <c r="K54" s="1">
        <v>499</v>
      </c>
      <c r="L54" s="1">
        <f t="shared" si="13"/>
        <v>-69</v>
      </c>
      <c r="M54" s="1"/>
      <c r="N54" s="1"/>
      <c r="O54" s="1">
        <v>383.6590000000005</v>
      </c>
      <c r="P54" s="1">
        <v>-383.99999999999989</v>
      </c>
      <c r="Q54" s="1"/>
      <c r="R54" s="1"/>
      <c r="S54" s="1"/>
      <c r="T54" s="1">
        <v>850</v>
      </c>
      <c r="U54" s="1">
        <f t="shared" si="14"/>
        <v>86</v>
      </c>
      <c r="V54" s="5">
        <v>300</v>
      </c>
      <c r="W54" s="5">
        <f t="shared" si="5"/>
        <v>300</v>
      </c>
      <c r="X54" s="17"/>
      <c r="Y54" s="1">
        <f t="shared" si="6"/>
        <v>20.775104651162795</v>
      </c>
      <c r="Z54" s="1">
        <f t="shared" si="15"/>
        <v>17.286732558139541</v>
      </c>
      <c r="AA54" s="1">
        <v>134.4</v>
      </c>
      <c r="AB54" s="1">
        <v>143.4</v>
      </c>
      <c r="AC54" s="1">
        <v>127.4</v>
      </c>
      <c r="AD54" s="1">
        <v>113.8</v>
      </c>
      <c r="AE54" s="1">
        <v>119.2</v>
      </c>
      <c r="AF54" s="1">
        <v>124</v>
      </c>
      <c r="AG54" s="1">
        <v>124</v>
      </c>
      <c r="AH54" s="1">
        <v>125.6</v>
      </c>
      <c r="AI54" s="1">
        <v>124.2</v>
      </c>
      <c r="AJ54" s="1">
        <v>123.2</v>
      </c>
      <c r="AK54" s="1"/>
      <c r="AL54" s="1">
        <f t="shared" si="7"/>
        <v>120</v>
      </c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97</v>
      </c>
      <c r="B55" s="1" t="s">
        <v>40</v>
      </c>
      <c r="C55" s="1">
        <v>511.37700000000001</v>
      </c>
      <c r="D55" s="1">
        <v>1035.277</v>
      </c>
      <c r="E55" s="1">
        <v>460.976</v>
      </c>
      <c r="F55" s="1">
        <v>1005.2</v>
      </c>
      <c r="G55" s="7">
        <v>1</v>
      </c>
      <c r="H55" s="1">
        <v>50</v>
      </c>
      <c r="I55" s="1" t="s">
        <v>41</v>
      </c>
      <c r="J55" s="1"/>
      <c r="K55" s="1">
        <v>452.58</v>
      </c>
      <c r="L55" s="1">
        <f t="shared" si="13"/>
        <v>8.396000000000015</v>
      </c>
      <c r="M55" s="1"/>
      <c r="N55" s="1"/>
      <c r="O55" s="1"/>
      <c r="P55" s="1"/>
      <c r="Q55" s="1"/>
      <c r="R55" s="1"/>
      <c r="S55" s="1"/>
      <c r="T55" s="1"/>
      <c r="U55" s="1">
        <f t="shared" si="14"/>
        <v>92.1952</v>
      </c>
      <c r="V55" s="5">
        <f t="shared" si="16"/>
        <v>101.14239999999995</v>
      </c>
      <c r="W55" s="5">
        <f t="shared" ref="W55:W56" si="17">V55+$W$1*U55</f>
        <v>291.52548799999994</v>
      </c>
      <c r="X55" s="17"/>
      <c r="Y55" s="1">
        <f t="shared" si="6"/>
        <v>14.065000000000001</v>
      </c>
      <c r="Z55" s="1">
        <f t="shared" si="15"/>
        <v>10.902953732949221</v>
      </c>
      <c r="AA55" s="1">
        <v>85.624400000000009</v>
      </c>
      <c r="AB55" s="1">
        <v>98.405999999999992</v>
      </c>
      <c r="AC55" s="1">
        <v>105.60339999999999</v>
      </c>
      <c r="AD55" s="1">
        <v>102.15940000000001</v>
      </c>
      <c r="AE55" s="1">
        <v>104.79640000000001</v>
      </c>
      <c r="AF55" s="1">
        <v>96.198999999999998</v>
      </c>
      <c r="AG55" s="1">
        <v>92.049199999999999</v>
      </c>
      <c r="AH55" s="1">
        <v>107.1942</v>
      </c>
      <c r="AI55" s="1">
        <v>100.47280000000001</v>
      </c>
      <c r="AJ55" s="1">
        <v>94.212999999999994</v>
      </c>
      <c r="AK55" s="1"/>
      <c r="AL55" s="1">
        <f t="shared" si="7"/>
        <v>292</v>
      </c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98</v>
      </c>
      <c r="B56" s="1" t="s">
        <v>40</v>
      </c>
      <c r="C56" s="1">
        <v>842.17700000000002</v>
      </c>
      <c r="D56" s="1">
        <v>1052.548</v>
      </c>
      <c r="E56" s="1">
        <v>539.42399999999998</v>
      </c>
      <c r="F56" s="1">
        <v>956.577</v>
      </c>
      <c r="G56" s="7">
        <v>1</v>
      </c>
      <c r="H56" s="1">
        <v>50</v>
      </c>
      <c r="I56" s="1" t="s">
        <v>41</v>
      </c>
      <c r="J56" s="1"/>
      <c r="K56" s="1">
        <v>523.72</v>
      </c>
      <c r="L56" s="1">
        <f t="shared" si="13"/>
        <v>15.703999999999951</v>
      </c>
      <c r="M56" s="1"/>
      <c r="N56" s="1"/>
      <c r="O56" s="1"/>
      <c r="P56" s="1"/>
      <c r="Q56" s="1"/>
      <c r="R56" s="1"/>
      <c r="S56" s="1">
        <v>250</v>
      </c>
      <c r="T56" s="1"/>
      <c r="U56" s="1">
        <f t="shared" si="14"/>
        <v>107.8848</v>
      </c>
      <c r="V56" s="5">
        <f t="shared" si="16"/>
        <v>88.04060000000004</v>
      </c>
      <c r="W56" s="5">
        <f t="shared" si="17"/>
        <v>310.82271200000002</v>
      </c>
      <c r="X56" s="17"/>
      <c r="Y56" s="1">
        <f t="shared" si="6"/>
        <v>14.065</v>
      </c>
      <c r="Z56" s="1">
        <f t="shared" si="15"/>
        <v>11.18393879397283</v>
      </c>
      <c r="AA56" s="1">
        <v>115.07080000000001</v>
      </c>
      <c r="AB56" s="1">
        <v>121.9318</v>
      </c>
      <c r="AC56" s="1">
        <v>115.127</v>
      </c>
      <c r="AD56" s="1">
        <v>112.86660000000001</v>
      </c>
      <c r="AE56" s="1">
        <v>117.1014</v>
      </c>
      <c r="AF56" s="1">
        <v>120.026</v>
      </c>
      <c r="AG56" s="1">
        <v>114.6662</v>
      </c>
      <c r="AH56" s="1">
        <v>108.624</v>
      </c>
      <c r="AI56" s="1">
        <v>114.25920000000001</v>
      </c>
      <c r="AJ56" s="1">
        <v>125.9438</v>
      </c>
      <c r="AK56" s="1"/>
      <c r="AL56" s="1">
        <f t="shared" si="7"/>
        <v>311</v>
      </c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99</v>
      </c>
      <c r="B57" s="1" t="s">
        <v>40</v>
      </c>
      <c r="C57" s="1">
        <v>22.759</v>
      </c>
      <c r="D57" s="1">
        <v>253.51499999999999</v>
      </c>
      <c r="E57" s="1">
        <v>89.271000000000001</v>
      </c>
      <c r="F57" s="1">
        <v>101.121</v>
      </c>
      <c r="G57" s="7">
        <v>1</v>
      </c>
      <c r="H57" s="1">
        <v>45</v>
      </c>
      <c r="I57" s="1" t="s">
        <v>41</v>
      </c>
      <c r="J57" s="1"/>
      <c r="K57" s="1">
        <v>85.9</v>
      </c>
      <c r="L57" s="1">
        <f t="shared" si="13"/>
        <v>3.3709999999999951</v>
      </c>
      <c r="M57" s="1"/>
      <c r="N57" s="1"/>
      <c r="O57" s="1"/>
      <c r="P57" s="1"/>
      <c r="Q57" s="1"/>
      <c r="R57" s="1"/>
      <c r="S57" s="1"/>
      <c r="T57" s="1"/>
      <c r="U57" s="1">
        <f t="shared" si="14"/>
        <v>17.854199999999999</v>
      </c>
      <c r="V57" s="5">
        <f t="shared" si="16"/>
        <v>113.12939999999999</v>
      </c>
      <c r="W57" s="5">
        <f t="shared" si="5"/>
        <v>113.12939999999999</v>
      </c>
      <c r="X57" s="17"/>
      <c r="Y57" s="1">
        <f t="shared" si="6"/>
        <v>12</v>
      </c>
      <c r="Z57" s="1">
        <f t="shared" si="15"/>
        <v>5.6637093793057094</v>
      </c>
      <c r="AA57" s="1">
        <v>15.411</v>
      </c>
      <c r="AB57" s="1">
        <v>11.0654</v>
      </c>
      <c r="AC57" s="1">
        <v>9.3583999999999996</v>
      </c>
      <c r="AD57" s="1">
        <v>8.730599999999999</v>
      </c>
      <c r="AE57" s="1">
        <v>4.0386000000000006</v>
      </c>
      <c r="AF57" s="1">
        <v>8.4756</v>
      </c>
      <c r="AG57" s="1">
        <v>8.1896000000000004</v>
      </c>
      <c r="AH57" s="1">
        <v>1.7692000000000001</v>
      </c>
      <c r="AI57" s="1">
        <v>4.5528000000000004</v>
      </c>
      <c r="AJ57" s="1">
        <v>10.3088</v>
      </c>
      <c r="AK57" s="1"/>
      <c r="AL57" s="1">
        <f t="shared" si="7"/>
        <v>113</v>
      </c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100</v>
      </c>
      <c r="B58" s="1" t="s">
        <v>45</v>
      </c>
      <c r="C58" s="1">
        <v>430</v>
      </c>
      <c r="D58" s="1">
        <v>433</v>
      </c>
      <c r="E58" s="1">
        <v>194</v>
      </c>
      <c r="F58" s="1">
        <v>497</v>
      </c>
      <c r="G58" s="7">
        <v>0.45</v>
      </c>
      <c r="H58" s="1">
        <v>50</v>
      </c>
      <c r="I58" s="1" t="s">
        <v>41</v>
      </c>
      <c r="J58" s="1"/>
      <c r="K58" s="1">
        <v>195</v>
      </c>
      <c r="L58" s="1">
        <f t="shared" si="13"/>
        <v>-1</v>
      </c>
      <c r="M58" s="1"/>
      <c r="N58" s="1"/>
      <c r="O58" s="1"/>
      <c r="P58" s="1"/>
      <c r="Q58" s="1"/>
      <c r="R58" s="1"/>
      <c r="S58" s="1"/>
      <c r="T58" s="1"/>
      <c r="U58" s="1">
        <f t="shared" si="14"/>
        <v>38.799999999999997</v>
      </c>
      <c r="V58" s="5"/>
      <c r="W58" s="5">
        <f t="shared" si="5"/>
        <v>0</v>
      </c>
      <c r="X58" s="17"/>
      <c r="Y58" s="1">
        <f t="shared" si="6"/>
        <v>12.809278350515465</v>
      </c>
      <c r="Z58" s="1">
        <f t="shared" si="15"/>
        <v>12.809278350515465</v>
      </c>
      <c r="AA58" s="1">
        <v>36.6</v>
      </c>
      <c r="AB58" s="1">
        <v>46.2</v>
      </c>
      <c r="AC58" s="1">
        <v>56</v>
      </c>
      <c r="AD58" s="1">
        <v>66.599999999999994</v>
      </c>
      <c r="AE58" s="1">
        <v>68</v>
      </c>
      <c r="AF58" s="1">
        <v>62</v>
      </c>
      <c r="AG58" s="1">
        <v>67.599999999999994</v>
      </c>
      <c r="AH58" s="1">
        <v>61.8</v>
      </c>
      <c r="AI58" s="1">
        <v>46</v>
      </c>
      <c r="AJ58" s="1">
        <v>54.8</v>
      </c>
      <c r="AK58" s="1"/>
      <c r="AL58" s="1">
        <f t="shared" si="7"/>
        <v>0</v>
      </c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101</v>
      </c>
      <c r="B59" s="1" t="s">
        <v>45</v>
      </c>
      <c r="C59" s="1">
        <v>488</v>
      </c>
      <c r="D59" s="1">
        <v>1364</v>
      </c>
      <c r="E59" s="1">
        <v>472</v>
      </c>
      <c r="F59" s="1">
        <v>922</v>
      </c>
      <c r="G59" s="7">
        <v>0.45</v>
      </c>
      <c r="H59" s="1">
        <v>50</v>
      </c>
      <c r="I59" s="1" t="s">
        <v>41</v>
      </c>
      <c r="J59" s="1"/>
      <c r="K59" s="1">
        <v>486</v>
      </c>
      <c r="L59" s="1">
        <f t="shared" si="13"/>
        <v>-14</v>
      </c>
      <c r="M59" s="1"/>
      <c r="N59" s="1"/>
      <c r="O59" s="1"/>
      <c r="P59" s="1"/>
      <c r="Q59" s="1"/>
      <c r="R59" s="1"/>
      <c r="S59" s="1">
        <v>350</v>
      </c>
      <c r="T59" s="1"/>
      <c r="U59" s="1">
        <f t="shared" si="14"/>
        <v>94.4</v>
      </c>
      <c r="V59" s="5"/>
      <c r="W59" s="5">
        <f t="shared" si="5"/>
        <v>0</v>
      </c>
      <c r="X59" s="17"/>
      <c r="Y59" s="1">
        <f t="shared" si="6"/>
        <v>13.474576271186439</v>
      </c>
      <c r="Z59" s="1">
        <f t="shared" si="15"/>
        <v>13.474576271186439</v>
      </c>
      <c r="AA59" s="1">
        <v>114.6</v>
      </c>
      <c r="AB59" s="1">
        <v>103.4</v>
      </c>
      <c r="AC59" s="1">
        <v>94</v>
      </c>
      <c r="AD59" s="1">
        <v>111.2</v>
      </c>
      <c r="AE59" s="1">
        <v>109</v>
      </c>
      <c r="AF59" s="1">
        <v>109</v>
      </c>
      <c r="AG59" s="1">
        <v>103.8</v>
      </c>
      <c r="AH59" s="1">
        <v>93</v>
      </c>
      <c r="AI59" s="1">
        <v>100</v>
      </c>
      <c r="AJ59" s="1">
        <v>100.8</v>
      </c>
      <c r="AK59" s="1"/>
      <c r="AL59" s="1">
        <f t="shared" si="7"/>
        <v>0</v>
      </c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102</v>
      </c>
      <c r="B60" s="1" t="s">
        <v>45</v>
      </c>
      <c r="C60" s="1">
        <v>58</v>
      </c>
      <c r="D60" s="1">
        <v>574</v>
      </c>
      <c r="E60" s="1">
        <v>154</v>
      </c>
      <c r="F60" s="1">
        <v>224</v>
      </c>
      <c r="G60" s="7">
        <v>0.4</v>
      </c>
      <c r="H60" s="1">
        <v>40</v>
      </c>
      <c r="I60" s="1" t="s">
        <v>41</v>
      </c>
      <c r="J60" s="1"/>
      <c r="K60" s="1">
        <v>167</v>
      </c>
      <c r="L60" s="1">
        <f t="shared" si="13"/>
        <v>-13</v>
      </c>
      <c r="M60" s="1"/>
      <c r="N60" s="1"/>
      <c r="O60" s="1"/>
      <c r="P60" s="1"/>
      <c r="Q60" s="1"/>
      <c r="R60" s="1"/>
      <c r="S60" s="1"/>
      <c r="T60" s="1"/>
      <c r="U60" s="1">
        <f t="shared" si="14"/>
        <v>30.8</v>
      </c>
      <c r="V60" s="5">
        <f t="shared" si="16"/>
        <v>145.60000000000002</v>
      </c>
      <c r="W60" s="5">
        <f t="shared" si="5"/>
        <v>145.60000000000002</v>
      </c>
      <c r="X60" s="17"/>
      <c r="Y60" s="1">
        <f t="shared" si="6"/>
        <v>12</v>
      </c>
      <c r="Z60" s="1">
        <f t="shared" si="15"/>
        <v>7.2727272727272725</v>
      </c>
      <c r="AA60" s="1">
        <v>25.8</v>
      </c>
      <c r="AB60" s="1">
        <v>27.4</v>
      </c>
      <c r="AC60" s="1">
        <v>37.200000000000003</v>
      </c>
      <c r="AD60" s="1">
        <v>33.6</v>
      </c>
      <c r="AE60" s="1">
        <v>27.6</v>
      </c>
      <c r="AF60" s="1">
        <v>19.600000000000001</v>
      </c>
      <c r="AG60" s="1">
        <v>18.600000000000001</v>
      </c>
      <c r="AH60" s="1">
        <v>31.4</v>
      </c>
      <c r="AI60" s="1">
        <v>27.6</v>
      </c>
      <c r="AJ60" s="1">
        <v>19.2</v>
      </c>
      <c r="AK60" s="1"/>
      <c r="AL60" s="1">
        <f t="shared" si="7"/>
        <v>58</v>
      </c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103</v>
      </c>
      <c r="B61" s="1" t="s">
        <v>45</v>
      </c>
      <c r="C61" s="1">
        <v>19</v>
      </c>
      <c r="D61" s="1">
        <v>216</v>
      </c>
      <c r="E61" s="1">
        <v>62</v>
      </c>
      <c r="F61" s="1">
        <v>141</v>
      </c>
      <c r="G61" s="7">
        <v>0.4</v>
      </c>
      <c r="H61" s="1">
        <v>40</v>
      </c>
      <c r="I61" s="1" t="s">
        <v>41</v>
      </c>
      <c r="J61" s="1"/>
      <c r="K61" s="1">
        <v>64</v>
      </c>
      <c r="L61" s="1">
        <f t="shared" si="13"/>
        <v>-2</v>
      </c>
      <c r="M61" s="1"/>
      <c r="N61" s="1"/>
      <c r="O61" s="1"/>
      <c r="P61" s="1"/>
      <c r="Q61" s="1"/>
      <c r="R61" s="1"/>
      <c r="S61" s="1"/>
      <c r="T61" s="1"/>
      <c r="U61" s="1">
        <f t="shared" si="14"/>
        <v>12.4</v>
      </c>
      <c r="V61" s="5">
        <f t="shared" si="16"/>
        <v>7.8000000000000114</v>
      </c>
      <c r="W61" s="5">
        <f t="shared" si="5"/>
        <v>7.8000000000000114</v>
      </c>
      <c r="X61" s="17"/>
      <c r="Y61" s="1">
        <f t="shared" si="6"/>
        <v>12</v>
      </c>
      <c r="Z61" s="1">
        <f t="shared" si="15"/>
        <v>11.370967741935484</v>
      </c>
      <c r="AA61" s="1">
        <v>13</v>
      </c>
      <c r="AB61" s="1">
        <v>17.2</v>
      </c>
      <c r="AC61" s="1">
        <v>11.2</v>
      </c>
      <c r="AD61" s="1">
        <v>7.8</v>
      </c>
      <c r="AE61" s="1">
        <v>11.2</v>
      </c>
      <c r="AF61" s="1">
        <v>12.4</v>
      </c>
      <c r="AG61" s="1">
        <v>14.4</v>
      </c>
      <c r="AH61" s="1">
        <v>12.8</v>
      </c>
      <c r="AI61" s="1">
        <v>10</v>
      </c>
      <c r="AJ61" s="1">
        <v>8.8000000000000007</v>
      </c>
      <c r="AK61" s="1"/>
      <c r="AL61" s="1">
        <f t="shared" si="7"/>
        <v>3</v>
      </c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104</v>
      </c>
      <c r="B62" s="1" t="s">
        <v>40</v>
      </c>
      <c r="C62" s="1">
        <v>900.77800000000002</v>
      </c>
      <c r="D62" s="1">
        <v>1586.89</v>
      </c>
      <c r="E62" s="1">
        <v>744.05100000000004</v>
      </c>
      <c r="F62" s="1">
        <v>854.95799999999997</v>
      </c>
      <c r="G62" s="7">
        <v>1</v>
      </c>
      <c r="H62" s="1">
        <v>50</v>
      </c>
      <c r="I62" s="1" t="s">
        <v>41</v>
      </c>
      <c r="J62" s="1"/>
      <c r="K62" s="1">
        <v>729.18</v>
      </c>
      <c r="L62" s="1">
        <f t="shared" si="13"/>
        <v>14.871000000000095</v>
      </c>
      <c r="M62" s="1"/>
      <c r="N62" s="1"/>
      <c r="O62" s="1">
        <v>376.94107999999977</v>
      </c>
      <c r="P62" s="1"/>
      <c r="Q62" s="1"/>
      <c r="R62" s="1"/>
      <c r="S62" s="1">
        <v>350</v>
      </c>
      <c r="T62" s="1"/>
      <c r="U62" s="1">
        <f t="shared" si="14"/>
        <v>148.81020000000001</v>
      </c>
      <c r="V62" s="5">
        <f t="shared" si="16"/>
        <v>203.82332000000031</v>
      </c>
      <c r="W62" s="5">
        <f>V62+$W$1*U62</f>
        <v>511.11638300000033</v>
      </c>
      <c r="X62" s="17"/>
      <c r="Y62" s="1">
        <f t="shared" si="6"/>
        <v>14.065</v>
      </c>
      <c r="Z62" s="1">
        <f t="shared" si="15"/>
        <v>10.630313513455393</v>
      </c>
      <c r="AA62" s="1">
        <v>151.5138</v>
      </c>
      <c r="AB62" s="1">
        <v>152.57759999999999</v>
      </c>
      <c r="AC62" s="1">
        <v>151.32759999999999</v>
      </c>
      <c r="AD62" s="1">
        <v>138.55520000000001</v>
      </c>
      <c r="AE62" s="1">
        <v>142.07140000000001</v>
      </c>
      <c r="AF62" s="1">
        <v>139.2654</v>
      </c>
      <c r="AG62" s="1">
        <v>135.7242</v>
      </c>
      <c r="AH62" s="1">
        <v>150.4196</v>
      </c>
      <c r="AI62" s="1">
        <v>157.773</v>
      </c>
      <c r="AJ62" s="1">
        <v>158.69540000000001</v>
      </c>
      <c r="AK62" s="1"/>
      <c r="AL62" s="1">
        <f t="shared" si="7"/>
        <v>511</v>
      </c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9" t="s">
        <v>105</v>
      </c>
      <c r="B63" s="9" t="s">
        <v>40</v>
      </c>
      <c r="C63" s="9">
        <v>203.005</v>
      </c>
      <c r="D63" s="9">
        <v>1173.2619999999999</v>
      </c>
      <c r="E63" s="9"/>
      <c r="F63" s="13">
        <v>100.54300000000001</v>
      </c>
      <c r="G63" s="10">
        <v>0</v>
      </c>
      <c r="H63" s="9"/>
      <c r="I63" s="9" t="s">
        <v>106</v>
      </c>
      <c r="J63" s="9" t="s">
        <v>107</v>
      </c>
      <c r="K63" s="9"/>
      <c r="L63" s="9">
        <f t="shared" si="13"/>
        <v>0</v>
      </c>
      <c r="M63" s="9"/>
      <c r="N63" s="9"/>
      <c r="O63" s="9"/>
      <c r="P63" s="9"/>
      <c r="Q63" s="9"/>
      <c r="R63" s="9">
        <v>0</v>
      </c>
      <c r="S63" s="9"/>
      <c r="T63" s="9"/>
      <c r="U63" s="9">
        <f t="shared" si="14"/>
        <v>0</v>
      </c>
      <c r="V63" s="11"/>
      <c r="W63" s="5">
        <f t="shared" si="5"/>
        <v>0</v>
      </c>
      <c r="X63" s="18"/>
      <c r="Y63" s="1" t="e">
        <f t="shared" si="6"/>
        <v>#DIV/0!</v>
      </c>
      <c r="Z63" s="9" t="e">
        <f t="shared" si="15"/>
        <v>#DIV/0!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/>
      <c r="AL63" s="1">
        <f t="shared" si="7"/>
        <v>0</v>
      </c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108</v>
      </c>
      <c r="B64" s="1" t="s">
        <v>45</v>
      </c>
      <c r="C64" s="1">
        <v>599</v>
      </c>
      <c r="D64" s="1"/>
      <c r="E64" s="1">
        <v>219</v>
      </c>
      <c r="F64" s="1">
        <v>202</v>
      </c>
      <c r="G64" s="7">
        <v>0.1</v>
      </c>
      <c r="H64" s="1">
        <v>731</v>
      </c>
      <c r="I64" s="1" t="s">
        <v>41</v>
      </c>
      <c r="J64" s="1"/>
      <c r="K64" s="1">
        <v>219</v>
      </c>
      <c r="L64" s="1">
        <f t="shared" si="13"/>
        <v>0</v>
      </c>
      <c r="M64" s="1"/>
      <c r="N64" s="1"/>
      <c r="O64" s="1">
        <v>98.599999999999966</v>
      </c>
      <c r="P64" s="1"/>
      <c r="Q64" s="1"/>
      <c r="R64" s="1">
        <v>18.400000000000031</v>
      </c>
      <c r="S64" s="1"/>
      <c r="T64" s="1"/>
      <c r="U64" s="1">
        <f t="shared" si="14"/>
        <v>43.8</v>
      </c>
      <c r="V64" s="5">
        <f t="shared" ref="V64:V91" si="18">12*U64-T64-S64-R64-Q64-P64-O64-F64</f>
        <v>206.59999999999991</v>
      </c>
      <c r="W64" s="5">
        <f t="shared" si="5"/>
        <v>206.59999999999991</v>
      </c>
      <c r="X64" s="17"/>
      <c r="Y64" s="1">
        <f t="shared" si="6"/>
        <v>11.999999999999998</v>
      </c>
      <c r="Z64" s="1">
        <f t="shared" si="15"/>
        <v>7.2831050228310508</v>
      </c>
      <c r="AA64" s="1">
        <v>46</v>
      </c>
      <c r="AB64" s="1">
        <v>43</v>
      </c>
      <c r="AC64" s="1">
        <v>32</v>
      </c>
      <c r="AD64" s="1">
        <v>24.4</v>
      </c>
      <c r="AE64" s="1">
        <v>32.4</v>
      </c>
      <c r="AF64" s="1">
        <v>36.4</v>
      </c>
      <c r="AG64" s="1">
        <v>33.4</v>
      </c>
      <c r="AH64" s="1">
        <v>29</v>
      </c>
      <c r="AI64" s="1">
        <v>31.2</v>
      </c>
      <c r="AJ64" s="1">
        <v>33.799999999999997</v>
      </c>
      <c r="AK64" s="1"/>
      <c r="AL64" s="1">
        <f t="shared" si="7"/>
        <v>21</v>
      </c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109</v>
      </c>
      <c r="B65" s="1" t="s">
        <v>40</v>
      </c>
      <c r="C65" s="1">
        <v>839.101</v>
      </c>
      <c r="D65" s="1">
        <v>2215.8739999999998</v>
      </c>
      <c r="E65" s="1">
        <v>804.20299999999997</v>
      </c>
      <c r="F65" s="1">
        <v>1513.308</v>
      </c>
      <c r="G65" s="7">
        <v>1</v>
      </c>
      <c r="H65" s="1">
        <v>50</v>
      </c>
      <c r="I65" s="1" t="s">
        <v>41</v>
      </c>
      <c r="J65" s="1"/>
      <c r="K65" s="1">
        <v>796.63</v>
      </c>
      <c r="L65" s="1">
        <f t="shared" si="13"/>
        <v>7.5729999999999791</v>
      </c>
      <c r="M65" s="1"/>
      <c r="N65" s="1"/>
      <c r="O65" s="1"/>
      <c r="P65" s="1"/>
      <c r="Q65" s="1"/>
      <c r="R65" s="1"/>
      <c r="S65" s="1">
        <v>400</v>
      </c>
      <c r="T65" s="1"/>
      <c r="U65" s="1">
        <f t="shared" si="14"/>
        <v>160.84059999999999</v>
      </c>
      <c r="V65" s="5">
        <f t="shared" si="18"/>
        <v>16.779199999999946</v>
      </c>
      <c r="W65" s="5">
        <f>V65+$W$1*U65</f>
        <v>348.91503899999992</v>
      </c>
      <c r="X65" s="17"/>
      <c r="Y65" s="1">
        <f t="shared" si="6"/>
        <v>14.065</v>
      </c>
      <c r="Z65" s="1">
        <f t="shared" si="15"/>
        <v>11.895678081280472</v>
      </c>
      <c r="AA65" s="1">
        <v>178.38939999999999</v>
      </c>
      <c r="AB65" s="1">
        <v>198.24420000000001</v>
      </c>
      <c r="AC65" s="1">
        <v>186.80680000000001</v>
      </c>
      <c r="AD65" s="1">
        <v>175.28739999999999</v>
      </c>
      <c r="AE65" s="1">
        <v>181.8802</v>
      </c>
      <c r="AF65" s="1">
        <v>201.43039999999999</v>
      </c>
      <c r="AG65" s="1">
        <v>197.81720000000001</v>
      </c>
      <c r="AH65" s="1">
        <v>133.85419999999999</v>
      </c>
      <c r="AI65" s="1">
        <v>120.19540000000001</v>
      </c>
      <c r="AJ65" s="1">
        <v>164.78899999999999</v>
      </c>
      <c r="AK65" s="1"/>
      <c r="AL65" s="1">
        <f t="shared" si="7"/>
        <v>349</v>
      </c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110</v>
      </c>
      <c r="B66" s="1" t="s">
        <v>40</v>
      </c>
      <c r="C66" s="1">
        <v>125.398</v>
      </c>
      <c r="D66" s="1">
        <v>139.613</v>
      </c>
      <c r="E66" s="1">
        <v>100.252</v>
      </c>
      <c r="F66" s="1">
        <v>121.58</v>
      </c>
      <c r="G66" s="7">
        <v>1</v>
      </c>
      <c r="H66" s="1">
        <v>55</v>
      </c>
      <c r="I66" s="1" t="s">
        <v>41</v>
      </c>
      <c r="J66" s="1"/>
      <c r="K66" s="1">
        <v>97.85</v>
      </c>
      <c r="L66" s="1">
        <f t="shared" si="13"/>
        <v>2.402000000000001</v>
      </c>
      <c r="M66" s="1"/>
      <c r="N66" s="1"/>
      <c r="O66" s="1"/>
      <c r="P66" s="1"/>
      <c r="Q66" s="1"/>
      <c r="R66" s="1">
        <v>66.368355999999977</v>
      </c>
      <c r="S66" s="1"/>
      <c r="T66" s="1"/>
      <c r="U66" s="1">
        <f t="shared" si="14"/>
        <v>20.0504</v>
      </c>
      <c r="V66" s="5">
        <f t="shared" si="18"/>
        <v>52.656444000000036</v>
      </c>
      <c r="W66" s="5">
        <f t="shared" si="5"/>
        <v>52.656444000000036</v>
      </c>
      <c r="X66" s="17"/>
      <c r="Y66" s="1">
        <f t="shared" si="6"/>
        <v>12</v>
      </c>
      <c r="Z66" s="1">
        <f t="shared" si="15"/>
        <v>9.3737958344970664</v>
      </c>
      <c r="AA66" s="1">
        <v>20.848199999999999</v>
      </c>
      <c r="AB66" s="1">
        <v>17.22</v>
      </c>
      <c r="AC66" s="1">
        <v>18.130600000000001</v>
      </c>
      <c r="AD66" s="1">
        <v>18.803999999999998</v>
      </c>
      <c r="AE66" s="1">
        <v>19.883600000000001</v>
      </c>
      <c r="AF66" s="1">
        <v>22.8446</v>
      </c>
      <c r="AG66" s="1">
        <v>22.9194</v>
      </c>
      <c r="AH66" s="1">
        <v>20.6586</v>
      </c>
      <c r="AI66" s="1">
        <v>19.6098</v>
      </c>
      <c r="AJ66" s="1">
        <v>22.2102</v>
      </c>
      <c r="AK66" s="1"/>
      <c r="AL66" s="1">
        <f t="shared" si="7"/>
        <v>53</v>
      </c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111</v>
      </c>
      <c r="B67" s="1" t="s">
        <v>45</v>
      </c>
      <c r="C67" s="1">
        <v>256</v>
      </c>
      <c r="D67" s="1">
        <v>307</v>
      </c>
      <c r="E67" s="1">
        <v>170</v>
      </c>
      <c r="F67" s="1">
        <v>319</v>
      </c>
      <c r="G67" s="7">
        <v>0.1</v>
      </c>
      <c r="H67" s="1">
        <v>731</v>
      </c>
      <c r="I67" s="1" t="s">
        <v>41</v>
      </c>
      <c r="J67" s="1"/>
      <c r="K67" s="1">
        <v>170</v>
      </c>
      <c r="L67" s="1">
        <f t="shared" si="13"/>
        <v>0</v>
      </c>
      <c r="M67" s="1"/>
      <c r="N67" s="1"/>
      <c r="O67" s="1"/>
      <c r="P67" s="1"/>
      <c r="Q67" s="1"/>
      <c r="R67" s="1">
        <v>60.600000000000023</v>
      </c>
      <c r="S67" s="1"/>
      <c r="T67" s="1"/>
      <c r="U67" s="1">
        <f t="shared" si="14"/>
        <v>34</v>
      </c>
      <c r="V67" s="5">
        <f t="shared" si="18"/>
        <v>28.399999999999977</v>
      </c>
      <c r="W67" s="5">
        <f t="shared" si="5"/>
        <v>28.399999999999977</v>
      </c>
      <c r="X67" s="17"/>
      <c r="Y67" s="1">
        <f t="shared" si="6"/>
        <v>12</v>
      </c>
      <c r="Z67" s="1">
        <f t="shared" si="15"/>
        <v>11.164705882352942</v>
      </c>
      <c r="AA67" s="1">
        <v>46</v>
      </c>
      <c r="AB67" s="1">
        <v>42.2</v>
      </c>
      <c r="AC67" s="1">
        <v>26</v>
      </c>
      <c r="AD67" s="1">
        <v>19</v>
      </c>
      <c r="AE67" s="1">
        <v>26.4</v>
      </c>
      <c r="AF67" s="1">
        <v>35</v>
      </c>
      <c r="AG67" s="1">
        <v>34.4</v>
      </c>
      <c r="AH67" s="1">
        <v>28.6</v>
      </c>
      <c r="AI67" s="1">
        <v>33.6</v>
      </c>
      <c r="AJ67" s="1">
        <v>33.6</v>
      </c>
      <c r="AK67" s="1"/>
      <c r="AL67" s="1">
        <f t="shared" si="7"/>
        <v>3</v>
      </c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112</v>
      </c>
      <c r="B68" s="1" t="s">
        <v>45</v>
      </c>
      <c r="C68" s="1">
        <v>206</v>
      </c>
      <c r="D68" s="1">
        <v>1010</v>
      </c>
      <c r="E68" s="1">
        <v>205</v>
      </c>
      <c r="F68" s="1">
        <v>339</v>
      </c>
      <c r="G68" s="7">
        <v>0.4</v>
      </c>
      <c r="H68" s="1">
        <v>50</v>
      </c>
      <c r="I68" s="1" t="s">
        <v>41</v>
      </c>
      <c r="J68" s="1"/>
      <c r="K68" s="1">
        <v>205</v>
      </c>
      <c r="L68" s="1">
        <f t="shared" si="13"/>
        <v>0</v>
      </c>
      <c r="M68" s="1"/>
      <c r="N68" s="1"/>
      <c r="O68" s="1">
        <v>207.56</v>
      </c>
      <c r="P68" s="1"/>
      <c r="Q68" s="1"/>
      <c r="R68" s="1">
        <v>24.240000000000009</v>
      </c>
      <c r="S68" s="1"/>
      <c r="T68" s="1"/>
      <c r="U68" s="1">
        <f t="shared" si="14"/>
        <v>41</v>
      </c>
      <c r="V68" s="5"/>
      <c r="W68" s="5">
        <f t="shared" si="5"/>
        <v>0</v>
      </c>
      <c r="X68" s="17"/>
      <c r="Y68" s="1">
        <f t="shared" si="6"/>
        <v>13.921951219512193</v>
      </c>
      <c r="Z68" s="1">
        <f t="shared" si="15"/>
        <v>13.921951219512193</v>
      </c>
      <c r="AA68" s="1">
        <v>60.6</v>
      </c>
      <c r="AB68" s="1">
        <v>49.4</v>
      </c>
      <c r="AC68" s="1">
        <v>42.6</v>
      </c>
      <c r="AD68" s="1">
        <v>47.8</v>
      </c>
      <c r="AE68" s="1">
        <v>52.2</v>
      </c>
      <c r="AF68" s="1">
        <v>44.4</v>
      </c>
      <c r="AG68" s="1">
        <v>44</v>
      </c>
      <c r="AH68" s="1">
        <v>44</v>
      </c>
      <c r="AI68" s="1">
        <v>47</v>
      </c>
      <c r="AJ68" s="1">
        <v>54.8</v>
      </c>
      <c r="AK68" s="1"/>
      <c r="AL68" s="1">
        <f t="shared" si="7"/>
        <v>0</v>
      </c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113</v>
      </c>
      <c r="B69" s="1" t="s">
        <v>40</v>
      </c>
      <c r="C69" s="1">
        <v>49.389000000000003</v>
      </c>
      <c r="D69" s="1">
        <v>102.259</v>
      </c>
      <c r="E69" s="1">
        <v>54.61</v>
      </c>
      <c r="F69" s="1">
        <v>81.790999999999997</v>
      </c>
      <c r="G69" s="7">
        <v>1</v>
      </c>
      <c r="H69" s="1">
        <v>40</v>
      </c>
      <c r="I69" s="1" t="s">
        <v>41</v>
      </c>
      <c r="J69" s="1"/>
      <c r="K69" s="1">
        <v>57</v>
      </c>
      <c r="L69" s="1">
        <f t="shared" si="13"/>
        <v>-2.3900000000000006</v>
      </c>
      <c r="M69" s="1"/>
      <c r="N69" s="1"/>
      <c r="O69" s="1"/>
      <c r="P69" s="1"/>
      <c r="Q69" s="1"/>
      <c r="R69" s="1">
        <v>6.1396000000000024</v>
      </c>
      <c r="S69" s="1"/>
      <c r="T69" s="1"/>
      <c r="U69" s="1">
        <f t="shared" si="14"/>
        <v>10.922000000000001</v>
      </c>
      <c r="V69" s="5">
        <f t="shared" si="18"/>
        <v>43.133400000000023</v>
      </c>
      <c r="W69" s="5">
        <v>120</v>
      </c>
      <c r="X69" s="17">
        <v>120</v>
      </c>
      <c r="Y69" s="1">
        <f t="shared" si="6"/>
        <v>19.037776963926021</v>
      </c>
      <c r="Z69" s="1">
        <f t="shared" si="15"/>
        <v>8.0507782457425368</v>
      </c>
      <c r="AA69" s="1">
        <v>10.8414</v>
      </c>
      <c r="AB69" s="1">
        <v>9.9244000000000003</v>
      </c>
      <c r="AC69" s="1">
        <v>8.3956</v>
      </c>
      <c r="AD69" s="1">
        <v>9.6593999999999998</v>
      </c>
      <c r="AE69" s="1">
        <v>9.9038000000000004</v>
      </c>
      <c r="AF69" s="1">
        <v>9.5695999999999994</v>
      </c>
      <c r="AG69" s="1">
        <v>6.2734000000000014</v>
      </c>
      <c r="AH69" s="1">
        <v>4.3106</v>
      </c>
      <c r="AI69" s="1">
        <v>9.2512000000000008</v>
      </c>
      <c r="AJ69" s="1">
        <v>10.3636</v>
      </c>
      <c r="AK69" s="1" t="s">
        <v>192</v>
      </c>
      <c r="AL69" s="1">
        <f t="shared" si="7"/>
        <v>120</v>
      </c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114</v>
      </c>
      <c r="B70" s="1" t="s">
        <v>40</v>
      </c>
      <c r="C70" s="1">
        <v>29</v>
      </c>
      <c r="D70" s="1"/>
      <c r="E70" s="1">
        <v>1.3620000000000001</v>
      </c>
      <c r="F70" s="1"/>
      <c r="G70" s="7">
        <v>1</v>
      </c>
      <c r="H70" s="1">
        <v>40</v>
      </c>
      <c r="I70" s="1" t="s">
        <v>41</v>
      </c>
      <c r="J70" s="1"/>
      <c r="K70" s="1">
        <v>11.8</v>
      </c>
      <c r="L70" s="1">
        <f t="shared" ref="L70:L101" si="19">E70-K70</f>
        <v>-10.438000000000001</v>
      </c>
      <c r="M70" s="1"/>
      <c r="N70" s="1"/>
      <c r="O70" s="1">
        <v>10</v>
      </c>
      <c r="P70" s="1">
        <v>-16.2</v>
      </c>
      <c r="Q70" s="1"/>
      <c r="R70" s="1">
        <v>4</v>
      </c>
      <c r="S70" s="1"/>
      <c r="T70" s="1"/>
      <c r="U70" s="1">
        <f t="shared" ref="U70:U101" si="20">E70/5</f>
        <v>0.27240000000000003</v>
      </c>
      <c r="V70" s="5">
        <v>10</v>
      </c>
      <c r="W70" s="5">
        <v>100</v>
      </c>
      <c r="X70" s="17">
        <v>120</v>
      </c>
      <c r="Y70" s="1">
        <f t="shared" si="6"/>
        <v>359.03083700440521</v>
      </c>
      <c r="Z70" s="1">
        <f t="shared" ref="Z70:Z101" si="21">(F70+O70+P70+Q70+R70+S70+T70)/U70</f>
        <v>-8.07635829662261</v>
      </c>
      <c r="AA70" s="1">
        <v>0.27239999999999998</v>
      </c>
      <c r="AB70" s="1">
        <v>0</v>
      </c>
      <c r="AC70" s="1">
        <v>0</v>
      </c>
      <c r="AD70" s="1">
        <v>0</v>
      </c>
      <c r="AE70" s="1">
        <v>0</v>
      </c>
      <c r="AF70" s="1">
        <v>0.27100000000000002</v>
      </c>
      <c r="AG70" s="1">
        <v>0</v>
      </c>
      <c r="AH70" s="1">
        <v>0</v>
      </c>
      <c r="AI70" s="1">
        <v>0</v>
      </c>
      <c r="AJ70" s="1">
        <v>0</v>
      </c>
      <c r="AK70" s="1" t="s">
        <v>192</v>
      </c>
      <c r="AL70" s="1">
        <f t="shared" si="7"/>
        <v>100</v>
      </c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115</v>
      </c>
      <c r="B71" s="1" t="s">
        <v>45</v>
      </c>
      <c r="C71" s="1">
        <v>415</v>
      </c>
      <c r="D71" s="1">
        <v>2289</v>
      </c>
      <c r="E71" s="1">
        <v>796</v>
      </c>
      <c r="F71" s="1">
        <v>1387</v>
      </c>
      <c r="G71" s="7">
        <v>0.4</v>
      </c>
      <c r="H71" s="1">
        <v>40</v>
      </c>
      <c r="I71" s="1" t="s">
        <v>41</v>
      </c>
      <c r="J71" s="1"/>
      <c r="K71" s="1">
        <v>818</v>
      </c>
      <c r="L71" s="1">
        <f t="shared" si="19"/>
        <v>-22</v>
      </c>
      <c r="M71" s="1"/>
      <c r="N71" s="1"/>
      <c r="O71" s="1"/>
      <c r="P71" s="1"/>
      <c r="Q71" s="1"/>
      <c r="R71" s="1"/>
      <c r="S71" s="1">
        <v>150</v>
      </c>
      <c r="T71" s="1"/>
      <c r="U71" s="1">
        <f t="shared" si="20"/>
        <v>159.19999999999999</v>
      </c>
      <c r="V71" s="5">
        <f t="shared" si="18"/>
        <v>373.39999999999986</v>
      </c>
      <c r="W71" s="5">
        <f>V71+$W$1*U71</f>
        <v>702.14799999999991</v>
      </c>
      <c r="X71" s="17"/>
      <c r="Y71" s="1">
        <f t="shared" ref="Y71:Y134" si="22">(F71+O71+P71+Q71+R71+S71+T71+W71)/U71</f>
        <v>14.065000000000001</v>
      </c>
      <c r="Z71" s="1">
        <f t="shared" si="21"/>
        <v>9.6545226130653266</v>
      </c>
      <c r="AA71" s="1">
        <v>162.80000000000001</v>
      </c>
      <c r="AB71" s="1">
        <v>187.4</v>
      </c>
      <c r="AC71" s="1">
        <v>170.2</v>
      </c>
      <c r="AD71" s="1">
        <v>152.4</v>
      </c>
      <c r="AE71" s="1">
        <v>164.8</v>
      </c>
      <c r="AF71" s="1">
        <v>173.8</v>
      </c>
      <c r="AG71" s="1">
        <v>160</v>
      </c>
      <c r="AH71" s="1">
        <v>166</v>
      </c>
      <c r="AI71" s="1">
        <v>117.8</v>
      </c>
      <c r="AJ71" s="1">
        <v>1.8</v>
      </c>
      <c r="AK71" s="1"/>
      <c r="AL71" s="1">
        <f t="shared" ref="AL71:AL134" si="23">ROUND(G71*W71,0)</f>
        <v>281</v>
      </c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116</v>
      </c>
      <c r="B72" s="1" t="s">
        <v>45</v>
      </c>
      <c r="C72" s="1">
        <v>258</v>
      </c>
      <c r="D72" s="1">
        <v>369</v>
      </c>
      <c r="E72" s="1">
        <v>251</v>
      </c>
      <c r="F72" s="1">
        <v>11</v>
      </c>
      <c r="G72" s="7">
        <v>0.4</v>
      </c>
      <c r="H72" s="1">
        <v>40</v>
      </c>
      <c r="I72" s="1" t="s">
        <v>41</v>
      </c>
      <c r="J72" s="1"/>
      <c r="K72" s="1">
        <v>634</v>
      </c>
      <c r="L72" s="1">
        <f t="shared" si="19"/>
        <v>-383</v>
      </c>
      <c r="M72" s="1"/>
      <c r="N72" s="1"/>
      <c r="O72" s="1">
        <v>71.947999999999581</v>
      </c>
      <c r="P72" s="1">
        <v>-78</v>
      </c>
      <c r="Q72" s="1"/>
      <c r="R72" s="1"/>
      <c r="S72" s="1">
        <v>200</v>
      </c>
      <c r="T72" s="1">
        <v>850</v>
      </c>
      <c r="U72" s="1">
        <f t="shared" si="20"/>
        <v>50.2</v>
      </c>
      <c r="V72" s="5">
        <v>300</v>
      </c>
      <c r="W72" s="5">
        <f t="shared" ref="W72:W134" si="24">V72</f>
        <v>300</v>
      </c>
      <c r="X72" s="17"/>
      <c r="Y72" s="1">
        <f t="shared" si="22"/>
        <v>26.990996015936247</v>
      </c>
      <c r="Z72" s="1">
        <f t="shared" si="21"/>
        <v>21.014900398406365</v>
      </c>
      <c r="AA72" s="1">
        <v>102</v>
      </c>
      <c r="AB72" s="1">
        <v>140.80000000000001</v>
      </c>
      <c r="AC72" s="1">
        <v>123.2</v>
      </c>
      <c r="AD72" s="1">
        <v>116.8</v>
      </c>
      <c r="AE72" s="1">
        <v>135.4</v>
      </c>
      <c r="AF72" s="1">
        <v>128.80000000000001</v>
      </c>
      <c r="AG72" s="1">
        <v>117.6</v>
      </c>
      <c r="AH72" s="1">
        <v>112</v>
      </c>
      <c r="AI72" s="1">
        <v>118.8</v>
      </c>
      <c r="AJ72" s="1">
        <v>136</v>
      </c>
      <c r="AK72" s="1"/>
      <c r="AL72" s="1">
        <f t="shared" si="23"/>
        <v>120</v>
      </c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117</v>
      </c>
      <c r="B73" s="1" t="s">
        <v>40</v>
      </c>
      <c r="C73" s="1">
        <v>257.03500000000003</v>
      </c>
      <c r="D73" s="1">
        <v>669.69200000000001</v>
      </c>
      <c r="E73" s="1">
        <v>272.41699999999997</v>
      </c>
      <c r="F73" s="1">
        <v>496.82299999999998</v>
      </c>
      <c r="G73" s="7">
        <v>1</v>
      </c>
      <c r="H73" s="1">
        <v>40</v>
      </c>
      <c r="I73" s="1" t="s">
        <v>41</v>
      </c>
      <c r="J73" s="1"/>
      <c r="K73" s="1">
        <v>264.85000000000002</v>
      </c>
      <c r="L73" s="1">
        <f t="shared" si="19"/>
        <v>7.5669999999999504</v>
      </c>
      <c r="M73" s="1"/>
      <c r="N73" s="1"/>
      <c r="O73" s="1"/>
      <c r="P73" s="1"/>
      <c r="Q73" s="1"/>
      <c r="R73" s="1">
        <v>18.852866000000059</v>
      </c>
      <c r="S73" s="1"/>
      <c r="T73" s="1"/>
      <c r="U73" s="1">
        <f t="shared" si="20"/>
        <v>54.483399999999996</v>
      </c>
      <c r="V73" s="5">
        <f t="shared" si="18"/>
        <v>138.12493399999994</v>
      </c>
      <c r="W73" s="5">
        <f t="shared" si="24"/>
        <v>138.12493399999994</v>
      </c>
      <c r="X73" s="17"/>
      <c r="Y73" s="1">
        <f t="shared" si="22"/>
        <v>12</v>
      </c>
      <c r="Z73" s="1">
        <f t="shared" si="21"/>
        <v>9.4648253596508312</v>
      </c>
      <c r="AA73" s="1">
        <v>59.456200000000003</v>
      </c>
      <c r="AB73" s="1">
        <v>60.828000000000003</v>
      </c>
      <c r="AC73" s="1">
        <v>57.925600000000003</v>
      </c>
      <c r="AD73" s="1">
        <v>62.245600000000003</v>
      </c>
      <c r="AE73" s="1">
        <v>58.9818</v>
      </c>
      <c r="AF73" s="1">
        <v>54.386400000000002</v>
      </c>
      <c r="AG73" s="1">
        <v>55.517999999999986</v>
      </c>
      <c r="AH73" s="1">
        <v>56.362400000000001</v>
      </c>
      <c r="AI73" s="1">
        <v>55.415399999999998</v>
      </c>
      <c r="AJ73" s="1">
        <v>51.524800000000013</v>
      </c>
      <c r="AK73" s="1"/>
      <c r="AL73" s="1">
        <f t="shared" si="23"/>
        <v>138</v>
      </c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118</v>
      </c>
      <c r="B74" s="1" t="s">
        <v>40</v>
      </c>
      <c r="C74" s="1">
        <v>322.084</v>
      </c>
      <c r="D74" s="1">
        <v>795.45399999999995</v>
      </c>
      <c r="E74" s="1">
        <v>348.45600000000002</v>
      </c>
      <c r="F74" s="1">
        <v>454.209</v>
      </c>
      <c r="G74" s="7">
        <v>1</v>
      </c>
      <c r="H74" s="1">
        <v>40</v>
      </c>
      <c r="I74" s="1" t="s">
        <v>41</v>
      </c>
      <c r="J74" s="1"/>
      <c r="K74" s="1">
        <v>339.5</v>
      </c>
      <c r="L74" s="1">
        <f t="shared" si="19"/>
        <v>8.9560000000000173</v>
      </c>
      <c r="M74" s="1"/>
      <c r="N74" s="1"/>
      <c r="O74" s="1">
        <v>133.53453999999999</v>
      </c>
      <c r="P74" s="1"/>
      <c r="Q74" s="1"/>
      <c r="R74" s="1">
        <v>29.664960000000061</v>
      </c>
      <c r="S74" s="1"/>
      <c r="T74" s="1"/>
      <c r="U74" s="1">
        <f t="shared" si="20"/>
        <v>69.691200000000009</v>
      </c>
      <c r="V74" s="5">
        <f t="shared" si="18"/>
        <v>218.88590000000005</v>
      </c>
      <c r="W74" s="5">
        <f t="shared" ref="W74:W75" si="25">V74+$W$1*U74</f>
        <v>362.79822800000005</v>
      </c>
      <c r="X74" s="17"/>
      <c r="Y74" s="1">
        <f t="shared" si="22"/>
        <v>14.065</v>
      </c>
      <c r="Z74" s="1">
        <f t="shared" si="21"/>
        <v>8.8592031705581178</v>
      </c>
      <c r="AA74" s="1">
        <v>74.162400000000005</v>
      </c>
      <c r="AB74" s="1">
        <v>74.625</v>
      </c>
      <c r="AC74" s="1">
        <v>66.962000000000003</v>
      </c>
      <c r="AD74" s="1">
        <v>73.197400000000002</v>
      </c>
      <c r="AE74" s="1">
        <v>65.809600000000003</v>
      </c>
      <c r="AF74" s="1">
        <v>65.876199999999997</v>
      </c>
      <c r="AG74" s="1">
        <v>82.411199999999994</v>
      </c>
      <c r="AH74" s="1">
        <v>48.477800000000002</v>
      </c>
      <c r="AI74" s="1">
        <v>36.398000000000003</v>
      </c>
      <c r="AJ74" s="1">
        <v>60.998600000000003</v>
      </c>
      <c r="AK74" s="1"/>
      <c r="AL74" s="1">
        <f t="shared" si="23"/>
        <v>363</v>
      </c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119</v>
      </c>
      <c r="B75" s="1" t="s">
        <v>40</v>
      </c>
      <c r="C75" s="1">
        <v>683.73500000000001</v>
      </c>
      <c r="D75" s="1">
        <v>1601.114</v>
      </c>
      <c r="E75" s="1">
        <v>877.64599999999996</v>
      </c>
      <c r="F75" s="1">
        <v>1135.048</v>
      </c>
      <c r="G75" s="7">
        <v>1</v>
      </c>
      <c r="H75" s="1">
        <v>40</v>
      </c>
      <c r="I75" s="1" t="s">
        <v>41</v>
      </c>
      <c r="J75" s="1"/>
      <c r="K75" s="1">
        <v>787.2</v>
      </c>
      <c r="L75" s="1">
        <f t="shared" si="19"/>
        <v>90.445999999999913</v>
      </c>
      <c r="M75" s="1"/>
      <c r="N75" s="1"/>
      <c r="O75" s="1">
        <v>336.68764899999968</v>
      </c>
      <c r="P75" s="1"/>
      <c r="Q75" s="1"/>
      <c r="R75" s="1"/>
      <c r="S75" s="1">
        <v>400</v>
      </c>
      <c r="T75" s="1"/>
      <c r="U75" s="1">
        <f t="shared" si="20"/>
        <v>175.5292</v>
      </c>
      <c r="V75" s="5">
        <f t="shared" si="18"/>
        <v>234.61475100000052</v>
      </c>
      <c r="W75" s="5">
        <f t="shared" si="25"/>
        <v>597.08254900000054</v>
      </c>
      <c r="X75" s="17"/>
      <c r="Y75" s="1">
        <f t="shared" si="22"/>
        <v>14.065000000000001</v>
      </c>
      <c r="Z75" s="1">
        <f t="shared" si="21"/>
        <v>10.663386200130804</v>
      </c>
      <c r="AA75" s="1">
        <v>172.87260000000001</v>
      </c>
      <c r="AB75" s="1">
        <v>159.3614</v>
      </c>
      <c r="AC75" s="1">
        <v>169.21940000000001</v>
      </c>
      <c r="AD75" s="1">
        <v>161.20079999999999</v>
      </c>
      <c r="AE75" s="1">
        <v>159.1652</v>
      </c>
      <c r="AF75" s="1">
        <v>160.1902</v>
      </c>
      <c r="AG75" s="1">
        <v>149.44159999999999</v>
      </c>
      <c r="AH75" s="1">
        <v>190.0198</v>
      </c>
      <c r="AI75" s="1">
        <v>208.4572</v>
      </c>
      <c r="AJ75" s="1">
        <v>162.64080000000001</v>
      </c>
      <c r="AK75" s="1"/>
      <c r="AL75" s="1">
        <f t="shared" si="23"/>
        <v>597</v>
      </c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120</v>
      </c>
      <c r="B76" s="1" t="s">
        <v>40</v>
      </c>
      <c r="C76" s="1">
        <v>305.803</v>
      </c>
      <c r="D76" s="1">
        <v>446.95600000000002</v>
      </c>
      <c r="E76" s="1">
        <v>239.58199999999999</v>
      </c>
      <c r="F76" s="1">
        <v>346.03100000000001</v>
      </c>
      <c r="G76" s="7">
        <v>1</v>
      </c>
      <c r="H76" s="1">
        <v>40</v>
      </c>
      <c r="I76" s="1" t="s">
        <v>41</v>
      </c>
      <c r="J76" s="1"/>
      <c r="K76" s="1">
        <v>238.55</v>
      </c>
      <c r="L76" s="1">
        <f t="shared" si="19"/>
        <v>1.0319999999999823</v>
      </c>
      <c r="M76" s="1"/>
      <c r="N76" s="1"/>
      <c r="O76" s="1">
        <v>97.188639999999964</v>
      </c>
      <c r="P76" s="1"/>
      <c r="Q76" s="1"/>
      <c r="R76" s="1">
        <v>21.118159999999989</v>
      </c>
      <c r="S76" s="1"/>
      <c r="T76" s="1"/>
      <c r="U76" s="1">
        <f t="shared" si="20"/>
        <v>47.916399999999996</v>
      </c>
      <c r="V76" s="5">
        <f t="shared" si="18"/>
        <v>110.65899999999993</v>
      </c>
      <c r="W76" s="5">
        <f t="shared" si="24"/>
        <v>110.65899999999993</v>
      </c>
      <c r="X76" s="17"/>
      <c r="Y76" s="1">
        <f t="shared" si="22"/>
        <v>11.999999999999998</v>
      </c>
      <c r="Z76" s="1">
        <f t="shared" si="21"/>
        <v>9.6905819301950906</v>
      </c>
      <c r="AA76" s="1">
        <v>52.795399999999987</v>
      </c>
      <c r="AB76" s="1">
        <v>48.722799999999999</v>
      </c>
      <c r="AC76" s="1">
        <v>50.617800000000003</v>
      </c>
      <c r="AD76" s="1">
        <v>59.919400000000003</v>
      </c>
      <c r="AE76" s="1">
        <v>55.928999999999988</v>
      </c>
      <c r="AF76" s="1">
        <v>43.223999999999997</v>
      </c>
      <c r="AG76" s="1">
        <v>44.775199999999998</v>
      </c>
      <c r="AH76" s="1">
        <v>49.704599999999999</v>
      </c>
      <c r="AI76" s="1">
        <v>48.999200000000002</v>
      </c>
      <c r="AJ76" s="1">
        <v>42.549799999999998</v>
      </c>
      <c r="AK76" s="1"/>
      <c r="AL76" s="1">
        <f t="shared" si="23"/>
        <v>111</v>
      </c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121</v>
      </c>
      <c r="B77" s="1" t="s">
        <v>45</v>
      </c>
      <c r="C77" s="1">
        <v>10</v>
      </c>
      <c r="D77" s="1">
        <v>17</v>
      </c>
      <c r="E77" s="1">
        <v>6</v>
      </c>
      <c r="F77" s="1">
        <v>16</v>
      </c>
      <c r="G77" s="7">
        <v>0.6</v>
      </c>
      <c r="H77" s="1">
        <v>70</v>
      </c>
      <c r="I77" s="1" t="s">
        <v>41</v>
      </c>
      <c r="J77" s="1"/>
      <c r="K77" s="1">
        <v>11</v>
      </c>
      <c r="L77" s="1">
        <f t="shared" si="19"/>
        <v>-5</v>
      </c>
      <c r="M77" s="1"/>
      <c r="N77" s="1"/>
      <c r="O77" s="1"/>
      <c r="P77" s="1"/>
      <c r="Q77" s="1"/>
      <c r="R77" s="1">
        <v>7</v>
      </c>
      <c r="S77" s="1"/>
      <c r="T77" s="1"/>
      <c r="U77" s="1">
        <f t="shared" si="20"/>
        <v>1.2</v>
      </c>
      <c r="V77" s="5"/>
      <c r="W77" s="5">
        <f t="shared" si="24"/>
        <v>0</v>
      </c>
      <c r="X77" s="17"/>
      <c r="Y77" s="1">
        <f t="shared" si="22"/>
        <v>19.166666666666668</v>
      </c>
      <c r="Z77" s="1">
        <f t="shared" si="21"/>
        <v>19.166666666666668</v>
      </c>
      <c r="AA77" s="1">
        <v>2</v>
      </c>
      <c r="AB77" s="1">
        <v>2</v>
      </c>
      <c r="AC77" s="1">
        <v>0.8</v>
      </c>
      <c r="AD77" s="1">
        <v>0.8</v>
      </c>
      <c r="AE77" s="1">
        <v>1</v>
      </c>
      <c r="AF77" s="1">
        <v>0.8</v>
      </c>
      <c r="AG77" s="1">
        <v>1.4</v>
      </c>
      <c r="AH77" s="1">
        <v>1.8</v>
      </c>
      <c r="AI77" s="1">
        <v>2.2000000000000002</v>
      </c>
      <c r="AJ77" s="1">
        <v>1.8</v>
      </c>
      <c r="AK77" s="1"/>
      <c r="AL77" s="1">
        <f t="shared" si="23"/>
        <v>0</v>
      </c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122</v>
      </c>
      <c r="B78" s="1" t="s">
        <v>40</v>
      </c>
      <c r="C78" s="1">
        <v>262.815</v>
      </c>
      <c r="D78" s="1">
        <v>735.88</v>
      </c>
      <c r="E78" s="1">
        <v>388.61</v>
      </c>
      <c r="F78" s="1">
        <v>342.61900000000003</v>
      </c>
      <c r="G78" s="7">
        <v>1</v>
      </c>
      <c r="H78" s="1">
        <v>30</v>
      </c>
      <c r="I78" s="1" t="s">
        <v>41</v>
      </c>
      <c r="J78" s="1"/>
      <c r="K78" s="1">
        <v>435.55</v>
      </c>
      <c r="L78" s="1">
        <f t="shared" si="19"/>
        <v>-46.94</v>
      </c>
      <c r="M78" s="1"/>
      <c r="N78" s="1"/>
      <c r="O78" s="1">
        <v>326.69955999999979</v>
      </c>
      <c r="P78" s="1">
        <v>-327.60000000000002</v>
      </c>
      <c r="Q78" s="1"/>
      <c r="R78" s="1">
        <v>32.22144000000003</v>
      </c>
      <c r="S78" s="1"/>
      <c r="T78" s="1"/>
      <c r="U78" s="1">
        <f t="shared" si="20"/>
        <v>77.722000000000008</v>
      </c>
      <c r="V78" s="5">
        <f t="shared" si="18"/>
        <v>558.72400000000027</v>
      </c>
      <c r="W78" s="5">
        <f>V78+$W$1*U78</f>
        <v>719.21993000000032</v>
      </c>
      <c r="X78" s="17"/>
      <c r="Y78" s="1">
        <f t="shared" si="22"/>
        <v>14.065000000000001</v>
      </c>
      <c r="Z78" s="1">
        <f t="shared" si="21"/>
        <v>4.8112503538251694</v>
      </c>
      <c r="AA78" s="1">
        <v>80.553599999999989</v>
      </c>
      <c r="AB78" s="1">
        <v>64.354600000000005</v>
      </c>
      <c r="AC78" s="1">
        <v>60.799799999999998</v>
      </c>
      <c r="AD78" s="1">
        <v>58.539200000000008</v>
      </c>
      <c r="AE78" s="1">
        <v>62.701199999999993</v>
      </c>
      <c r="AF78" s="1">
        <v>68.597200000000001</v>
      </c>
      <c r="AG78" s="1">
        <v>68.655000000000001</v>
      </c>
      <c r="AH78" s="1">
        <v>75.647000000000006</v>
      </c>
      <c r="AI78" s="1">
        <v>85.370399999999989</v>
      </c>
      <c r="AJ78" s="1">
        <v>94.19919999999999</v>
      </c>
      <c r="AK78" s="1"/>
      <c r="AL78" s="1">
        <f t="shared" si="23"/>
        <v>719</v>
      </c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123</v>
      </c>
      <c r="B79" s="1" t="s">
        <v>45</v>
      </c>
      <c r="C79" s="1">
        <v>80</v>
      </c>
      <c r="D79" s="1">
        <v>490</v>
      </c>
      <c r="E79" s="1">
        <v>93</v>
      </c>
      <c r="F79" s="1">
        <v>175</v>
      </c>
      <c r="G79" s="7">
        <v>0.6</v>
      </c>
      <c r="H79" s="1">
        <v>60</v>
      </c>
      <c r="I79" s="1" t="s">
        <v>41</v>
      </c>
      <c r="J79" s="1"/>
      <c r="K79" s="1">
        <v>99</v>
      </c>
      <c r="L79" s="1">
        <f t="shared" si="19"/>
        <v>-6</v>
      </c>
      <c r="M79" s="1"/>
      <c r="N79" s="1"/>
      <c r="O79" s="1">
        <v>91.360000000000014</v>
      </c>
      <c r="P79" s="1"/>
      <c r="Q79" s="1"/>
      <c r="R79" s="1">
        <v>13.04000000000002</v>
      </c>
      <c r="S79" s="1"/>
      <c r="T79" s="1"/>
      <c r="U79" s="1">
        <f t="shared" si="20"/>
        <v>18.600000000000001</v>
      </c>
      <c r="V79" s="5"/>
      <c r="W79" s="5">
        <f t="shared" si="24"/>
        <v>0</v>
      </c>
      <c r="X79" s="17"/>
      <c r="Y79" s="1">
        <f t="shared" si="22"/>
        <v>15.021505376344086</v>
      </c>
      <c r="Z79" s="1">
        <f t="shared" si="21"/>
        <v>15.021505376344086</v>
      </c>
      <c r="AA79" s="1">
        <v>32.6</v>
      </c>
      <c r="AB79" s="1">
        <v>24.6</v>
      </c>
      <c r="AC79" s="1">
        <v>15</v>
      </c>
      <c r="AD79" s="1">
        <v>22.8</v>
      </c>
      <c r="AE79" s="1">
        <v>22.4</v>
      </c>
      <c r="AF79" s="1">
        <v>20.6</v>
      </c>
      <c r="AG79" s="1">
        <v>18.399999999999999</v>
      </c>
      <c r="AH79" s="1">
        <v>20</v>
      </c>
      <c r="AI79" s="1">
        <v>22.2</v>
      </c>
      <c r="AJ79" s="1">
        <v>23.4</v>
      </c>
      <c r="AK79" s="1"/>
      <c r="AL79" s="1">
        <f t="shared" si="23"/>
        <v>0</v>
      </c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124</v>
      </c>
      <c r="B80" s="1" t="s">
        <v>45</v>
      </c>
      <c r="C80" s="1">
        <v>52</v>
      </c>
      <c r="D80" s="1">
        <v>51</v>
      </c>
      <c r="E80" s="1">
        <v>20</v>
      </c>
      <c r="F80" s="1">
        <v>77</v>
      </c>
      <c r="G80" s="7">
        <v>0.6</v>
      </c>
      <c r="H80" s="1">
        <v>60</v>
      </c>
      <c r="I80" s="1" t="s">
        <v>41</v>
      </c>
      <c r="J80" s="1"/>
      <c r="K80" s="1">
        <v>20</v>
      </c>
      <c r="L80" s="1">
        <f t="shared" si="19"/>
        <v>0</v>
      </c>
      <c r="M80" s="1"/>
      <c r="N80" s="1"/>
      <c r="O80" s="1"/>
      <c r="P80" s="1"/>
      <c r="Q80" s="1"/>
      <c r="R80" s="1"/>
      <c r="S80" s="1"/>
      <c r="T80" s="1"/>
      <c r="U80" s="1">
        <f t="shared" si="20"/>
        <v>4</v>
      </c>
      <c r="V80" s="5"/>
      <c r="W80" s="5">
        <f t="shared" si="24"/>
        <v>0</v>
      </c>
      <c r="X80" s="17"/>
      <c r="Y80" s="1">
        <f t="shared" si="22"/>
        <v>19.25</v>
      </c>
      <c r="Z80" s="1">
        <f t="shared" si="21"/>
        <v>19.25</v>
      </c>
      <c r="AA80" s="1">
        <v>5.4</v>
      </c>
      <c r="AB80" s="1">
        <v>5.8</v>
      </c>
      <c r="AC80" s="1">
        <v>4.2</v>
      </c>
      <c r="AD80" s="1">
        <v>4.4000000000000004</v>
      </c>
      <c r="AE80" s="1">
        <v>7.2</v>
      </c>
      <c r="AF80" s="1">
        <v>6.4</v>
      </c>
      <c r="AG80" s="1">
        <v>5.6</v>
      </c>
      <c r="AH80" s="1">
        <v>5.6</v>
      </c>
      <c r="AI80" s="1">
        <v>6.8</v>
      </c>
      <c r="AJ80" s="1">
        <v>6.6</v>
      </c>
      <c r="AK80" s="1"/>
      <c r="AL80" s="1">
        <f t="shared" si="23"/>
        <v>0</v>
      </c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125</v>
      </c>
      <c r="B81" s="1" t="s">
        <v>45</v>
      </c>
      <c r="C81" s="1">
        <v>173</v>
      </c>
      <c r="D81" s="1">
        <v>120</v>
      </c>
      <c r="E81" s="1">
        <v>99</v>
      </c>
      <c r="F81" s="1">
        <v>185</v>
      </c>
      <c r="G81" s="7">
        <v>0.4</v>
      </c>
      <c r="H81" s="1">
        <v>90</v>
      </c>
      <c r="I81" s="1" t="s">
        <v>41</v>
      </c>
      <c r="J81" s="1"/>
      <c r="K81" s="1">
        <v>104</v>
      </c>
      <c r="L81" s="1">
        <f t="shared" si="19"/>
        <v>-5</v>
      </c>
      <c r="M81" s="1"/>
      <c r="N81" s="1"/>
      <c r="O81" s="1"/>
      <c r="P81" s="1"/>
      <c r="Q81" s="1"/>
      <c r="R81" s="1"/>
      <c r="S81" s="1"/>
      <c r="T81" s="1"/>
      <c r="U81" s="1">
        <f t="shared" si="20"/>
        <v>19.8</v>
      </c>
      <c r="V81" s="5">
        <f t="shared" si="18"/>
        <v>52.600000000000023</v>
      </c>
      <c r="W81" s="5">
        <f t="shared" si="24"/>
        <v>52.600000000000023</v>
      </c>
      <c r="X81" s="17"/>
      <c r="Y81" s="1">
        <f t="shared" si="22"/>
        <v>12</v>
      </c>
      <c r="Z81" s="1">
        <f t="shared" si="21"/>
        <v>9.3434343434343425</v>
      </c>
      <c r="AA81" s="1">
        <v>15.6</v>
      </c>
      <c r="AB81" s="1">
        <v>17.8</v>
      </c>
      <c r="AC81" s="1">
        <v>17.2</v>
      </c>
      <c r="AD81" s="1">
        <v>22.6</v>
      </c>
      <c r="AE81" s="1">
        <v>24.6</v>
      </c>
      <c r="AF81" s="1">
        <v>23.8</v>
      </c>
      <c r="AG81" s="1">
        <v>22.8</v>
      </c>
      <c r="AH81" s="1">
        <v>18.8</v>
      </c>
      <c r="AI81" s="1">
        <v>16.399999999999999</v>
      </c>
      <c r="AJ81" s="1">
        <v>18.2</v>
      </c>
      <c r="AK81" s="1"/>
      <c r="AL81" s="1">
        <f t="shared" si="23"/>
        <v>21</v>
      </c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126</v>
      </c>
      <c r="B82" s="1" t="s">
        <v>45</v>
      </c>
      <c r="C82" s="1">
        <v>135</v>
      </c>
      <c r="D82" s="1">
        <v>218</v>
      </c>
      <c r="E82" s="1">
        <v>115</v>
      </c>
      <c r="F82" s="1">
        <v>187</v>
      </c>
      <c r="G82" s="7">
        <v>0.33</v>
      </c>
      <c r="H82" s="1">
        <v>60</v>
      </c>
      <c r="I82" s="1" t="s">
        <v>41</v>
      </c>
      <c r="J82" s="1"/>
      <c r="K82" s="1">
        <v>119</v>
      </c>
      <c r="L82" s="1">
        <f t="shared" si="19"/>
        <v>-4</v>
      </c>
      <c r="M82" s="1"/>
      <c r="N82" s="1"/>
      <c r="O82" s="1"/>
      <c r="P82" s="1"/>
      <c r="Q82" s="1"/>
      <c r="R82" s="1"/>
      <c r="S82" s="1"/>
      <c r="T82" s="1"/>
      <c r="U82" s="1">
        <f t="shared" si="20"/>
        <v>23</v>
      </c>
      <c r="V82" s="5">
        <f t="shared" si="18"/>
        <v>89</v>
      </c>
      <c r="W82" s="5">
        <f t="shared" si="24"/>
        <v>89</v>
      </c>
      <c r="X82" s="17"/>
      <c r="Y82" s="1">
        <f t="shared" si="22"/>
        <v>12</v>
      </c>
      <c r="Z82" s="1">
        <f t="shared" si="21"/>
        <v>8.1304347826086953</v>
      </c>
      <c r="AA82" s="1">
        <v>19.2</v>
      </c>
      <c r="AB82" s="1">
        <v>26</v>
      </c>
      <c r="AC82" s="1">
        <v>23.8</v>
      </c>
      <c r="AD82" s="1">
        <v>24.6</v>
      </c>
      <c r="AE82" s="1">
        <v>25.2</v>
      </c>
      <c r="AF82" s="1">
        <v>29</v>
      </c>
      <c r="AG82" s="1">
        <v>31.6</v>
      </c>
      <c r="AH82" s="1">
        <v>21.4</v>
      </c>
      <c r="AI82" s="1">
        <v>17</v>
      </c>
      <c r="AJ82" s="1">
        <v>21.6</v>
      </c>
      <c r="AK82" s="1"/>
      <c r="AL82" s="1">
        <f t="shared" si="23"/>
        <v>29</v>
      </c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127</v>
      </c>
      <c r="B83" s="1" t="s">
        <v>45</v>
      </c>
      <c r="C83" s="1">
        <v>15</v>
      </c>
      <c r="D83" s="1">
        <v>283</v>
      </c>
      <c r="E83" s="1">
        <v>95</v>
      </c>
      <c r="F83" s="1">
        <v>156</v>
      </c>
      <c r="G83" s="7">
        <v>0.35</v>
      </c>
      <c r="H83" s="1">
        <v>90</v>
      </c>
      <c r="I83" s="1" t="s">
        <v>41</v>
      </c>
      <c r="J83" s="1"/>
      <c r="K83" s="1">
        <v>104</v>
      </c>
      <c r="L83" s="1">
        <f t="shared" si="19"/>
        <v>-9</v>
      </c>
      <c r="M83" s="1"/>
      <c r="N83" s="1"/>
      <c r="O83" s="1"/>
      <c r="P83" s="1"/>
      <c r="Q83" s="1"/>
      <c r="R83" s="1">
        <v>8</v>
      </c>
      <c r="S83" s="1"/>
      <c r="T83" s="1"/>
      <c r="U83" s="1">
        <f t="shared" si="20"/>
        <v>19</v>
      </c>
      <c r="V83" s="5">
        <f t="shared" si="18"/>
        <v>64</v>
      </c>
      <c r="W83" s="5">
        <f t="shared" si="24"/>
        <v>64</v>
      </c>
      <c r="X83" s="17"/>
      <c r="Y83" s="1">
        <f t="shared" si="22"/>
        <v>12</v>
      </c>
      <c r="Z83" s="1">
        <f t="shared" si="21"/>
        <v>8.6315789473684212</v>
      </c>
      <c r="AA83" s="1">
        <v>19.2</v>
      </c>
      <c r="AB83" s="1">
        <v>20.6</v>
      </c>
      <c r="AC83" s="1">
        <v>15.6</v>
      </c>
      <c r="AD83" s="1">
        <v>13.6</v>
      </c>
      <c r="AE83" s="1">
        <v>12.6</v>
      </c>
      <c r="AF83" s="1">
        <v>8.6</v>
      </c>
      <c r="AG83" s="1">
        <v>12.6</v>
      </c>
      <c r="AH83" s="1">
        <v>17</v>
      </c>
      <c r="AI83" s="1">
        <v>9.8000000000000007</v>
      </c>
      <c r="AJ83" s="1">
        <v>8.1999999999999993</v>
      </c>
      <c r="AK83" s="1"/>
      <c r="AL83" s="1">
        <f t="shared" si="23"/>
        <v>22</v>
      </c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128</v>
      </c>
      <c r="B84" s="1" t="s">
        <v>45</v>
      </c>
      <c r="C84" s="1">
        <v>564</v>
      </c>
      <c r="D84" s="1">
        <v>1395</v>
      </c>
      <c r="E84" s="1">
        <v>391</v>
      </c>
      <c r="F84" s="1">
        <v>731</v>
      </c>
      <c r="G84" s="7">
        <v>0.37</v>
      </c>
      <c r="H84" s="1">
        <v>50</v>
      </c>
      <c r="I84" s="1" t="s">
        <v>41</v>
      </c>
      <c r="J84" s="1"/>
      <c r="K84" s="1">
        <v>392</v>
      </c>
      <c r="L84" s="1">
        <f t="shared" si="19"/>
        <v>-1</v>
      </c>
      <c r="M84" s="1"/>
      <c r="N84" s="1"/>
      <c r="O84" s="1">
        <v>120.2799999999997</v>
      </c>
      <c r="P84" s="1"/>
      <c r="Q84" s="1"/>
      <c r="R84" s="1">
        <v>39.120000000000161</v>
      </c>
      <c r="S84" s="1"/>
      <c r="T84" s="1"/>
      <c r="U84" s="1">
        <f t="shared" si="20"/>
        <v>78.2</v>
      </c>
      <c r="V84" s="5">
        <f t="shared" si="18"/>
        <v>48.000000000000227</v>
      </c>
      <c r="W84" s="5">
        <f>V84+$W$1*U84</f>
        <v>209.48300000000023</v>
      </c>
      <c r="X84" s="17"/>
      <c r="Y84" s="1">
        <f t="shared" si="22"/>
        <v>14.065</v>
      </c>
      <c r="Z84" s="1">
        <f t="shared" si="21"/>
        <v>11.386189258312019</v>
      </c>
      <c r="AA84" s="1">
        <v>97.8</v>
      </c>
      <c r="AB84" s="1">
        <v>89.2</v>
      </c>
      <c r="AC84" s="1">
        <v>84.6</v>
      </c>
      <c r="AD84" s="1">
        <v>103.8</v>
      </c>
      <c r="AE84" s="1">
        <v>109.6</v>
      </c>
      <c r="AF84" s="1">
        <v>106.2</v>
      </c>
      <c r="AG84" s="1">
        <v>107.6</v>
      </c>
      <c r="AH84" s="1">
        <v>106.8</v>
      </c>
      <c r="AI84" s="1">
        <v>116.8</v>
      </c>
      <c r="AJ84" s="1">
        <v>116</v>
      </c>
      <c r="AK84" s="1"/>
      <c r="AL84" s="1">
        <f t="shared" si="23"/>
        <v>78</v>
      </c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129</v>
      </c>
      <c r="B85" s="1" t="s">
        <v>45</v>
      </c>
      <c r="C85" s="1">
        <v>113</v>
      </c>
      <c r="D85" s="1">
        <v>345</v>
      </c>
      <c r="E85" s="1">
        <v>104</v>
      </c>
      <c r="F85" s="1">
        <v>203</v>
      </c>
      <c r="G85" s="7">
        <v>0.6</v>
      </c>
      <c r="H85" s="1">
        <v>70</v>
      </c>
      <c r="I85" s="1" t="s">
        <v>41</v>
      </c>
      <c r="J85" s="1"/>
      <c r="K85" s="1">
        <v>104</v>
      </c>
      <c r="L85" s="1">
        <f t="shared" si="19"/>
        <v>0</v>
      </c>
      <c r="M85" s="1"/>
      <c r="N85" s="1"/>
      <c r="O85" s="1"/>
      <c r="P85" s="1"/>
      <c r="Q85" s="1"/>
      <c r="R85" s="1">
        <v>30.599999999999909</v>
      </c>
      <c r="S85" s="1"/>
      <c r="T85" s="1"/>
      <c r="U85" s="1">
        <f t="shared" si="20"/>
        <v>20.8</v>
      </c>
      <c r="V85" s="5">
        <f t="shared" si="18"/>
        <v>16.000000000000114</v>
      </c>
      <c r="W85" s="5">
        <f t="shared" si="24"/>
        <v>16.000000000000114</v>
      </c>
      <c r="X85" s="17"/>
      <c r="Y85" s="1">
        <f t="shared" si="22"/>
        <v>12</v>
      </c>
      <c r="Z85" s="1">
        <f t="shared" si="21"/>
        <v>11.230769230769226</v>
      </c>
      <c r="AA85" s="1">
        <v>25.2</v>
      </c>
      <c r="AB85" s="1">
        <v>23</v>
      </c>
      <c r="AC85" s="1">
        <v>22.2</v>
      </c>
      <c r="AD85" s="1">
        <v>20</v>
      </c>
      <c r="AE85" s="1">
        <v>24.4</v>
      </c>
      <c r="AF85" s="1">
        <v>23.6</v>
      </c>
      <c r="AG85" s="1">
        <v>16.2</v>
      </c>
      <c r="AH85" s="1">
        <v>17.600000000000001</v>
      </c>
      <c r="AI85" s="1">
        <v>25.8</v>
      </c>
      <c r="AJ85" s="1">
        <v>31.2</v>
      </c>
      <c r="AK85" s="1"/>
      <c r="AL85" s="1">
        <f t="shared" si="23"/>
        <v>10</v>
      </c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130</v>
      </c>
      <c r="B86" s="1" t="s">
        <v>45</v>
      </c>
      <c r="C86" s="1">
        <v>49</v>
      </c>
      <c r="D86" s="1">
        <v>99</v>
      </c>
      <c r="E86" s="1">
        <v>52</v>
      </c>
      <c r="F86" s="1">
        <v>86</v>
      </c>
      <c r="G86" s="7">
        <v>0.33</v>
      </c>
      <c r="H86" s="1">
        <v>40</v>
      </c>
      <c r="I86" s="1" t="s">
        <v>41</v>
      </c>
      <c r="J86" s="1"/>
      <c r="K86" s="1">
        <v>54</v>
      </c>
      <c r="L86" s="1">
        <f t="shared" si="19"/>
        <v>-2</v>
      </c>
      <c r="M86" s="1"/>
      <c r="N86" s="1"/>
      <c r="O86" s="1"/>
      <c r="P86" s="1"/>
      <c r="Q86" s="1"/>
      <c r="R86" s="1"/>
      <c r="S86" s="1"/>
      <c r="T86" s="1"/>
      <c r="U86" s="1">
        <f t="shared" si="20"/>
        <v>10.4</v>
      </c>
      <c r="V86" s="5">
        <f t="shared" si="18"/>
        <v>38.800000000000011</v>
      </c>
      <c r="W86" s="5">
        <f t="shared" si="24"/>
        <v>38.800000000000011</v>
      </c>
      <c r="X86" s="17"/>
      <c r="Y86" s="1">
        <f t="shared" si="22"/>
        <v>12</v>
      </c>
      <c r="Z86" s="1">
        <f t="shared" si="21"/>
        <v>8.2692307692307683</v>
      </c>
      <c r="AA86" s="1">
        <v>9</v>
      </c>
      <c r="AB86" s="1">
        <v>8.6</v>
      </c>
      <c r="AC86" s="1">
        <v>6</v>
      </c>
      <c r="AD86" s="1">
        <v>5.6</v>
      </c>
      <c r="AE86" s="1">
        <v>8.4</v>
      </c>
      <c r="AF86" s="1">
        <v>9.8000000000000007</v>
      </c>
      <c r="AG86" s="1">
        <v>6.4</v>
      </c>
      <c r="AH86" s="1">
        <v>3.8</v>
      </c>
      <c r="AI86" s="1">
        <v>3.6</v>
      </c>
      <c r="AJ86" s="1">
        <v>6.2</v>
      </c>
      <c r="AK86" s="1"/>
      <c r="AL86" s="1">
        <f t="shared" si="23"/>
        <v>13</v>
      </c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131</v>
      </c>
      <c r="B87" s="1" t="s">
        <v>45</v>
      </c>
      <c r="C87" s="1">
        <v>259</v>
      </c>
      <c r="D87" s="1">
        <v>654</v>
      </c>
      <c r="E87" s="1">
        <v>230</v>
      </c>
      <c r="F87" s="1">
        <v>451</v>
      </c>
      <c r="G87" s="7">
        <v>0.4</v>
      </c>
      <c r="H87" s="1">
        <v>55</v>
      </c>
      <c r="I87" s="1" t="s">
        <v>41</v>
      </c>
      <c r="J87" s="1"/>
      <c r="K87" s="1">
        <v>234</v>
      </c>
      <c r="L87" s="1">
        <f t="shared" si="19"/>
        <v>-4</v>
      </c>
      <c r="M87" s="1"/>
      <c r="N87" s="1"/>
      <c r="O87" s="1"/>
      <c r="P87" s="1"/>
      <c r="Q87" s="1"/>
      <c r="R87" s="1">
        <v>47.525999999999783</v>
      </c>
      <c r="S87" s="1"/>
      <c r="T87" s="1"/>
      <c r="U87" s="1">
        <f t="shared" si="20"/>
        <v>46</v>
      </c>
      <c r="V87" s="5">
        <f t="shared" si="18"/>
        <v>53.474000000000217</v>
      </c>
      <c r="W87" s="5">
        <f t="shared" si="24"/>
        <v>53.474000000000217</v>
      </c>
      <c r="X87" s="17"/>
      <c r="Y87" s="1">
        <f t="shared" si="22"/>
        <v>12</v>
      </c>
      <c r="Z87" s="1">
        <f t="shared" si="21"/>
        <v>10.83752173913043</v>
      </c>
      <c r="AA87" s="1">
        <v>56.4</v>
      </c>
      <c r="AB87" s="1">
        <v>55.4</v>
      </c>
      <c r="AC87" s="1">
        <v>44.8</v>
      </c>
      <c r="AD87" s="1">
        <v>44.8</v>
      </c>
      <c r="AE87" s="1">
        <v>57.4</v>
      </c>
      <c r="AF87" s="1">
        <v>54</v>
      </c>
      <c r="AG87" s="1">
        <v>51.8</v>
      </c>
      <c r="AH87" s="1">
        <v>54.2</v>
      </c>
      <c r="AI87" s="1">
        <v>54.4</v>
      </c>
      <c r="AJ87" s="1">
        <v>55</v>
      </c>
      <c r="AK87" s="1"/>
      <c r="AL87" s="1">
        <f t="shared" si="23"/>
        <v>21</v>
      </c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132</v>
      </c>
      <c r="B88" s="1" t="s">
        <v>45</v>
      </c>
      <c r="C88" s="1">
        <v>84</v>
      </c>
      <c r="D88" s="1">
        <v>126</v>
      </c>
      <c r="E88" s="1">
        <v>73</v>
      </c>
      <c r="F88" s="1">
        <v>6</v>
      </c>
      <c r="G88" s="7">
        <v>0.35</v>
      </c>
      <c r="H88" s="1">
        <v>40</v>
      </c>
      <c r="I88" s="1" t="s">
        <v>41</v>
      </c>
      <c r="J88" s="1"/>
      <c r="K88" s="1">
        <v>152</v>
      </c>
      <c r="L88" s="1">
        <f t="shared" si="19"/>
        <v>-79</v>
      </c>
      <c r="M88" s="1"/>
      <c r="N88" s="1"/>
      <c r="O88" s="1">
        <v>105.4</v>
      </c>
      <c r="P88" s="1">
        <v>-108</v>
      </c>
      <c r="Q88" s="1"/>
      <c r="R88" s="1">
        <v>127.6</v>
      </c>
      <c r="S88" s="1"/>
      <c r="T88" s="1"/>
      <c r="U88" s="1">
        <f t="shared" si="20"/>
        <v>14.6</v>
      </c>
      <c r="V88" s="5">
        <f t="shared" si="18"/>
        <v>44.199999999999989</v>
      </c>
      <c r="W88" s="5">
        <f t="shared" si="24"/>
        <v>44.199999999999989</v>
      </c>
      <c r="X88" s="17"/>
      <c r="Y88" s="1">
        <f t="shared" si="22"/>
        <v>12</v>
      </c>
      <c r="Z88" s="1">
        <f t="shared" si="21"/>
        <v>8.9726027397260282</v>
      </c>
      <c r="AA88" s="1">
        <v>29</v>
      </c>
      <c r="AB88" s="1">
        <v>24.2</v>
      </c>
      <c r="AC88" s="1">
        <v>2.6</v>
      </c>
      <c r="AD88" s="1">
        <v>3.6</v>
      </c>
      <c r="AE88" s="1">
        <v>22.4</v>
      </c>
      <c r="AF88" s="1">
        <v>27</v>
      </c>
      <c r="AG88" s="1">
        <v>19.399999999999999</v>
      </c>
      <c r="AH88" s="1">
        <v>20.6</v>
      </c>
      <c r="AI88" s="1">
        <v>15.8</v>
      </c>
      <c r="AJ88" s="1">
        <v>16</v>
      </c>
      <c r="AK88" s="1"/>
      <c r="AL88" s="1">
        <f t="shared" si="23"/>
        <v>15</v>
      </c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133</v>
      </c>
      <c r="B89" s="1" t="s">
        <v>45</v>
      </c>
      <c r="C89" s="1">
        <v>304</v>
      </c>
      <c r="D89" s="1">
        <v>329</v>
      </c>
      <c r="E89" s="1">
        <v>308</v>
      </c>
      <c r="F89" s="1">
        <v>126</v>
      </c>
      <c r="G89" s="7">
        <v>0.35</v>
      </c>
      <c r="H89" s="1">
        <v>45</v>
      </c>
      <c r="I89" s="1" t="s">
        <v>41</v>
      </c>
      <c r="J89" s="1"/>
      <c r="K89" s="1">
        <v>331</v>
      </c>
      <c r="L89" s="1">
        <f t="shared" si="19"/>
        <v>-23</v>
      </c>
      <c r="M89" s="1"/>
      <c r="N89" s="1"/>
      <c r="O89" s="1">
        <v>333.72</v>
      </c>
      <c r="P89" s="1">
        <v>-336</v>
      </c>
      <c r="Q89" s="1"/>
      <c r="R89" s="1">
        <v>24.480000000000022</v>
      </c>
      <c r="S89" s="1"/>
      <c r="T89" s="1"/>
      <c r="U89" s="1">
        <f t="shared" si="20"/>
        <v>61.6</v>
      </c>
      <c r="V89" s="5">
        <f>10*U89-T89-S89-R89-Q89-P89-O89-F89</f>
        <v>467.79999999999995</v>
      </c>
      <c r="W89" s="5">
        <f t="shared" si="24"/>
        <v>467.79999999999995</v>
      </c>
      <c r="X89" s="17"/>
      <c r="Y89" s="1">
        <f t="shared" si="22"/>
        <v>10</v>
      </c>
      <c r="Z89" s="1">
        <f t="shared" si="21"/>
        <v>2.4058441558441563</v>
      </c>
      <c r="AA89" s="1">
        <v>61.2</v>
      </c>
      <c r="AB89" s="1">
        <v>44</v>
      </c>
      <c r="AC89" s="1">
        <v>49</v>
      </c>
      <c r="AD89" s="1">
        <v>44.4</v>
      </c>
      <c r="AE89" s="1">
        <v>34.4</v>
      </c>
      <c r="AF89" s="1">
        <v>61.8</v>
      </c>
      <c r="AG89" s="1">
        <v>73.8</v>
      </c>
      <c r="AH89" s="1">
        <v>32.200000000000003</v>
      </c>
      <c r="AI89" s="1">
        <v>16</v>
      </c>
      <c r="AJ89" s="1">
        <v>38.799999999999997</v>
      </c>
      <c r="AK89" s="1"/>
      <c r="AL89" s="1">
        <f t="shared" si="23"/>
        <v>164</v>
      </c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134</v>
      </c>
      <c r="B90" s="1" t="s">
        <v>45</v>
      </c>
      <c r="C90" s="1">
        <v>124</v>
      </c>
      <c r="D90" s="1">
        <v>285</v>
      </c>
      <c r="E90" s="1">
        <v>75</v>
      </c>
      <c r="F90" s="1">
        <v>207</v>
      </c>
      <c r="G90" s="7">
        <v>0.4</v>
      </c>
      <c r="H90" s="1">
        <v>55</v>
      </c>
      <c r="I90" s="1" t="s">
        <v>41</v>
      </c>
      <c r="J90" s="1"/>
      <c r="K90" s="1">
        <v>75</v>
      </c>
      <c r="L90" s="1">
        <f t="shared" si="19"/>
        <v>0</v>
      </c>
      <c r="M90" s="1"/>
      <c r="N90" s="1"/>
      <c r="O90" s="1"/>
      <c r="P90" s="1"/>
      <c r="Q90" s="1"/>
      <c r="R90" s="1"/>
      <c r="S90" s="1"/>
      <c r="T90" s="1"/>
      <c r="U90" s="1">
        <f t="shared" si="20"/>
        <v>15</v>
      </c>
      <c r="V90" s="5"/>
      <c r="W90" s="5">
        <f t="shared" si="24"/>
        <v>0</v>
      </c>
      <c r="X90" s="17"/>
      <c r="Y90" s="1">
        <f t="shared" si="22"/>
        <v>13.8</v>
      </c>
      <c r="Z90" s="1">
        <f t="shared" si="21"/>
        <v>13.8</v>
      </c>
      <c r="AA90" s="1">
        <v>16</v>
      </c>
      <c r="AB90" s="1">
        <v>28</v>
      </c>
      <c r="AC90" s="1">
        <v>29.8</v>
      </c>
      <c r="AD90" s="1">
        <v>24.2</v>
      </c>
      <c r="AE90" s="1">
        <v>24.2</v>
      </c>
      <c r="AF90" s="1">
        <v>23.4</v>
      </c>
      <c r="AG90" s="1">
        <v>22.2</v>
      </c>
      <c r="AH90" s="1">
        <v>1</v>
      </c>
      <c r="AI90" s="1">
        <v>1</v>
      </c>
      <c r="AJ90" s="1">
        <v>20.8</v>
      </c>
      <c r="AK90" s="1"/>
      <c r="AL90" s="1">
        <f t="shared" si="23"/>
        <v>0</v>
      </c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135</v>
      </c>
      <c r="B91" s="1" t="s">
        <v>40</v>
      </c>
      <c r="C91" s="1">
        <v>33.436</v>
      </c>
      <c r="D91" s="1">
        <v>59.328000000000003</v>
      </c>
      <c r="E91" s="1">
        <v>39.993000000000002</v>
      </c>
      <c r="F91" s="1">
        <v>38.682000000000002</v>
      </c>
      <c r="G91" s="7">
        <v>1</v>
      </c>
      <c r="H91" s="1">
        <v>55</v>
      </c>
      <c r="I91" s="1" t="s">
        <v>41</v>
      </c>
      <c r="J91" s="1"/>
      <c r="K91" s="1">
        <v>41</v>
      </c>
      <c r="L91" s="1">
        <f t="shared" si="19"/>
        <v>-1.0069999999999979</v>
      </c>
      <c r="M91" s="1"/>
      <c r="N91" s="1"/>
      <c r="O91" s="1"/>
      <c r="P91" s="1"/>
      <c r="Q91" s="1"/>
      <c r="R91" s="1"/>
      <c r="S91" s="1"/>
      <c r="T91" s="1"/>
      <c r="U91" s="1">
        <f t="shared" si="20"/>
        <v>7.9986000000000006</v>
      </c>
      <c r="V91" s="5">
        <f t="shared" si="18"/>
        <v>57.301200000000009</v>
      </c>
      <c r="W91" s="5">
        <f t="shared" si="24"/>
        <v>57.301200000000009</v>
      </c>
      <c r="X91" s="17"/>
      <c r="Y91" s="1">
        <f t="shared" si="22"/>
        <v>12</v>
      </c>
      <c r="Z91" s="1">
        <f t="shared" si="21"/>
        <v>4.8360963168554498</v>
      </c>
      <c r="AA91" s="1">
        <v>3.4681999999999999</v>
      </c>
      <c r="AB91" s="1">
        <v>1.6208</v>
      </c>
      <c r="AC91" s="1">
        <v>-1.0531999999999999</v>
      </c>
      <c r="AD91" s="1">
        <v>0.1918</v>
      </c>
      <c r="AE91" s="1">
        <v>6.4581999999999997</v>
      </c>
      <c r="AF91" s="1">
        <v>25.799199999999999</v>
      </c>
      <c r="AG91" s="1">
        <v>24.057600000000001</v>
      </c>
      <c r="AH91" s="1">
        <v>4.6172000000000004</v>
      </c>
      <c r="AI91" s="1">
        <v>3.7582</v>
      </c>
      <c r="AJ91" s="1">
        <v>3.1760000000000002</v>
      </c>
      <c r="AK91" s="1"/>
      <c r="AL91" s="1">
        <f t="shared" si="23"/>
        <v>57</v>
      </c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9" t="s">
        <v>136</v>
      </c>
      <c r="B92" s="9" t="s">
        <v>45</v>
      </c>
      <c r="C92" s="9">
        <v>30</v>
      </c>
      <c r="D92" s="9">
        <v>7</v>
      </c>
      <c r="E92" s="9">
        <v>20</v>
      </c>
      <c r="F92" s="9">
        <v>7</v>
      </c>
      <c r="G92" s="10">
        <v>0</v>
      </c>
      <c r="H92" s="9">
        <v>55</v>
      </c>
      <c r="I92" s="9" t="s">
        <v>51</v>
      </c>
      <c r="J92" s="9"/>
      <c r="K92" s="9">
        <v>20</v>
      </c>
      <c r="L92" s="9">
        <f t="shared" si="19"/>
        <v>0</v>
      </c>
      <c r="M92" s="9"/>
      <c r="N92" s="9"/>
      <c r="O92" s="9"/>
      <c r="P92" s="9"/>
      <c r="Q92" s="9"/>
      <c r="R92" s="9">
        <v>0</v>
      </c>
      <c r="S92" s="9"/>
      <c r="T92" s="9"/>
      <c r="U92" s="9">
        <f t="shared" si="20"/>
        <v>4</v>
      </c>
      <c r="V92" s="11"/>
      <c r="W92" s="5">
        <f t="shared" si="24"/>
        <v>0</v>
      </c>
      <c r="X92" s="18"/>
      <c r="Y92" s="1">
        <f t="shared" si="22"/>
        <v>1.75</v>
      </c>
      <c r="Z92" s="9">
        <f t="shared" si="21"/>
        <v>1.75</v>
      </c>
      <c r="AA92" s="9">
        <v>6</v>
      </c>
      <c r="AB92" s="9">
        <v>4</v>
      </c>
      <c r="AC92" s="9">
        <v>1.2</v>
      </c>
      <c r="AD92" s="9">
        <v>2</v>
      </c>
      <c r="AE92" s="9">
        <v>2.6</v>
      </c>
      <c r="AF92" s="9">
        <v>4.4000000000000004</v>
      </c>
      <c r="AG92" s="9">
        <v>4</v>
      </c>
      <c r="AH92" s="9">
        <v>3.4</v>
      </c>
      <c r="AI92" s="9">
        <v>2</v>
      </c>
      <c r="AJ92" s="9">
        <v>0</v>
      </c>
      <c r="AK92" s="9"/>
      <c r="AL92" s="1">
        <f t="shared" si="23"/>
        <v>0</v>
      </c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137</v>
      </c>
      <c r="B93" s="1" t="s">
        <v>40</v>
      </c>
      <c r="C93" s="1">
        <v>212.113</v>
      </c>
      <c r="D93" s="1">
        <v>928.20100000000002</v>
      </c>
      <c r="E93" s="1">
        <v>137.09100000000001</v>
      </c>
      <c r="F93" s="1">
        <v>316.16899999999998</v>
      </c>
      <c r="G93" s="7">
        <v>1</v>
      </c>
      <c r="H93" s="1">
        <v>55</v>
      </c>
      <c r="I93" s="1" t="s">
        <v>41</v>
      </c>
      <c r="J93" s="1"/>
      <c r="K93" s="1">
        <v>132.19999999999999</v>
      </c>
      <c r="L93" s="1">
        <f t="shared" si="19"/>
        <v>4.8910000000000196</v>
      </c>
      <c r="M93" s="1"/>
      <c r="N93" s="1"/>
      <c r="O93" s="1"/>
      <c r="P93" s="1"/>
      <c r="Q93" s="1"/>
      <c r="R93" s="1"/>
      <c r="S93" s="1"/>
      <c r="T93" s="1"/>
      <c r="U93" s="1">
        <f t="shared" si="20"/>
        <v>27.418200000000002</v>
      </c>
      <c r="V93" s="5">
        <f t="shared" ref="V93:V94" si="26">12*U93-T93-S93-R93-Q93-P93-O93-F93</f>
        <v>12.84940000000006</v>
      </c>
      <c r="W93" s="5">
        <f t="shared" si="24"/>
        <v>12.84940000000006</v>
      </c>
      <c r="X93" s="17"/>
      <c r="Y93" s="1">
        <f t="shared" si="22"/>
        <v>12</v>
      </c>
      <c r="Z93" s="1">
        <f t="shared" si="21"/>
        <v>11.531355085308297</v>
      </c>
      <c r="AA93" s="1">
        <v>33.930599999999998</v>
      </c>
      <c r="AB93" s="1">
        <v>31.181999999999999</v>
      </c>
      <c r="AC93" s="1">
        <v>37.124600000000001</v>
      </c>
      <c r="AD93" s="1">
        <v>49.651200000000003</v>
      </c>
      <c r="AE93" s="1">
        <v>45.2958</v>
      </c>
      <c r="AF93" s="1">
        <v>39.439800000000012</v>
      </c>
      <c r="AG93" s="1">
        <v>39.754800000000003</v>
      </c>
      <c r="AH93" s="1">
        <v>43.838200000000001</v>
      </c>
      <c r="AI93" s="1">
        <v>48.463799999999999</v>
      </c>
      <c r="AJ93" s="1">
        <v>47.909399999999998</v>
      </c>
      <c r="AK93" s="1"/>
      <c r="AL93" s="1">
        <f t="shared" si="23"/>
        <v>13</v>
      </c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138</v>
      </c>
      <c r="B94" s="1" t="s">
        <v>40</v>
      </c>
      <c r="C94" s="1">
        <v>688.899</v>
      </c>
      <c r="D94" s="1">
        <v>2138.7570000000001</v>
      </c>
      <c r="E94" s="1">
        <v>859.255</v>
      </c>
      <c r="F94" s="1">
        <v>1390.94</v>
      </c>
      <c r="G94" s="7">
        <v>1</v>
      </c>
      <c r="H94" s="1">
        <v>60</v>
      </c>
      <c r="I94" s="1" t="s">
        <v>41</v>
      </c>
      <c r="J94" s="1"/>
      <c r="K94" s="1">
        <v>915.96500000000003</v>
      </c>
      <c r="L94" s="1">
        <f t="shared" si="19"/>
        <v>-56.710000000000036</v>
      </c>
      <c r="M94" s="1"/>
      <c r="N94" s="1"/>
      <c r="O94" s="1"/>
      <c r="P94" s="1"/>
      <c r="Q94" s="1"/>
      <c r="R94" s="1">
        <v>400</v>
      </c>
      <c r="S94" s="1"/>
      <c r="T94" s="1"/>
      <c r="U94" s="1">
        <f t="shared" si="20"/>
        <v>171.851</v>
      </c>
      <c r="V94" s="5">
        <f t="shared" si="26"/>
        <v>271.27199999999993</v>
      </c>
      <c r="W94" s="5">
        <f>V94+$W$1*U94</f>
        <v>626.14431500000001</v>
      </c>
      <c r="X94" s="17"/>
      <c r="Y94" s="1">
        <f t="shared" si="22"/>
        <v>14.065000000000001</v>
      </c>
      <c r="Z94" s="1">
        <f t="shared" si="21"/>
        <v>10.421469761595802</v>
      </c>
      <c r="AA94" s="1">
        <v>176.95820000000001</v>
      </c>
      <c r="AB94" s="1">
        <v>182.36699999999999</v>
      </c>
      <c r="AC94" s="1">
        <v>171.1482</v>
      </c>
      <c r="AD94" s="1">
        <v>171.82579999999999</v>
      </c>
      <c r="AE94" s="1">
        <v>171.11279999999999</v>
      </c>
      <c r="AF94" s="1">
        <v>160.2638</v>
      </c>
      <c r="AG94" s="1">
        <v>168.82660000000001</v>
      </c>
      <c r="AH94" s="1">
        <v>205.5204</v>
      </c>
      <c r="AI94" s="1">
        <v>213.1044</v>
      </c>
      <c r="AJ94" s="1">
        <v>188.45419999999999</v>
      </c>
      <c r="AK94" s="1"/>
      <c r="AL94" s="1">
        <f t="shared" si="23"/>
        <v>626</v>
      </c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9" t="s">
        <v>139</v>
      </c>
      <c r="B95" s="9" t="s">
        <v>45</v>
      </c>
      <c r="C95" s="9"/>
      <c r="D95" s="9"/>
      <c r="E95" s="9"/>
      <c r="F95" s="9"/>
      <c r="G95" s="10">
        <v>0</v>
      </c>
      <c r="H95" s="9"/>
      <c r="I95" s="9" t="s">
        <v>41</v>
      </c>
      <c r="J95" s="9"/>
      <c r="K95" s="9"/>
      <c r="L95" s="9">
        <f t="shared" si="19"/>
        <v>0</v>
      </c>
      <c r="M95" s="9"/>
      <c r="N95" s="9"/>
      <c r="O95" s="9"/>
      <c r="P95" s="9"/>
      <c r="Q95" s="9"/>
      <c r="R95" s="9">
        <v>0</v>
      </c>
      <c r="S95" s="9"/>
      <c r="T95" s="9"/>
      <c r="U95" s="9">
        <f t="shared" si="20"/>
        <v>0</v>
      </c>
      <c r="V95" s="11"/>
      <c r="W95" s="5">
        <f t="shared" si="24"/>
        <v>0</v>
      </c>
      <c r="X95" s="18"/>
      <c r="Y95" s="1" t="e">
        <f t="shared" si="22"/>
        <v>#DIV/0!</v>
      </c>
      <c r="Z95" s="9" t="e">
        <f t="shared" si="21"/>
        <v>#DIV/0!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 t="s">
        <v>46</v>
      </c>
      <c r="AL95" s="1">
        <f t="shared" si="23"/>
        <v>0</v>
      </c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140</v>
      </c>
      <c r="B96" s="1" t="s">
        <v>40</v>
      </c>
      <c r="C96" s="1">
        <v>2460.7510000000002</v>
      </c>
      <c r="D96" s="1">
        <v>4683.7290000000003</v>
      </c>
      <c r="E96" s="1">
        <v>2234.7040000000002</v>
      </c>
      <c r="F96" s="1">
        <v>3009.4160000000002</v>
      </c>
      <c r="G96" s="7">
        <v>1</v>
      </c>
      <c r="H96" s="1">
        <v>60</v>
      </c>
      <c r="I96" s="1" t="s">
        <v>41</v>
      </c>
      <c r="J96" s="1"/>
      <c r="K96" s="1">
        <v>2254.65</v>
      </c>
      <c r="L96" s="1">
        <f t="shared" si="19"/>
        <v>-19.945999999999913</v>
      </c>
      <c r="M96" s="1"/>
      <c r="N96" s="1"/>
      <c r="O96" s="1">
        <v>721.63088039999866</v>
      </c>
      <c r="P96" s="1"/>
      <c r="Q96" s="1"/>
      <c r="R96" s="1"/>
      <c r="S96" s="1">
        <v>1900</v>
      </c>
      <c r="T96" s="1"/>
      <c r="U96" s="1">
        <f t="shared" si="20"/>
        <v>446.94080000000002</v>
      </c>
      <c r="V96" s="5"/>
      <c r="W96" s="5">
        <f t="shared" si="24"/>
        <v>0</v>
      </c>
      <c r="X96" s="17"/>
      <c r="Y96" s="1">
        <f t="shared" si="22"/>
        <v>12.599088918263893</v>
      </c>
      <c r="Z96" s="1">
        <f t="shared" si="21"/>
        <v>12.599088918263893</v>
      </c>
      <c r="AA96" s="1">
        <v>458.49939999999998</v>
      </c>
      <c r="AB96" s="1">
        <v>436.01319999999998</v>
      </c>
      <c r="AC96" s="1">
        <v>426.09260000000012</v>
      </c>
      <c r="AD96" s="1">
        <v>436.69299999999998</v>
      </c>
      <c r="AE96" s="1">
        <v>425.26580000000001</v>
      </c>
      <c r="AF96" s="1">
        <v>383.94839999999999</v>
      </c>
      <c r="AG96" s="1">
        <v>385.58100000000002</v>
      </c>
      <c r="AH96" s="1">
        <v>416.45319999999998</v>
      </c>
      <c r="AI96" s="1">
        <v>410.62759999999997</v>
      </c>
      <c r="AJ96" s="1">
        <v>387.19619999999998</v>
      </c>
      <c r="AK96" s="1"/>
      <c r="AL96" s="1">
        <f t="shared" si="23"/>
        <v>0</v>
      </c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20" t="s">
        <v>141</v>
      </c>
      <c r="B97" s="1" t="s">
        <v>40</v>
      </c>
      <c r="C97" s="1">
        <v>4555.34</v>
      </c>
      <c r="D97" s="1">
        <v>4032.6529999999998</v>
      </c>
      <c r="E97" s="1">
        <v>2047.7159999999999</v>
      </c>
      <c r="F97" s="1">
        <v>4651.335</v>
      </c>
      <c r="G97" s="7">
        <v>1</v>
      </c>
      <c r="H97" s="1">
        <v>60</v>
      </c>
      <c r="I97" s="1" t="s">
        <v>41</v>
      </c>
      <c r="J97" s="1"/>
      <c r="K97" s="1">
        <v>2092.15</v>
      </c>
      <c r="L97" s="1">
        <f t="shared" si="19"/>
        <v>-44.434000000000196</v>
      </c>
      <c r="M97" s="1"/>
      <c r="N97" s="1"/>
      <c r="O97" s="1"/>
      <c r="P97" s="1"/>
      <c r="Q97" s="1">
        <v>1800</v>
      </c>
      <c r="R97" s="1"/>
      <c r="S97" s="1"/>
      <c r="T97" s="1"/>
      <c r="U97" s="1">
        <f t="shared" si="20"/>
        <v>409.54319999999996</v>
      </c>
      <c r="V97" s="5"/>
      <c r="W97" s="5">
        <f t="shared" si="24"/>
        <v>0</v>
      </c>
      <c r="X97" s="17"/>
      <c r="Y97" s="1">
        <f t="shared" si="22"/>
        <v>15.752514020498937</v>
      </c>
      <c r="Z97" s="1">
        <f t="shared" si="21"/>
        <v>15.752514020498937</v>
      </c>
      <c r="AA97" s="1">
        <v>447.65519999999998</v>
      </c>
      <c r="AB97" s="1">
        <v>530.02260000000001</v>
      </c>
      <c r="AC97" s="1">
        <v>493.26420000000002</v>
      </c>
      <c r="AD97" s="1">
        <v>455.58280000000002</v>
      </c>
      <c r="AE97" s="1">
        <v>513.62299999999993</v>
      </c>
      <c r="AF97" s="1">
        <v>557.21199999999999</v>
      </c>
      <c r="AG97" s="1">
        <v>534.47</v>
      </c>
      <c r="AH97" s="1">
        <v>581.125</v>
      </c>
      <c r="AI97" s="1">
        <v>584.60559999999998</v>
      </c>
      <c r="AJ97" s="1">
        <v>463.70979999999997</v>
      </c>
      <c r="AK97" s="1"/>
      <c r="AL97" s="1">
        <f t="shared" si="23"/>
        <v>0</v>
      </c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20" t="s">
        <v>142</v>
      </c>
      <c r="B98" s="1" t="s">
        <v>40</v>
      </c>
      <c r="C98" s="1">
        <v>5963.4679999999998</v>
      </c>
      <c r="D98" s="1">
        <v>4935.5709999999999</v>
      </c>
      <c r="E98" s="1">
        <v>2905.9140000000002</v>
      </c>
      <c r="F98" s="1">
        <v>5908.6540000000005</v>
      </c>
      <c r="G98" s="7">
        <v>1</v>
      </c>
      <c r="H98" s="1">
        <v>60</v>
      </c>
      <c r="I98" s="1" t="s">
        <v>41</v>
      </c>
      <c r="J98" s="1"/>
      <c r="K98" s="1">
        <v>2894.85</v>
      </c>
      <c r="L98" s="1">
        <f t="shared" si="19"/>
        <v>11.064000000000306</v>
      </c>
      <c r="M98" s="1"/>
      <c r="N98" s="1"/>
      <c r="O98" s="1">
        <v>528.57179999999971</v>
      </c>
      <c r="P98" s="1"/>
      <c r="Q98" s="1">
        <v>2900</v>
      </c>
      <c r="R98" s="1"/>
      <c r="S98" s="1">
        <v>500</v>
      </c>
      <c r="T98" s="1"/>
      <c r="U98" s="1">
        <f t="shared" si="20"/>
        <v>581.18280000000004</v>
      </c>
      <c r="V98" s="5"/>
      <c r="W98" s="5">
        <f t="shared" si="24"/>
        <v>0</v>
      </c>
      <c r="X98" s="17"/>
      <c r="Y98" s="1">
        <f t="shared" si="22"/>
        <v>16.926216329870737</v>
      </c>
      <c r="Z98" s="1">
        <f t="shared" si="21"/>
        <v>16.926216329870737</v>
      </c>
      <c r="AA98" s="1">
        <v>622.20299999999997</v>
      </c>
      <c r="AB98" s="1">
        <v>586.15959999999995</v>
      </c>
      <c r="AC98" s="1">
        <v>578.34320000000002</v>
      </c>
      <c r="AD98" s="1">
        <v>607.92340000000002</v>
      </c>
      <c r="AE98" s="1">
        <v>613.33459999999991</v>
      </c>
      <c r="AF98" s="1">
        <v>604.15620000000001</v>
      </c>
      <c r="AG98" s="1">
        <v>555.69460000000004</v>
      </c>
      <c r="AH98" s="1">
        <v>579.61239999999998</v>
      </c>
      <c r="AI98" s="1">
        <v>611.62079999999992</v>
      </c>
      <c r="AJ98" s="1">
        <v>529.55100000000004</v>
      </c>
      <c r="AK98" s="1"/>
      <c r="AL98" s="1">
        <f t="shared" si="23"/>
        <v>0</v>
      </c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143</v>
      </c>
      <c r="B99" s="1" t="s">
        <v>40</v>
      </c>
      <c r="C99" s="1">
        <v>180.083</v>
      </c>
      <c r="D99" s="1">
        <v>51.085999999999999</v>
      </c>
      <c r="E99" s="1">
        <v>46.142000000000003</v>
      </c>
      <c r="F99" s="1">
        <v>103.194</v>
      </c>
      <c r="G99" s="7">
        <v>1</v>
      </c>
      <c r="H99" s="1">
        <v>55</v>
      </c>
      <c r="I99" s="1" t="s">
        <v>41</v>
      </c>
      <c r="J99" s="1"/>
      <c r="K99" s="1">
        <v>41.2</v>
      </c>
      <c r="L99" s="1">
        <f t="shared" si="19"/>
        <v>4.9420000000000002</v>
      </c>
      <c r="M99" s="1"/>
      <c r="N99" s="1"/>
      <c r="O99" s="1"/>
      <c r="P99" s="1"/>
      <c r="Q99" s="1"/>
      <c r="R99" s="1"/>
      <c r="S99" s="1"/>
      <c r="T99" s="1"/>
      <c r="U99" s="1">
        <f t="shared" si="20"/>
        <v>9.2284000000000006</v>
      </c>
      <c r="V99" s="5">
        <f t="shared" ref="V99" si="27">12*U99-T99-S99-R99-Q99-P99-O99-F99</f>
        <v>7.5468000000000046</v>
      </c>
      <c r="W99" s="5">
        <f t="shared" si="24"/>
        <v>7.5468000000000046</v>
      </c>
      <c r="X99" s="17"/>
      <c r="Y99" s="1">
        <f t="shared" si="22"/>
        <v>12</v>
      </c>
      <c r="Z99" s="1">
        <f t="shared" si="21"/>
        <v>11.182220103159811</v>
      </c>
      <c r="AA99" s="1">
        <v>8.9586000000000006</v>
      </c>
      <c r="AB99" s="1">
        <v>7.3046000000000006</v>
      </c>
      <c r="AC99" s="1">
        <v>6.6986000000000008</v>
      </c>
      <c r="AD99" s="1">
        <v>4.5375999999999994</v>
      </c>
      <c r="AE99" s="1">
        <v>4.6059999999999999</v>
      </c>
      <c r="AF99" s="1">
        <v>19.7072</v>
      </c>
      <c r="AG99" s="1">
        <v>20.521999999999998</v>
      </c>
      <c r="AH99" s="1">
        <v>0.54480000000000006</v>
      </c>
      <c r="AI99" s="1">
        <v>0.27479999999999999</v>
      </c>
      <c r="AJ99" s="1">
        <v>9.0836000000000006</v>
      </c>
      <c r="AK99" s="1"/>
      <c r="AL99" s="1">
        <f t="shared" si="23"/>
        <v>8</v>
      </c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9" t="s">
        <v>144</v>
      </c>
      <c r="B100" s="9" t="s">
        <v>40</v>
      </c>
      <c r="C100" s="9">
        <v>40.667000000000002</v>
      </c>
      <c r="D100" s="9">
        <v>18.760999999999999</v>
      </c>
      <c r="E100" s="9">
        <v>16.213000000000001</v>
      </c>
      <c r="F100" s="9">
        <v>39.198999999999998</v>
      </c>
      <c r="G100" s="10">
        <v>0</v>
      </c>
      <c r="H100" s="9">
        <v>55</v>
      </c>
      <c r="I100" s="9" t="s">
        <v>51</v>
      </c>
      <c r="J100" s="9"/>
      <c r="K100" s="9">
        <v>15.6</v>
      </c>
      <c r="L100" s="9">
        <f t="shared" si="19"/>
        <v>0.61300000000000132</v>
      </c>
      <c r="M100" s="9"/>
      <c r="N100" s="9"/>
      <c r="O100" s="9"/>
      <c r="P100" s="9"/>
      <c r="Q100" s="9"/>
      <c r="R100" s="9">
        <v>0</v>
      </c>
      <c r="S100" s="9"/>
      <c r="T100" s="9"/>
      <c r="U100" s="9">
        <f t="shared" si="20"/>
        <v>3.2426000000000004</v>
      </c>
      <c r="V100" s="11"/>
      <c r="W100" s="5">
        <f t="shared" si="24"/>
        <v>0</v>
      </c>
      <c r="X100" s="18"/>
      <c r="Y100" s="1">
        <f t="shared" si="22"/>
        <v>12.088755936594088</v>
      </c>
      <c r="Z100" s="9">
        <f t="shared" si="21"/>
        <v>12.088755936594088</v>
      </c>
      <c r="AA100" s="9">
        <v>3.4236</v>
      </c>
      <c r="AB100" s="9">
        <v>2.371</v>
      </c>
      <c r="AC100" s="9">
        <v>2.0373999999999999</v>
      </c>
      <c r="AD100" s="9">
        <v>2.5638000000000001</v>
      </c>
      <c r="AE100" s="9">
        <v>4.1109999999999998</v>
      </c>
      <c r="AF100" s="9">
        <v>5.1212</v>
      </c>
      <c r="AG100" s="9">
        <v>5.0456000000000003</v>
      </c>
      <c r="AH100" s="9">
        <v>4.5573999999999986</v>
      </c>
      <c r="AI100" s="9">
        <v>4.0289999999999999</v>
      </c>
      <c r="AJ100" s="9">
        <v>4.6223999999999998</v>
      </c>
      <c r="AK100" s="9" t="s">
        <v>94</v>
      </c>
      <c r="AL100" s="1">
        <f t="shared" si="23"/>
        <v>0</v>
      </c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9" t="s">
        <v>145</v>
      </c>
      <c r="B101" s="9" t="s">
        <v>40</v>
      </c>
      <c r="C101" s="9">
        <v>378.74299999999999</v>
      </c>
      <c r="D101" s="9"/>
      <c r="E101" s="9">
        <v>5.383</v>
      </c>
      <c r="F101" s="9">
        <v>349.577</v>
      </c>
      <c r="G101" s="10">
        <v>0</v>
      </c>
      <c r="H101" s="9"/>
      <c r="I101" s="9" t="s">
        <v>51</v>
      </c>
      <c r="J101" s="9"/>
      <c r="K101" s="9">
        <v>4.5999999999999996</v>
      </c>
      <c r="L101" s="9">
        <f t="shared" si="19"/>
        <v>0.78300000000000036</v>
      </c>
      <c r="M101" s="9"/>
      <c r="N101" s="9"/>
      <c r="O101" s="9"/>
      <c r="P101" s="9"/>
      <c r="Q101" s="9"/>
      <c r="R101" s="9">
        <v>0</v>
      </c>
      <c r="S101" s="9"/>
      <c r="T101" s="9"/>
      <c r="U101" s="9">
        <f t="shared" si="20"/>
        <v>1.0766</v>
      </c>
      <c r="V101" s="11"/>
      <c r="W101" s="5">
        <f t="shared" si="24"/>
        <v>0</v>
      </c>
      <c r="X101" s="18"/>
      <c r="Y101" s="1">
        <f t="shared" si="22"/>
        <v>324.70462567341633</v>
      </c>
      <c r="Z101" s="9">
        <f t="shared" si="21"/>
        <v>324.70462567341633</v>
      </c>
      <c r="AA101" s="9">
        <v>1.0766</v>
      </c>
      <c r="AB101" s="9">
        <v>1.8908</v>
      </c>
      <c r="AC101" s="9">
        <v>4.3494000000000002</v>
      </c>
      <c r="AD101" s="9">
        <v>2.9916</v>
      </c>
      <c r="AE101" s="9">
        <v>1.0693999999999999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 t="s">
        <v>146</v>
      </c>
      <c r="AL101" s="1">
        <f t="shared" si="23"/>
        <v>0</v>
      </c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147</v>
      </c>
      <c r="B102" s="1" t="s">
        <v>45</v>
      </c>
      <c r="C102" s="1">
        <v>16</v>
      </c>
      <c r="D102" s="1">
        <v>253</v>
      </c>
      <c r="E102" s="1">
        <v>144</v>
      </c>
      <c r="F102" s="1">
        <v>-9</v>
      </c>
      <c r="G102" s="7">
        <v>0.3</v>
      </c>
      <c r="H102" s="1">
        <v>40</v>
      </c>
      <c r="I102" s="1" t="s">
        <v>41</v>
      </c>
      <c r="J102" s="1"/>
      <c r="K102" s="1">
        <v>234</v>
      </c>
      <c r="L102" s="1">
        <f t="shared" ref="L102:L133" si="28">E102-K102</f>
        <v>-90</v>
      </c>
      <c r="M102" s="1"/>
      <c r="N102" s="1"/>
      <c r="O102" s="1">
        <v>215.65199999999979</v>
      </c>
      <c r="P102" s="1"/>
      <c r="Q102" s="1"/>
      <c r="R102" s="1">
        <v>206.16000000000011</v>
      </c>
      <c r="S102" s="1"/>
      <c r="T102" s="1"/>
      <c r="U102" s="1">
        <f t="shared" ref="U102:U133" si="29">E102/5</f>
        <v>28.8</v>
      </c>
      <c r="V102" s="5">
        <v>200</v>
      </c>
      <c r="W102" s="5">
        <f t="shared" si="24"/>
        <v>200</v>
      </c>
      <c r="X102" s="17"/>
      <c r="Y102" s="1">
        <f t="shared" si="22"/>
        <v>21.278194444444441</v>
      </c>
      <c r="Z102" s="1">
        <f t="shared" ref="Z102:Z133" si="30">(F102+O102+P102+Q102+R102+S102+T102)/U102</f>
        <v>14.333749999999997</v>
      </c>
      <c r="AA102" s="1">
        <v>65.400000000000006</v>
      </c>
      <c r="AB102" s="1">
        <v>70.8</v>
      </c>
      <c r="AC102" s="1">
        <v>52.8</v>
      </c>
      <c r="AD102" s="1">
        <v>41.2</v>
      </c>
      <c r="AE102" s="1">
        <v>41.8</v>
      </c>
      <c r="AF102" s="1">
        <v>41.6</v>
      </c>
      <c r="AG102" s="1">
        <v>37.4</v>
      </c>
      <c r="AH102" s="1">
        <v>36.6</v>
      </c>
      <c r="AI102" s="1">
        <v>44.6</v>
      </c>
      <c r="AJ102" s="1">
        <v>40</v>
      </c>
      <c r="AK102" s="1"/>
      <c r="AL102" s="1">
        <f t="shared" si="23"/>
        <v>60</v>
      </c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56</v>
      </c>
      <c r="B103" s="1" t="s">
        <v>45</v>
      </c>
      <c r="C103" s="1">
        <v>19</v>
      </c>
      <c r="D103" s="1">
        <v>632</v>
      </c>
      <c r="E103" s="1">
        <v>178</v>
      </c>
      <c r="F103" s="1">
        <v>228</v>
      </c>
      <c r="G103" s="7">
        <v>0.3</v>
      </c>
      <c r="H103" s="1">
        <v>40</v>
      </c>
      <c r="I103" s="1" t="s">
        <v>41</v>
      </c>
      <c r="J103" s="1"/>
      <c r="K103" s="1">
        <v>199</v>
      </c>
      <c r="L103" s="1">
        <f t="shared" si="28"/>
        <v>-21</v>
      </c>
      <c r="M103" s="1"/>
      <c r="N103" s="1"/>
      <c r="O103" s="1"/>
      <c r="P103" s="1"/>
      <c r="Q103" s="1"/>
      <c r="R103" s="1"/>
      <c r="S103" s="1"/>
      <c r="T103" s="1"/>
      <c r="U103" s="1">
        <f t="shared" si="29"/>
        <v>35.6</v>
      </c>
      <c r="V103" s="5">
        <f t="shared" ref="V103" si="31">12*U103-T103-S103-R103-Q103-P103-O103-F103</f>
        <v>199.20000000000005</v>
      </c>
      <c r="W103" s="5">
        <f t="shared" si="24"/>
        <v>199.20000000000005</v>
      </c>
      <c r="X103" s="17"/>
      <c r="Y103" s="1">
        <f t="shared" si="22"/>
        <v>12</v>
      </c>
      <c r="Z103" s="1">
        <f t="shared" si="30"/>
        <v>6.404494382022472</v>
      </c>
      <c r="AA103" s="1">
        <v>32.200000000000003</v>
      </c>
      <c r="AB103" s="1">
        <v>46.4</v>
      </c>
      <c r="AC103" s="1">
        <v>46.4</v>
      </c>
      <c r="AD103" s="1">
        <v>33.799999999999997</v>
      </c>
      <c r="AE103" s="1">
        <v>35</v>
      </c>
      <c r="AF103" s="1">
        <v>38.799999999999997</v>
      </c>
      <c r="AG103" s="1">
        <v>41.6</v>
      </c>
      <c r="AH103" s="1">
        <v>11.8</v>
      </c>
      <c r="AI103" s="1">
        <v>3.2</v>
      </c>
      <c r="AJ103" s="1">
        <v>15.2</v>
      </c>
      <c r="AK103" s="1"/>
      <c r="AL103" s="1">
        <f t="shared" si="23"/>
        <v>60</v>
      </c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9" t="s">
        <v>148</v>
      </c>
      <c r="B104" s="9" t="s">
        <v>45</v>
      </c>
      <c r="C104" s="9">
        <v>30</v>
      </c>
      <c r="D104" s="9">
        <v>18</v>
      </c>
      <c r="E104" s="9">
        <v>30</v>
      </c>
      <c r="F104" s="9"/>
      <c r="G104" s="10">
        <v>0</v>
      </c>
      <c r="H104" s="9">
        <v>60</v>
      </c>
      <c r="I104" s="9" t="s">
        <v>51</v>
      </c>
      <c r="J104" s="9"/>
      <c r="K104" s="9">
        <v>37</v>
      </c>
      <c r="L104" s="9">
        <f t="shared" si="28"/>
        <v>-7</v>
      </c>
      <c r="M104" s="9"/>
      <c r="N104" s="9"/>
      <c r="O104" s="9"/>
      <c r="P104" s="9"/>
      <c r="Q104" s="9"/>
      <c r="R104" s="9">
        <v>0</v>
      </c>
      <c r="S104" s="9"/>
      <c r="T104" s="9"/>
      <c r="U104" s="9">
        <f t="shared" si="29"/>
        <v>6</v>
      </c>
      <c r="V104" s="11"/>
      <c r="W104" s="5">
        <f t="shared" si="24"/>
        <v>0</v>
      </c>
      <c r="X104" s="18"/>
      <c r="Y104" s="1">
        <f t="shared" si="22"/>
        <v>0</v>
      </c>
      <c r="Z104" s="9">
        <f t="shared" si="30"/>
        <v>0</v>
      </c>
      <c r="AA104" s="9">
        <v>10.8</v>
      </c>
      <c r="AB104" s="9">
        <v>18.399999999999999</v>
      </c>
      <c r="AC104" s="9">
        <v>16.600000000000001</v>
      </c>
      <c r="AD104" s="9">
        <v>8.8000000000000007</v>
      </c>
      <c r="AE104" s="9">
        <v>10.199999999999999</v>
      </c>
      <c r="AF104" s="9">
        <v>10.199999999999999</v>
      </c>
      <c r="AG104" s="9">
        <v>11.8</v>
      </c>
      <c r="AH104" s="9">
        <v>10.199999999999999</v>
      </c>
      <c r="AI104" s="9">
        <v>4</v>
      </c>
      <c r="AJ104" s="9">
        <v>-1.4</v>
      </c>
      <c r="AK104" s="9"/>
      <c r="AL104" s="1">
        <f t="shared" si="23"/>
        <v>0</v>
      </c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9" t="s">
        <v>149</v>
      </c>
      <c r="B105" s="9" t="s">
        <v>45</v>
      </c>
      <c r="C105" s="9"/>
      <c r="D105" s="9"/>
      <c r="E105" s="9"/>
      <c r="F105" s="9"/>
      <c r="G105" s="10">
        <v>0</v>
      </c>
      <c r="H105" s="9"/>
      <c r="I105" s="9" t="s">
        <v>41</v>
      </c>
      <c r="J105" s="9"/>
      <c r="K105" s="9">
        <v>6</v>
      </c>
      <c r="L105" s="9">
        <f t="shared" si="28"/>
        <v>-6</v>
      </c>
      <c r="M105" s="9"/>
      <c r="N105" s="9"/>
      <c r="O105" s="9"/>
      <c r="P105" s="9"/>
      <c r="Q105" s="9"/>
      <c r="R105" s="9">
        <v>0</v>
      </c>
      <c r="S105" s="9"/>
      <c r="T105" s="9"/>
      <c r="U105" s="9">
        <f t="shared" si="29"/>
        <v>0</v>
      </c>
      <c r="V105" s="11"/>
      <c r="W105" s="5">
        <f t="shared" si="24"/>
        <v>0</v>
      </c>
      <c r="X105" s="18"/>
      <c r="Y105" s="1" t="e">
        <f t="shared" si="22"/>
        <v>#DIV/0!</v>
      </c>
      <c r="Z105" s="9" t="e">
        <f t="shared" si="30"/>
        <v>#DIV/0!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 t="s">
        <v>46</v>
      </c>
      <c r="AL105" s="1">
        <f t="shared" si="23"/>
        <v>0</v>
      </c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150</v>
      </c>
      <c r="B106" s="1" t="s">
        <v>45</v>
      </c>
      <c r="C106" s="1">
        <v>2</v>
      </c>
      <c r="D106" s="1">
        <v>386</v>
      </c>
      <c r="E106" s="1">
        <v>183</v>
      </c>
      <c r="F106" s="1">
        <v>121</v>
      </c>
      <c r="G106" s="7">
        <v>7.0000000000000007E-2</v>
      </c>
      <c r="H106" s="1">
        <v>90</v>
      </c>
      <c r="I106" s="1" t="s">
        <v>41</v>
      </c>
      <c r="J106" s="1"/>
      <c r="K106" s="1">
        <v>195</v>
      </c>
      <c r="L106" s="1">
        <f t="shared" si="28"/>
        <v>-12</v>
      </c>
      <c r="M106" s="1"/>
      <c r="N106" s="1"/>
      <c r="O106" s="1"/>
      <c r="P106" s="1"/>
      <c r="Q106" s="1"/>
      <c r="R106" s="1"/>
      <c r="S106" s="1"/>
      <c r="T106" s="1"/>
      <c r="U106" s="1">
        <f t="shared" si="29"/>
        <v>36.6</v>
      </c>
      <c r="V106" s="5">
        <f>10*U106-T106-S106-R106-Q106-P106-O106-F106</f>
        <v>245</v>
      </c>
      <c r="W106" s="5">
        <f t="shared" si="24"/>
        <v>245</v>
      </c>
      <c r="X106" s="17"/>
      <c r="Y106" s="1">
        <f t="shared" si="22"/>
        <v>10</v>
      </c>
      <c r="Z106" s="1">
        <f t="shared" si="30"/>
        <v>3.3060109289617485</v>
      </c>
      <c r="AA106" s="1">
        <v>20</v>
      </c>
      <c r="AB106" s="1">
        <v>18.399999999999999</v>
      </c>
      <c r="AC106" s="1">
        <v>31.6</v>
      </c>
      <c r="AD106" s="1">
        <v>34.799999999999997</v>
      </c>
      <c r="AE106" s="1">
        <v>37.4</v>
      </c>
      <c r="AF106" s="1">
        <v>44.8</v>
      </c>
      <c r="AG106" s="1">
        <v>41</v>
      </c>
      <c r="AH106" s="1">
        <v>36.200000000000003</v>
      </c>
      <c r="AI106" s="1">
        <v>28.2</v>
      </c>
      <c r="AJ106" s="1">
        <v>16.600000000000001</v>
      </c>
      <c r="AK106" s="1"/>
      <c r="AL106" s="1">
        <f t="shared" si="23"/>
        <v>17</v>
      </c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151</v>
      </c>
      <c r="B107" s="1" t="s">
        <v>45</v>
      </c>
      <c r="C107" s="1">
        <v>96</v>
      </c>
      <c r="D107" s="1">
        <v>275</v>
      </c>
      <c r="E107" s="1">
        <v>129</v>
      </c>
      <c r="F107" s="1">
        <v>183</v>
      </c>
      <c r="G107" s="7">
        <v>7.0000000000000007E-2</v>
      </c>
      <c r="H107" s="1">
        <v>90</v>
      </c>
      <c r="I107" s="1" t="s">
        <v>41</v>
      </c>
      <c r="J107" s="1"/>
      <c r="K107" s="1">
        <v>136</v>
      </c>
      <c r="L107" s="1">
        <f t="shared" si="28"/>
        <v>-7</v>
      </c>
      <c r="M107" s="1"/>
      <c r="N107" s="1"/>
      <c r="O107" s="1"/>
      <c r="P107" s="1"/>
      <c r="Q107" s="1"/>
      <c r="R107" s="1">
        <v>42.787999999999982</v>
      </c>
      <c r="S107" s="1"/>
      <c r="T107" s="1"/>
      <c r="U107" s="1">
        <f t="shared" si="29"/>
        <v>25.8</v>
      </c>
      <c r="V107" s="5">
        <f t="shared" ref="V107" si="32">12*U107-T107-S107-R107-Q107-P107-O107-F107</f>
        <v>83.812000000000012</v>
      </c>
      <c r="W107" s="5">
        <f t="shared" si="24"/>
        <v>83.812000000000012</v>
      </c>
      <c r="X107" s="17"/>
      <c r="Y107" s="1">
        <f t="shared" si="22"/>
        <v>12</v>
      </c>
      <c r="Z107" s="1">
        <f t="shared" si="30"/>
        <v>8.7514728682170535</v>
      </c>
      <c r="AA107" s="1">
        <v>27.4</v>
      </c>
      <c r="AB107" s="1">
        <v>26.6</v>
      </c>
      <c r="AC107" s="1">
        <v>23.6</v>
      </c>
      <c r="AD107" s="1">
        <v>23.2</v>
      </c>
      <c r="AE107" s="1">
        <v>24.4</v>
      </c>
      <c r="AF107" s="1">
        <v>26.8</v>
      </c>
      <c r="AG107" s="1">
        <v>27</v>
      </c>
      <c r="AH107" s="1">
        <v>26.4</v>
      </c>
      <c r="AI107" s="1">
        <v>25.4</v>
      </c>
      <c r="AJ107" s="1">
        <v>19.399999999999999</v>
      </c>
      <c r="AK107" s="1"/>
      <c r="AL107" s="1">
        <f t="shared" si="23"/>
        <v>6</v>
      </c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9" t="s">
        <v>152</v>
      </c>
      <c r="B108" s="9" t="s">
        <v>45</v>
      </c>
      <c r="C108" s="9">
        <v>107</v>
      </c>
      <c r="D108" s="9">
        <v>77</v>
      </c>
      <c r="E108" s="9">
        <v>91</v>
      </c>
      <c r="F108" s="9">
        <v>68</v>
      </c>
      <c r="G108" s="10">
        <v>0</v>
      </c>
      <c r="H108" s="9">
        <v>90</v>
      </c>
      <c r="I108" s="9" t="s">
        <v>51</v>
      </c>
      <c r="J108" s="9"/>
      <c r="K108" s="9">
        <v>97</v>
      </c>
      <c r="L108" s="9">
        <f t="shared" si="28"/>
        <v>-6</v>
      </c>
      <c r="M108" s="9"/>
      <c r="N108" s="9"/>
      <c r="O108" s="9"/>
      <c r="P108" s="9"/>
      <c r="Q108" s="9"/>
      <c r="R108" s="9">
        <v>0</v>
      </c>
      <c r="S108" s="9"/>
      <c r="T108" s="9"/>
      <c r="U108" s="9">
        <f t="shared" si="29"/>
        <v>18.2</v>
      </c>
      <c r="V108" s="11"/>
      <c r="W108" s="5">
        <f t="shared" si="24"/>
        <v>0</v>
      </c>
      <c r="X108" s="18"/>
      <c r="Y108" s="1">
        <f t="shared" si="22"/>
        <v>3.7362637362637363</v>
      </c>
      <c r="Z108" s="9">
        <f t="shared" si="30"/>
        <v>3.7362637362637363</v>
      </c>
      <c r="AA108" s="9">
        <v>13.4</v>
      </c>
      <c r="AB108" s="9">
        <v>16.8</v>
      </c>
      <c r="AC108" s="9">
        <v>20</v>
      </c>
      <c r="AD108" s="9">
        <v>19.2</v>
      </c>
      <c r="AE108" s="9">
        <v>18.399999999999999</v>
      </c>
      <c r="AF108" s="9">
        <v>18.2</v>
      </c>
      <c r="AG108" s="9">
        <v>16.8</v>
      </c>
      <c r="AH108" s="9">
        <v>18.600000000000001</v>
      </c>
      <c r="AI108" s="9">
        <v>20.2</v>
      </c>
      <c r="AJ108" s="9">
        <v>18.600000000000001</v>
      </c>
      <c r="AK108" s="9"/>
      <c r="AL108" s="1">
        <f t="shared" si="23"/>
        <v>0</v>
      </c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9" t="s">
        <v>153</v>
      </c>
      <c r="B109" s="9" t="s">
        <v>45</v>
      </c>
      <c r="C109" s="9">
        <v>-1</v>
      </c>
      <c r="D109" s="9">
        <v>1</v>
      </c>
      <c r="E109" s="9">
        <v>-3</v>
      </c>
      <c r="F109" s="9"/>
      <c r="G109" s="10">
        <v>0</v>
      </c>
      <c r="H109" s="9"/>
      <c r="I109" s="9" t="s">
        <v>51</v>
      </c>
      <c r="J109" s="9"/>
      <c r="K109" s="9">
        <v>10</v>
      </c>
      <c r="L109" s="9">
        <f t="shared" si="28"/>
        <v>-13</v>
      </c>
      <c r="M109" s="9"/>
      <c r="N109" s="9"/>
      <c r="O109" s="9"/>
      <c r="P109" s="9"/>
      <c r="Q109" s="9"/>
      <c r="R109" s="9">
        <v>0</v>
      </c>
      <c r="S109" s="9"/>
      <c r="T109" s="9"/>
      <c r="U109" s="9">
        <f t="shared" si="29"/>
        <v>-0.6</v>
      </c>
      <c r="V109" s="11"/>
      <c r="W109" s="5">
        <f t="shared" si="24"/>
        <v>0</v>
      </c>
      <c r="X109" s="18"/>
      <c r="Y109" s="1">
        <f t="shared" si="22"/>
        <v>0</v>
      </c>
      <c r="Z109" s="9">
        <f t="shared" si="30"/>
        <v>0</v>
      </c>
      <c r="AA109" s="9">
        <v>-0.4</v>
      </c>
      <c r="AB109" s="9">
        <v>0</v>
      </c>
      <c r="AC109" s="9">
        <v>-0.4</v>
      </c>
      <c r="AD109" s="9">
        <v>-0.4</v>
      </c>
      <c r="AE109" s="9">
        <v>0</v>
      </c>
      <c r="AF109" s="9">
        <v>-0.2</v>
      </c>
      <c r="AG109" s="9">
        <v>-0.2</v>
      </c>
      <c r="AH109" s="9">
        <v>3.2</v>
      </c>
      <c r="AI109" s="9">
        <v>9</v>
      </c>
      <c r="AJ109" s="9">
        <v>15.8</v>
      </c>
      <c r="AK109" s="9"/>
      <c r="AL109" s="1">
        <f t="shared" si="23"/>
        <v>0</v>
      </c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9" t="s">
        <v>154</v>
      </c>
      <c r="B110" s="9" t="s">
        <v>45</v>
      </c>
      <c r="C110" s="9">
        <v>4</v>
      </c>
      <c r="D110" s="9"/>
      <c r="E110" s="9">
        <v>-3</v>
      </c>
      <c r="F110" s="9"/>
      <c r="G110" s="10">
        <v>0</v>
      </c>
      <c r="H110" s="9"/>
      <c r="I110" s="9" t="s">
        <v>51</v>
      </c>
      <c r="J110" s="9"/>
      <c r="K110" s="9">
        <v>38</v>
      </c>
      <c r="L110" s="9">
        <f t="shared" si="28"/>
        <v>-41</v>
      </c>
      <c r="M110" s="9"/>
      <c r="N110" s="9"/>
      <c r="O110" s="9"/>
      <c r="P110" s="9"/>
      <c r="Q110" s="9"/>
      <c r="R110" s="9">
        <v>0</v>
      </c>
      <c r="S110" s="9"/>
      <c r="T110" s="9"/>
      <c r="U110" s="9">
        <f t="shared" si="29"/>
        <v>-0.6</v>
      </c>
      <c r="V110" s="11"/>
      <c r="W110" s="5">
        <f t="shared" si="24"/>
        <v>0</v>
      </c>
      <c r="X110" s="18"/>
      <c r="Y110" s="1">
        <f t="shared" si="22"/>
        <v>0</v>
      </c>
      <c r="Z110" s="9">
        <f t="shared" si="30"/>
        <v>0</v>
      </c>
      <c r="AA110" s="9">
        <v>-0.4</v>
      </c>
      <c r="AB110" s="9">
        <v>0.2</v>
      </c>
      <c r="AC110" s="9">
        <v>2</v>
      </c>
      <c r="AD110" s="9">
        <v>9.8000000000000007</v>
      </c>
      <c r="AE110" s="9">
        <v>14</v>
      </c>
      <c r="AF110" s="9">
        <v>12.4</v>
      </c>
      <c r="AG110" s="9">
        <v>11.8</v>
      </c>
      <c r="AH110" s="9">
        <v>13.8</v>
      </c>
      <c r="AI110" s="9">
        <v>13.2</v>
      </c>
      <c r="AJ110" s="9">
        <v>8.4</v>
      </c>
      <c r="AK110" s="9"/>
      <c r="AL110" s="1">
        <f t="shared" si="23"/>
        <v>0</v>
      </c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9" t="s">
        <v>155</v>
      </c>
      <c r="B111" s="9" t="s">
        <v>45</v>
      </c>
      <c r="C111" s="9">
        <v>29</v>
      </c>
      <c r="D111" s="9"/>
      <c r="E111" s="9">
        <v>2</v>
      </c>
      <c r="F111" s="9"/>
      <c r="G111" s="10">
        <v>0</v>
      </c>
      <c r="H111" s="9">
        <v>60</v>
      </c>
      <c r="I111" s="9" t="s">
        <v>51</v>
      </c>
      <c r="J111" s="9"/>
      <c r="K111" s="9">
        <v>2</v>
      </c>
      <c r="L111" s="9">
        <f t="shared" si="28"/>
        <v>0</v>
      </c>
      <c r="M111" s="9"/>
      <c r="N111" s="9"/>
      <c r="O111" s="9"/>
      <c r="P111" s="9"/>
      <c r="Q111" s="9"/>
      <c r="R111" s="9">
        <v>0</v>
      </c>
      <c r="S111" s="9"/>
      <c r="T111" s="9"/>
      <c r="U111" s="9">
        <f t="shared" si="29"/>
        <v>0.4</v>
      </c>
      <c r="V111" s="11"/>
      <c r="W111" s="5">
        <f t="shared" si="24"/>
        <v>0</v>
      </c>
      <c r="X111" s="18"/>
      <c r="Y111" s="1">
        <f t="shared" si="22"/>
        <v>0</v>
      </c>
      <c r="Z111" s="9">
        <f t="shared" si="30"/>
        <v>0</v>
      </c>
      <c r="AA111" s="9">
        <v>0.6</v>
      </c>
      <c r="AB111" s="9">
        <v>0.4</v>
      </c>
      <c r="AC111" s="9">
        <v>0.2</v>
      </c>
      <c r="AD111" s="9">
        <v>1</v>
      </c>
      <c r="AE111" s="9">
        <v>1</v>
      </c>
      <c r="AF111" s="9">
        <v>0.6</v>
      </c>
      <c r="AG111" s="9">
        <v>0.8</v>
      </c>
      <c r="AH111" s="9">
        <v>0.8</v>
      </c>
      <c r="AI111" s="9">
        <v>2</v>
      </c>
      <c r="AJ111" s="9">
        <v>2</v>
      </c>
      <c r="AK111" s="9"/>
      <c r="AL111" s="1">
        <f t="shared" si="23"/>
        <v>0</v>
      </c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156</v>
      </c>
      <c r="B112" s="1" t="s">
        <v>45</v>
      </c>
      <c r="C112" s="1">
        <v>62</v>
      </c>
      <c r="D112" s="1">
        <v>220</v>
      </c>
      <c r="E112" s="1">
        <v>176</v>
      </c>
      <c r="F112" s="1">
        <v>1</v>
      </c>
      <c r="G112" s="7">
        <v>0.3</v>
      </c>
      <c r="H112" s="1">
        <v>40</v>
      </c>
      <c r="I112" s="1" t="s">
        <v>41</v>
      </c>
      <c r="J112" s="1"/>
      <c r="K112" s="1">
        <v>212</v>
      </c>
      <c r="L112" s="1">
        <f t="shared" si="28"/>
        <v>-36</v>
      </c>
      <c r="M112" s="1"/>
      <c r="N112" s="1"/>
      <c r="O112" s="1">
        <v>101.44</v>
      </c>
      <c r="P112" s="1">
        <v>-102</v>
      </c>
      <c r="Q112" s="1"/>
      <c r="R112" s="1">
        <v>142.56</v>
      </c>
      <c r="S112" s="1"/>
      <c r="T112" s="1"/>
      <c r="U112" s="1">
        <f t="shared" si="29"/>
        <v>35.200000000000003</v>
      </c>
      <c r="V112" s="5">
        <f t="shared" ref="V112" si="33">12*U112-T112-S112-R112-Q112-P112-O112-F112</f>
        <v>279.40000000000003</v>
      </c>
      <c r="W112" s="5">
        <f t="shared" si="24"/>
        <v>279.40000000000003</v>
      </c>
      <c r="X112" s="17"/>
      <c r="Y112" s="1">
        <f t="shared" si="22"/>
        <v>12</v>
      </c>
      <c r="Z112" s="1">
        <f t="shared" si="30"/>
        <v>4.0625</v>
      </c>
      <c r="AA112" s="1">
        <v>41.4</v>
      </c>
      <c r="AB112" s="1">
        <v>45.4</v>
      </c>
      <c r="AC112" s="1">
        <v>42</v>
      </c>
      <c r="AD112" s="1">
        <v>32.799999999999997</v>
      </c>
      <c r="AE112" s="1">
        <v>34.200000000000003</v>
      </c>
      <c r="AF112" s="1">
        <v>48.4</v>
      </c>
      <c r="AG112" s="1">
        <v>53.4</v>
      </c>
      <c r="AH112" s="1">
        <v>14.4</v>
      </c>
      <c r="AI112" s="1">
        <v>11.4</v>
      </c>
      <c r="AJ112" s="1">
        <v>33.4</v>
      </c>
      <c r="AK112" s="1"/>
      <c r="AL112" s="1">
        <f t="shared" si="23"/>
        <v>84</v>
      </c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157</v>
      </c>
      <c r="B113" s="1" t="s">
        <v>40</v>
      </c>
      <c r="C113" s="1">
        <v>110.498</v>
      </c>
      <c r="D113" s="1">
        <v>236.49700000000001</v>
      </c>
      <c r="E113" s="1">
        <v>84.224999999999994</v>
      </c>
      <c r="F113" s="1">
        <v>226.89500000000001</v>
      </c>
      <c r="G113" s="7">
        <v>1</v>
      </c>
      <c r="H113" s="1">
        <v>55</v>
      </c>
      <c r="I113" s="1" t="s">
        <v>41</v>
      </c>
      <c r="J113" s="1"/>
      <c r="K113" s="1">
        <v>74.900000000000006</v>
      </c>
      <c r="L113" s="1">
        <f t="shared" si="28"/>
        <v>9.3249999999999886</v>
      </c>
      <c r="M113" s="1"/>
      <c r="N113" s="1"/>
      <c r="O113" s="1"/>
      <c r="P113" s="1"/>
      <c r="Q113" s="1"/>
      <c r="R113" s="1"/>
      <c r="S113" s="1"/>
      <c r="T113" s="1"/>
      <c r="U113" s="1">
        <f t="shared" si="29"/>
        <v>16.844999999999999</v>
      </c>
      <c r="V113" s="5"/>
      <c r="W113" s="5">
        <f t="shared" si="24"/>
        <v>0</v>
      </c>
      <c r="X113" s="17"/>
      <c r="Y113" s="1">
        <f t="shared" si="22"/>
        <v>13.469575541703771</v>
      </c>
      <c r="Z113" s="1">
        <f t="shared" si="30"/>
        <v>13.469575541703771</v>
      </c>
      <c r="AA113" s="1">
        <v>18.491800000000001</v>
      </c>
      <c r="AB113" s="1">
        <v>20.605</v>
      </c>
      <c r="AC113" s="1">
        <v>20.893799999999999</v>
      </c>
      <c r="AD113" s="1">
        <v>18.738800000000001</v>
      </c>
      <c r="AE113" s="1">
        <v>20.331600000000002</v>
      </c>
      <c r="AF113" s="1">
        <v>17.024799999999999</v>
      </c>
      <c r="AG113" s="1">
        <v>19.844799999999999</v>
      </c>
      <c r="AH113" s="1">
        <v>21.769400000000001</v>
      </c>
      <c r="AI113" s="1">
        <v>15.845800000000001</v>
      </c>
      <c r="AJ113" s="1">
        <v>21.074000000000002</v>
      </c>
      <c r="AK113" s="1"/>
      <c r="AL113" s="1">
        <f t="shared" si="23"/>
        <v>0</v>
      </c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9" t="s">
        <v>158</v>
      </c>
      <c r="B114" s="9" t="s">
        <v>45</v>
      </c>
      <c r="C114" s="9"/>
      <c r="D114" s="9"/>
      <c r="E114" s="9"/>
      <c r="F114" s="9"/>
      <c r="G114" s="10">
        <v>0</v>
      </c>
      <c r="H114" s="9"/>
      <c r="I114" s="9" t="s">
        <v>41</v>
      </c>
      <c r="J114" s="9"/>
      <c r="K114" s="9">
        <v>6</v>
      </c>
      <c r="L114" s="9">
        <f t="shared" si="28"/>
        <v>-6</v>
      </c>
      <c r="M114" s="9"/>
      <c r="N114" s="9"/>
      <c r="O114" s="9"/>
      <c r="P114" s="9"/>
      <c r="Q114" s="9"/>
      <c r="R114" s="9">
        <v>0</v>
      </c>
      <c r="S114" s="9"/>
      <c r="T114" s="9"/>
      <c r="U114" s="9">
        <f t="shared" si="29"/>
        <v>0</v>
      </c>
      <c r="V114" s="11"/>
      <c r="W114" s="5">
        <f t="shared" si="24"/>
        <v>0</v>
      </c>
      <c r="X114" s="18"/>
      <c r="Y114" s="1" t="e">
        <f t="shared" si="22"/>
        <v>#DIV/0!</v>
      </c>
      <c r="Z114" s="9" t="e">
        <f t="shared" si="30"/>
        <v>#DIV/0!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 t="s">
        <v>46</v>
      </c>
      <c r="AL114" s="1">
        <f t="shared" si="23"/>
        <v>0</v>
      </c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159</v>
      </c>
      <c r="B115" s="1" t="s">
        <v>45</v>
      </c>
      <c r="C115" s="1">
        <v>13</v>
      </c>
      <c r="D115" s="1">
        <v>19</v>
      </c>
      <c r="E115" s="1">
        <v>1</v>
      </c>
      <c r="F115" s="1">
        <v>17</v>
      </c>
      <c r="G115" s="7">
        <v>0.1</v>
      </c>
      <c r="H115" s="1">
        <v>30</v>
      </c>
      <c r="I115" s="1" t="s">
        <v>41</v>
      </c>
      <c r="J115" s="1"/>
      <c r="K115" s="1">
        <v>11</v>
      </c>
      <c r="L115" s="1">
        <f t="shared" si="28"/>
        <v>-10</v>
      </c>
      <c r="M115" s="1"/>
      <c r="N115" s="1"/>
      <c r="O115" s="1"/>
      <c r="P115" s="1"/>
      <c r="Q115" s="1"/>
      <c r="R115" s="1"/>
      <c r="S115" s="1"/>
      <c r="T115" s="1"/>
      <c r="U115" s="1">
        <f t="shared" si="29"/>
        <v>0.2</v>
      </c>
      <c r="V115" s="5"/>
      <c r="W115" s="5">
        <f t="shared" si="24"/>
        <v>0</v>
      </c>
      <c r="X115" s="17"/>
      <c r="Y115" s="1">
        <f t="shared" si="22"/>
        <v>85</v>
      </c>
      <c r="Z115" s="1">
        <f t="shared" si="30"/>
        <v>85</v>
      </c>
      <c r="AA115" s="1">
        <v>1.6</v>
      </c>
      <c r="AB115" s="1">
        <v>1.8</v>
      </c>
      <c r="AC115" s="1">
        <v>2</v>
      </c>
      <c r="AD115" s="1">
        <v>1.4</v>
      </c>
      <c r="AE115" s="1">
        <v>1.6</v>
      </c>
      <c r="AF115" s="1">
        <v>1.4</v>
      </c>
      <c r="AG115" s="1">
        <v>1.4</v>
      </c>
      <c r="AH115" s="1">
        <v>2.2000000000000002</v>
      </c>
      <c r="AI115" s="1">
        <v>3.2</v>
      </c>
      <c r="AJ115" s="1">
        <v>1.8</v>
      </c>
      <c r="AK115" s="1"/>
      <c r="AL115" s="1">
        <f t="shared" si="23"/>
        <v>0</v>
      </c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160</v>
      </c>
      <c r="B116" s="1" t="s">
        <v>45</v>
      </c>
      <c r="C116" s="1">
        <v>296</v>
      </c>
      <c r="D116" s="1">
        <v>340</v>
      </c>
      <c r="E116" s="1">
        <v>194</v>
      </c>
      <c r="F116" s="1">
        <v>328</v>
      </c>
      <c r="G116" s="7">
        <v>0.08</v>
      </c>
      <c r="H116" s="1">
        <v>45</v>
      </c>
      <c r="I116" s="1" t="s">
        <v>41</v>
      </c>
      <c r="J116" s="1"/>
      <c r="K116" s="1">
        <v>203</v>
      </c>
      <c r="L116" s="1">
        <f t="shared" si="28"/>
        <v>-9</v>
      </c>
      <c r="M116" s="1"/>
      <c r="N116" s="1"/>
      <c r="O116" s="1"/>
      <c r="P116" s="1"/>
      <c r="Q116" s="1"/>
      <c r="R116" s="1">
        <v>10.932000000000039</v>
      </c>
      <c r="S116" s="1"/>
      <c r="T116" s="1"/>
      <c r="U116" s="1">
        <f t="shared" si="29"/>
        <v>38.799999999999997</v>
      </c>
      <c r="V116" s="5">
        <f t="shared" ref="V116:V120" si="34">12*U116-T116-S116-R116-Q116-P116-O116-F116</f>
        <v>126.66799999999995</v>
      </c>
      <c r="W116" s="5">
        <f t="shared" si="24"/>
        <v>126.66799999999995</v>
      </c>
      <c r="X116" s="17"/>
      <c r="Y116" s="1">
        <f t="shared" si="22"/>
        <v>12</v>
      </c>
      <c r="Z116" s="1">
        <f t="shared" si="30"/>
        <v>8.7353608247422692</v>
      </c>
      <c r="AA116" s="1">
        <v>42.2</v>
      </c>
      <c r="AB116" s="1">
        <v>43.2</v>
      </c>
      <c r="AC116" s="1">
        <v>37.6</v>
      </c>
      <c r="AD116" s="1">
        <v>41.6</v>
      </c>
      <c r="AE116" s="1">
        <v>50.8</v>
      </c>
      <c r="AF116" s="1">
        <v>54</v>
      </c>
      <c r="AG116" s="1">
        <v>50</v>
      </c>
      <c r="AH116" s="1">
        <v>41.4</v>
      </c>
      <c r="AI116" s="1">
        <v>40.6</v>
      </c>
      <c r="AJ116" s="1">
        <v>39.6</v>
      </c>
      <c r="AK116" s="1"/>
      <c r="AL116" s="1">
        <f t="shared" si="23"/>
        <v>10</v>
      </c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161</v>
      </c>
      <c r="B117" s="1" t="s">
        <v>45</v>
      </c>
      <c r="C117" s="1">
        <v>48</v>
      </c>
      <c r="D117" s="1">
        <v>354</v>
      </c>
      <c r="E117" s="1">
        <v>145</v>
      </c>
      <c r="F117" s="1">
        <v>200</v>
      </c>
      <c r="G117" s="7">
        <v>0.08</v>
      </c>
      <c r="H117" s="1">
        <v>45</v>
      </c>
      <c r="I117" s="1" t="s">
        <v>41</v>
      </c>
      <c r="J117" s="1"/>
      <c r="K117" s="1">
        <v>148</v>
      </c>
      <c r="L117" s="1">
        <f t="shared" si="28"/>
        <v>-3</v>
      </c>
      <c r="M117" s="1"/>
      <c r="N117" s="1"/>
      <c r="O117" s="1"/>
      <c r="P117" s="1"/>
      <c r="Q117" s="1"/>
      <c r="R117" s="1"/>
      <c r="S117" s="1"/>
      <c r="T117" s="1"/>
      <c r="U117" s="1">
        <f t="shared" si="29"/>
        <v>29</v>
      </c>
      <c r="V117" s="5">
        <f t="shared" si="34"/>
        <v>148</v>
      </c>
      <c r="W117" s="5">
        <f t="shared" si="24"/>
        <v>148</v>
      </c>
      <c r="X117" s="17"/>
      <c r="Y117" s="1">
        <f t="shared" si="22"/>
        <v>12</v>
      </c>
      <c r="Z117" s="1">
        <f t="shared" si="30"/>
        <v>6.8965517241379306</v>
      </c>
      <c r="AA117" s="1">
        <v>23</v>
      </c>
      <c r="AB117" s="1">
        <v>33.200000000000003</v>
      </c>
      <c r="AC117" s="1">
        <v>35</v>
      </c>
      <c r="AD117" s="1">
        <v>35.6</v>
      </c>
      <c r="AE117" s="1">
        <v>38.6</v>
      </c>
      <c r="AF117" s="1">
        <v>40.6</v>
      </c>
      <c r="AG117" s="1">
        <v>35.200000000000003</v>
      </c>
      <c r="AH117" s="1">
        <v>30.6</v>
      </c>
      <c r="AI117" s="1">
        <v>23.8</v>
      </c>
      <c r="AJ117" s="1">
        <v>11.2</v>
      </c>
      <c r="AK117" s="1"/>
      <c r="AL117" s="1">
        <f t="shared" si="23"/>
        <v>12</v>
      </c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162</v>
      </c>
      <c r="B118" s="1" t="s">
        <v>45</v>
      </c>
      <c r="C118" s="1">
        <v>15</v>
      </c>
      <c r="D118" s="1">
        <v>12</v>
      </c>
      <c r="E118" s="1">
        <v>8</v>
      </c>
      <c r="F118" s="1">
        <v>16</v>
      </c>
      <c r="G118" s="7">
        <v>0.17</v>
      </c>
      <c r="H118" s="1">
        <v>30</v>
      </c>
      <c r="I118" s="1" t="s">
        <v>41</v>
      </c>
      <c r="J118" s="1"/>
      <c r="K118" s="1">
        <v>9</v>
      </c>
      <c r="L118" s="1">
        <f t="shared" si="28"/>
        <v>-1</v>
      </c>
      <c r="M118" s="1"/>
      <c r="N118" s="1"/>
      <c r="O118" s="1"/>
      <c r="P118" s="1"/>
      <c r="Q118" s="1"/>
      <c r="R118" s="1"/>
      <c r="S118" s="1"/>
      <c r="T118" s="1"/>
      <c r="U118" s="1">
        <f t="shared" si="29"/>
        <v>1.6</v>
      </c>
      <c r="V118" s="5"/>
      <c r="W118" s="5">
        <f t="shared" si="24"/>
        <v>0</v>
      </c>
      <c r="X118" s="17"/>
      <c r="Y118" s="1">
        <f t="shared" si="22"/>
        <v>10</v>
      </c>
      <c r="Z118" s="1">
        <f t="shared" si="30"/>
        <v>10</v>
      </c>
      <c r="AA118" s="1">
        <v>0.4</v>
      </c>
      <c r="AB118" s="1">
        <v>0.4</v>
      </c>
      <c r="AC118" s="1">
        <v>1.8</v>
      </c>
      <c r="AD118" s="1">
        <v>1.4</v>
      </c>
      <c r="AE118" s="1">
        <v>0.6</v>
      </c>
      <c r="AF118" s="1">
        <v>0.2</v>
      </c>
      <c r="AG118" s="1">
        <v>1</v>
      </c>
      <c r="AH118" s="1">
        <v>2</v>
      </c>
      <c r="AI118" s="1">
        <v>3</v>
      </c>
      <c r="AJ118" s="1">
        <v>1.6</v>
      </c>
      <c r="AK118" s="16" t="s">
        <v>189</v>
      </c>
      <c r="AL118" s="1">
        <f t="shared" si="23"/>
        <v>0</v>
      </c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163</v>
      </c>
      <c r="B119" s="1" t="s">
        <v>40</v>
      </c>
      <c r="C119" s="1">
        <v>227.09899999999999</v>
      </c>
      <c r="D119" s="1">
        <v>1051.317</v>
      </c>
      <c r="E119" s="1">
        <v>416.798</v>
      </c>
      <c r="F119" s="1">
        <v>657.40700000000004</v>
      </c>
      <c r="G119" s="7">
        <v>1</v>
      </c>
      <c r="H119" s="1">
        <v>40</v>
      </c>
      <c r="I119" s="1" t="s">
        <v>41</v>
      </c>
      <c r="J119" s="1"/>
      <c r="K119" s="1">
        <v>428.05</v>
      </c>
      <c r="L119" s="1">
        <f t="shared" si="28"/>
        <v>-11.25200000000001</v>
      </c>
      <c r="M119" s="1"/>
      <c r="N119" s="1"/>
      <c r="O119" s="1"/>
      <c r="P119" s="1"/>
      <c r="Q119" s="1"/>
      <c r="R119" s="1">
        <v>74.830006000000367</v>
      </c>
      <c r="S119" s="1"/>
      <c r="T119" s="1"/>
      <c r="U119" s="1">
        <f t="shared" si="29"/>
        <v>83.3596</v>
      </c>
      <c r="V119" s="5">
        <f t="shared" si="34"/>
        <v>268.0781939999996</v>
      </c>
      <c r="W119" s="5">
        <f t="shared" ref="W119:W120" si="35">V119+$W$1*U119</f>
        <v>440.21576799999957</v>
      </c>
      <c r="X119" s="17"/>
      <c r="Y119" s="1">
        <f t="shared" si="22"/>
        <v>14.064999999999998</v>
      </c>
      <c r="Z119" s="1">
        <f t="shared" si="30"/>
        <v>8.7840753314555293</v>
      </c>
      <c r="AA119" s="1">
        <v>84.740200000000002</v>
      </c>
      <c r="AB119" s="1">
        <v>85.5518</v>
      </c>
      <c r="AC119" s="1">
        <v>88.798400000000001</v>
      </c>
      <c r="AD119" s="1">
        <v>81.619799999999998</v>
      </c>
      <c r="AE119" s="1">
        <v>70.697800000000001</v>
      </c>
      <c r="AF119" s="1">
        <v>58.890599999999992</v>
      </c>
      <c r="AG119" s="1">
        <v>61.716999999999999</v>
      </c>
      <c r="AH119" s="1">
        <v>68.288199999999989</v>
      </c>
      <c r="AI119" s="1">
        <v>71.225800000000007</v>
      </c>
      <c r="AJ119" s="1">
        <v>70.763800000000003</v>
      </c>
      <c r="AK119" s="1"/>
      <c r="AL119" s="1">
        <f t="shared" si="23"/>
        <v>440</v>
      </c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164</v>
      </c>
      <c r="B120" s="1" t="s">
        <v>40</v>
      </c>
      <c r="C120" s="1">
        <v>124.782</v>
      </c>
      <c r="D120" s="1">
        <v>749.13099999999997</v>
      </c>
      <c r="E120" s="1">
        <v>333.31799999999998</v>
      </c>
      <c r="F120" s="1">
        <v>412.11099999999999</v>
      </c>
      <c r="G120" s="7">
        <v>1</v>
      </c>
      <c r="H120" s="1">
        <v>40</v>
      </c>
      <c r="I120" s="1" t="s">
        <v>41</v>
      </c>
      <c r="J120" s="1"/>
      <c r="K120" s="1">
        <v>328.4</v>
      </c>
      <c r="L120" s="1">
        <f t="shared" si="28"/>
        <v>4.9180000000000064</v>
      </c>
      <c r="M120" s="1"/>
      <c r="N120" s="1"/>
      <c r="O120" s="1">
        <v>119.3610199999999</v>
      </c>
      <c r="P120" s="1"/>
      <c r="Q120" s="1"/>
      <c r="R120" s="1">
        <v>25.620480000000089</v>
      </c>
      <c r="S120" s="1"/>
      <c r="T120" s="1"/>
      <c r="U120" s="1">
        <f t="shared" si="29"/>
        <v>66.663600000000002</v>
      </c>
      <c r="V120" s="5">
        <f t="shared" si="34"/>
        <v>242.87070000000006</v>
      </c>
      <c r="W120" s="5">
        <f t="shared" si="35"/>
        <v>380.53103400000009</v>
      </c>
      <c r="X120" s="17"/>
      <c r="Y120" s="1">
        <f t="shared" si="22"/>
        <v>14.065000000000001</v>
      </c>
      <c r="Z120" s="1">
        <f t="shared" si="30"/>
        <v>8.3567719115079289</v>
      </c>
      <c r="AA120" s="1">
        <v>64.051199999999994</v>
      </c>
      <c r="AB120" s="1">
        <v>58.3504</v>
      </c>
      <c r="AC120" s="1">
        <v>61.6798</v>
      </c>
      <c r="AD120" s="1">
        <v>49.1038</v>
      </c>
      <c r="AE120" s="1">
        <v>43.895600000000002</v>
      </c>
      <c r="AF120" s="1">
        <v>38.950400000000002</v>
      </c>
      <c r="AG120" s="1">
        <v>37.585000000000001</v>
      </c>
      <c r="AH120" s="1">
        <v>40.150599999999997</v>
      </c>
      <c r="AI120" s="1">
        <v>43.5214</v>
      </c>
      <c r="AJ120" s="1">
        <v>32.672199999999997</v>
      </c>
      <c r="AK120" s="1"/>
      <c r="AL120" s="1">
        <f t="shared" si="23"/>
        <v>381</v>
      </c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107</v>
      </c>
      <c r="B121" s="1" t="s">
        <v>40</v>
      </c>
      <c r="C121" s="1">
        <v>154.18899999999999</v>
      </c>
      <c r="D121" s="1">
        <v>1938.249</v>
      </c>
      <c r="E121" s="1">
        <v>380.22</v>
      </c>
      <c r="F121" s="13">
        <f>694.687+F63</f>
        <v>795.23</v>
      </c>
      <c r="G121" s="7">
        <v>1</v>
      </c>
      <c r="H121" s="1">
        <v>40</v>
      </c>
      <c r="I121" s="1" t="s">
        <v>41</v>
      </c>
      <c r="J121" s="1"/>
      <c r="K121" s="1">
        <v>392.1</v>
      </c>
      <c r="L121" s="1">
        <f t="shared" si="28"/>
        <v>-11.879999999999995</v>
      </c>
      <c r="M121" s="1"/>
      <c r="N121" s="1"/>
      <c r="O121" s="1">
        <v>342.96844599999991</v>
      </c>
      <c r="P121" s="1"/>
      <c r="Q121" s="1"/>
      <c r="R121" s="1">
        <v>33.034879999999987</v>
      </c>
      <c r="S121" s="1"/>
      <c r="T121" s="1"/>
      <c r="U121" s="1">
        <f t="shared" si="29"/>
        <v>76.044000000000011</v>
      </c>
      <c r="V121" s="5"/>
      <c r="W121" s="5">
        <f t="shared" si="24"/>
        <v>0</v>
      </c>
      <c r="X121" s="17"/>
      <c r="Y121" s="1">
        <f t="shared" si="22"/>
        <v>15.402047840723787</v>
      </c>
      <c r="Z121" s="1">
        <f t="shared" si="30"/>
        <v>15.402047840723787</v>
      </c>
      <c r="AA121" s="1">
        <v>82.587199999999996</v>
      </c>
      <c r="AB121" s="1">
        <v>93.196200000000005</v>
      </c>
      <c r="AC121" s="1">
        <v>104.8322</v>
      </c>
      <c r="AD121" s="1">
        <v>101.123</v>
      </c>
      <c r="AE121" s="1">
        <v>92.513999999999996</v>
      </c>
      <c r="AF121" s="1">
        <v>78.795199999999994</v>
      </c>
      <c r="AG121" s="1">
        <v>78.278199999999998</v>
      </c>
      <c r="AH121" s="1">
        <v>85.24199999999999</v>
      </c>
      <c r="AI121" s="1">
        <v>105.099</v>
      </c>
      <c r="AJ121" s="1">
        <v>107.1344</v>
      </c>
      <c r="AK121" s="1"/>
      <c r="AL121" s="1">
        <f t="shared" si="23"/>
        <v>0</v>
      </c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9" t="s">
        <v>165</v>
      </c>
      <c r="B122" s="9" t="s">
        <v>45</v>
      </c>
      <c r="C122" s="9"/>
      <c r="D122" s="9"/>
      <c r="E122" s="9"/>
      <c r="F122" s="9"/>
      <c r="G122" s="10">
        <v>0</v>
      </c>
      <c r="H122" s="9"/>
      <c r="I122" s="9" t="s">
        <v>41</v>
      </c>
      <c r="J122" s="9"/>
      <c r="K122" s="9"/>
      <c r="L122" s="9">
        <f t="shared" si="28"/>
        <v>0</v>
      </c>
      <c r="M122" s="9"/>
      <c r="N122" s="9"/>
      <c r="O122" s="9"/>
      <c r="P122" s="9"/>
      <c r="Q122" s="9"/>
      <c r="R122" s="9">
        <v>0</v>
      </c>
      <c r="S122" s="9"/>
      <c r="T122" s="9"/>
      <c r="U122" s="9">
        <f t="shared" si="29"/>
        <v>0</v>
      </c>
      <c r="V122" s="11"/>
      <c r="W122" s="5">
        <f t="shared" si="24"/>
        <v>0</v>
      </c>
      <c r="X122" s="18"/>
      <c r="Y122" s="1" t="e">
        <f t="shared" si="22"/>
        <v>#DIV/0!</v>
      </c>
      <c r="Z122" s="9" t="e">
        <f t="shared" si="30"/>
        <v>#DIV/0!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 t="s">
        <v>46</v>
      </c>
      <c r="AL122" s="1">
        <f t="shared" si="23"/>
        <v>0</v>
      </c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166</v>
      </c>
      <c r="B123" s="1" t="s">
        <v>40</v>
      </c>
      <c r="C123" s="1">
        <v>32.191000000000003</v>
      </c>
      <c r="D123" s="1">
        <v>9.657</v>
      </c>
      <c r="E123" s="1">
        <v>5</v>
      </c>
      <c r="F123" s="1">
        <v>22.63</v>
      </c>
      <c r="G123" s="7">
        <v>1</v>
      </c>
      <c r="H123" s="1">
        <v>55</v>
      </c>
      <c r="I123" s="1" t="s">
        <v>41</v>
      </c>
      <c r="J123" s="1"/>
      <c r="K123" s="1">
        <v>5.2</v>
      </c>
      <c r="L123" s="1">
        <f t="shared" si="28"/>
        <v>-0.20000000000000018</v>
      </c>
      <c r="M123" s="1"/>
      <c r="N123" s="1"/>
      <c r="O123" s="1"/>
      <c r="P123" s="1"/>
      <c r="Q123" s="1"/>
      <c r="R123" s="1"/>
      <c r="S123" s="1"/>
      <c r="T123" s="1"/>
      <c r="U123" s="1">
        <f t="shared" si="29"/>
        <v>1</v>
      </c>
      <c r="V123" s="5"/>
      <c r="W123" s="5">
        <f t="shared" si="24"/>
        <v>0</v>
      </c>
      <c r="X123" s="17"/>
      <c r="Y123" s="1">
        <f t="shared" si="22"/>
        <v>22.63</v>
      </c>
      <c r="Z123" s="1">
        <f t="shared" si="30"/>
        <v>22.63</v>
      </c>
      <c r="AA123" s="1">
        <v>1.2816000000000001</v>
      </c>
      <c r="AB123" s="1">
        <v>0.28160000000000002</v>
      </c>
      <c r="AC123" s="1">
        <v>0</v>
      </c>
      <c r="AD123" s="1">
        <v>0.29120000000000001</v>
      </c>
      <c r="AE123" s="1">
        <v>0.29120000000000001</v>
      </c>
      <c r="AF123" s="1">
        <v>3.2582</v>
      </c>
      <c r="AG123" s="1">
        <v>3.821800000000001</v>
      </c>
      <c r="AH123" s="1">
        <v>0.56359999999999999</v>
      </c>
      <c r="AI123" s="1">
        <v>0.55679999999999996</v>
      </c>
      <c r="AJ123" s="1">
        <v>1.0944</v>
      </c>
      <c r="AK123" s="15" t="s">
        <v>188</v>
      </c>
      <c r="AL123" s="1">
        <f t="shared" si="23"/>
        <v>0</v>
      </c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167</v>
      </c>
      <c r="B124" s="1" t="s">
        <v>45</v>
      </c>
      <c r="C124" s="1">
        <v>293</v>
      </c>
      <c r="D124" s="1">
        <v>721</v>
      </c>
      <c r="E124" s="1">
        <v>309</v>
      </c>
      <c r="F124" s="1">
        <v>403</v>
      </c>
      <c r="G124" s="7">
        <v>0.28000000000000003</v>
      </c>
      <c r="H124" s="1">
        <v>40</v>
      </c>
      <c r="I124" s="1" t="s">
        <v>41</v>
      </c>
      <c r="J124" s="1"/>
      <c r="K124" s="1">
        <v>324</v>
      </c>
      <c r="L124" s="1">
        <f t="shared" si="28"/>
        <v>-15</v>
      </c>
      <c r="M124" s="1"/>
      <c r="N124" s="1"/>
      <c r="O124" s="1"/>
      <c r="P124" s="1"/>
      <c r="Q124" s="1"/>
      <c r="R124" s="1">
        <v>86.855999999999881</v>
      </c>
      <c r="S124" s="1"/>
      <c r="T124" s="1"/>
      <c r="U124" s="1">
        <f t="shared" si="29"/>
        <v>61.8</v>
      </c>
      <c r="V124" s="5">
        <f t="shared" ref="V124" si="36">12*U124-T124-S124-R124-Q124-P124-O124-F124</f>
        <v>251.74400000000003</v>
      </c>
      <c r="W124" s="5">
        <f>V124+$W$1*U124</f>
        <v>379.36099999999999</v>
      </c>
      <c r="X124" s="17"/>
      <c r="Y124" s="1">
        <f t="shared" si="22"/>
        <v>14.064999999999998</v>
      </c>
      <c r="Z124" s="1">
        <f t="shared" si="30"/>
        <v>7.9264724919093839</v>
      </c>
      <c r="AA124" s="1">
        <v>64.599999999999994</v>
      </c>
      <c r="AB124" s="1">
        <v>68.400000000000006</v>
      </c>
      <c r="AC124" s="1">
        <v>56</v>
      </c>
      <c r="AD124" s="1">
        <v>64.599999999999994</v>
      </c>
      <c r="AE124" s="1">
        <v>67.400000000000006</v>
      </c>
      <c r="AF124" s="1">
        <v>57.4</v>
      </c>
      <c r="AG124" s="1">
        <v>60.6</v>
      </c>
      <c r="AH124" s="1">
        <v>65.400000000000006</v>
      </c>
      <c r="AI124" s="1">
        <v>69.8</v>
      </c>
      <c r="AJ124" s="1">
        <v>65.2</v>
      </c>
      <c r="AK124" s="1"/>
      <c r="AL124" s="1">
        <f t="shared" si="23"/>
        <v>106</v>
      </c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9" t="s">
        <v>168</v>
      </c>
      <c r="B125" s="9" t="s">
        <v>45</v>
      </c>
      <c r="C125" s="9"/>
      <c r="D125" s="9"/>
      <c r="E125" s="9"/>
      <c r="F125" s="9"/>
      <c r="G125" s="10">
        <v>0</v>
      </c>
      <c r="H125" s="9"/>
      <c r="I125" s="9" t="s">
        <v>41</v>
      </c>
      <c r="J125" s="9"/>
      <c r="K125" s="9"/>
      <c r="L125" s="9">
        <f t="shared" si="28"/>
        <v>0</v>
      </c>
      <c r="M125" s="9"/>
      <c r="N125" s="9"/>
      <c r="O125" s="9"/>
      <c r="P125" s="9"/>
      <c r="Q125" s="9"/>
      <c r="R125" s="9">
        <v>0</v>
      </c>
      <c r="S125" s="9"/>
      <c r="T125" s="9"/>
      <c r="U125" s="9">
        <f t="shared" si="29"/>
        <v>0</v>
      </c>
      <c r="V125" s="11"/>
      <c r="W125" s="5">
        <f t="shared" si="24"/>
        <v>0</v>
      </c>
      <c r="X125" s="18"/>
      <c r="Y125" s="1" t="e">
        <f t="shared" si="22"/>
        <v>#DIV/0!</v>
      </c>
      <c r="Z125" s="9" t="e">
        <f t="shared" si="30"/>
        <v>#DIV/0!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 t="s">
        <v>46</v>
      </c>
      <c r="AL125" s="1">
        <f t="shared" si="23"/>
        <v>0</v>
      </c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169</v>
      </c>
      <c r="B126" s="1" t="s">
        <v>45</v>
      </c>
      <c r="C126" s="1">
        <v>374</v>
      </c>
      <c r="D126" s="1">
        <v>593</v>
      </c>
      <c r="E126" s="1">
        <v>315</v>
      </c>
      <c r="F126" s="1">
        <v>399</v>
      </c>
      <c r="G126" s="7">
        <v>0.28000000000000003</v>
      </c>
      <c r="H126" s="1">
        <v>40</v>
      </c>
      <c r="I126" s="1" t="s">
        <v>41</v>
      </c>
      <c r="J126" s="1"/>
      <c r="K126" s="1">
        <v>327</v>
      </c>
      <c r="L126" s="1">
        <f t="shared" si="28"/>
        <v>-12</v>
      </c>
      <c r="M126" s="1"/>
      <c r="N126" s="1"/>
      <c r="O126" s="1">
        <v>84.279999999999916</v>
      </c>
      <c r="P126" s="1"/>
      <c r="Q126" s="1"/>
      <c r="R126" s="1">
        <v>26.720000000000031</v>
      </c>
      <c r="S126" s="1"/>
      <c r="T126" s="1"/>
      <c r="U126" s="1">
        <f t="shared" si="29"/>
        <v>63</v>
      </c>
      <c r="V126" s="5">
        <f>12*U126-T126-S126-R126-Q126-P126-O126-F126</f>
        <v>246</v>
      </c>
      <c r="W126" s="5">
        <f>V126+$W$1*U126</f>
        <v>376.09500000000003</v>
      </c>
      <c r="X126" s="17"/>
      <c r="Y126" s="1">
        <f t="shared" si="22"/>
        <v>14.065000000000001</v>
      </c>
      <c r="Z126" s="1">
        <f t="shared" si="30"/>
        <v>8.0952380952380949</v>
      </c>
      <c r="AA126" s="1">
        <v>66.8</v>
      </c>
      <c r="AB126" s="1">
        <v>66.400000000000006</v>
      </c>
      <c r="AC126" s="1">
        <v>53</v>
      </c>
      <c r="AD126" s="1">
        <v>66.400000000000006</v>
      </c>
      <c r="AE126" s="1">
        <v>72.8</v>
      </c>
      <c r="AF126" s="1">
        <v>61.4</v>
      </c>
      <c r="AG126" s="1">
        <v>55.6</v>
      </c>
      <c r="AH126" s="1">
        <v>59</v>
      </c>
      <c r="AI126" s="1">
        <v>71.599999999999994</v>
      </c>
      <c r="AJ126" s="1">
        <v>69.2</v>
      </c>
      <c r="AK126" s="1"/>
      <c r="AL126" s="1">
        <f t="shared" si="23"/>
        <v>105</v>
      </c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9" t="s">
        <v>170</v>
      </c>
      <c r="B127" s="9" t="s">
        <v>45</v>
      </c>
      <c r="C127" s="9"/>
      <c r="D127" s="9"/>
      <c r="E127" s="9"/>
      <c r="F127" s="9"/>
      <c r="G127" s="10">
        <v>0</v>
      </c>
      <c r="H127" s="9"/>
      <c r="I127" s="9" t="s">
        <v>41</v>
      </c>
      <c r="J127" s="9"/>
      <c r="K127" s="9"/>
      <c r="L127" s="9">
        <f t="shared" si="28"/>
        <v>0</v>
      </c>
      <c r="M127" s="9"/>
      <c r="N127" s="9"/>
      <c r="O127" s="9"/>
      <c r="P127" s="9"/>
      <c r="Q127" s="9"/>
      <c r="R127" s="9">
        <v>0</v>
      </c>
      <c r="S127" s="9"/>
      <c r="T127" s="9"/>
      <c r="U127" s="9">
        <f t="shared" si="29"/>
        <v>0</v>
      </c>
      <c r="V127" s="11"/>
      <c r="W127" s="5">
        <f t="shared" si="24"/>
        <v>0</v>
      </c>
      <c r="X127" s="18"/>
      <c r="Y127" s="1" t="e">
        <f t="shared" si="22"/>
        <v>#DIV/0!</v>
      </c>
      <c r="Z127" s="9" t="e">
        <f t="shared" si="30"/>
        <v>#DIV/0!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 t="s">
        <v>46</v>
      </c>
      <c r="AL127" s="1">
        <f t="shared" si="23"/>
        <v>0</v>
      </c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171</v>
      </c>
      <c r="B128" s="1" t="s">
        <v>40</v>
      </c>
      <c r="C128" s="1">
        <v>266.36200000000002</v>
      </c>
      <c r="D128" s="1">
        <v>347.04199999999997</v>
      </c>
      <c r="E128" s="1">
        <v>89.477000000000004</v>
      </c>
      <c r="F128" s="1">
        <v>263.86700000000002</v>
      </c>
      <c r="G128" s="7">
        <v>1</v>
      </c>
      <c r="H128" s="1">
        <v>60</v>
      </c>
      <c r="I128" s="1" t="s">
        <v>41</v>
      </c>
      <c r="J128" s="1"/>
      <c r="K128" s="1">
        <v>132.5</v>
      </c>
      <c r="L128" s="1">
        <f t="shared" si="28"/>
        <v>-43.022999999999996</v>
      </c>
      <c r="M128" s="1"/>
      <c r="N128" s="1"/>
      <c r="O128" s="1"/>
      <c r="P128" s="1"/>
      <c r="Q128" s="1"/>
      <c r="R128" s="1">
        <v>31.413599999999931</v>
      </c>
      <c r="S128" s="1"/>
      <c r="T128" s="1"/>
      <c r="U128" s="1">
        <f t="shared" si="29"/>
        <v>17.895400000000002</v>
      </c>
      <c r="V128" s="5"/>
      <c r="W128" s="5">
        <f t="shared" si="24"/>
        <v>0</v>
      </c>
      <c r="X128" s="17"/>
      <c r="Y128" s="1">
        <f t="shared" si="22"/>
        <v>16.500363221833538</v>
      </c>
      <c r="Z128" s="1">
        <f t="shared" si="30"/>
        <v>16.500363221833538</v>
      </c>
      <c r="AA128" s="1">
        <v>29.697600000000001</v>
      </c>
      <c r="AB128" s="1">
        <v>35.659999999999997</v>
      </c>
      <c r="AC128" s="1">
        <v>26.834399999999999</v>
      </c>
      <c r="AD128" s="1">
        <v>32.64</v>
      </c>
      <c r="AE128" s="1">
        <v>39.406399999999998</v>
      </c>
      <c r="AF128" s="1">
        <v>36.651000000000003</v>
      </c>
      <c r="AG128" s="1">
        <v>34.523000000000003</v>
      </c>
      <c r="AH128" s="1">
        <v>40.992800000000003</v>
      </c>
      <c r="AI128" s="1">
        <v>43.077399999999997</v>
      </c>
      <c r="AJ128" s="1">
        <v>21.758600000000001</v>
      </c>
      <c r="AK128" s="1"/>
      <c r="AL128" s="1">
        <f t="shared" si="23"/>
        <v>0</v>
      </c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 t="s">
        <v>172</v>
      </c>
      <c r="B129" s="1" t="s">
        <v>40</v>
      </c>
      <c r="C129" s="1">
        <v>187.953</v>
      </c>
      <c r="D129" s="1">
        <v>24.806999999999999</v>
      </c>
      <c r="E129" s="1">
        <v>20.588000000000001</v>
      </c>
      <c r="F129" s="1">
        <v>82.09</v>
      </c>
      <c r="G129" s="7">
        <v>1</v>
      </c>
      <c r="H129" s="1">
        <v>50</v>
      </c>
      <c r="I129" s="1" t="s">
        <v>41</v>
      </c>
      <c r="J129" s="1"/>
      <c r="K129" s="1">
        <v>83.3</v>
      </c>
      <c r="L129" s="1">
        <f t="shared" si="28"/>
        <v>-62.711999999999996</v>
      </c>
      <c r="M129" s="1"/>
      <c r="N129" s="1"/>
      <c r="O129" s="1"/>
      <c r="P129" s="1"/>
      <c r="Q129" s="1"/>
      <c r="R129" s="1"/>
      <c r="S129" s="1"/>
      <c r="T129" s="1"/>
      <c r="U129" s="1">
        <f t="shared" si="29"/>
        <v>4.1176000000000004</v>
      </c>
      <c r="V129" s="5"/>
      <c r="W129" s="5">
        <f t="shared" si="24"/>
        <v>0</v>
      </c>
      <c r="X129" s="17"/>
      <c r="Y129" s="1">
        <f t="shared" si="22"/>
        <v>19.936370701379442</v>
      </c>
      <c r="Z129" s="1">
        <f t="shared" si="30"/>
        <v>19.936370701379442</v>
      </c>
      <c r="AA129" s="1">
        <v>5.7633999999999999</v>
      </c>
      <c r="AB129" s="1">
        <v>15.0108</v>
      </c>
      <c r="AC129" s="1">
        <v>18.382400000000001</v>
      </c>
      <c r="AD129" s="1">
        <v>18.812799999999999</v>
      </c>
      <c r="AE129" s="1">
        <v>18.2974</v>
      </c>
      <c r="AF129" s="1">
        <v>13.1578</v>
      </c>
      <c r="AG129" s="1">
        <v>13.4122</v>
      </c>
      <c r="AH129" s="1">
        <v>14.643800000000001</v>
      </c>
      <c r="AI129" s="1">
        <v>18.419</v>
      </c>
      <c r="AJ129" s="1">
        <v>17.446000000000002</v>
      </c>
      <c r="AK129" s="1"/>
      <c r="AL129" s="1">
        <f t="shared" si="23"/>
        <v>0</v>
      </c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9" t="s">
        <v>173</v>
      </c>
      <c r="B130" s="9" t="s">
        <v>45</v>
      </c>
      <c r="C130" s="9"/>
      <c r="D130" s="9"/>
      <c r="E130" s="9"/>
      <c r="F130" s="9"/>
      <c r="G130" s="10">
        <v>0</v>
      </c>
      <c r="H130" s="9"/>
      <c r="I130" s="9" t="s">
        <v>41</v>
      </c>
      <c r="J130" s="9"/>
      <c r="K130" s="9"/>
      <c r="L130" s="9">
        <f t="shared" si="28"/>
        <v>0</v>
      </c>
      <c r="M130" s="9"/>
      <c r="N130" s="9"/>
      <c r="O130" s="9"/>
      <c r="P130" s="9"/>
      <c r="Q130" s="9"/>
      <c r="R130" s="9">
        <v>0</v>
      </c>
      <c r="S130" s="9"/>
      <c r="T130" s="9"/>
      <c r="U130" s="9">
        <f t="shared" si="29"/>
        <v>0</v>
      </c>
      <c r="V130" s="11"/>
      <c r="W130" s="5">
        <f t="shared" si="24"/>
        <v>0</v>
      </c>
      <c r="X130" s="18"/>
      <c r="Y130" s="1" t="e">
        <f t="shared" si="22"/>
        <v>#DIV/0!</v>
      </c>
      <c r="Z130" s="9" t="e">
        <f t="shared" si="30"/>
        <v>#DIV/0!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 t="s">
        <v>46</v>
      </c>
      <c r="AL130" s="1">
        <f t="shared" si="23"/>
        <v>0</v>
      </c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9" t="s">
        <v>174</v>
      </c>
      <c r="B131" s="9" t="s">
        <v>45</v>
      </c>
      <c r="C131" s="9"/>
      <c r="D131" s="9"/>
      <c r="E131" s="9"/>
      <c r="F131" s="9"/>
      <c r="G131" s="10">
        <v>0</v>
      </c>
      <c r="H131" s="9"/>
      <c r="I131" s="9" t="s">
        <v>41</v>
      </c>
      <c r="J131" s="9"/>
      <c r="K131" s="9"/>
      <c r="L131" s="9">
        <f t="shared" si="28"/>
        <v>0</v>
      </c>
      <c r="M131" s="9"/>
      <c r="N131" s="9"/>
      <c r="O131" s="9"/>
      <c r="P131" s="9"/>
      <c r="Q131" s="9"/>
      <c r="R131" s="9">
        <v>0</v>
      </c>
      <c r="S131" s="9"/>
      <c r="T131" s="9"/>
      <c r="U131" s="9">
        <f t="shared" si="29"/>
        <v>0</v>
      </c>
      <c r="V131" s="11"/>
      <c r="W131" s="5">
        <f t="shared" si="24"/>
        <v>0</v>
      </c>
      <c r="X131" s="18"/>
      <c r="Y131" s="1" t="e">
        <f t="shared" si="22"/>
        <v>#DIV/0!</v>
      </c>
      <c r="Z131" s="9" t="e">
        <f t="shared" si="30"/>
        <v>#DIV/0!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 t="s">
        <v>46</v>
      </c>
      <c r="AL131" s="1">
        <f t="shared" si="23"/>
        <v>0</v>
      </c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 t="s">
        <v>175</v>
      </c>
      <c r="B132" s="1" t="s">
        <v>40</v>
      </c>
      <c r="C132" s="1">
        <v>189.17099999999999</v>
      </c>
      <c r="D132" s="1">
        <v>998.84299999999996</v>
      </c>
      <c r="E132" s="1">
        <v>333.15199999999999</v>
      </c>
      <c r="F132" s="1">
        <v>602.90300000000002</v>
      </c>
      <c r="G132" s="7">
        <v>1</v>
      </c>
      <c r="H132" s="1">
        <v>60</v>
      </c>
      <c r="I132" s="1" t="s">
        <v>41</v>
      </c>
      <c r="J132" s="1"/>
      <c r="K132" s="1">
        <v>323.8</v>
      </c>
      <c r="L132" s="1">
        <f t="shared" si="28"/>
        <v>9.3519999999999754</v>
      </c>
      <c r="M132" s="1"/>
      <c r="N132" s="1"/>
      <c r="O132" s="1"/>
      <c r="P132" s="1"/>
      <c r="Q132" s="1"/>
      <c r="R132" s="1">
        <v>9.6165000000000305</v>
      </c>
      <c r="S132" s="1"/>
      <c r="T132" s="1"/>
      <c r="U132" s="1">
        <f t="shared" si="29"/>
        <v>66.630399999999995</v>
      </c>
      <c r="V132" s="5">
        <f t="shared" ref="V132:V143" si="37">12*U132-T132-S132-R132-Q132-P132-O132-F132</f>
        <v>187.04529999999977</v>
      </c>
      <c r="W132" s="5">
        <f t="shared" ref="W132:W133" si="38">V132+$W$1*U132</f>
        <v>324.63707599999975</v>
      </c>
      <c r="X132" s="17"/>
      <c r="Y132" s="1">
        <f t="shared" si="22"/>
        <v>14.065</v>
      </c>
      <c r="Z132" s="1">
        <f t="shared" si="30"/>
        <v>9.1927933795985037</v>
      </c>
      <c r="AA132" s="1">
        <v>70.855999999999995</v>
      </c>
      <c r="AB132" s="1">
        <v>76.245800000000003</v>
      </c>
      <c r="AC132" s="1">
        <v>71.3352</v>
      </c>
      <c r="AD132" s="1">
        <v>56.040999999999997</v>
      </c>
      <c r="AE132" s="1">
        <v>58.951800000000013</v>
      </c>
      <c r="AF132" s="1">
        <v>56.642000000000003</v>
      </c>
      <c r="AG132" s="1">
        <v>48.368200000000002</v>
      </c>
      <c r="AH132" s="1">
        <v>57.312800000000003</v>
      </c>
      <c r="AI132" s="1">
        <v>62.732199999999999</v>
      </c>
      <c r="AJ132" s="1">
        <v>62.818399999999997</v>
      </c>
      <c r="AK132" s="1"/>
      <c r="AL132" s="1">
        <f t="shared" si="23"/>
        <v>325</v>
      </c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 t="s">
        <v>176</v>
      </c>
      <c r="B133" s="1" t="s">
        <v>40</v>
      </c>
      <c r="C133" s="1">
        <v>359.11599999999999</v>
      </c>
      <c r="D133" s="1">
        <v>988.84299999999996</v>
      </c>
      <c r="E133" s="1">
        <v>443.96300000000002</v>
      </c>
      <c r="F133" s="1">
        <v>644.71799999999996</v>
      </c>
      <c r="G133" s="7">
        <v>1</v>
      </c>
      <c r="H133" s="1">
        <v>60</v>
      </c>
      <c r="I133" s="1" t="s">
        <v>41</v>
      </c>
      <c r="J133" s="1"/>
      <c r="K133" s="1">
        <v>429</v>
      </c>
      <c r="L133" s="1">
        <f t="shared" si="28"/>
        <v>14.963000000000022</v>
      </c>
      <c r="M133" s="1"/>
      <c r="N133" s="1"/>
      <c r="O133" s="1"/>
      <c r="P133" s="1"/>
      <c r="Q133" s="1"/>
      <c r="R133" s="1">
        <v>92.946799999999939</v>
      </c>
      <c r="S133" s="1"/>
      <c r="T133" s="1"/>
      <c r="U133" s="1">
        <f t="shared" si="29"/>
        <v>88.792600000000007</v>
      </c>
      <c r="V133" s="5">
        <f t="shared" si="37"/>
        <v>327.84640000000024</v>
      </c>
      <c r="W133" s="5">
        <f t="shared" si="38"/>
        <v>511.20311900000024</v>
      </c>
      <c r="X133" s="17"/>
      <c r="Y133" s="1">
        <f t="shared" si="22"/>
        <v>14.065000000000001</v>
      </c>
      <c r="Z133" s="1">
        <f t="shared" si="30"/>
        <v>8.3077283467315954</v>
      </c>
      <c r="AA133" s="1">
        <v>87.907200000000003</v>
      </c>
      <c r="AB133" s="1">
        <v>90.133600000000001</v>
      </c>
      <c r="AC133" s="1">
        <v>88.307600000000008</v>
      </c>
      <c r="AD133" s="1">
        <v>81.408000000000001</v>
      </c>
      <c r="AE133" s="1">
        <v>81.493200000000002</v>
      </c>
      <c r="AF133" s="1">
        <v>70.010400000000004</v>
      </c>
      <c r="AG133" s="1">
        <v>61.485999999999997</v>
      </c>
      <c r="AH133" s="1">
        <v>75.655000000000001</v>
      </c>
      <c r="AI133" s="1">
        <v>87.415199999999999</v>
      </c>
      <c r="AJ133" s="1">
        <v>84.498999999999995</v>
      </c>
      <c r="AK133" s="1"/>
      <c r="AL133" s="1">
        <f t="shared" si="23"/>
        <v>511</v>
      </c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 t="s">
        <v>177</v>
      </c>
      <c r="B134" s="1" t="s">
        <v>40</v>
      </c>
      <c r="C134" s="1">
        <v>213.75200000000001</v>
      </c>
      <c r="D134" s="1">
        <v>157.15199999999999</v>
      </c>
      <c r="E134" s="1">
        <v>164.32900000000001</v>
      </c>
      <c r="F134" s="1">
        <v>80.305000000000007</v>
      </c>
      <c r="G134" s="7">
        <v>1</v>
      </c>
      <c r="H134" s="1">
        <v>60</v>
      </c>
      <c r="I134" s="1" t="s">
        <v>41</v>
      </c>
      <c r="J134" s="1"/>
      <c r="K134" s="1">
        <v>159.44999999999999</v>
      </c>
      <c r="L134" s="1">
        <f t="shared" ref="L134:L143" si="39">E134-K134</f>
        <v>4.8790000000000191</v>
      </c>
      <c r="M134" s="1"/>
      <c r="N134" s="1"/>
      <c r="O134" s="1">
        <v>111.76936000000001</v>
      </c>
      <c r="P134" s="1"/>
      <c r="Q134" s="1"/>
      <c r="R134" s="1">
        <v>11.75344000000004</v>
      </c>
      <c r="S134" s="1"/>
      <c r="T134" s="1"/>
      <c r="U134" s="1">
        <f t="shared" ref="U134:U143" si="40">E134/5</f>
        <v>32.8658</v>
      </c>
      <c r="V134" s="5">
        <f t="shared" si="37"/>
        <v>190.56179999999989</v>
      </c>
      <c r="W134" s="5">
        <f t="shared" si="24"/>
        <v>190.56179999999989</v>
      </c>
      <c r="X134" s="17"/>
      <c r="Y134" s="1">
        <f t="shared" si="22"/>
        <v>12</v>
      </c>
      <c r="Z134" s="1">
        <f t="shared" ref="Z134:Z143" si="41">(F134+O134+P134+Q134+R134+S134+T134)/U134</f>
        <v>6.2018207376665124</v>
      </c>
      <c r="AA134" s="1">
        <v>29.383600000000001</v>
      </c>
      <c r="AB134" s="1">
        <v>24.572399999999998</v>
      </c>
      <c r="AC134" s="1">
        <v>27.509399999999999</v>
      </c>
      <c r="AD134" s="1">
        <v>31.500800000000002</v>
      </c>
      <c r="AE134" s="1">
        <v>33.397000000000013</v>
      </c>
      <c r="AF134" s="1">
        <v>28.143799999999999</v>
      </c>
      <c r="AG134" s="1">
        <v>21.887799999999999</v>
      </c>
      <c r="AH134" s="1">
        <v>25.122</v>
      </c>
      <c r="AI134" s="1">
        <v>29.194600000000001</v>
      </c>
      <c r="AJ134" s="1">
        <v>30.5456</v>
      </c>
      <c r="AK134" s="1"/>
      <c r="AL134" s="1">
        <f t="shared" si="23"/>
        <v>191</v>
      </c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20" t="s">
        <v>62</v>
      </c>
      <c r="B135" s="1" t="s">
        <v>40</v>
      </c>
      <c r="C135" s="1">
        <v>1395.6469999999999</v>
      </c>
      <c r="D135" s="1">
        <v>2140.4699999999998</v>
      </c>
      <c r="E135" s="1">
        <v>1462.8040000000001</v>
      </c>
      <c r="F135" s="1">
        <v>1484.953</v>
      </c>
      <c r="G135" s="7">
        <v>1</v>
      </c>
      <c r="H135" s="1">
        <v>60</v>
      </c>
      <c r="I135" s="1" t="s">
        <v>41</v>
      </c>
      <c r="J135" s="1"/>
      <c r="K135" s="1">
        <v>1478.2</v>
      </c>
      <c r="L135" s="1">
        <f t="shared" si="39"/>
        <v>-15.395999999999958</v>
      </c>
      <c r="M135" s="1"/>
      <c r="N135" s="1"/>
      <c r="O135" s="1">
        <v>1150.2537199999999</v>
      </c>
      <c r="P135" s="1"/>
      <c r="Q135" s="1">
        <v>1000</v>
      </c>
      <c r="R135" s="1">
        <v>300</v>
      </c>
      <c r="S135" s="1">
        <v>600</v>
      </c>
      <c r="T135" s="1"/>
      <c r="U135" s="1">
        <f t="shared" si="40"/>
        <v>292.56080000000003</v>
      </c>
      <c r="V135" s="5"/>
      <c r="W135" s="5">
        <f t="shared" ref="W135:W143" si="42">V135</f>
        <v>0</v>
      </c>
      <c r="X135" s="17"/>
      <c r="Y135" s="1">
        <f t="shared" ref="Y135:Y143" si="43">(F135+O135+P135+Q135+R135+S135+T135+W135)/U135</f>
        <v>15.501757993552108</v>
      </c>
      <c r="Z135" s="1">
        <f t="shared" si="41"/>
        <v>15.501757993552108</v>
      </c>
      <c r="AA135" s="1">
        <v>311.30119999999999</v>
      </c>
      <c r="AB135" s="1">
        <v>194.2492</v>
      </c>
      <c r="AC135" s="1">
        <v>172.9366</v>
      </c>
      <c r="AD135" s="1">
        <v>248.2234</v>
      </c>
      <c r="AE135" s="1">
        <v>192.77199999999999</v>
      </c>
      <c r="AF135" s="1">
        <v>106.2038</v>
      </c>
      <c r="AG135" s="1">
        <v>76.627399999999994</v>
      </c>
      <c r="AH135" s="1">
        <v>49.574399999999997</v>
      </c>
      <c r="AI135" s="1">
        <v>119.9166</v>
      </c>
      <c r="AJ135" s="1">
        <v>0</v>
      </c>
      <c r="AK135" s="1" t="s">
        <v>178</v>
      </c>
      <c r="AL135" s="1">
        <f t="shared" ref="AL135:AL143" si="44">ROUND(G135*W135,0)</f>
        <v>0</v>
      </c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 t="s">
        <v>179</v>
      </c>
      <c r="B136" s="1" t="s">
        <v>45</v>
      </c>
      <c r="C136" s="1"/>
      <c r="D136" s="1">
        <v>204</v>
      </c>
      <c r="E136" s="1">
        <v>86</v>
      </c>
      <c r="F136" s="1">
        <v>83</v>
      </c>
      <c r="G136" s="7">
        <v>0.25</v>
      </c>
      <c r="H136" s="1"/>
      <c r="I136" s="1" t="s">
        <v>41</v>
      </c>
      <c r="J136" s="1"/>
      <c r="K136" s="1">
        <v>86</v>
      </c>
      <c r="L136" s="1">
        <f t="shared" si="39"/>
        <v>0</v>
      </c>
      <c r="M136" s="1"/>
      <c r="N136" s="1"/>
      <c r="O136" s="1"/>
      <c r="P136" s="1"/>
      <c r="Q136" s="1"/>
      <c r="R136" s="1"/>
      <c r="S136" s="1"/>
      <c r="T136" s="1"/>
      <c r="U136" s="1">
        <f t="shared" si="40"/>
        <v>17.2</v>
      </c>
      <c r="V136" s="5">
        <f t="shared" si="37"/>
        <v>123.39999999999998</v>
      </c>
      <c r="W136" s="5">
        <f t="shared" si="42"/>
        <v>123.39999999999998</v>
      </c>
      <c r="X136" s="17"/>
      <c r="Y136" s="1">
        <f t="shared" si="43"/>
        <v>12</v>
      </c>
      <c r="Z136" s="1">
        <f t="shared" si="41"/>
        <v>4.8255813953488378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 t="s">
        <v>180</v>
      </c>
      <c r="AL136" s="1">
        <f t="shared" si="44"/>
        <v>31</v>
      </c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 t="s">
        <v>181</v>
      </c>
      <c r="B137" s="1" t="s">
        <v>45</v>
      </c>
      <c r="C137" s="1"/>
      <c r="D137" s="1">
        <v>204</v>
      </c>
      <c r="E137" s="1">
        <v>80</v>
      </c>
      <c r="F137" s="1">
        <v>92</v>
      </c>
      <c r="G137" s="7">
        <v>0.32500000000000001</v>
      </c>
      <c r="H137" s="1"/>
      <c r="I137" s="1" t="s">
        <v>41</v>
      </c>
      <c r="J137" s="1"/>
      <c r="K137" s="1">
        <v>80</v>
      </c>
      <c r="L137" s="1">
        <f t="shared" si="39"/>
        <v>0</v>
      </c>
      <c r="M137" s="1"/>
      <c r="N137" s="1"/>
      <c r="O137" s="1"/>
      <c r="P137" s="1"/>
      <c r="Q137" s="1"/>
      <c r="R137" s="1"/>
      <c r="S137" s="1"/>
      <c r="T137" s="1"/>
      <c r="U137" s="1">
        <f t="shared" si="40"/>
        <v>16</v>
      </c>
      <c r="V137" s="5">
        <f t="shared" si="37"/>
        <v>100</v>
      </c>
      <c r="W137" s="5">
        <f t="shared" si="42"/>
        <v>100</v>
      </c>
      <c r="X137" s="17"/>
      <c r="Y137" s="1">
        <f t="shared" si="43"/>
        <v>12</v>
      </c>
      <c r="Z137" s="1">
        <f t="shared" si="41"/>
        <v>5.75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 t="s">
        <v>180</v>
      </c>
      <c r="AL137" s="1">
        <f t="shared" si="44"/>
        <v>33</v>
      </c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 t="s">
        <v>182</v>
      </c>
      <c r="B138" s="1" t="s">
        <v>45</v>
      </c>
      <c r="C138" s="1"/>
      <c r="D138" s="1">
        <v>204</v>
      </c>
      <c r="E138" s="1">
        <v>47</v>
      </c>
      <c r="F138" s="1">
        <v>136</v>
      </c>
      <c r="G138" s="7">
        <v>0.25</v>
      </c>
      <c r="H138" s="1"/>
      <c r="I138" s="1" t="s">
        <v>41</v>
      </c>
      <c r="J138" s="1"/>
      <c r="K138" s="1">
        <v>47</v>
      </c>
      <c r="L138" s="1">
        <f t="shared" si="39"/>
        <v>0</v>
      </c>
      <c r="M138" s="1"/>
      <c r="N138" s="1"/>
      <c r="O138" s="1"/>
      <c r="P138" s="1"/>
      <c r="Q138" s="1"/>
      <c r="R138" s="1"/>
      <c r="S138" s="1"/>
      <c r="T138" s="1"/>
      <c r="U138" s="1">
        <f t="shared" si="40"/>
        <v>9.4</v>
      </c>
      <c r="V138" s="5"/>
      <c r="W138" s="5">
        <f t="shared" si="42"/>
        <v>0</v>
      </c>
      <c r="X138" s="17"/>
      <c r="Y138" s="1">
        <f t="shared" si="43"/>
        <v>14.468085106382977</v>
      </c>
      <c r="Z138" s="1">
        <f t="shared" si="41"/>
        <v>14.468085106382977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 t="s">
        <v>180</v>
      </c>
      <c r="AL138" s="1">
        <f t="shared" si="44"/>
        <v>0</v>
      </c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 t="s">
        <v>183</v>
      </c>
      <c r="B139" s="1" t="s">
        <v>45</v>
      </c>
      <c r="C139" s="1">
        <v>268</v>
      </c>
      <c r="D139" s="1">
        <v>266</v>
      </c>
      <c r="E139" s="1">
        <v>414</v>
      </c>
      <c r="F139" s="1">
        <v>-4</v>
      </c>
      <c r="G139" s="7">
        <v>0.3</v>
      </c>
      <c r="H139" s="1">
        <v>40</v>
      </c>
      <c r="I139" s="1" t="s">
        <v>41</v>
      </c>
      <c r="J139" s="1"/>
      <c r="K139" s="1">
        <v>529</v>
      </c>
      <c r="L139" s="1">
        <f t="shared" si="39"/>
        <v>-115</v>
      </c>
      <c r="M139" s="1"/>
      <c r="N139" s="1"/>
      <c r="O139" s="1">
        <v>425.7170000000001</v>
      </c>
      <c r="P139" s="1"/>
      <c r="Q139" s="1"/>
      <c r="R139" s="1">
        <v>132.84000000000009</v>
      </c>
      <c r="S139" s="1"/>
      <c r="T139" s="1"/>
      <c r="U139" s="1">
        <f t="shared" si="40"/>
        <v>82.8</v>
      </c>
      <c r="V139" s="5">
        <f t="shared" si="37"/>
        <v>439.04299999999967</v>
      </c>
      <c r="W139" s="5">
        <f t="shared" ref="W139:W141" si="45">V139+$W$1*U139</f>
        <v>610.02499999999964</v>
      </c>
      <c r="X139" s="17"/>
      <c r="Y139" s="1">
        <f t="shared" si="43"/>
        <v>14.065</v>
      </c>
      <c r="Z139" s="1">
        <f t="shared" si="41"/>
        <v>6.6975483091787469</v>
      </c>
      <c r="AA139" s="1">
        <v>98.6</v>
      </c>
      <c r="AB139" s="1">
        <v>83.8</v>
      </c>
      <c r="AC139" s="1">
        <v>69</v>
      </c>
      <c r="AD139" s="1">
        <v>67.8</v>
      </c>
      <c r="AE139" s="1">
        <v>71.400000000000006</v>
      </c>
      <c r="AF139" s="1">
        <v>66.400000000000006</v>
      </c>
      <c r="AG139" s="1">
        <v>66</v>
      </c>
      <c r="AH139" s="1">
        <v>67.599999999999994</v>
      </c>
      <c r="AI139" s="1">
        <v>70.400000000000006</v>
      </c>
      <c r="AJ139" s="1">
        <v>67.2</v>
      </c>
      <c r="AK139" s="1"/>
      <c r="AL139" s="1">
        <f t="shared" si="44"/>
        <v>183</v>
      </c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 t="s">
        <v>184</v>
      </c>
      <c r="B140" s="1" t="s">
        <v>45</v>
      </c>
      <c r="C140" s="1">
        <v>205</v>
      </c>
      <c r="D140" s="1">
        <v>733</v>
      </c>
      <c r="E140" s="1">
        <v>329</v>
      </c>
      <c r="F140" s="1">
        <v>339</v>
      </c>
      <c r="G140" s="7">
        <v>0.3</v>
      </c>
      <c r="H140" s="1">
        <v>40</v>
      </c>
      <c r="I140" s="1" t="s">
        <v>41</v>
      </c>
      <c r="J140" s="1"/>
      <c r="K140" s="1">
        <v>341</v>
      </c>
      <c r="L140" s="1">
        <f t="shared" si="39"/>
        <v>-12</v>
      </c>
      <c r="M140" s="1"/>
      <c r="N140" s="1"/>
      <c r="O140" s="1">
        <v>129.24000000000021</v>
      </c>
      <c r="P140" s="1"/>
      <c r="Q140" s="1"/>
      <c r="R140" s="1">
        <v>27.359999999999989</v>
      </c>
      <c r="S140" s="1"/>
      <c r="T140" s="1"/>
      <c r="U140" s="1">
        <f t="shared" si="40"/>
        <v>65.8</v>
      </c>
      <c r="V140" s="5">
        <f t="shared" si="37"/>
        <v>293.99999999999966</v>
      </c>
      <c r="W140" s="5">
        <f t="shared" si="45"/>
        <v>429.87699999999961</v>
      </c>
      <c r="X140" s="17"/>
      <c r="Y140" s="1">
        <f t="shared" si="43"/>
        <v>14.064999999999998</v>
      </c>
      <c r="Z140" s="1">
        <f t="shared" si="41"/>
        <v>7.5319148936170253</v>
      </c>
      <c r="AA140" s="1">
        <v>68.400000000000006</v>
      </c>
      <c r="AB140" s="1">
        <v>71</v>
      </c>
      <c r="AC140" s="1">
        <v>56</v>
      </c>
      <c r="AD140" s="1">
        <v>55.2</v>
      </c>
      <c r="AE140" s="1">
        <v>59.2</v>
      </c>
      <c r="AF140" s="1">
        <v>57</v>
      </c>
      <c r="AG140" s="1">
        <v>54</v>
      </c>
      <c r="AH140" s="1">
        <v>52.6</v>
      </c>
      <c r="AI140" s="1">
        <v>60</v>
      </c>
      <c r="AJ140" s="1">
        <v>57.4</v>
      </c>
      <c r="AK140" s="1"/>
      <c r="AL140" s="1">
        <f t="shared" si="44"/>
        <v>129</v>
      </c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 t="s">
        <v>185</v>
      </c>
      <c r="B141" s="1" t="s">
        <v>40</v>
      </c>
      <c r="C141" s="1">
        <v>258.57900000000001</v>
      </c>
      <c r="D141" s="1">
        <v>705.98500000000001</v>
      </c>
      <c r="E141" s="1">
        <v>314.77699999999999</v>
      </c>
      <c r="F141" s="1">
        <v>426.786</v>
      </c>
      <c r="G141" s="7">
        <v>1</v>
      </c>
      <c r="H141" s="1">
        <v>50</v>
      </c>
      <c r="I141" s="1" t="s">
        <v>41</v>
      </c>
      <c r="J141" s="1"/>
      <c r="K141" s="1">
        <v>303.14999999999998</v>
      </c>
      <c r="L141" s="1">
        <f t="shared" si="39"/>
        <v>11.62700000000001</v>
      </c>
      <c r="M141" s="1"/>
      <c r="N141" s="1"/>
      <c r="O141" s="1">
        <v>141.85744000000011</v>
      </c>
      <c r="P141" s="1"/>
      <c r="Q141" s="1"/>
      <c r="R141" s="1">
        <v>26.438560000000049</v>
      </c>
      <c r="S141" s="1"/>
      <c r="T141" s="1"/>
      <c r="U141" s="1">
        <f t="shared" si="40"/>
        <v>62.955399999999997</v>
      </c>
      <c r="V141" s="5">
        <f t="shared" si="37"/>
        <v>160.3827999999998</v>
      </c>
      <c r="W141" s="5">
        <f t="shared" si="45"/>
        <v>290.38570099999981</v>
      </c>
      <c r="X141" s="17"/>
      <c r="Y141" s="1">
        <f t="shared" si="43"/>
        <v>14.065</v>
      </c>
      <c r="Z141" s="1">
        <f t="shared" si="41"/>
        <v>9.4524377575235832</v>
      </c>
      <c r="AA141" s="1">
        <v>66.096400000000003</v>
      </c>
      <c r="AB141" s="1">
        <v>58.156999999999996</v>
      </c>
      <c r="AC141" s="1">
        <v>49.684600000000003</v>
      </c>
      <c r="AD141" s="1">
        <v>52.064</v>
      </c>
      <c r="AE141" s="1">
        <v>54.797600000000003</v>
      </c>
      <c r="AF141" s="1">
        <v>47.229799999999997</v>
      </c>
      <c r="AG141" s="1">
        <v>50.653799999999997</v>
      </c>
      <c r="AH141" s="1">
        <v>59.935799999999993</v>
      </c>
      <c r="AI141" s="1">
        <v>60.668999999999997</v>
      </c>
      <c r="AJ141" s="1">
        <v>68.052400000000006</v>
      </c>
      <c r="AK141" s="1"/>
      <c r="AL141" s="1">
        <f t="shared" si="44"/>
        <v>290</v>
      </c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 t="s">
        <v>186</v>
      </c>
      <c r="B142" s="1" t="s">
        <v>45</v>
      </c>
      <c r="C142" s="1">
        <v>226</v>
      </c>
      <c r="D142" s="1">
        <v>629</v>
      </c>
      <c r="E142" s="1">
        <v>275</v>
      </c>
      <c r="F142" s="1">
        <v>391</v>
      </c>
      <c r="G142" s="7">
        <v>0.3</v>
      </c>
      <c r="H142" s="1">
        <v>40</v>
      </c>
      <c r="I142" s="1" t="s">
        <v>41</v>
      </c>
      <c r="J142" s="1"/>
      <c r="K142" s="1">
        <v>283</v>
      </c>
      <c r="L142" s="1">
        <f t="shared" si="39"/>
        <v>-8</v>
      </c>
      <c r="M142" s="1"/>
      <c r="N142" s="1"/>
      <c r="O142" s="1"/>
      <c r="P142" s="1"/>
      <c r="Q142" s="1"/>
      <c r="R142" s="1"/>
      <c r="S142" s="1"/>
      <c r="T142" s="1"/>
      <c r="U142" s="1">
        <f t="shared" si="40"/>
        <v>55</v>
      </c>
      <c r="V142" s="5">
        <f t="shared" si="37"/>
        <v>269</v>
      </c>
      <c r="W142" s="5">
        <f t="shared" si="42"/>
        <v>269</v>
      </c>
      <c r="X142" s="17"/>
      <c r="Y142" s="1">
        <f t="shared" si="43"/>
        <v>12</v>
      </c>
      <c r="Z142" s="1">
        <f t="shared" si="41"/>
        <v>7.1090909090909093</v>
      </c>
      <c r="AA142" s="1">
        <v>46.8</v>
      </c>
      <c r="AB142" s="1">
        <v>58.4</v>
      </c>
      <c r="AC142" s="1">
        <v>57.6</v>
      </c>
      <c r="AD142" s="1">
        <v>44.2</v>
      </c>
      <c r="AE142" s="1">
        <v>51.6</v>
      </c>
      <c r="AF142" s="1">
        <v>59.6</v>
      </c>
      <c r="AG142" s="1">
        <v>56.6</v>
      </c>
      <c r="AH142" s="1">
        <v>60</v>
      </c>
      <c r="AI142" s="1">
        <v>48.6</v>
      </c>
      <c r="AJ142" s="1">
        <v>42</v>
      </c>
      <c r="AK142" s="1"/>
      <c r="AL142" s="1">
        <f t="shared" si="44"/>
        <v>81</v>
      </c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 t="s">
        <v>187</v>
      </c>
      <c r="B143" s="1" t="s">
        <v>45</v>
      </c>
      <c r="C143" s="1">
        <v>44</v>
      </c>
      <c r="D143" s="1">
        <v>108</v>
      </c>
      <c r="E143" s="1">
        <v>40</v>
      </c>
      <c r="F143" s="1">
        <v>88</v>
      </c>
      <c r="G143" s="7">
        <v>0.12</v>
      </c>
      <c r="H143" s="1">
        <v>45</v>
      </c>
      <c r="I143" s="1" t="s">
        <v>41</v>
      </c>
      <c r="J143" s="1"/>
      <c r="K143" s="1">
        <v>41</v>
      </c>
      <c r="L143" s="1">
        <f t="shared" si="39"/>
        <v>-1</v>
      </c>
      <c r="M143" s="1"/>
      <c r="N143" s="1"/>
      <c r="O143" s="1"/>
      <c r="P143" s="1"/>
      <c r="Q143" s="1"/>
      <c r="R143" s="1"/>
      <c r="S143" s="1"/>
      <c r="T143" s="1"/>
      <c r="U143" s="1">
        <f t="shared" si="40"/>
        <v>8</v>
      </c>
      <c r="V143" s="5">
        <f t="shared" si="37"/>
        <v>8</v>
      </c>
      <c r="W143" s="5">
        <f t="shared" si="42"/>
        <v>8</v>
      </c>
      <c r="X143" s="17"/>
      <c r="Y143" s="1">
        <f t="shared" si="43"/>
        <v>12</v>
      </c>
      <c r="Z143" s="1">
        <f t="shared" si="41"/>
        <v>11</v>
      </c>
      <c r="AA143" s="1">
        <v>6.8</v>
      </c>
      <c r="AB143" s="1">
        <v>10.199999999999999</v>
      </c>
      <c r="AC143" s="1">
        <v>11.4</v>
      </c>
      <c r="AD143" s="1">
        <v>5.6</v>
      </c>
      <c r="AE143" s="1">
        <v>5.6</v>
      </c>
      <c r="AF143" s="1">
        <v>9.8000000000000007</v>
      </c>
      <c r="AG143" s="1">
        <v>9.6</v>
      </c>
      <c r="AH143" s="1">
        <v>6</v>
      </c>
      <c r="AI143" s="1">
        <v>2.8</v>
      </c>
      <c r="AJ143" s="1">
        <v>-0.2</v>
      </c>
      <c r="AK143" s="1"/>
      <c r="AL143" s="1">
        <f t="shared" si="44"/>
        <v>1</v>
      </c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</sheetData>
  <autoFilter ref="A3:AL14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2026-07-30T16:07:07Z</dcterms:created>
  <dcterms:modified xsi:type="dcterms:W3CDTF">2026-07-31T13:16:11Z</dcterms:modified>
</cp:coreProperties>
</file>