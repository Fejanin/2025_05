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3 машина Бердянск_Мелитополь 07,07\"/>
    </mc:Choice>
  </mc:AlternateContent>
  <xr:revisionPtr revIDLastSave="0" documentId="13_ncr:1_{2ED89200-AC1F-46FB-B74C-325C0A2B37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BP139" i="1" s="1"/>
  <c r="P139" i="1"/>
  <c r="BP138" i="1"/>
  <c r="BO138" i="1"/>
  <c r="BN138" i="1"/>
  <c r="BM138" i="1"/>
  <c r="Z138" i="1"/>
  <c r="Z141" i="1" s="1"/>
  <c r="Y138" i="1"/>
  <c r="Y142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BP133" i="1" s="1"/>
  <c r="P133" i="1"/>
  <c r="BP132" i="1"/>
  <c r="BO132" i="1"/>
  <c r="BN132" i="1"/>
  <c r="BM132" i="1"/>
  <c r="Z132" i="1"/>
  <c r="Z135" i="1" s="1"/>
  <c r="Y132" i="1"/>
  <c r="Y136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83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5" i="1" s="1"/>
  <c r="BM22" i="1"/>
  <c r="X284" i="1" s="1"/>
  <c r="X286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83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Z288" i="1" s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4" i="1" l="1"/>
  <c r="Y286" i="1" s="1"/>
  <c r="Y285" i="1"/>
  <c r="Y287" i="1"/>
  <c r="A296" i="1"/>
  <c r="C296" i="1" l="1"/>
  <c r="B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<sst xmlns="http://schemas.openxmlformats.org/spreadsheetml/2006/main" count="1292" uniqueCount="417">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</sst>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96</v>
      </c>
      <c r="Y25" s="277">
        <f t="shared" si="0"/>
        <v>96</v>
      </c>
      <c r="Z25" s="36">
        <f t="shared" si="1"/>
        <v>1.488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717.12</v>
      </c>
      <c r="BN25" s="67">
        <f t="shared" si="3"/>
        <v>717.12</v>
      </c>
      <c r="BO25" s="67">
        <f t="shared" si="4"/>
        <v>1.1428571428571428</v>
      </c>
      <c r="BP25" s="67">
        <f t="shared" si="5"/>
        <v>1.1428571428571428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72</v>
      </c>
      <c r="Y27" s="277">
        <f t="shared" si="0"/>
        <v>72</v>
      </c>
      <c r="Z27" s="36">
        <f t="shared" si="1"/>
        <v>1.1160000000000001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537.84</v>
      </c>
      <c r="BN27" s="67">
        <f t="shared" si="3"/>
        <v>537.84</v>
      </c>
      <c r="BO27" s="67">
        <f t="shared" si="4"/>
        <v>0.8571428571428571</v>
      </c>
      <c r="BP27" s="67">
        <f t="shared" si="5"/>
        <v>0.8571428571428571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204</v>
      </c>
      <c r="Y28" s="278">
        <f>IFERROR(SUM(Y22:Y27),"0")</f>
        <v>204</v>
      </c>
      <c r="Z28" s="278">
        <f>IFERROR(IF(Z22="",0,Z22),"0")+IFERROR(IF(Z23="",0,Z23),"0")+IFERROR(IF(Z24="",0,Z24),"0")+IFERROR(IF(Z25="",0,Z25),"0")+IFERROR(IF(Z26="",0,Z26),"0")+IFERROR(IF(Z27="",0,Z27),"0")</f>
        <v>3.1620000000000004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1440</v>
      </c>
      <c r="Y29" s="278">
        <f>IFERROR(SUMPRODUCT(Y22:Y27*H22:H27),"0")</f>
        <v>1440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0</v>
      </c>
      <c r="Y39" s="27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0</v>
      </c>
      <c r="Y41" s="278">
        <f>IFERROR(SUM(Y39:Y40),"0")</f>
        <v>0</v>
      </c>
      <c r="Z41" s="278">
        <f>IFERROR(IF(Z39="",0,Z39),"0")+IFERROR(IF(Z40="",0,Z40),"0")</f>
        <v>0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0</v>
      </c>
      <c r="Y42" s="278">
        <f>IFERROR(SUMPRODUCT(Y39:Y40*H39:H40),"0")</f>
        <v>0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0</v>
      </c>
      <c r="Y45" s="27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0</v>
      </c>
      <c r="Y46" s="27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0</v>
      </c>
      <c r="Y48" s="278">
        <f>IFERROR(SUM(Y45:Y47),"0")</f>
        <v>0</v>
      </c>
      <c r="Z48" s="278">
        <f>IFERROR(IF(Z45="",0,Z45),"0")+IFERROR(IF(Z46="",0,Z46),"0")+IFERROR(IF(Z47="",0,Z47),"0")</f>
        <v>0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0</v>
      </c>
      <c r="Y49" s="278">
        <f>IFERROR(SUMPRODUCT(Y45:Y47*H45:H47),"0")</f>
        <v>0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24</v>
      </c>
      <c r="Y52" s="277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60</v>
      </c>
      <c r="Y56" s="278">
        <f>IFERROR(SUM(Y52:Y55),"0")</f>
        <v>60</v>
      </c>
      <c r="Z56" s="278">
        <f>IFERROR(IF(Z52="",0,Z52),"0")+IFERROR(IF(Z53="",0,Z53),"0")+IFERROR(IF(Z54="",0,Z54),"0")+IFERROR(IF(Z55="",0,Z55),"0")</f>
        <v>0.93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420</v>
      </c>
      <c r="Y57" s="278">
        <f>IFERROR(SUMPRODUCT(Y52:Y55*H52:H55),"0")</f>
        <v>420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0</v>
      </c>
      <c r="Y81" s="27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0</v>
      </c>
      <c r="Y82" s="278">
        <f>IFERROR(SUM(Y80:Y81),"0")</f>
        <v>0</v>
      </c>
      <c r="Z82" s="278">
        <f>IFERROR(IF(Z80="",0,Z80),"0")+IFERROR(IF(Z81="",0,Z81),"0")</f>
        <v>0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0</v>
      </c>
      <c r="Y83" s="278">
        <f>IFERROR(SUMPRODUCT(Y80:Y81*H80:H81),"0")</f>
        <v>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28</v>
      </c>
      <c r="Y87" s="278">
        <f>IFERROR(SUM(Y86:Y86),"0")</f>
        <v>28</v>
      </c>
      <c r="Z87" s="278">
        <f>IFERROR(IF(Z86="",0,Z86),"0")</f>
        <v>0.50063999999999997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100.8</v>
      </c>
      <c r="Y88" s="278">
        <f>IFERROR(SUMPRODUCT(Y86:Y86*H86:H86),"0")</f>
        <v>100.8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56</v>
      </c>
      <c r="Y91" s="277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42</v>
      </c>
      <c r="Y92" s="27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98</v>
      </c>
      <c r="Y93" s="278">
        <f>IFERROR(SUM(Y91:Y92),"0")</f>
        <v>98</v>
      </c>
      <c r="Z93" s="278">
        <f>IFERROR(IF(Z91="",0,Z91),"0")+IFERROR(IF(Z92="",0,Z92),"0")</f>
        <v>1.75224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352.8</v>
      </c>
      <c r="Y94" s="278">
        <f>IFERROR(SUMPRODUCT(Y91:Y92*H91:H92),"0")</f>
        <v>352.8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0</v>
      </c>
      <c r="Y97" s="27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42</v>
      </c>
      <c r="Y99" s="277">
        <f t="shared" si="6"/>
        <v>42</v>
      </c>
      <c r="Z99" s="36">
        <f t="shared" si="7"/>
        <v>0.75095999999999996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42</v>
      </c>
      <c r="Y100" s="277">
        <f t="shared" si="6"/>
        <v>42</v>
      </c>
      <c r="Z100" s="36">
        <f t="shared" si="7"/>
        <v>0.75095999999999996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42</v>
      </c>
      <c r="Y101" s="277">
        <f t="shared" si="6"/>
        <v>42</v>
      </c>
      <c r="Z101" s="36">
        <f t="shared" si="7"/>
        <v>0.75095999999999996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14</v>
      </c>
      <c r="Y102" s="277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140</v>
      </c>
      <c r="Y103" s="278">
        <f>IFERROR(SUM(Y97:Y102),"0")</f>
        <v>140</v>
      </c>
      <c r="Z103" s="278">
        <f>IFERROR(IF(Z97="",0,Z97),"0")+IFERROR(IF(Z98="",0,Z98),"0")+IFERROR(IF(Z99="",0,Z99),"0")+IFERROR(IF(Z100="",0,Z100),"0")+IFERROR(IF(Z101="",0,Z101),"0")+IFERROR(IF(Z102="",0,Z102),"0")</f>
        <v>2.5031999999999996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462</v>
      </c>
      <c r="Y104" s="278">
        <f>IFERROR(SUMPRODUCT(Y97:Y102*H97:H102),"0")</f>
        <v>462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84</v>
      </c>
      <c r="Y108" s="277">
        <f>IFERROR(IF(X108="","",X108),"")</f>
        <v>84</v>
      </c>
      <c r="Z108" s="36">
        <f>IFERROR(IF(X108="","",X108*0.01788),"")</f>
        <v>1.5019199999999999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356.49599999999998</v>
      </c>
      <c r="BN108" s="67">
        <f>IFERROR(Y108*I108,"0")</f>
        <v>356.49599999999998</v>
      </c>
      <c r="BO108" s="67">
        <f>IFERROR(X108/J108,"0")</f>
        <v>1.2</v>
      </c>
      <c r="BP108" s="67">
        <f>IFERROR(Y108/J108,"0")</f>
        <v>1.2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1.5019199999999999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302.40000000000003</v>
      </c>
      <c r="Y110" s="278">
        <f>IFERROR(SUMPRODUCT(Y107:Y108*H107:H108),"0")</f>
        <v>302.40000000000003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24</v>
      </c>
      <c r="Y113" s="277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24</v>
      </c>
      <c r="Y115" s="277">
        <f t="shared" si="12"/>
        <v>24</v>
      </c>
      <c r="Z115" s="36">
        <f t="shared" si="13"/>
        <v>0.372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0</v>
      </c>
      <c r="Y116" s="277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36</v>
      </c>
      <c r="Y118" s="277">
        <f t="shared" si="12"/>
        <v>36</v>
      </c>
      <c r="Z118" s="36">
        <f t="shared" si="13"/>
        <v>0.55800000000000005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60</v>
      </c>
      <c r="Y119" s="277">
        <f t="shared" si="12"/>
        <v>60</v>
      </c>
      <c r="Z119" s="36">
        <f t="shared" si="13"/>
        <v>0.92999999999999994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438</v>
      </c>
      <c r="BN119" s="67">
        <f t="shared" si="15"/>
        <v>438</v>
      </c>
      <c r="BO119" s="67">
        <f t="shared" si="16"/>
        <v>0.7142857142857143</v>
      </c>
      <c r="BP119" s="67">
        <f t="shared" si="17"/>
        <v>0.7142857142857143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144</v>
      </c>
      <c r="Y120" s="278">
        <f>IFERROR(SUM(Y113:Y119),"0")</f>
        <v>144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2.2320000000000002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972</v>
      </c>
      <c r="Y121" s="278">
        <f>IFERROR(SUMPRODUCT(Y113:Y119*H113:H119),"0")</f>
        <v>972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42</v>
      </c>
      <c r="Y134" s="277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75.600000000000009</v>
      </c>
      <c r="BN134" s="67">
        <f>IFERROR(Y134*I134,"0")</f>
        <v>75.600000000000009</v>
      </c>
      <c r="BO134" s="67">
        <f>IFERROR(X134/J134,"0")</f>
        <v>0.3</v>
      </c>
      <c r="BP134" s="67">
        <f>IFERROR(Y134/J134,"0")</f>
        <v>0.3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98</v>
      </c>
      <c r="Y135" s="278">
        <f>IFERROR(SUM(Y132:Y134),"0")</f>
        <v>98</v>
      </c>
      <c r="Z135" s="278">
        <f>IFERROR(IF(Z132="",0,Z132),"0")+IFERROR(IF(Z133="",0,Z133),"0")+IFERROR(IF(Z134="",0,Z134),"0")</f>
        <v>0.92218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135.24</v>
      </c>
      <c r="Y136" s="278">
        <f>IFERROR(SUMPRODUCT(Y132:Y134*H132:H134),"0")</f>
        <v>135.24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84</v>
      </c>
      <c r="Y145" s="277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311.10239999999999</v>
      </c>
      <c r="BN145" s="67">
        <f>IFERROR(Y145*I145,"0")</f>
        <v>311.10239999999999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0</v>
      </c>
      <c r="Y146" s="277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84</v>
      </c>
      <c r="Y147" s="278">
        <f>IFERROR(SUM(Y145:Y146),"0")</f>
        <v>84</v>
      </c>
      <c r="Z147" s="278">
        <f>IFERROR(IF(Z145="",0,Z145),"0")+IFERROR(IF(Z146="",0,Z146),"0")</f>
        <v>1.5019199999999999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252</v>
      </c>
      <c r="Y148" s="278">
        <f>IFERROR(SUMPRODUCT(Y145:Y146*H145:H146),"0")</f>
        <v>252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84</v>
      </c>
      <c r="Y152" s="277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84</v>
      </c>
      <c r="Y153" s="278">
        <f>IFERROR(SUM(Y151:Y152),"0")</f>
        <v>84</v>
      </c>
      <c r="Z153" s="278">
        <f>IFERROR(IF(Z151="",0,Z151),"0")+IFERROR(IF(Z152="",0,Z152),"0")</f>
        <v>1.5019199999999999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252</v>
      </c>
      <c r="Y154" s="278">
        <f>IFERROR(SUMPRODUCT(Y151:Y152*H151:H152),"0")</f>
        <v>252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0</v>
      </c>
      <c r="Y158" s="277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0</v>
      </c>
      <c r="Y159" s="278">
        <f>IFERROR(SUM(Y157:Y158),"0")</f>
        <v>0</v>
      </c>
      <c r="Z159" s="278">
        <f>IFERROR(IF(Z157="",0,Z157),"0")+IFERROR(IF(Z158="",0,Z158),"0")</f>
        <v>0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0</v>
      </c>
      <c r="Y160" s="278">
        <f>IFERROR(SUMPRODUCT(Y157:Y158*H157:H158),"0")</f>
        <v>0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56</v>
      </c>
      <c r="Y173" s="277">
        <f>IFERROR(IF(X173="","",X173),"")</f>
        <v>56</v>
      </c>
      <c r="Z173" s="36">
        <f>IFERROR(IF(X173="","",X173*0.00941),"")</f>
        <v>0.52695999999999998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117.70079999999999</v>
      </c>
      <c r="BN173" s="67">
        <f>IFERROR(Y173*I173,"0")</f>
        <v>117.70079999999999</v>
      </c>
      <c r="BO173" s="67">
        <f>IFERROR(X173/J173,"0")</f>
        <v>0.4</v>
      </c>
      <c r="BP173" s="67">
        <f>IFERROR(Y173/J173,"0")</f>
        <v>0.4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56</v>
      </c>
      <c r="Y174" s="278">
        <f>IFERROR(SUM(Y173:Y173),"0")</f>
        <v>56</v>
      </c>
      <c r="Z174" s="278">
        <f>IFERROR(IF(Z173="",0,Z173),"0")</f>
        <v>0.52695999999999998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94.08</v>
      </c>
      <c r="Y175" s="278">
        <f>IFERROR(SUMPRODUCT(Y173:Y173*H173:H173),"0")</f>
        <v>94.08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0</v>
      </c>
      <c r="Y180" s="277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0</v>
      </c>
      <c r="Y181" s="278">
        <f>IFERROR(SUM(Y179:Y180),"0")</f>
        <v>0</v>
      </c>
      <c r="Z181" s="278">
        <f>IFERROR(IF(Z179="",0,Z179),"0")+IFERROR(IF(Z180="",0,Z180),"0")</f>
        <v>0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0</v>
      </c>
      <c r="Y182" s="278">
        <f>IFERROR(SUMPRODUCT(Y179:Y180*H179:H180),"0")</f>
        <v>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47.432000000000002</v>
      </c>
      <c r="BN191" s="67">
        <f>IFERROR(Y191*I191,"0")</f>
        <v>47.432000000000002</v>
      </c>
      <c r="BO191" s="67">
        <f>IFERROR(X191/J191,"0")</f>
        <v>0.2</v>
      </c>
      <c r="BP191" s="67">
        <f>IFERROR(Y191/J191,"0")</f>
        <v>0.2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14</v>
      </c>
      <c r="Y195" s="278">
        <f>IFERROR(SUM(Y191:Y194),"0")</f>
        <v>14</v>
      </c>
      <c r="Z195" s="278">
        <f>IFERROR(IF(Z191="",0,Z191),"0")+IFERROR(IF(Z192="",0,Z192),"0")+IFERROR(IF(Z193="",0,Z193),"0")+IFERROR(IF(Z194="",0,Z194),"0")</f>
        <v>0.25031999999999999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42</v>
      </c>
      <c r="Y196" s="278">
        <f>IFERROR(SUMPRODUCT(Y191:Y194*H191:H194),"0")</f>
        <v>42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0</v>
      </c>
      <c r="Y217" s="277">
        <f>IFERROR(IF(X217="","",X217),"")</f>
        <v>0</v>
      </c>
      <c r="Z217" s="36">
        <f>IFERROR(IF(X217="","",X217*0.0155),"")</f>
        <v>0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0</v>
      </c>
      <c r="Y218" s="278">
        <f>IFERROR(SUM(Y217:Y217),"0")</f>
        <v>0</v>
      </c>
      <c r="Z218" s="278">
        <f>IFERROR(IF(Z217="",0,Z217),"0")</f>
        <v>0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0</v>
      </c>
      <c r="Y219" s="278">
        <f>IFERROR(SUMPRODUCT(Y217:Y217*H217:H217),"0")</f>
        <v>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84</v>
      </c>
      <c r="Y234" s="277">
        <f>IFERROR(IF(X234="","",X234),"")</f>
        <v>84</v>
      </c>
      <c r="Z234" s="36">
        <f>IFERROR(IF(X234="","",X234*0.0155),"")</f>
        <v>1.302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442.00799999999998</v>
      </c>
      <c r="BN234" s="67">
        <f>IFERROR(Y234*I234,"0")</f>
        <v>442.00799999999998</v>
      </c>
      <c r="BO234" s="67">
        <f>IFERROR(X234/J234,"0")</f>
        <v>1</v>
      </c>
      <c r="BP234" s="67">
        <f>IFERROR(Y234/J234,"0")</f>
        <v>1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84</v>
      </c>
      <c r="Y235" s="278">
        <f>IFERROR(SUM(Y234:Y234),"0")</f>
        <v>84</v>
      </c>
      <c r="Z235" s="278">
        <f>IFERROR(IF(Z234="",0,Z234),"0")</f>
        <v>1.302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420</v>
      </c>
      <c r="Y236" s="278">
        <f>IFERROR(SUMPRODUCT(Y234:Y234*H234:H234),"0")</f>
        <v>420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48</v>
      </c>
      <c r="Y257" s="277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349.44</v>
      </c>
      <c r="BN257" s="67">
        <f>IFERROR(Y257*I257,"0")</f>
        <v>349.44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48</v>
      </c>
      <c r="Y258" s="278">
        <f>IFERROR(SUM(Y256:Y257),"0")</f>
        <v>48</v>
      </c>
      <c r="Z258" s="278">
        <f>IFERROR(IF(Z256="",0,Z256),"0")+IFERROR(IF(Z257="",0,Z257),"0")</f>
        <v>0.74399999999999999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336</v>
      </c>
      <c r="Y259" s="278">
        <f>IFERROR(SUMPRODUCT(Y256:Y257*H256:H257),"0")</f>
        <v>336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72</v>
      </c>
      <c r="Y261" s="277">
        <f>IFERROR(IF(X261="","",X261),"")</f>
        <v>72</v>
      </c>
      <c r="Z261" s="36">
        <f>IFERROR(IF(X261="","",X261*0.0155),"")</f>
        <v>1.1160000000000001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450.71999999999997</v>
      </c>
      <c r="BN261" s="67">
        <f>IFERROR(Y261*I261,"0")</f>
        <v>450.71999999999997</v>
      </c>
      <c r="BO261" s="67">
        <f>IFERROR(X261/J261,"0")</f>
        <v>0.8571428571428571</v>
      </c>
      <c r="BP261" s="67">
        <f>IFERROR(Y261/J261,"0")</f>
        <v>0.8571428571428571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72</v>
      </c>
      <c r="Y262" s="278">
        <f>IFERROR(SUM(Y261:Y261),"0")</f>
        <v>72</v>
      </c>
      <c r="Z262" s="278">
        <f>IFERROR(IF(Z261="",0,Z261),"0")</f>
        <v>1.1160000000000001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432</v>
      </c>
      <c r="Y263" s="278">
        <f>IFERROR(SUMPRODUCT(Y261:Y261*H261:H261),"0")</f>
        <v>432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84</v>
      </c>
      <c r="Y265" s="277">
        <f>IFERROR(IF(X265="","",X265),"")</f>
        <v>84</v>
      </c>
      <c r="Z265" s="36">
        <f>IFERROR(IF(X265="","",X265*0.00936),"")</f>
        <v>0.78624000000000005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242.81040000000002</v>
      </c>
      <c r="BN265" s="67">
        <f>IFERROR(Y265*I265,"0")</f>
        <v>242.81040000000002</v>
      </c>
      <c r="BO265" s="67">
        <f>IFERROR(X265/J265,"0")</f>
        <v>0.66666666666666663</v>
      </c>
      <c r="BP265" s="67">
        <f>IFERROR(Y265/J265,"0")</f>
        <v>0.66666666666666663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0</v>
      </c>
      <c r="Y266" s="277">
        <f>IFERROR(IF(X266="","",X266),"")</f>
        <v>0</v>
      </c>
      <c r="Z266" s="36">
        <f>IFERROR(IF(X266="","",X266*0.0155),"")</f>
        <v>0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84</v>
      </c>
      <c r="Y268" s="278">
        <f>IFERROR(SUM(Y265:Y267),"0")</f>
        <v>84</v>
      </c>
      <c r="Z268" s="278">
        <f>IFERROR(IF(Z265="",0,Z265),"0")+IFERROR(IF(Z266="",0,Z266),"0")+IFERROR(IF(Z267="",0,Z267),"0")</f>
        <v>0.78624000000000005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226.8</v>
      </c>
      <c r="Y269" s="278">
        <f>IFERROR(SUMPRODUCT(Y265:Y267*H265:H267),"0")</f>
        <v>226.8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0</v>
      </c>
      <c r="Y272" s="277">
        <f t="shared" si="18"/>
        <v>0</v>
      </c>
      <c r="Z272" s="36">
        <f>IFERROR(IF(X272="","",X272*0.0155),"")</f>
        <v>0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12</v>
      </c>
      <c r="Y273" s="277">
        <f t="shared" si="18"/>
        <v>12</v>
      </c>
      <c r="Z273" s="36">
        <f>IFERROR(IF(X273="","",X273*0.0155),"")</f>
        <v>0.186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68.820000000000007</v>
      </c>
      <c r="BN273" s="67">
        <f t="shared" si="20"/>
        <v>68.820000000000007</v>
      </c>
      <c r="BO273" s="67">
        <f t="shared" si="21"/>
        <v>0.14285714285714285</v>
      </c>
      <c r="BP273" s="67">
        <f t="shared" si="22"/>
        <v>0.14285714285714285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42</v>
      </c>
      <c r="Y274" s="277">
        <f t="shared" si="18"/>
        <v>42</v>
      </c>
      <c r="Z274" s="36">
        <f t="shared" ref="Z274:Z279" si="23">IFERROR(IF(X274="","",X274*0.00936),"")</f>
        <v>0.39312000000000002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134.06400000000002</v>
      </c>
      <c r="BN274" s="67">
        <f t="shared" si="20"/>
        <v>134.06400000000002</v>
      </c>
      <c r="BO274" s="67">
        <f t="shared" si="21"/>
        <v>0.33333333333333331</v>
      </c>
      <c r="BP274" s="67">
        <f t="shared" si="22"/>
        <v>0.33333333333333331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54</v>
      </c>
      <c r="Y281" s="278">
        <f>IFERROR(SUM(Y271:Y280),"0")</f>
        <v>54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0.57912000000000008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192</v>
      </c>
      <c r="Y282" s="278">
        <f>IFERROR(SUMPRODUCT(Y271:Y280*H271:H280),"0")</f>
        <v>192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6432.12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6432.12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7048.6623999999993</v>
      </c>
      <c r="Y284" s="278">
        <f>IFERROR(SUM(BN22:BN280),"0")</f>
        <v>7048.6623999999993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18</v>
      </c>
      <c r="Y285" s="38">
        <f>ROUNDUP(SUM(BP22:BP280),0)</f>
        <v>18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7498.6623999999993</v>
      </c>
      <c r="Y286" s="278">
        <f>GrossWeightTotalR+PalletQtyTotalR*25</f>
        <v>7498.6623999999993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1436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1436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21.812659999999997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1440</v>
      </c>
      <c r="C293" s="46">
        <f>IFERROR(X32*H32,"0")+IFERROR(X33*H33,"0")</f>
        <v>0</v>
      </c>
      <c r="D293" s="46">
        <f>IFERROR(X39*H39,"0")+IFERROR(X40*H40,"0")</f>
        <v>0</v>
      </c>
      <c r="E293" s="46">
        <f>IFERROR(X45*H45,"0")+IFERROR(X46*H46,"0")+IFERROR(X47*H47,"0")</f>
        <v>0</v>
      </c>
      <c r="F293" s="46">
        <f>IFERROR(X52*H52,"0")+IFERROR(X53*H53,"0")+IFERROR(X54*H54,"0")+IFERROR(X55*H55,"0")</f>
        <v>420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0</v>
      </c>
      <c r="I293" s="46">
        <f>IFERROR(X86*H86,"0")</f>
        <v>100.8</v>
      </c>
      <c r="J293" s="46">
        <f>IFERROR(X91*H91,"0")+IFERROR(X92*H92,"0")</f>
        <v>352.8</v>
      </c>
      <c r="K293" s="46">
        <f>IFERROR(X97*H97,"0")+IFERROR(X98*H98,"0")+IFERROR(X99*H99,"0")+IFERROR(X100*H100,"0")+IFERROR(X101*H101,"0")+IFERROR(X102*H102,"0")</f>
        <v>462</v>
      </c>
      <c r="L293" s="46">
        <f>IFERROR(X107*H107,"0")+IFERROR(X108*H108,"0")</f>
        <v>302.40000000000003</v>
      </c>
      <c r="M293" s="46">
        <f>IFERROR(X113*H113,"0")+IFERROR(X114*H114,"0")+IFERROR(X115*H115,"0")+IFERROR(X116*H116,"0")+IFERROR(X117*H117,"0")+IFERROR(X118*H118,"0")+IFERROR(X119*H119,"0")+IFERROR(X123*H123,"0")+IFERROR(X127*H127,"0")</f>
        <v>972</v>
      </c>
      <c r="N293" s="274"/>
      <c r="O293" s="46">
        <f>IFERROR(X132*H132,"0")+IFERROR(X133*H133,"0")+IFERROR(X134*H134,"0")+IFERROR(X138*H138,"0")+IFERROR(X139*H139,"0")+IFERROR(X140*H140,"0")</f>
        <v>135.24</v>
      </c>
      <c r="P293" s="46">
        <f>IFERROR(X145*H145,"0")+IFERROR(X146*H146,"0")</f>
        <v>252</v>
      </c>
      <c r="Q293" s="46">
        <f>IFERROR(X151*H151,"0")+IFERROR(X152*H152,"0")</f>
        <v>252</v>
      </c>
      <c r="R293" s="46">
        <f>IFERROR(X157*H157,"0")+IFERROR(X158*H158,"0")</f>
        <v>0</v>
      </c>
      <c r="S293" s="46">
        <f>IFERROR(X163*H163,"0")</f>
        <v>0</v>
      </c>
      <c r="T293" s="46">
        <f>IFERROR(X168*H168,"0")</f>
        <v>0</v>
      </c>
      <c r="U293" s="46">
        <f>IFERROR(X173*H173,"0")</f>
        <v>94.08</v>
      </c>
      <c r="V293" s="46">
        <f>IFERROR(X179*H179,"0")+IFERROR(X180*H180,"0")+IFERROR(X184*H184,"0")+IFERROR(X185*H185,"0")</f>
        <v>0</v>
      </c>
      <c r="W293" s="46">
        <f>IFERROR(X191*H191,"0")+IFERROR(X192*H192,"0")+IFERROR(X193*H193,"0")+IFERROR(X194*H194,"0")</f>
        <v>42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0</v>
      </c>
      <c r="AA293" s="46">
        <f>IFERROR(X222*H222,"0")</f>
        <v>0</v>
      </c>
      <c r="AB293" s="46">
        <f>IFERROR(X228*H228,"0")</f>
        <v>0</v>
      </c>
      <c r="AC293" s="46">
        <f>IFERROR(X234*H234,"0")</f>
        <v>420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1186.8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3588</v>
      </c>
      <c r="B296" s="60">
        <f>SUMPRODUCT(--(BB:BB="ПГП"),--(W:W="кор"),H:H,Y:Y)+SUMPRODUCT(--(BB:BB="ПГП"),--(W:W="кг"),Y:Y)</f>
        <v>2844.12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