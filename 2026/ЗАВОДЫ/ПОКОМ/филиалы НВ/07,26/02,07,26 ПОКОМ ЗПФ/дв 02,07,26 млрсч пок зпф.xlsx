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E47679E2-B208-49AE-9295-8F889FD5C1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Sheet!$A$3:$AH$66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67" i="1" l="1"/>
  <c r="R67" i="1" s="1"/>
  <c r="AB67" i="1"/>
  <c r="AH67" i="1" l="1"/>
  <c r="AE67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10" i="1"/>
  <c r="I11" i="1"/>
  <c r="I12" i="1"/>
  <c r="I13" i="1"/>
  <c r="I14" i="1"/>
  <c r="I15" i="1"/>
  <c r="I16" i="1"/>
  <c r="I17" i="1"/>
  <c r="I18" i="1"/>
  <c r="I19" i="1"/>
  <c r="I20" i="1"/>
  <c r="I21" i="1"/>
  <c r="I9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AB50" i="1" l="1"/>
  <c r="AD28" i="1"/>
  <c r="AD19" i="1"/>
  <c r="AE19" i="1" s="1"/>
  <c r="P66" i="1"/>
  <c r="T66" i="1" s="1"/>
  <c r="L66" i="1"/>
  <c r="F65" i="1"/>
  <c r="E65" i="1"/>
  <c r="L65" i="1" s="1"/>
  <c r="P64" i="1"/>
  <c r="L64" i="1"/>
  <c r="P63" i="1"/>
  <c r="Q63" i="1" s="1"/>
  <c r="L63" i="1"/>
  <c r="P62" i="1"/>
  <c r="T62" i="1" s="1"/>
  <c r="L62" i="1"/>
  <c r="F61" i="1"/>
  <c r="E61" i="1"/>
  <c r="L61" i="1" s="1"/>
  <c r="P60" i="1"/>
  <c r="T60" i="1" s="1"/>
  <c r="L60" i="1"/>
  <c r="P59" i="1"/>
  <c r="Q59" i="1" s="1"/>
  <c r="L59" i="1"/>
  <c r="P58" i="1"/>
  <c r="L58" i="1"/>
  <c r="P57" i="1"/>
  <c r="Q57" i="1" s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Q52" i="1" s="1"/>
  <c r="L52" i="1"/>
  <c r="P51" i="1"/>
  <c r="Q51" i="1" s="1"/>
  <c r="L51" i="1"/>
  <c r="AD50" i="1"/>
  <c r="AE50" i="1" s="1"/>
  <c r="P50" i="1"/>
  <c r="T50" i="1" s="1"/>
  <c r="L50" i="1"/>
  <c r="P49" i="1"/>
  <c r="L49" i="1"/>
  <c r="P48" i="1"/>
  <c r="L48" i="1"/>
  <c r="P47" i="1"/>
  <c r="Q47" i="1" s="1"/>
  <c r="L47" i="1"/>
  <c r="P46" i="1"/>
  <c r="T46" i="1" s="1"/>
  <c r="L46" i="1"/>
  <c r="P45" i="1"/>
  <c r="L45" i="1"/>
  <c r="F44" i="1"/>
  <c r="E44" i="1"/>
  <c r="P44" i="1" s="1"/>
  <c r="P43" i="1"/>
  <c r="Q43" i="1" s="1"/>
  <c r="L43" i="1"/>
  <c r="P42" i="1"/>
  <c r="T42" i="1" s="1"/>
  <c r="L42" i="1"/>
  <c r="P41" i="1"/>
  <c r="L41" i="1"/>
  <c r="P40" i="1"/>
  <c r="T40" i="1" s="1"/>
  <c r="L40" i="1"/>
  <c r="P39" i="1"/>
  <c r="L39" i="1"/>
  <c r="P38" i="1"/>
  <c r="Q38" i="1" s="1"/>
  <c r="L38" i="1"/>
  <c r="P37" i="1"/>
  <c r="L37" i="1"/>
  <c r="P36" i="1"/>
  <c r="L36" i="1"/>
  <c r="P35" i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Q29" i="1" s="1"/>
  <c r="L29" i="1"/>
  <c r="AB28" i="1"/>
  <c r="P28" i="1"/>
  <c r="T28" i="1" s="1"/>
  <c r="L28" i="1"/>
  <c r="P27" i="1"/>
  <c r="Q27" i="1" s="1"/>
  <c r="L27" i="1"/>
  <c r="P26" i="1"/>
  <c r="T26" i="1" s="1"/>
  <c r="L26" i="1"/>
  <c r="P25" i="1"/>
  <c r="T25" i="1" s="1"/>
  <c r="L25" i="1"/>
  <c r="P24" i="1"/>
  <c r="L24" i="1"/>
  <c r="P23" i="1"/>
  <c r="L23" i="1"/>
  <c r="P22" i="1"/>
  <c r="L22" i="1"/>
  <c r="F21" i="1"/>
  <c r="E21" i="1"/>
  <c r="P21" i="1" s="1"/>
  <c r="P20" i="1"/>
  <c r="L20" i="1"/>
  <c r="P19" i="1"/>
  <c r="T19" i="1" s="1"/>
  <c r="L19" i="1"/>
  <c r="P18" i="1"/>
  <c r="L18" i="1"/>
  <c r="P17" i="1"/>
  <c r="L17" i="1"/>
  <c r="P16" i="1"/>
  <c r="Q16" i="1" s="1"/>
  <c r="L16" i="1"/>
  <c r="F15" i="1"/>
  <c r="E15" i="1"/>
  <c r="P14" i="1"/>
  <c r="Q14" i="1" s="1"/>
  <c r="L14" i="1"/>
  <c r="P13" i="1"/>
  <c r="T13" i="1" s="1"/>
  <c r="L13" i="1"/>
  <c r="P12" i="1"/>
  <c r="L12" i="1"/>
  <c r="P11" i="1"/>
  <c r="L11" i="1"/>
  <c r="P10" i="1"/>
  <c r="Q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Z5" i="1"/>
  <c r="Y5" i="1"/>
  <c r="X5" i="1"/>
  <c r="W5" i="1"/>
  <c r="V5" i="1"/>
  <c r="U5" i="1"/>
  <c r="O5" i="1"/>
  <c r="N5" i="1"/>
  <c r="M5" i="1"/>
  <c r="K5" i="1"/>
  <c r="T36" i="1" l="1"/>
  <c r="Q36" i="1"/>
  <c r="AD36" i="1" s="1"/>
  <c r="AE36" i="1" s="1"/>
  <c r="T39" i="1"/>
  <c r="Q39" i="1"/>
  <c r="T41" i="1"/>
  <c r="Q41" i="1"/>
  <c r="Q45" i="1"/>
  <c r="AB45" i="1" s="1"/>
  <c r="T48" i="1"/>
  <c r="Q48" i="1"/>
  <c r="T49" i="1"/>
  <c r="Q49" i="1"/>
  <c r="Q11" i="1"/>
  <c r="AB11" i="1" s="1"/>
  <c r="T17" i="1"/>
  <c r="Q17" i="1"/>
  <c r="T23" i="1"/>
  <c r="Q23" i="1"/>
  <c r="T24" i="1"/>
  <c r="Q24" i="1"/>
  <c r="Q44" i="1"/>
  <c r="T58" i="1"/>
  <c r="Q58" i="1"/>
  <c r="T64" i="1"/>
  <c r="Q64" i="1"/>
  <c r="T47" i="1"/>
  <c r="T57" i="1"/>
  <c r="T16" i="1"/>
  <c r="T52" i="1"/>
  <c r="AD52" i="1"/>
  <c r="AH52" i="1" s="1"/>
  <c r="T11" i="1"/>
  <c r="F5" i="1"/>
  <c r="AB44" i="1"/>
  <c r="AD24" i="1"/>
  <c r="S8" i="1"/>
  <c r="T21" i="1"/>
  <c r="T38" i="1"/>
  <c r="AB52" i="1"/>
  <c r="AD64" i="1"/>
  <c r="AE64" i="1" s="1"/>
  <c r="S6" i="1"/>
  <c r="AD11" i="1"/>
  <c r="AE11" i="1" s="1"/>
  <c r="T12" i="1"/>
  <c r="T18" i="1"/>
  <c r="AB19" i="1"/>
  <c r="T20" i="1"/>
  <c r="S22" i="1"/>
  <c r="T22" i="1"/>
  <c r="T35" i="1"/>
  <c r="AB36" i="1"/>
  <c r="T37" i="1"/>
  <c r="T51" i="1"/>
  <c r="T63" i="1"/>
  <c r="AB64" i="1"/>
  <c r="AD30" i="1"/>
  <c r="AH30" i="1" s="1"/>
  <c r="AB30" i="1"/>
  <c r="AD38" i="1"/>
  <c r="AE38" i="1" s="1"/>
  <c r="AB38" i="1"/>
  <c r="T10" i="1"/>
  <c r="T14" i="1"/>
  <c r="T27" i="1"/>
  <c r="T29" i="1"/>
  <c r="T43" i="1"/>
  <c r="AD45" i="1"/>
  <c r="AE45" i="1" s="1"/>
  <c r="T59" i="1"/>
  <c r="AD40" i="1"/>
  <c r="AH40" i="1" s="1"/>
  <c r="AB40" i="1"/>
  <c r="AD56" i="1"/>
  <c r="AE56" i="1" s="1"/>
  <c r="AB56" i="1"/>
  <c r="AB60" i="1"/>
  <c r="AD60" i="1"/>
  <c r="AH60" i="1" s="1"/>
  <c r="P65" i="1"/>
  <c r="S7" i="1"/>
  <c r="R19" i="1"/>
  <c r="S19" i="1" s="1"/>
  <c r="AH19" i="1"/>
  <c r="T44" i="1"/>
  <c r="R50" i="1"/>
  <c r="S50" i="1" s="1"/>
  <c r="AH50" i="1"/>
  <c r="P61" i="1"/>
  <c r="Q61" i="1" s="1"/>
  <c r="S66" i="1"/>
  <c r="L21" i="1"/>
  <c r="T45" i="1"/>
  <c r="P15" i="1"/>
  <c r="Q15" i="1" s="1"/>
  <c r="E5" i="1"/>
  <c r="L15" i="1"/>
  <c r="AE28" i="1"/>
  <c r="AH28" i="1"/>
  <c r="R28" i="1"/>
  <c r="S28" i="1" s="1"/>
  <c r="L44" i="1"/>
  <c r="T65" i="1"/>
  <c r="AH36" i="1" l="1"/>
  <c r="R30" i="1"/>
  <c r="S30" i="1" s="1"/>
  <c r="AB24" i="1"/>
  <c r="AH64" i="1"/>
  <c r="AE40" i="1"/>
  <c r="AH11" i="1"/>
  <c r="AH38" i="1"/>
  <c r="AD44" i="1"/>
  <c r="AH44" i="1" s="1"/>
  <c r="R64" i="1"/>
  <c r="S64" i="1" s="1"/>
  <c r="R40" i="1"/>
  <c r="S40" i="1" s="1"/>
  <c r="R36" i="1"/>
  <c r="S36" i="1" s="1"/>
  <c r="R11" i="1"/>
  <c r="S11" i="1" s="1"/>
  <c r="R38" i="1"/>
  <c r="S38" i="1" s="1"/>
  <c r="AE30" i="1"/>
  <c r="R56" i="1"/>
  <c r="S56" i="1" s="1"/>
  <c r="AE24" i="1"/>
  <c r="R24" i="1"/>
  <c r="S24" i="1" s="1"/>
  <c r="AH24" i="1"/>
  <c r="AB58" i="1"/>
  <c r="AD58" i="1"/>
  <c r="AH56" i="1"/>
  <c r="T61" i="1"/>
  <c r="Q5" i="1"/>
  <c r="AB57" i="1"/>
  <c r="AD57" i="1"/>
  <c r="AB53" i="1"/>
  <c r="AD53" i="1"/>
  <c r="AB47" i="1"/>
  <c r="AD47" i="1"/>
  <c r="AB39" i="1"/>
  <c r="AD39" i="1"/>
  <c r="AB31" i="1"/>
  <c r="AD31" i="1"/>
  <c r="AB23" i="1"/>
  <c r="AD23" i="1"/>
  <c r="AE60" i="1"/>
  <c r="R60" i="1"/>
  <c r="S60" i="1" s="1"/>
  <c r="AE52" i="1"/>
  <c r="R52" i="1"/>
  <c r="S52" i="1" s="1"/>
  <c r="AD48" i="1"/>
  <c r="AB48" i="1"/>
  <c r="AD59" i="1"/>
  <c r="AB59" i="1"/>
  <c r="AH45" i="1"/>
  <c r="R45" i="1"/>
  <c r="S45" i="1" s="1"/>
  <c r="AD54" i="1"/>
  <c r="AB54" i="1"/>
  <c r="AD42" i="1"/>
  <c r="AB42" i="1"/>
  <c r="AD26" i="1"/>
  <c r="AB26" i="1"/>
  <c r="AB17" i="1"/>
  <c r="AD17" i="1"/>
  <c r="AD9" i="1"/>
  <c r="AB9" i="1"/>
  <c r="AD63" i="1"/>
  <c r="AB63" i="1"/>
  <c r="AD51" i="1"/>
  <c r="AB51" i="1"/>
  <c r="AD37" i="1"/>
  <c r="AB37" i="1"/>
  <c r="AD18" i="1"/>
  <c r="AB18" i="1"/>
  <c r="AD12" i="1"/>
  <c r="AB12" i="1"/>
  <c r="AE44" i="1"/>
  <c r="AB15" i="1"/>
  <c r="AD15" i="1"/>
  <c r="AB55" i="1"/>
  <c r="AD55" i="1"/>
  <c r="AB49" i="1"/>
  <c r="AD49" i="1"/>
  <c r="AB41" i="1"/>
  <c r="AD41" i="1"/>
  <c r="AB33" i="1"/>
  <c r="AD33" i="1"/>
  <c r="AB25" i="1"/>
  <c r="AD25" i="1"/>
  <c r="AB16" i="1"/>
  <c r="AD16" i="1"/>
  <c r="AD32" i="1"/>
  <c r="AB32" i="1"/>
  <c r="AD43" i="1"/>
  <c r="AB43" i="1"/>
  <c r="AD29" i="1"/>
  <c r="AB29" i="1"/>
  <c r="AD27" i="1"/>
  <c r="AB27" i="1"/>
  <c r="AB14" i="1"/>
  <c r="AD14" i="1"/>
  <c r="AB10" i="1"/>
  <c r="AD10" i="1"/>
  <c r="AD62" i="1"/>
  <c r="AB62" i="1"/>
  <c r="AD46" i="1"/>
  <c r="AB46" i="1"/>
  <c r="AD34" i="1"/>
  <c r="AB34" i="1"/>
  <c r="AB21" i="1"/>
  <c r="AD21" i="1"/>
  <c r="AB13" i="1"/>
  <c r="AD13" i="1"/>
  <c r="AD35" i="1"/>
  <c r="AB35" i="1"/>
  <c r="AD20" i="1"/>
  <c r="AB20" i="1"/>
  <c r="L5" i="1"/>
  <c r="T15" i="1"/>
  <c r="P5" i="1"/>
  <c r="R44" i="1" l="1"/>
  <c r="S44" i="1" s="1"/>
  <c r="AE58" i="1"/>
  <c r="R58" i="1"/>
  <c r="S58" i="1" s="1"/>
  <c r="AH58" i="1"/>
  <c r="AH20" i="1"/>
  <c r="R20" i="1"/>
  <c r="S20" i="1" s="1"/>
  <c r="AE20" i="1"/>
  <c r="AH35" i="1"/>
  <c r="R35" i="1"/>
  <c r="S35" i="1" s="1"/>
  <c r="AE35" i="1"/>
  <c r="AE34" i="1"/>
  <c r="R34" i="1"/>
  <c r="S34" i="1" s="1"/>
  <c r="AH34" i="1"/>
  <c r="AE46" i="1"/>
  <c r="AH46" i="1"/>
  <c r="R46" i="1"/>
  <c r="S46" i="1" s="1"/>
  <c r="AE62" i="1"/>
  <c r="AH62" i="1"/>
  <c r="R62" i="1"/>
  <c r="S62" i="1" s="1"/>
  <c r="AH27" i="1"/>
  <c r="R27" i="1"/>
  <c r="S27" i="1" s="1"/>
  <c r="AE27" i="1"/>
  <c r="AH29" i="1"/>
  <c r="R29" i="1"/>
  <c r="S29" i="1" s="1"/>
  <c r="AE29" i="1"/>
  <c r="AH43" i="1"/>
  <c r="R43" i="1"/>
  <c r="S43" i="1" s="1"/>
  <c r="AE43" i="1"/>
  <c r="AE32" i="1"/>
  <c r="R32" i="1"/>
  <c r="S32" i="1" s="1"/>
  <c r="AH32" i="1"/>
  <c r="AD65" i="1"/>
  <c r="AB65" i="1"/>
  <c r="AE15" i="1"/>
  <c r="R15" i="1"/>
  <c r="S15" i="1" s="1"/>
  <c r="AH15" i="1"/>
  <c r="AE17" i="1"/>
  <c r="R17" i="1"/>
  <c r="S17" i="1" s="1"/>
  <c r="AH17" i="1"/>
  <c r="AH23" i="1"/>
  <c r="R23" i="1"/>
  <c r="S23" i="1" s="1"/>
  <c r="AE23" i="1"/>
  <c r="AH31" i="1"/>
  <c r="R31" i="1"/>
  <c r="S31" i="1" s="1"/>
  <c r="AE31" i="1"/>
  <c r="AH39" i="1"/>
  <c r="R39" i="1"/>
  <c r="S39" i="1" s="1"/>
  <c r="AE39" i="1"/>
  <c r="AH47" i="1"/>
  <c r="R47" i="1"/>
  <c r="S47" i="1" s="1"/>
  <c r="AE47" i="1"/>
  <c r="AH53" i="1"/>
  <c r="R53" i="1"/>
  <c r="S53" i="1" s="1"/>
  <c r="AE53" i="1"/>
  <c r="AH57" i="1"/>
  <c r="AE57" i="1"/>
  <c r="R57" i="1"/>
  <c r="S57" i="1" s="1"/>
  <c r="AB61" i="1"/>
  <c r="AD61" i="1"/>
  <c r="AE13" i="1"/>
  <c r="AH13" i="1"/>
  <c r="R13" i="1"/>
  <c r="S13" i="1" s="1"/>
  <c r="AE21" i="1"/>
  <c r="AH21" i="1"/>
  <c r="R21" i="1"/>
  <c r="S21" i="1" s="1"/>
  <c r="AH10" i="1"/>
  <c r="R10" i="1"/>
  <c r="S10" i="1" s="1"/>
  <c r="AE10" i="1"/>
  <c r="AH14" i="1"/>
  <c r="R14" i="1"/>
  <c r="S14" i="1" s="1"/>
  <c r="AE14" i="1"/>
  <c r="AH16" i="1"/>
  <c r="R16" i="1"/>
  <c r="S16" i="1" s="1"/>
  <c r="AE16" i="1"/>
  <c r="AH25" i="1"/>
  <c r="R25" i="1"/>
  <c r="S25" i="1" s="1"/>
  <c r="AE25" i="1"/>
  <c r="AH33" i="1"/>
  <c r="R33" i="1"/>
  <c r="S33" i="1" s="1"/>
  <c r="AE33" i="1"/>
  <c r="AH41" i="1"/>
  <c r="R41" i="1"/>
  <c r="S41" i="1" s="1"/>
  <c r="AE41" i="1"/>
  <c r="AH49" i="1"/>
  <c r="AE49" i="1"/>
  <c r="R49" i="1"/>
  <c r="S49" i="1" s="1"/>
  <c r="AH55" i="1"/>
  <c r="R55" i="1"/>
  <c r="S55" i="1" s="1"/>
  <c r="AE55" i="1"/>
  <c r="AH12" i="1"/>
  <c r="R12" i="1"/>
  <c r="S12" i="1" s="1"/>
  <c r="AE12" i="1"/>
  <c r="AH18" i="1"/>
  <c r="R18" i="1"/>
  <c r="S18" i="1" s="1"/>
  <c r="AE18" i="1"/>
  <c r="AH37" i="1"/>
  <c r="R37" i="1"/>
  <c r="S37" i="1" s="1"/>
  <c r="AE37" i="1"/>
  <c r="AH51" i="1"/>
  <c r="R51" i="1"/>
  <c r="S51" i="1" s="1"/>
  <c r="AE51" i="1"/>
  <c r="AH63" i="1"/>
  <c r="R63" i="1"/>
  <c r="S63" i="1" s="1"/>
  <c r="AE63" i="1"/>
  <c r="AE9" i="1"/>
  <c r="AH9" i="1"/>
  <c r="R9" i="1"/>
  <c r="AE26" i="1"/>
  <c r="R26" i="1"/>
  <c r="S26" i="1" s="1"/>
  <c r="AH26" i="1"/>
  <c r="AE42" i="1"/>
  <c r="R42" i="1"/>
  <c r="S42" i="1" s="1"/>
  <c r="AH42" i="1"/>
  <c r="AE54" i="1"/>
  <c r="AH54" i="1"/>
  <c r="R54" i="1"/>
  <c r="S54" i="1" s="1"/>
  <c r="AH59" i="1"/>
  <c r="R59" i="1"/>
  <c r="S59" i="1" s="1"/>
  <c r="AE59" i="1"/>
  <c r="AE48" i="1"/>
  <c r="AH48" i="1"/>
  <c r="R48" i="1"/>
  <c r="S48" i="1" s="1"/>
  <c r="AD5" i="1" l="1"/>
  <c r="AB5" i="1"/>
  <c r="AH61" i="1"/>
  <c r="R61" i="1"/>
  <c r="S61" i="1" s="1"/>
  <c r="AE61" i="1"/>
  <c r="AH65" i="1"/>
  <c r="R65" i="1"/>
  <c r="S65" i="1" s="1"/>
  <c r="AE65" i="1"/>
  <c r="S9" i="1"/>
  <c r="AE5" i="1" l="1"/>
  <c r="AH5" i="1"/>
  <c r="R5" i="1"/>
</calcChain>
</file>

<file path=xl/sharedStrings.xml><?xml version="1.0" encoding="utf-8"?>
<sst xmlns="http://schemas.openxmlformats.org/spreadsheetml/2006/main" count="194" uniqueCount="108">
  <si>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</si>
  <si>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</si>
  <si>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</si>
  <si>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</si>
  <si>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</si>
  <si>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</si>
  <si>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</si>
  <si>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</si>
  <si>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</si>
  <si>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</si>
  <si>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</si>
  <si>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</si>
  <si>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</si>
  <si>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</si>
  <si>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</si>
  <si>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</si>
  <si>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</si>
  <si>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</si>
  <si>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</si>
  <si>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</si>
  <si>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</si>
  <si>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</si>
  <si>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</si>
  <si>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</si>
  <si>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</si>
  <si>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</si>
  <si>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</si>
  <si>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</si>
  <si>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</si>
  <si>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 в дороге</t>
  </si>
  <si>
    <t>02,07,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</si>
  <si>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</si>
  <si>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</si>
  <si>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</si>
  <si>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</si>
  <si>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</si>
  <si>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</si>
  <si>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</si>
  <si>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</si>
  <si>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</si>
  <si>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</si>
  <si>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</si>
  <si>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</si>
  <si>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</si>
  <si>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</si>
  <si>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</si>
  <si>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</si>
  <si>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</si>
  <si>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</si>
  <si>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</si>
  <si>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</si>
  <si>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</si>
  <si>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</si>
  <si>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</si>
  <si>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</si>
  <si>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</si>
  <si>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</si>
  <si>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</si>
  <si>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Мини-сосиски в тесте ТМ Зареченские . ВЕС  Поком</t>
  </si>
  <si>
    <t>дубль</t>
  </si>
  <si>
    <t>Мини-чебуреки с мясом ТМ Зареченские ТС Зареченские продукты ПОКОМ</t>
  </si>
  <si>
    <t>P004358</t>
  </si>
  <si>
    <t>нужно увеличить продажи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</si>
  <si>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</si>
  <si>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</si>
  <si>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</si>
  <si>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</si>
  <si>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</si>
  <si>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</si>
  <si>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</si>
  <si>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</si>
  <si>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</si>
  <si>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</si>
  <si>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</si>
  <si>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</si>
  <si>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</si>
  <si>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</si>
  <si>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нужно увеличить продажи!!!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</si>
  <si>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</si>
  <si>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</si>
  <si>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</si>
  <si>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</si>
  <si>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</si>
  <si>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</si>
  <si>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</si>
  <si>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</si>
  <si>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</si>
  <si>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</si>
  <si>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</si>
  <si>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</si>
  <si>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</si>
  <si>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</si>
  <si>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</si>
  <si>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</si>
  <si>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</si>
  <si>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</si>
  <si>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</si>
  <si>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</si>
  <si>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</si>
  <si>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</si>
  <si>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</si>
  <si>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</si>
  <si>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</si>
  <si>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</si>
  <si>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</si>
  <si>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P005158</t>
  </si>
  <si>
    <t>Пельмени «Медвежье ушко Премиум Мясные» 0,8 классическая форма ТМ «Медвежье ушко»</t>
  </si>
  <si>
    <t>07,07,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</si>
</sst>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2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2,07,26%20&#1073;&#1088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/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>
            <v>17</v>
          </cell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/>
          <cell r="AI1"/>
          <cell r="AJ1"/>
        </row>
        <row r="2">
          <cell r="A2"/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 (потребность)</v>
          </cell>
          <cell r="S3" t="str">
            <v>расчет (отгрузит завод)</v>
          </cell>
          <cell r="T3" t="str">
            <v>кон ост</v>
          </cell>
          <cell r="U3" t="str">
            <v>факт</v>
          </cell>
          <cell r="V3" t="str">
            <v>ср</v>
          </cell>
          <cell r="W3" t="str">
            <v>ср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комментарии</v>
          </cell>
          <cell r="AC3" t="str">
            <v>вес</v>
          </cell>
          <cell r="AD3" t="str">
            <v>крат кор</v>
          </cell>
          <cell r="AE3" t="str">
            <v>заказ кор.</v>
          </cell>
          <cell r="AF3" t="str">
            <v>ВЕС</v>
          </cell>
          <cell r="AG3" t="str">
            <v>ряд</v>
          </cell>
          <cell r="AH3" t="str">
            <v>паллет</v>
          </cell>
          <cell r="AI3" t="str">
            <v>кол-во паллет</v>
          </cell>
          <cell r="AJ3"/>
        </row>
        <row r="4">
          <cell r="A4"/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 t="str">
            <v>22,06,</v>
          </cell>
          <cell r="P4" t="str">
            <v>29,06,</v>
          </cell>
          <cell r="Q4" t="str">
            <v>02,07,</v>
          </cell>
          <cell r="R4"/>
          <cell r="S4"/>
          <cell r="T4"/>
          <cell r="U4"/>
          <cell r="V4" t="str">
            <v>25,06,</v>
          </cell>
          <cell r="W4" t="str">
            <v>18,06,</v>
          </cell>
          <cell r="X4" t="str">
            <v>11,06,</v>
          </cell>
          <cell r="Y4" t="str">
            <v>04,06,</v>
          </cell>
          <cell r="Z4" t="str">
            <v>28,05,</v>
          </cell>
          <cell r="AA4" t="str">
            <v>21,05,</v>
          </cell>
          <cell r="AB4"/>
          <cell r="AC4"/>
          <cell r="AD4"/>
          <cell r="AE4"/>
          <cell r="AF4"/>
          <cell r="AG4"/>
          <cell r="AH4"/>
          <cell r="AI4"/>
          <cell r="AJ4"/>
        </row>
        <row r="5">
          <cell r="A5"/>
          <cell r="B5"/>
          <cell r="C5"/>
          <cell r="D5"/>
          <cell r="E5">
            <v>11365</v>
          </cell>
          <cell r="F5">
            <v>5060.6000000000004</v>
          </cell>
          <cell r="G5"/>
          <cell r="H5"/>
          <cell r="I5"/>
          <cell r="J5"/>
          <cell r="K5">
            <v>11053.6</v>
          </cell>
          <cell r="L5">
            <v>311.39999999999998</v>
          </cell>
          <cell r="M5">
            <v>0</v>
          </cell>
          <cell r="N5">
            <v>0</v>
          </cell>
          <cell r="O5">
            <v>15801.2</v>
          </cell>
          <cell r="P5">
            <v>14001.8</v>
          </cell>
          <cell r="Q5">
            <v>2273.0000000000005</v>
          </cell>
          <cell r="R5">
            <v>12480.58</v>
          </cell>
          <cell r="S5">
            <v>12563.8</v>
          </cell>
          <cell r="T5"/>
          <cell r="U5"/>
          <cell r="V5">
            <v>2385.1799999999998</v>
          </cell>
          <cell r="W5">
            <v>2426.4199999999996</v>
          </cell>
          <cell r="X5">
            <v>2159.9659999999994</v>
          </cell>
          <cell r="Y5">
            <v>2317.7799999999997</v>
          </cell>
          <cell r="Z5">
            <v>2162.94</v>
          </cell>
          <cell r="AA5">
            <v>2675.66</v>
          </cell>
          <cell r="AB5"/>
          <cell r="AC5">
            <v>5285.2040000000006</v>
          </cell>
          <cell r="AD5"/>
          <cell r="AE5">
            <v>1342</v>
          </cell>
          <cell r="AF5">
            <v>5321.36</v>
          </cell>
          <cell r="AG5"/>
          <cell r="AH5"/>
          <cell r="AI5">
            <v>15.861111111111112</v>
          </cell>
          <cell r="AJ5"/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-70</v>
          </cell>
          <cell r="D6"/>
          <cell r="E6">
            <v>21</v>
          </cell>
          <cell r="F6">
            <v>-82</v>
          </cell>
          <cell r="G6">
            <v>0</v>
          </cell>
          <cell r="H6"/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27</v>
          </cell>
          <cell r="L6">
            <v>-6</v>
          </cell>
          <cell r="M6"/>
          <cell r="N6"/>
          <cell r="O6">
            <v>0</v>
          </cell>
          <cell r="P6"/>
          <cell r="Q6">
            <v>4.2</v>
          </cell>
          <cell r="R6"/>
          <cell r="S6"/>
          <cell r="T6">
            <v>-19.523809523809522</v>
          </cell>
          <cell r="U6">
            <v>-19.523809523809522</v>
          </cell>
          <cell r="V6">
            <v>9</v>
          </cell>
          <cell r="W6">
            <v>11.2</v>
          </cell>
          <cell r="X6">
            <v>6</v>
          </cell>
          <cell r="Y6">
            <v>10.199999999999999</v>
          </cell>
          <cell r="Z6">
            <v>9.6</v>
          </cell>
          <cell r="AA6">
            <v>37.6</v>
          </cell>
          <cell r="AB6"/>
          <cell r="AC6"/>
          <cell r="AD6"/>
          <cell r="AE6"/>
          <cell r="AF6"/>
          <cell r="AG6"/>
          <cell r="AH6"/>
          <cell r="AI6"/>
          <cell r="AJ6"/>
        </row>
        <row r="7">
          <cell r="A7" t="str">
            <v>БОНУС_Пельмени Бульмени со сливочным маслом ТМ Горячая штучка флоу-пак сфера 0,7 кг .  Поком</v>
          </cell>
          <cell r="B7" t="str">
            <v>шт</v>
          </cell>
          <cell r="C7">
            <v>40</v>
          </cell>
          <cell r="D7">
            <v>1</v>
          </cell>
          <cell r="E7">
            <v>63</v>
          </cell>
          <cell r="F7">
            <v>-11</v>
          </cell>
          <cell r="G7">
            <v>0</v>
          </cell>
          <cell r="H7"/>
          <cell r="I7" t="str">
            <v>бонус</v>
          </cell>
          <cell r="J7" t="str">
            <v>Пельмени Бульмени со сливочным маслом ТМ Горячая штучка флоу-пак сфера 0,7 кг .  Поком</v>
          </cell>
          <cell r="K7">
            <v>55</v>
          </cell>
          <cell r="L7">
            <v>8</v>
          </cell>
          <cell r="M7"/>
          <cell r="N7"/>
          <cell r="O7">
            <v>0</v>
          </cell>
          <cell r="P7"/>
          <cell r="Q7">
            <v>12.6</v>
          </cell>
          <cell r="R7"/>
          <cell r="S7"/>
          <cell r="T7">
            <v>-0.87301587301587302</v>
          </cell>
          <cell r="U7">
            <v>-0.87301587301587302</v>
          </cell>
          <cell r="V7">
            <v>13.8</v>
          </cell>
          <cell r="W7">
            <v>12.6</v>
          </cell>
          <cell r="X7">
            <v>9</v>
          </cell>
          <cell r="Y7">
            <v>10</v>
          </cell>
          <cell r="Z7">
            <v>17</v>
          </cell>
          <cell r="AA7">
            <v>36.6</v>
          </cell>
          <cell r="AB7"/>
          <cell r="AC7"/>
          <cell r="AD7"/>
          <cell r="AE7"/>
          <cell r="AF7"/>
          <cell r="AG7"/>
          <cell r="AH7"/>
          <cell r="AI7"/>
          <cell r="AJ7"/>
        </row>
        <row r="8">
          <cell r="A8" t="str">
            <v>БОНУС_Пирожки с мясом 3,7кг ВЕС ТМ Зареченские  ПОКОМ</v>
          </cell>
          <cell r="B8" t="str">
            <v>кг</v>
          </cell>
          <cell r="C8"/>
          <cell r="D8"/>
          <cell r="E8">
            <v>7.4</v>
          </cell>
          <cell r="F8">
            <v>-7.4</v>
          </cell>
          <cell r="G8">
            <v>0</v>
          </cell>
          <cell r="H8"/>
          <cell r="I8" t="str">
            <v>бонус</v>
          </cell>
          <cell r="J8" t="str">
            <v>Пирожки с мясом 3,7кг ВЕС ТМ Зареченские  ПОКОМ</v>
          </cell>
          <cell r="K8">
            <v>14.8</v>
          </cell>
          <cell r="L8">
            <v>-7.4</v>
          </cell>
          <cell r="M8"/>
          <cell r="N8"/>
          <cell r="O8"/>
          <cell r="P8"/>
          <cell r="Q8">
            <v>1.48</v>
          </cell>
          <cell r="R8"/>
          <cell r="S8"/>
          <cell r="T8">
            <v>-5</v>
          </cell>
          <cell r="U8">
            <v>-5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/>
          <cell r="AC8"/>
          <cell r="AD8"/>
          <cell r="AE8"/>
          <cell r="AF8"/>
          <cell r="AG8"/>
          <cell r="AH8"/>
          <cell r="AI8"/>
          <cell r="AJ8"/>
        </row>
        <row r="9">
          <cell r="A9" t="str">
            <v>БОНУС_Чебупицца курочка по-итальянски Горячая штучка 0,25 кг зам  ПОКОМ</v>
          </cell>
          <cell r="B9" t="str">
            <v>шт</v>
          </cell>
          <cell r="C9">
            <v>32</v>
          </cell>
          <cell r="D9"/>
          <cell r="E9">
            <v>2</v>
          </cell>
          <cell r="F9">
            <v>32</v>
          </cell>
          <cell r="G9">
            <v>0</v>
          </cell>
          <cell r="H9"/>
          <cell r="I9" t="str">
            <v>бонус</v>
          </cell>
          <cell r="J9" t="str">
            <v>Чебупицца курочка по-итальянски Горячая штучка 0,25 кг зам  ПОКОМ</v>
          </cell>
          <cell r="K9">
            <v>15</v>
          </cell>
          <cell r="L9">
            <v>-13</v>
          </cell>
          <cell r="M9"/>
          <cell r="N9"/>
          <cell r="O9">
            <v>0</v>
          </cell>
          <cell r="P9"/>
          <cell r="Q9">
            <v>0.4</v>
          </cell>
          <cell r="R9"/>
          <cell r="S9"/>
          <cell r="T9">
            <v>80</v>
          </cell>
          <cell r="U9">
            <v>80</v>
          </cell>
          <cell r="V9">
            <v>5.2</v>
          </cell>
          <cell r="W9">
            <v>8.4</v>
          </cell>
          <cell r="X9">
            <v>0.2</v>
          </cell>
          <cell r="Y9">
            <v>0.8</v>
          </cell>
          <cell r="Z9">
            <v>2.6</v>
          </cell>
          <cell r="AA9">
            <v>10.4</v>
          </cell>
          <cell r="AB9"/>
          <cell r="AC9"/>
          <cell r="AD9"/>
          <cell r="AE9"/>
          <cell r="AF9"/>
          <cell r="AG9"/>
          <cell r="AH9"/>
          <cell r="AI9"/>
          <cell r="AJ9"/>
        </row>
        <row r="10">
          <cell r="A10" t="str">
            <v>Бульмени хрустящие с мясом ТМ Горячая штучка ТС Бульмени ГШ сфера 0,22 кг  Поком</v>
          </cell>
          <cell r="B10" t="str">
            <v>шт</v>
          </cell>
          <cell r="C10">
            <v>31</v>
          </cell>
          <cell r="D10"/>
          <cell r="E10">
            <v>26</v>
          </cell>
          <cell r="F10">
            <v>4</v>
          </cell>
          <cell r="G10">
            <v>0.22</v>
          </cell>
          <cell r="H10">
            <v>180</v>
          </cell>
          <cell r="I10" t="str">
            <v>P005065</v>
          </cell>
          <cell r="J10"/>
          <cell r="K10">
            <v>25</v>
          </cell>
          <cell r="L10">
            <v>1</v>
          </cell>
          <cell r="M10"/>
          <cell r="N10"/>
          <cell r="O10">
            <v>168</v>
          </cell>
          <cell r="P10">
            <v>168</v>
          </cell>
          <cell r="Q10">
            <v>5.2</v>
          </cell>
          <cell r="R10"/>
          <cell r="S10">
            <v>0</v>
          </cell>
          <cell r="T10">
            <v>65.384615384615387</v>
          </cell>
          <cell r="U10">
            <v>65.384615384615387</v>
          </cell>
          <cell r="V10">
            <v>11</v>
          </cell>
          <cell r="W10">
            <v>7.6</v>
          </cell>
          <cell r="X10">
            <v>7.6</v>
          </cell>
          <cell r="Y10">
            <v>7.6</v>
          </cell>
          <cell r="Z10">
            <v>11.2</v>
          </cell>
          <cell r="AA10">
            <v>6.2</v>
          </cell>
          <cell r="AB10"/>
          <cell r="AC10">
            <v>0</v>
          </cell>
          <cell r="AD10">
            <v>12</v>
          </cell>
          <cell r="AE10">
            <v>0</v>
          </cell>
          <cell r="AF10">
            <v>0</v>
          </cell>
          <cell r="AG10">
            <v>14</v>
          </cell>
          <cell r="AH10">
            <v>70</v>
          </cell>
          <cell r="AI10">
            <v>0</v>
          </cell>
          <cell r="AJ10"/>
        </row>
        <row r="11">
          <cell r="A11" t="str">
            <v>Готовые бельмеши сочные с мясом ТМ Горячая штучка 0,3кг зам  ПОКОМ</v>
          </cell>
          <cell r="B11" t="str">
            <v>шт</v>
          </cell>
          <cell r="C11">
            <v>274</v>
          </cell>
          <cell r="D11"/>
          <cell r="E11">
            <v>219</v>
          </cell>
          <cell r="F11">
            <v>78</v>
          </cell>
          <cell r="G11">
            <v>0.3</v>
          </cell>
          <cell r="H11">
            <v>180</v>
          </cell>
          <cell r="I11" t="str">
            <v>P004598</v>
          </cell>
          <cell r="J11"/>
          <cell r="K11">
            <v>194</v>
          </cell>
          <cell r="L11">
            <v>25</v>
          </cell>
          <cell r="M11"/>
          <cell r="N11"/>
          <cell r="O11">
            <v>168</v>
          </cell>
          <cell r="P11">
            <v>168</v>
          </cell>
          <cell r="Q11">
            <v>43.8</v>
          </cell>
          <cell r="R11">
            <v>330.59999999999991</v>
          </cell>
          <cell r="S11">
            <v>336</v>
          </cell>
          <cell r="T11">
            <v>17.123287671232877</v>
          </cell>
          <cell r="U11">
            <v>9.4520547945205493</v>
          </cell>
          <cell r="V11">
            <v>20.2</v>
          </cell>
          <cell r="W11">
            <v>29.8</v>
          </cell>
          <cell r="X11">
            <v>30.6</v>
          </cell>
          <cell r="Y11">
            <v>22.2</v>
          </cell>
          <cell r="Z11">
            <v>27</v>
          </cell>
          <cell r="AA11">
            <v>27.4</v>
          </cell>
          <cell r="AB11"/>
          <cell r="AC11">
            <v>99.179999999999964</v>
          </cell>
          <cell r="AD11">
            <v>12</v>
          </cell>
          <cell r="AE11">
            <v>28</v>
          </cell>
          <cell r="AF11">
            <v>100.8</v>
          </cell>
          <cell r="AG11">
            <v>14</v>
          </cell>
          <cell r="AH11">
            <v>70</v>
          </cell>
          <cell r="AI11">
            <v>0.4</v>
          </cell>
          <cell r="AJ11"/>
        </row>
        <row r="12">
          <cell r="A12" t="str">
            <v>Готовые чебуманы с говядиной ТМ горячая штучка 0,28 кг.  Поком</v>
          </cell>
          <cell r="B12" t="str">
            <v>шт</v>
          </cell>
          <cell r="C12">
            <v>146</v>
          </cell>
          <cell r="D12">
            <v>8</v>
          </cell>
          <cell r="E12">
            <v>159</v>
          </cell>
          <cell r="F12"/>
          <cell r="G12">
            <v>0.28000000000000003</v>
          </cell>
          <cell r="H12">
            <v>180</v>
          </cell>
          <cell r="I12" t="str">
            <v>P004597</v>
          </cell>
          <cell r="J12"/>
          <cell r="K12">
            <v>180</v>
          </cell>
          <cell r="L12">
            <v>-21</v>
          </cell>
          <cell r="M12"/>
          <cell r="N12"/>
          <cell r="O12">
            <v>84</v>
          </cell>
          <cell r="P12">
            <v>504</v>
          </cell>
          <cell r="Q12">
            <v>31.8</v>
          </cell>
          <cell r="R12"/>
          <cell r="S12">
            <v>0</v>
          </cell>
          <cell r="T12">
            <v>18.490566037735849</v>
          </cell>
          <cell r="U12">
            <v>18.490566037735849</v>
          </cell>
          <cell r="V12">
            <v>72</v>
          </cell>
          <cell r="W12">
            <v>50.4</v>
          </cell>
          <cell r="X12">
            <v>4.8</v>
          </cell>
          <cell r="Y12">
            <v>46.2</v>
          </cell>
          <cell r="Z12">
            <v>53</v>
          </cell>
          <cell r="AA12">
            <v>89.2</v>
          </cell>
          <cell r="AB12"/>
          <cell r="AC12">
            <v>0</v>
          </cell>
          <cell r="AD12">
            <v>6</v>
          </cell>
          <cell r="AE12">
            <v>0</v>
          </cell>
          <cell r="AF12">
            <v>0</v>
          </cell>
          <cell r="AG12">
            <v>14</v>
          </cell>
          <cell r="AH12">
            <v>140</v>
          </cell>
          <cell r="AI12">
            <v>0</v>
          </cell>
          <cell r="AJ12"/>
        </row>
        <row r="13">
          <cell r="A13" t="str">
            <v>Готовые чебупели острые с мясом ТМ Горячая штучка флоу-пак 0,24 кг  Поком</v>
          </cell>
          <cell r="B13" t="str">
            <v>шт</v>
          </cell>
          <cell r="C13">
            <v>485</v>
          </cell>
          <cell r="D13"/>
          <cell r="E13">
            <v>501</v>
          </cell>
          <cell r="F13">
            <v>15</v>
          </cell>
          <cell r="G13">
            <v>0.24</v>
          </cell>
          <cell r="H13">
            <v>180</v>
          </cell>
          <cell r="I13" t="str">
            <v>P004969</v>
          </cell>
          <cell r="J13"/>
          <cell r="K13">
            <v>468</v>
          </cell>
          <cell r="L13">
            <v>33</v>
          </cell>
          <cell r="M13"/>
          <cell r="N13"/>
          <cell r="O13">
            <v>672</v>
          </cell>
          <cell r="P13">
            <v>168</v>
          </cell>
          <cell r="Q13">
            <v>100.2</v>
          </cell>
          <cell r="R13">
            <v>848.40000000000009</v>
          </cell>
          <cell r="S13">
            <v>840</v>
          </cell>
          <cell r="T13">
            <v>16.91616766467066</v>
          </cell>
          <cell r="U13">
            <v>8.5329341317365266</v>
          </cell>
          <cell r="V13">
            <v>39</v>
          </cell>
          <cell r="W13">
            <v>70</v>
          </cell>
          <cell r="X13">
            <v>68.599999999999994</v>
          </cell>
          <cell r="Y13">
            <v>57</v>
          </cell>
          <cell r="Z13">
            <v>68</v>
          </cell>
          <cell r="AA13">
            <v>76.2</v>
          </cell>
          <cell r="AB13"/>
          <cell r="AC13">
            <v>203.61600000000001</v>
          </cell>
          <cell r="AD13">
            <v>12</v>
          </cell>
          <cell r="AE13">
            <v>70</v>
          </cell>
          <cell r="AF13">
            <v>201.6</v>
          </cell>
          <cell r="AG13">
            <v>14</v>
          </cell>
          <cell r="AH13">
            <v>70</v>
          </cell>
          <cell r="AI13">
            <v>1</v>
          </cell>
          <cell r="AJ13"/>
        </row>
        <row r="14">
          <cell r="A14" t="str">
            <v>Готовые чебупели с ветчиной и сыром ТМ Горячая штучка флоу-пак 0,24 кг.  ПОКОМ</v>
          </cell>
          <cell r="B14" t="str">
            <v>шт</v>
          </cell>
          <cell r="C14">
            <v>314</v>
          </cell>
          <cell r="D14">
            <v>7</v>
          </cell>
          <cell r="E14">
            <v>414</v>
          </cell>
          <cell r="F14">
            <v>-22</v>
          </cell>
          <cell r="G14">
            <v>0.24</v>
          </cell>
          <cell r="H14">
            <v>180</v>
          </cell>
          <cell r="I14" t="str">
            <v>P004971</v>
          </cell>
          <cell r="J14"/>
          <cell r="K14">
            <v>343</v>
          </cell>
          <cell r="L14">
            <v>71</v>
          </cell>
          <cell r="M14"/>
          <cell r="N14"/>
          <cell r="O14">
            <v>168</v>
          </cell>
          <cell r="P14">
            <v>336</v>
          </cell>
          <cell r="Q14">
            <v>82.8</v>
          </cell>
          <cell r="R14">
            <v>925.59999999999991</v>
          </cell>
          <cell r="S14">
            <v>1008</v>
          </cell>
          <cell r="T14">
            <v>17.995169082125603</v>
          </cell>
          <cell r="U14">
            <v>5.8212560386473431</v>
          </cell>
          <cell r="V14">
            <v>80.599999999999994</v>
          </cell>
          <cell r="W14">
            <v>94.6</v>
          </cell>
          <cell r="X14">
            <v>67.8</v>
          </cell>
          <cell r="Y14">
            <v>77.599999999999994</v>
          </cell>
          <cell r="Z14">
            <v>50.4</v>
          </cell>
          <cell r="AA14">
            <v>75.2</v>
          </cell>
          <cell r="AB14"/>
          <cell r="AC14">
            <v>222.14399999999998</v>
          </cell>
          <cell r="AD14">
            <v>12</v>
          </cell>
          <cell r="AE14">
            <v>84</v>
          </cell>
          <cell r="AF14">
            <v>241.92</v>
          </cell>
          <cell r="AG14">
            <v>14</v>
          </cell>
          <cell r="AH14">
            <v>70</v>
          </cell>
          <cell r="AI14">
            <v>1.2</v>
          </cell>
          <cell r="AJ14"/>
        </row>
        <row r="15">
          <cell r="A15" t="str">
            <v>Готовые чебупели с мясом ТМ Горячая штучка 0,24 кг  ПОКОМ</v>
          </cell>
          <cell r="B15" t="str">
            <v>шт</v>
          </cell>
          <cell r="C15">
            <v>176</v>
          </cell>
          <cell r="D15">
            <v>7</v>
          </cell>
          <cell r="E15">
            <v>243</v>
          </cell>
          <cell r="F15">
            <v>2</v>
          </cell>
          <cell r="G15">
            <v>0.24</v>
          </cell>
          <cell r="H15">
            <v>180</v>
          </cell>
          <cell r="I15" t="str">
            <v>P004974</v>
          </cell>
          <cell r="J15"/>
          <cell r="K15">
            <v>197</v>
          </cell>
          <cell r="L15">
            <v>46</v>
          </cell>
          <cell r="M15"/>
          <cell r="N15"/>
          <cell r="O15">
            <v>336</v>
          </cell>
          <cell r="P15">
            <v>336</v>
          </cell>
          <cell r="Q15">
            <v>48.6</v>
          </cell>
          <cell r="R15">
            <v>152.20000000000005</v>
          </cell>
          <cell r="S15">
            <v>168</v>
          </cell>
          <cell r="T15">
            <v>17.325102880658434</v>
          </cell>
          <cell r="U15">
            <v>13.868312757201645</v>
          </cell>
          <cell r="V15">
            <v>46.6</v>
          </cell>
          <cell r="W15">
            <v>47.8</v>
          </cell>
          <cell r="X15">
            <v>38.6</v>
          </cell>
          <cell r="Y15">
            <v>20.8</v>
          </cell>
          <cell r="Z15">
            <v>47.6</v>
          </cell>
          <cell r="AA15">
            <v>42</v>
          </cell>
          <cell r="AB15"/>
          <cell r="AC15">
            <v>36.528000000000013</v>
          </cell>
          <cell r="AD15">
            <v>12</v>
          </cell>
          <cell r="AE15">
            <v>14</v>
          </cell>
          <cell r="AF15">
            <v>40.32</v>
          </cell>
          <cell r="AG15">
            <v>14</v>
          </cell>
          <cell r="AH15">
            <v>70</v>
          </cell>
          <cell r="AI15">
            <v>0.2</v>
          </cell>
          <cell r="AJ15"/>
        </row>
        <row r="16">
          <cell r="A16" t="str">
            <v>Готовые чебупели сочные с мясом ТМ Горячая штучка флоу-пак 0,24 кг  ПОКОМ</v>
          </cell>
          <cell r="B16" t="str">
            <v>шт</v>
          </cell>
          <cell r="C16">
            <v>492</v>
          </cell>
          <cell r="D16">
            <v>2</v>
          </cell>
          <cell r="E16">
            <v>446</v>
          </cell>
          <cell r="F16">
            <v>19</v>
          </cell>
          <cell r="G16">
            <v>0.24</v>
          </cell>
          <cell r="H16">
            <v>180</v>
          </cell>
          <cell r="I16" t="str">
            <v>P004966</v>
          </cell>
          <cell r="J16"/>
          <cell r="K16">
            <v>434</v>
          </cell>
          <cell r="L16">
            <v>12</v>
          </cell>
          <cell r="M16"/>
          <cell r="N16"/>
          <cell r="O16">
            <v>336</v>
          </cell>
          <cell r="P16">
            <v>336</v>
          </cell>
          <cell r="Q16">
            <v>89.2</v>
          </cell>
          <cell r="R16">
            <v>825.40000000000009</v>
          </cell>
          <cell r="S16">
            <v>840</v>
          </cell>
          <cell r="T16">
            <v>17.163677130044842</v>
          </cell>
          <cell r="U16">
            <v>7.746636771300448</v>
          </cell>
          <cell r="V16">
            <v>81.599999999999994</v>
          </cell>
          <cell r="W16">
            <v>46.6</v>
          </cell>
          <cell r="X16">
            <v>53.2</v>
          </cell>
          <cell r="Y16">
            <v>82.6</v>
          </cell>
          <cell r="Z16">
            <v>50.4</v>
          </cell>
          <cell r="AA16">
            <v>78</v>
          </cell>
          <cell r="AB16"/>
          <cell r="AC16">
            <v>198.096</v>
          </cell>
          <cell r="AD16">
            <v>12</v>
          </cell>
          <cell r="AE16">
            <v>70</v>
          </cell>
          <cell r="AF16">
            <v>201.6</v>
          </cell>
          <cell r="AG16">
            <v>14</v>
          </cell>
          <cell r="AH16">
            <v>70</v>
          </cell>
          <cell r="AI16">
            <v>1</v>
          </cell>
          <cell r="AJ16"/>
        </row>
        <row r="17">
          <cell r="A17" t="str">
            <v>Готовые чебупели сочные с мясом ТМ Горячая штучка флоу-пак 0,48 кг XXL  Поком</v>
          </cell>
          <cell r="B17" t="str">
            <v>шт</v>
          </cell>
          <cell r="C17"/>
          <cell r="D17"/>
          <cell r="E17">
            <v>3</v>
          </cell>
          <cell r="F17"/>
          <cell r="G17">
            <v>0.48</v>
          </cell>
          <cell r="H17">
            <v>180</v>
          </cell>
          <cell r="I17" t="str">
            <v>P004595</v>
          </cell>
          <cell r="J17"/>
          <cell r="K17">
            <v>16</v>
          </cell>
          <cell r="L17">
            <v>-13</v>
          </cell>
          <cell r="M17"/>
          <cell r="N17"/>
          <cell r="O17">
            <v>336</v>
          </cell>
          <cell r="P17">
            <v>112</v>
          </cell>
          <cell r="Q17">
            <v>0.6</v>
          </cell>
          <cell r="R17"/>
          <cell r="S17">
            <v>0</v>
          </cell>
          <cell r="T17">
            <v>746.66666666666674</v>
          </cell>
          <cell r="U17">
            <v>746.66666666666674</v>
          </cell>
          <cell r="V17">
            <v>3.8</v>
          </cell>
          <cell r="W17">
            <v>20.2</v>
          </cell>
          <cell r="X17">
            <v>0</v>
          </cell>
          <cell r="Y17">
            <v>10</v>
          </cell>
          <cell r="Z17">
            <v>16.399999999999999</v>
          </cell>
          <cell r="AA17">
            <v>23.2</v>
          </cell>
          <cell r="AB17"/>
          <cell r="AC17">
            <v>0</v>
          </cell>
          <cell r="AD17">
            <v>8</v>
          </cell>
          <cell r="AE17">
            <v>0</v>
          </cell>
          <cell r="AF17">
            <v>0</v>
          </cell>
          <cell r="AG17">
            <v>14</v>
          </cell>
          <cell r="AH17">
            <v>70</v>
          </cell>
          <cell r="AI17">
            <v>0</v>
          </cell>
          <cell r="AJ17"/>
        </row>
        <row r="18">
          <cell r="A18" t="str">
            <v>Готовые чебуреки с мясом ТМ Горячая штучка 0,09 кг флоу-пак ПОКОМ</v>
          </cell>
          <cell r="B18" t="str">
            <v>шт</v>
          </cell>
          <cell r="C18">
            <v>2</v>
          </cell>
          <cell r="D18"/>
          <cell r="E18"/>
          <cell r="F18">
            <v>2</v>
          </cell>
          <cell r="G18">
            <v>0.09</v>
          </cell>
          <cell r="H18">
            <v>180</v>
          </cell>
          <cell r="I18" t="str">
            <v>P004138</v>
          </cell>
          <cell r="J18"/>
          <cell r="K18">
            <v>16</v>
          </cell>
          <cell r="L18">
            <v>-16</v>
          </cell>
          <cell r="M18"/>
          <cell r="N18"/>
          <cell r="O18">
            <v>0</v>
          </cell>
          <cell r="P18">
            <v>336</v>
          </cell>
          <cell r="Q18">
            <v>0</v>
          </cell>
          <cell r="R18"/>
          <cell r="S18">
            <v>0</v>
          </cell>
          <cell r="T18" t="e">
            <v>#DIV/0!</v>
          </cell>
          <cell r="U18" t="e">
            <v>#DIV/0!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42.2</v>
          </cell>
          <cell r="AB18"/>
          <cell r="AC18">
            <v>0</v>
          </cell>
          <cell r="AD18">
            <v>24</v>
          </cell>
          <cell r="AE18">
            <v>0</v>
          </cell>
          <cell r="AF18">
            <v>0</v>
          </cell>
          <cell r="AG18">
            <v>14</v>
          </cell>
          <cell r="AH18">
            <v>126</v>
          </cell>
          <cell r="AI18">
            <v>0</v>
          </cell>
          <cell r="AJ18"/>
        </row>
        <row r="19">
          <cell r="A19" t="str">
            <v>Готовые чебуреки со свининой и говядиной ТМ Горячая штучка ТС Базовый ассортимент 0,36 кг  ПОКОМ</v>
          </cell>
          <cell r="B19" t="str">
            <v>шт</v>
          </cell>
          <cell r="C19">
            <v>322</v>
          </cell>
          <cell r="D19"/>
          <cell r="E19">
            <v>225</v>
          </cell>
          <cell r="F19">
            <v>106</v>
          </cell>
          <cell r="G19">
            <v>0.36</v>
          </cell>
          <cell r="H19">
            <v>180</v>
          </cell>
          <cell r="I19" t="str">
            <v>P004583</v>
          </cell>
          <cell r="J19"/>
          <cell r="K19">
            <v>216</v>
          </cell>
          <cell r="L19">
            <v>9</v>
          </cell>
          <cell r="M19"/>
          <cell r="N19"/>
          <cell r="O19">
            <v>140</v>
          </cell>
          <cell r="P19">
            <v>0</v>
          </cell>
          <cell r="Q19">
            <v>45</v>
          </cell>
          <cell r="R19">
            <v>519</v>
          </cell>
          <cell r="S19">
            <v>560</v>
          </cell>
          <cell r="T19">
            <v>17.911111111111111</v>
          </cell>
          <cell r="U19">
            <v>5.4666666666666668</v>
          </cell>
          <cell r="V19">
            <v>17.2</v>
          </cell>
          <cell r="W19">
            <v>24</v>
          </cell>
          <cell r="X19">
            <v>36</v>
          </cell>
          <cell r="Y19">
            <v>33.4</v>
          </cell>
          <cell r="Z19">
            <v>27.2</v>
          </cell>
          <cell r="AA19">
            <v>30.8</v>
          </cell>
          <cell r="AB19"/>
          <cell r="AC19">
            <v>186.84</v>
          </cell>
          <cell r="AD19">
            <v>10</v>
          </cell>
          <cell r="AE19">
            <v>56</v>
          </cell>
          <cell r="AF19">
            <v>201.6</v>
          </cell>
          <cell r="AG19">
            <v>14</v>
          </cell>
          <cell r="AH19">
            <v>70</v>
          </cell>
          <cell r="AI19">
            <v>0.8</v>
          </cell>
          <cell r="AJ19"/>
        </row>
        <row r="20">
          <cell r="A20" t="str">
            <v>ЖАР-ладушки с клубникой и вишней ТМ Стародворье 0,2 кг.  Поком</v>
          </cell>
          <cell r="B20" t="str">
            <v>шт</v>
          </cell>
          <cell r="C20">
            <v>56</v>
          </cell>
          <cell r="D20"/>
          <cell r="E20"/>
          <cell r="F20">
            <v>56</v>
          </cell>
          <cell r="G20">
            <v>0</v>
          </cell>
          <cell r="H20"/>
          <cell r="I20" t="str">
            <v>завод вывел</v>
          </cell>
          <cell r="J20"/>
          <cell r="K20">
            <v>16</v>
          </cell>
          <cell r="L20">
            <v>-16</v>
          </cell>
          <cell r="M20"/>
          <cell r="N20"/>
          <cell r="O20">
            <v>0</v>
          </cell>
          <cell r="P20">
            <v>0</v>
          </cell>
          <cell r="Q20">
            <v>0</v>
          </cell>
          <cell r="R20"/>
          <cell r="S20"/>
          <cell r="T20" t="e">
            <v>#DIV/0!</v>
          </cell>
          <cell r="U20" t="e">
            <v>#DIV/0!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str">
            <v>нужно увеличить продажи!!! / НЕТ В БЛАНКЕ</v>
          </cell>
          <cell r="AC20"/>
          <cell r="AD20"/>
          <cell r="AE20"/>
          <cell r="AF20"/>
          <cell r="AG20"/>
          <cell r="AH20"/>
          <cell r="AI20"/>
          <cell r="AJ20"/>
        </row>
        <row r="21">
          <cell r="A21" t="str">
            <v>Жареные вареники с картофелем и беконом ТМ Стародворье 0,2 кг  ПОКОМ</v>
          </cell>
          <cell r="B21" t="str">
            <v>шт</v>
          </cell>
          <cell r="C21"/>
          <cell r="D21"/>
          <cell r="E21"/>
          <cell r="F21"/>
          <cell r="G21">
            <v>0.2</v>
          </cell>
          <cell r="H21">
            <v>180</v>
          </cell>
          <cell r="I21" t="str">
            <v>P005129</v>
          </cell>
          <cell r="J21"/>
          <cell r="K21">
            <v>16</v>
          </cell>
          <cell r="L21">
            <v>-16</v>
          </cell>
          <cell r="M21"/>
          <cell r="N21"/>
          <cell r="O21">
            <v>336</v>
          </cell>
          <cell r="P21">
            <v>168</v>
          </cell>
          <cell r="Q21">
            <v>0</v>
          </cell>
          <cell r="R21"/>
          <cell r="S21">
            <v>0</v>
          </cell>
          <cell r="T21" t="e">
            <v>#DIV/0!</v>
          </cell>
          <cell r="U21" t="e">
            <v>#DIV/0!</v>
          </cell>
          <cell r="V21">
            <v>1.6</v>
          </cell>
          <cell r="W21">
            <v>22.8</v>
          </cell>
          <cell r="X21">
            <v>9.1999999999999993</v>
          </cell>
          <cell r="Y21">
            <v>4.2</v>
          </cell>
          <cell r="Z21">
            <v>9</v>
          </cell>
          <cell r="AA21">
            <v>12.8</v>
          </cell>
          <cell r="AB21"/>
          <cell r="AC21">
            <v>0</v>
          </cell>
          <cell r="AD21">
            <v>12</v>
          </cell>
          <cell r="AE21">
            <v>0</v>
          </cell>
          <cell r="AF21">
            <v>0</v>
          </cell>
          <cell r="AG21">
            <v>14</v>
          </cell>
          <cell r="AH21">
            <v>70</v>
          </cell>
          <cell r="AI21">
            <v>0</v>
          </cell>
          <cell r="AJ21"/>
        </row>
        <row r="22">
          <cell r="A22" t="str">
            <v>Круггетсы с сырным соусом ТМ Горячая штучка ТС Круггетсы флоу-пак 0,2 кг  ПОКОМ</v>
          </cell>
          <cell r="B22" t="str">
            <v>шт</v>
          </cell>
          <cell r="C22">
            <v>351</v>
          </cell>
          <cell r="D22"/>
          <cell r="E22">
            <v>399</v>
          </cell>
          <cell r="F22">
            <v>-5</v>
          </cell>
          <cell r="G22">
            <v>0.2</v>
          </cell>
          <cell r="H22">
            <v>180</v>
          </cell>
          <cell r="I22" t="str">
            <v>P004956</v>
          </cell>
          <cell r="J22"/>
          <cell r="K22">
            <v>356</v>
          </cell>
          <cell r="L22">
            <v>43</v>
          </cell>
          <cell r="M22"/>
          <cell r="N22"/>
          <cell r="O22">
            <v>336</v>
          </cell>
          <cell r="P22">
            <v>168</v>
          </cell>
          <cell r="Q22">
            <v>79.8</v>
          </cell>
          <cell r="R22">
            <v>857.59999999999991</v>
          </cell>
          <cell r="S22">
            <v>840</v>
          </cell>
          <cell r="T22">
            <v>16.779448621553886</v>
          </cell>
          <cell r="U22">
            <v>6.2531328320802011</v>
          </cell>
          <cell r="V22">
            <v>28.6</v>
          </cell>
          <cell r="W22">
            <v>48</v>
          </cell>
          <cell r="X22">
            <v>53.4</v>
          </cell>
          <cell r="Y22">
            <v>39.4</v>
          </cell>
          <cell r="Z22">
            <v>34.200000000000003</v>
          </cell>
          <cell r="AA22">
            <v>47.2</v>
          </cell>
          <cell r="AB22"/>
          <cell r="AC22">
            <v>171.51999999999998</v>
          </cell>
          <cell r="AD22">
            <v>12</v>
          </cell>
          <cell r="AE22">
            <v>70</v>
          </cell>
          <cell r="AF22">
            <v>168</v>
          </cell>
          <cell r="AG22">
            <v>14</v>
          </cell>
          <cell r="AH22">
            <v>70</v>
          </cell>
          <cell r="AI22">
            <v>1</v>
          </cell>
          <cell r="AJ22"/>
        </row>
        <row r="23">
          <cell r="A23" t="str">
            <v>Круггетсы сочные ТМ Горячая штучка ТС Круггетсы флоу-пак  0,2 кг.  ПОКОМ</v>
          </cell>
          <cell r="B23" t="str">
            <v>шт</v>
          </cell>
          <cell r="C23">
            <v>209</v>
          </cell>
          <cell r="D23">
            <v>1</v>
          </cell>
          <cell r="E23">
            <v>206</v>
          </cell>
          <cell r="F23">
            <v>15</v>
          </cell>
          <cell r="G23">
            <v>0.2</v>
          </cell>
          <cell r="H23">
            <v>180</v>
          </cell>
          <cell r="I23" t="str">
            <v>P004953</v>
          </cell>
          <cell r="J23"/>
          <cell r="K23">
            <v>192</v>
          </cell>
          <cell r="L23">
            <v>14</v>
          </cell>
          <cell r="M23"/>
          <cell r="N23"/>
          <cell r="O23">
            <v>336</v>
          </cell>
          <cell r="P23">
            <v>168</v>
          </cell>
          <cell r="Q23">
            <v>41.2</v>
          </cell>
          <cell r="R23">
            <v>181.40000000000009</v>
          </cell>
          <cell r="S23">
            <v>168</v>
          </cell>
          <cell r="T23">
            <v>16.674757281553397</v>
          </cell>
          <cell r="U23">
            <v>12.597087378640776</v>
          </cell>
          <cell r="V23">
            <v>26</v>
          </cell>
          <cell r="W23">
            <v>11.6</v>
          </cell>
          <cell r="X23">
            <v>21</v>
          </cell>
          <cell r="Y23">
            <v>11.4</v>
          </cell>
          <cell r="Z23">
            <v>19.8</v>
          </cell>
          <cell r="AA23">
            <v>25.2</v>
          </cell>
          <cell r="AB23"/>
          <cell r="AC23">
            <v>36.280000000000022</v>
          </cell>
          <cell r="AD23">
            <v>12</v>
          </cell>
          <cell r="AE23">
            <v>14</v>
          </cell>
          <cell r="AF23">
            <v>33.6</v>
          </cell>
          <cell r="AG23">
            <v>14</v>
          </cell>
          <cell r="AH23">
            <v>70</v>
          </cell>
          <cell r="AI23">
            <v>0.2</v>
          </cell>
          <cell r="AJ23"/>
        </row>
        <row r="24">
          <cell r="A24" t="str">
            <v>Мини-сосиски в тесте 5кг ВЕС ТМ Зареченские  ПОКОМ</v>
          </cell>
          <cell r="B24" t="str">
            <v>кг</v>
          </cell>
          <cell r="C24">
            <v>5</v>
          </cell>
          <cell r="D24"/>
          <cell r="E24"/>
          <cell r="F24">
            <v>5</v>
          </cell>
          <cell r="G24">
            <v>1</v>
          </cell>
          <cell r="H24">
            <v>180</v>
          </cell>
          <cell r="I24" t="str">
            <v>P005235</v>
          </cell>
          <cell r="J24"/>
          <cell r="K24">
            <v>60</v>
          </cell>
          <cell r="L24">
            <v>-60</v>
          </cell>
          <cell r="M24"/>
          <cell r="N24"/>
          <cell r="O24">
            <v>0</v>
          </cell>
          <cell r="P24">
            <v>60</v>
          </cell>
          <cell r="Q24">
            <v>0</v>
          </cell>
          <cell r="R24"/>
          <cell r="S24">
            <v>0</v>
          </cell>
          <cell r="T24" t="e">
            <v>#DIV/0!</v>
          </cell>
          <cell r="U24" t="e">
            <v>#DIV/0!</v>
          </cell>
          <cell r="V24">
            <v>0</v>
          </cell>
          <cell r="W24">
            <v>10</v>
          </cell>
          <cell r="X24">
            <v>20</v>
          </cell>
          <cell r="Y24">
            <v>20</v>
          </cell>
          <cell r="Z24">
            <v>18</v>
          </cell>
          <cell r="AA24">
            <v>15</v>
          </cell>
          <cell r="AB24"/>
          <cell r="AC24">
            <v>0</v>
          </cell>
          <cell r="AD24">
            <v>5</v>
          </cell>
          <cell r="AE24">
            <v>0</v>
          </cell>
          <cell r="AF24">
            <v>0</v>
          </cell>
          <cell r="AG24">
            <v>12</v>
          </cell>
          <cell r="AH24">
            <v>84</v>
          </cell>
          <cell r="AI24">
            <v>0</v>
          </cell>
          <cell r="AJ24"/>
        </row>
        <row r="25">
          <cell r="A25" t="str">
            <v>Мини-шарики с курочкой и сыром ТМ Зареченские ВЕС ПОКОМ</v>
          </cell>
          <cell r="B25" t="str">
            <v>кг</v>
          </cell>
          <cell r="C25">
            <v>111</v>
          </cell>
          <cell r="D25"/>
          <cell r="E25">
            <v>42</v>
          </cell>
          <cell r="F25">
            <v>66</v>
          </cell>
          <cell r="G25">
            <v>1</v>
          </cell>
          <cell r="H25">
            <v>180</v>
          </cell>
          <cell r="I25" t="str">
            <v>P004394</v>
          </cell>
          <cell r="J25"/>
          <cell r="K25">
            <v>41.8</v>
          </cell>
          <cell r="L25">
            <v>0.20000000000000284</v>
          </cell>
          <cell r="M25"/>
          <cell r="N25"/>
          <cell r="O25">
            <v>210</v>
          </cell>
          <cell r="P25">
            <v>210</v>
          </cell>
          <cell r="Q25">
            <v>8.4</v>
          </cell>
          <cell r="R25"/>
          <cell r="S25">
            <v>0</v>
          </cell>
          <cell r="T25">
            <v>57.857142857142854</v>
          </cell>
          <cell r="U25">
            <v>57.857142857142854</v>
          </cell>
          <cell r="V25">
            <v>14.4</v>
          </cell>
          <cell r="W25">
            <v>7.2</v>
          </cell>
          <cell r="X25">
            <v>12.6</v>
          </cell>
          <cell r="Y25">
            <v>11.4</v>
          </cell>
          <cell r="Z25">
            <v>10.74</v>
          </cell>
          <cell r="AA25">
            <v>12.6</v>
          </cell>
          <cell r="AB25"/>
          <cell r="AC25">
            <v>0</v>
          </cell>
          <cell r="AD25">
            <v>3</v>
          </cell>
          <cell r="AE25">
            <v>0</v>
          </cell>
          <cell r="AF25">
            <v>0</v>
          </cell>
          <cell r="AG25">
            <v>14</v>
          </cell>
          <cell r="AH25">
            <v>126</v>
          </cell>
          <cell r="AI25">
            <v>0</v>
          </cell>
          <cell r="AJ25"/>
        </row>
        <row r="26">
          <cell r="A26" t="str">
            <v>Наггетсы Нагетосы Сочная курочка ТМ Горячая штучка 0,25 кг зам  ПОКОМ</v>
          </cell>
          <cell r="B26" t="str">
            <v>шт</v>
          </cell>
          <cell r="C26">
            <v>139</v>
          </cell>
          <cell r="D26">
            <v>8</v>
          </cell>
          <cell r="E26">
            <v>257</v>
          </cell>
          <cell r="F26">
            <v>-76</v>
          </cell>
          <cell r="G26">
            <v>0.25</v>
          </cell>
          <cell r="H26">
            <v>365</v>
          </cell>
          <cell r="I26" t="str">
            <v>P004602</v>
          </cell>
          <cell r="J26"/>
          <cell r="K26">
            <v>217</v>
          </cell>
          <cell r="L26">
            <v>40</v>
          </cell>
          <cell r="M26"/>
          <cell r="N26"/>
          <cell r="O26">
            <v>840</v>
          </cell>
          <cell r="P26">
            <v>336</v>
          </cell>
          <cell r="Q26">
            <v>51.4</v>
          </cell>
          <cell r="R26"/>
          <cell r="S26">
            <v>0</v>
          </cell>
          <cell r="T26">
            <v>21.400778210116734</v>
          </cell>
          <cell r="U26">
            <v>21.400778210116734</v>
          </cell>
          <cell r="V26">
            <v>75</v>
          </cell>
          <cell r="W26">
            <v>81.2</v>
          </cell>
          <cell r="X26">
            <v>69.599999999999994</v>
          </cell>
          <cell r="Y26">
            <v>60.6</v>
          </cell>
          <cell r="Z26">
            <v>69.8</v>
          </cell>
          <cell r="AA26">
            <v>72.8</v>
          </cell>
          <cell r="AB26"/>
          <cell r="AC26">
            <v>0</v>
          </cell>
          <cell r="AD26">
            <v>6</v>
          </cell>
          <cell r="AE26">
            <v>0</v>
          </cell>
          <cell r="AF26">
            <v>0</v>
          </cell>
          <cell r="AG26">
            <v>14</v>
          </cell>
          <cell r="AH26">
            <v>140</v>
          </cell>
          <cell r="AI26">
            <v>0</v>
          </cell>
          <cell r="AJ26"/>
        </row>
        <row r="27">
          <cell r="A27" t="str">
            <v>Наггетсы Нагетосы Сочная курочка со сметаной и зеленью ТМ Горячая штучка флоу-пак 0,25 кг  Поком</v>
          </cell>
          <cell r="B27" t="str">
            <v>шт</v>
          </cell>
          <cell r="C27">
            <v>180</v>
          </cell>
          <cell r="D27">
            <v>4</v>
          </cell>
          <cell r="E27">
            <v>207</v>
          </cell>
          <cell r="F27"/>
          <cell r="G27">
            <v>0.25</v>
          </cell>
          <cell r="H27">
            <v>365</v>
          </cell>
          <cell r="I27" t="str">
            <v>P004600</v>
          </cell>
          <cell r="J27"/>
          <cell r="K27">
            <v>185</v>
          </cell>
          <cell r="L27">
            <v>22</v>
          </cell>
          <cell r="M27"/>
          <cell r="N27"/>
          <cell r="O27">
            <v>0</v>
          </cell>
          <cell r="P27">
            <v>84</v>
          </cell>
          <cell r="Q27">
            <v>41.4</v>
          </cell>
          <cell r="R27">
            <v>619.79999999999995</v>
          </cell>
          <cell r="S27">
            <v>588</v>
          </cell>
          <cell r="T27">
            <v>16.231884057971016</v>
          </cell>
          <cell r="U27">
            <v>2.0289855072463769</v>
          </cell>
          <cell r="V27">
            <v>14.4</v>
          </cell>
          <cell r="W27">
            <v>14.4</v>
          </cell>
          <cell r="X27">
            <v>19.2</v>
          </cell>
          <cell r="Y27">
            <v>13.6</v>
          </cell>
          <cell r="Z27">
            <v>20.8</v>
          </cell>
          <cell r="AA27">
            <v>33.4</v>
          </cell>
          <cell r="AB27"/>
          <cell r="AC27">
            <v>154.94999999999999</v>
          </cell>
          <cell r="AD27">
            <v>6</v>
          </cell>
          <cell r="AE27">
            <v>98</v>
          </cell>
          <cell r="AF27">
            <v>147</v>
          </cell>
          <cell r="AG27">
            <v>14</v>
          </cell>
          <cell r="AH27">
            <v>140</v>
          </cell>
          <cell r="AI27">
            <v>0.7</v>
          </cell>
          <cell r="AJ27"/>
        </row>
        <row r="28">
          <cell r="A28" t="str">
            <v>Наггетсы Хрустящие ТМ Зареченские ТС Зареченские продукты. Поком</v>
          </cell>
          <cell r="B28" t="str">
            <v>кг</v>
          </cell>
          <cell r="C28"/>
          <cell r="D28"/>
          <cell r="E28"/>
          <cell r="F28"/>
          <cell r="G28">
            <v>1</v>
          </cell>
          <cell r="H28">
            <v>180</v>
          </cell>
          <cell r="I28" t="str">
            <v>P003486</v>
          </cell>
          <cell r="J28"/>
          <cell r="K28">
            <v>11</v>
          </cell>
          <cell r="L28">
            <v>-11</v>
          </cell>
          <cell r="M28"/>
          <cell r="N28"/>
          <cell r="O28">
            <v>0</v>
          </cell>
          <cell r="P28">
            <v>468</v>
          </cell>
          <cell r="Q28">
            <v>0</v>
          </cell>
          <cell r="R28"/>
          <cell r="S28">
            <v>0</v>
          </cell>
          <cell r="T28" t="e">
            <v>#DIV/0!</v>
          </cell>
          <cell r="U28" t="e">
            <v>#DIV/0!</v>
          </cell>
          <cell r="V28">
            <v>0</v>
          </cell>
          <cell r="W28">
            <v>14.4</v>
          </cell>
          <cell r="X28">
            <v>32.4</v>
          </cell>
          <cell r="Y28">
            <v>0</v>
          </cell>
          <cell r="Z28">
            <v>0</v>
          </cell>
          <cell r="AA28">
            <v>39.6</v>
          </cell>
          <cell r="AB28"/>
          <cell r="AC28">
            <v>0</v>
          </cell>
          <cell r="AD28">
            <v>6</v>
          </cell>
          <cell r="AE28">
            <v>0</v>
          </cell>
          <cell r="AF28">
            <v>0</v>
          </cell>
          <cell r="AG28">
            <v>12</v>
          </cell>
          <cell r="AH28">
            <v>84</v>
          </cell>
          <cell r="AI28">
            <v>0</v>
          </cell>
          <cell r="AJ28"/>
        </row>
        <row r="29">
          <cell r="A29" t="str">
            <v>Наггетсы Хрустящие ТМ Стародворье с сочной курочкой 0,23 кг  ПОКОМ</v>
          </cell>
          <cell r="B29" t="str">
            <v>шт</v>
          </cell>
          <cell r="C29">
            <v>13</v>
          </cell>
          <cell r="D29"/>
          <cell r="E29">
            <v>32</v>
          </cell>
          <cell r="F29"/>
          <cell r="G29">
            <v>0.23</v>
          </cell>
          <cell r="H29">
            <v>180</v>
          </cell>
          <cell r="I29" t="str">
            <v>P005043</v>
          </cell>
          <cell r="J29"/>
          <cell r="K29">
            <v>72</v>
          </cell>
          <cell r="L29">
            <v>-40</v>
          </cell>
          <cell r="M29"/>
          <cell r="N29"/>
          <cell r="O29">
            <v>168</v>
          </cell>
          <cell r="P29">
            <v>336</v>
          </cell>
          <cell r="Q29">
            <v>6.4</v>
          </cell>
          <cell r="R29"/>
          <cell r="S29">
            <v>0</v>
          </cell>
          <cell r="T29">
            <v>78.75</v>
          </cell>
          <cell r="U29">
            <v>78.75</v>
          </cell>
          <cell r="V29">
            <v>20.399999999999999</v>
          </cell>
          <cell r="W29">
            <v>12.6</v>
          </cell>
          <cell r="X29">
            <v>7.6</v>
          </cell>
          <cell r="Y29">
            <v>20.2</v>
          </cell>
          <cell r="Z29">
            <v>12.6</v>
          </cell>
          <cell r="AA29">
            <v>17.8</v>
          </cell>
          <cell r="AB29"/>
          <cell r="AC29">
            <v>0</v>
          </cell>
          <cell r="AD29">
            <v>12</v>
          </cell>
          <cell r="AE29">
            <v>0</v>
          </cell>
          <cell r="AF29">
            <v>0</v>
          </cell>
          <cell r="AG29">
            <v>14</v>
          </cell>
          <cell r="AH29">
            <v>70</v>
          </cell>
          <cell r="AI29">
            <v>0</v>
          </cell>
          <cell r="AJ29"/>
        </row>
        <row r="30">
          <cell r="A30" t="str">
            <v>Наггетсы из печи 0,25кг ТМ Вязанка замор.  ПОКОМ</v>
          </cell>
          <cell r="B30" t="str">
            <v>шт</v>
          </cell>
          <cell r="C30">
            <v>172</v>
          </cell>
          <cell r="D30">
            <v>3</v>
          </cell>
          <cell r="E30">
            <v>197</v>
          </cell>
          <cell r="F30">
            <v>-2</v>
          </cell>
          <cell r="G30">
            <v>0.25</v>
          </cell>
          <cell r="H30">
            <v>365</v>
          </cell>
          <cell r="I30" t="str">
            <v>P004497</v>
          </cell>
          <cell r="J30"/>
          <cell r="K30">
            <v>200</v>
          </cell>
          <cell r="L30">
            <v>-3</v>
          </cell>
          <cell r="M30"/>
          <cell r="N30"/>
          <cell r="O30">
            <v>840</v>
          </cell>
          <cell r="P30">
            <v>168</v>
          </cell>
          <cell r="Q30">
            <v>39.4</v>
          </cell>
          <cell r="R30"/>
          <cell r="S30">
            <v>0</v>
          </cell>
          <cell r="T30">
            <v>25.532994923857871</v>
          </cell>
          <cell r="U30">
            <v>25.532994923857871</v>
          </cell>
          <cell r="V30">
            <v>58.6</v>
          </cell>
          <cell r="W30">
            <v>86.2</v>
          </cell>
          <cell r="X30">
            <v>60.2</v>
          </cell>
          <cell r="Y30">
            <v>80</v>
          </cell>
          <cell r="Z30">
            <v>40.799999999999997</v>
          </cell>
          <cell r="AA30">
            <v>47.8</v>
          </cell>
          <cell r="AB30"/>
          <cell r="AC30">
            <v>0</v>
          </cell>
          <cell r="AD30">
            <v>12</v>
          </cell>
          <cell r="AE30">
            <v>0</v>
          </cell>
          <cell r="AF30">
            <v>0</v>
          </cell>
          <cell r="AG30">
            <v>14</v>
          </cell>
          <cell r="AH30">
            <v>70</v>
          </cell>
          <cell r="AI30">
            <v>0</v>
          </cell>
          <cell r="AJ30"/>
        </row>
        <row r="31">
          <cell r="A31" t="str">
            <v>Наггетсы с индейкой 0,25кг ТМ Вязанка ТС Из печи Сливушки ПОКОМ</v>
          </cell>
          <cell r="B31" t="str">
            <v>шт</v>
          </cell>
          <cell r="C31">
            <v>454</v>
          </cell>
          <cell r="D31">
            <v>15</v>
          </cell>
          <cell r="E31">
            <v>400</v>
          </cell>
          <cell r="F31">
            <v>97</v>
          </cell>
          <cell r="G31">
            <v>0.25</v>
          </cell>
          <cell r="H31">
            <v>365</v>
          </cell>
          <cell r="I31" t="str">
            <v>P004496</v>
          </cell>
          <cell r="J31"/>
          <cell r="K31">
            <v>358</v>
          </cell>
          <cell r="L31">
            <v>42</v>
          </cell>
          <cell r="M31"/>
          <cell r="N31"/>
          <cell r="O31">
            <v>504</v>
          </cell>
          <cell r="P31">
            <v>0</v>
          </cell>
          <cell r="Q31">
            <v>80</v>
          </cell>
          <cell r="R31">
            <v>759</v>
          </cell>
          <cell r="S31">
            <v>840</v>
          </cell>
          <cell r="T31">
            <v>18.012499999999999</v>
          </cell>
          <cell r="U31">
            <v>7.5125000000000002</v>
          </cell>
          <cell r="V31">
            <v>62.4</v>
          </cell>
          <cell r="W31">
            <v>38.4</v>
          </cell>
          <cell r="X31">
            <v>48.4</v>
          </cell>
          <cell r="Y31">
            <v>47.4</v>
          </cell>
          <cell r="Z31">
            <v>42.6</v>
          </cell>
          <cell r="AA31">
            <v>62</v>
          </cell>
          <cell r="AB31"/>
          <cell r="AC31">
            <v>189.75</v>
          </cell>
          <cell r="AD31">
            <v>12</v>
          </cell>
          <cell r="AE31">
            <v>70</v>
          </cell>
          <cell r="AF31">
            <v>210</v>
          </cell>
          <cell r="AG31">
            <v>14</v>
          </cell>
          <cell r="AH31">
            <v>70</v>
          </cell>
          <cell r="AI31">
            <v>1</v>
          </cell>
          <cell r="AJ31"/>
        </row>
        <row r="32">
          <cell r="A32" t="str">
            <v>Наггетсы с индейкой 0,25кг ТМ Вязанка ТС Няняггетсы Сливушки НД2 замор.  ПОКОМ</v>
          </cell>
          <cell r="B32" t="str">
            <v>шт</v>
          </cell>
          <cell r="C32">
            <v>-1</v>
          </cell>
          <cell r="D32"/>
          <cell r="E32"/>
          <cell r="F32">
            <v>-1</v>
          </cell>
          <cell r="G32">
            <v>0</v>
          </cell>
          <cell r="H32"/>
          <cell r="I32" t="str">
            <v>дубль</v>
          </cell>
          <cell r="J32" t="str">
            <v>Наггетсы с индейкой 0,25кг ТМ Вязанка ТС Из печи Сливушки ПОКОМ</v>
          </cell>
          <cell r="K32"/>
          <cell r="L32">
            <v>0</v>
          </cell>
          <cell r="M32"/>
          <cell r="N32"/>
          <cell r="O32"/>
          <cell r="P32"/>
          <cell r="Q32">
            <v>0</v>
          </cell>
          <cell r="R32"/>
          <cell r="S32"/>
          <cell r="T32" t="e">
            <v>#DIV/0!</v>
          </cell>
          <cell r="U32" t="e">
            <v>#DIV/0!</v>
          </cell>
          <cell r="V32">
            <v>0.2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/>
          <cell r="AC32"/>
          <cell r="AD32"/>
          <cell r="AE32"/>
          <cell r="AF32"/>
          <cell r="AG32"/>
          <cell r="AH32"/>
          <cell r="AI32"/>
          <cell r="AJ32"/>
        </row>
        <row r="33">
          <cell r="A33" t="str">
            <v>Наггетсы с куриным филе и сыром ТМ Вязанка ТС Из печи Сливушки 0,25 кг.  Поком</v>
          </cell>
          <cell r="B33" t="str">
            <v>шт</v>
          </cell>
          <cell r="C33">
            <v>164</v>
          </cell>
          <cell r="D33">
            <v>6</v>
          </cell>
          <cell r="E33">
            <v>193</v>
          </cell>
          <cell r="F33">
            <v>-8</v>
          </cell>
          <cell r="G33">
            <v>0.25</v>
          </cell>
          <cell r="H33">
            <v>180</v>
          </cell>
          <cell r="I33" t="str">
            <v>P004535</v>
          </cell>
          <cell r="J33"/>
          <cell r="K33">
            <v>178</v>
          </cell>
          <cell r="L33">
            <v>15</v>
          </cell>
          <cell r="M33"/>
          <cell r="N33"/>
          <cell r="O33">
            <v>336</v>
          </cell>
          <cell r="P33">
            <v>336</v>
          </cell>
          <cell r="Q33">
            <v>38.6</v>
          </cell>
          <cell r="R33"/>
          <cell r="S33">
            <v>0</v>
          </cell>
          <cell r="T33">
            <v>17.202072538860104</v>
          </cell>
          <cell r="U33">
            <v>17.202072538860104</v>
          </cell>
          <cell r="V33">
            <v>41.8</v>
          </cell>
          <cell r="W33">
            <v>52.6</v>
          </cell>
          <cell r="X33">
            <v>34.4</v>
          </cell>
          <cell r="Y33">
            <v>49.4</v>
          </cell>
          <cell r="Z33">
            <v>31.4</v>
          </cell>
          <cell r="AA33">
            <v>44.8</v>
          </cell>
          <cell r="AB33"/>
          <cell r="AC33">
            <v>0</v>
          </cell>
          <cell r="AD33">
            <v>12</v>
          </cell>
          <cell r="AE33">
            <v>0</v>
          </cell>
          <cell r="AF33">
            <v>0</v>
          </cell>
          <cell r="AG33">
            <v>14</v>
          </cell>
          <cell r="AH33">
            <v>70</v>
          </cell>
          <cell r="AI33">
            <v>0</v>
          </cell>
          <cell r="AJ33"/>
        </row>
        <row r="34">
          <cell r="A34" t="str">
            <v>Пекерсы с индейкой в сливочном соусе ТМ Горячая штучка 0,25 кг зам  ПОКОМ</v>
          </cell>
          <cell r="B34" t="str">
            <v>шт</v>
          </cell>
          <cell r="C34">
            <v>-4</v>
          </cell>
          <cell r="D34"/>
          <cell r="E34"/>
          <cell r="F34">
            <v>-4</v>
          </cell>
          <cell r="G34">
            <v>0.25</v>
          </cell>
          <cell r="H34">
            <v>180</v>
          </cell>
          <cell r="I34" t="str">
            <v>P004594</v>
          </cell>
          <cell r="J34"/>
          <cell r="K34">
            <v>13</v>
          </cell>
          <cell r="L34">
            <v>-13</v>
          </cell>
          <cell r="M34"/>
          <cell r="N34"/>
          <cell r="O34">
            <v>336</v>
          </cell>
          <cell r="P34">
            <v>0</v>
          </cell>
          <cell r="Q34">
            <v>0</v>
          </cell>
          <cell r="R34"/>
          <cell r="S34">
            <v>0</v>
          </cell>
          <cell r="T34" t="e">
            <v>#DIV/0!</v>
          </cell>
          <cell r="U34" t="e">
            <v>#DIV/0!</v>
          </cell>
          <cell r="V34">
            <v>4.4000000000000004</v>
          </cell>
          <cell r="W34">
            <v>17.600000000000001</v>
          </cell>
          <cell r="X34">
            <v>10.4</v>
          </cell>
          <cell r="Y34">
            <v>10.8</v>
          </cell>
          <cell r="Z34">
            <v>11.2</v>
          </cell>
          <cell r="AA34">
            <v>13.6</v>
          </cell>
          <cell r="AB34"/>
          <cell r="AC34">
            <v>0</v>
          </cell>
          <cell r="AD34">
            <v>12</v>
          </cell>
          <cell r="AE34">
            <v>0</v>
          </cell>
          <cell r="AF34">
            <v>0</v>
          </cell>
          <cell r="AG34">
            <v>14</v>
          </cell>
          <cell r="AH34">
            <v>70</v>
          </cell>
          <cell r="AI34">
            <v>0</v>
          </cell>
          <cell r="AJ34"/>
        </row>
        <row r="35">
          <cell r="A35" t="str">
            <v>Пельмени Grandmeni с говядиной ТМ Горячаяштучка флоу-пак сфера 0,7 кг.  Поком</v>
          </cell>
          <cell r="B35" t="str">
            <v>шт</v>
          </cell>
          <cell r="C35">
            <v>65</v>
          </cell>
          <cell r="D35"/>
          <cell r="E35">
            <v>65</v>
          </cell>
          <cell r="F35">
            <v>25</v>
          </cell>
          <cell r="G35">
            <v>0.7</v>
          </cell>
          <cell r="H35">
            <v>180</v>
          </cell>
          <cell r="I35" t="str">
            <v>P004887</v>
          </cell>
          <cell r="J35"/>
          <cell r="K35">
            <v>40</v>
          </cell>
          <cell r="L35">
            <v>25</v>
          </cell>
          <cell r="M35"/>
          <cell r="N35"/>
          <cell r="O35">
            <v>192</v>
          </cell>
          <cell r="P35">
            <v>96</v>
          </cell>
          <cell r="Q35">
            <v>13</v>
          </cell>
          <cell r="R35"/>
          <cell r="S35">
            <v>0</v>
          </cell>
          <cell r="T35">
            <v>24.076923076923077</v>
          </cell>
          <cell r="U35">
            <v>24.076923076923077</v>
          </cell>
          <cell r="V35">
            <v>17.2</v>
          </cell>
          <cell r="W35">
            <v>16.600000000000001</v>
          </cell>
          <cell r="X35">
            <v>11.6</v>
          </cell>
          <cell r="Y35">
            <v>14</v>
          </cell>
          <cell r="Z35">
            <v>15.4</v>
          </cell>
          <cell r="AA35">
            <v>18.600000000000001</v>
          </cell>
          <cell r="AB35"/>
          <cell r="AC35">
            <v>0</v>
          </cell>
          <cell r="AD35">
            <v>8</v>
          </cell>
          <cell r="AE35">
            <v>0</v>
          </cell>
          <cell r="AF35">
            <v>0</v>
          </cell>
          <cell r="AG35">
            <v>12</v>
          </cell>
          <cell r="AH35">
            <v>84</v>
          </cell>
          <cell r="AI35">
            <v>0</v>
          </cell>
          <cell r="AJ35"/>
        </row>
        <row r="36">
          <cell r="A36" t="str">
            <v>Пельмени Grandmeni с говядиной и свининой ТМ Горячаяштучка флоу-па классическая форма 0,7 кг.  Поком</v>
          </cell>
          <cell r="B36" t="str">
            <v>шт</v>
          </cell>
          <cell r="C36">
            <v>155</v>
          </cell>
          <cell r="D36">
            <v>3</v>
          </cell>
          <cell r="E36">
            <v>110</v>
          </cell>
          <cell r="F36">
            <v>60</v>
          </cell>
          <cell r="G36">
            <v>0.7</v>
          </cell>
          <cell r="H36">
            <v>180</v>
          </cell>
          <cell r="I36" t="str">
            <v>P004889</v>
          </cell>
          <cell r="J36"/>
          <cell r="K36">
            <v>98</v>
          </cell>
          <cell r="L36">
            <v>12</v>
          </cell>
          <cell r="M36"/>
          <cell r="N36"/>
          <cell r="O36">
            <v>192</v>
          </cell>
          <cell r="P36">
            <v>96</v>
          </cell>
          <cell r="Q36">
            <v>22</v>
          </cell>
          <cell r="R36"/>
          <cell r="S36">
            <v>0</v>
          </cell>
          <cell r="T36">
            <v>15.818181818181818</v>
          </cell>
          <cell r="U36">
            <v>15.818181818181818</v>
          </cell>
          <cell r="V36">
            <v>8.4</v>
          </cell>
          <cell r="W36">
            <v>18.399999999999999</v>
          </cell>
          <cell r="X36">
            <v>19</v>
          </cell>
          <cell r="Y36">
            <v>5.6</v>
          </cell>
          <cell r="Z36">
            <v>14</v>
          </cell>
          <cell r="AA36">
            <v>19.600000000000001</v>
          </cell>
          <cell r="AB36"/>
          <cell r="AC36">
            <v>0</v>
          </cell>
          <cell r="AD36">
            <v>8</v>
          </cell>
          <cell r="AE36">
            <v>0</v>
          </cell>
          <cell r="AF36">
            <v>0</v>
          </cell>
          <cell r="AG36">
            <v>12</v>
          </cell>
          <cell r="AH36">
            <v>84</v>
          </cell>
          <cell r="AI36">
            <v>0</v>
          </cell>
          <cell r="AJ36"/>
        </row>
        <row r="37">
          <cell r="A37" t="str">
            <v>Пельмени Grandmeni со сливочным маслом  ТМ Горячая штучка флоу-пак сфера 0,7 кг.  Поком</v>
          </cell>
          <cell r="B37" t="str">
            <v>шт</v>
          </cell>
          <cell r="C37">
            <v>159</v>
          </cell>
          <cell r="D37"/>
          <cell r="E37">
            <v>106</v>
          </cell>
          <cell r="F37">
            <v>56</v>
          </cell>
          <cell r="G37">
            <v>0.7</v>
          </cell>
          <cell r="H37">
            <v>180</v>
          </cell>
          <cell r="I37" t="str">
            <v>P004888</v>
          </cell>
          <cell r="J37"/>
          <cell r="K37">
            <v>103</v>
          </cell>
          <cell r="L37">
            <v>3</v>
          </cell>
          <cell r="M37"/>
          <cell r="N37"/>
          <cell r="O37">
            <v>96</v>
          </cell>
          <cell r="P37">
            <v>96</v>
          </cell>
          <cell r="Q37">
            <v>21.2</v>
          </cell>
          <cell r="R37">
            <v>112.39999999999998</v>
          </cell>
          <cell r="S37">
            <v>96</v>
          </cell>
          <cell r="T37">
            <v>16.226415094339622</v>
          </cell>
          <cell r="U37">
            <v>11.69811320754717</v>
          </cell>
          <cell r="V37">
            <v>17</v>
          </cell>
          <cell r="W37">
            <v>18.399999999999999</v>
          </cell>
          <cell r="X37">
            <v>15.2</v>
          </cell>
          <cell r="Y37">
            <v>22.4</v>
          </cell>
          <cell r="Z37">
            <v>18.600000000000001</v>
          </cell>
          <cell r="AA37">
            <v>17.600000000000001</v>
          </cell>
          <cell r="AB37"/>
          <cell r="AC37">
            <v>78.679999999999978</v>
          </cell>
          <cell r="AD37">
            <v>8</v>
          </cell>
          <cell r="AE37">
            <v>12</v>
          </cell>
          <cell r="AF37">
            <v>67.199999999999989</v>
          </cell>
          <cell r="AG37">
            <v>12</v>
          </cell>
          <cell r="AH37">
            <v>84</v>
          </cell>
          <cell r="AI37">
            <v>0.14285714285714285</v>
          </cell>
          <cell r="AJ37"/>
        </row>
        <row r="38">
          <cell r="A38" t="str">
            <v>Пельмени Бигбули #МЕГАВКУСИЩЕ с сочной грудинкой  ТМ Горячая штучка  флоу-пак сфера 0,7 кг.  Поком</v>
          </cell>
          <cell r="B38" t="str">
            <v>шт</v>
          </cell>
          <cell r="C38">
            <v>546</v>
          </cell>
          <cell r="D38"/>
          <cell r="E38">
            <v>332</v>
          </cell>
          <cell r="F38">
            <v>290</v>
          </cell>
          <cell r="G38">
            <v>0.7</v>
          </cell>
          <cell r="H38">
            <v>180</v>
          </cell>
          <cell r="I38" t="str">
            <v>P004440</v>
          </cell>
          <cell r="J38"/>
          <cell r="K38">
            <v>274</v>
          </cell>
          <cell r="L38">
            <v>58</v>
          </cell>
          <cell r="M38"/>
          <cell r="N38"/>
          <cell r="O38">
            <v>120</v>
          </cell>
          <cell r="P38">
            <v>360</v>
          </cell>
          <cell r="Q38">
            <v>66.400000000000006</v>
          </cell>
          <cell r="R38">
            <v>358.80000000000018</v>
          </cell>
          <cell r="S38">
            <v>360</v>
          </cell>
          <cell r="T38">
            <v>17.018072289156624</v>
          </cell>
          <cell r="U38">
            <v>11.596385542168674</v>
          </cell>
          <cell r="V38">
            <v>55.6</v>
          </cell>
          <cell r="W38">
            <v>27</v>
          </cell>
          <cell r="X38">
            <v>23.8</v>
          </cell>
          <cell r="Y38">
            <v>34.6</v>
          </cell>
          <cell r="Z38">
            <v>29.8</v>
          </cell>
          <cell r="AA38">
            <v>35.6</v>
          </cell>
          <cell r="AB38"/>
          <cell r="AC38">
            <v>251.16000000000011</v>
          </cell>
          <cell r="AD38">
            <v>10</v>
          </cell>
          <cell r="AE38">
            <v>36</v>
          </cell>
          <cell r="AF38">
            <v>251.99999999999997</v>
          </cell>
          <cell r="AG38">
            <v>12</v>
          </cell>
          <cell r="AH38">
            <v>84</v>
          </cell>
          <cell r="AI38">
            <v>0.42857142857142855</v>
          </cell>
          <cell r="AJ38"/>
        </row>
        <row r="39">
          <cell r="A39" t="str">
            <v>Пельмени Бигбули с мясом ТМ Горячая штучка БУЛЬМЕНИ ТС Бигбули ГШ  флоу-пак сфера 0,7.   Поком</v>
          </cell>
          <cell r="B39" t="str">
            <v>шт</v>
          </cell>
          <cell r="C39">
            <v>56</v>
          </cell>
          <cell r="D39">
            <v>3</v>
          </cell>
          <cell r="E39">
            <v>75</v>
          </cell>
          <cell r="F39">
            <v>-1</v>
          </cell>
          <cell r="G39">
            <v>0.7</v>
          </cell>
          <cell r="H39">
            <v>180</v>
          </cell>
          <cell r="I39" t="str">
            <v>P004442</v>
          </cell>
          <cell r="J39"/>
          <cell r="K39">
            <v>60</v>
          </cell>
          <cell r="L39">
            <v>15</v>
          </cell>
          <cell r="M39"/>
          <cell r="N39"/>
          <cell r="O39">
            <v>360</v>
          </cell>
          <cell r="P39">
            <v>0</v>
          </cell>
          <cell r="Q39">
            <v>15</v>
          </cell>
          <cell r="R39"/>
          <cell r="S39">
            <v>0</v>
          </cell>
          <cell r="T39">
            <v>23.933333333333334</v>
          </cell>
          <cell r="U39">
            <v>23.933333333333334</v>
          </cell>
          <cell r="V39">
            <v>10.8</v>
          </cell>
          <cell r="W39">
            <v>24</v>
          </cell>
          <cell r="X39">
            <v>23.8</v>
          </cell>
          <cell r="Y39">
            <v>24.6</v>
          </cell>
          <cell r="Z39">
            <v>31.4</v>
          </cell>
          <cell r="AA39">
            <v>31.2</v>
          </cell>
          <cell r="AB39"/>
          <cell r="AC39">
            <v>0</v>
          </cell>
          <cell r="AD39">
            <v>10</v>
          </cell>
          <cell r="AE39">
            <v>0</v>
          </cell>
          <cell r="AF39">
            <v>0</v>
          </cell>
          <cell r="AG39">
            <v>12</v>
          </cell>
          <cell r="AH39">
            <v>84</v>
          </cell>
          <cell r="AI39">
            <v>0</v>
          </cell>
          <cell r="AJ39"/>
        </row>
        <row r="40">
          <cell r="A40" t="str">
            <v>Пельмени Бигбули со сливочным маслом  ТС Бигбули ГШ#МЕГАМАСЛИЩЕ флоу-пак сфера 0,7.  Поком</v>
          </cell>
          <cell r="B40" t="str">
            <v>шт</v>
          </cell>
          <cell r="C40">
            <v>55</v>
          </cell>
          <cell r="D40">
            <v>4</v>
          </cell>
          <cell r="E40">
            <v>66</v>
          </cell>
          <cell r="F40">
            <v>8</v>
          </cell>
          <cell r="G40">
            <v>0.7</v>
          </cell>
          <cell r="H40">
            <v>180</v>
          </cell>
          <cell r="I40" t="str">
            <v>P004203</v>
          </cell>
          <cell r="J40"/>
          <cell r="K40">
            <v>156</v>
          </cell>
          <cell r="L40">
            <v>-90</v>
          </cell>
          <cell r="M40"/>
          <cell r="N40"/>
          <cell r="O40">
            <v>600</v>
          </cell>
          <cell r="P40">
            <v>0</v>
          </cell>
          <cell r="Q40">
            <v>13.2</v>
          </cell>
          <cell r="R40"/>
          <cell r="S40">
            <v>0</v>
          </cell>
          <cell r="T40">
            <v>46.060606060606062</v>
          </cell>
          <cell r="U40">
            <v>46.060606060606062</v>
          </cell>
          <cell r="V40">
            <v>37.4</v>
          </cell>
          <cell r="W40">
            <v>64.8</v>
          </cell>
          <cell r="X40">
            <v>45</v>
          </cell>
          <cell r="Y40">
            <v>42.2</v>
          </cell>
          <cell r="Z40">
            <v>59.6</v>
          </cell>
          <cell r="AA40">
            <v>50</v>
          </cell>
          <cell r="AB40"/>
          <cell r="AC40">
            <v>0</v>
          </cell>
          <cell r="AD40">
            <v>10</v>
          </cell>
          <cell r="AE40">
            <v>0</v>
          </cell>
          <cell r="AF40">
            <v>0</v>
          </cell>
          <cell r="AG40">
            <v>12</v>
          </cell>
          <cell r="AH40">
            <v>84</v>
          </cell>
          <cell r="AI40">
            <v>0</v>
          </cell>
          <cell r="AJ40"/>
        </row>
        <row r="41">
          <cell r="A41" t="str">
            <v>Пельмени Бульмени мини с мясом и оливковым маслом  ТС Бульмени ГШ флоу-пак сфера 0,7кг  Поком</v>
          </cell>
          <cell r="B41" t="str">
            <v>шт</v>
          </cell>
          <cell r="C41">
            <v>346</v>
          </cell>
          <cell r="D41"/>
          <cell r="E41">
            <v>165</v>
          </cell>
          <cell r="F41">
            <v>187</v>
          </cell>
          <cell r="G41">
            <v>0.7</v>
          </cell>
          <cell r="H41">
            <v>180</v>
          </cell>
          <cell r="I41" t="str">
            <v>P004819</v>
          </cell>
          <cell r="J41"/>
          <cell r="K41">
            <v>259</v>
          </cell>
          <cell r="L41">
            <v>-94</v>
          </cell>
          <cell r="M41"/>
          <cell r="N41"/>
          <cell r="O41">
            <v>0</v>
          </cell>
          <cell r="P41">
            <v>120</v>
          </cell>
          <cell r="Q41">
            <v>33</v>
          </cell>
          <cell r="R41">
            <v>254</v>
          </cell>
          <cell r="S41">
            <v>240</v>
          </cell>
          <cell r="T41">
            <v>16.575757575757574</v>
          </cell>
          <cell r="U41">
            <v>9.3030303030303028</v>
          </cell>
          <cell r="V41">
            <v>18.8</v>
          </cell>
          <cell r="W41">
            <v>15.4</v>
          </cell>
          <cell r="X41">
            <v>18.8</v>
          </cell>
          <cell r="Y41">
            <v>27.4</v>
          </cell>
          <cell r="Z41">
            <v>12</v>
          </cell>
          <cell r="AA41">
            <v>12.4</v>
          </cell>
          <cell r="AB41"/>
          <cell r="AC41">
            <v>177.79999999999998</v>
          </cell>
          <cell r="AD41">
            <v>10</v>
          </cell>
          <cell r="AE41">
            <v>24</v>
          </cell>
          <cell r="AF41">
            <v>168</v>
          </cell>
          <cell r="AG41">
            <v>12</v>
          </cell>
          <cell r="AH41">
            <v>84</v>
          </cell>
          <cell r="AI41">
            <v>0.2857142857142857</v>
          </cell>
          <cell r="AJ41"/>
        </row>
        <row r="42">
          <cell r="A42" t="str">
            <v>Пельмени Бульмени с говядиной и свининой Наваристые Горячая штучка ВЕС  ПОКОМ</v>
          </cell>
          <cell r="B42" t="str">
            <v>кг</v>
          </cell>
          <cell r="C42">
            <v>455</v>
          </cell>
          <cell r="D42">
            <v>15</v>
          </cell>
          <cell r="E42">
            <v>350</v>
          </cell>
          <cell r="F42">
            <v>100</v>
          </cell>
          <cell r="G42">
            <v>1</v>
          </cell>
          <cell r="H42">
            <v>180</v>
          </cell>
          <cell r="I42" t="str">
            <v>P003697</v>
          </cell>
          <cell r="J42"/>
          <cell r="K42">
            <v>350</v>
          </cell>
          <cell r="L42">
            <v>0</v>
          </cell>
          <cell r="M42"/>
          <cell r="N42"/>
          <cell r="O42">
            <v>0</v>
          </cell>
          <cell r="P42">
            <v>660</v>
          </cell>
          <cell r="Q42">
            <v>70</v>
          </cell>
          <cell r="R42">
            <v>430</v>
          </cell>
          <cell r="S42">
            <v>420</v>
          </cell>
          <cell r="T42">
            <v>16.857142857142858</v>
          </cell>
          <cell r="U42">
            <v>10.857142857142858</v>
          </cell>
          <cell r="V42">
            <v>84</v>
          </cell>
          <cell r="W42">
            <v>62</v>
          </cell>
          <cell r="X42">
            <v>77</v>
          </cell>
          <cell r="Y42">
            <v>89</v>
          </cell>
          <cell r="Z42">
            <v>77</v>
          </cell>
          <cell r="AA42">
            <v>73</v>
          </cell>
          <cell r="AB42"/>
          <cell r="AC42">
            <v>430</v>
          </cell>
          <cell r="AD42">
            <v>5</v>
          </cell>
          <cell r="AE42">
            <v>84</v>
          </cell>
          <cell r="AF42">
            <v>420</v>
          </cell>
          <cell r="AG42">
            <v>12</v>
          </cell>
          <cell r="AH42">
            <v>144</v>
          </cell>
          <cell r="AI42">
            <v>0.58333333333333337</v>
          </cell>
          <cell r="AJ42"/>
        </row>
        <row r="43">
          <cell r="A43" t="str">
            <v>Пельмени Бульмени с говядиной и свининой ТМ Горячая штучка  флоу-пак сфера 0,4 кг  Поком</v>
          </cell>
          <cell r="B43" t="str">
            <v>шт</v>
          </cell>
          <cell r="C43">
            <v>1113</v>
          </cell>
          <cell r="D43"/>
          <cell r="E43">
            <v>209</v>
          </cell>
          <cell r="F43">
            <v>894</v>
          </cell>
          <cell r="G43">
            <v>0.4</v>
          </cell>
          <cell r="H43">
            <v>180</v>
          </cell>
          <cell r="I43" t="str">
            <v>P004474</v>
          </cell>
          <cell r="J43"/>
          <cell r="K43">
            <v>214</v>
          </cell>
          <cell r="L43">
            <v>-5</v>
          </cell>
          <cell r="M43"/>
          <cell r="N43"/>
          <cell r="O43">
            <v>0</v>
          </cell>
          <cell r="P43">
            <v>0</v>
          </cell>
          <cell r="Q43">
            <v>41.8</v>
          </cell>
          <cell r="R43"/>
          <cell r="S43">
            <v>0</v>
          </cell>
          <cell r="T43">
            <v>21.387559808612441</v>
          </cell>
          <cell r="U43">
            <v>21.387559808612441</v>
          </cell>
          <cell r="V43">
            <v>51</v>
          </cell>
          <cell r="W43">
            <v>41</v>
          </cell>
          <cell r="X43">
            <v>0</v>
          </cell>
          <cell r="Y43">
            <v>63.8</v>
          </cell>
          <cell r="Z43">
            <v>19.600000000000001</v>
          </cell>
          <cell r="AA43">
            <v>52.8</v>
          </cell>
          <cell r="AB43"/>
          <cell r="AC43">
            <v>0</v>
          </cell>
          <cell r="AD43">
            <v>16</v>
          </cell>
          <cell r="AE43">
            <v>0</v>
          </cell>
          <cell r="AF43">
            <v>0</v>
          </cell>
          <cell r="AG43">
            <v>12</v>
          </cell>
          <cell r="AH43">
            <v>84</v>
          </cell>
          <cell r="AI43">
            <v>0</v>
          </cell>
          <cell r="AJ43"/>
        </row>
        <row r="44">
          <cell r="A44" t="str">
            <v>Пельмени Бульмени с говядиной и свининой ТМ Горячая штучка БУЛЬМЕНИ  флоу-пак сфера 0,7 кг.  Поком</v>
          </cell>
          <cell r="B44" t="str">
            <v>шт</v>
          </cell>
          <cell r="C44">
            <v>1247</v>
          </cell>
          <cell r="D44">
            <v>20</v>
          </cell>
          <cell r="E44">
            <v>463</v>
          </cell>
          <cell r="F44">
            <v>794</v>
          </cell>
          <cell r="G44">
            <v>0.7</v>
          </cell>
          <cell r="H44">
            <v>180</v>
          </cell>
          <cell r="I44" t="str">
            <v>P004345</v>
          </cell>
          <cell r="J44"/>
          <cell r="K44">
            <v>466</v>
          </cell>
          <cell r="L44">
            <v>-3</v>
          </cell>
          <cell r="M44"/>
          <cell r="N44"/>
          <cell r="O44">
            <v>0</v>
          </cell>
          <cell r="P44">
            <v>720</v>
          </cell>
          <cell r="Q44">
            <v>92.6</v>
          </cell>
          <cell r="R44"/>
          <cell r="S44">
            <v>0</v>
          </cell>
          <cell r="T44">
            <v>16.349892008639308</v>
          </cell>
          <cell r="U44">
            <v>16.349892008639308</v>
          </cell>
          <cell r="V44">
            <v>136.80000000000001</v>
          </cell>
          <cell r="W44">
            <v>79</v>
          </cell>
          <cell r="X44">
            <v>89.8</v>
          </cell>
          <cell r="Y44">
            <v>129.6</v>
          </cell>
          <cell r="Z44">
            <v>82.8</v>
          </cell>
          <cell r="AA44">
            <v>110.8</v>
          </cell>
          <cell r="AB44"/>
          <cell r="AC44">
            <v>0</v>
          </cell>
          <cell r="AD44">
            <v>10</v>
          </cell>
          <cell r="AE44">
            <v>0</v>
          </cell>
          <cell r="AF44">
            <v>0</v>
          </cell>
          <cell r="AG44">
            <v>12</v>
          </cell>
          <cell r="AH44">
            <v>84</v>
          </cell>
          <cell r="AI44">
            <v>0</v>
          </cell>
          <cell r="AJ44"/>
        </row>
        <row r="45">
          <cell r="A45" t="str">
            <v>Пельмени Бульмени со сливочным маслом ТМ Горячая штучка  флоу-пак сфера 0,4 кг .  Поком</v>
          </cell>
          <cell r="B45" t="str">
            <v>шт</v>
          </cell>
          <cell r="C45">
            <v>990</v>
          </cell>
          <cell r="D45">
            <v>15</v>
          </cell>
          <cell r="E45">
            <v>216</v>
          </cell>
          <cell r="F45">
            <v>757</v>
          </cell>
          <cell r="G45">
            <v>0.4</v>
          </cell>
          <cell r="H45">
            <v>180</v>
          </cell>
          <cell r="I45" t="str">
            <v>P004444</v>
          </cell>
          <cell r="J45"/>
          <cell r="K45">
            <v>244</v>
          </cell>
          <cell r="L45">
            <v>-28</v>
          </cell>
          <cell r="M45"/>
          <cell r="N45"/>
          <cell r="O45">
            <v>0</v>
          </cell>
          <cell r="P45">
            <v>0</v>
          </cell>
          <cell r="Q45">
            <v>43.2</v>
          </cell>
          <cell r="R45"/>
          <cell r="S45">
            <v>0</v>
          </cell>
          <cell r="T45">
            <v>17.523148148148145</v>
          </cell>
          <cell r="U45">
            <v>17.523148148148145</v>
          </cell>
          <cell r="V45">
            <v>53.2</v>
          </cell>
          <cell r="W45">
            <v>53.8</v>
          </cell>
          <cell r="X45">
            <v>51.6</v>
          </cell>
          <cell r="Y45">
            <v>75.599999999999994</v>
          </cell>
          <cell r="Z45">
            <v>52.6</v>
          </cell>
          <cell r="AA45">
            <v>50.4</v>
          </cell>
          <cell r="AB45"/>
          <cell r="AC45">
            <v>0</v>
          </cell>
          <cell r="AD45">
            <v>16</v>
          </cell>
          <cell r="AE45">
            <v>0</v>
          </cell>
          <cell r="AF45">
            <v>0</v>
          </cell>
          <cell r="AG45">
            <v>12</v>
          </cell>
          <cell r="AH45">
            <v>84</v>
          </cell>
          <cell r="AI45">
            <v>0</v>
          </cell>
          <cell r="AJ45"/>
        </row>
        <row r="46">
          <cell r="A46" t="str">
            <v>Пельмени Бульмени со сливочным маслом ТМ Горячая штучка флоу-пак сфера 0,7 кг .  Поком</v>
          </cell>
          <cell r="B46" t="str">
            <v>шт</v>
          </cell>
          <cell r="C46">
            <v>803</v>
          </cell>
          <cell r="D46">
            <v>18</v>
          </cell>
          <cell r="E46">
            <v>847</v>
          </cell>
          <cell r="F46">
            <v>67</v>
          </cell>
          <cell r="G46">
            <v>0.7</v>
          </cell>
          <cell r="H46">
            <v>180</v>
          </cell>
          <cell r="I46" t="str">
            <v>P004346</v>
          </cell>
          <cell r="J46"/>
          <cell r="K46">
            <v>728</v>
          </cell>
          <cell r="L46">
            <v>119</v>
          </cell>
          <cell r="M46"/>
          <cell r="N46"/>
          <cell r="O46">
            <v>720</v>
          </cell>
          <cell r="P46">
            <v>960</v>
          </cell>
          <cell r="Q46">
            <v>169.4</v>
          </cell>
          <cell r="R46">
            <v>1132.8000000000002</v>
          </cell>
          <cell r="S46">
            <v>1080</v>
          </cell>
          <cell r="T46">
            <v>16.688311688311689</v>
          </cell>
          <cell r="U46">
            <v>10.312868949232586</v>
          </cell>
          <cell r="V46">
            <v>179.4</v>
          </cell>
          <cell r="W46">
            <v>161.80000000000001</v>
          </cell>
          <cell r="X46">
            <v>176.4</v>
          </cell>
          <cell r="Y46">
            <v>190.8</v>
          </cell>
          <cell r="Z46">
            <v>129.19999999999999</v>
          </cell>
          <cell r="AA46">
            <v>167</v>
          </cell>
          <cell r="AB46"/>
          <cell r="AC46">
            <v>792.96</v>
          </cell>
          <cell r="AD46">
            <v>10</v>
          </cell>
          <cell r="AE46">
            <v>108</v>
          </cell>
          <cell r="AF46">
            <v>756</v>
          </cell>
          <cell r="AG46">
            <v>12</v>
          </cell>
          <cell r="AH46">
            <v>84</v>
          </cell>
          <cell r="AI46">
            <v>1.2857142857142858</v>
          </cell>
          <cell r="AJ46"/>
        </row>
        <row r="47">
          <cell r="A47" t="str">
            <v>Пельмени Домашние со сливочным маслом ТМ Зареченские  продукты флоу-пак сфера 0,7 кг.  Поком</v>
          </cell>
          <cell r="B47" t="str">
            <v>шт</v>
          </cell>
          <cell r="C47">
            <v>370</v>
          </cell>
          <cell r="D47">
            <v>6</v>
          </cell>
          <cell r="E47">
            <v>325</v>
          </cell>
          <cell r="F47">
            <v>85</v>
          </cell>
          <cell r="G47">
            <v>0.7</v>
          </cell>
          <cell r="H47">
            <v>180</v>
          </cell>
          <cell r="I47" t="str">
            <v>P004060</v>
          </cell>
          <cell r="J47"/>
          <cell r="K47">
            <v>291</v>
          </cell>
          <cell r="L47">
            <v>34</v>
          </cell>
          <cell r="M47"/>
          <cell r="N47"/>
          <cell r="O47">
            <v>360</v>
          </cell>
          <cell r="P47">
            <v>240</v>
          </cell>
          <cell r="Q47">
            <v>65</v>
          </cell>
          <cell r="R47">
            <v>420</v>
          </cell>
          <cell r="S47">
            <v>480</v>
          </cell>
          <cell r="T47">
            <v>17.923076923076923</v>
          </cell>
          <cell r="U47">
            <v>10.538461538461538</v>
          </cell>
          <cell r="V47">
            <v>31.4</v>
          </cell>
          <cell r="W47">
            <v>62.6</v>
          </cell>
          <cell r="X47">
            <v>49.6</v>
          </cell>
          <cell r="Y47">
            <v>37.799999999999997</v>
          </cell>
          <cell r="Z47">
            <v>67.8</v>
          </cell>
          <cell r="AA47">
            <v>108.8</v>
          </cell>
          <cell r="AB47"/>
          <cell r="AC47">
            <v>294</v>
          </cell>
          <cell r="AD47">
            <v>10</v>
          </cell>
          <cell r="AE47">
            <v>48</v>
          </cell>
          <cell r="AF47">
            <v>336</v>
          </cell>
          <cell r="AG47">
            <v>12</v>
          </cell>
          <cell r="AH47">
            <v>84</v>
          </cell>
          <cell r="AI47">
            <v>0.5714285714285714</v>
          </cell>
          <cell r="AJ47"/>
        </row>
        <row r="48">
          <cell r="A48" t="str">
            <v>Пельмени Мясные с говядиной ТМ Стародворье сфера флоу-пак 1 кг  ПОКОМ</v>
          </cell>
          <cell r="B48" t="str">
            <v>шт</v>
          </cell>
          <cell r="C48">
            <v>3</v>
          </cell>
          <cell r="D48"/>
          <cell r="E48">
            <v>17</v>
          </cell>
          <cell r="F48">
            <v>3</v>
          </cell>
          <cell r="G48">
            <v>1</v>
          </cell>
          <cell r="H48">
            <v>180</v>
          </cell>
          <cell r="I48" t="str">
            <v>P005048</v>
          </cell>
          <cell r="J48"/>
          <cell r="K48">
            <v>94</v>
          </cell>
          <cell r="L48">
            <v>-77</v>
          </cell>
          <cell r="M48"/>
          <cell r="N48"/>
          <cell r="O48">
            <v>720</v>
          </cell>
          <cell r="P48">
            <v>180</v>
          </cell>
          <cell r="Q48">
            <v>3.4</v>
          </cell>
          <cell r="R48"/>
          <cell r="S48">
            <v>0</v>
          </cell>
          <cell r="T48">
            <v>265.58823529411768</v>
          </cell>
          <cell r="U48">
            <v>265.58823529411768</v>
          </cell>
          <cell r="V48">
            <v>37.6</v>
          </cell>
          <cell r="W48">
            <v>65.2</v>
          </cell>
          <cell r="X48">
            <v>31.2</v>
          </cell>
          <cell r="Y48">
            <v>38.799999999999997</v>
          </cell>
          <cell r="Z48">
            <v>30.8</v>
          </cell>
          <cell r="AA48">
            <v>42</v>
          </cell>
          <cell r="AB48"/>
          <cell r="AC48">
            <v>0</v>
          </cell>
          <cell r="AD48">
            <v>5</v>
          </cell>
          <cell r="AE48">
            <v>0</v>
          </cell>
          <cell r="AF48">
            <v>0</v>
          </cell>
          <cell r="AG48">
            <v>12</v>
          </cell>
          <cell r="AH48">
            <v>84</v>
          </cell>
          <cell r="AI48">
            <v>0</v>
          </cell>
          <cell r="AJ48"/>
        </row>
        <row r="49">
          <cell r="A49" t="str">
            <v>Пельмени Отборные из свинины и говядины 0,9 кг ТМ Стародворье ТС Медвежье ушко  ПОКОМ</v>
          </cell>
          <cell r="B49" t="str">
            <v>шт</v>
          </cell>
          <cell r="C49">
            <v>32</v>
          </cell>
          <cell r="D49">
            <v>1</v>
          </cell>
          <cell r="E49">
            <v>41</v>
          </cell>
          <cell r="F49">
            <v>1</v>
          </cell>
          <cell r="G49">
            <v>0.9</v>
          </cell>
          <cell r="H49">
            <v>180</v>
          </cell>
          <cell r="I49" t="str">
            <v>P005107</v>
          </cell>
          <cell r="J49"/>
          <cell r="K49">
            <v>46</v>
          </cell>
          <cell r="L49">
            <v>-5</v>
          </cell>
          <cell r="M49"/>
          <cell r="N49"/>
          <cell r="O49">
            <v>288</v>
          </cell>
          <cell r="P49">
            <v>288</v>
          </cell>
          <cell r="Q49">
            <v>8.1999999999999993</v>
          </cell>
          <cell r="R49"/>
          <cell r="S49">
            <v>0</v>
          </cell>
          <cell r="T49">
            <v>70.365853658536594</v>
          </cell>
          <cell r="U49">
            <v>70.365853658536594</v>
          </cell>
          <cell r="V49">
            <v>33.4</v>
          </cell>
          <cell r="W49">
            <v>21.2</v>
          </cell>
          <cell r="X49">
            <v>22.6</v>
          </cell>
          <cell r="Y49">
            <v>19</v>
          </cell>
          <cell r="Z49">
            <v>23</v>
          </cell>
          <cell r="AA49">
            <v>12.2</v>
          </cell>
          <cell r="AB49"/>
          <cell r="AC49">
            <v>0</v>
          </cell>
          <cell r="AD49">
            <v>8</v>
          </cell>
          <cell r="AE49">
            <v>0</v>
          </cell>
          <cell r="AF49">
            <v>0</v>
          </cell>
          <cell r="AG49">
            <v>12</v>
          </cell>
          <cell r="AH49">
            <v>84</v>
          </cell>
          <cell r="AI49">
            <v>0</v>
          </cell>
          <cell r="AJ49"/>
        </row>
        <row r="50">
          <cell r="A50" t="str">
            <v>Пельмени Отборные с говядиной 0,9 кг НОВА ТМ Стародворье ТС Медвежье ушко  ПОКОМ</v>
          </cell>
          <cell r="B50" t="str">
            <v>шт</v>
          </cell>
          <cell r="C50">
            <v>28</v>
          </cell>
          <cell r="D50"/>
          <cell r="E50">
            <v>31</v>
          </cell>
          <cell r="F50">
            <v>-1</v>
          </cell>
          <cell r="G50">
            <v>0.9</v>
          </cell>
          <cell r="H50">
            <v>180</v>
          </cell>
          <cell r="I50" t="str">
            <v>P005105</v>
          </cell>
          <cell r="J50"/>
          <cell r="K50">
            <v>36</v>
          </cell>
          <cell r="L50">
            <v>-5</v>
          </cell>
          <cell r="M50"/>
          <cell r="N50"/>
          <cell r="O50">
            <v>288</v>
          </cell>
          <cell r="P50">
            <v>192</v>
          </cell>
          <cell r="Q50">
            <v>6.2</v>
          </cell>
          <cell r="R50"/>
          <cell r="S50">
            <v>0</v>
          </cell>
          <cell r="T50">
            <v>77.258064516129025</v>
          </cell>
          <cell r="U50">
            <v>77.258064516129025</v>
          </cell>
          <cell r="V50">
            <v>13.6</v>
          </cell>
          <cell r="W50">
            <v>13.6</v>
          </cell>
          <cell r="X50">
            <v>5.8</v>
          </cell>
          <cell r="Y50">
            <v>16</v>
          </cell>
          <cell r="Z50">
            <v>12</v>
          </cell>
          <cell r="AA50">
            <v>11.8</v>
          </cell>
          <cell r="AB50"/>
          <cell r="AC50">
            <v>0</v>
          </cell>
          <cell r="AD50">
            <v>8</v>
          </cell>
          <cell r="AE50">
            <v>0</v>
          </cell>
          <cell r="AF50">
            <v>0</v>
          </cell>
          <cell r="AG50">
            <v>12</v>
          </cell>
          <cell r="AH50">
            <v>84</v>
          </cell>
          <cell r="AI50">
            <v>0</v>
          </cell>
          <cell r="AJ50"/>
        </row>
        <row r="51">
          <cell r="A51" t="str">
            <v>Пельмени С говядиной и свининой, ВЕС, ТМ Славница сфера пуговки  ПОКОМ</v>
          </cell>
          <cell r="B51" t="str">
            <v>кг</v>
          </cell>
          <cell r="C51">
            <v>950</v>
          </cell>
          <cell r="D51">
            <v>25</v>
          </cell>
          <cell r="E51">
            <v>600</v>
          </cell>
          <cell r="F51">
            <v>365</v>
          </cell>
          <cell r="G51">
            <v>1</v>
          </cell>
          <cell r="H51">
            <v>180</v>
          </cell>
          <cell r="I51" t="str">
            <v>P004472</v>
          </cell>
          <cell r="J51"/>
          <cell r="K51">
            <v>565</v>
          </cell>
          <cell r="L51">
            <v>35</v>
          </cell>
          <cell r="M51"/>
          <cell r="N51"/>
          <cell r="O51">
            <v>1020</v>
          </cell>
          <cell r="P51">
            <v>180</v>
          </cell>
          <cell r="Q51">
            <v>120</v>
          </cell>
          <cell r="R51">
            <v>475</v>
          </cell>
          <cell r="S51">
            <v>480</v>
          </cell>
          <cell r="T51">
            <v>17.041666666666668</v>
          </cell>
          <cell r="U51">
            <v>13.041666666666666</v>
          </cell>
          <cell r="V51">
            <v>88</v>
          </cell>
          <cell r="W51">
            <v>53</v>
          </cell>
          <cell r="X51">
            <v>150</v>
          </cell>
          <cell r="Y51">
            <v>9</v>
          </cell>
          <cell r="Z51">
            <v>99</v>
          </cell>
          <cell r="AA51">
            <v>116</v>
          </cell>
          <cell r="AB51"/>
          <cell r="AC51">
            <v>475</v>
          </cell>
          <cell r="AD51">
            <v>5</v>
          </cell>
          <cell r="AE51">
            <v>96</v>
          </cell>
          <cell r="AF51">
            <v>480</v>
          </cell>
          <cell r="AG51">
            <v>12</v>
          </cell>
          <cell r="AH51">
            <v>144</v>
          </cell>
          <cell r="AI51">
            <v>0.66666666666666663</v>
          </cell>
          <cell r="AJ51"/>
        </row>
        <row r="52">
          <cell r="A52" t="str">
            <v>Пельмени Со свининой и говядиной ТМ Особый рецепт Любимая ложка 1,0 кг  ПОКОМ</v>
          </cell>
          <cell r="B52" t="str">
            <v>шт</v>
          </cell>
          <cell r="C52">
            <v>326</v>
          </cell>
          <cell r="D52"/>
          <cell r="E52">
            <v>139</v>
          </cell>
          <cell r="F52">
            <v>188</v>
          </cell>
          <cell r="G52">
            <v>1</v>
          </cell>
          <cell r="H52">
            <v>180</v>
          </cell>
          <cell r="I52" t="str">
            <v>P004081</v>
          </cell>
          <cell r="J52"/>
          <cell r="K52">
            <v>138</v>
          </cell>
          <cell r="L52">
            <v>1</v>
          </cell>
          <cell r="M52"/>
          <cell r="N52"/>
          <cell r="O52">
            <v>0</v>
          </cell>
          <cell r="P52">
            <v>120</v>
          </cell>
          <cell r="Q52">
            <v>27.8</v>
          </cell>
          <cell r="R52">
            <v>164.60000000000002</v>
          </cell>
          <cell r="S52">
            <v>180</v>
          </cell>
          <cell r="T52">
            <v>17.553956834532375</v>
          </cell>
          <cell r="U52">
            <v>11.079136690647482</v>
          </cell>
          <cell r="V52">
            <v>27.2</v>
          </cell>
          <cell r="W52">
            <v>31.4</v>
          </cell>
          <cell r="X52">
            <v>41.2</v>
          </cell>
          <cell r="Y52">
            <v>33.200000000000003</v>
          </cell>
          <cell r="Z52">
            <v>35.4</v>
          </cell>
          <cell r="AA52">
            <v>26.6</v>
          </cell>
          <cell r="AB52"/>
          <cell r="AC52">
            <v>164.60000000000002</v>
          </cell>
          <cell r="AD52">
            <v>5</v>
          </cell>
          <cell r="AE52">
            <v>36</v>
          </cell>
          <cell r="AF52">
            <v>180</v>
          </cell>
          <cell r="AG52">
            <v>12</v>
          </cell>
          <cell r="AH52">
            <v>84</v>
          </cell>
          <cell r="AI52">
            <v>0.42857142857142855</v>
          </cell>
          <cell r="AJ52"/>
        </row>
        <row r="53">
          <cell r="A53" t="str">
            <v>Пирожки с мясом 3,7кг ВЕС ТМ Зареченские  ПОКОМ</v>
          </cell>
          <cell r="B53" t="str">
            <v>кг</v>
          </cell>
          <cell r="C53">
            <v>26.6</v>
          </cell>
          <cell r="D53"/>
          <cell r="E53">
            <v>25.9</v>
          </cell>
          <cell r="F53">
            <v>0.69999999999999929</v>
          </cell>
          <cell r="G53">
            <v>1</v>
          </cell>
          <cell r="H53">
            <v>180</v>
          </cell>
          <cell r="I53" t="str">
            <v>P004359</v>
          </cell>
          <cell r="J53"/>
          <cell r="K53">
            <v>18.5</v>
          </cell>
          <cell r="L53">
            <v>7.3999999999999986</v>
          </cell>
          <cell r="M53"/>
          <cell r="N53"/>
          <cell r="O53">
            <v>0</v>
          </cell>
          <cell r="P53">
            <v>51.8</v>
          </cell>
          <cell r="Q53">
            <v>5.18</v>
          </cell>
          <cell r="R53">
            <v>30</v>
          </cell>
          <cell r="S53">
            <v>51.800000000000004</v>
          </cell>
          <cell r="T53">
            <v>20.135135135135137</v>
          </cell>
          <cell r="U53">
            <v>10.135135135135135</v>
          </cell>
          <cell r="V53">
            <v>5.18</v>
          </cell>
          <cell r="W53">
            <v>0</v>
          </cell>
          <cell r="X53">
            <v>0</v>
          </cell>
          <cell r="Y53">
            <v>1.48</v>
          </cell>
          <cell r="Z53">
            <v>5.2</v>
          </cell>
          <cell r="AA53">
            <v>2.2200000000000002</v>
          </cell>
          <cell r="AB53"/>
          <cell r="AC53">
            <v>30</v>
          </cell>
          <cell r="AD53">
            <v>3.7</v>
          </cell>
          <cell r="AE53">
            <v>14</v>
          </cell>
          <cell r="AF53">
            <v>51.800000000000004</v>
          </cell>
          <cell r="AG53">
            <v>14</v>
          </cell>
          <cell r="AH53">
            <v>126</v>
          </cell>
          <cell r="AI53">
            <v>0.1111111111111111</v>
          </cell>
          <cell r="AJ53"/>
        </row>
        <row r="54">
          <cell r="A54" t="str">
            <v>Хотстеры Васаби-чили ТМ Горячая штучка ТС Хотстеры 0,23кг жареные ПОКОМ</v>
          </cell>
          <cell r="B54" t="str">
            <v>шт</v>
          </cell>
          <cell r="C54">
            <v>88</v>
          </cell>
          <cell r="D54"/>
          <cell r="E54">
            <v>95</v>
          </cell>
          <cell r="F54"/>
          <cell r="G54">
            <v>0.23</v>
          </cell>
          <cell r="H54">
            <v>180</v>
          </cell>
          <cell r="I54" t="str">
            <v>P005182</v>
          </cell>
          <cell r="J54"/>
          <cell r="K54">
            <v>111</v>
          </cell>
          <cell r="L54">
            <v>-16</v>
          </cell>
          <cell r="M54"/>
          <cell r="N54"/>
          <cell r="O54">
            <v>168</v>
          </cell>
          <cell r="P54">
            <v>420</v>
          </cell>
          <cell r="Q54">
            <v>19</v>
          </cell>
          <cell r="R54"/>
          <cell r="S54">
            <v>0</v>
          </cell>
          <cell r="T54">
            <v>30.94736842105263</v>
          </cell>
          <cell r="U54">
            <v>30.94736842105263</v>
          </cell>
          <cell r="V54">
            <v>30.2</v>
          </cell>
          <cell r="W54">
            <v>28.8</v>
          </cell>
          <cell r="X54">
            <v>21</v>
          </cell>
          <cell r="Y54">
            <v>21.4</v>
          </cell>
          <cell r="Z54">
            <v>15.2</v>
          </cell>
          <cell r="AA54">
            <v>16.399999999999999</v>
          </cell>
          <cell r="AB54"/>
          <cell r="AC54">
            <v>0</v>
          </cell>
          <cell r="AD54">
            <v>6</v>
          </cell>
          <cell r="AE54">
            <v>0</v>
          </cell>
          <cell r="AF54">
            <v>0</v>
          </cell>
          <cell r="AG54">
            <v>14</v>
          </cell>
          <cell r="AH54">
            <v>140</v>
          </cell>
          <cell r="AI54">
            <v>0</v>
          </cell>
          <cell r="AJ54"/>
        </row>
        <row r="55">
          <cell r="A55" t="str">
            <v>Хотстеры ТМ Горячая штучка ТС Хотстеры 0,25 кг зам  ПОКОМ</v>
          </cell>
          <cell r="B55" t="str">
            <v>шт</v>
          </cell>
          <cell r="C55">
            <v>147</v>
          </cell>
          <cell r="D55">
            <v>2</v>
          </cell>
          <cell r="E55">
            <v>169</v>
          </cell>
          <cell r="F55">
            <v>3</v>
          </cell>
          <cell r="G55">
            <v>0.25</v>
          </cell>
          <cell r="H55">
            <v>180</v>
          </cell>
          <cell r="I55" t="str">
            <v>P004489</v>
          </cell>
          <cell r="J55"/>
          <cell r="K55">
            <v>203</v>
          </cell>
          <cell r="L55">
            <v>-34</v>
          </cell>
          <cell r="M55"/>
          <cell r="N55"/>
          <cell r="O55">
            <v>336</v>
          </cell>
          <cell r="P55">
            <v>672</v>
          </cell>
          <cell r="Q55">
            <v>33.799999999999997</v>
          </cell>
          <cell r="R55"/>
          <cell r="S55">
            <v>0</v>
          </cell>
          <cell r="T55">
            <v>29.911242603550299</v>
          </cell>
          <cell r="U55">
            <v>29.911242603550299</v>
          </cell>
          <cell r="V55">
            <v>72.400000000000006</v>
          </cell>
          <cell r="W55">
            <v>97</v>
          </cell>
          <cell r="X55">
            <v>62</v>
          </cell>
          <cell r="Y55">
            <v>79.8</v>
          </cell>
          <cell r="Z55">
            <v>65.400000000000006</v>
          </cell>
          <cell r="AA55">
            <v>85.6</v>
          </cell>
          <cell r="AB55"/>
          <cell r="AC55">
            <v>0</v>
          </cell>
          <cell r="AD55">
            <v>12</v>
          </cell>
          <cell r="AE55">
            <v>0</v>
          </cell>
          <cell r="AF55">
            <v>0</v>
          </cell>
          <cell r="AG55">
            <v>14</v>
          </cell>
          <cell r="AH55">
            <v>70</v>
          </cell>
          <cell r="AI55">
            <v>0</v>
          </cell>
          <cell r="AJ55"/>
        </row>
        <row r="56">
          <cell r="A56" t="str">
            <v>Хотстеры с сыром ТМ Горячая штучка ТС Хотстеры 0,25кг.  Поком</v>
          </cell>
          <cell r="B56" t="str">
            <v>шт</v>
          </cell>
          <cell r="C56">
            <v>255</v>
          </cell>
          <cell r="D56">
            <v>4</v>
          </cell>
          <cell r="E56">
            <v>262</v>
          </cell>
          <cell r="F56">
            <v>15</v>
          </cell>
          <cell r="G56">
            <v>0.25</v>
          </cell>
          <cell r="H56">
            <v>180</v>
          </cell>
          <cell r="I56" t="str">
            <v>P005058</v>
          </cell>
          <cell r="J56"/>
          <cell r="K56">
            <v>272</v>
          </cell>
          <cell r="L56">
            <v>-10</v>
          </cell>
          <cell r="M56"/>
          <cell r="N56"/>
          <cell r="O56">
            <v>336</v>
          </cell>
          <cell r="P56">
            <v>168</v>
          </cell>
          <cell r="Q56">
            <v>52.4</v>
          </cell>
          <cell r="R56">
            <v>371.79999999999995</v>
          </cell>
          <cell r="S56">
            <v>336</v>
          </cell>
          <cell r="T56">
            <v>16.31679389312977</v>
          </cell>
          <cell r="U56">
            <v>9.9045801526717554</v>
          </cell>
          <cell r="V56">
            <v>23</v>
          </cell>
          <cell r="W56">
            <v>38.4</v>
          </cell>
          <cell r="X56">
            <v>23.4</v>
          </cell>
          <cell r="Y56">
            <v>10.199999999999999</v>
          </cell>
          <cell r="Z56">
            <v>31.4</v>
          </cell>
          <cell r="AA56">
            <v>39.799999999999997</v>
          </cell>
          <cell r="AB56"/>
          <cell r="AC56">
            <v>92.949999999999989</v>
          </cell>
          <cell r="AD56">
            <v>12</v>
          </cell>
          <cell r="AE56">
            <v>28</v>
          </cell>
          <cell r="AF56">
            <v>84</v>
          </cell>
          <cell r="AG56">
            <v>14</v>
          </cell>
          <cell r="AH56">
            <v>70</v>
          </cell>
          <cell r="AI56">
            <v>0.4</v>
          </cell>
          <cell r="AJ56"/>
        </row>
        <row r="57">
          <cell r="A57" t="str">
            <v>Хрустипай апельсин имбирь ТМ Горячая штучка 0,18 кг  ПОКОМ</v>
          </cell>
          <cell r="B57" t="str">
            <v>шт</v>
          </cell>
          <cell r="C57">
            <v>84</v>
          </cell>
          <cell r="D57"/>
          <cell r="E57">
            <v>21</v>
          </cell>
          <cell r="F57">
            <v>63</v>
          </cell>
          <cell r="G57">
            <v>0.18</v>
          </cell>
          <cell r="H57">
            <v>180</v>
          </cell>
          <cell r="I57" t="str">
            <v>P005201</v>
          </cell>
          <cell r="J57"/>
          <cell r="K57">
            <v>21</v>
          </cell>
          <cell r="L57">
            <v>0</v>
          </cell>
          <cell r="M57"/>
          <cell r="N57"/>
          <cell r="O57">
            <v>0</v>
          </cell>
          <cell r="P57">
            <v>0</v>
          </cell>
          <cell r="Q57">
            <v>4.2</v>
          </cell>
          <cell r="R57"/>
          <cell r="S57">
            <v>0</v>
          </cell>
          <cell r="T57">
            <v>15</v>
          </cell>
          <cell r="U57">
            <v>15</v>
          </cell>
          <cell r="V57">
            <v>0</v>
          </cell>
          <cell r="W57">
            <v>0</v>
          </cell>
          <cell r="X57">
            <v>0</v>
          </cell>
          <cell r="Y57">
            <v>1.4</v>
          </cell>
          <cell r="Z57">
            <v>2.6</v>
          </cell>
          <cell r="AA57">
            <v>7.8</v>
          </cell>
          <cell r="AB57"/>
          <cell r="AC57">
            <v>0</v>
          </cell>
          <cell r="AD57">
            <v>6</v>
          </cell>
          <cell r="AE57">
            <v>0</v>
          </cell>
          <cell r="AF57">
            <v>0</v>
          </cell>
          <cell r="AG57">
            <v>14</v>
          </cell>
          <cell r="AH57">
            <v>140</v>
          </cell>
          <cell r="AI57">
            <v>0</v>
          </cell>
          <cell r="AJ57"/>
        </row>
        <row r="58">
          <cell r="A58" t="str">
            <v>Хрустипай манго маракуйя ТМ Горячая штучка 0,18 кг  ПОКОМ</v>
          </cell>
          <cell r="B58" t="str">
            <v>шт</v>
          </cell>
          <cell r="C58">
            <v>43</v>
          </cell>
          <cell r="D58"/>
          <cell r="E58">
            <v>14</v>
          </cell>
          <cell r="F58">
            <v>29</v>
          </cell>
          <cell r="G58">
            <v>0.18</v>
          </cell>
          <cell r="H58">
            <v>180</v>
          </cell>
          <cell r="I58" t="str">
            <v>P005199</v>
          </cell>
          <cell r="J58"/>
          <cell r="K58">
            <v>14</v>
          </cell>
          <cell r="L58">
            <v>0</v>
          </cell>
          <cell r="M58"/>
          <cell r="N58"/>
          <cell r="O58">
            <v>0</v>
          </cell>
          <cell r="P58">
            <v>0</v>
          </cell>
          <cell r="Q58">
            <v>2.8</v>
          </cell>
          <cell r="R58">
            <v>50</v>
          </cell>
          <cell r="S58">
            <v>84</v>
          </cell>
          <cell r="T58">
            <v>40.357142857142861</v>
          </cell>
          <cell r="U58">
            <v>10.357142857142858</v>
          </cell>
          <cell r="V58">
            <v>2.2000000000000002</v>
          </cell>
          <cell r="W58">
            <v>5.2</v>
          </cell>
          <cell r="X58">
            <v>1.8</v>
          </cell>
          <cell r="Y58">
            <v>2.4</v>
          </cell>
          <cell r="Z58">
            <v>6</v>
          </cell>
          <cell r="AA58">
            <v>17.399999999999999</v>
          </cell>
          <cell r="AB58"/>
          <cell r="AC58">
            <v>9</v>
          </cell>
          <cell r="AD58">
            <v>6</v>
          </cell>
          <cell r="AE58">
            <v>14</v>
          </cell>
          <cell r="AF58">
            <v>15.12</v>
          </cell>
          <cell r="AG58">
            <v>14</v>
          </cell>
          <cell r="AH58">
            <v>140</v>
          </cell>
          <cell r="AI58">
            <v>0.1</v>
          </cell>
          <cell r="AJ58"/>
        </row>
        <row r="59">
          <cell r="A59" t="str">
            <v>Хрустипай манго чили ТМ Горячая штучка 0,18кг с начинкой ПОКОМ</v>
          </cell>
          <cell r="B59" t="str">
            <v>шт</v>
          </cell>
          <cell r="C59">
            <v>76</v>
          </cell>
          <cell r="D59"/>
          <cell r="E59">
            <v>1</v>
          </cell>
          <cell r="F59">
            <v>75</v>
          </cell>
          <cell r="G59">
            <v>0.18</v>
          </cell>
          <cell r="H59">
            <v>180</v>
          </cell>
          <cell r="I59" t="str">
            <v>P005200</v>
          </cell>
          <cell r="J59"/>
          <cell r="K59">
            <v>1</v>
          </cell>
          <cell r="L59">
            <v>0</v>
          </cell>
          <cell r="M59"/>
          <cell r="N59"/>
          <cell r="O59">
            <v>0</v>
          </cell>
          <cell r="P59">
            <v>0</v>
          </cell>
          <cell r="Q59">
            <v>0.2</v>
          </cell>
          <cell r="R59"/>
          <cell r="S59">
            <v>0</v>
          </cell>
          <cell r="T59">
            <v>375</v>
          </cell>
          <cell r="U59">
            <v>375</v>
          </cell>
          <cell r="V59">
            <v>0.2</v>
          </cell>
          <cell r="W59">
            <v>0.8</v>
          </cell>
          <cell r="X59">
            <v>0.2</v>
          </cell>
          <cell r="Y59">
            <v>0.8</v>
          </cell>
          <cell r="Z59">
            <v>3.8</v>
          </cell>
          <cell r="AA59">
            <v>4.5999999999999996</v>
          </cell>
          <cell r="AB59" t="str">
            <v>нужно увеличить продажи!!!</v>
          </cell>
          <cell r="AC59">
            <v>0</v>
          </cell>
          <cell r="AD59">
            <v>6</v>
          </cell>
          <cell r="AE59">
            <v>0</v>
          </cell>
          <cell r="AF59">
            <v>0</v>
          </cell>
          <cell r="AG59">
            <v>14</v>
          </cell>
          <cell r="AH59">
            <v>140</v>
          </cell>
          <cell r="AI59">
            <v>0</v>
          </cell>
          <cell r="AJ59"/>
        </row>
        <row r="60">
          <cell r="A60" t="str">
            <v>Хрустящие крылышки ТМ Горячая штучка 0,3 кг зам  ПОКОМ</v>
          </cell>
          <cell r="B60" t="str">
            <v>шт</v>
          </cell>
          <cell r="C60">
            <v>253</v>
          </cell>
          <cell r="D60">
            <v>6</v>
          </cell>
          <cell r="E60">
            <v>348</v>
          </cell>
          <cell r="F60">
            <v>-1</v>
          </cell>
          <cell r="G60">
            <v>0.3</v>
          </cell>
          <cell r="H60">
            <v>180</v>
          </cell>
          <cell r="I60" t="str">
            <v>P004588</v>
          </cell>
          <cell r="J60"/>
          <cell r="K60">
            <v>307</v>
          </cell>
          <cell r="L60">
            <v>41</v>
          </cell>
          <cell r="M60"/>
          <cell r="N60"/>
          <cell r="O60">
            <v>336</v>
          </cell>
          <cell r="P60">
            <v>504</v>
          </cell>
          <cell r="Q60">
            <v>69.599999999999994</v>
          </cell>
          <cell r="R60">
            <v>344.19999999999982</v>
          </cell>
          <cell r="S60">
            <v>336</v>
          </cell>
          <cell r="T60">
            <v>16.882183908045977</v>
          </cell>
          <cell r="U60">
            <v>12.054597701149426</v>
          </cell>
          <cell r="V60">
            <v>71.599999999999994</v>
          </cell>
          <cell r="W60">
            <v>103.8</v>
          </cell>
          <cell r="X60">
            <v>62.6</v>
          </cell>
          <cell r="Y60">
            <v>81</v>
          </cell>
          <cell r="Z60">
            <v>73.599999999999994</v>
          </cell>
          <cell r="AA60">
            <v>76.2</v>
          </cell>
          <cell r="AB60"/>
          <cell r="AC60">
            <v>103.25999999999995</v>
          </cell>
          <cell r="AD60">
            <v>12</v>
          </cell>
          <cell r="AE60">
            <v>28</v>
          </cell>
          <cell r="AF60">
            <v>100.8</v>
          </cell>
          <cell r="AG60">
            <v>14</v>
          </cell>
          <cell r="AH60">
            <v>70</v>
          </cell>
          <cell r="AI60">
            <v>0.4</v>
          </cell>
          <cell r="AJ60"/>
        </row>
        <row r="61">
          <cell r="A61" t="str">
            <v>Хрустящие крылышки острые к пиву ТМ Горячая штучка 0,3кг зам  ПОКОМ</v>
          </cell>
          <cell r="B61" t="str">
            <v>шт</v>
          </cell>
          <cell r="C61">
            <v>449</v>
          </cell>
          <cell r="D61">
            <v>3</v>
          </cell>
          <cell r="E61">
            <v>426</v>
          </cell>
          <cell r="F61">
            <v>75</v>
          </cell>
          <cell r="G61">
            <v>0.3</v>
          </cell>
          <cell r="H61">
            <v>180</v>
          </cell>
          <cell r="I61" t="str">
            <v>P004589</v>
          </cell>
          <cell r="J61"/>
          <cell r="K61">
            <v>371</v>
          </cell>
          <cell r="L61">
            <v>55</v>
          </cell>
          <cell r="M61"/>
          <cell r="N61"/>
          <cell r="O61">
            <v>168</v>
          </cell>
          <cell r="P61">
            <v>672</v>
          </cell>
          <cell r="Q61">
            <v>85.2</v>
          </cell>
          <cell r="R61">
            <v>533.40000000000009</v>
          </cell>
          <cell r="S61">
            <v>504</v>
          </cell>
          <cell r="T61">
            <v>16.654929577464788</v>
          </cell>
          <cell r="U61">
            <v>10.73943661971831</v>
          </cell>
          <cell r="V61">
            <v>81.8</v>
          </cell>
          <cell r="W61">
            <v>90.2</v>
          </cell>
          <cell r="X61">
            <v>74.2</v>
          </cell>
          <cell r="Y61">
            <v>95</v>
          </cell>
          <cell r="Z61">
            <v>82.8</v>
          </cell>
          <cell r="AA61">
            <v>82</v>
          </cell>
          <cell r="AB61"/>
          <cell r="AC61">
            <v>160.02000000000001</v>
          </cell>
          <cell r="AD61">
            <v>12</v>
          </cell>
          <cell r="AE61">
            <v>42</v>
          </cell>
          <cell r="AF61">
            <v>151.19999999999999</v>
          </cell>
          <cell r="AG61">
            <v>14</v>
          </cell>
          <cell r="AH61">
            <v>70</v>
          </cell>
          <cell r="AI61">
            <v>0.6</v>
          </cell>
          <cell r="AJ61"/>
        </row>
        <row r="62">
          <cell r="A62" t="str">
            <v>Чебупели Курочка гриль Базовый ассортимент Фикс.вес 0,3 Пакет Горячая штучка  Поком</v>
          </cell>
          <cell r="B62" t="str">
            <v>шт</v>
          </cell>
          <cell r="C62">
            <v>-2</v>
          </cell>
          <cell r="D62"/>
          <cell r="E62"/>
          <cell r="F62">
            <v>-2</v>
          </cell>
          <cell r="G62">
            <v>0.3</v>
          </cell>
          <cell r="H62">
            <v>180</v>
          </cell>
          <cell r="I62" t="str">
            <v>P004113</v>
          </cell>
          <cell r="J62"/>
          <cell r="K62">
            <v>36</v>
          </cell>
          <cell r="L62">
            <v>-36</v>
          </cell>
          <cell r="M62"/>
          <cell r="N62"/>
          <cell r="O62">
            <v>0</v>
          </cell>
          <cell r="P62">
            <v>392</v>
          </cell>
          <cell r="Q62">
            <v>0</v>
          </cell>
          <cell r="R62"/>
          <cell r="S62">
            <v>0</v>
          </cell>
          <cell r="T62" t="e">
            <v>#DIV/0!</v>
          </cell>
          <cell r="U62" t="e">
            <v>#DIV/0!</v>
          </cell>
          <cell r="V62">
            <v>15.8</v>
          </cell>
          <cell r="W62">
            <v>24.8</v>
          </cell>
          <cell r="X62">
            <v>12</v>
          </cell>
          <cell r="Y62">
            <v>22.6</v>
          </cell>
          <cell r="Z62">
            <v>6.8</v>
          </cell>
          <cell r="AA62">
            <v>13.6</v>
          </cell>
          <cell r="AB62"/>
          <cell r="AC62">
            <v>0</v>
          </cell>
          <cell r="AD62">
            <v>14</v>
          </cell>
          <cell r="AE62">
            <v>0</v>
          </cell>
          <cell r="AF62">
            <v>0</v>
          </cell>
          <cell r="AG62">
            <v>14</v>
          </cell>
          <cell r="AH62">
            <v>70</v>
          </cell>
          <cell r="AI62">
            <v>0</v>
          </cell>
          <cell r="AJ62"/>
        </row>
        <row r="63">
          <cell r="A63" t="str">
            <v>Чебупицца Пепперони ТМ Горячая штучка ТС Чебупицца 0.25кг зам  ПОКОМ</v>
          </cell>
          <cell r="B63" t="str">
            <v>шт</v>
          </cell>
          <cell r="C63">
            <v>979</v>
          </cell>
          <cell r="D63">
            <v>17</v>
          </cell>
          <cell r="E63">
            <v>672</v>
          </cell>
          <cell r="F63">
            <v>367</v>
          </cell>
          <cell r="G63">
            <v>0.25</v>
          </cell>
          <cell r="H63">
            <v>180</v>
          </cell>
          <cell r="I63" t="str">
            <v>P004486</v>
          </cell>
          <cell r="J63"/>
          <cell r="K63">
            <v>623</v>
          </cell>
          <cell r="L63">
            <v>49</v>
          </cell>
          <cell r="M63"/>
          <cell r="N63"/>
          <cell r="O63">
            <v>336</v>
          </cell>
          <cell r="P63">
            <v>504</v>
          </cell>
          <cell r="Q63">
            <v>134.4</v>
          </cell>
          <cell r="R63">
            <v>1077.8000000000002</v>
          </cell>
          <cell r="S63">
            <v>1008</v>
          </cell>
          <cell r="T63">
            <v>16.480654761904763</v>
          </cell>
          <cell r="U63">
            <v>8.980654761904761</v>
          </cell>
          <cell r="V63">
            <v>129.19999999999999</v>
          </cell>
          <cell r="W63">
            <v>79.400000000000006</v>
          </cell>
          <cell r="X63">
            <v>80</v>
          </cell>
          <cell r="Y63">
            <v>108</v>
          </cell>
          <cell r="Z63">
            <v>105.2</v>
          </cell>
          <cell r="AA63">
            <v>110.4</v>
          </cell>
          <cell r="AB63"/>
          <cell r="AC63">
            <v>269.45000000000005</v>
          </cell>
          <cell r="AD63">
            <v>12</v>
          </cell>
          <cell r="AE63">
            <v>84</v>
          </cell>
          <cell r="AF63">
            <v>252</v>
          </cell>
          <cell r="AG63">
            <v>14</v>
          </cell>
          <cell r="AH63">
            <v>70</v>
          </cell>
          <cell r="AI63">
            <v>1.2</v>
          </cell>
          <cell r="AJ63"/>
        </row>
        <row r="64">
          <cell r="A64" t="str">
            <v>Чебупицца курочка по-итальянски Горячая штучка 0,25 кг зам  ПОКОМ</v>
          </cell>
          <cell r="B64" t="str">
            <v>шт</v>
          </cell>
          <cell r="C64">
            <v>124</v>
          </cell>
          <cell r="D64"/>
          <cell r="E64">
            <v>239</v>
          </cell>
          <cell r="F64">
            <v>5</v>
          </cell>
          <cell r="G64">
            <v>0.25</v>
          </cell>
          <cell r="H64">
            <v>180</v>
          </cell>
          <cell r="I64" t="str">
            <v>P004484</v>
          </cell>
          <cell r="J64"/>
          <cell r="K64">
            <v>295</v>
          </cell>
          <cell r="L64">
            <v>-56</v>
          </cell>
          <cell r="M64"/>
          <cell r="N64"/>
          <cell r="O64">
            <v>1512</v>
          </cell>
          <cell r="P64">
            <v>504</v>
          </cell>
          <cell r="Q64">
            <v>47.8</v>
          </cell>
          <cell r="R64"/>
          <cell r="S64">
            <v>0</v>
          </cell>
          <cell r="T64">
            <v>42.280334728033473</v>
          </cell>
          <cell r="U64">
            <v>42.280334728033473</v>
          </cell>
          <cell r="V64">
            <v>136.4</v>
          </cell>
          <cell r="W64">
            <v>140.19999999999999</v>
          </cell>
          <cell r="X64">
            <v>113.8</v>
          </cell>
          <cell r="Y64">
            <v>115.8</v>
          </cell>
          <cell r="Z64">
            <v>111.6</v>
          </cell>
          <cell r="AA64">
            <v>117.6</v>
          </cell>
          <cell r="AB64"/>
          <cell r="AC64">
            <v>0</v>
          </cell>
          <cell r="AD64">
            <v>12</v>
          </cell>
          <cell r="AE64">
            <v>0</v>
          </cell>
          <cell r="AF64">
            <v>0</v>
          </cell>
          <cell r="AG64">
            <v>14</v>
          </cell>
          <cell r="AH64">
            <v>70</v>
          </cell>
          <cell r="AI64">
            <v>0</v>
          </cell>
          <cell r="AJ64"/>
        </row>
        <row r="65">
          <cell r="A65" t="str">
            <v>Чебупицца со вкусом 4 сыра 0,2кг ТМ Горячая штучка ТС Foodgital  ПОКОМ</v>
          </cell>
          <cell r="B65" t="str">
            <v>шт</v>
          </cell>
          <cell r="C65">
            <v>122</v>
          </cell>
          <cell r="D65">
            <v>3</v>
          </cell>
          <cell r="E65">
            <v>148</v>
          </cell>
          <cell r="F65">
            <v>2</v>
          </cell>
          <cell r="G65">
            <v>0.2</v>
          </cell>
          <cell r="H65">
            <v>365</v>
          </cell>
          <cell r="I65" t="str">
            <v>P004818</v>
          </cell>
          <cell r="J65"/>
          <cell r="K65">
            <v>132</v>
          </cell>
          <cell r="L65">
            <v>16</v>
          </cell>
          <cell r="M65"/>
          <cell r="N65"/>
          <cell r="O65">
            <v>0</v>
          </cell>
          <cell r="P65">
            <v>252</v>
          </cell>
          <cell r="Q65">
            <v>29.6</v>
          </cell>
          <cell r="R65">
            <v>249.20000000000005</v>
          </cell>
          <cell r="S65">
            <v>252</v>
          </cell>
          <cell r="T65">
            <v>17.094594594594593</v>
          </cell>
          <cell r="U65">
            <v>8.5810810810810807</v>
          </cell>
          <cell r="V65">
            <v>25.2</v>
          </cell>
          <cell r="W65">
            <v>17.2</v>
          </cell>
          <cell r="X65">
            <v>1.6</v>
          </cell>
          <cell r="Y65">
            <v>19.600000000000001</v>
          </cell>
          <cell r="Z65">
            <v>20</v>
          </cell>
          <cell r="AA65">
            <v>27.8</v>
          </cell>
          <cell r="AB65"/>
          <cell r="AC65">
            <v>49.840000000000011</v>
          </cell>
          <cell r="AD65">
            <v>6</v>
          </cell>
          <cell r="AE65">
            <v>42</v>
          </cell>
          <cell r="AF65">
            <v>50.400000000000006</v>
          </cell>
          <cell r="AG65">
            <v>14</v>
          </cell>
          <cell r="AH65">
            <v>140</v>
          </cell>
          <cell r="AI65">
            <v>0.3</v>
          </cell>
          <cell r="AJ65"/>
        </row>
        <row r="66">
          <cell r="A66" t="str">
            <v>Чебупицца со вкусом Том ям ТМ Горячая штучка ТС Чебупицца 0,23кг жареные ПОКОМ</v>
          </cell>
          <cell r="B66" t="str">
            <v>шт</v>
          </cell>
          <cell r="C66">
            <v>42</v>
          </cell>
          <cell r="D66">
            <v>1</v>
          </cell>
          <cell r="E66">
            <v>63</v>
          </cell>
          <cell r="F66"/>
          <cell r="G66">
            <v>0.23</v>
          </cell>
          <cell r="H66">
            <v>180</v>
          </cell>
          <cell r="I66" t="str">
            <v>P005180</v>
          </cell>
          <cell r="J66"/>
          <cell r="K66">
            <v>80</v>
          </cell>
          <cell r="L66">
            <v>-17</v>
          </cell>
          <cell r="M66"/>
          <cell r="N66"/>
          <cell r="O66">
            <v>672</v>
          </cell>
          <cell r="P66">
            <v>168</v>
          </cell>
          <cell r="Q66">
            <v>12.6</v>
          </cell>
          <cell r="R66"/>
          <cell r="S66">
            <v>0</v>
          </cell>
          <cell r="T66">
            <v>66.666666666666671</v>
          </cell>
          <cell r="U66">
            <v>66.666666666666671</v>
          </cell>
          <cell r="V66">
            <v>46.6</v>
          </cell>
          <cell r="W66">
            <v>66.2</v>
          </cell>
          <cell r="X66">
            <v>45.6</v>
          </cell>
          <cell r="Y66">
            <v>46.4</v>
          </cell>
          <cell r="Z66">
            <v>30.2</v>
          </cell>
          <cell r="AA66">
            <v>23.6</v>
          </cell>
          <cell r="AB66"/>
          <cell r="AC66">
            <v>0</v>
          </cell>
          <cell r="AD66">
            <v>6</v>
          </cell>
          <cell r="AE66">
            <v>0</v>
          </cell>
          <cell r="AF66">
            <v>0</v>
          </cell>
          <cell r="AG66">
            <v>14</v>
          </cell>
          <cell r="AH66">
            <v>140</v>
          </cell>
          <cell r="AI66">
            <v>0</v>
          </cell>
          <cell r="AJ66"/>
        </row>
        <row r="67">
          <cell r="A67" t="str">
            <v>Чебуреки Мясные вес 2,7 кг ТМ Зареченские ТС Зареченские продукты   Поком</v>
          </cell>
          <cell r="B67" t="str">
            <v>кг</v>
          </cell>
          <cell r="C67">
            <v>32.4</v>
          </cell>
          <cell r="D67">
            <v>2.7</v>
          </cell>
          <cell r="E67">
            <v>51.3</v>
          </cell>
          <cell r="F67">
            <v>5.4</v>
          </cell>
          <cell r="G67">
            <v>1</v>
          </cell>
          <cell r="H67">
            <v>180</v>
          </cell>
          <cell r="I67" t="str">
            <v>P003478</v>
          </cell>
          <cell r="J67"/>
          <cell r="K67">
            <v>45.1</v>
          </cell>
          <cell r="L67">
            <v>6.1999999999999957</v>
          </cell>
          <cell r="M67"/>
          <cell r="N67"/>
          <cell r="O67">
            <v>151.19999999999999</v>
          </cell>
          <cell r="P67">
            <v>0</v>
          </cell>
          <cell r="Q67">
            <v>10.26</v>
          </cell>
          <cell r="R67"/>
          <cell r="S67">
            <v>0</v>
          </cell>
          <cell r="T67">
            <v>15.263157894736842</v>
          </cell>
          <cell r="U67">
            <v>15.263157894736842</v>
          </cell>
          <cell r="V67">
            <v>9.7200000000000006</v>
          </cell>
          <cell r="W67">
            <v>6.48</v>
          </cell>
          <cell r="X67">
            <v>7.5659999999999998</v>
          </cell>
          <cell r="Y67">
            <v>2.16</v>
          </cell>
          <cell r="Z67">
            <v>10.8</v>
          </cell>
          <cell r="AA67">
            <v>8.64</v>
          </cell>
          <cell r="AB67"/>
          <cell r="AC67">
            <v>0</v>
          </cell>
          <cell r="AD67">
            <v>2.7</v>
          </cell>
          <cell r="AE67">
            <v>0</v>
          </cell>
          <cell r="AF67">
            <v>0</v>
          </cell>
          <cell r="AG67">
            <v>14</v>
          </cell>
          <cell r="AH67">
            <v>126</v>
          </cell>
          <cell r="AI67">
            <v>0</v>
          </cell>
          <cell r="AJ67"/>
        </row>
        <row r="68">
          <cell r="A68" t="str">
            <v>Чебуреки сочные ТМ Зареченские ТС Зареченские продукты.  Поком</v>
          </cell>
          <cell r="B68" t="str">
            <v>кг</v>
          </cell>
          <cell r="C68">
            <v>82.3</v>
          </cell>
          <cell r="D68"/>
          <cell r="E68">
            <v>272.7</v>
          </cell>
          <cell r="F68">
            <v>119.60000000000001</v>
          </cell>
          <cell r="G68">
            <v>1</v>
          </cell>
          <cell r="H68">
            <v>180</v>
          </cell>
          <cell r="I68" t="str">
            <v>P003476</v>
          </cell>
          <cell r="J68"/>
          <cell r="K68">
            <v>115</v>
          </cell>
          <cell r="L68">
            <v>157.69999999999999</v>
          </cell>
          <cell r="M68"/>
          <cell r="N68"/>
          <cell r="O68">
            <v>180</v>
          </cell>
          <cell r="P68">
            <v>420</v>
          </cell>
          <cell r="Q68">
            <v>54.54</v>
          </cell>
          <cell r="R68">
            <v>207.57999999999993</v>
          </cell>
          <cell r="S68">
            <v>180</v>
          </cell>
          <cell r="T68">
            <v>16.494316098276496</v>
          </cell>
          <cell r="U68">
            <v>13.193986065273194</v>
          </cell>
          <cell r="V68">
            <v>84.539999999999992</v>
          </cell>
          <cell r="W68">
            <v>57.54</v>
          </cell>
          <cell r="X68">
            <v>81</v>
          </cell>
          <cell r="Y68">
            <v>89.539999999999992</v>
          </cell>
          <cell r="Z68">
            <v>81</v>
          </cell>
          <cell r="AA68">
            <v>66</v>
          </cell>
          <cell r="AB68"/>
          <cell r="AC68">
            <v>207.57999999999993</v>
          </cell>
          <cell r="AD68">
            <v>5</v>
          </cell>
          <cell r="AE68">
            <v>36</v>
          </cell>
          <cell r="AF68">
            <v>180</v>
          </cell>
          <cell r="AG68">
            <v>12</v>
          </cell>
          <cell r="AH68">
            <v>84</v>
          </cell>
          <cell r="AI68">
            <v>0.42857142857142855</v>
          </cell>
          <cell r="AJ68"/>
        </row>
        <row r="69">
          <cell r="A69" t="str">
            <v>Чебуреки сочные, ВЕС, куриные жарен. зам  ПОКОМ</v>
          </cell>
          <cell r="B69" t="str">
            <v>кг</v>
          </cell>
          <cell r="C69">
            <v>282.3</v>
          </cell>
          <cell r="D69">
            <v>5</v>
          </cell>
          <cell r="E69">
            <v>137.69999999999999</v>
          </cell>
          <cell r="F69">
            <v>147.30000000000001</v>
          </cell>
          <cell r="G69">
            <v>0</v>
          </cell>
          <cell r="H69"/>
          <cell r="I69" t="str">
            <v>дубль</v>
          </cell>
          <cell r="J69" t="str">
            <v>Чебуреки сочные ТМ Зареченские ТС Зареченские продукты.  Поком</v>
          </cell>
          <cell r="K69">
            <v>130.4</v>
          </cell>
          <cell r="L69">
            <v>7.2999999999999829</v>
          </cell>
          <cell r="M69"/>
          <cell r="N69"/>
          <cell r="O69">
            <v>0</v>
          </cell>
          <cell r="P69"/>
          <cell r="Q69">
            <v>27.54</v>
          </cell>
          <cell r="R69"/>
          <cell r="S69"/>
          <cell r="T69">
            <v>5.3485838779956429</v>
          </cell>
          <cell r="U69">
            <v>5.3485838779956429</v>
          </cell>
          <cell r="V69">
            <v>2.54</v>
          </cell>
          <cell r="W69">
            <v>1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/>
          <cell r="AC69"/>
          <cell r="AD69"/>
          <cell r="AE69"/>
          <cell r="AF69"/>
          <cell r="AG69"/>
          <cell r="AH69"/>
          <cell r="AI69"/>
          <cell r="AJ69"/>
        </row>
        <row r="70">
          <cell r="A70" t="str">
            <v>Пельмени «Медвежье ушко Премиум Мясные» 0,8 классическая форма ТМ «Медвежье ушко»</v>
          </cell>
          <cell r="B70" t="str">
            <v>шт</v>
          </cell>
          <cell r="C70"/>
          <cell r="D70"/>
          <cell r="E70"/>
          <cell r="F70"/>
          <cell r="G70">
            <v>0.8</v>
          </cell>
          <cell r="H70"/>
          <cell r="I70" t="str">
            <v>P005158</v>
          </cell>
          <cell r="J70"/>
          <cell r="K70"/>
          <cell r="L70"/>
          <cell r="M70"/>
          <cell r="N70"/>
          <cell r="O70"/>
          <cell r="P70"/>
          <cell r="Q70"/>
          <cell r="R70">
            <v>250</v>
          </cell>
          <cell r="S70">
            <v>288</v>
          </cell>
          <cell r="T70"/>
          <cell r="U70"/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 t="str">
            <v>новинка</v>
          </cell>
          <cell r="AC70">
            <v>200</v>
          </cell>
          <cell r="AD70">
            <v>8</v>
          </cell>
          <cell r="AE70">
            <v>36</v>
          </cell>
          <cell r="AF70">
            <v>230.4</v>
          </cell>
          <cell r="AG70">
            <v>12</v>
          </cell>
          <cell r="AH70">
            <v>84</v>
          </cell>
          <cell r="AI70">
            <v>0.42857142857142855</v>
          </cell>
          <cell r="AJ70"/>
        </row>
        <row r="71">
          <cell r="A71"/>
          <cell r="B71"/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</row>
        <row r="72">
          <cell r="A72"/>
          <cell r="B72"/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</row>
        <row r="73">
          <cell r="A73"/>
          <cell r="B73"/>
          <cell r="C73"/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</row>
        <row r="74">
          <cell r="A74"/>
          <cell r="B74"/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</row>
        <row r="75">
          <cell r="A75"/>
          <cell r="B75"/>
          <cell r="C75"/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</row>
        <row r="76">
          <cell r="A76"/>
          <cell r="B76"/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</row>
        <row r="77">
          <cell r="A77"/>
          <cell r="B77"/>
          <cell r="C77"/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</row>
        <row r="78">
          <cell r="A78"/>
          <cell r="B78"/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</row>
        <row r="79">
          <cell r="A79"/>
          <cell r="B79"/>
          <cell r="C79"/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</row>
        <row r="80">
          <cell r="A80"/>
          <cell r="B80"/>
          <cell r="C80"/>
          <cell r="D80"/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</row>
        <row r="81">
          <cell r="A81"/>
          <cell r="B81"/>
          <cell r="C81"/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</row>
        <row r="82">
          <cell r="A82"/>
          <cell r="B82"/>
          <cell r="C82"/>
          <cell r="D82"/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</row>
        <row r="83">
          <cell r="A83"/>
          <cell r="B83"/>
          <cell r="C83"/>
          <cell r="D83"/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</row>
        <row r="84">
          <cell r="A84"/>
          <cell r="B84"/>
          <cell r="C84"/>
          <cell r="D84"/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</row>
        <row r="85">
          <cell r="A85"/>
          <cell r="B85"/>
          <cell r="C85"/>
          <cell r="D85"/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</row>
        <row r="86">
          <cell r="A86"/>
          <cell r="B86"/>
          <cell r="C86"/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</row>
        <row r="87">
          <cell r="A87"/>
          <cell r="B87"/>
          <cell r="C87"/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</row>
        <row r="88">
          <cell r="A88"/>
          <cell r="B88"/>
          <cell r="C88"/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</row>
        <row r="89">
          <cell r="A89"/>
          <cell r="B89"/>
          <cell r="C89"/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</row>
        <row r="90">
          <cell r="A90"/>
          <cell r="B90"/>
          <cell r="C90"/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</row>
        <row r="91">
          <cell r="A91"/>
          <cell r="B91"/>
          <cell r="C91"/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</row>
        <row r="92">
          <cell r="A92"/>
          <cell r="B92"/>
          <cell r="C92"/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</row>
        <row r="93">
          <cell r="A93"/>
          <cell r="B93"/>
          <cell r="C93"/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</row>
        <row r="94">
          <cell r="A94"/>
          <cell r="B94"/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</row>
        <row r="95">
          <cell r="A95"/>
          <cell r="B95"/>
          <cell r="C95"/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</row>
        <row r="96">
          <cell r="A96"/>
          <cell r="B96"/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</row>
        <row r="97">
          <cell r="A97"/>
          <cell r="B97"/>
          <cell r="C97"/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</row>
        <row r="98">
          <cell r="A98"/>
          <cell r="B98"/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</row>
        <row r="99">
          <cell r="A99"/>
          <cell r="B99"/>
          <cell r="C99"/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</row>
        <row r="100">
          <cell r="A100"/>
          <cell r="B100"/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</row>
        <row r="101">
          <cell r="A101"/>
          <cell r="B101"/>
          <cell r="C101"/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</row>
        <row r="102">
          <cell r="A102"/>
          <cell r="B102"/>
          <cell r="C102"/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</row>
        <row r="103">
          <cell r="A103"/>
          <cell r="B103"/>
          <cell r="C103"/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</row>
        <row r="104">
          <cell r="A104"/>
          <cell r="B104"/>
          <cell r="C104"/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</row>
        <row r="105">
          <cell r="A105"/>
          <cell r="B105"/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</row>
        <row r="106">
          <cell r="A106"/>
          <cell r="B106"/>
          <cell r="C106"/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</row>
        <row r="107">
          <cell r="A107"/>
          <cell r="B107"/>
          <cell r="C107"/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</row>
        <row r="108">
          <cell r="A108"/>
          <cell r="B108"/>
          <cell r="C108"/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</row>
        <row r="109">
          <cell r="A109"/>
          <cell r="B109"/>
          <cell r="C109"/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</row>
        <row r="110">
          <cell r="A110"/>
          <cell r="B110"/>
          <cell r="C110"/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</row>
        <row r="111">
          <cell r="A111"/>
          <cell r="B111"/>
          <cell r="C111"/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</row>
        <row r="112">
          <cell r="A112"/>
          <cell r="B112"/>
          <cell r="C112"/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</row>
        <row r="113">
          <cell r="A113"/>
          <cell r="B113"/>
          <cell r="C113"/>
          <cell r="D113"/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</row>
        <row r="114">
          <cell r="A114"/>
          <cell r="B114"/>
          <cell r="C114"/>
          <cell r="D114"/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</row>
        <row r="115">
          <cell r="A115"/>
          <cell r="B115"/>
          <cell r="C115"/>
          <cell r="D115"/>
          <cell r="E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</row>
        <row r="116">
          <cell r="A116"/>
          <cell r="B116"/>
          <cell r="C116"/>
          <cell r="D116"/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</row>
        <row r="117">
          <cell r="A117"/>
          <cell r="B117"/>
          <cell r="C117"/>
          <cell r="D117"/>
          <cell r="E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</row>
        <row r="118">
          <cell r="A118"/>
          <cell r="B118"/>
          <cell r="C118"/>
          <cell r="D118"/>
          <cell r="E118"/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</row>
        <row r="119">
          <cell r="A119"/>
          <cell r="B119"/>
          <cell r="C119"/>
          <cell r="D119"/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</row>
        <row r="120">
          <cell r="A120"/>
          <cell r="B120"/>
          <cell r="C120"/>
          <cell r="D120"/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</row>
        <row r="121">
          <cell r="A121"/>
          <cell r="B121"/>
          <cell r="C121"/>
          <cell r="D121"/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</row>
        <row r="122">
          <cell r="A122"/>
          <cell r="B122"/>
          <cell r="C122"/>
          <cell r="D122"/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</row>
        <row r="123">
          <cell r="A123"/>
          <cell r="B123"/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</row>
        <row r="124">
          <cell r="A124"/>
          <cell r="B124"/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</row>
        <row r="125">
          <cell r="A125"/>
          <cell r="B125"/>
          <cell r="C125"/>
          <cell r="D125"/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</row>
        <row r="126">
          <cell r="A126"/>
          <cell r="B126"/>
          <cell r="C126"/>
          <cell r="D126"/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</row>
        <row r="127">
          <cell r="A127"/>
          <cell r="B127"/>
          <cell r="C127"/>
          <cell r="D127"/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</row>
        <row r="128">
          <cell r="A128"/>
          <cell r="B128"/>
          <cell r="C128"/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</row>
        <row r="129">
          <cell r="A129"/>
          <cell r="B129"/>
          <cell r="C129"/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</row>
        <row r="130">
          <cell r="A130"/>
          <cell r="B130"/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</row>
        <row r="131">
          <cell r="A131"/>
          <cell r="B131"/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</row>
        <row r="132">
          <cell r="A132"/>
          <cell r="B132"/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</row>
        <row r="133">
          <cell r="A133"/>
          <cell r="B133"/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</row>
        <row r="134">
          <cell r="A134"/>
          <cell r="B134"/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</row>
        <row r="135">
          <cell r="A135"/>
          <cell r="B135"/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</row>
        <row r="136">
          <cell r="A136"/>
          <cell r="B136"/>
          <cell r="C136"/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</row>
        <row r="137">
          <cell r="A137"/>
          <cell r="B137"/>
          <cell r="C137"/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</row>
        <row r="138">
          <cell r="A138"/>
          <cell r="B138"/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</row>
        <row r="139">
          <cell r="A139"/>
          <cell r="B139"/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</row>
        <row r="140">
          <cell r="A140"/>
          <cell r="B140"/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</row>
        <row r="141">
          <cell r="A141"/>
          <cell r="B141"/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</row>
        <row r="142">
          <cell r="A142"/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</row>
        <row r="143">
          <cell r="A143"/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</row>
        <row r="144">
          <cell r="A144"/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</row>
        <row r="145">
          <cell r="A145"/>
          <cell r="B145"/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</row>
        <row r="146">
          <cell r="A146"/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</row>
        <row r="147">
          <cell r="A147"/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</row>
        <row r="148">
          <cell r="A148"/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</row>
        <row r="149">
          <cell r="A149"/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</row>
        <row r="150">
          <cell r="A150"/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</row>
        <row r="151">
          <cell r="A151"/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</row>
        <row r="152">
          <cell r="A152"/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</row>
        <row r="153">
          <cell r="A153"/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</row>
        <row r="154">
          <cell r="A154"/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</row>
        <row r="155">
          <cell r="A155"/>
          <cell r="B155"/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</row>
        <row r="156">
          <cell r="A156"/>
          <cell r="B156"/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</row>
        <row r="157">
          <cell r="A157"/>
          <cell r="B157"/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</row>
        <row r="158">
          <cell r="A158"/>
          <cell r="B158"/>
          <cell r="C158"/>
          <cell r="D158"/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</row>
        <row r="159">
          <cell r="A159"/>
          <cell r="B159"/>
          <cell r="C159"/>
          <cell r="D159"/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</row>
        <row r="160">
          <cell r="A160"/>
          <cell r="B160"/>
          <cell r="C160"/>
          <cell r="D160"/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</row>
        <row r="161">
          <cell r="A161"/>
          <cell r="B161"/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</row>
        <row r="162">
          <cell r="A162"/>
          <cell r="B162"/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</row>
        <row r="163">
          <cell r="A163"/>
          <cell r="B163"/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</row>
        <row r="164">
          <cell r="A164"/>
          <cell r="B164"/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</row>
        <row r="165">
          <cell r="A165"/>
          <cell r="B165"/>
          <cell r="C165"/>
          <cell r="D165"/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</row>
        <row r="166">
          <cell r="A166"/>
          <cell r="B166"/>
          <cell r="C166"/>
          <cell r="D166"/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</row>
        <row r="167">
          <cell r="A167"/>
          <cell r="B167"/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</row>
        <row r="168">
          <cell r="A168"/>
          <cell r="B168"/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</row>
        <row r="169">
          <cell r="A169"/>
          <cell r="B169"/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</row>
        <row r="170">
          <cell r="A170"/>
          <cell r="B170"/>
          <cell r="C170"/>
          <cell r="D170"/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</row>
        <row r="171">
          <cell r="A171"/>
          <cell r="B171"/>
          <cell r="C171"/>
          <cell r="D171"/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</row>
        <row r="172">
          <cell r="A172"/>
          <cell r="B172"/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</row>
        <row r="173">
          <cell r="A173"/>
          <cell r="B173"/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</row>
        <row r="174">
          <cell r="A174"/>
          <cell r="B174"/>
          <cell r="C174"/>
          <cell r="D174"/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</row>
        <row r="175">
          <cell r="A175"/>
          <cell r="B175"/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</row>
        <row r="176">
          <cell r="A176"/>
          <cell r="B176"/>
          <cell r="C176"/>
          <cell r="D176"/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</row>
        <row r="177">
          <cell r="A177"/>
          <cell r="B177"/>
          <cell r="C177"/>
          <cell r="D177"/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</row>
        <row r="178">
          <cell r="A178"/>
          <cell r="B178"/>
          <cell r="C178"/>
          <cell r="D178"/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</row>
        <row r="179">
          <cell r="A179"/>
          <cell r="B179"/>
          <cell r="C179"/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</row>
        <row r="180">
          <cell r="A180"/>
          <cell r="B180"/>
          <cell r="C180"/>
          <cell r="D180"/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</row>
        <row r="181">
          <cell r="A181"/>
          <cell r="B181"/>
          <cell r="C181"/>
          <cell r="D181"/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</row>
        <row r="182">
          <cell r="A182"/>
          <cell r="B182"/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</row>
        <row r="183">
          <cell r="A183"/>
          <cell r="B183"/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</row>
        <row r="184">
          <cell r="A184"/>
          <cell r="B184"/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</row>
        <row r="185">
          <cell r="A185"/>
          <cell r="B185"/>
          <cell r="C185"/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</row>
        <row r="186">
          <cell r="A186"/>
          <cell r="B186"/>
          <cell r="C186"/>
          <cell r="D186"/>
          <cell r="E186"/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</row>
        <row r="187">
          <cell r="A187"/>
          <cell r="B187"/>
          <cell r="C187"/>
          <cell r="D187"/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</row>
        <row r="188">
          <cell r="A188"/>
          <cell r="B188"/>
          <cell r="C188"/>
          <cell r="D188"/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</row>
        <row r="189">
          <cell r="A189"/>
          <cell r="B189"/>
          <cell r="C189"/>
          <cell r="D189"/>
          <cell r="E189"/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</row>
        <row r="190">
          <cell r="A190"/>
          <cell r="B190"/>
          <cell r="C190"/>
          <cell r="D190"/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</row>
        <row r="191">
          <cell r="A191"/>
          <cell r="B191"/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</row>
        <row r="192">
          <cell r="A192"/>
          <cell r="B192"/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</row>
        <row r="193">
          <cell r="A193"/>
          <cell r="B193"/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</row>
        <row r="194">
          <cell r="A194"/>
          <cell r="B194"/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</row>
        <row r="195">
          <cell r="A195"/>
          <cell r="B195"/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</row>
        <row r="196">
          <cell r="A196"/>
          <cell r="B196"/>
          <cell r="C196"/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</row>
        <row r="197">
          <cell r="A197"/>
          <cell r="B197"/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</row>
        <row r="198">
          <cell r="A198"/>
          <cell r="B198"/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</row>
        <row r="199">
          <cell r="A199"/>
          <cell r="B199"/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</row>
        <row r="200">
          <cell r="A200"/>
          <cell r="B200"/>
          <cell r="C200"/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</row>
        <row r="201">
          <cell r="A201"/>
          <cell r="B201"/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</row>
        <row r="202">
          <cell r="A202"/>
          <cell r="B202"/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</row>
        <row r="203">
          <cell r="A203"/>
          <cell r="B203"/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</row>
        <row r="204">
          <cell r="A204"/>
          <cell r="B204"/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</row>
        <row r="205">
          <cell r="A205"/>
          <cell r="B205"/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</row>
        <row r="206">
          <cell r="A206"/>
          <cell r="B206"/>
          <cell r="C206"/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</row>
        <row r="207">
          <cell r="A207"/>
          <cell r="B207"/>
          <cell r="C207"/>
          <cell r="D207"/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</row>
        <row r="208">
          <cell r="A208"/>
          <cell r="B208"/>
          <cell r="C208"/>
          <cell r="D208"/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</row>
        <row r="209">
          <cell r="A209"/>
          <cell r="B209"/>
          <cell r="C209"/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</row>
        <row r="210">
          <cell r="A210"/>
          <cell r="B210"/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</row>
        <row r="211">
          <cell r="A211"/>
          <cell r="B211"/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</row>
        <row r="212">
          <cell r="A212"/>
          <cell r="B212"/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</row>
        <row r="213">
          <cell r="A213"/>
          <cell r="B213"/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</row>
        <row r="214">
          <cell r="A214"/>
          <cell r="B214"/>
          <cell r="C214"/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</row>
        <row r="215">
          <cell r="A215"/>
          <cell r="B215"/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</row>
        <row r="216">
          <cell r="A216"/>
          <cell r="B216"/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</row>
        <row r="217">
          <cell r="A217"/>
          <cell r="B217"/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</row>
        <row r="218">
          <cell r="A218"/>
          <cell r="B218"/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</row>
        <row r="219">
          <cell r="A219"/>
          <cell r="B219"/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</row>
        <row r="220">
          <cell r="A220"/>
          <cell r="B220"/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</row>
        <row r="221">
          <cell r="A221"/>
          <cell r="B221"/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</row>
        <row r="222">
          <cell r="A222"/>
          <cell r="B222"/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</row>
        <row r="223">
          <cell r="A223"/>
          <cell r="B223"/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</row>
        <row r="224">
          <cell r="A224"/>
          <cell r="B224"/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</row>
        <row r="225">
          <cell r="A225"/>
          <cell r="B225"/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</row>
        <row r="226">
          <cell r="A226"/>
          <cell r="B226"/>
          <cell r="C226"/>
          <cell r="D226"/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</row>
        <row r="227">
          <cell r="A227"/>
          <cell r="B227"/>
          <cell r="C227"/>
          <cell r="D227"/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</row>
        <row r="228">
          <cell r="A228"/>
          <cell r="B228"/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</row>
        <row r="229">
          <cell r="A229"/>
          <cell r="B229"/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</row>
        <row r="230">
          <cell r="A230"/>
          <cell r="B230"/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</row>
        <row r="231">
          <cell r="A231"/>
          <cell r="B231"/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</row>
        <row r="232">
          <cell r="A232"/>
          <cell r="B232"/>
          <cell r="C232"/>
          <cell r="D232"/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</row>
        <row r="233">
          <cell r="A233"/>
          <cell r="B233"/>
          <cell r="C233"/>
          <cell r="D233"/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</row>
        <row r="234">
          <cell r="A234"/>
          <cell r="B234"/>
          <cell r="C234"/>
          <cell r="D234"/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</row>
        <row r="235">
          <cell r="A235"/>
          <cell r="B235"/>
          <cell r="C235"/>
          <cell r="D235"/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</row>
        <row r="236">
          <cell r="A236"/>
          <cell r="B236"/>
          <cell r="C236"/>
          <cell r="D236"/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</row>
        <row r="237">
          <cell r="A237"/>
          <cell r="B237"/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</row>
        <row r="238">
          <cell r="A238"/>
          <cell r="B238"/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</row>
        <row r="239">
          <cell r="A239"/>
          <cell r="B239"/>
          <cell r="C239"/>
          <cell r="D239"/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</row>
        <row r="240">
          <cell r="A240"/>
          <cell r="B240"/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</row>
        <row r="241">
          <cell r="A241"/>
          <cell r="B241"/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</row>
        <row r="242">
          <cell r="A242"/>
          <cell r="B242"/>
          <cell r="C242"/>
          <cell r="D242"/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</row>
        <row r="243">
          <cell r="A243"/>
          <cell r="B243"/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</row>
        <row r="244">
          <cell r="A244"/>
          <cell r="B244"/>
          <cell r="C244"/>
          <cell r="D244"/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</row>
        <row r="245">
          <cell r="A245"/>
          <cell r="B245"/>
          <cell r="C245"/>
          <cell r="D245"/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</row>
        <row r="246">
          <cell r="A246"/>
          <cell r="B246"/>
          <cell r="C246"/>
          <cell r="D246"/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</row>
        <row r="247">
          <cell r="A247"/>
          <cell r="B247"/>
          <cell r="C247"/>
          <cell r="D247"/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</row>
        <row r="248">
          <cell r="A248"/>
          <cell r="B248"/>
          <cell r="C248"/>
          <cell r="D248"/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</row>
        <row r="249">
          <cell r="A249"/>
          <cell r="B249"/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</row>
        <row r="250">
          <cell r="A250"/>
          <cell r="B250"/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</row>
        <row r="251">
          <cell r="A251"/>
          <cell r="B251"/>
          <cell r="C251"/>
          <cell r="D251"/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</row>
        <row r="252">
          <cell r="A252"/>
          <cell r="B252"/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</row>
        <row r="253">
          <cell r="A253"/>
          <cell r="B253"/>
          <cell r="C253"/>
          <cell r="D253"/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</row>
        <row r="254">
          <cell r="A254"/>
          <cell r="B254"/>
          <cell r="C254"/>
          <cell r="D254"/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</row>
        <row r="255">
          <cell r="A255"/>
          <cell r="B255"/>
          <cell r="C255"/>
          <cell r="D255"/>
          <cell r="E255"/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</row>
        <row r="256">
          <cell r="A256"/>
          <cell r="B256"/>
          <cell r="C256"/>
          <cell r="D256"/>
          <cell r="E256"/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</row>
        <row r="257">
          <cell r="A257"/>
          <cell r="B257"/>
          <cell r="C257"/>
          <cell r="D257"/>
          <cell r="E257"/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</row>
        <row r="258">
          <cell r="A258"/>
          <cell r="B258"/>
          <cell r="C258"/>
          <cell r="D258"/>
          <cell r="E258"/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</row>
        <row r="259">
          <cell r="A259"/>
          <cell r="B259"/>
          <cell r="C259"/>
          <cell r="D259"/>
          <cell r="E259"/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</row>
        <row r="260">
          <cell r="A260"/>
          <cell r="B260"/>
          <cell r="C260"/>
          <cell r="D260"/>
          <cell r="E260"/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</row>
        <row r="261">
          <cell r="A261"/>
          <cell r="B261"/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</row>
        <row r="262">
          <cell r="A262"/>
          <cell r="B262"/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</row>
        <row r="263">
          <cell r="A263"/>
          <cell r="B263"/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</row>
        <row r="264">
          <cell r="A264"/>
          <cell r="B264"/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</row>
        <row r="265">
          <cell r="A265"/>
          <cell r="B265"/>
          <cell r="C265"/>
          <cell r="D265"/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</row>
        <row r="266">
          <cell r="A266"/>
          <cell r="B266"/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</row>
        <row r="267">
          <cell r="A267"/>
          <cell r="B267"/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</row>
        <row r="268">
          <cell r="A268"/>
          <cell r="B268"/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</row>
        <row r="269">
          <cell r="A269"/>
          <cell r="B269"/>
          <cell r="C269"/>
          <cell r="D269"/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</row>
        <row r="270">
          <cell r="A270"/>
          <cell r="B270"/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</row>
        <row r="271">
          <cell r="A271"/>
          <cell r="B271"/>
          <cell r="C271"/>
          <cell r="D271"/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</row>
        <row r="272">
          <cell r="A272"/>
          <cell r="B272"/>
          <cell r="C272"/>
          <cell r="D272"/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</row>
        <row r="273">
          <cell r="A273"/>
          <cell r="B273"/>
          <cell r="C273"/>
          <cell r="D273"/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</row>
        <row r="274">
          <cell r="A274"/>
          <cell r="B274"/>
          <cell r="C274"/>
          <cell r="D274"/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</row>
        <row r="275">
          <cell r="A275"/>
          <cell r="B275"/>
          <cell r="C275"/>
          <cell r="D275"/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</row>
        <row r="276">
          <cell r="A276"/>
          <cell r="B276"/>
          <cell r="C276"/>
          <cell r="D276"/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</row>
        <row r="277">
          <cell r="A277"/>
          <cell r="B277"/>
          <cell r="C277"/>
          <cell r="D277"/>
          <cell r="E277"/>
          <cell r="F277"/>
          <cell r="G277"/>
          <cell r="H277"/>
          <cell r="I277"/>
          <cell r="J277"/>
          <cell r="K277"/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</row>
        <row r="278">
          <cell r="A278"/>
          <cell r="B278"/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</row>
        <row r="279">
          <cell r="A279"/>
          <cell r="B279"/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</row>
        <row r="280">
          <cell r="A280"/>
          <cell r="B280"/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</row>
        <row r="281">
          <cell r="A281"/>
          <cell r="B281"/>
          <cell r="C281"/>
          <cell r="D281"/>
          <cell r="E281"/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</row>
        <row r="282">
          <cell r="A282"/>
          <cell r="B282"/>
          <cell r="C282"/>
          <cell r="D282"/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</row>
        <row r="283">
          <cell r="A283"/>
          <cell r="B283"/>
          <cell r="C283"/>
          <cell r="D283"/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</row>
        <row r="284">
          <cell r="A284"/>
          <cell r="B284"/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</row>
        <row r="285">
          <cell r="A285"/>
          <cell r="B285"/>
          <cell r="C285"/>
          <cell r="D285"/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</row>
        <row r="286">
          <cell r="A286"/>
          <cell r="B286"/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</row>
        <row r="287">
          <cell r="A287"/>
          <cell r="B287"/>
          <cell r="C287"/>
          <cell r="D287"/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</row>
        <row r="288">
          <cell r="A288"/>
          <cell r="B288"/>
          <cell r="C288"/>
          <cell r="D288"/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</row>
        <row r="289">
          <cell r="A289"/>
          <cell r="B289"/>
          <cell r="C289"/>
          <cell r="D289"/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</row>
        <row r="290">
          <cell r="A290"/>
          <cell r="B290"/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</row>
        <row r="291">
          <cell r="A291"/>
          <cell r="B291"/>
          <cell r="C291"/>
          <cell r="D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</row>
        <row r="292">
          <cell r="A292"/>
          <cell r="B292"/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</row>
        <row r="293">
          <cell r="A293"/>
          <cell r="B293"/>
          <cell r="C293"/>
          <cell r="D293"/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</row>
        <row r="294">
          <cell r="A294"/>
          <cell r="B294"/>
          <cell r="C294"/>
          <cell r="D294"/>
          <cell r="E294"/>
          <cell r="F294"/>
          <cell r="G294"/>
          <cell r="H294"/>
          <cell r="I294"/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</row>
        <row r="295">
          <cell r="A295"/>
          <cell r="B295"/>
          <cell r="C295"/>
          <cell r="D295"/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</row>
        <row r="296">
          <cell r="A296"/>
          <cell r="B296"/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</row>
        <row r="297">
          <cell r="A297"/>
          <cell r="B297"/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</row>
        <row r="298">
          <cell r="A298"/>
          <cell r="B298"/>
          <cell r="C298"/>
          <cell r="D298"/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</row>
        <row r="299">
          <cell r="A299"/>
          <cell r="B299"/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</row>
        <row r="300">
          <cell r="A300"/>
          <cell r="B300"/>
          <cell r="C300"/>
          <cell r="D300"/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</row>
        <row r="301">
          <cell r="A301"/>
          <cell r="B301"/>
          <cell r="C301"/>
          <cell r="D301"/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</row>
        <row r="302">
          <cell r="A302"/>
          <cell r="B302"/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</row>
        <row r="303">
          <cell r="A303"/>
          <cell r="B303"/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</row>
        <row r="304">
          <cell r="A304"/>
          <cell r="B304"/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</row>
        <row r="305">
          <cell r="A305"/>
          <cell r="B305"/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</row>
        <row r="306">
          <cell r="A306"/>
          <cell r="B306"/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</row>
        <row r="307">
          <cell r="A307"/>
          <cell r="B307"/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</row>
        <row r="308">
          <cell r="A308"/>
          <cell r="B308"/>
          <cell r="C308"/>
          <cell r="D308"/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</row>
        <row r="309">
          <cell r="A309"/>
          <cell r="B309"/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</row>
        <row r="310">
          <cell r="A310"/>
          <cell r="B310"/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</row>
        <row r="311">
          <cell r="A311"/>
          <cell r="B311"/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</row>
        <row r="312">
          <cell r="A312"/>
          <cell r="B312"/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</row>
        <row r="313">
          <cell r="A313"/>
          <cell r="B313"/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</row>
        <row r="314">
          <cell r="A314"/>
          <cell r="B314"/>
          <cell r="C314"/>
          <cell r="D314"/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</row>
        <row r="315">
          <cell r="A315"/>
          <cell r="B315"/>
          <cell r="C315"/>
          <cell r="D315"/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</row>
        <row r="316">
          <cell r="A316"/>
          <cell r="B316"/>
          <cell r="C316"/>
          <cell r="D316"/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</row>
        <row r="317">
          <cell r="A317"/>
          <cell r="B317"/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</row>
        <row r="318">
          <cell r="A318"/>
          <cell r="B318"/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</row>
        <row r="319">
          <cell r="A319"/>
          <cell r="B319"/>
          <cell r="C319"/>
          <cell r="D319"/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</row>
        <row r="320">
          <cell r="A320"/>
          <cell r="B320"/>
          <cell r="C320"/>
          <cell r="D320"/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</row>
        <row r="321">
          <cell r="A321"/>
          <cell r="B321"/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</row>
        <row r="322">
          <cell r="A322"/>
          <cell r="B322"/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</row>
        <row r="323">
          <cell r="A323"/>
          <cell r="B323"/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</row>
        <row r="324">
          <cell r="A324"/>
          <cell r="B324"/>
          <cell r="C324"/>
          <cell r="D324"/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</row>
        <row r="325">
          <cell r="A325"/>
          <cell r="B325"/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</row>
        <row r="326">
          <cell r="A326"/>
          <cell r="B326"/>
          <cell r="C326"/>
          <cell r="D326"/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</row>
        <row r="327">
          <cell r="A327"/>
          <cell r="B327"/>
          <cell r="C327"/>
          <cell r="D327"/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</row>
        <row r="328">
          <cell r="A328"/>
          <cell r="B328"/>
          <cell r="C328"/>
          <cell r="D328"/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</row>
        <row r="329">
          <cell r="A329"/>
          <cell r="B329"/>
          <cell r="C329"/>
          <cell r="D329"/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</row>
        <row r="330">
          <cell r="A330"/>
          <cell r="B330"/>
          <cell r="C330"/>
          <cell r="D330"/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</row>
        <row r="331">
          <cell r="A331"/>
          <cell r="B331"/>
          <cell r="C331"/>
          <cell r="D331"/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</row>
        <row r="332">
          <cell r="A332"/>
          <cell r="B332"/>
          <cell r="C332"/>
          <cell r="D332"/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</row>
        <row r="333">
          <cell r="A333"/>
          <cell r="B333"/>
          <cell r="C333"/>
          <cell r="D333"/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</row>
        <row r="334">
          <cell r="A334"/>
          <cell r="B334"/>
          <cell r="C334"/>
          <cell r="D334"/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</row>
        <row r="335">
          <cell r="A335"/>
          <cell r="B335"/>
          <cell r="C335"/>
          <cell r="D335"/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</row>
        <row r="336">
          <cell r="A336"/>
          <cell r="B336"/>
          <cell r="C336"/>
          <cell r="D336"/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</row>
        <row r="337">
          <cell r="A337"/>
          <cell r="B337"/>
          <cell r="C337"/>
          <cell r="D337"/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</row>
        <row r="338">
          <cell r="A338"/>
          <cell r="B338"/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</row>
        <row r="339">
          <cell r="A339"/>
          <cell r="B339"/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</row>
        <row r="340">
          <cell r="A340"/>
          <cell r="B340"/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</row>
        <row r="341">
          <cell r="A341"/>
          <cell r="B341"/>
          <cell r="C341"/>
          <cell r="D341"/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</row>
        <row r="342">
          <cell r="A342"/>
          <cell r="B342"/>
          <cell r="C342"/>
          <cell r="D342"/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</row>
        <row r="343">
          <cell r="A343"/>
          <cell r="B343"/>
          <cell r="C343"/>
          <cell r="D343"/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</row>
        <row r="344">
          <cell r="A344"/>
          <cell r="B344"/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</row>
        <row r="345">
          <cell r="A345"/>
          <cell r="B345"/>
          <cell r="C345"/>
          <cell r="D345"/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</row>
        <row r="346">
          <cell r="A346"/>
          <cell r="B346"/>
          <cell r="C346"/>
          <cell r="D346"/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</row>
        <row r="347">
          <cell r="A347"/>
          <cell r="B347"/>
          <cell r="C347"/>
          <cell r="D347"/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</row>
        <row r="348">
          <cell r="A348"/>
          <cell r="B348"/>
          <cell r="C348"/>
          <cell r="D348"/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</row>
        <row r="349">
          <cell r="A349"/>
          <cell r="B349"/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</row>
        <row r="350">
          <cell r="A350"/>
          <cell r="B350"/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</row>
        <row r="351">
          <cell r="A351"/>
          <cell r="B351"/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</row>
        <row r="352">
          <cell r="A352"/>
          <cell r="B352"/>
          <cell r="C352"/>
          <cell r="D352"/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</row>
        <row r="353">
          <cell r="A353"/>
          <cell r="B353"/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</row>
        <row r="354">
          <cell r="A354"/>
          <cell r="B354"/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</row>
        <row r="355">
          <cell r="A355"/>
          <cell r="B355"/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</row>
        <row r="356">
          <cell r="A356"/>
          <cell r="B356"/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</row>
        <row r="357">
          <cell r="A357"/>
          <cell r="B357"/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</row>
        <row r="358">
          <cell r="A358"/>
          <cell r="B358"/>
          <cell r="C358"/>
          <cell r="D358"/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</row>
        <row r="359">
          <cell r="A359"/>
          <cell r="B359"/>
          <cell r="C359"/>
          <cell r="D359"/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</row>
        <row r="360">
          <cell r="A360"/>
          <cell r="B360"/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</row>
        <row r="361">
          <cell r="A361"/>
          <cell r="B361"/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</row>
        <row r="365">
          <cell r="A365"/>
          <cell r="B365"/>
          <cell r="C365"/>
          <cell r="D365"/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</row>
        <row r="366">
          <cell r="A366"/>
          <cell r="B366"/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</row>
        <row r="367">
          <cell r="A367"/>
          <cell r="B367"/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</row>
        <row r="368">
          <cell r="A368"/>
          <cell r="B368"/>
          <cell r="C368"/>
          <cell r="D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</row>
        <row r="369">
          <cell r="A369"/>
          <cell r="B369"/>
          <cell r="C369"/>
          <cell r="D369"/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</row>
        <row r="370">
          <cell r="A370"/>
          <cell r="B370"/>
          <cell r="C370"/>
          <cell r="D370"/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</row>
        <row r="371">
          <cell r="A371"/>
          <cell r="B371"/>
          <cell r="C371"/>
          <cell r="D371"/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</row>
        <row r="372">
          <cell r="A372"/>
          <cell r="B372"/>
          <cell r="C372"/>
          <cell r="D372"/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</row>
        <row r="373">
          <cell r="A373"/>
          <cell r="B373"/>
          <cell r="C373"/>
          <cell r="D373"/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</row>
        <row r="374">
          <cell r="A374"/>
          <cell r="B374"/>
          <cell r="C374"/>
          <cell r="D374"/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</row>
        <row r="375">
          <cell r="A375"/>
          <cell r="B375"/>
          <cell r="C375"/>
          <cell r="D375"/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</row>
        <row r="376">
          <cell r="A376"/>
          <cell r="B376"/>
          <cell r="C376"/>
          <cell r="D376"/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</row>
        <row r="377">
          <cell r="A377"/>
          <cell r="B377"/>
          <cell r="C377"/>
          <cell r="D377"/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</row>
        <row r="378">
          <cell r="A378"/>
          <cell r="B378"/>
          <cell r="C378"/>
          <cell r="D378"/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</row>
        <row r="379">
          <cell r="A379"/>
          <cell r="B379"/>
          <cell r="C379"/>
          <cell r="D379"/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</row>
        <row r="380">
          <cell r="A380"/>
          <cell r="B380"/>
          <cell r="C380"/>
          <cell r="D380"/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</row>
        <row r="381">
          <cell r="A381"/>
          <cell r="B381"/>
          <cell r="C381"/>
          <cell r="D381"/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</row>
        <row r="382">
          <cell r="A382"/>
          <cell r="B382"/>
          <cell r="C382"/>
          <cell r="D382"/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</row>
        <row r="383">
          <cell r="A383"/>
          <cell r="B383"/>
          <cell r="C383"/>
          <cell r="D383"/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</row>
        <row r="384">
          <cell r="A384"/>
          <cell r="B384"/>
          <cell r="C384"/>
          <cell r="D384"/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</row>
        <row r="385">
          <cell r="A385"/>
          <cell r="B385"/>
          <cell r="C385"/>
          <cell r="D385"/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</row>
        <row r="386">
          <cell r="A386"/>
          <cell r="B386"/>
          <cell r="C386"/>
          <cell r="D386"/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</row>
        <row r="387">
          <cell r="A387"/>
          <cell r="B387"/>
          <cell r="C387"/>
          <cell r="D387"/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</row>
        <row r="388">
          <cell r="A388"/>
          <cell r="B388"/>
          <cell r="C388"/>
          <cell r="D388"/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</row>
        <row r="389">
          <cell r="A389"/>
          <cell r="B389"/>
          <cell r="C389"/>
          <cell r="D389"/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</row>
        <row r="390">
          <cell r="A390"/>
          <cell r="B390"/>
          <cell r="C390"/>
          <cell r="D390"/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</row>
        <row r="391">
          <cell r="A391"/>
          <cell r="B391"/>
          <cell r="C391"/>
          <cell r="D391"/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</row>
        <row r="392">
          <cell r="A392"/>
          <cell r="B392"/>
          <cell r="C392"/>
          <cell r="D392"/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</row>
        <row r="393">
          <cell r="A393"/>
          <cell r="B393"/>
          <cell r="C393"/>
          <cell r="D393"/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</row>
        <row r="394">
          <cell r="A394"/>
          <cell r="B394"/>
          <cell r="C394"/>
          <cell r="D394"/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</row>
        <row r="395">
          <cell r="A395"/>
          <cell r="B395"/>
          <cell r="C395"/>
          <cell r="D395"/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</row>
        <row r="396">
          <cell r="A396"/>
          <cell r="B396"/>
          <cell r="C396"/>
          <cell r="D396"/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</row>
        <row r="397">
          <cell r="A397"/>
          <cell r="B397"/>
          <cell r="C397"/>
          <cell r="D397"/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</row>
        <row r="398">
          <cell r="A398"/>
          <cell r="B398"/>
          <cell r="C398"/>
          <cell r="D398"/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</row>
        <row r="399">
          <cell r="A399"/>
          <cell r="B399"/>
          <cell r="C399"/>
          <cell r="D399"/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</row>
        <row r="400">
          <cell r="A400"/>
          <cell r="B400"/>
          <cell r="C400"/>
          <cell r="D400"/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</row>
        <row r="401">
          <cell r="A401"/>
          <cell r="B401"/>
          <cell r="C401"/>
          <cell r="D401"/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</row>
        <row r="402">
          <cell r="A402"/>
          <cell r="B402"/>
          <cell r="C402"/>
          <cell r="D402"/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</row>
        <row r="403">
          <cell r="A403"/>
          <cell r="B403"/>
          <cell r="C403"/>
          <cell r="D403"/>
          <cell r="E403"/>
          <cell r="F403"/>
          <cell r="G403"/>
          <cell r="H403"/>
          <cell r="I403"/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</row>
        <row r="404">
          <cell r="A404"/>
          <cell r="B404"/>
          <cell r="C404"/>
          <cell r="D404"/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</row>
        <row r="405">
          <cell r="A405"/>
          <cell r="B405"/>
          <cell r="C405"/>
          <cell r="D405"/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</row>
        <row r="406">
          <cell r="A406"/>
          <cell r="B406"/>
          <cell r="C406"/>
          <cell r="D406"/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</row>
        <row r="407">
          <cell r="A407"/>
          <cell r="B407"/>
          <cell r="C407"/>
          <cell r="D407"/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</row>
        <row r="408">
          <cell r="A408"/>
          <cell r="B408"/>
          <cell r="C408"/>
          <cell r="D408"/>
          <cell r="E408"/>
          <cell r="F408"/>
          <cell r="G408"/>
          <cell r="H408"/>
          <cell r="I408"/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</row>
        <row r="409">
          <cell r="A409"/>
          <cell r="B409"/>
          <cell r="C409"/>
          <cell r="D409"/>
          <cell r="E409"/>
          <cell r="F409"/>
          <cell r="G409"/>
          <cell r="H409"/>
          <cell r="I409"/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</row>
        <row r="410">
          <cell r="A410"/>
          <cell r="B410"/>
          <cell r="C410"/>
          <cell r="D410"/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</row>
        <row r="411">
          <cell r="A411"/>
          <cell r="B411"/>
          <cell r="C411"/>
          <cell r="D411"/>
          <cell r="E411"/>
          <cell r="F411"/>
          <cell r="G411"/>
          <cell r="H411"/>
          <cell r="I411"/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</row>
        <row r="412">
          <cell r="A412"/>
          <cell r="B412"/>
          <cell r="C412"/>
          <cell r="D412"/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</row>
        <row r="413">
          <cell r="A413"/>
          <cell r="B413"/>
          <cell r="C413"/>
          <cell r="D413"/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</row>
        <row r="414">
          <cell r="A414"/>
          <cell r="B414"/>
          <cell r="C414"/>
          <cell r="D414"/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</row>
        <row r="415">
          <cell r="A415"/>
          <cell r="B415"/>
          <cell r="C415"/>
          <cell r="D415"/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</row>
        <row r="416">
          <cell r="A416"/>
          <cell r="B416"/>
          <cell r="C416"/>
          <cell r="D416"/>
          <cell r="E416"/>
          <cell r="F416"/>
          <cell r="G416"/>
          <cell r="H416"/>
          <cell r="I416"/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</row>
        <row r="417">
          <cell r="A417"/>
          <cell r="B417"/>
          <cell r="C417"/>
          <cell r="D417"/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</row>
        <row r="418">
          <cell r="A418"/>
          <cell r="B418"/>
          <cell r="C418"/>
          <cell r="D418"/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</row>
        <row r="419">
          <cell r="A419"/>
          <cell r="B419"/>
          <cell r="C419"/>
          <cell r="D419"/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</row>
        <row r="420">
          <cell r="A420"/>
          <cell r="B420"/>
          <cell r="C420"/>
          <cell r="D420"/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</row>
        <row r="421">
          <cell r="A421"/>
          <cell r="B421"/>
          <cell r="C421"/>
          <cell r="D421"/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</row>
        <row r="422">
          <cell r="A422"/>
          <cell r="B422"/>
          <cell r="C422"/>
          <cell r="D422"/>
          <cell r="E422"/>
          <cell r="F422"/>
          <cell r="G422"/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</row>
        <row r="423">
          <cell r="A423"/>
          <cell r="B423"/>
          <cell r="C423"/>
          <cell r="D423"/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</row>
        <row r="424">
          <cell r="A424"/>
          <cell r="B424"/>
          <cell r="C424"/>
          <cell r="D424"/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</row>
        <row r="425">
          <cell r="A425"/>
          <cell r="B425"/>
          <cell r="C425"/>
          <cell r="D425"/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</row>
        <row r="426">
          <cell r="A426"/>
          <cell r="B426"/>
          <cell r="C426"/>
          <cell r="D426"/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</row>
        <row r="427">
          <cell r="A427"/>
          <cell r="B427"/>
          <cell r="C427"/>
          <cell r="D427"/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</row>
        <row r="428">
          <cell r="A428"/>
          <cell r="B428"/>
          <cell r="C428"/>
          <cell r="D428"/>
          <cell r="E428"/>
          <cell r="F428"/>
          <cell r="G428"/>
          <cell r="H428"/>
          <cell r="I428"/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</row>
        <row r="429">
          <cell r="A429"/>
          <cell r="B429"/>
          <cell r="C429"/>
          <cell r="D429"/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</row>
        <row r="430">
          <cell r="A430"/>
          <cell r="B430"/>
          <cell r="C430"/>
          <cell r="D430"/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</row>
        <row r="431">
          <cell r="A431"/>
          <cell r="B431"/>
          <cell r="C431"/>
          <cell r="D431"/>
          <cell r="E431"/>
          <cell r="F431"/>
          <cell r="G431"/>
          <cell r="H431"/>
          <cell r="I431"/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</row>
        <row r="432">
          <cell r="A432"/>
          <cell r="B432"/>
          <cell r="C432"/>
          <cell r="D432"/>
          <cell r="E432"/>
          <cell r="F432"/>
          <cell r="G432"/>
          <cell r="H432"/>
          <cell r="I432"/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</row>
        <row r="433">
          <cell r="A433"/>
          <cell r="B433"/>
          <cell r="C433"/>
          <cell r="D433"/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</row>
        <row r="434">
          <cell r="A434"/>
          <cell r="B434"/>
          <cell r="C434"/>
          <cell r="D434"/>
          <cell r="E434"/>
          <cell r="F434"/>
          <cell r="G434"/>
          <cell r="H434"/>
          <cell r="I434"/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</row>
        <row r="435">
          <cell r="A435"/>
          <cell r="B435"/>
          <cell r="C435"/>
          <cell r="D435"/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</row>
        <row r="436">
          <cell r="A436"/>
          <cell r="B436"/>
          <cell r="C436"/>
          <cell r="D436"/>
          <cell r="E436"/>
          <cell r="F436"/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</row>
        <row r="437">
          <cell r="A437"/>
          <cell r="B437"/>
          <cell r="C437"/>
          <cell r="D437"/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</row>
        <row r="438">
          <cell r="A438"/>
          <cell r="B438"/>
          <cell r="C438"/>
          <cell r="D438"/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</row>
        <row r="439">
          <cell r="A439"/>
          <cell r="B439"/>
          <cell r="C439"/>
          <cell r="D439"/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</row>
        <row r="440">
          <cell r="A440"/>
          <cell r="B440"/>
          <cell r="C440"/>
          <cell r="D440"/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</row>
        <row r="441">
          <cell r="A441"/>
          <cell r="B441"/>
          <cell r="C441"/>
          <cell r="D441"/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</row>
        <row r="442">
          <cell r="A442"/>
          <cell r="B442"/>
          <cell r="C442"/>
          <cell r="D442"/>
          <cell r="E442"/>
          <cell r="F442"/>
          <cell r="G442"/>
          <cell r="H442"/>
          <cell r="I442"/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</row>
        <row r="443">
          <cell r="A443"/>
          <cell r="B443"/>
          <cell r="C443"/>
          <cell r="D443"/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</row>
        <row r="444">
          <cell r="A444"/>
          <cell r="B444"/>
          <cell r="C444"/>
          <cell r="D444"/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</row>
        <row r="445">
          <cell r="A445"/>
          <cell r="B445"/>
          <cell r="C445"/>
          <cell r="D445"/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</row>
        <row r="446">
          <cell r="A446"/>
          <cell r="B446"/>
          <cell r="C446"/>
          <cell r="D446"/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</row>
        <row r="447">
          <cell r="A447"/>
          <cell r="B447"/>
          <cell r="C447"/>
          <cell r="D447"/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</row>
        <row r="448">
          <cell r="A448"/>
          <cell r="B448"/>
          <cell r="C448"/>
          <cell r="D448"/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</row>
        <row r="449">
          <cell r="A449"/>
          <cell r="B449"/>
          <cell r="C449"/>
          <cell r="D449"/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</row>
        <row r="450">
          <cell r="A450"/>
          <cell r="B450"/>
          <cell r="C450"/>
          <cell r="D450"/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</row>
        <row r="451">
          <cell r="A451"/>
          <cell r="B451"/>
          <cell r="C451"/>
          <cell r="D451"/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</row>
        <row r="452">
          <cell r="A452"/>
          <cell r="B452"/>
          <cell r="C452"/>
          <cell r="D452"/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</row>
        <row r="453">
          <cell r="A453"/>
          <cell r="B453"/>
          <cell r="C453"/>
          <cell r="D453"/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</row>
        <row r="454">
          <cell r="A454"/>
          <cell r="B454"/>
          <cell r="C454"/>
          <cell r="D454"/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</row>
        <row r="455">
          <cell r="A455"/>
          <cell r="B455"/>
          <cell r="C455"/>
          <cell r="D455"/>
          <cell r="E455"/>
          <cell r="F455"/>
          <cell r="G455"/>
          <cell r="H455"/>
          <cell r="I455"/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</row>
        <row r="456">
          <cell r="A456"/>
          <cell r="B456"/>
          <cell r="C456"/>
          <cell r="D456"/>
          <cell r="E456"/>
          <cell r="F456"/>
          <cell r="G456"/>
          <cell r="H456"/>
          <cell r="I456"/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</row>
        <row r="457">
          <cell r="A457"/>
          <cell r="B457"/>
          <cell r="C457"/>
          <cell r="D457"/>
          <cell r="E457"/>
          <cell r="F457"/>
          <cell r="G457"/>
          <cell r="H457"/>
          <cell r="I457"/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</row>
        <row r="458">
          <cell r="A458"/>
          <cell r="B458"/>
          <cell r="C458"/>
          <cell r="D458"/>
          <cell r="E458"/>
          <cell r="F458"/>
          <cell r="G458"/>
          <cell r="H458"/>
          <cell r="I458"/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</row>
        <row r="459">
          <cell r="A459"/>
          <cell r="B459"/>
          <cell r="C459"/>
          <cell r="D459"/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</row>
        <row r="460">
          <cell r="A460"/>
          <cell r="B460"/>
          <cell r="C460"/>
          <cell r="D460"/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</row>
        <row r="461">
          <cell r="A461"/>
          <cell r="B461"/>
          <cell r="C461"/>
          <cell r="D461"/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</row>
        <row r="462">
          <cell r="A462"/>
          <cell r="B462"/>
          <cell r="C462"/>
          <cell r="D462"/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</row>
        <row r="463">
          <cell r="A463"/>
          <cell r="B463"/>
          <cell r="C463"/>
          <cell r="D463"/>
          <cell r="E463"/>
          <cell r="F463"/>
          <cell r="G463"/>
          <cell r="H463"/>
          <cell r="I463"/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</row>
        <row r="464">
          <cell r="A464"/>
          <cell r="B464"/>
          <cell r="C464"/>
          <cell r="D464"/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</row>
        <row r="465">
          <cell r="A465"/>
          <cell r="B465"/>
          <cell r="C465"/>
          <cell r="D465"/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</row>
        <row r="466">
          <cell r="A466"/>
          <cell r="B466"/>
          <cell r="C466"/>
          <cell r="D466"/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</row>
        <row r="467">
          <cell r="A467"/>
          <cell r="B467"/>
          <cell r="C467"/>
          <cell r="D467"/>
          <cell r="E467"/>
          <cell r="F467"/>
          <cell r="G467"/>
          <cell r="H467"/>
          <cell r="I467"/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</row>
        <row r="468">
          <cell r="A468"/>
          <cell r="B468"/>
          <cell r="C468"/>
          <cell r="D468"/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</row>
        <row r="469">
          <cell r="A469"/>
          <cell r="B469"/>
          <cell r="C469"/>
          <cell r="D469"/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</row>
        <row r="470">
          <cell r="A470"/>
          <cell r="B470"/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</row>
        <row r="471">
          <cell r="A471"/>
          <cell r="B471"/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</row>
        <row r="472">
          <cell r="A472"/>
          <cell r="B472"/>
          <cell r="C472"/>
          <cell r="D472"/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</row>
        <row r="473">
          <cell r="A473"/>
          <cell r="B473"/>
          <cell r="C473"/>
          <cell r="D473"/>
          <cell r="E473"/>
          <cell r="F473"/>
          <cell r="G473"/>
          <cell r="H473"/>
          <cell r="I473"/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</row>
        <row r="474">
          <cell r="A474"/>
          <cell r="B474"/>
          <cell r="C474"/>
          <cell r="D474"/>
          <cell r="E474"/>
          <cell r="F474"/>
          <cell r="G474"/>
          <cell r="H474"/>
          <cell r="I474"/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</row>
        <row r="475">
          <cell r="A475"/>
          <cell r="B475"/>
          <cell r="C475"/>
          <cell r="D475"/>
          <cell r="E475"/>
          <cell r="F475"/>
          <cell r="G475"/>
          <cell r="H475"/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</row>
        <row r="476">
          <cell r="A476"/>
          <cell r="B476"/>
          <cell r="C476"/>
          <cell r="D476"/>
          <cell r="E476"/>
          <cell r="F476"/>
          <cell r="G476"/>
          <cell r="H476"/>
          <cell r="I476"/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</row>
        <row r="477">
          <cell r="A477"/>
          <cell r="B477"/>
          <cell r="C477"/>
          <cell r="D477"/>
          <cell r="E477"/>
          <cell r="F477"/>
          <cell r="G477"/>
          <cell r="H477"/>
          <cell r="I477"/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</row>
        <row r="478">
          <cell r="A478"/>
          <cell r="B478"/>
          <cell r="C478"/>
          <cell r="D478"/>
          <cell r="E478"/>
          <cell r="F478"/>
          <cell r="G478"/>
          <cell r="H478"/>
          <cell r="I478"/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</row>
        <row r="479">
          <cell r="A479"/>
          <cell r="B479"/>
          <cell r="C479"/>
          <cell r="D479"/>
          <cell r="E479"/>
          <cell r="F479"/>
          <cell r="G479"/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</row>
        <row r="480">
          <cell r="A480"/>
          <cell r="B480"/>
          <cell r="C480"/>
          <cell r="D480"/>
          <cell r="E480"/>
          <cell r="F480"/>
          <cell r="G480"/>
          <cell r="H480"/>
          <cell r="I480"/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</row>
        <row r="481">
          <cell r="A481"/>
          <cell r="B481"/>
          <cell r="C481"/>
          <cell r="D481"/>
          <cell r="E481"/>
          <cell r="F481"/>
          <cell r="G481"/>
          <cell r="H481"/>
          <cell r="I481"/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</row>
        <row r="482">
          <cell r="A482"/>
          <cell r="B482"/>
          <cell r="C482"/>
          <cell r="D482"/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</row>
        <row r="483">
          <cell r="A483"/>
          <cell r="B483"/>
          <cell r="C483"/>
          <cell r="D483"/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</row>
        <row r="484">
          <cell r="A484"/>
          <cell r="B484"/>
          <cell r="C484"/>
          <cell r="D484"/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</row>
        <row r="485">
          <cell r="A485"/>
          <cell r="B485"/>
          <cell r="C485"/>
          <cell r="D485"/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</row>
        <row r="486">
          <cell r="A486"/>
          <cell r="B486"/>
          <cell r="C486"/>
          <cell r="D486"/>
          <cell r="E486"/>
          <cell r="F486"/>
          <cell r="G486"/>
          <cell r="H486"/>
          <cell r="I486"/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</row>
        <row r="487">
          <cell r="A487"/>
          <cell r="B487"/>
          <cell r="C487"/>
          <cell r="D487"/>
          <cell r="E487"/>
          <cell r="F487"/>
          <cell r="G487"/>
          <cell r="H487"/>
          <cell r="I487"/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</row>
        <row r="488">
          <cell r="A488"/>
          <cell r="B488"/>
          <cell r="C488"/>
          <cell r="D488"/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</row>
        <row r="489">
          <cell r="A489"/>
          <cell r="B489"/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</row>
        <row r="490">
          <cell r="A490"/>
          <cell r="B490"/>
          <cell r="C490"/>
          <cell r="D490"/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</row>
        <row r="491">
          <cell r="A491"/>
          <cell r="B491"/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</row>
        <row r="492">
          <cell r="A492"/>
          <cell r="B492"/>
          <cell r="C492"/>
          <cell r="D492"/>
          <cell r="E492"/>
          <cell r="F492"/>
          <cell r="G492"/>
          <cell r="H492"/>
          <cell r="I492"/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</row>
        <row r="493">
          <cell r="A493"/>
          <cell r="B493"/>
          <cell r="C493"/>
          <cell r="D493"/>
          <cell r="E493"/>
          <cell r="F493"/>
          <cell r="G493"/>
          <cell r="H493"/>
          <cell r="I493"/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</row>
        <row r="494">
          <cell r="A494"/>
          <cell r="B494"/>
          <cell r="C494"/>
          <cell r="D494"/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</row>
        <row r="495">
          <cell r="A495"/>
          <cell r="B495"/>
          <cell r="C495"/>
          <cell r="D495"/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</row>
        <row r="496">
          <cell r="A496"/>
          <cell r="B496"/>
          <cell r="C496"/>
          <cell r="D496"/>
          <cell r="E496"/>
          <cell r="F496"/>
          <cell r="G496"/>
          <cell r="H496"/>
          <cell r="I496"/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</row>
        <row r="497">
          <cell r="A497"/>
          <cell r="B497"/>
          <cell r="C497"/>
          <cell r="D497"/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</row>
        <row r="498">
          <cell r="A498"/>
          <cell r="B498"/>
          <cell r="C498"/>
          <cell r="D498"/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</row>
        <row r="499">
          <cell r="A499"/>
          <cell r="B499"/>
          <cell r="C499"/>
          <cell r="D499"/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</row>
        <row r="500">
          <cell r="A500"/>
          <cell r="B500"/>
          <cell r="C500"/>
          <cell r="D500"/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4" sqref="AE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5" width="0.140625" customWidth="1"/>
    <col min="16" max="16" width="6" customWidth="1"/>
    <col min="17" max="18" width="7" customWidth="1"/>
    <col min="19" max="20" width="5" customWidth="1"/>
    <col min="21" max="26" width="6" customWidth="1"/>
    <col min="27" max="27" width="30.7109375" customWidth="1"/>
    <col min="28" max="28" width="6" customWidth="1"/>
    <col min="29" max="29" width="6" style="6" customWidth="1"/>
    <col min="30" max="30" width="7" style="12" customWidth="1"/>
    <col min="31" max="31" width="6" customWidth="1"/>
    <col min="32" max="33" width="5" customWidth="1"/>
    <col min="34" max="34" width="6" style="12" customWidth="1"/>
    <col min="35" max="35" width="3.42578125" customWidth="1"/>
    <col min="3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>
        <v>17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7"/>
      <c r="AD1" s="9"/>
      <c r="AE1" s="1"/>
      <c r="AF1" s="1"/>
      <c r="AG1" s="1"/>
      <c r="AH1" s="9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7"/>
      <c r="AD2" s="9"/>
      <c r="AE2" s="1"/>
      <c r="AF2" s="1"/>
      <c r="AG2" s="1"/>
      <c r="AH2" s="9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21</v>
      </c>
      <c r="AB3" s="2" t="s">
        <v>22</v>
      </c>
      <c r="AC3" s="8" t="s">
        <v>23</v>
      </c>
      <c r="AD3" s="10" t="s">
        <v>24</v>
      </c>
      <c r="AE3" s="2" t="s">
        <v>25</v>
      </c>
      <c r="AF3" s="2" t="s">
        <v>26</v>
      </c>
      <c r="AG3" s="2" t="s">
        <v>27</v>
      </c>
      <c r="AH3" s="10" t="s">
        <v>28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3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/>
      <c r="AB4" s="1"/>
      <c r="AC4" s="7"/>
      <c r="AD4" s="9" t="s">
        <v>107</v>
      </c>
      <c r="AE4" s="1"/>
      <c r="AF4" s="1"/>
      <c r="AG4" s="1"/>
      <c r="AH4" s="9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11912.600000000002</v>
      </c>
      <c r="F5" s="4">
        <f>SUM(F6:F499)</f>
        <v>38285.5</v>
      </c>
      <c r="G5" s="7"/>
      <c r="H5" s="1"/>
      <c r="I5" s="1"/>
      <c r="J5" s="1"/>
      <c r="K5" s="4">
        <f t="shared" ref="K5:R5" si="0">SUM(K6:K499)</f>
        <v>11803.100000000002</v>
      </c>
      <c r="L5" s="4">
        <f t="shared" si="0"/>
        <v>109.49999999999997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2382.52</v>
      </c>
      <c r="Q5" s="4">
        <f t="shared" si="0"/>
        <v>12601.7</v>
      </c>
      <c r="R5" s="4">
        <f t="shared" si="0"/>
        <v>12782.8</v>
      </c>
      <c r="S5" s="1"/>
      <c r="T5" s="1"/>
      <c r="U5" s="4">
        <f t="shared" ref="U5:Z5" si="1">SUM(U6:U499)</f>
        <v>2486.0000000000009</v>
      </c>
      <c r="V5" s="4">
        <f t="shared" si="1"/>
        <v>2350.14</v>
      </c>
      <c r="W5" s="4">
        <f t="shared" si="1"/>
        <v>2616.0600000000004</v>
      </c>
      <c r="X5" s="4">
        <f t="shared" si="1"/>
        <v>509.18000000000012</v>
      </c>
      <c r="Y5" s="4">
        <f t="shared" si="1"/>
        <v>224.85999999999999</v>
      </c>
      <c r="Z5" s="4">
        <f t="shared" si="1"/>
        <v>1746.4999999999995</v>
      </c>
      <c r="AA5" s="1"/>
      <c r="AB5" s="4">
        <f>SUM(AB6:AB499)</f>
        <v>6301.4719999999988</v>
      </c>
      <c r="AC5" s="7"/>
      <c r="AD5" s="11">
        <f>SUM(AD6:AD499)</f>
        <v>1436</v>
      </c>
      <c r="AE5" s="4">
        <f>SUM(AE6:AE499)</f>
        <v>6432.12</v>
      </c>
      <c r="AF5" s="1"/>
      <c r="AG5" s="1"/>
      <c r="AH5" s="11">
        <f>SUM(AH6:AH499)</f>
        <v>17.128571428571426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4" t="s">
        <v>37</v>
      </c>
      <c r="B6" s="14" t="s">
        <v>38</v>
      </c>
      <c r="C6" s="14">
        <v>52</v>
      </c>
      <c r="D6" s="14"/>
      <c r="E6" s="18">
        <v>14</v>
      </c>
      <c r="F6" s="18">
        <v>38</v>
      </c>
      <c r="G6" s="15">
        <v>0</v>
      </c>
      <c r="H6" s="14"/>
      <c r="I6" s="14" t="s">
        <v>39</v>
      </c>
      <c r="J6" s="14" t="s">
        <v>40</v>
      </c>
      <c r="K6" s="14">
        <v>14</v>
      </c>
      <c r="L6" s="14">
        <f t="shared" ref="L6:L37" si="2">E6-K6</f>
        <v>0</v>
      </c>
      <c r="M6" s="14"/>
      <c r="N6" s="14"/>
      <c r="O6" s="14"/>
      <c r="P6" s="14">
        <f t="shared" ref="P6:P37" si="3">E6/5</f>
        <v>2.8</v>
      </c>
      <c r="Q6" s="16"/>
      <c r="R6" s="16"/>
      <c r="S6" s="14">
        <f t="shared" ref="S6:S37" si="4">(F6+R6)/P6</f>
        <v>13.571428571428573</v>
      </c>
      <c r="T6" s="14">
        <f t="shared" ref="T6:T37" si="5">F6/P6</f>
        <v>13.571428571428573</v>
      </c>
      <c r="U6" s="14">
        <v>7.2</v>
      </c>
      <c r="V6" s="14">
        <v>1.4</v>
      </c>
      <c r="W6" s="14">
        <v>0.6</v>
      </c>
      <c r="X6" s="14">
        <v>0</v>
      </c>
      <c r="Y6" s="14">
        <v>0</v>
      </c>
      <c r="Z6" s="14">
        <v>0</v>
      </c>
      <c r="AA6" s="14"/>
      <c r="AB6" s="14"/>
      <c r="AC6" s="15"/>
      <c r="AD6" s="17"/>
      <c r="AE6" s="14"/>
      <c r="AF6" s="14"/>
      <c r="AG6" s="14"/>
      <c r="AH6" s="17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4" t="s">
        <v>41</v>
      </c>
      <c r="B7" s="14" t="s">
        <v>38</v>
      </c>
      <c r="C7" s="14">
        <v>45</v>
      </c>
      <c r="D7" s="14">
        <v>1</v>
      </c>
      <c r="E7" s="18">
        <v>6</v>
      </c>
      <c r="F7" s="18">
        <v>39</v>
      </c>
      <c r="G7" s="15">
        <v>0</v>
      </c>
      <c r="H7" s="14"/>
      <c r="I7" s="14" t="s">
        <v>39</v>
      </c>
      <c r="J7" s="14" t="s">
        <v>42</v>
      </c>
      <c r="K7" s="14">
        <v>7</v>
      </c>
      <c r="L7" s="14">
        <f t="shared" si="2"/>
        <v>-1</v>
      </c>
      <c r="M7" s="14"/>
      <c r="N7" s="14"/>
      <c r="O7" s="14"/>
      <c r="P7" s="14">
        <f t="shared" si="3"/>
        <v>1.2</v>
      </c>
      <c r="Q7" s="16"/>
      <c r="R7" s="16"/>
      <c r="S7" s="14">
        <f t="shared" si="4"/>
        <v>32.5</v>
      </c>
      <c r="T7" s="14">
        <f t="shared" si="5"/>
        <v>32.5</v>
      </c>
      <c r="U7" s="14">
        <v>5.4</v>
      </c>
      <c r="V7" s="14">
        <v>0.4</v>
      </c>
      <c r="W7" s="14">
        <v>0.2</v>
      </c>
      <c r="X7" s="14">
        <v>0</v>
      </c>
      <c r="Y7" s="14">
        <v>0</v>
      </c>
      <c r="Z7" s="14">
        <v>0</v>
      </c>
      <c r="AA7" s="14"/>
      <c r="AB7" s="14"/>
      <c r="AC7" s="15"/>
      <c r="AD7" s="17"/>
      <c r="AE7" s="14"/>
      <c r="AF7" s="14"/>
      <c r="AG7" s="14"/>
      <c r="AH7" s="17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4" t="s">
        <v>43</v>
      </c>
      <c r="B8" s="14" t="s">
        <v>38</v>
      </c>
      <c r="C8" s="14">
        <v>85</v>
      </c>
      <c r="D8" s="14"/>
      <c r="E8" s="18">
        <v>20</v>
      </c>
      <c r="F8" s="18">
        <v>65</v>
      </c>
      <c r="G8" s="15">
        <v>0</v>
      </c>
      <c r="H8" s="14"/>
      <c r="I8" s="14" t="s">
        <v>39</v>
      </c>
      <c r="J8" s="14" t="s">
        <v>44</v>
      </c>
      <c r="K8" s="14">
        <v>20</v>
      </c>
      <c r="L8" s="14">
        <f t="shared" si="2"/>
        <v>0</v>
      </c>
      <c r="M8" s="14"/>
      <c r="N8" s="14"/>
      <c r="O8" s="14"/>
      <c r="P8" s="14">
        <f t="shared" si="3"/>
        <v>4</v>
      </c>
      <c r="Q8" s="16"/>
      <c r="R8" s="16"/>
      <c r="S8" s="14">
        <f t="shared" si="4"/>
        <v>16.25</v>
      </c>
      <c r="T8" s="14">
        <f t="shared" si="5"/>
        <v>16.25</v>
      </c>
      <c r="U8" s="14">
        <v>3.8</v>
      </c>
      <c r="V8" s="14">
        <v>4</v>
      </c>
      <c r="W8" s="14">
        <v>0.2</v>
      </c>
      <c r="X8" s="14">
        <v>0</v>
      </c>
      <c r="Y8" s="14">
        <v>0</v>
      </c>
      <c r="Z8" s="14">
        <v>0</v>
      </c>
      <c r="AA8" s="14"/>
      <c r="AB8" s="14"/>
      <c r="AC8" s="15"/>
      <c r="AD8" s="17"/>
      <c r="AE8" s="14"/>
      <c r="AF8" s="14"/>
      <c r="AG8" s="14"/>
      <c r="AH8" s="17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45</v>
      </c>
      <c r="B9" s="1" t="s">
        <v>38</v>
      </c>
      <c r="C9" s="1"/>
      <c r="D9" s="1">
        <v>336</v>
      </c>
      <c r="E9" s="1">
        <v>13</v>
      </c>
      <c r="F9" s="1">
        <v>323</v>
      </c>
      <c r="G9" s="7">
        <f>VLOOKUP(A9,[1]Sheet!$A:$I,7,0)</f>
        <v>0.22</v>
      </c>
      <c r="H9" s="1">
        <f>VLOOKUP(A9,[1]Sheet!$A:$I,8,0)</f>
        <v>180</v>
      </c>
      <c r="I9" s="1" t="str">
        <f>VLOOKUP(A9,[1]Sheet!$A:$I,9,0)</f>
        <v>P005065</v>
      </c>
      <c r="J9" s="1"/>
      <c r="K9" s="1">
        <v>13</v>
      </c>
      <c r="L9" s="1">
        <f t="shared" si="2"/>
        <v>0</v>
      </c>
      <c r="M9" s="1"/>
      <c r="N9" s="1"/>
      <c r="O9" s="1"/>
      <c r="P9" s="1">
        <f t="shared" si="3"/>
        <v>2.6</v>
      </c>
      <c r="Q9" s="5"/>
      <c r="R9" s="5">
        <f t="shared" ref="R9:R21" si="6">AC9*AD9</f>
        <v>0</v>
      </c>
      <c r="S9" s="1">
        <f t="shared" si="4"/>
        <v>124.23076923076923</v>
      </c>
      <c r="T9" s="1">
        <f t="shared" si="5"/>
        <v>124.23076923076923</v>
      </c>
      <c r="U9" s="1">
        <v>7.8</v>
      </c>
      <c r="V9" s="1">
        <v>18</v>
      </c>
      <c r="W9" s="1">
        <v>6.6</v>
      </c>
      <c r="X9" s="1">
        <v>0</v>
      </c>
      <c r="Y9" s="1">
        <v>0</v>
      </c>
      <c r="Z9" s="1">
        <v>12.2</v>
      </c>
      <c r="AA9" s="1"/>
      <c r="AB9" s="1">
        <f t="shared" ref="AB9:AB21" si="7">G9*Q9</f>
        <v>0</v>
      </c>
      <c r="AC9" s="7">
        <f>VLOOKUP(A9,[1]Sheet!$A:$AJ,32,0)</f>
        <v>12</v>
      </c>
      <c r="AD9" s="9">
        <f t="shared" ref="AD9:AD21" si="8">MROUND(Q9, AC9*AF9)/AC9</f>
        <v>0</v>
      </c>
      <c r="AE9" s="1">
        <f t="shared" ref="AE9:AE21" si="9">AD9*AC9*G9</f>
        <v>0</v>
      </c>
      <c r="AF9" s="1">
        <f>VLOOKUP(A9,[1]Sheet!$A:$AJ,35,0)</f>
        <v>14</v>
      </c>
      <c r="AG9" s="1">
        <f>VLOOKUP(A9,[1]Sheet!$A:$AJ,36,0)</f>
        <v>70</v>
      </c>
      <c r="AH9" s="9">
        <f t="shared" ref="AH9:AH21" si="10">AD9/AG9</f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46</v>
      </c>
      <c r="B10" s="1" t="s">
        <v>38</v>
      </c>
      <c r="C10" s="1">
        <v>448</v>
      </c>
      <c r="D10" s="1">
        <v>339</v>
      </c>
      <c r="E10" s="1">
        <v>243</v>
      </c>
      <c r="F10" s="1">
        <v>541</v>
      </c>
      <c r="G10" s="7">
        <f>VLOOKUP(A10,[1]Sheet!$A:$I,7,0)</f>
        <v>0.3</v>
      </c>
      <c r="H10" s="1">
        <f>VLOOKUP(A10,[1]Sheet!$A:$I,8,0)</f>
        <v>180</v>
      </c>
      <c r="I10" s="1" t="str">
        <f>VLOOKUP(A10,[1]Sheet!$A:$I,9,0)</f>
        <v>P004598</v>
      </c>
      <c r="J10" s="1"/>
      <c r="K10" s="1">
        <v>245</v>
      </c>
      <c r="L10" s="1">
        <f t="shared" si="2"/>
        <v>-2</v>
      </c>
      <c r="M10" s="1"/>
      <c r="N10" s="1"/>
      <c r="O10" s="1"/>
      <c r="P10" s="1">
        <f t="shared" si="3"/>
        <v>48.6</v>
      </c>
      <c r="Q10" s="5">
        <f>$Q$1*P10-F10</f>
        <v>285.20000000000005</v>
      </c>
      <c r="R10" s="5">
        <f t="shared" si="6"/>
        <v>336</v>
      </c>
      <c r="S10" s="1">
        <f t="shared" si="4"/>
        <v>18.045267489711932</v>
      </c>
      <c r="T10" s="1">
        <f t="shared" si="5"/>
        <v>11.131687242798353</v>
      </c>
      <c r="U10" s="1">
        <v>38.799999999999997</v>
      </c>
      <c r="V10" s="1">
        <v>21.6</v>
      </c>
      <c r="W10" s="1">
        <v>54</v>
      </c>
      <c r="X10" s="1">
        <v>0</v>
      </c>
      <c r="Y10" s="1">
        <v>0</v>
      </c>
      <c r="Z10" s="1">
        <v>53</v>
      </c>
      <c r="AA10" s="1"/>
      <c r="AB10" s="1">
        <f t="shared" si="7"/>
        <v>85.560000000000016</v>
      </c>
      <c r="AC10" s="7">
        <f>VLOOKUP(A10,[1]Sheet!$A:$AJ,32,0)</f>
        <v>12</v>
      </c>
      <c r="AD10" s="9">
        <f t="shared" si="8"/>
        <v>28</v>
      </c>
      <c r="AE10" s="1">
        <f t="shared" si="9"/>
        <v>100.8</v>
      </c>
      <c r="AF10" s="1">
        <f>VLOOKUP(A10,[1]Sheet!$A:$AJ,35,0)</f>
        <v>14</v>
      </c>
      <c r="AG10" s="1">
        <f>VLOOKUP(A10,[1]Sheet!$A:$AJ,36,0)</f>
        <v>70</v>
      </c>
      <c r="AH10" s="9">
        <f t="shared" si="10"/>
        <v>0.4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47</v>
      </c>
      <c r="B11" s="1" t="s">
        <v>38</v>
      </c>
      <c r="C11" s="1">
        <v>198</v>
      </c>
      <c r="D11" s="1">
        <v>687</v>
      </c>
      <c r="E11" s="1">
        <v>274</v>
      </c>
      <c r="F11" s="1">
        <v>608</v>
      </c>
      <c r="G11" s="7">
        <f>VLOOKUP(A11,[1]Sheet!$A:$I,7,0)</f>
        <v>0.28000000000000003</v>
      </c>
      <c r="H11" s="1">
        <f>VLOOKUP(A11,[1]Sheet!$A:$I,8,0)</f>
        <v>180</v>
      </c>
      <c r="I11" s="1" t="str">
        <f>VLOOKUP(A11,[1]Sheet!$A:$I,9,0)</f>
        <v>P004597</v>
      </c>
      <c r="J11" s="1"/>
      <c r="K11" s="1">
        <v>270</v>
      </c>
      <c r="L11" s="1">
        <f t="shared" si="2"/>
        <v>4</v>
      </c>
      <c r="M11" s="1"/>
      <c r="N11" s="1"/>
      <c r="O11" s="1"/>
      <c r="P11" s="1">
        <f t="shared" si="3"/>
        <v>54.8</v>
      </c>
      <c r="Q11" s="5">
        <f>$Q$1*P11-F11</f>
        <v>323.59999999999991</v>
      </c>
      <c r="R11" s="5">
        <f t="shared" si="6"/>
        <v>336</v>
      </c>
      <c r="S11" s="1">
        <f t="shared" si="4"/>
        <v>17.226277372262775</v>
      </c>
      <c r="T11" s="1">
        <f t="shared" si="5"/>
        <v>11.094890510948906</v>
      </c>
      <c r="U11" s="1">
        <v>44.2</v>
      </c>
      <c r="V11" s="1">
        <v>59.8</v>
      </c>
      <c r="W11" s="1">
        <v>52.8</v>
      </c>
      <c r="X11" s="1">
        <v>14.6</v>
      </c>
      <c r="Y11" s="1">
        <v>0</v>
      </c>
      <c r="Z11" s="1">
        <v>0</v>
      </c>
      <c r="AA11" s="1"/>
      <c r="AB11" s="1">
        <f t="shared" si="7"/>
        <v>90.60799999999999</v>
      </c>
      <c r="AC11" s="7">
        <f>VLOOKUP(A11,[1]Sheet!$A:$AJ,32,0)</f>
        <v>6</v>
      </c>
      <c r="AD11" s="9">
        <f t="shared" si="8"/>
        <v>56</v>
      </c>
      <c r="AE11" s="1">
        <f t="shared" si="9"/>
        <v>94.080000000000013</v>
      </c>
      <c r="AF11" s="1">
        <f>VLOOKUP(A11,[1]Sheet!$A:$AJ,35,0)</f>
        <v>14</v>
      </c>
      <c r="AG11" s="1">
        <f>VLOOKUP(A11,[1]Sheet!$A:$AJ,36,0)</f>
        <v>140</v>
      </c>
      <c r="AH11" s="9">
        <f t="shared" si="10"/>
        <v>0.4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48</v>
      </c>
      <c r="B12" s="1" t="s">
        <v>38</v>
      </c>
      <c r="C12" s="1">
        <v>491</v>
      </c>
      <c r="D12" s="1">
        <v>845</v>
      </c>
      <c r="E12" s="1">
        <v>258</v>
      </c>
      <c r="F12" s="1">
        <v>1072</v>
      </c>
      <c r="G12" s="7">
        <f>VLOOKUP(A12,[1]Sheet!$A:$I,7,0)</f>
        <v>0.24</v>
      </c>
      <c r="H12" s="1">
        <f>VLOOKUP(A12,[1]Sheet!$A:$I,8,0)</f>
        <v>180</v>
      </c>
      <c r="I12" s="1" t="str">
        <f>VLOOKUP(A12,[1]Sheet!$A:$I,9,0)</f>
        <v>P004969</v>
      </c>
      <c r="J12" s="1"/>
      <c r="K12" s="1">
        <v>254</v>
      </c>
      <c r="L12" s="1">
        <f t="shared" si="2"/>
        <v>4</v>
      </c>
      <c r="M12" s="1"/>
      <c r="N12" s="1"/>
      <c r="O12" s="1"/>
      <c r="P12" s="1">
        <f t="shared" si="3"/>
        <v>51.6</v>
      </c>
      <c r="Q12" s="5"/>
      <c r="R12" s="5">
        <f t="shared" si="6"/>
        <v>0</v>
      </c>
      <c r="S12" s="1">
        <f t="shared" si="4"/>
        <v>20.77519379844961</v>
      </c>
      <c r="T12" s="1">
        <f t="shared" si="5"/>
        <v>20.77519379844961</v>
      </c>
      <c r="U12" s="1">
        <v>51</v>
      </c>
      <c r="V12" s="1">
        <v>91.2</v>
      </c>
      <c r="W12" s="1">
        <v>82.2</v>
      </c>
      <c r="X12" s="1">
        <v>14</v>
      </c>
      <c r="Y12" s="1">
        <v>6.2</v>
      </c>
      <c r="Z12" s="1">
        <v>77.2</v>
      </c>
      <c r="AA12" s="1"/>
      <c r="AB12" s="1">
        <f t="shared" si="7"/>
        <v>0</v>
      </c>
      <c r="AC12" s="7">
        <f>VLOOKUP(A12,[1]Sheet!$A:$AJ,32,0)</f>
        <v>12</v>
      </c>
      <c r="AD12" s="9">
        <f t="shared" si="8"/>
        <v>0</v>
      </c>
      <c r="AE12" s="1">
        <f t="shared" si="9"/>
        <v>0</v>
      </c>
      <c r="AF12" s="1">
        <f>VLOOKUP(A12,[1]Sheet!$A:$AJ,35,0)</f>
        <v>14</v>
      </c>
      <c r="AG12" s="1">
        <f>VLOOKUP(A12,[1]Sheet!$A:$AJ,36,0)</f>
        <v>70</v>
      </c>
      <c r="AH12" s="9">
        <f t="shared" si="10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49</v>
      </c>
      <c r="B13" s="1" t="s">
        <v>38</v>
      </c>
      <c r="C13" s="1">
        <v>467</v>
      </c>
      <c r="D13" s="1">
        <v>1355</v>
      </c>
      <c r="E13" s="1">
        <v>293</v>
      </c>
      <c r="F13" s="1">
        <v>1518</v>
      </c>
      <c r="G13" s="7">
        <f>VLOOKUP(A13,[1]Sheet!$A:$I,7,0)</f>
        <v>0.24</v>
      </c>
      <c r="H13" s="1">
        <f>VLOOKUP(A13,[1]Sheet!$A:$I,8,0)</f>
        <v>180</v>
      </c>
      <c r="I13" s="1" t="str">
        <f>VLOOKUP(A13,[1]Sheet!$A:$I,9,0)</f>
        <v>P004971</v>
      </c>
      <c r="J13" s="1"/>
      <c r="K13" s="1">
        <v>296</v>
      </c>
      <c r="L13" s="1">
        <f t="shared" si="2"/>
        <v>-3</v>
      </c>
      <c r="M13" s="1"/>
      <c r="N13" s="1"/>
      <c r="O13" s="1"/>
      <c r="P13" s="1">
        <f t="shared" si="3"/>
        <v>58.6</v>
      </c>
      <c r="Q13" s="5"/>
      <c r="R13" s="5">
        <f t="shared" si="6"/>
        <v>0</v>
      </c>
      <c r="S13" s="1">
        <f t="shared" si="4"/>
        <v>25.904436860068259</v>
      </c>
      <c r="T13" s="1">
        <f t="shared" si="5"/>
        <v>25.904436860068259</v>
      </c>
      <c r="U13" s="1">
        <v>65.599999999999994</v>
      </c>
      <c r="V13" s="1">
        <v>115.8</v>
      </c>
      <c r="W13" s="1">
        <v>91.8</v>
      </c>
      <c r="X13" s="1">
        <v>10.6</v>
      </c>
      <c r="Y13" s="1">
        <v>0</v>
      </c>
      <c r="Z13" s="1">
        <v>29.2</v>
      </c>
      <c r="AA13" s="19" t="s">
        <v>62</v>
      </c>
      <c r="AB13" s="1">
        <f t="shared" si="7"/>
        <v>0</v>
      </c>
      <c r="AC13" s="7">
        <f>VLOOKUP(A13,[1]Sheet!$A:$AJ,32,0)</f>
        <v>12</v>
      </c>
      <c r="AD13" s="9">
        <f t="shared" si="8"/>
        <v>0</v>
      </c>
      <c r="AE13" s="1">
        <f t="shared" si="9"/>
        <v>0</v>
      </c>
      <c r="AF13" s="1">
        <f>VLOOKUP(A13,[1]Sheet!$A:$AJ,35,0)</f>
        <v>14</v>
      </c>
      <c r="AG13" s="1">
        <f>VLOOKUP(A13,[1]Sheet!$A:$AJ,36,0)</f>
        <v>70</v>
      </c>
      <c r="AH13" s="9">
        <f t="shared" si="10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50</v>
      </c>
      <c r="B14" s="1" t="s">
        <v>38</v>
      </c>
      <c r="C14" s="1">
        <v>386</v>
      </c>
      <c r="D14" s="1">
        <v>18</v>
      </c>
      <c r="E14" s="1">
        <v>186</v>
      </c>
      <c r="F14" s="1">
        <v>206</v>
      </c>
      <c r="G14" s="7">
        <f>VLOOKUP(A14,[1]Sheet!$A:$I,7,0)</f>
        <v>0.24</v>
      </c>
      <c r="H14" s="1">
        <f>VLOOKUP(A14,[1]Sheet!$A:$I,8,0)</f>
        <v>180</v>
      </c>
      <c r="I14" s="1" t="str">
        <f>VLOOKUP(A14,[1]Sheet!$A:$I,9,0)</f>
        <v>P004974</v>
      </c>
      <c r="J14" s="1"/>
      <c r="K14" s="1">
        <v>186</v>
      </c>
      <c r="L14" s="1">
        <f t="shared" si="2"/>
        <v>0</v>
      </c>
      <c r="M14" s="1"/>
      <c r="N14" s="1"/>
      <c r="O14" s="1"/>
      <c r="P14" s="1">
        <f t="shared" si="3"/>
        <v>37.200000000000003</v>
      </c>
      <c r="Q14" s="5">
        <f t="shared" ref="Q14:Q17" si="11">$Q$1*P14-F14</f>
        <v>426.40000000000009</v>
      </c>
      <c r="R14" s="5">
        <f t="shared" si="6"/>
        <v>504</v>
      </c>
      <c r="S14" s="1">
        <f t="shared" si="4"/>
        <v>19.086021505376344</v>
      </c>
      <c r="T14" s="1">
        <f t="shared" si="5"/>
        <v>5.5376344086021501</v>
      </c>
      <c r="U14" s="1">
        <v>34.4</v>
      </c>
      <c r="V14" s="1">
        <v>4.2</v>
      </c>
      <c r="W14" s="1">
        <v>43</v>
      </c>
      <c r="X14" s="1">
        <v>20.399999999999999</v>
      </c>
      <c r="Y14" s="1">
        <v>0</v>
      </c>
      <c r="Z14" s="1">
        <v>0</v>
      </c>
      <c r="AA14" s="1"/>
      <c r="AB14" s="1">
        <f t="shared" si="7"/>
        <v>102.33600000000001</v>
      </c>
      <c r="AC14" s="7">
        <f>VLOOKUP(A14,[1]Sheet!$A:$AJ,32,0)</f>
        <v>12</v>
      </c>
      <c r="AD14" s="9">
        <f t="shared" si="8"/>
        <v>42</v>
      </c>
      <c r="AE14" s="1">
        <f t="shared" si="9"/>
        <v>120.96</v>
      </c>
      <c r="AF14" s="1">
        <f>VLOOKUP(A14,[1]Sheet!$A:$AJ,35,0)</f>
        <v>14</v>
      </c>
      <c r="AG14" s="1">
        <f>VLOOKUP(A14,[1]Sheet!$A:$AJ,36,0)</f>
        <v>70</v>
      </c>
      <c r="AH14" s="9">
        <f t="shared" si="10"/>
        <v>0.6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38</v>
      </c>
      <c r="C15" s="1">
        <v>932</v>
      </c>
      <c r="D15" s="1">
        <v>357</v>
      </c>
      <c r="E15" s="18">
        <f>412+E6</f>
        <v>426</v>
      </c>
      <c r="F15" s="18">
        <f>862+F6</f>
        <v>900</v>
      </c>
      <c r="G15" s="7">
        <f>VLOOKUP(A15,[1]Sheet!$A:$I,7,0)</f>
        <v>0.24</v>
      </c>
      <c r="H15" s="1">
        <f>VLOOKUP(A15,[1]Sheet!$A:$I,8,0)</f>
        <v>180</v>
      </c>
      <c r="I15" s="1" t="str">
        <f>VLOOKUP(A15,[1]Sheet!$A:$I,9,0)</f>
        <v>P004966</v>
      </c>
      <c r="J15" s="1"/>
      <c r="K15" s="1">
        <v>417</v>
      </c>
      <c r="L15" s="1">
        <f t="shared" si="2"/>
        <v>9</v>
      </c>
      <c r="M15" s="1"/>
      <c r="N15" s="1"/>
      <c r="O15" s="1"/>
      <c r="P15" s="1">
        <f t="shared" si="3"/>
        <v>85.2</v>
      </c>
      <c r="Q15" s="5">
        <f t="shared" si="11"/>
        <v>548.40000000000009</v>
      </c>
      <c r="R15" s="5">
        <f t="shared" si="6"/>
        <v>504</v>
      </c>
      <c r="S15" s="1">
        <f t="shared" si="4"/>
        <v>16.47887323943662</v>
      </c>
      <c r="T15" s="1">
        <f t="shared" si="5"/>
        <v>10.56338028169014</v>
      </c>
      <c r="U15" s="1">
        <v>110.8</v>
      </c>
      <c r="V15" s="1">
        <v>61.2</v>
      </c>
      <c r="W15" s="1">
        <v>101.4</v>
      </c>
      <c r="X15" s="1">
        <v>13.6</v>
      </c>
      <c r="Y15" s="1">
        <v>0</v>
      </c>
      <c r="Z15" s="1">
        <v>0.2</v>
      </c>
      <c r="AA15" s="1"/>
      <c r="AB15" s="1">
        <f t="shared" si="7"/>
        <v>131.61600000000001</v>
      </c>
      <c r="AC15" s="7">
        <f>VLOOKUP(A15,[1]Sheet!$A:$AJ,32,0)</f>
        <v>12</v>
      </c>
      <c r="AD15" s="9">
        <f t="shared" si="8"/>
        <v>42</v>
      </c>
      <c r="AE15" s="1">
        <f t="shared" si="9"/>
        <v>120.96</v>
      </c>
      <c r="AF15" s="1">
        <f>VLOOKUP(A15,[1]Sheet!$A:$AJ,35,0)</f>
        <v>14</v>
      </c>
      <c r="AG15" s="1">
        <f>VLOOKUP(A15,[1]Sheet!$A:$AJ,36,0)</f>
        <v>70</v>
      </c>
      <c r="AH15" s="9">
        <f t="shared" si="10"/>
        <v>0.6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38</v>
      </c>
      <c r="C16" s="1">
        <v>22</v>
      </c>
      <c r="D16" s="1">
        <v>115</v>
      </c>
      <c r="E16" s="1">
        <v>108</v>
      </c>
      <c r="F16" s="1">
        <v>26</v>
      </c>
      <c r="G16" s="7">
        <f>VLOOKUP(A16,[1]Sheet!$A:$I,7,0)</f>
        <v>0.48</v>
      </c>
      <c r="H16" s="1">
        <f>VLOOKUP(A16,[1]Sheet!$A:$I,8,0)</f>
        <v>180</v>
      </c>
      <c r="I16" s="1" t="str">
        <f>VLOOKUP(A16,[1]Sheet!$A:$I,9,0)</f>
        <v>P004595</v>
      </c>
      <c r="J16" s="1"/>
      <c r="K16" s="1">
        <v>115</v>
      </c>
      <c r="L16" s="1">
        <f t="shared" si="2"/>
        <v>-7</v>
      </c>
      <c r="M16" s="1"/>
      <c r="N16" s="1"/>
      <c r="O16" s="1"/>
      <c r="P16" s="1">
        <f t="shared" si="3"/>
        <v>21.6</v>
      </c>
      <c r="Q16" s="5">
        <f t="shared" si="11"/>
        <v>341.20000000000005</v>
      </c>
      <c r="R16" s="5">
        <f t="shared" si="6"/>
        <v>336</v>
      </c>
      <c r="S16" s="1">
        <f t="shared" si="4"/>
        <v>16.75925925925926</v>
      </c>
      <c r="T16" s="1">
        <f t="shared" si="5"/>
        <v>1.2037037037037037</v>
      </c>
      <c r="U16" s="1">
        <v>18</v>
      </c>
      <c r="V16" s="1">
        <v>14</v>
      </c>
      <c r="W16" s="1">
        <v>21.8</v>
      </c>
      <c r="X16" s="1">
        <v>5.8</v>
      </c>
      <c r="Y16" s="1">
        <v>6</v>
      </c>
      <c r="Z16" s="1">
        <v>0.6</v>
      </c>
      <c r="AA16" s="1"/>
      <c r="AB16" s="1">
        <f t="shared" si="7"/>
        <v>163.77600000000001</v>
      </c>
      <c r="AC16" s="7">
        <f>VLOOKUP(A16,[1]Sheet!$A:$AJ,32,0)</f>
        <v>8</v>
      </c>
      <c r="AD16" s="9">
        <f t="shared" si="8"/>
        <v>42</v>
      </c>
      <c r="AE16" s="1">
        <f t="shared" si="9"/>
        <v>161.28</v>
      </c>
      <c r="AF16" s="1">
        <f>VLOOKUP(A16,[1]Sheet!$A:$AJ,35,0)</f>
        <v>14</v>
      </c>
      <c r="AG16" s="1">
        <f>VLOOKUP(A16,[1]Sheet!$A:$AJ,36,0)</f>
        <v>70</v>
      </c>
      <c r="AH16" s="9">
        <f t="shared" si="10"/>
        <v>0.6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38</v>
      </c>
      <c r="C17" s="1">
        <v>496</v>
      </c>
      <c r="D17" s="1">
        <v>3</v>
      </c>
      <c r="E17" s="1">
        <v>288</v>
      </c>
      <c r="F17" s="1">
        <v>208</v>
      </c>
      <c r="G17" s="7">
        <f>VLOOKUP(A17,[1]Sheet!$A:$I,7,0)</f>
        <v>0.36</v>
      </c>
      <c r="H17" s="1">
        <f>VLOOKUP(A17,[1]Sheet!$A:$I,8,0)</f>
        <v>180</v>
      </c>
      <c r="I17" s="1" t="str">
        <f>VLOOKUP(A17,[1]Sheet!$A:$I,9,0)</f>
        <v>P004583</v>
      </c>
      <c r="J17" s="1"/>
      <c r="K17" s="1">
        <v>286</v>
      </c>
      <c r="L17" s="1">
        <f t="shared" si="2"/>
        <v>2</v>
      </c>
      <c r="M17" s="1"/>
      <c r="N17" s="1"/>
      <c r="O17" s="1"/>
      <c r="P17" s="1">
        <f t="shared" si="3"/>
        <v>57.6</v>
      </c>
      <c r="Q17" s="5">
        <f t="shared" si="11"/>
        <v>771.2</v>
      </c>
      <c r="R17" s="5">
        <f t="shared" si="6"/>
        <v>840</v>
      </c>
      <c r="S17" s="1">
        <f t="shared" si="4"/>
        <v>18.194444444444443</v>
      </c>
      <c r="T17" s="1">
        <f t="shared" si="5"/>
        <v>3.6111111111111112</v>
      </c>
      <c r="U17" s="1">
        <v>41.4</v>
      </c>
      <c r="V17" s="1">
        <v>2</v>
      </c>
      <c r="W17" s="1">
        <v>28</v>
      </c>
      <c r="X17" s="1">
        <v>4.5999999999999996</v>
      </c>
      <c r="Y17" s="1">
        <v>10.199999999999999</v>
      </c>
      <c r="Z17" s="1">
        <v>64.8</v>
      </c>
      <c r="AA17" s="1"/>
      <c r="AB17" s="1">
        <f t="shared" si="7"/>
        <v>277.63200000000001</v>
      </c>
      <c r="AC17" s="7">
        <f>VLOOKUP(A17,[1]Sheet!$A:$AJ,32,0)</f>
        <v>10</v>
      </c>
      <c r="AD17" s="9">
        <f t="shared" si="8"/>
        <v>84</v>
      </c>
      <c r="AE17" s="1">
        <f t="shared" si="9"/>
        <v>302.39999999999998</v>
      </c>
      <c r="AF17" s="1">
        <f>VLOOKUP(A17,[1]Sheet!$A:$AJ,35,0)</f>
        <v>14</v>
      </c>
      <c r="AG17" s="1">
        <f>VLOOKUP(A17,[1]Sheet!$A:$AJ,36,0)</f>
        <v>70</v>
      </c>
      <c r="AH17" s="9">
        <f t="shared" si="10"/>
        <v>1.2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38</v>
      </c>
      <c r="C18" s="1">
        <v>15</v>
      </c>
      <c r="D18" s="1">
        <v>168</v>
      </c>
      <c r="E18" s="1">
        <v>13</v>
      </c>
      <c r="F18" s="1">
        <v>170</v>
      </c>
      <c r="G18" s="7">
        <f>VLOOKUP(A18,[1]Sheet!$A:$I,7,0)</f>
        <v>0.2</v>
      </c>
      <c r="H18" s="1">
        <f>VLOOKUP(A18,[1]Sheet!$A:$I,8,0)</f>
        <v>180</v>
      </c>
      <c r="I18" s="1" t="str">
        <f>VLOOKUP(A18,[1]Sheet!$A:$I,9,0)</f>
        <v>P005129</v>
      </c>
      <c r="J18" s="1"/>
      <c r="K18" s="1">
        <v>11</v>
      </c>
      <c r="L18" s="1">
        <f t="shared" si="2"/>
        <v>2</v>
      </c>
      <c r="M18" s="1"/>
      <c r="N18" s="1"/>
      <c r="O18" s="1"/>
      <c r="P18" s="1">
        <f t="shared" si="3"/>
        <v>2.6</v>
      </c>
      <c r="Q18" s="5"/>
      <c r="R18" s="5">
        <f t="shared" si="6"/>
        <v>0</v>
      </c>
      <c r="S18" s="1">
        <f t="shared" si="4"/>
        <v>65.384615384615387</v>
      </c>
      <c r="T18" s="1">
        <f t="shared" si="5"/>
        <v>65.384615384615387</v>
      </c>
      <c r="U18" s="1">
        <v>5.6</v>
      </c>
      <c r="V18" s="1">
        <v>12.4</v>
      </c>
      <c r="W18" s="1">
        <v>5</v>
      </c>
      <c r="X18" s="1">
        <v>11.6</v>
      </c>
      <c r="Y18" s="1">
        <v>9.1999999999999993</v>
      </c>
      <c r="Z18" s="1">
        <v>11.4</v>
      </c>
      <c r="AA18" s="1"/>
      <c r="AB18" s="1">
        <f t="shared" si="7"/>
        <v>0</v>
      </c>
      <c r="AC18" s="7">
        <f>VLOOKUP(A18,[1]Sheet!$A:$AJ,32,0)</f>
        <v>12</v>
      </c>
      <c r="AD18" s="9">
        <f t="shared" si="8"/>
        <v>0</v>
      </c>
      <c r="AE18" s="1">
        <f t="shared" si="9"/>
        <v>0</v>
      </c>
      <c r="AF18" s="1">
        <f>VLOOKUP(A18,[1]Sheet!$A:$AJ,35,0)</f>
        <v>14</v>
      </c>
      <c r="AG18" s="1">
        <f>VLOOKUP(A18,[1]Sheet!$A:$AJ,36,0)</f>
        <v>70</v>
      </c>
      <c r="AH18" s="9">
        <f t="shared" si="10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38</v>
      </c>
      <c r="C19" s="1">
        <v>3856</v>
      </c>
      <c r="D19" s="1">
        <v>1515</v>
      </c>
      <c r="E19" s="1">
        <v>240</v>
      </c>
      <c r="F19" s="1">
        <v>5128</v>
      </c>
      <c r="G19" s="7">
        <f>VLOOKUP(A19,[1]Sheet!$A:$I,7,0)</f>
        <v>0.2</v>
      </c>
      <c r="H19" s="1">
        <f>VLOOKUP(A19,[1]Sheet!$A:$I,8,0)</f>
        <v>180</v>
      </c>
      <c r="I19" s="1" t="str">
        <f>VLOOKUP(A19,[1]Sheet!$A:$I,9,0)</f>
        <v>P004956</v>
      </c>
      <c r="J19" s="1"/>
      <c r="K19" s="1">
        <v>243</v>
      </c>
      <c r="L19" s="1">
        <f t="shared" si="2"/>
        <v>-3</v>
      </c>
      <c r="M19" s="1"/>
      <c r="N19" s="1"/>
      <c r="O19" s="1"/>
      <c r="P19" s="1">
        <f t="shared" si="3"/>
        <v>48</v>
      </c>
      <c r="Q19" s="5"/>
      <c r="R19" s="5">
        <f t="shared" si="6"/>
        <v>0</v>
      </c>
      <c r="S19" s="1">
        <f t="shared" si="4"/>
        <v>106.83333333333333</v>
      </c>
      <c r="T19" s="1">
        <f t="shared" si="5"/>
        <v>106.83333333333333</v>
      </c>
      <c r="U19" s="1">
        <v>36.4</v>
      </c>
      <c r="V19" s="1">
        <v>58</v>
      </c>
      <c r="W19" s="1">
        <v>73.400000000000006</v>
      </c>
      <c r="X19" s="1">
        <v>0</v>
      </c>
      <c r="Y19" s="1">
        <v>0.2</v>
      </c>
      <c r="Z19" s="1">
        <v>53.4</v>
      </c>
      <c r="AA19" s="20" t="s">
        <v>77</v>
      </c>
      <c r="AB19" s="1">
        <f t="shared" si="7"/>
        <v>0</v>
      </c>
      <c r="AC19" s="7">
        <f>VLOOKUP(A19,[1]Sheet!$A:$AJ,32,0)</f>
        <v>12</v>
      </c>
      <c r="AD19" s="9">
        <f t="shared" si="8"/>
        <v>0</v>
      </c>
      <c r="AE19" s="1">
        <f t="shared" si="9"/>
        <v>0</v>
      </c>
      <c r="AF19" s="1">
        <f>VLOOKUP(A19,[1]Sheet!$A:$AJ,35,0)</f>
        <v>14</v>
      </c>
      <c r="AG19" s="1">
        <f>VLOOKUP(A19,[1]Sheet!$A:$AJ,36,0)</f>
        <v>70</v>
      </c>
      <c r="AH19" s="9">
        <f t="shared" si="10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38</v>
      </c>
      <c r="C20" s="1">
        <v>568</v>
      </c>
      <c r="D20" s="1">
        <v>3</v>
      </c>
      <c r="E20" s="1">
        <v>51</v>
      </c>
      <c r="F20" s="1">
        <v>517</v>
      </c>
      <c r="G20" s="7">
        <f>VLOOKUP(A20,[1]Sheet!$A:$I,7,0)</f>
        <v>0.2</v>
      </c>
      <c r="H20" s="1">
        <f>VLOOKUP(A20,[1]Sheet!$A:$I,8,0)</f>
        <v>180</v>
      </c>
      <c r="I20" s="1" t="str">
        <f>VLOOKUP(A20,[1]Sheet!$A:$I,9,0)</f>
        <v>P004953</v>
      </c>
      <c r="J20" s="1"/>
      <c r="K20" s="1">
        <v>54</v>
      </c>
      <c r="L20" s="1">
        <f t="shared" si="2"/>
        <v>-3</v>
      </c>
      <c r="M20" s="1"/>
      <c r="N20" s="1"/>
      <c r="O20" s="1"/>
      <c r="P20" s="1">
        <f t="shared" si="3"/>
        <v>10.199999999999999</v>
      </c>
      <c r="Q20" s="5"/>
      <c r="R20" s="5">
        <f t="shared" si="6"/>
        <v>0</v>
      </c>
      <c r="S20" s="1">
        <f t="shared" si="4"/>
        <v>50.686274509803923</v>
      </c>
      <c r="T20" s="1">
        <f t="shared" si="5"/>
        <v>50.686274509803923</v>
      </c>
      <c r="U20" s="1">
        <v>20.8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20" t="s">
        <v>77</v>
      </c>
      <c r="AB20" s="1">
        <f t="shared" si="7"/>
        <v>0</v>
      </c>
      <c r="AC20" s="7">
        <f>VLOOKUP(A20,[1]Sheet!$A:$AJ,32,0)</f>
        <v>12</v>
      </c>
      <c r="AD20" s="9">
        <f t="shared" si="8"/>
        <v>0</v>
      </c>
      <c r="AE20" s="1">
        <f t="shared" si="9"/>
        <v>0</v>
      </c>
      <c r="AF20" s="1">
        <f>VLOOKUP(A20,[1]Sheet!$A:$AJ,35,0)</f>
        <v>14</v>
      </c>
      <c r="AG20" s="1">
        <f>VLOOKUP(A20,[1]Sheet!$A:$AJ,36,0)</f>
        <v>70</v>
      </c>
      <c r="AH20" s="9">
        <f t="shared" si="10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57</v>
      </c>
      <c r="C21" s="1">
        <v>-5</v>
      </c>
      <c r="D21" s="1">
        <v>280</v>
      </c>
      <c r="E21" s="18">
        <f>40+E22</f>
        <v>96</v>
      </c>
      <c r="F21" s="18">
        <f>235+F22</f>
        <v>304</v>
      </c>
      <c r="G21" s="7">
        <f>VLOOKUP(A21,[1]Sheet!$A:$I,7,0)</f>
        <v>1</v>
      </c>
      <c r="H21" s="1">
        <f>VLOOKUP(A21,[1]Sheet!$A:$I,8,0)</f>
        <v>180</v>
      </c>
      <c r="I21" s="1" t="str">
        <f>VLOOKUP(A21,[1]Sheet!$A:$I,9,0)</f>
        <v>P005235</v>
      </c>
      <c r="J21" s="1"/>
      <c r="K21" s="1">
        <v>40</v>
      </c>
      <c r="L21" s="1">
        <f t="shared" si="2"/>
        <v>56</v>
      </c>
      <c r="M21" s="1"/>
      <c r="N21" s="1"/>
      <c r="O21" s="1"/>
      <c r="P21" s="1">
        <f t="shared" si="3"/>
        <v>19.2</v>
      </c>
      <c r="Q21" s="5"/>
      <c r="R21" s="5">
        <f t="shared" si="6"/>
        <v>0</v>
      </c>
      <c r="S21" s="1">
        <f t="shared" si="4"/>
        <v>15.833333333333334</v>
      </c>
      <c r="T21" s="1">
        <f t="shared" si="5"/>
        <v>15.833333333333334</v>
      </c>
      <c r="U21" s="1">
        <v>30</v>
      </c>
      <c r="V21" s="1">
        <v>26</v>
      </c>
      <c r="W21" s="1">
        <v>21</v>
      </c>
      <c r="X21" s="1">
        <v>11</v>
      </c>
      <c r="Y21" s="1">
        <v>12</v>
      </c>
      <c r="Z21" s="1">
        <v>38</v>
      </c>
      <c r="AA21" s="1"/>
      <c r="AB21" s="1">
        <f t="shared" si="7"/>
        <v>0</v>
      </c>
      <c r="AC21" s="7">
        <f>VLOOKUP(A21,[1]Sheet!$A:$AJ,32,0)</f>
        <v>5</v>
      </c>
      <c r="AD21" s="9">
        <f t="shared" si="8"/>
        <v>0</v>
      </c>
      <c r="AE21" s="1">
        <f t="shared" si="9"/>
        <v>0</v>
      </c>
      <c r="AF21" s="1">
        <f>VLOOKUP(A21,[1]Sheet!$A:$AJ,35,0)</f>
        <v>12</v>
      </c>
      <c r="AG21" s="1">
        <f>VLOOKUP(A21,[1]Sheet!$A:$AJ,36,0)</f>
        <v>84</v>
      </c>
      <c r="AH21" s="9">
        <f t="shared" si="10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4" t="s">
        <v>58</v>
      </c>
      <c r="B22" s="14" t="s">
        <v>57</v>
      </c>
      <c r="C22" s="14">
        <v>125</v>
      </c>
      <c r="D22" s="14">
        <v>5</v>
      </c>
      <c r="E22" s="18">
        <v>56</v>
      </c>
      <c r="F22" s="18">
        <v>69</v>
      </c>
      <c r="G22" s="15">
        <v>0</v>
      </c>
      <c r="H22" s="14"/>
      <c r="I22" s="14" t="s">
        <v>59</v>
      </c>
      <c r="J22" s="14" t="s">
        <v>56</v>
      </c>
      <c r="K22" s="14">
        <v>61</v>
      </c>
      <c r="L22" s="14">
        <f t="shared" si="2"/>
        <v>-5</v>
      </c>
      <c r="M22" s="14"/>
      <c r="N22" s="14"/>
      <c r="O22" s="14"/>
      <c r="P22" s="14">
        <f t="shared" si="3"/>
        <v>11.2</v>
      </c>
      <c r="Q22" s="16"/>
      <c r="R22" s="16"/>
      <c r="S22" s="14">
        <f t="shared" si="4"/>
        <v>6.1607142857142865</v>
      </c>
      <c r="T22" s="14">
        <f t="shared" si="5"/>
        <v>6.1607142857142865</v>
      </c>
      <c r="U22" s="14">
        <v>17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/>
      <c r="AB22" s="14"/>
      <c r="AC22" s="15"/>
      <c r="AD22" s="17"/>
      <c r="AE22" s="14"/>
      <c r="AF22" s="14"/>
      <c r="AG22" s="14"/>
      <c r="AH22" s="17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57</v>
      </c>
      <c r="C23" s="1">
        <v>142</v>
      </c>
      <c r="D23" s="1">
        <v>66</v>
      </c>
      <c r="E23" s="1">
        <v>60</v>
      </c>
      <c r="F23" s="1">
        <v>148</v>
      </c>
      <c r="G23" s="21">
        <v>1</v>
      </c>
      <c r="H23" s="1">
        <v>180</v>
      </c>
      <c r="I23" s="1" t="s">
        <v>61</v>
      </c>
      <c r="J23" s="1"/>
      <c r="K23" s="1">
        <v>59.5</v>
      </c>
      <c r="L23" s="1">
        <f t="shared" si="2"/>
        <v>0.5</v>
      </c>
      <c r="M23" s="1"/>
      <c r="N23" s="1"/>
      <c r="O23" s="1"/>
      <c r="P23" s="1">
        <f t="shared" si="3"/>
        <v>12</v>
      </c>
      <c r="Q23" s="5">
        <f t="shared" ref="Q23:Q24" si="12">$Q$1*P23-F23</f>
        <v>56</v>
      </c>
      <c r="R23" s="5">
        <f t="shared" ref="R23:R65" si="13">AC23*AD23</f>
        <v>66</v>
      </c>
      <c r="S23" s="1">
        <f t="shared" si="4"/>
        <v>17.833333333333332</v>
      </c>
      <c r="T23" s="1">
        <f t="shared" si="5"/>
        <v>12.333333333333334</v>
      </c>
      <c r="U23" s="1">
        <v>9.9</v>
      </c>
      <c r="V23" s="1">
        <v>16.8</v>
      </c>
      <c r="W23" s="1">
        <v>10.9</v>
      </c>
      <c r="X23" s="1">
        <v>9.9</v>
      </c>
      <c r="Y23" s="1">
        <v>5.5</v>
      </c>
      <c r="Z23" s="1">
        <v>9.9</v>
      </c>
      <c r="AA23" s="1"/>
      <c r="AB23" s="1">
        <f t="shared" ref="AB23:AB65" si="14">G23*Q23</f>
        <v>56</v>
      </c>
      <c r="AC23" s="7">
        <v>5.5</v>
      </c>
      <c r="AD23" s="9">
        <f t="shared" ref="AD23:AD65" si="15">MROUND(Q23, AC23*AF23)/AC23</f>
        <v>12</v>
      </c>
      <c r="AE23" s="1">
        <f t="shared" ref="AE23:AE65" si="16">AD23*AC23*G23</f>
        <v>66</v>
      </c>
      <c r="AF23" s="1">
        <v>12</v>
      </c>
      <c r="AG23" s="1">
        <v>84</v>
      </c>
      <c r="AH23" s="9">
        <f t="shared" ref="AH23:AH65" si="17">AD23/AG23</f>
        <v>0.14285714285714285</v>
      </c>
      <c r="AI23" s="1"/>
      <c r="AJ23" s="7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63</v>
      </c>
      <c r="B24" s="1" t="s">
        <v>57</v>
      </c>
      <c r="C24" s="1">
        <v>112.6</v>
      </c>
      <c r="D24" s="1">
        <v>45</v>
      </c>
      <c r="E24" s="1">
        <v>66.7</v>
      </c>
      <c r="F24" s="1">
        <v>90.9</v>
      </c>
      <c r="G24" s="7">
        <f>VLOOKUP(A24,[1]Sheet!$A:$I,7,0)</f>
        <v>1</v>
      </c>
      <c r="H24" s="1">
        <f>VLOOKUP(A24,[1]Sheet!$A:$I,8,0)</f>
        <v>180</v>
      </c>
      <c r="I24" s="1" t="str">
        <f>VLOOKUP(A24,[1]Sheet!$A:$I,9,0)</f>
        <v>P004394</v>
      </c>
      <c r="J24" s="1"/>
      <c r="K24" s="1">
        <v>64.7</v>
      </c>
      <c r="L24" s="1">
        <f t="shared" si="2"/>
        <v>2</v>
      </c>
      <c r="M24" s="1"/>
      <c r="N24" s="1"/>
      <c r="O24" s="1"/>
      <c r="P24" s="1">
        <f t="shared" si="3"/>
        <v>13.34</v>
      </c>
      <c r="Q24" s="5">
        <f t="shared" si="12"/>
        <v>135.88</v>
      </c>
      <c r="R24" s="5">
        <f t="shared" si="13"/>
        <v>126</v>
      </c>
      <c r="S24" s="1">
        <f t="shared" si="4"/>
        <v>16.259370314842581</v>
      </c>
      <c r="T24" s="1">
        <f t="shared" si="5"/>
        <v>6.8140929535232386</v>
      </c>
      <c r="U24" s="1">
        <v>10.8</v>
      </c>
      <c r="V24" s="1">
        <v>2.4</v>
      </c>
      <c r="W24" s="1">
        <v>8.68</v>
      </c>
      <c r="X24" s="1">
        <v>4.2</v>
      </c>
      <c r="Y24" s="1">
        <v>0</v>
      </c>
      <c r="Z24" s="1">
        <v>4.2</v>
      </c>
      <c r="AA24" s="1"/>
      <c r="AB24" s="1">
        <f t="shared" si="14"/>
        <v>135.88</v>
      </c>
      <c r="AC24" s="7">
        <f>VLOOKUP(A24,[1]Sheet!$A:$AJ,32,0)</f>
        <v>3</v>
      </c>
      <c r="AD24" s="9">
        <f t="shared" si="15"/>
        <v>42</v>
      </c>
      <c r="AE24" s="1">
        <f t="shared" si="16"/>
        <v>126</v>
      </c>
      <c r="AF24" s="1">
        <f>VLOOKUP(A24,[1]Sheet!$A:$AJ,35,0)</f>
        <v>14</v>
      </c>
      <c r="AG24" s="1">
        <f>VLOOKUP(A24,[1]Sheet!$A:$AJ,36,0)</f>
        <v>126</v>
      </c>
      <c r="AH24" s="9">
        <f t="shared" si="17"/>
        <v>0.33333333333333331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64</v>
      </c>
      <c r="B25" s="1" t="s">
        <v>38</v>
      </c>
      <c r="C25" s="1">
        <v>475</v>
      </c>
      <c r="D25" s="1">
        <v>1011</v>
      </c>
      <c r="E25" s="1">
        <v>349</v>
      </c>
      <c r="F25" s="1">
        <v>1136</v>
      </c>
      <c r="G25" s="7">
        <f>VLOOKUP(A25,[1]Sheet!$A:$I,7,0)</f>
        <v>0.25</v>
      </c>
      <c r="H25" s="1">
        <f>VLOOKUP(A25,[1]Sheet!$A:$I,8,0)</f>
        <v>365</v>
      </c>
      <c r="I25" s="1" t="str">
        <f>VLOOKUP(A25,[1]Sheet!$A:$I,9,0)</f>
        <v>P004602</v>
      </c>
      <c r="J25" s="1"/>
      <c r="K25" s="1">
        <v>342</v>
      </c>
      <c r="L25" s="1">
        <f t="shared" si="2"/>
        <v>7</v>
      </c>
      <c r="M25" s="1"/>
      <c r="N25" s="1"/>
      <c r="O25" s="1"/>
      <c r="P25" s="1">
        <f t="shared" si="3"/>
        <v>69.8</v>
      </c>
      <c r="Q25" s="5"/>
      <c r="R25" s="5">
        <f t="shared" si="13"/>
        <v>0</v>
      </c>
      <c r="S25" s="1">
        <f t="shared" si="4"/>
        <v>16.275071633237822</v>
      </c>
      <c r="T25" s="1">
        <f t="shared" si="5"/>
        <v>16.275071633237822</v>
      </c>
      <c r="U25" s="1">
        <v>44.2</v>
      </c>
      <c r="V25" s="1">
        <v>81.8</v>
      </c>
      <c r="W25" s="1">
        <v>64.599999999999994</v>
      </c>
      <c r="X25" s="1">
        <v>2.4</v>
      </c>
      <c r="Y25" s="1">
        <v>0</v>
      </c>
      <c r="Z25" s="1">
        <v>42.6</v>
      </c>
      <c r="AA25" s="1"/>
      <c r="AB25" s="1">
        <f t="shared" si="14"/>
        <v>0</v>
      </c>
      <c r="AC25" s="7">
        <f>VLOOKUP(A25,[1]Sheet!$A:$AJ,32,0)</f>
        <v>6</v>
      </c>
      <c r="AD25" s="9">
        <f t="shared" si="15"/>
        <v>0</v>
      </c>
      <c r="AE25" s="1">
        <f t="shared" si="16"/>
        <v>0</v>
      </c>
      <c r="AF25" s="1">
        <f>VLOOKUP(A25,[1]Sheet!$A:$AJ,35,0)</f>
        <v>14</v>
      </c>
      <c r="AG25" s="1">
        <f>VLOOKUP(A25,[1]Sheet!$A:$AJ,36,0)</f>
        <v>140</v>
      </c>
      <c r="AH25" s="9">
        <f t="shared" si="17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65</v>
      </c>
      <c r="B26" s="1" t="s">
        <v>38</v>
      </c>
      <c r="C26" s="1">
        <v>513</v>
      </c>
      <c r="D26" s="1"/>
      <c r="E26" s="1">
        <v>127</v>
      </c>
      <c r="F26" s="1">
        <v>386</v>
      </c>
      <c r="G26" s="7">
        <f>VLOOKUP(A26,[1]Sheet!$A:$I,7,0)</f>
        <v>0.25</v>
      </c>
      <c r="H26" s="1">
        <f>VLOOKUP(A26,[1]Sheet!$A:$I,8,0)</f>
        <v>365</v>
      </c>
      <c r="I26" s="1" t="str">
        <f>VLOOKUP(A26,[1]Sheet!$A:$I,9,0)</f>
        <v>P004600</v>
      </c>
      <c r="J26" s="1"/>
      <c r="K26" s="1">
        <v>125</v>
      </c>
      <c r="L26" s="1">
        <f t="shared" si="2"/>
        <v>2</v>
      </c>
      <c r="M26" s="1"/>
      <c r="N26" s="1"/>
      <c r="O26" s="1"/>
      <c r="P26" s="1">
        <f t="shared" si="3"/>
        <v>25.4</v>
      </c>
      <c r="Q26" s="5"/>
      <c r="R26" s="5">
        <f t="shared" si="13"/>
        <v>0</v>
      </c>
      <c r="S26" s="1">
        <f t="shared" si="4"/>
        <v>15.196850393700789</v>
      </c>
      <c r="T26" s="1">
        <f t="shared" si="5"/>
        <v>15.196850393700789</v>
      </c>
      <c r="U26" s="1">
        <v>24.4</v>
      </c>
      <c r="V26" s="1">
        <v>22.6</v>
      </c>
      <c r="W26" s="1">
        <v>3.6</v>
      </c>
      <c r="X26" s="1">
        <v>14.6</v>
      </c>
      <c r="Y26" s="1">
        <v>25</v>
      </c>
      <c r="Z26" s="1">
        <v>26.8</v>
      </c>
      <c r="AA26" s="1"/>
      <c r="AB26" s="1">
        <f t="shared" si="14"/>
        <v>0</v>
      </c>
      <c r="AC26" s="7">
        <f>VLOOKUP(A26,[1]Sheet!$A:$AJ,32,0)</f>
        <v>6</v>
      </c>
      <c r="AD26" s="9">
        <f t="shared" si="15"/>
        <v>0</v>
      </c>
      <c r="AE26" s="1">
        <f t="shared" si="16"/>
        <v>0</v>
      </c>
      <c r="AF26" s="1">
        <f>VLOOKUP(A26,[1]Sheet!$A:$AJ,35,0)</f>
        <v>14</v>
      </c>
      <c r="AG26" s="1">
        <f>VLOOKUP(A26,[1]Sheet!$A:$AJ,36,0)</f>
        <v>140</v>
      </c>
      <c r="AH26" s="9">
        <f t="shared" si="17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66</v>
      </c>
      <c r="B27" s="1" t="s">
        <v>57</v>
      </c>
      <c r="C27" s="1">
        <v>396</v>
      </c>
      <c r="D27" s="1">
        <v>18</v>
      </c>
      <c r="E27" s="1">
        <v>186</v>
      </c>
      <c r="F27" s="1">
        <v>210</v>
      </c>
      <c r="G27" s="7">
        <f>VLOOKUP(A27,[1]Sheet!$A:$I,7,0)</f>
        <v>1</v>
      </c>
      <c r="H27" s="1">
        <f>VLOOKUP(A27,[1]Sheet!$A:$I,8,0)</f>
        <v>180</v>
      </c>
      <c r="I27" s="1" t="str">
        <f>VLOOKUP(A27,[1]Sheet!$A:$I,9,0)</f>
        <v>P003486</v>
      </c>
      <c r="J27" s="1"/>
      <c r="K27" s="1">
        <v>201</v>
      </c>
      <c r="L27" s="1">
        <f t="shared" si="2"/>
        <v>-15</v>
      </c>
      <c r="M27" s="1"/>
      <c r="N27" s="1"/>
      <c r="O27" s="1"/>
      <c r="P27" s="1">
        <f t="shared" si="3"/>
        <v>37.200000000000003</v>
      </c>
      <c r="Q27" s="5">
        <f t="shared" ref="Q27" si="18">$Q$1*P27-F27</f>
        <v>422.40000000000009</v>
      </c>
      <c r="R27" s="5">
        <f t="shared" si="13"/>
        <v>432</v>
      </c>
      <c r="S27" s="1">
        <f t="shared" si="4"/>
        <v>17.258064516129032</v>
      </c>
      <c r="T27" s="1">
        <f t="shared" si="5"/>
        <v>5.6451612903225801</v>
      </c>
      <c r="U27" s="1">
        <v>61.2</v>
      </c>
      <c r="V27" s="1">
        <v>14.4</v>
      </c>
      <c r="W27" s="1">
        <v>32.4</v>
      </c>
      <c r="X27" s="1">
        <v>0</v>
      </c>
      <c r="Y27" s="1">
        <v>0</v>
      </c>
      <c r="Z27" s="1">
        <v>39.6</v>
      </c>
      <c r="AA27" s="1"/>
      <c r="AB27" s="1">
        <f t="shared" si="14"/>
        <v>422.40000000000009</v>
      </c>
      <c r="AC27" s="7">
        <f>VLOOKUP(A27,[1]Sheet!$A:$AJ,32,0)</f>
        <v>6</v>
      </c>
      <c r="AD27" s="9">
        <f t="shared" si="15"/>
        <v>72</v>
      </c>
      <c r="AE27" s="1">
        <f t="shared" si="16"/>
        <v>432</v>
      </c>
      <c r="AF27" s="1">
        <f>VLOOKUP(A27,[1]Sheet!$A:$AJ,35,0)</f>
        <v>12</v>
      </c>
      <c r="AG27" s="1">
        <f>VLOOKUP(A27,[1]Sheet!$A:$AJ,36,0)</f>
        <v>84</v>
      </c>
      <c r="AH27" s="9">
        <f t="shared" si="17"/>
        <v>0.8571428571428571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67</v>
      </c>
      <c r="B28" s="1" t="s">
        <v>38</v>
      </c>
      <c r="C28" s="1">
        <v>207</v>
      </c>
      <c r="D28" s="1"/>
      <c r="E28" s="1">
        <v>22</v>
      </c>
      <c r="F28" s="1">
        <v>185</v>
      </c>
      <c r="G28" s="7">
        <f>VLOOKUP(A28,[1]Sheet!$A:$I,7,0)</f>
        <v>0.23</v>
      </c>
      <c r="H28" s="1">
        <f>VLOOKUP(A28,[1]Sheet!$A:$I,8,0)</f>
        <v>180</v>
      </c>
      <c r="I28" s="1" t="str">
        <f>VLOOKUP(A28,[1]Sheet!$A:$I,9,0)</f>
        <v>P005043</v>
      </c>
      <c r="J28" s="1"/>
      <c r="K28" s="1">
        <v>22</v>
      </c>
      <c r="L28" s="1">
        <f t="shared" si="2"/>
        <v>0</v>
      </c>
      <c r="M28" s="1"/>
      <c r="N28" s="1"/>
      <c r="O28" s="1"/>
      <c r="P28" s="1">
        <f t="shared" si="3"/>
        <v>4.4000000000000004</v>
      </c>
      <c r="Q28" s="5"/>
      <c r="R28" s="5">
        <f t="shared" si="13"/>
        <v>0</v>
      </c>
      <c r="S28" s="1">
        <f t="shared" si="4"/>
        <v>42.04545454545454</v>
      </c>
      <c r="T28" s="1">
        <f t="shared" si="5"/>
        <v>42.04545454545454</v>
      </c>
      <c r="U28" s="1">
        <v>14.2</v>
      </c>
      <c r="V28" s="1">
        <v>19.600000000000001</v>
      </c>
      <c r="W28" s="1">
        <v>20</v>
      </c>
      <c r="X28" s="1">
        <v>7.4</v>
      </c>
      <c r="Y28" s="1">
        <v>1.8</v>
      </c>
      <c r="Z28" s="1">
        <v>17.2</v>
      </c>
      <c r="AA28" s="20" t="s">
        <v>77</v>
      </c>
      <c r="AB28" s="1">
        <f t="shared" si="14"/>
        <v>0</v>
      </c>
      <c r="AC28" s="7">
        <f>VLOOKUP(A28,[1]Sheet!$A:$AJ,32,0)</f>
        <v>12</v>
      </c>
      <c r="AD28" s="9">
        <f t="shared" si="15"/>
        <v>0</v>
      </c>
      <c r="AE28" s="1">
        <f t="shared" si="16"/>
        <v>0</v>
      </c>
      <c r="AF28" s="1">
        <f>VLOOKUP(A28,[1]Sheet!$A:$AJ,35,0)</f>
        <v>14</v>
      </c>
      <c r="AG28" s="1">
        <f>VLOOKUP(A28,[1]Sheet!$A:$AJ,36,0)</f>
        <v>70</v>
      </c>
      <c r="AH28" s="9">
        <f t="shared" si="17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68</v>
      </c>
      <c r="B29" s="1" t="s">
        <v>38</v>
      </c>
      <c r="C29" s="1">
        <v>829</v>
      </c>
      <c r="D29" s="1">
        <v>678</v>
      </c>
      <c r="E29" s="1">
        <v>395</v>
      </c>
      <c r="F29" s="1">
        <v>1112</v>
      </c>
      <c r="G29" s="7">
        <f>VLOOKUP(A29,[1]Sheet!$A:$I,7,0)</f>
        <v>0.25</v>
      </c>
      <c r="H29" s="1">
        <f>VLOOKUP(A29,[1]Sheet!$A:$I,8,0)</f>
        <v>365</v>
      </c>
      <c r="I29" s="1" t="str">
        <f>VLOOKUP(A29,[1]Sheet!$A:$I,9,0)</f>
        <v>P004497</v>
      </c>
      <c r="J29" s="1"/>
      <c r="K29" s="1">
        <v>393</v>
      </c>
      <c r="L29" s="1">
        <f t="shared" si="2"/>
        <v>2</v>
      </c>
      <c r="M29" s="1"/>
      <c r="N29" s="1"/>
      <c r="O29" s="1"/>
      <c r="P29" s="1">
        <f t="shared" si="3"/>
        <v>79</v>
      </c>
      <c r="Q29" s="5">
        <f t="shared" ref="Q29" si="19">$Q$1*P29-F29</f>
        <v>231</v>
      </c>
      <c r="R29" s="5">
        <f t="shared" si="13"/>
        <v>168</v>
      </c>
      <c r="S29" s="1">
        <f t="shared" si="4"/>
        <v>16.202531645569621</v>
      </c>
      <c r="T29" s="1">
        <f t="shared" si="5"/>
        <v>14.075949367088608</v>
      </c>
      <c r="U29" s="1">
        <v>76.2</v>
      </c>
      <c r="V29" s="1">
        <v>99.4</v>
      </c>
      <c r="W29" s="1">
        <v>70</v>
      </c>
      <c r="X29" s="1">
        <v>10.4</v>
      </c>
      <c r="Y29" s="1">
        <v>0</v>
      </c>
      <c r="Z29" s="1">
        <v>86.2</v>
      </c>
      <c r="AA29" s="1"/>
      <c r="AB29" s="1">
        <f t="shared" si="14"/>
        <v>57.75</v>
      </c>
      <c r="AC29" s="7">
        <f>VLOOKUP(A29,[1]Sheet!$A:$AJ,32,0)</f>
        <v>12</v>
      </c>
      <c r="AD29" s="9">
        <f t="shared" si="15"/>
        <v>14</v>
      </c>
      <c r="AE29" s="1">
        <f t="shared" si="16"/>
        <v>42</v>
      </c>
      <c r="AF29" s="1">
        <f>VLOOKUP(A29,[1]Sheet!$A:$AJ,35,0)</f>
        <v>14</v>
      </c>
      <c r="AG29" s="1">
        <f>VLOOKUP(A29,[1]Sheet!$A:$AJ,36,0)</f>
        <v>70</v>
      </c>
      <c r="AH29" s="9">
        <f t="shared" si="17"/>
        <v>0.2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38</v>
      </c>
      <c r="C30" s="1">
        <v>769</v>
      </c>
      <c r="D30" s="1">
        <v>1008</v>
      </c>
      <c r="E30" s="1">
        <v>436</v>
      </c>
      <c r="F30" s="1">
        <v>1341</v>
      </c>
      <c r="G30" s="7">
        <f>VLOOKUP(A30,[1]Sheet!$A:$I,7,0)</f>
        <v>0.25</v>
      </c>
      <c r="H30" s="1">
        <f>VLOOKUP(A30,[1]Sheet!$A:$I,8,0)</f>
        <v>365</v>
      </c>
      <c r="I30" s="1" t="str">
        <f>VLOOKUP(A30,[1]Sheet!$A:$I,9,0)</f>
        <v>P004496</v>
      </c>
      <c r="J30" s="1"/>
      <c r="K30" s="1">
        <v>428</v>
      </c>
      <c r="L30" s="1">
        <f t="shared" si="2"/>
        <v>8</v>
      </c>
      <c r="M30" s="1"/>
      <c r="N30" s="1"/>
      <c r="O30" s="1"/>
      <c r="P30" s="1">
        <f t="shared" si="3"/>
        <v>87.2</v>
      </c>
      <c r="Q30" s="5"/>
      <c r="R30" s="5">
        <f t="shared" si="13"/>
        <v>0</v>
      </c>
      <c r="S30" s="1">
        <f t="shared" si="4"/>
        <v>15.378440366972477</v>
      </c>
      <c r="T30" s="1">
        <f t="shared" si="5"/>
        <v>15.378440366972477</v>
      </c>
      <c r="U30" s="1">
        <v>86.4</v>
      </c>
      <c r="V30" s="1">
        <v>112.8</v>
      </c>
      <c r="W30" s="1">
        <v>132.80000000000001</v>
      </c>
      <c r="X30" s="1">
        <v>11</v>
      </c>
      <c r="Y30" s="1">
        <v>9.8000000000000007</v>
      </c>
      <c r="Z30" s="1">
        <v>110.8</v>
      </c>
      <c r="AA30" s="1"/>
      <c r="AB30" s="1">
        <f t="shared" si="14"/>
        <v>0</v>
      </c>
      <c r="AC30" s="7">
        <f>VLOOKUP(A30,[1]Sheet!$A:$AJ,32,0)</f>
        <v>12</v>
      </c>
      <c r="AD30" s="9">
        <f t="shared" si="15"/>
        <v>0</v>
      </c>
      <c r="AE30" s="1">
        <f t="shared" si="16"/>
        <v>0</v>
      </c>
      <c r="AF30" s="1">
        <f>VLOOKUP(A30,[1]Sheet!$A:$AJ,35,0)</f>
        <v>14</v>
      </c>
      <c r="AG30" s="1">
        <f>VLOOKUP(A30,[1]Sheet!$A:$AJ,36,0)</f>
        <v>70</v>
      </c>
      <c r="AH30" s="9">
        <f t="shared" si="17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70</v>
      </c>
      <c r="B31" s="1" t="s">
        <v>38</v>
      </c>
      <c r="C31" s="1">
        <v>607</v>
      </c>
      <c r="D31" s="1">
        <v>1344</v>
      </c>
      <c r="E31" s="1">
        <v>434</v>
      </c>
      <c r="F31" s="1">
        <v>1517</v>
      </c>
      <c r="G31" s="7">
        <f>VLOOKUP(A31,[1]Sheet!$A:$I,7,0)</f>
        <v>0.25</v>
      </c>
      <c r="H31" s="1">
        <f>VLOOKUP(A31,[1]Sheet!$A:$I,8,0)</f>
        <v>180</v>
      </c>
      <c r="I31" s="1" t="str">
        <f>VLOOKUP(A31,[1]Sheet!$A:$I,9,0)</f>
        <v>P004535</v>
      </c>
      <c r="J31" s="1"/>
      <c r="K31" s="1">
        <v>422</v>
      </c>
      <c r="L31" s="1">
        <f t="shared" si="2"/>
        <v>12</v>
      </c>
      <c r="M31" s="1"/>
      <c r="N31" s="1"/>
      <c r="O31" s="1"/>
      <c r="P31" s="1">
        <f t="shared" si="3"/>
        <v>86.8</v>
      </c>
      <c r="Q31" s="5"/>
      <c r="R31" s="5">
        <f t="shared" si="13"/>
        <v>0</v>
      </c>
      <c r="S31" s="1">
        <f t="shared" si="4"/>
        <v>17.476958525345623</v>
      </c>
      <c r="T31" s="1">
        <f t="shared" si="5"/>
        <v>17.476958525345623</v>
      </c>
      <c r="U31" s="1">
        <v>89</v>
      </c>
      <c r="V31" s="1">
        <v>120</v>
      </c>
      <c r="W31" s="1">
        <v>128.80000000000001</v>
      </c>
      <c r="X31" s="1">
        <v>28.8</v>
      </c>
      <c r="Y31" s="1">
        <v>0</v>
      </c>
      <c r="Z31" s="1">
        <v>30.2</v>
      </c>
      <c r="AA31" s="1"/>
      <c r="AB31" s="1">
        <f t="shared" si="14"/>
        <v>0</v>
      </c>
      <c r="AC31" s="7">
        <f>VLOOKUP(A31,[1]Sheet!$A:$AJ,32,0)</f>
        <v>12</v>
      </c>
      <c r="AD31" s="9">
        <f t="shared" si="15"/>
        <v>0</v>
      </c>
      <c r="AE31" s="1">
        <f t="shared" si="16"/>
        <v>0</v>
      </c>
      <c r="AF31" s="1">
        <f>VLOOKUP(A31,[1]Sheet!$A:$AJ,35,0)</f>
        <v>14</v>
      </c>
      <c r="AG31" s="1">
        <f>VLOOKUP(A31,[1]Sheet!$A:$AJ,36,0)</f>
        <v>70</v>
      </c>
      <c r="AH31" s="9">
        <f t="shared" si="17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71</v>
      </c>
      <c r="B32" s="1" t="s">
        <v>38</v>
      </c>
      <c r="C32" s="1">
        <v>112</v>
      </c>
      <c r="D32" s="1">
        <v>8</v>
      </c>
      <c r="E32" s="1">
        <v>37</v>
      </c>
      <c r="F32" s="1">
        <v>78</v>
      </c>
      <c r="G32" s="7">
        <f>VLOOKUP(A32,[1]Sheet!$A:$I,7,0)</f>
        <v>0.25</v>
      </c>
      <c r="H32" s="1">
        <f>VLOOKUP(A32,[1]Sheet!$A:$I,8,0)</f>
        <v>180</v>
      </c>
      <c r="I32" s="1" t="str">
        <f>VLOOKUP(A32,[1]Sheet!$A:$I,9,0)</f>
        <v>P004594</v>
      </c>
      <c r="J32" s="1"/>
      <c r="K32" s="1">
        <v>42</v>
      </c>
      <c r="L32" s="1">
        <f t="shared" si="2"/>
        <v>-5</v>
      </c>
      <c r="M32" s="1"/>
      <c r="N32" s="1"/>
      <c r="O32" s="1"/>
      <c r="P32" s="1">
        <f t="shared" si="3"/>
        <v>7.4</v>
      </c>
      <c r="Q32" s="5"/>
      <c r="R32" s="5">
        <f t="shared" si="13"/>
        <v>0</v>
      </c>
      <c r="S32" s="1">
        <f t="shared" si="4"/>
        <v>10.54054054054054</v>
      </c>
      <c r="T32" s="1">
        <f t="shared" si="5"/>
        <v>10.54054054054054</v>
      </c>
      <c r="U32" s="1">
        <v>10.6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/>
      <c r="AB32" s="1">
        <f t="shared" si="14"/>
        <v>0</v>
      </c>
      <c r="AC32" s="7">
        <f>VLOOKUP(A32,[1]Sheet!$A:$AJ,32,0)</f>
        <v>12</v>
      </c>
      <c r="AD32" s="9">
        <f t="shared" si="15"/>
        <v>0</v>
      </c>
      <c r="AE32" s="1">
        <f t="shared" si="16"/>
        <v>0</v>
      </c>
      <c r="AF32" s="1">
        <f>VLOOKUP(A32,[1]Sheet!$A:$AJ,35,0)</f>
        <v>14</v>
      </c>
      <c r="AG32" s="1">
        <f>VLOOKUP(A32,[1]Sheet!$A:$AJ,36,0)</f>
        <v>70</v>
      </c>
      <c r="AH32" s="9">
        <f t="shared" si="17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72</v>
      </c>
      <c r="B33" s="1" t="s">
        <v>38</v>
      </c>
      <c r="C33" s="1">
        <v>298</v>
      </c>
      <c r="D33" s="1">
        <v>104</v>
      </c>
      <c r="E33" s="1">
        <v>60</v>
      </c>
      <c r="F33" s="1">
        <v>334</v>
      </c>
      <c r="G33" s="7">
        <f>VLOOKUP(A33,[1]Sheet!$A:$I,7,0)</f>
        <v>0.7</v>
      </c>
      <c r="H33" s="1">
        <f>VLOOKUP(A33,[1]Sheet!$A:$I,8,0)</f>
        <v>180</v>
      </c>
      <c r="I33" s="1" t="str">
        <f>VLOOKUP(A33,[1]Sheet!$A:$I,9,0)</f>
        <v>P004887</v>
      </c>
      <c r="J33" s="1"/>
      <c r="K33" s="1">
        <v>67</v>
      </c>
      <c r="L33" s="1">
        <f t="shared" si="2"/>
        <v>-7</v>
      </c>
      <c r="M33" s="1"/>
      <c r="N33" s="1"/>
      <c r="O33" s="1"/>
      <c r="P33" s="1">
        <f t="shared" si="3"/>
        <v>12</v>
      </c>
      <c r="Q33" s="5"/>
      <c r="R33" s="5">
        <f t="shared" si="13"/>
        <v>0</v>
      </c>
      <c r="S33" s="1">
        <f t="shared" si="4"/>
        <v>27.833333333333332</v>
      </c>
      <c r="T33" s="1">
        <f t="shared" si="5"/>
        <v>27.833333333333332</v>
      </c>
      <c r="U33" s="1">
        <v>17.399999999999999</v>
      </c>
      <c r="V33" s="1">
        <v>3.4</v>
      </c>
      <c r="W33" s="1">
        <v>14.6</v>
      </c>
      <c r="X33" s="1">
        <v>0</v>
      </c>
      <c r="Y33" s="1">
        <v>0</v>
      </c>
      <c r="Z33" s="1">
        <v>18.2</v>
      </c>
      <c r="AA33" s="19" t="s">
        <v>62</v>
      </c>
      <c r="AB33" s="1">
        <f t="shared" si="14"/>
        <v>0</v>
      </c>
      <c r="AC33" s="7">
        <f>VLOOKUP(A33,[1]Sheet!$A:$AJ,32,0)</f>
        <v>8</v>
      </c>
      <c r="AD33" s="9">
        <f t="shared" si="15"/>
        <v>0</v>
      </c>
      <c r="AE33" s="1">
        <f t="shared" si="16"/>
        <v>0</v>
      </c>
      <c r="AF33" s="1">
        <f>VLOOKUP(A33,[1]Sheet!$A:$AJ,35,0)</f>
        <v>12</v>
      </c>
      <c r="AG33" s="1">
        <f>VLOOKUP(A33,[1]Sheet!$A:$AJ,36,0)</f>
        <v>84</v>
      </c>
      <c r="AH33" s="9">
        <f t="shared" si="17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73</v>
      </c>
      <c r="B34" s="1" t="s">
        <v>38</v>
      </c>
      <c r="C34" s="1">
        <v>278</v>
      </c>
      <c r="D34" s="1">
        <v>114</v>
      </c>
      <c r="E34" s="1">
        <v>45</v>
      </c>
      <c r="F34" s="1">
        <v>329</v>
      </c>
      <c r="G34" s="7">
        <f>VLOOKUP(A34,[1]Sheet!$A:$I,7,0)</f>
        <v>0.7</v>
      </c>
      <c r="H34" s="1">
        <f>VLOOKUP(A34,[1]Sheet!$A:$I,8,0)</f>
        <v>180</v>
      </c>
      <c r="I34" s="1" t="str">
        <f>VLOOKUP(A34,[1]Sheet!$A:$I,9,0)</f>
        <v>P004889</v>
      </c>
      <c r="J34" s="1"/>
      <c r="K34" s="1">
        <v>62</v>
      </c>
      <c r="L34" s="1">
        <f t="shared" si="2"/>
        <v>-17</v>
      </c>
      <c r="M34" s="1"/>
      <c r="N34" s="1"/>
      <c r="O34" s="1"/>
      <c r="P34" s="1">
        <f t="shared" si="3"/>
        <v>9</v>
      </c>
      <c r="Q34" s="5"/>
      <c r="R34" s="5">
        <f t="shared" si="13"/>
        <v>0</v>
      </c>
      <c r="S34" s="1">
        <f t="shared" si="4"/>
        <v>36.555555555555557</v>
      </c>
      <c r="T34" s="1">
        <f t="shared" si="5"/>
        <v>36.555555555555557</v>
      </c>
      <c r="U34" s="1">
        <v>25.4</v>
      </c>
      <c r="V34" s="1">
        <v>24</v>
      </c>
      <c r="W34" s="1">
        <v>12.2</v>
      </c>
      <c r="X34" s="1">
        <v>1.6</v>
      </c>
      <c r="Y34" s="1">
        <v>0</v>
      </c>
      <c r="Z34" s="1">
        <v>9</v>
      </c>
      <c r="AA34" s="20" t="s">
        <v>77</v>
      </c>
      <c r="AB34" s="1">
        <f t="shared" si="14"/>
        <v>0</v>
      </c>
      <c r="AC34" s="7">
        <f>VLOOKUP(A34,[1]Sheet!$A:$AJ,32,0)</f>
        <v>8</v>
      </c>
      <c r="AD34" s="9">
        <f t="shared" si="15"/>
        <v>0</v>
      </c>
      <c r="AE34" s="1">
        <f t="shared" si="16"/>
        <v>0</v>
      </c>
      <c r="AF34" s="1">
        <f>VLOOKUP(A34,[1]Sheet!$A:$AJ,35,0)</f>
        <v>12</v>
      </c>
      <c r="AG34" s="1">
        <f>VLOOKUP(A34,[1]Sheet!$A:$AJ,36,0)</f>
        <v>84</v>
      </c>
      <c r="AH34" s="9">
        <f t="shared" si="17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38</v>
      </c>
      <c r="C35" s="1">
        <v>98</v>
      </c>
      <c r="D35" s="1">
        <v>400</v>
      </c>
      <c r="E35" s="1">
        <v>58</v>
      </c>
      <c r="F35" s="1">
        <v>424</v>
      </c>
      <c r="G35" s="7">
        <f>VLOOKUP(A35,[1]Sheet!$A:$I,7,0)</f>
        <v>0.7</v>
      </c>
      <c r="H35" s="1">
        <f>VLOOKUP(A35,[1]Sheet!$A:$I,8,0)</f>
        <v>180</v>
      </c>
      <c r="I35" s="1" t="str">
        <f>VLOOKUP(A35,[1]Sheet!$A:$I,9,0)</f>
        <v>P004888</v>
      </c>
      <c r="J35" s="1"/>
      <c r="K35" s="1">
        <v>70</v>
      </c>
      <c r="L35" s="1">
        <f t="shared" si="2"/>
        <v>-12</v>
      </c>
      <c r="M35" s="1"/>
      <c r="N35" s="1"/>
      <c r="O35" s="1"/>
      <c r="P35" s="1">
        <f t="shared" si="3"/>
        <v>11.6</v>
      </c>
      <c r="Q35" s="5"/>
      <c r="R35" s="5">
        <f t="shared" si="13"/>
        <v>0</v>
      </c>
      <c r="S35" s="1">
        <f t="shared" si="4"/>
        <v>36.551724137931039</v>
      </c>
      <c r="T35" s="1">
        <f t="shared" si="5"/>
        <v>36.551724137931039</v>
      </c>
      <c r="U35" s="1">
        <v>19.8</v>
      </c>
      <c r="V35" s="1">
        <v>35.200000000000003</v>
      </c>
      <c r="W35" s="1">
        <v>16</v>
      </c>
      <c r="X35" s="1">
        <v>0</v>
      </c>
      <c r="Y35" s="1">
        <v>0</v>
      </c>
      <c r="Z35" s="1">
        <v>25.2</v>
      </c>
      <c r="AA35" s="19" t="s">
        <v>62</v>
      </c>
      <c r="AB35" s="1">
        <f t="shared" si="14"/>
        <v>0</v>
      </c>
      <c r="AC35" s="7">
        <f>VLOOKUP(A35,[1]Sheet!$A:$AJ,32,0)</f>
        <v>8</v>
      </c>
      <c r="AD35" s="9">
        <f t="shared" si="15"/>
        <v>0</v>
      </c>
      <c r="AE35" s="1">
        <f t="shared" si="16"/>
        <v>0</v>
      </c>
      <c r="AF35" s="1">
        <f>VLOOKUP(A35,[1]Sheet!$A:$AJ,35,0)</f>
        <v>12</v>
      </c>
      <c r="AG35" s="1">
        <f>VLOOKUP(A35,[1]Sheet!$A:$AJ,36,0)</f>
        <v>84</v>
      </c>
      <c r="AH35" s="9">
        <f t="shared" si="17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75</v>
      </c>
      <c r="B36" s="1" t="s">
        <v>38</v>
      </c>
      <c r="C36" s="1">
        <v>528</v>
      </c>
      <c r="D36" s="1">
        <v>365</v>
      </c>
      <c r="E36" s="1">
        <v>263</v>
      </c>
      <c r="F36" s="1">
        <v>629</v>
      </c>
      <c r="G36" s="7">
        <f>VLOOKUP(A36,[1]Sheet!$A:$I,7,0)</f>
        <v>0.7</v>
      </c>
      <c r="H36" s="1">
        <f>VLOOKUP(A36,[1]Sheet!$A:$I,8,0)</f>
        <v>180</v>
      </c>
      <c r="I36" s="1" t="str">
        <f>VLOOKUP(A36,[1]Sheet!$A:$I,9,0)</f>
        <v>P004440</v>
      </c>
      <c r="J36" s="1"/>
      <c r="K36" s="1">
        <v>258</v>
      </c>
      <c r="L36" s="1">
        <f t="shared" si="2"/>
        <v>5</v>
      </c>
      <c r="M36" s="1"/>
      <c r="N36" s="1"/>
      <c r="O36" s="1"/>
      <c r="P36" s="1">
        <f t="shared" si="3"/>
        <v>52.6</v>
      </c>
      <c r="Q36" s="5">
        <f>$Q$1*P36-F36</f>
        <v>265.20000000000005</v>
      </c>
      <c r="R36" s="5">
        <f t="shared" si="13"/>
        <v>240</v>
      </c>
      <c r="S36" s="1">
        <f t="shared" si="4"/>
        <v>16.520912547528518</v>
      </c>
      <c r="T36" s="1">
        <f t="shared" si="5"/>
        <v>11.958174904942965</v>
      </c>
      <c r="U36" s="1">
        <v>69.599999999999994</v>
      </c>
      <c r="V36" s="1">
        <v>46.2</v>
      </c>
      <c r="W36" s="1">
        <v>7.8</v>
      </c>
      <c r="X36" s="1">
        <v>8</v>
      </c>
      <c r="Y36" s="1">
        <v>31.4</v>
      </c>
      <c r="Z36" s="1">
        <v>54.8</v>
      </c>
      <c r="AA36" s="1"/>
      <c r="AB36" s="1">
        <f t="shared" si="14"/>
        <v>185.64000000000001</v>
      </c>
      <c r="AC36" s="7">
        <f>VLOOKUP(A36,[1]Sheet!$A:$AJ,32,0)</f>
        <v>10</v>
      </c>
      <c r="AD36" s="9">
        <f t="shared" si="15"/>
        <v>24</v>
      </c>
      <c r="AE36" s="1">
        <f t="shared" si="16"/>
        <v>168</v>
      </c>
      <c r="AF36" s="1">
        <f>VLOOKUP(A36,[1]Sheet!$A:$AJ,35,0)</f>
        <v>12</v>
      </c>
      <c r="AG36" s="1">
        <f>VLOOKUP(A36,[1]Sheet!$A:$AJ,36,0)</f>
        <v>84</v>
      </c>
      <c r="AH36" s="9">
        <f t="shared" si="17"/>
        <v>0.2857142857142857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38</v>
      </c>
      <c r="C37" s="1">
        <v>883</v>
      </c>
      <c r="D37" s="1">
        <v>5</v>
      </c>
      <c r="E37" s="1">
        <v>113</v>
      </c>
      <c r="F37" s="1">
        <v>759</v>
      </c>
      <c r="G37" s="7">
        <f>VLOOKUP(A37,[1]Sheet!$A:$I,7,0)</f>
        <v>0.7</v>
      </c>
      <c r="H37" s="1">
        <f>VLOOKUP(A37,[1]Sheet!$A:$I,8,0)</f>
        <v>180</v>
      </c>
      <c r="I37" s="1" t="str">
        <f>VLOOKUP(A37,[1]Sheet!$A:$I,9,0)</f>
        <v>P004442</v>
      </c>
      <c r="J37" s="1"/>
      <c r="K37" s="1">
        <v>108</v>
      </c>
      <c r="L37" s="1">
        <f t="shared" si="2"/>
        <v>5</v>
      </c>
      <c r="M37" s="1"/>
      <c r="N37" s="1"/>
      <c r="O37" s="1"/>
      <c r="P37" s="1">
        <f t="shared" si="3"/>
        <v>22.6</v>
      </c>
      <c r="Q37" s="5"/>
      <c r="R37" s="5">
        <f t="shared" si="13"/>
        <v>0</v>
      </c>
      <c r="S37" s="1">
        <f t="shared" si="4"/>
        <v>33.584070796460175</v>
      </c>
      <c r="T37" s="1">
        <f t="shared" si="5"/>
        <v>33.584070796460175</v>
      </c>
      <c r="U37" s="1">
        <v>16.399999999999999</v>
      </c>
      <c r="V37" s="1">
        <v>33.200000000000003</v>
      </c>
      <c r="W37" s="1">
        <v>33</v>
      </c>
      <c r="X37" s="1">
        <v>16.399999999999999</v>
      </c>
      <c r="Y37" s="1">
        <v>23.6</v>
      </c>
      <c r="Z37" s="1">
        <v>17.8</v>
      </c>
      <c r="AA37" s="20" t="s">
        <v>77</v>
      </c>
      <c r="AB37" s="1">
        <f t="shared" si="14"/>
        <v>0</v>
      </c>
      <c r="AC37" s="7">
        <f>VLOOKUP(A37,[1]Sheet!$A:$AJ,32,0)</f>
        <v>10</v>
      </c>
      <c r="AD37" s="9">
        <f t="shared" si="15"/>
        <v>0</v>
      </c>
      <c r="AE37" s="1">
        <f t="shared" si="16"/>
        <v>0</v>
      </c>
      <c r="AF37" s="1">
        <f>VLOOKUP(A37,[1]Sheet!$A:$AJ,35,0)</f>
        <v>12</v>
      </c>
      <c r="AG37" s="1">
        <f>VLOOKUP(A37,[1]Sheet!$A:$AJ,36,0)</f>
        <v>84</v>
      </c>
      <c r="AH37" s="9">
        <f t="shared" si="17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78</v>
      </c>
      <c r="B38" s="1" t="s">
        <v>38</v>
      </c>
      <c r="C38" s="1">
        <v>553</v>
      </c>
      <c r="D38" s="1">
        <v>247</v>
      </c>
      <c r="E38" s="1">
        <v>270</v>
      </c>
      <c r="F38" s="1">
        <v>522</v>
      </c>
      <c r="G38" s="7">
        <f>VLOOKUP(A38,[1]Sheet!$A:$I,7,0)</f>
        <v>0.7</v>
      </c>
      <c r="H38" s="1">
        <f>VLOOKUP(A38,[1]Sheet!$A:$I,8,0)</f>
        <v>180</v>
      </c>
      <c r="I38" s="1" t="str">
        <f>VLOOKUP(A38,[1]Sheet!$A:$I,9,0)</f>
        <v>P004203</v>
      </c>
      <c r="J38" s="1"/>
      <c r="K38" s="1">
        <v>269</v>
      </c>
      <c r="L38" s="1">
        <f t="shared" ref="L38:L66" si="20">E38-K38</f>
        <v>1</v>
      </c>
      <c r="M38" s="1"/>
      <c r="N38" s="1"/>
      <c r="O38" s="1"/>
      <c r="P38" s="1">
        <f t="shared" ref="P38:P66" si="21">E38/5</f>
        <v>54</v>
      </c>
      <c r="Q38" s="5">
        <f t="shared" ref="Q38:Q39" si="22">$Q$1*P38-F38</f>
        <v>396</v>
      </c>
      <c r="R38" s="5">
        <f t="shared" si="13"/>
        <v>360</v>
      </c>
      <c r="S38" s="1">
        <f t="shared" ref="S38:S66" si="23">(F38+R38)/P38</f>
        <v>16.333333333333332</v>
      </c>
      <c r="T38" s="1">
        <f t="shared" ref="T38:T66" si="24">F38/P38</f>
        <v>9.6666666666666661</v>
      </c>
      <c r="U38" s="1">
        <v>60.6</v>
      </c>
      <c r="V38" s="1">
        <v>54</v>
      </c>
      <c r="W38" s="1">
        <v>45.6</v>
      </c>
      <c r="X38" s="1">
        <v>2</v>
      </c>
      <c r="Y38" s="1">
        <v>4</v>
      </c>
      <c r="Z38" s="1">
        <v>52.2</v>
      </c>
      <c r="AA38" s="1"/>
      <c r="AB38" s="1">
        <f t="shared" si="14"/>
        <v>277.2</v>
      </c>
      <c r="AC38" s="7">
        <f>VLOOKUP(A38,[1]Sheet!$A:$AJ,32,0)</f>
        <v>10</v>
      </c>
      <c r="AD38" s="9">
        <f t="shared" si="15"/>
        <v>36</v>
      </c>
      <c r="AE38" s="1">
        <f t="shared" si="16"/>
        <v>251.99999999999997</v>
      </c>
      <c r="AF38" s="1">
        <f>VLOOKUP(A38,[1]Sheet!$A:$AJ,35,0)</f>
        <v>12</v>
      </c>
      <c r="AG38" s="1">
        <f>VLOOKUP(A38,[1]Sheet!$A:$AJ,36,0)</f>
        <v>84</v>
      </c>
      <c r="AH38" s="9">
        <f t="shared" si="17"/>
        <v>0.42857142857142855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79</v>
      </c>
      <c r="B39" s="1" t="s">
        <v>38</v>
      </c>
      <c r="C39" s="1">
        <v>675</v>
      </c>
      <c r="D39" s="1">
        <v>12</v>
      </c>
      <c r="E39" s="1">
        <v>199</v>
      </c>
      <c r="F39" s="1">
        <v>486</v>
      </c>
      <c r="G39" s="7">
        <f>VLOOKUP(A39,[1]Sheet!$A:$I,7,0)</f>
        <v>0.7</v>
      </c>
      <c r="H39" s="1">
        <f>VLOOKUP(A39,[1]Sheet!$A:$I,8,0)</f>
        <v>180</v>
      </c>
      <c r="I39" s="1" t="str">
        <f>VLOOKUP(A39,[1]Sheet!$A:$I,9,0)</f>
        <v>P004819</v>
      </c>
      <c r="J39" s="1"/>
      <c r="K39" s="1">
        <v>199</v>
      </c>
      <c r="L39" s="1">
        <f t="shared" si="20"/>
        <v>0</v>
      </c>
      <c r="M39" s="1"/>
      <c r="N39" s="1"/>
      <c r="O39" s="1"/>
      <c r="P39" s="1">
        <f t="shared" si="21"/>
        <v>39.799999999999997</v>
      </c>
      <c r="Q39" s="5">
        <f t="shared" si="22"/>
        <v>190.59999999999991</v>
      </c>
      <c r="R39" s="5">
        <f t="shared" si="13"/>
        <v>240</v>
      </c>
      <c r="S39" s="1">
        <f t="shared" si="23"/>
        <v>18.241206030150757</v>
      </c>
      <c r="T39" s="1">
        <f t="shared" si="24"/>
        <v>12.211055276381911</v>
      </c>
      <c r="U39" s="1">
        <v>32.200000000000003</v>
      </c>
      <c r="V39" s="1">
        <v>2.8</v>
      </c>
      <c r="W39" s="1">
        <v>71.599999999999994</v>
      </c>
      <c r="X39" s="1">
        <v>4.8</v>
      </c>
      <c r="Y39" s="1">
        <v>0</v>
      </c>
      <c r="Z39" s="1">
        <v>0</v>
      </c>
      <c r="AA39" s="1"/>
      <c r="AB39" s="1">
        <f t="shared" si="14"/>
        <v>133.41999999999993</v>
      </c>
      <c r="AC39" s="7">
        <f>VLOOKUP(A39,[1]Sheet!$A:$AJ,32,0)</f>
        <v>10</v>
      </c>
      <c r="AD39" s="9">
        <f t="shared" si="15"/>
        <v>24</v>
      </c>
      <c r="AE39" s="1">
        <f t="shared" si="16"/>
        <v>168</v>
      </c>
      <c r="AF39" s="1">
        <f>VLOOKUP(A39,[1]Sheet!$A:$AJ,35,0)</f>
        <v>12</v>
      </c>
      <c r="AG39" s="1">
        <f>VLOOKUP(A39,[1]Sheet!$A:$AJ,36,0)</f>
        <v>84</v>
      </c>
      <c r="AH39" s="9">
        <f t="shared" si="17"/>
        <v>0.2857142857142857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80</v>
      </c>
      <c r="B40" s="1" t="s">
        <v>57</v>
      </c>
      <c r="C40" s="1">
        <v>80</v>
      </c>
      <c r="D40" s="1">
        <v>1505</v>
      </c>
      <c r="E40" s="1">
        <v>295</v>
      </c>
      <c r="F40" s="1">
        <v>1285</v>
      </c>
      <c r="G40" s="7">
        <f>VLOOKUP(A40,[1]Sheet!$A:$I,7,0)</f>
        <v>1</v>
      </c>
      <c r="H40" s="1">
        <f>VLOOKUP(A40,[1]Sheet!$A:$I,8,0)</f>
        <v>180</v>
      </c>
      <c r="I40" s="1" t="str">
        <f>VLOOKUP(A40,[1]Sheet!$A:$I,9,0)</f>
        <v>P003697</v>
      </c>
      <c r="J40" s="1"/>
      <c r="K40" s="1">
        <v>345</v>
      </c>
      <c r="L40" s="1">
        <f t="shared" si="20"/>
        <v>-50</v>
      </c>
      <c r="M40" s="1"/>
      <c r="N40" s="1"/>
      <c r="O40" s="1"/>
      <c r="P40" s="1">
        <f t="shared" si="21"/>
        <v>59</v>
      </c>
      <c r="Q40" s="5"/>
      <c r="R40" s="5">
        <f t="shared" si="13"/>
        <v>0</v>
      </c>
      <c r="S40" s="1">
        <f t="shared" si="23"/>
        <v>21.779661016949152</v>
      </c>
      <c r="T40" s="1">
        <f t="shared" si="24"/>
        <v>21.779661016949152</v>
      </c>
      <c r="U40" s="1">
        <v>78</v>
      </c>
      <c r="V40" s="1">
        <v>100</v>
      </c>
      <c r="W40" s="1">
        <v>72</v>
      </c>
      <c r="X40" s="1">
        <v>22</v>
      </c>
      <c r="Y40" s="1">
        <v>0</v>
      </c>
      <c r="Z40" s="1">
        <v>42</v>
      </c>
      <c r="AA40" s="1"/>
      <c r="AB40" s="1">
        <f t="shared" si="14"/>
        <v>0</v>
      </c>
      <c r="AC40" s="7">
        <f>VLOOKUP(A40,[1]Sheet!$A:$AJ,32,0)</f>
        <v>5</v>
      </c>
      <c r="AD40" s="9">
        <f t="shared" si="15"/>
        <v>0</v>
      </c>
      <c r="AE40" s="1">
        <f t="shared" si="16"/>
        <v>0</v>
      </c>
      <c r="AF40" s="1">
        <f>VLOOKUP(A40,[1]Sheet!$A:$AJ,35,0)</f>
        <v>12</v>
      </c>
      <c r="AG40" s="1">
        <f>VLOOKUP(A40,[1]Sheet!$A:$AJ,36,0)</f>
        <v>144</v>
      </c>
      <c r="AH40" s="9">
        <f t="shared" si="17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81</v>
      </c>
      <c r="B41" s="1" t="s">
        <v>38</v>
      </c>
      <c r="C41" s="1">
        <v>609</v>
      </c>
      <c r="D41" s="1">
        <v>400</v>
      </c>
      <c r="E41" s="1">
        <v>302</v>
      </c>
      <c r="F41" s="1">
        <v>707</v>
      </c>
      <c r="G41" s="7">
        <f>VLOOKUP(A41,[1]Sheet!$A:$I,7,0)</f>
        <v>0.4</v>
      </c>
      <c r="H41" s="1">
        <f>VLOOKUP(A41,[1]Sheet!$A:$I,8,0)</f>
        <v>180</v>
      </c>
      <c r="I41" s="1" t="str">
        <f>VLOOKUP(A41,[1]Sheet!$A:$I,9,0)</f>
        <v>P004474</v>
      </c>
      <c r="J41" s="1"/>
      <c r="K41" s="1">
        <v>296</v>
      </c>
      <c r="L41" s="1">
        <f t="shared" si="20"/>
        <v>6</v>
      </c>
      <c r="M41" s="1"/>
      <c r="N41" s="1"/>
      <c r="O41" s="1"/>
      <c r="P41" s="1">
        <f t="shared" si="21"/>
        <v>60.4</v>
      </c>
      <c r="Q41" s="5">
        <f>$Q$1*P41-F41</f>
        <v>319.79999999999995</v>
      </c>
      <c r="R41" s="5">
        <f t="shared" si="13"/>
        <v>384</v>
      </c>
      <c r="S41" s="1">
        <f t="shared" si="23"/>
        <v>18.06291390728477</v>
      </c>
      <c r="T41" s="1">
        <f t="shared" si="24"/>
        <v>11.705298013245033</v>
      </c>
      <c r="U41" s="1">
        <v>27.8</v>
      </c>
      <c r="V41" s="1">
        <v>58.2</v>
      </c>
      <c r="W41" s="1">
        <v>80.400000000000006</v>
      </c>
      <c r="X41" s="1">
        <v>8.8000000000000007</v>
      </c>
      <c r="Y41" s="1">
        <v>-2</v>
      </c>
      <c r="Z41" s="1">
        <v>18.8</v>
      </c>
      <c r="AA41" s="1"/>
      <c r="AB41" s="1">
        <f t="shared" si="14"/>
        <v>127.91999999999999</v>
      </c>
      <c r="AC41" s="7">
        <f>VLOOKUP(A41,[1]Sheet!$A:$AJ,32,0)</f>
        <v>16</v>
      </c>
      <c r="AD41" s="9">
        <f t="shared" si="15"/>
        <v>24</v>
      </c>
      <c r="AE41" s="1">
        <f t="shared" si="16"/>
        <v>153.60000000000002</v>
      </c>
      <c r="AF41" s="1">
        <f>VLOOKUP(A41,[1]Sheet!$A:$AJ,35,0)</f>
        <v>12</v>
      </c>
      <c r="AG41" s="1">
        <f>VLOOKUP(A41,[1]Sheet!$A:$AJ,36,0)</f>
        <v>84</v>
      </c>
      <c r="AH41" s="9">
        <f t="shared" si="17"/>
        <v>0.2857142857142857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82</v>
      </c>
      <c r="B42" s="1" t="s">
        <v>38</v>
      </c>
      <c r="C42" s="1">
        <v>1008</v>
      </c>
      <c r="D42" s="1">
        <v>875</v>
      </c>
      <c r="E42" s="1">
        <v>356</v>
      </c>
      <c r="F42" s="1">
        <v>1442</v>
      </c>
      <c r="G42" s="7">
        <f>VLOOKUP(A42,[1]Sheet!$A:$I,7,0)</f>
        <v>0.7</v>
      </c>
      <c r="H42" s="1">
        <f>VLOOKUP(A42,[1]Sheet!$A:$I,8,0)</f>
        <v>180</v>
      </c>
      <c r="I42" s="1" t="str">
        <f>VLOOKUP(A42,[1]Sheet!$A:$I,9,0)</f>
        <v>P004345</v>
      </c>
      <c r="J42" s="1"/>
      <c r="K42" s="1">
        <v>380</v>
      </c>
      <c r="L42" s="1">
        <f t="shared" si="20"/>
        <v>-24</v>
      </c>
      <c r="M42" s="1"/>
      <c r="N42" s="1"/>
      <c r="O42" s="1"/>
      <c r="P42" s="1">
        <f t="shared" si="21"/>
        <v>71.2</v>
      </c>
      <c r="Q42" s="5"/>
      <c r="R42" s="5">
        <f t="shared" si="13"/>
        <v>0</v>
      </c>
      <c r="S42" s="1">
        <f t="shared" si="23"/>
        <v>20.252808988764045</v>
      </c>
      <c r="T42" s="1">
        <f t="shared" si="24"/>
        <v>20.252808988764045</v>
      </c>
      <c r="U42" s="1">
        <v>116.8</v>
      </c>
      <c r="V42" s="1">
        <v>83.8</v>
      </c>
      <c r="W42" s="1">
        <v>131.4</v>
      </c>
      <c r="X42" s="1">
        <v>0</v>
      </c>
      <c r="Y42" s="1">
        <v>0</v>
      </c>
      <c r="Z42" s="1">
        <v>84.4</v>
      </c>
      <c r="AA42" s="1"/>
      <c r="AB42" s="1">
        <f t="shared" si="14"/>
        <v>0</v>
      </c>
      <c r="AC42" s="7">
        <f>VLOOKUP(A42,[1]Sheet!$A:$AJ,32,0)</f>
        <v>10</v>
      </c>
      <c r="AD42" s="9">
        <f t="shared" si="15"/>
        <v>0</v>
      </c>
      <c r="AE42" s="1">
        <f t="shared" si="16"/>
        <v>0</v>
      </c>
      <c r="AF42" s="1">
        <f>VLOOKUP(A42,[1]Sheet!$A:$AJ,35,0)</f>
        <v>12</v>
      </c>
      <c r="AG42" s="1">
        <f>VLOOKUP(A42,[1]Sheet!$A:$AJ,36,0)</f>
        <v>84</v>
      </c>
      <c r="AH42" s="9">
        <f t="shared" si="17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83</v>
      </c>
      <c r="B43" s="1" t="s">
        <v>38</v>
      </c>
      <c r="C43" s="1">
        <v>620</v>
      </c>
      <c r="D43" s="1">
        <v>214</v>
      </c>
      <c r="E43" s="1">
        <v>300</v>
      </c>
      <c r="F43" s="1">
        <v>531</v>
      </c>
      <c r="G43" s="7">
        <f>VLOOKUP(A43,[1]Sheet!$A:$I,7,0)</f>
        <v>0.4</v>
      </c>
      <c r="H43" s="1">
        <f>VLOOKUP(A43,[1]Sheet!$A:$I,8,0)</f>
        <v>180</v>
      </c>
      <c r="I43" s="1" t="str">
        <f>VLOOKUP(A43,[1]Sheet!$A:$I,9,0)</f>
        <v>P004444</v>
      </c>
      <c r="J43" s="1"/>
      <c r="K43" s="1">
        <v>303</v>
      </c>
      <c r="L43" s="1">
        <f t="shared" si="20"/>
        <v>-3</v>
      </c>
      <c r="M43" s="1"/>
      <c r="N43" s="1"/>
      <c r="O43" s="1"/>
      <c r="P43" s="1">
        <f t="shared" si="21"/>
        <v>60</v>
      </c>
      <c r="Q43" s="5">
        <f t="shared" ref="Q43:Q45" si="25">$Q$1*P43-F43</f>
        <v>489</v>
      </c>
      <c r="R43" s="5">
        <f t="shared" si="13"/>
        <v>576</v>
      </c>
      <c r="S43" s="1">
        <f t="shared" si="23"/>
        <v>18.45</v>
      </c>
      <c r="T43" s="1">
        <f t="shared" si="24"/>
        <v>8.85</v>
      </c>
      <c r="U43" s="1">
        <v>64</v>
      </c>
      <c r="V43" s="1">
        <v>69</v>
      </c>
      <c r="W43" s="1">
        <v>92.4</v>
      </c>
      <c r="X43" s="1">
        <v>0</v>
      </c>
      <c r="Y43" s="1">
        <v>14.2</v>
      </c>
      <c r="Z43" s="1">
        <v>63.2</v>
      </c>
      <c r="AA43" s="1"/>
      <c r="AB43" s="1">
        <f t="shared" si="14"/>
        <v>195.60000000000002</v>
      </c>
      <c r="AC43" s="7">
        <f>VLOOKUP(A43,[1]Sheet!$A:$AJ,32,0)</f>
        <v>16</v>
      </c>
      <c r="AD43" s="9">
        <f t="shared" si="15"/>
        <v>36</v>
      </c>
      <c r="AE43" s="1">
        <f t="shared" si="16"/>
        <v>230.4</v>
      </c>
      <c r="AF43" s="1">
        <f>VLOOKUP(A43,[1]Sheet!$A:$AJ,35,0)</f>
        <v>12</v>
      </c>
      <c r="AG43" s="1">
        <f>VLOOKUP(A43,[1]Sheet!$A:$AJ,36,0)</f>
        <v>84</v>
      </c>
      <c r="AH43" s="9">
        <f t="shared" si="17"/>
        <v>0.42857142857142855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42</v>
      </c>
      <c r="B44" s="1" t="s">
        <v>38</v>
      </c>
      <c r="C44" s="1">
        <v>733</v>
      </c>
      <c r="D44" s="1">
        <v>1225</v>
      </c>
      <c r="E44" s="18">
        <f>587+E7</f>
        <v>593</v>
      </c>
      <c r="F44" s="18">
        <f>1355+F7</f>
        <v>1394</v>
      </c>
      <c r="G44" s="7">
        <f>VLOOKUP(A44,[1]Sheet!$A:$I,7,0)</f>
        <v>0.7</v>
      </c>
      <c r="H44" s="1">
        <f>VLOOKUP(A44,[1]Sheet!$A:$I,8,0)</f>
        <v>180</v>
      </c>
      <c r="I44" s="1" t="str">
        <f>VLOOKUP(A44,[1]Sheet!$A:$I,9,0)</f>
        <v>P004346</v>
      </c>
      <c r="J44" s="1"/>
      <c r="K44" s="1">
        <v>599</v>
      </c>
      <c r="L44" s="1">
        <f t="shared" si="20"/>
        <v>-6</v>
      </c>
      <c r="M44" s="1"/>
      <c r="N44" s="1"/>
      <c r="O44" s="1"/>
      <c r="P44" s="1">
        <f t="shared" si="21"/>
        <v>118.6</v>
      </c>
      <c r="Q44" s="5">
        <f t="shared" si="25"/>
        <v>622.19999999999982</v>
      </c>
      <c r="R44" s="5">
        <f t="shared" si="13"/>
        <v>600</v>
      </c>
      <c r="S44" s="1">
        <f t="shared" si="23"/>
        <v>16.812816188870151</v>
      </c>
      <c r="T44" s="1">
        <f t="shared" si="24"/>
        <v>11.753794266441822</v>
      </c>
      <c r="U44" s="1">
        <v>147.6</v>
      </c>
      <c r="V44" s="1">
        <v>125.4</v>
      </c>
      <c r="W44" s="1">
        <v>137.80000000000001</v>
      </c>
      <c r="X44" s="1">
        <v>14</v>
      </c>
      <c r="Y44" s="1">
        <v>8</v>
      </c>
      <c r="Z44" s="1">
        <v>26</v>
      </c>
      <c r="AA44" s="1"/>
      <c r="AB44" s="1">
        <f t="shared" si="14"/>
        <v>435.53999999999985</v>
      </c>
      <c r="AC44" s="7">
        <f>VLOOKUP(A44,[1]Sheet!$A:$AJ,32,0)</f>
        <v>10</v>
      </c>
      <c r="AD44" s="9">
        <f t="shared" si="15"/>
        <v>60</v>
      </c>
      <c r="AE44" s="1">
        <f t="shared" si="16"/>
        <v>420</v>
      </c>
      <c r="AF44" s="1">
        <f>VLOOKUP(A44,[1]Sheet!$A:$AJ,35,0)</f>
        <v>12</v>
      </c>
      <c r="AG44" s="1">
        <f>VLOOKUP(A44,[1]Sheet!$A:$AJ,36,0)</f>
        <v>84</v>
      </c>
      <c r="AH44" s="9">
        <f t="shared" si="17"/>
        <v>0.7142857142857143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84</v>
      </c>
      <c r="B45" s="1" t="s">
        <v>38</v>
      </c>
      <c r="C45" s="1">
        <v>220</v>
      </c>
      <c r="D45" s="1">
        <v>600</v>
      </c>
      <c r="E45" s="1">
        <v>300</v>
      </c>
      <c r="F45" s="1">
        <v>520</v>
      </c>
      <c r="G45" s="7">
        <f>VLOOKUP(A45,[1]Sheet!$A:$I,7,0)</f>
        <v>0.7</v>
      </c>
      <c r="H45" s="1">
        <f>VLOOKUP(A45,[1]Sheet!$A:$I,8,0)</f>
        <v>180</v>
      </c>
      <c r="I45" s="1" t="str">
        <f>VLOOKUP(A45,[1]Sheet!$A:$I,9,0)</f>
        <v>P004060</v>
      </c>
      <c r="J45" s="1"/>
      <c r="K45" s="1">
        <v>295</v>
      </c>
      <c r="L45" s="1">
        <f t="shared" si="20"/>
        <v>5</v>
      </c>
      <c r="M45" s="1"/>
      <c r="N45" s="1"/>
      <c r="O45" s="1"/>
      <c r="P45" s="1">
        <f t="shared" si="21"/>
        <v>60</v>
      </c>
      <c r="Q45" s="5">
        <f t="shared" si="25"/>
        <v>500</v>
      </c>
      <c r="R45" s="5">
        <f t="shared" si="13"/>
        <v>480</v>
      </c>
      <c r="S45" s="1">
        <f t="shared" si="23"/>
        <v>16.666666666666668</v>
      </c>
      <c r="T45" s="1">
        <f t="shared" si="24"/>
        <v>8.6666666666666661</v>
      </c>
      <c r="U45" s="1">
        <v>51.8</v>
      </c>
      <c r="V45" s="1">
        <v>65</v>
      </c>
      <c r="W45" s="1">
        <v>68.599999999999994</v>
      </c>
      <c r="X45" s="1">
        <v>25</v>
      </c>
      <c r="Y45" s="1">
        <v>0</v>
      </c>
      <c r="Z45" s="1">
        <v>13.2</v>
      </c>
      <c r="AA45" s="1"/>
      <c r="AB45" s="1">
        <f t="shared" si="14"/>
        <v>350</v>
      </c>
      <c r="AC45" s="7">
        <f>VLOOKUP(A45,[1]Sheet!$A:$AJ,32,0)</f>
        <v>10</v>
      </c>
      <c r="AD45" s="9">
        <f t="shared" si="15"/>
        <v>48</v>
      </c>
      <c r="AE45" s="1">
        <f t="shared" si="16"/>
        <v>336</v>
      </c>
      <c r="AF45" s="1">
        <f>VLOOKUP(A45,[1]Sheet!$A:$AJ,35,0)</f>
        <v>12</v>
      </c>
      <c r="AG45" s="1">
        <f>VLOOKUP(A45,[1]Sheet!$A:$AJ,36,0)</f>
        <v>84</v>
      </c>
      <c r="AH45" s="9">
        <f t="shared" si="17"/>
        <v>0.5714285714285714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85</v>
      </c>
      <c r="B46" s="1" t="s">
        <v>38</v>
      </c>
      <c r="C46" s="1">
        <v>196</v>
      </c>
      <c r="D46" s="1">
        <v>492</v>
      </c>
      <c r="E46" s="1">
        <v>106</v>
      </c>
      <c r="F46" s="1">
        <v>575</v>
      </c>
      <c r="G46" s="7">
        <f>VLOOKUP(A46,[1]Sheet!$A:$I,7,0)</f>
        <v>1</v>
      </c>
      <c r="H46" s="1">
        <f>VLOOKUP(A46,[1]Sheet!$A:$I,8,0)</f>
        <v>180</v>
      </c>
      <c r="I46" s="1" t="str">
        <f>VLOOKUP(A46,[1]Sheet!$A:$I,9,0)</f>
        <v>P005048</v>
      </c>
      <c r="J46" s="1"/>
      <c r="K46" s="1">
        <v>107</v>
      </c>
      <c r="L46" s="1">
        <f t="shared" si="20"/>
        <v>-1</v>
      </c>
      <c r="M46" s="1"/>
      <c r="N46" s="1"/>
      <c r="O46" s="1"/>
      <c r="P46" s="1">
        <f t="shared" si="21"/>
        <v>21.2</v>
      </c>
      <c r="Q46" s="5"/>
      <c r="R46" s="5">
        <f t="shared" si="13"/>
        <v>0</v>
      </c>
      <c r="S46" s="1">
        <f t="shared" si="23"/>
        <v>27.122641509433961</v>
      </c>
      <c r="T46" s="1">
        <f t="shared" si="24"/>
        <v>27.122641509433961</v>
      </c>
      <c r="U46" s="1">
        <v>34.4</v>
      </c>
      <c r="V46" s="1">
        <v>18.399999999999999</v>
      </c>
      <c r="W46" s="1">
        <v>36</v>
      </c>
      <c r="X46" s="1">
        <v>0</v>
      </c>
      <c r="Y46" s="1">
        <v>0</v>
      </c>
      <c r="Z46" s="1">
        <v>10.199999999999999</v>
      </c>
      <c r="AA46" s="19" t="s">
        <v>62</v>
      </c>
      <c r="AB46" s="1">
        <f t="shared" si="14"/>
        <v>0</v>
      </c>
      <c r="AC46" s="7">
        <f>VLOOKUP(A46,[1]Sheet!$A:$AJ,32,0)</f>
        <v>5</v>
      </c>
      <c r="AD46" s="9">
        <f t="shared" si="15"/>
        <v>0</v>
      </c>
      <c r="AE46" s="1">
        <f t="shared" si="16"/>
        <v>0</v>
      </c>
      <c r="AF46" s="1">
        <f>VLOOKUP(A46,[1]Sheet!$A:$AJ,35,0)</f>
        <v>12</v>
      </c>
      <c r="AG46" s="1">
        <f>VLOOKUP(A46,[1]Sheet!$A:$AJ,36,0)</f>
        <v>84</v>
      </c>
      <c r="AH46" s="9">
        <f t="shared" si="17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86</v>
      </c>
      <c r="B47" s="1" t="s">
        <v>38</v>
      </c>
      <c r="C47" s="1">
        <v>188</v>
      </c>
      <c r="D47" s="1">
        <v>208</v>
      </c>
      <c r="E47" s="1">
        <v>254</v>
      </c>
      <c r="F47" s="1">
        <v>134</v>
      </c>
      <c r="G47" s="7">
        <f>VLOOKUP(A47,[1]Sheet!$A:$I,7,0)</f>
        <v>0.9</v>
      </c>
      <c r="H47" s="1">
        <f>VLOOKUP(A47,[1]Sheet!$A:$I,8,0)</f>
        <v>180</v>
      </c>
      <c r="I47" s="1" t="str">
        <f>VLOOKUP(A47,[1]Sheet!$A:$I,9,0)</f>
        <v>P005107</v>
      </c>
      <c r="J47" s="1"/>
      <c r="K47" s="1">
        <v>254</v>
      </c>
      <c r="L47" s="1">
        <f t="shared" si="20"/>
        <v>0</v>
      </c>
      <c r="M47" s="1"/>
      <c r="N47" s="1"/>
      <c r="O47" s="1"/>
      <c r="P47" s="1">
        <f t="shared" si="21"/>
        <v>50.8</v>
      </c>
      <c r="Q47" s="5">
        <f t="shared" ref="Q47:Q49" si="26">$Q$1*P47-F47</f>
        <v>729.59999999999991</v>
      </c>
      <c r="R47" s="5">
        <f t="shared" si="13"/>
        <v>768</v>
      </c>
      <c r="S47" s="1">
        <f t="shared" si="23"/>
        <v>17.755905511811026</v>
      </c>
      <c r="T47" s="1">
        <f t="shared" si="24"/>
        <v>2.6377952755905514</v>
      </c>
      <c r="U47" s="1">
        <v>38.4</v>
      </c>
      <c r="V47" s="1">
        <v>1.6</v>
      </c>
      <c r="W47" s="1">
        <v>50</v>
      </c>
      <c r="X47" s="1">
        <v>5.2</v>
      </c>
      <c r="Y47" s="1">
        <v>0</v>
      </c>
      <c r="Z47" s="1">
        <v>49.6</v>
      </c>
      <c r="AA47" s="1"/>
      <c r="AB47" s="1">
        <f t="shared" si="14"/>
        <v>656.64</v>
      </c>
      <c r="AC47" s="7">
        <f>VLOOKUP(A47,[1]Sheet!$A:$AJ,32,0)</f>
        <v>8</v>
      </c>
      <c r="AD47" s="9">
        <f t="shared" si="15"/>
        <v>96</v>
      </c>
      <c r="AE47" s="1">
        <f t="shared" si="16"/>
        <v>691.2</v>
      </c>
      <c r="AF47" s="1">
        <f>VLOOKUP(A47,[1]Sheet!$A:$AJ,35,0)</f>
        <v>12</v>
      </c>
      <c r="AG47" s="1">
        <f>VLOOKUP(A47,[1]Sheet!$A:$AJ,36,0)</f>
        <v>84</v>
      </c>
      <c r="AH47" s="9">
        <f t="shared" si="17"/>
        <v>1.1428571428571428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87</v>
      </c>
      <c r="B48" s="1" t="s">
        <v>38</v>
      </c>
      <c r="C48" s="1">
        <v>255</v>
      </c>
      <c r="D48" s="1">
        <v>208</v>
      </c>
      <c r="E48" s="1">
        <v>223</v>
      </c>
      <c r="F48" s="1">
        <v>224</v>
      </c>
      <c r="G48" s="7">
        <f>VLOOKUP(A48,[1]Sheet!$A:$I,7,0)</f>
        <v>0.9</v>
      </c>
      <c r="H48" s="1">
        <f>VLOOKUP(A48,[1]Sheet!$A:$I,8,0)</f>
        <v>180</v>
      </c>
      <c r="I48" s="1" t="str">
        <f>VLOOKUP(A48,[1]Sheet!$A:$I,9,0)</f>
        <v>P005105</v>
      </c>
      <c r="J48" s="1"/>
      <c r="K48" s="1">
        <v>228</v>
      </c>
      <c r="L48" s="1">
        <f t="shared" si="20"/>
        <v>-5</v>
      </c>
      <c r="M48" s="1"/>
      <c r="N48" s="1"/>
      <c r="O48" s="1"/>
      <c r="P48" s="1">
        <f t="shared" si="21"/>
        <v>44.6</v>
      </c>
      <c r="Q48" s="5">
        <f t="shared" si="26"/>
        <v>534.20000000000005</v>
      </c>
      <c r="R48" s="5">
        <f t="shared" si="13"/>
        <v>576</v>
      </c>
      <c r="S48" s="1">
        <f t="shared" si="23"/>
        <v>17.937219730941703</v>
      </c>
      <c r="T48" s="1">
        <f t="shared" si="24"/>
        <v>5.0224215246636765</v>
      </c>
      <c r="U48" s="1">
        <v>25</v>
      </c>
      <c r="V48" s="1">
        <v>8.8000000000000007</v>
      </c>
      <c r="W48" s="1">
        <v>49.2</v>
      </c>
      <c r="X48" s="1">
        <v>5.2</v>
      </c>
      <c r="Y48" s="1">
        <v>1.2</v>
      </c>
      <c r="Z48" s="1">
        <v>36</v>
      </c>
      <c r="AA48" s="1"/>
      <c r="AB48" s="1">
        <f t="shared" si="14"/>
        <v>480.78000000000003</v>
      </c>
      <c r="AC48" s="7">
        <f>VLOOKUP(A48,[1]Sheet!$A:$AJ,32,0)</f>
        <v>8</v>
      </c>
      <c r="AD48" s="9">
        <f t="shared" si="15"/>
        <v>72</v>
      </c>
      <c r="AE48" s="1">
        <f t="shared" si="16"/>
        <v>518.4</v>
      </c>
      <c r="AF48" s="1">
        <f>VLOOKUP(A48,[1]Sheet!$A:$AJ,35,0)</f>
        <v>12</v>
      </c>
      <c r="AG48" s="1">
        <f>VLOOKUP(A48,[1]Sheet!$A:$AJ,36,0)</f>
        <v>84</v>
      </c>
      <c r="AH48" s="9">
        <f t="shared" si="17"/>
        <v>0.8571428571428571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88</v>
      </c>
      <c r="B49" s="1" t="s">
        <v>38</v>
      </c>
      <c r="C49" s="1">
        <v>5</v>
      </c>
      <c r="D49" s="1">
        <v>340</v>
      </c>
      <c r="E49" s="1">
        <v>174</v>
      </c>
      <c r="F49" s="1">
        <v>148</v>
      </c>
      <c r="G49" s="7">
        <f>VLOOKUP(A49,[1]Sheet!$A:$I,7,0)</f>
        <v>1</v>
      </c>
      <c r="H49" s="1">
        <f>VLOOKUP(A49,[1]Sheet!$A:$I,8,0)</f>
        <v>180</v>
      </c>
      <c r="I49" s="1" t="str">
        <f>VLOOKUP(A49,[1]Sheet!$A:$I,9,0)</f>
        <v>P004081</v>
      </c>
      <c r="J49" s="1"/>
      <c r="K49" s="1">
        <v>254</v>
      </c>
      <c r="L49" s="1">
        <f t="shared" si="20"/>
        <v>-80</v>
      </c>
      <c r="M49" s="1"/>
      <c r="N49" s="1"/>
      <c r="O49" s="1"/>
      <c r="P49" s="1">
        <f t="shared" si="21"/>
        <v>34.799999999999997</v>
      </c>
      <c r="Q49" s="5">
        <f t="shared" si="26"/>
        <v>443.59999999999991</v>
      </c>
      <c r="R49" s="5">
        <f t="shared" si="13"/>
        <v>420</v>
      </c>
      <c r="S49" s="1">
        <f t="shared" si="23"/>
        <v>16.321839080459771</v>
      </c>
      <c r="T49" s="1">
        <f t="shared" si="24"/>
        <v>4.2528735632183912</v>
      </c>
      <c r="U49" s="1">
        <v>56</v>
      </c>
      <c r="V49" s="1">
        <v>1</v>
      </c>
      <c r="W49" s="1">
        <v>48</v>
      </c>
      <c r="X49" s="1">
        <v>0</v>
      </c>
      <c r="Y49" s="1">
        <v>0</v>
      </c>
      <c r="Z49" s="1">
        <v>91.4</v>
      </c>
      <c r="AA49" s="1"/>
      <c r="AB49" s="1">
        <f t="shared" si="14"/>
        <v>443.59999999999991</v>
      </c>
      <c r="AC49" s="7">
        <f>VLOOKUP(A49,[1]Sheet!$A:$AJ,32,0)</f>
        <v>5</v>
      </c>
      <c r="AD49" s="9">
        <f t="shared" si="15"/>
        <v>84</v>
      </c>
      <c r="AE49" s="1">
        <f t="shared" si="16"/>
        <v>420</v>
      </c>
      <c r="AF49" s="1">
        <f>VLOOKUP(A49,[1]Sheet!$A:$AJ,35,0)</f>
        <v>12</v>
      </c>
      <c r="AG49" s="1">
        <f>VLOOKUP(A49,[1]Sheet!$A:$AJ,36,0)</f>
        <v>84</v>
      </c>
      <c r="AH49" s="9">
        <f t="shared" si="17"/>
        <v>1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89</v>
      </c>
      <c r="B50" s="1" t="s">
        <v>57</v>
      </c>
      <c r="C50" s="1">
        <v>262.7</v>
      </c>
      <c r="D50" s="1"/>
      <c r="E50" s="1">
        <v>3.7</v>
      </c>
      <c r="F50" s="1">
        <v>259</v>
      </c>
      <c r="G50" s="7">
        <f>VLOOKUP(A50,[1]Sheet!$A:$I,7,0)</f>
        <v>1</v>
      </c>
      <c r="H50" s="1">
        <f>VLOOKUP(A50,[1]Sheet!$A:$I,8,0)</f>
        <v>180</v>
      </c>
      <c r="I50" s="1" t="str">
        <f>VLOOKUP(A50,[1]Sheet!$A:$I,9,0)</f>
        <v>P004359</v>
      </c>
      <c r="J50" s="1"/>
      <c r="K50" s="1">
        <v>3.7</v>
      </c>
      <c r="L50" s="1">
        <f t="shared" si="20"/>
        <v>0</v>
      </c>
      <c r="M50" s="1"/>
      <c r="N50" s="1"/>
      <c r="O50" s="1"/>
      <c r="P50" s="1">
        <f t="shared" si="21"/>
        <v>0.74</v>
      </c>
      <c r="Q50" s="5"/>
      <c r="R50" s="5">
        <f t="shared" si="13"/>
        <v>0</v>
      </c>
      <c r="S50" s="1">
        <f t="shared" si="23"/>
        <v>350</v>
      </c>
      <c r="T50" s="1">
        <f t="shared" si="24"/>
        <v>350</v>
      </c>
      <c r="U50" s="1">
        <v>1.48</v>
      </c>
      <c r="V50" s="1">
        <v>0</v>
      </c>
      <c r="W50" s="1">
        <v>0.74</v>
      </c>
      <c r="X50" s="1">
        <v>1.48</v>
      </c>
      <c r="Y50" s="1">
        <v>2.96</v>
      </c>
      <c r="Z50" s="1">
        <v>3.8</v>
      </c>
      <c r="AA50" s="20" t="s">
        <v>77</v>
      </c>
      <c r="AB50" s="1">
        <f t="shared" si="14"/>
        <v>0</v>
      </c>
      <c r="AC50" s="7">
        <f>VLOOKUP(A50,[1]Sheet!$A:$AJ,32,0)</f>
        <v>3.7</v>
      </c>
      <c r="AD50" s="9">
        <f t="shared" si="15"/>
        <v>0</v>
      </c>
      <c r="AE50" s="1">
        <f t="shared" si="16"/>
        <v>0</v>
      </c>
      <c r="AF50" s="1">
        <f>VLOOKUP(A50,[1]Sheet!$A:$AJ,35,0)</f>
        <v>14</v>
      </c>
      <c r="AG50" s="1">
        <f>VLOOKUP(A50,[1]Sheet!$A:$AJ,36,0)</f>
        <v>126</v>
      </c>
      <c r="AH50" s="9">
        <f t="shared" si="17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90</v>
      </c>
      <c r="B51" s="1" t="s">
        <v>38</v>
      </c>
      <c r="C51" s="1">
        <v>287</v>
      </c>
      <c r="D51" s="1">
        <v>168</v>
      </c>
      <c r="E51" s="1">
        <v>188</v>
      </c>
      <c r="F51" s="1">
        <v>267</v>
      </c>
      <c r="G51" s="7">
        <f>VLOOKUP(A51,[1]Sheet!$A:$I,7,0)</f>
        <v>0.23</v>
      </c>
      <c r="H51" s="1">
        <f>VLOOKUP(A51,[1]Sheet!$A:$I,8,0)</f>
        <v>180</v>
      </c>
      <c r="I51" s="1" t="str">
        <f>VLOOKUP(A51,[1]Sheet!$A:$I,9,0)</f>
        <v>P005182</v>
      </c>
      <c r="J51" s="1"/>
      <c r="K51" s="1">
        <v>187</v>
      </c>
      <c r="L51" s="1">
        <f t="shared" si="20"/>
        <v>1</v>
      </c>
      <c r="M51" s="1"/>
      <c r="N51" s="1"/>
      <c r="O51" s="1"/>
      <c r="P51" s="1">
        <f t="shared" si="21"/>
        <v>37.6</v>
      </c>
      <c r="Q51" s="5">
        <f t="shared" ref="Q51:Q52" si="27">$Q$1*P51-F51</f>
        <v>372.20000000000005</v>
      </c>
      <c r="R51" s="5">
        <f t="shared" si="13"/>
        <v>336</v>
      </c>
      <c r="S51" s="1">
        <f t="shared" si="23"/>
        <v>16.037234042553191</v>
      </c>
      <c r="T51" s="1">
        <f t="shared" si="24"/>
        <v>7.1010638297872335</v>
      </c>
      <c r="U51" s="1">
        <v>13.8</v>
      </c>
      <c r="V51" s="1">
        <v>38.200000000000003</v>
      </c>
      <c r="W51" s="1">
        <v>51.4</v>
      </c>
      <c r="X51" s="1">
        <v>0</v>
      </c>
      <c r="Y51" s="1">
        <v>0</v>
      </c>
      <c r="Z51" s="1">
        <v>21.6</v>
      </c>
      <c r="AA51" s="1"/>
      <c r="AB51" s="1">
        <f t="shared" si="14"/>
        <v>85.606000000000009</v>
      </c>
      <c r="AC51" s="7">
        <f>VLOOKUP(A51,[1]Sheet!$A:$AJ,32,0)</f>
        <v>6</v>
      </c>
      <c r="AD51" s="9">
        <f t="shared" si="15"/>
        <v>56</v>
      </c>
      <c r="AE51" s="1">
        <f t="shared" si="16"/>
        <v>77.28</v>
      </c>
      <c r="AF51" s="1">
        <f>VLOOKUP(A51,[1]Sheet!$A:$AJ,35,0)</f>
        <v>14</v>
      </c>
      <c r="AG51" s="1">
        <f>VLOOKUP(A51,[1]Sheet!$A:$AJ,36,0)</f>
        <v>140</v>
      </c>
      <c r="AH51" s="9">
        <f t="shared" si="17"/>
        <v>0.4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91</v>
      </c>
      <c r="B52" s="1" t="s">
        <v>38</v>
      </c>
      <c r="C52" s="1">
        <v>193</v>
      </c>
      <c r="D52" s="1">
        <v>174</v>
      </c>
      <c r="E52" s="1">
        <v>328</v>
      </c>
      <c r="F52" s="1">
        <v>35</v>
      </c>
      <c r="G52" s="7">
        <f>VLOOKUP(A52,[1]Sheet!$A:$I,7,0)</f>
        <v>0.25</v>
      </c>
      <c r="H52" s="1">
        <f>VLOOKUP(A52,[1]Sheet!$A:$I,8,0)</f>
        <v>180</v>
      </c>
      <c r="I52" s="1" t="str">
        <f>VLOOKUP(A52,[1]Sheet!$A:$I,9,0)</f>
        <v>P004489</v>
      </c>
      <c r="J52" s="1"/>
      <c r="K52" s="1">
        <v>327</v>
      </c>
      <c r="L52" s="1">
        <f t="shared" si="20"/>
        <v>1</v>
      </c>
      <c r="M52" s="1"/>
      <c r="N52" s="1"/>
      <c r="O52" s="1"/>
      <c r="P52" s="1">
        <f t="shared" si="21"/>
        <v>65.599999999999994</v>
      </c>
      <c r="Q52" s="5">
        <f t="shared" si="27"/>
        <v>1080.1999999999998</v>
      </c>
      <c r="R52" s="5">
        <f t="shared" si="13"/>
        <v>1008</v>
      </c>
      <c r="S52" s="1">
        <f t="shared" si="23"/>
        <v>15.89939024390244</v>
      </c>
      <c r="T52" s="1">
        <f t="shared" si="24"/>
        <v>0.53353658536585369</v>
      </c>
      <c r="U52" s="1">
        <v>61.4</v>
      </c>
      <c r="V52" s="1">
        <v>38.4</v>
      </c>
      <c r="W52" s="1">
        <v>65.599999999999994</v>
      </c>
      <c r="X52" s="1">
        <v>0</v>
      </c>
      <c r="Y52" s="1">
        <v>0</v>
      </c>
      <c r="Z52" s="1">
        <v>39.799999999999997</v>
      </c>
      <c r="AA52" s="1"/>
      <c r="AB52" s="1">
        <f t="shared" si="14"/>
        <v>270.04999999999995</v>
      </c>
      <c r="AC52" s="7">
        <f>VLOOKUP(A52,[1]Sheet!$A:$AJ,32,0)</f>
        <v>12</v>
      </c>
      <c r="AD52" s="9">
        <f t="shared" si="15"/>
        <v>84</v>
      </c>
      <c r="AE52" s="1">
        <f t="shared" si="16"/>
        <v>252</v>
      </c>
      <c r="AF52" s="1">
        <f>VLOOKUP(A52,[1]Sheet!$A:$AJ,35,0)</f>
        <v>14</v>
      </c>
      <c r="AG52" s="1">
        <f>VLOOKUP(A52,[1]Sheet!$A:$AJ,36,0)</f>
        <v>70</v>
      </c>
      <c r="AH52" s="9">
        <f t="shared" si="17"/>
        <v>1.2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92</v>
      </c>
      <c r="B53" s="1" t="s">
        <v>38</v>
      </c>
      <c r="C53" s="1">
        <v>1215</v>
      </c>
      <c r="D53" s="1">
        <v>5</v>
      </c>
      <c r="E53" s="1">
        <v>126</v>
      </c>
      <c r="F53" s="1">
        <v>1089</v>
      </c>
      <c r="G53" s="7">
        <f>VLOOKUP(A53,[1]Sheet!$A:$I,7,0)</f>
        <v>0.25</v>
      </c>
      <c r="H53" s="1">
        <f>VLOOKUP(A53,[1]Sheet!$A:$I,8,0)</f>
        <v>180</v>
      </c>
      <c r="I53" s="1" t="str">
        <f>VLOOKUP(A53,[1]Sheet!$A:$I,9,0)</f>
        <v>P005058</v>
      </c>
      <c r="J53" s="1"/>
      <c r="K53" s="1">
        <v>127</v>
      </c>
      <c r="L53" s="1">
        <f t="shared" si="20"/>
        <v>-1</v>
      </c>
      <c r="M53" s="1"/>
      <c r="N53" s="1"/>
      <c r="O53" s="1"/>
      <c r="P53" s="1">
        <f t="shared" si="21"/>
        <v>25.2</v>
      </c>
      <c r="Q53" s="5"/>
      <c r="R53" s="5">
        <f t="shared" si="13"/>
        <v>0</v>
      </c>
      <c r="S53" s="1">
        <f t="shared" si="23"/>
        <v>43.214285714285715</v>
      </c>
      <c r="T53" s="1">
        <f t="shared" si="24"/>
        <v>43.214285714285715</v>
      </c>
      <c r="U53" s="1">
        <v>31</v>
      </c>
      <c r="V53" s="1">
        <v>26</v>
      </c>
      <c r="W53" s="1">
        <v>14.6</v>
      </c>
      <c r="X53" s="1">
        <v>53.4</v>
      </c>
      <c r="Y53" s="1">
        <v>17.399999999999999</v>
      </c>
      <c r="Z53" s="1">
        <v>39.6</v>
      </c>
      <c r="AA53" s="20" t="s">
        <v>77</v>
      </c>
      <c r="AB53" s="1">
        <f t="shared" si="14"/>
        <v>0</v>
      </c>
      <c r="AC53" s="7">
        <f>VLOOKUP(A53,[1]Sheet!$A:$AJ,32,0)</f>
        <v>12</v>
      </c>
      <c r="AD53" s="9">
        <f t="shared" si="15"/>
        <v>0</v>
      </c>
      <c r="AE53" s="1">
        <f t="shared" si="16"/>
        <v>0</v>
      </c>
      <c r="AF53" s="1">
        <f>VLOOKUP(A53,[1]Sheet!$A:$AJ,35,0)</f>
        <v>14</v>
      </c>
      <c r="AG53" s="1">
        <f>VLOOKUP(A53,[1]Sheet!$A:$AJ,36,0)</f>
        <v>70</v>
      </c>
      <c r="AH53" s="9">
        <f t="shared" si="17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93</v>
      </c>
      <c r="B54" s="1" t="s">
        <v>38</v>
      </c>
      <c r="C54" s="1">
        <v>268</v>
      </c>
      <c r="D54" s="1"/>
      <c r="E54" s="1">
        <v>2</v>
      </c>
      <c r="F54" s="1">
        <v>266</v>
      </c>
      <c r="G54" s="7">
        <f>VLOOKUP(A54,[1]Sheet!$A:$I,7,0)</f>
        <v>0.18</v>
      </c>
      <c r="H54" s="1">
        <f>VLOOKUP(A54,[1]Sheet!$A:$I,8,0)</f>
        <v>180</v>
      </c>
      <c r="I54" s="1" t="str">
        <f>VLOOKUP(A54,[1]Sheet!$A:$I,9,0)</f>
        <v>P005201</v>
      </c>
      <c r="J54" s="1"/>
      <c r="K54" s="1">
        <v>2</v>
      </c>
      <c r="L54" s="1">
        <f t="shared" si="20"/>
        <v>0</v>
      </c>
      <c r="M54" s="1"/>
      <c r="N54" s="1"/>
      <c r="O54" s="1"/>
      <c r="P54" s="1">
        <f t="shared" si="21"/>
        <v>0.4</v>
      </c>
      <c r="Q54" s="5"/>
      <c r="R54" s="5">
        <f t="shared" si="13"/>
        <v>0</v>
      </c>
      <c r="S54" s="1">
        <f t="shared" si="23"/>
        <v>665</v>
      </c>
      <c r="T54" s="1">
        <f t="shared" si="24"/>
        <v>665</v>
      </c>
      <c r="U54" s="1">
        <v>1</v>
      </c>
      <c r="V54" s="1">
        <v>2.8</v>
      </c>
      <c r="W54" s="1">
        <v>5.6</v>
      </c>
      <c r="X54" s="1">
        <v>0.4</v>
      </c>
      <c r="Y54" s="1">
        <v>0.8</v>
      </c>
      <c r="Z54" s="1">
        <v>20.6</v>
      </c>
      <c r="AA54" s="20" t="s">
        <v>77</v>
      </c>
      <c r="AB54" s="1">
        <f t="shared" si="14"/>
        <v>0</v>
      </c>
      <c r="AC54" s="7">
        <f>VLOOKUP(A54,[1]Sheet!$A:$AJ,32,0)</f>
        <v>6</v>
      </c>
      <c r="AD54" s="9">
        <f t="shared" si="15"/>
        <v>0</v>
      </c>
      <c r="AE54" s="1">
        <f t="shared" si="16"/>
        <v>0</v>
      </c>
      <c r="AF54" s="1">
        <f>VLOOKUP(A54,[1]Sheet!$A:$AJ,35,0)</f>
        <v>14</v>
      </c>
      <c r="AG54" s="1">
        <f>VLOOKUP(A54,[1]Sheet!$A:$AJ,36,0)</f>
        <v>140</v>
      </c>
      <c r="AH54" s="9">
        <f t="shared" si="17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94</v>
      </c>
      <c r="B55" s="1" t="s">
        <v>38</v>
      </c>
      <c r="C55" s="1">
        <v>180</v>
      </c>
      <c r="D55" s="1"/>
      <c r="E55" s="1">
        <v>9</v>
      </c>
      <c r="F55" s="1">
        <v>171</v>
      </c>
      <c r="G55" s="7">
        <f>VLOOKUP(A55,[1]Sheet!$A:$I,7,0)</f>
        <v>0.18</v>
      </c>
      <c r="H55" s="1">
        <f>VLOOKUP(A55,[1]Sheet!$A:$I,8,0)</f>
        <v>180</v>
      </c>
      <c r="I55" s="1" t="str">
        <f>VLOOKUP(A55,[1]Sheet!$A:$I,9,0)</f>
        <v>P005199</v>
      </c>
      <c r="J55" s="1"/>
      <c r="K55" s="1">
        <v>9</v>
      </c>
      <c r="L55" s="1">
        <f t="shared" si="20"/>
        <v>0</v>
      </c>
      <c r="M55" s="1"/>
      <c r="N55" s="1"/>
      <c r="O55" s="1"/>
      <c r="P55" s="1">
        <f t="shared" si="21"/>
        <v>1.8</v>
      </c>
      <c r="Q55" s="5"/>
      <c r="R55" s="5">
        <f t="shared" si="13"/>
        <v>0</v>
      </c>
      <c r="S55" s="1">
        <f t="shared" si="23"/>
        <v>95</v>
      </c>
      <c r="T55" s="1">
        <f t="shared" si="24"/>
        <v>95</v>
      </c>
      <c r="U55" s="1">
        <v>1</v>
      </c>
      <c r="V55" s="1">
        <v>3</v>
      </c>
      <c r="W55" s="1">
        <v>1.4</v>
      </c>
      <c r="X55" s="1">
        <v>0.6</v>
      </c>
      <c r="Y55" s="1">
        <v>1.2</v>
      </c>
      <c r="Z55" s="1">
        <v>19.600000000000001</v>
      </c>
      <c r="AA55" s="20" t="s">
        <v>77</v>
      </c>
      <c r="AB55" s="1">
        <f t="shared" si="14"/>
        <v>0</v>
      </c>
      <c r="AC55" s="7">
        <f>VLOOKUP(A55,[1]Sheet!$A:$AJ,32,0)</f>
        <v>6</v>
      </c>
      <c r="AD55" s="9">
        <f t="shared" si="15"/>
        <v>0</v>
      </c>
      <c r="AE55" s="1">
        <f t="shared" si="16"/>
        <v>0</v>
      </c>
      <c r="AF55" s="1">
        <f>VLOOKUP(A55,[1]Sheet!$A:$AJ,35,0)</f>
        <v>14</v>
      </c>
      <c r="AG55" s="1">
        <f>VLOOKUP(A55,[1]Sheet!$A:$AJ,36,0)</f>
        <v>140</v>
      </c>
      <c r="AH55" s="9">
        <f t="shared" si="17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95</v>
      </c>
      <c r="B56" s="1" t="s">
        <v>38</v>
      </c>
      <c r="C56" s="1">
        <v>19</v>
      </c>
      <c r="D56" s="1"/>
      <c r="E56" s="1">
        <v>2</v>
      </c>
      <c r="F56" s="1">
        <v>17</v>
      </c>
      <c r="G56" s="7">
        <f>VLOOKUP(A56,[1]Sheet!$A:$I,7,0)</f>
        <v>0.18</v>
      </c>
      <c r="H56" s="1">
        <f>VLOOKUP(A56,[1]Sheet!$A:$I,8,0)</f>
        <v>180</v>
      </c>
      <c r="I56" s="1" t="str">
        <f>VLOOKUP(A56,[1]Sheet!$A:$I,9,0)</f>
        <v>P005200</v>
      </c>
      <c r="J56" s="1"/>
      <c r="K56" s="1">
        <v>2</v>
      </c>
      <c r="L56" s="1">
        <f t="shared" si="20"/>
        <v>0</v>
      </c>
      <c r="M56" s="1"/>
      <c r="N56" s="1"/>
      <c r="O56" s="1"/>
      <c r="P56" s="1">
        <f t="shared" si="21"/>
        <v>0.4</v>
      </c>
      <c r="Q56" s="5"/>
      <c r="R56" s="5">
        <f t="shared" si="13"/>
        <v>0</v>
      </c>
      <c r="S56" s="1">
        <f t="shared" si="23"/>
        <v>42.5</v>
      </c>
      <c r="T56" s="1">
        <f t="shared" si="24"/>
        <v>42.5</v>
      </c>
      <c r="U56" s="1">
        <v>1.2</v>
      </c>
      <c r="V56" s="1">
        <v>2.2000000000000002</v>
      </c>
      <c r="W56" s="1">
        <v>2</v>
      </c>
      <c r="X56" s="1">
        <v>2.6</v>
      </c>
      <c r="Y56" s="1">
        <v>0</v>
      </c>
      <c r="Z56" s="1">
        <v>0</v>
      </c>
      <c r="AA56" s="20" t="s">
        <v>77</v>
      </c>
      <c r="AB56" s="1">
        <f t="shared" si="14"/>
        <v>0</v>
      </c>
      <c r="AC56" s="7">
        <f>VLOOKUP(A56,[1]Sheet!$A:$AJ,32,0)</f>
        <v>6</v>
      </c>
      <c r="AD56" s="9">
        <f t="shared" si="15"/>
        <v>0</v>
      </c>
      <c r="AE56" s="1">
        <f t="shared" si="16"/>
        <v>0</v>
      </c>
      <c r="AF56" s="1">
        <f>VLOOKUP(A56,[1]Sheet!$A:$AJ,35,0)</f>
        <v>14</v>
      </c>
      <c r="AG56" s="1">
        <f>VLOOKUP(A56,[1]Sheet!$A:$AJ,36,0)</f>
        <v>140</v>
      </c>
      <c r="AH56" s="9">
        <f t="shared" si="17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96</v>
      </c>
      <c r="B57" s="1" t="s">
        <v>38</v>
      </c>
      <c r="C57" s="1">
        <v>-26</v>
      </c>
      <c r="D57" s="1">
        <v>336</v>
      </c>
      <c r="E57" s="1">
        <v>217</v>
      </c>
      <c r="F57" s="1">
        <v>93</v>
      </c>
      <c r="G57" s="7">
        <f>VLOOKUP(A57,[1]Sheet!$A:$I,7,0)</f>
        <v>0.3</v>
      </c>
      <c r="H57" s="1">
        <f>VLOOKUP(A57,[1]Sheet!$A:$I,8,0)</f>
        <v>180</v>
      </c>
      <c r="I57" s="1" t="str">
        <f>VLOOKUP(A57,[1]Sheet!$A:$I,9,0)</f>
        <v>P004588</v>
      </c>
      <c r="J57" s="1"/>
      <c r="K57" s="1">
        <v>200</v>
      </c>
      <c r="L57" s="1">
        <f t="shared" si="20"/>
        <v>17</v>
      </c>
      <c r="M57" s="1"/>
      <c r="N57" s="1"/>
      <c r="O57" s="1"/>
      <c r="P57" s="1">
        <f t="shared" si="21"/>
        <v>43.4</v>
      </c>
      <c r="Q57" s="5">
        <f t="shared" ref="Q57:Q59" si="28">$Q$1*P57-F57</f>
        <v>644.79999999999995</v>
      </c>
      <c r="R57" s="5">
        <f t="shared" si="13"/>
        <v>672</v>
      </c>
      <c r="S57" s="1">
        <f t="shared" si="23"/>
        <v>17.626728110599078</v>
      </c>
      <c r="T57" s="1">
        <f t="shared" si="24"/>
        <v>2.1428571428571428</v>
      </c>
      <c r="U57" s="1">
        <v>18</v>
      </c>
      <c r="V57" s="1">
        <v>17.399999999999999</v>
      </c>
      <c r="W57" s="1">
        <v>4.8</v>
      </c>
      <c r="X57" s="1">
        <v>0</v>
      </c>
      <c r="Y57" s="1">
        <v>0</v>
      </c>
      <c r="Z57" s="1">
        <v>42.8</v>
      </c>
      <c r="AA57" s="1"/>
      <c r="AB57" s="1">
        <f t="shared" si="14"/>
        <v>193.43999999999997</v>
      </c>
      <c r="AC57" s="7">
        <f>VLOOKUP(A57,[1]Sheet!$A:$AJ,32,0)</f>
        <v>12</v>
      </c>
      <c r="AD57" s="9">
        <f t="shared" si="15"/>
        <v>56</v>
      </c>
      <c r="AE57" s="1">
        <f t="shared" si="16"/>
        <v>201.6</v>
      </c>
      <c r="AF57" s="1">
        <f>VLOOKUP(A57,[1]Sheet!$A:$AJ,35,0)</f>
        <v>14</v>
      </c>
      <c r="AG57" s="1">
        <f>VLOOKUP(A57,[1]Sheet!$A:$AJ,36,0)</f>
        <v>70</v>
      </c>
      <c r="AH57" s="9">
        <f t="shared" si="17"/>
        <v>0.8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97</v>
      </c>
      <c r="B58" s="1" t="s">
        <v>38</v>
      </c>
      <c r="C58" s="1">
        <v>365</v>
      </c>
      <c r="D58" s="1">
        <v>843</v>
      </c>
      <c r="E58" s="1">
        <v>397</v>
      </c>
      <c r="F58" s="1">
        <v>808</v>
      </c>
      <c r="G58" s="7">
        <f>VLOOKUP(A58,[1]Sheet!$A:$I,7,0)</f>
        <v>0.3</v>
      </c>
      <c r="H58" s="1">
        <f>VLOOKUP(A58,[1]Sheet!$A:$I,8,0)</f>
        <v>180</v>
      </c>
      <c r="I58" s="1" t="str">
        <f>VLOOKUP(A58,[1]Sheet!$A:$I,9,0)</f>
        <v>P004589</v>
      </c>
      <c r="J58" s="1"/>
      <c r="K58" s="1">
        <v>389</v>
      </c>
      <c r="L58" s="1">
        <f t="shared" si="20"/>
        <v>8</v>
      </c>
      <c r="M58" s="1"/>
      <c r="N58" s="1"/>
      <c r="O58" s="1"/>
      <c r="P58" s="1">
        <f t="shared" si="21"/>
        <v>79.400000000000006</v>
      </c>
      <c r="Q58" s="5">
        <f t="shared" si="28"/>
        <v>541.80000000000018</v>
      </c>
      <c r="R58" s="5">
        <f t="shared" si="13"/>
        <v>504</v>
      </c>
      <c r="S58" s="1">
        <f t="shared" si="23"/>
        <v>16.523929471032744</v>
      </c>
      <c r="T58" s="1">
        <f t="shared" si="24"/>
        <v>10.176322418136019</v>
      </c>
      <c r="U58" s="1">
        <v>70.2</v>
      </c>
      <c r="V58" s="1">
        <v>80</v>
      </c>
      <c r="W58" s="1">
        <v>73.400000000000006</v>
      </c>
      <c r="X58" s="1">
        <v>56.8</v>
      </c>
      <c r="Y58" s="1">
        <v>25.4</v>
      </c>
      <c r="Z58" s="1">
        <v>59</v>
      </c>
      <c r="AA58" s="1"/>
      <c r="AB58" s="1">
        <f t="shared" si="14"/>
        <v>162.54000000000005</v>
      </c>
      <c r="AC58" s="7">
        <f>VLOOKUP(A58,[1]Sheet!$A:$AJ,32,0)</f>
        <v>12</v>
      </c>
      <c r="AD58" s="9">
        <f t="shared" si="15"/>
        <v>42</v>
      </c>
      <c r="AE58" s="1">
        <f t="shared" si="16"/>
        <v>151.19999999999999</v>
      </c>
      <c r="AF58" s="1">
        <f>VLOOKUP(A58,[1]Sheet!$A:$AJ,35,0)</f>
        <v>14</v>
      </c>
      <c r="AG58" s="1">
        <f>VLOOKUP(A58,[1]Sheet!$A:$AJ,36,0)</f>
        <v>70</v>
      </c>
      <c r="AH58" s="9">
        <f t="shared" si="17"/>
        <v>0.6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98</v>
      </c>
      <c r="B59" s="1" t="s">
        <v>38</v>
      </c>
      <c r="C59" s="1">
        <v>62</v>
      </c>
      <c r="D59" s="1"/>
      <c r="E59" s="1">
        <v>49</v>
      </c>
      <c r="F59" s="1">
        <v>13</v>
      </c>
      <c r="G59" s="7">
        <f>VLOOKUP(A59,[1]Sheet!$A:$I,7,0)</f>
        <v>0.3</v>
      </c>
      <c r="H59" s="1">
        <f>VLOOKUP(A59,[1]Sheet!$A:$I,8,0)</f>
        <v>180</v>
      </c>
      <c r="I59" s="1" t="str">
        <f>VLOOKUP(A59,[1]Sheet!$A:$I,9,0)</f>
        <v>P004113</v>
      </c>
      <c r="J59" s="1"/>
      <c r="K59" s="1">
        <v>43</v>
      </c>
      <c r="L59" s="1">
        <f t="shared" si="20"/>
        <v>6</v>
      </c>
      <c r="M59" s="1"/>
      <c r="N59" s="1"/>
      <c r="O59" s="1"/>
      <c r="P59" s="1">
        <f t="shared" si="21"/>
        <v>9.8000000000000007</v>
      </c>
      <c r="Q59" s="5">
        <f t="shared" si="28"/>
        <v>153.60000000000002</v>
      </c>
      <c r="R59" s="5">
        <f t="shared" si="13"/>
        <v>196</v>
      </c>
      <c r="S59" s="1">
        <f t="shared" si="23"/>
        <v>21.326530612244895</v>
      </c>
      <c r="T59" s="1">
        <f t="shared" si="24"/>
        <v>1.3265306122448979</v>
      </c>
      <c r="U59" s="1">
        <v>6.8</v>
      </c>
      <c r="V59" s="1">
        <v>10.199999999999999</v>
      </c>
      <c r="W59" s="1">
        <v>9.8000000000000007</v>
      </c>
      <c r="X59" s="1">
        <v>7.6</v>
      </c>
      <c r="Y59" s="1">
        <v>10.8</v>
      </c>
      <c r="Z59" s="1">
        <v>10.6</v>
      </c>
      <c r="AA59" s="1"/>
      <c r="AB59" s="1">
        <f t="shared" si="14"/>
        <v>46.080000000000005</v>
      </c>
      <c r="AC59" s="7">
        <f>VLOOKUP(A59,[1]Sheet!$A:$AJ,32,0)</f>
        <v>14</v>
      </c>
      <c r="AD59" s="9">
        <f t="shared" si="15"/>
        <v>14</v>
      </c>
      <c r="AE59" s="1">
        <f t="shared" si="16"/>
        <v>58.8</v>
      </c>
      <c r="AF59" s="1">
        <f>VLOOKUP(A59,[1]Sheet!$A:$AJ,35,0)</f>
        <v>14</v>
      </c>
      <c r="AG59" s="1">
        <f>VLOOKUP(A59,[1]Sheet!$A:$AJ,36,0)</f>
        <v>70</v>
      </c>
      <c r="AH59" s="9">
        <f t="shared" si="17"/>
        <v>0.2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99</v>
      </c>
      <c r="B60" s="1" t="s">
        <v>38</v>
      </c>
      <c r="C60" s="1">
        <v>344</v>
      </c>
      <c r="D60" s="1">
        <v>2199</v>
      </c>
      <c r="E60" s="1">
        <v>455</v>
      </c>
      <c r="F60" s="1">
        <v>2079</v>
      </c>
      <c r="G60" s="7">
        <f>VLOOKUP(A60,[1]Sheet!$A:$I,7,0)</f>
        <v>0.25</v>
      </c>
      <c r="H60" s="1">
        <f>VLOOKUP(A60,[1]Sheet!$A:$I,8,0)</f>
        <v>180</v>
      </c>
      <c r="I60" s="1" t="str">
        <f>VLOOKUP(A60,[1]Sheet!$A:$I,9,0)</f>
        <v>P004486</v>
      </c>
      <c r="J60" s="1"/>
      <c r="K60" s="1">
        <v>452</v>
      </c>
      <c r="L60" s="1">
        <f t="shared" si="20"/>
        <v>3</v>
      </c>
      <c r="M60" s="1"/>
      <c r="N60" s="1"/>
      <c r="O60" s="1"/>
      <c r="P60" s="1">
        <f t="shared" si="21"/>
        <v>91</v>
      </c>
      <c r="Q60" s="5"/>
      <c r="R60" s="5">
        <f t="shared" si="13"/>
        <v>0</v>
      </c>
      <c r="S60" s="1">
        <f t="shared" si="23"/>
        <v>22.846153846153847</v>
      </c>
      <c r="T60" s="1">
        <f t="shared" si="24"/>
        <v>22.846153846153847</v>
      </c>
      <c r="U60" s="1">
        <v>106.8</v>
      </c>
      <c r="V60" s="1">
        <v>147</v>
      </c>
      <c r="W60" s="1">
        <v>129.6</v>
      </c>
      <c r="X60" s="1">
        <v>22.2</v>
      </c>
      <c r="Y60" s="1">
        <v>0</v>
      </c>
      <c r="Z60" s="1">
        <v>54</v>
      </c>
      <c r="AA60" s="1"/>
      <c r="AB60" s="1">
        <f t="shared" si="14"/>
        <v>0</v>
      </c>
      <c r="AC60" s="7">
        <f>VLOOKUP(A60,[1]Sheet!$A:$AJ,32,0)</f>
        <v>12</v>
      </c>
      <c r="AD60" s="9">
        <f t="shared" si="15"/>
        <v>0</v>
      </c>
      <c r="AE60" s="1">
        <f t="shared" si="16"/>
        <v>0</v>
      </c>
      <c r="AF60" s="1">
        <f>VLOOKUP(A60,[1]Sheet!$A:$AJ,35,0)</f>
        <v>14</v>
      </c>
      <c r="AG60" s="1">
        <f>VLOOKUP(A60,[1]Sheet!$A:$AJ,36,0)</f>
        <v>70</v>
      </c>
      <c r="AH60" s="9">
        <f t="shared" si="17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44</v>
      </c>
      <c r="B61" s="1" t="s">
        <v>38</v>
      </c>
      <c r="C61" s="1">
        <v>651</v>
      </c>
      <c r="D61" s="1">
        <v>1016</v>
      </c>
      <c r="E61" s="18">
        <f>620+E8</f>
        <v>640</v>
      </c>
      <c r="F61" s="18">
        <f>1033+F8</f>
        <v>1098</v>
      </c>
      <c r="G61" s="7">
        <f>VLOOKUP(A61,[1]Sheet!$A:$I,7,0)</f>
        <v>0.25</v>
      </c>
      <c r="H61" s="1">
        <f>VLOOKUP(A61,[1]Sheet!$A:$I,8,0)</f>
        <v>180</v>
      </c>
      <c r="I61" s="1" t="str">
        <f>VLOOKUP(A61,[1]Sheet!$A:$I,9,0)</f>
        <v>P004484</v>
      </c>
      <c r="J61" s="1"/>
      <c r="K61" s="1">
        <v>624</v>
      </c>
      <c r="L61" s="1">
        <f t="shared" si="20"/>
        <v>16</v>
      </c>
      <c r="M61" s="1"/>
      <c r="N61" s="1"/>
      <c r="O61" s="1"/>
      <c r="P61" s="1">
        <f t="shared" si="21"/>
        <v>128</v>
      </c>
      <c r="Q61" s="5">
        <f>$Q$1*P61-F61</f>
        <v>1078</v>
      </c>
      <c r="R61" s="5">
        <f t="shared" si="13"/>
        <v>1008</v>
      </c>
      <c r="S61" s="1">
        <f t="shared" si="23"/>
        <v>16.453125</v>
      </c>
      <c r="T61" s="1">
        <f t="shared" si="24"/>
        <v>8.578125</v>
      </c>
      <c r="U61" s="1">
        <v>125.8</v>
      </c>
      <c r="V61" s="1">
        <v>120.8</v>
      </c>
      <c r="W61" s="1">
        <v>105.6</v>
      </c>
      <c r="X61" s="1">
        <v>12</v>
      </c>
      <c r="Y61" s="1">
        <v>0</v>
      </c>
      <c r="Z61" s="1">
        <v>55</v>
      </c>
      <c r="AA61" s="1"/>
      <c r="AB61" s="1">
        <f t="shared" si="14"/>
        <v>269.5</v>
      </c>
      <c r="AC61" s="7">
        <f>VLOOKUP(A61,[1]Sheet!$A:$AJ,32,0)</f>
        <v>12</v>
      </c>
      <c r="AD61" s="9">
        <f t="shared" si="15"/>
        <v>84</v>
      </c>
      <c r="AE61" s="1">
        <f t="shared" si="16"/>
        <v>252</v>
      </c>
      <c r="AF61" s="1">
        <f>VLOOKUP(A61,[1]Sheet!$A:$AJ,35,0)</f>
        <v>14</v>
      </c>
      <c r="AG61" s="1">
        <f>VLOOKUP(A61,[1]Sheet!$A:$AJ,36,0)</f>
        <v>70</v>
      </c>
      <c r="AH61" s="9">
        <f t="shared" si="17"/>
        <v>1.2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100</v>
      </c>
      <c r="B62" s="1" t="s">
        <v>38</v>
      </c>
      <c r="C62" s="1">
        <v>112</v>
      </c>
      <c r="D62" s="1">
        <v>340</v>
      </c>
      <c r="E62" s="1">
        <v>79</v>
      </c>
      <c r="F62" s="1">
        <v>369</v>
      </c>
      <c r="G62" s="7">
        <f>VLOOKUP(A62,[1]Sheet!$A:$I,7,0)</f>
        <v>0.2</v>
      </c>
      <c r="H62" s="1">
        <f>VLOOKUP(A62,[1]Sheet!$A:$I,8,0)</f>
        <v>365</v>
      </c>
      <c r="I62" s="1" t="str">
        <f>VLOOKUP(A62,[1]Sheet!$A:$I,9,0)</f>
        <v>P004818</v>
      </c>
      <c r="J62" s="1"/>
      <c r="K62" s="1">
        <v>83</v>
      </c>
      <c r="L62" s="1">
        <f t="shared" si="20"/>
        <v>-4</v>
      </c>
      <c r="M62" s="1"/>
      <c r="N62" s="1"/>
      <c r="O62" s="1"/>
      <c r="P62" s="1">
        <f t="shared" si="21"/>
        <v>15.8</v>
      </c>
      <c r="Q62" s="5"/>
      <c r="R62" s="5">
        <f t="shared" si="13"/>
        <v>0</v>
      </c>
      <c r="S62" s="1">
        <f t="shared" si="23"/>
        <v>23.354430379746834</v>
      </c>
      <c r="T62" s="1">
        <f t="shared" si="24"/>
        <v>23.354430379746834</v>
      </c>
      <c r="U62" s="1">
        <v>17</v>
      </c>
      <c r="V62" s="1">
        <v>32.200000000000003</v>
      </c>
      <c r="W62" s="1">
        <v>30</v>
      </c>
      <c r="X62" s="1">
        <v>8.6</v>
      </c>
      <c r="Y62" s="1">
        <v>0</v>
      </c>
      <c r="Z62" s="1">
        <v>20</v>
      </c>
      <c r="AA62" s="1"/>
      <c r="AB62" s="1">
        <f t="shared" si="14"/>
        <v>0</v>
      </c>
      <c r="AC62" s="7">
        <f>VLOOKUP(A62,[1]Sheet!$A:$AJ,32,0)</f>
        <v>6</v>
      </c>
      <c r="AD62" s="9">
        <f t="shared" si="15"/>
        <v>0</v>
      </c>
      <c r="AE62" s="1">
        <f t="shared" si="16"/>
        <v>0</v>
      </c>
      <c r="AF62" s="1">
        <f>VLOOKUP(A62,[1]Sheet!$A:$AJ,35,0)</f>
        <v>14</v>
      </c>
      <c r="AG62" s="1">
        <f>VLOOKUP(A62,[1]Sheet!$A:$AJ,36,0)</f>
        <v>140</v>
      </c>
      <c r="AH62" s="9">
        <f t="shared" si="17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101</v>
      </c>
      <c r="B63" s="1" t="s">
        <v>38</v>
      </c>
      <c r="C63" s="1">
        <v>629</v>
      </c>
      <c r="D63" s="1">
        <v>340</v>
      </c>
      <c r="E63" s="1">
        <v>274</v>
      </c>
      <c r="F63" s="1">
        <v>691</v>
      </c>
      <c r="G63" s="7">
        <f>VLOOKUP(A63,[1]Sheet!$A:$I,7,0)</f>
        <v>0.23</v>
      </c>
      <c r="H63" s="1">
        <f>VLOOKUP(A63,[1]Sheet!$A:$I,8,0)</f>
        <v>180</v>
      </c>
      <c r="I63" s="1" t="str">
        <f>VLOOKUP(A63,[1]Sheet!$A:$I,9,0)</f>
        <v>P005180</v>
      </c>
      <c r="J63" s="1"/>
      <c r="K63" s="1">
        <v>276</v>
      </c>
      <c r="L63" s="1">
        <f t="shared" si="20"/>
        <v>-2</v>
      </c>
      <c r="M63" s="1"/>
      <c r="N63" s="1"/>
      <c r="O63" s="1"/>
      <c r="P63" s="1">
        <f t="shared" si="21"/>
        <v>54.8</v>
      </c>
      <c r="Q63" s="5">
        <f t="shared" ref="Q63:Q64" si="29">$Q$1*P63-F63</f>
        <v>240.59999999999991</v>
      </c>
      <c r="R63" s="5">
        <f t="shared" si="13"/>
        <v>252</v>
      </c>
      <c r="S63" s="1">
        <f t="shared" si="23"/>
        <v>17.208029197080293</v>
      </c>
      <c r="T63" s="1">
        <f t="shared" si="24"/>
        <v>12.609489051094892</v>
      </c>
      <c r="U63" s="1">
        <v>24.8</v>
      </c>
      <c r="V63" s="1">
        <v>36</v>
      </c>
      <c r="W63" s="1">
        <v>77.8</v>
      </c>
      <c r="X63" s="1">
        <v>7.6</v>
      </c>
      <c r="Y63" s="1">
        <v>0</v>
      </c>
      <c r="Z63" s="1">
        <v>40.6</v>
      </c>
      <c r="AA63" s="1"/>
      <c r="AB63" s="1">
        <f t="shared" si="14"/>
        <v>55.33799999999998</v>
      </c>
      <c r="AC63" s="7">
        <f>VLOOKUP(A63,[1]Sheet!$A:$AJ,32,0)</f>
        <v>6</v>
      </c>
      <c r="AD63" s="9">
        <f t="shared" si="15"/>
        <v>42</v>
      </c>
      <c r="AE63" s="1">
        <f t="shared" si="16"/>
        <v>57.96</v>
      </c>
      <c r="AF63" s="1">
        <f>VLOOKUP(A63,[1]Sheet!$A:$AJ,35,0)</f>
        <v>14</v>
      </c>
      <c r="AG63" s="1">
        <f>VLOOKUP(A63,[1]Sheet!$A:$AJ,36,0)</f>
        <v>140</v>
      </c>
      <c r="AH63" s="9">
        <f t="shared" si="17"/>
        <v>0.3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102</v>
      </c>
      <c r="B64" s="1" t="s">
        <v>57</v>
      </c>
      <c r="C64" s="1">
        <v>315.89999999999998</v>
      </c>
      <c r="D64" s="1">
        <v>5.4</v>
      </c>
      <c r="E64" s="1">
        <v>119.3</v>
      </c>
      <c r="F64" s="1">
        <v>196.6</v>
      </c>
      <c r="G64" s="7">
        <f>VLOOKUP(A64,[1]Sheet!$A:$I,7,0)</f>
        <v>1</v>
      </c>
      <c r="H64" s="1">
        <f>VLOOKUP(A64,[1]Sheet!$A:$I,8,0)</f>
        <v>180</v>
      </c>
      <c r="I64" s="1" t="str">
        <f>VLOOKUP(A64,[1]Sheet!$A:$I,9,0)</f>
        <v>P003478</v>
      </c>
      <c r="J64" s="1"/>
      <c r="K64" s="1">
        <v>122.2</v>
      </c>
      <c r="L64" s="1">
        <f t="shared" si="20"/>
        <v>-2.9000000000000057</v>
      </c>
      <c r="M64" s="1"/>
      <c r="N64" s="1"/>
      <c r="O64" s="1"/>
      <c r="P64" s="1">
        <f t="shared" si="21"/>
        <v>23.86</v>
      </c>
      <c r="Q64" s="5">
        <f t="shared" si="29"/>
        <v>209.02</v>
      </c>
      <c r="R64" s="5">
        <f t="shared" si="13"/>
        <v>226.8</v>
      </c>
      <c r="S64" s="1">
        <f t="shared" si="23"/>
        <v>17.745180217937971</v>
      </c>
      <c r="T64" s="1">
        <f t="shared" si="24"/>
        <v>8.2397317686504614</v>
      </c>
      <c r="U64" s="1">
        <v>12.42</v>
      </c>
      <c r="V64" s="1">
        <v>0.54</v>
      </c>
      <c r="W64" s="1">
        <v>11.34</v>
      </c>
      <c r="X64" s="1">
        <v>0</v>
      </c>
      <c r="Y64" s="1">
        <v>0</v>
      </c>
      <c r="Z64" s="1">
        <v>0</v>
      </c>
      <c r="AA64" s="1"/>
      <c r="AB64" s="1">
        <f t="shared" si="14"/>
        <v>209.02</v>
      </c>
      <c r="AC64" s="7">
        <f>VLOOKUP(A64,[1]Sheet!$A:$AJ,32,0)</f>
        <v>2.7</v>
      </c>
      <c r="AD64" s="9">
        <f t="shared" si="15"/>
        <v>84</v>
      </c>
      <c r="AE64" s="1">
        <f t="shared" si="16"/>
        <v>226.8</v>
      </c>
      <c r="AF64" s="1">
        <f>VLOOKUP(A64,[1]Sheet!$A:$AJ,35,0)</f>
        <v>14</v>
      </c>
      <c r="AG64" s="1">
        <f>VLOOKUP(A64,[1]Sheet!$A:$AJ,36,0)</f>
        <v>126</v>
      </c>
      <c r="AH64" s="9">
        <f t="shared" si="17"/>
        <v>0.66666666666666663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103</v>
      </c>
      <c r="B65" s="1" t="s">
        <v>57</v>
      </c>
      <c r="C65" s="1">
        <v>12</v>
      </c>
      <c r="D65" s="1"/>
      <c r="E65" s="18">
        <f>35+E66</f>
        <v>224.95</v>
      </c>
      <c r="F65" s="18">
        <f>-23+F66</f>
        <v>1216</v>
      </c>
      <c r="G65" s="7">
        <f>VLOOKUP(A65,[1]Sheet!$A:$I,7,0)</f>
        <v>1</v>
      </c>
      <c r="H65" s="1"/>
      <c r="I65" s="1" t="str">
        <f>VLOOKUP(A65,[1]Sheet!$A:$I,9,0)</f>
        <v>P003476</v>
      </c>
      <c r="J65" s="1"/>
      <c r="K65" s="1">
        <v>35</v>
      </c>
      <c r="L65" s="1">
        <f t="shared" si="20"/>
        <v>189.95</v>
      </c>
      <c r="M65" s="1"/>
      <c r="N65" s="1"/>
      <c r="O65" s="1"/>
      <c r="P65" s="1">
        <f t="shared" si="21"/>
        <v>44.989999999999995</v>
      </c>
      <c r="Q65" s="5"/>
      <c r="R65" s="5">
        <f t="shared" si="13"/>
        <v>0</v>
      </c>
      <c r="S65" s="1">
        <f t="shared" si="23"/>
        <v>27.028228495221164</v>
      </c>
      <c r="T65" s="1">
        <f t="shared" si="24"/>
        <v>27.028228495221164</v>
      </c>
      <c r="U65" s="1">
        <v>108</v>
      </c>
      <c r="V65" s="1">
        <v>85.6</v>
      </c>
      <c r="W65" s="1">
        <v>12</v>
      </c>
      <c r="X65" s="1">
        <v>28</v>
      </c>
      <c r="Y65" s="1">
        <v>0</v>
      </c>
      <c r="Z65" s="1">
        <v>0</v>
      </c>
      <c r="AA65" s="19" t="s">
        <v>62</v>
      </c>
      <c r="AB65" s="1">
        <f t="shared" si="14"/>
        <v>0</v>
      </c>
      <c r="AC65" s="7">
        <f>VLOOKUP(A65,[1]Sheet!$A:$AJ,32,0)</f>
        <v>5</v>
      </c>
      <c r="AD65" s="9">
        <f t="shared" si="15"/>
        <v>0</v>
      </c>
      <c r="AE65" s="1">
        <f t="shared" si="16"/>
        <v>0</v>
      </c>
      <c r="AF65" s="1">
        <f>VLOOKUP(A65,[1]Sheet!$A:$AJ,35,0)</f>
        <v>12</v>
      </c>
      <c r="AG65" s="1">
        <f>VLOOKUP(A65,[1]Sheet!$A:$AJ,36,0)</f>
        <v>84</v>
      </c>
      <c r="AH65" s="9">
        <f t="shared" si="17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4" t="s">
        <v>104</v>
      </c>
      <c r="B66" s="14" t="s">
        <v>57</v>
      </c>
      <c r="C66" s="14">
        <v>45</v>
      </c>
      <c r="D66" s="14">
        <v>1390</v>
      </c>
      <c r="E66" s="18">
        <v>189.95</v>
      </c>
      <c r="F66" s="18">
        <v>1239</v>
      </c>
      <c r="G66" s="15">
        <v>0</v>
      </c>
      <c r="H66" s="14"/>
      <c r="I66" s="14" t="s">
        <v>59</v>
      </c>
      <c r="J66" s="14" t="s">
        <v>103</v>
      </c>
      <c r="K66" s="14">
        <v>196</v>
      </c>
      <c r="L66" s="14">
        <f t="shared" si="20"/>
        <v>-6.0500000000000114</v>
      </c>
      <c r="M66" s="14"/>
      <c r="N66" s="14"/>
      <c r="O66" s="14"/>
      <c r="P66" s="14">
        <f t="shared" si="21"/>
        <v>37.989999999999995</v>
      </c>
      <c r="Q66" s="16"/>
      <c r="R66" s="16"/>
      <c r="S66" s="14">
        <f t="shared" si="23"/>
        <v>32.613845748881289</v>
      </c>
      <c r="T66" s="14">
        <f t="shared" si="24"/>
        <v>32.613845748881289</v>
      </c>
      <c r="U66" s="14">
        <v>39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/>
      <c r="AB66" s="14"/>
      <c r="AC66" s="15"/>
      <c r="AD66" s="17"/>
      <c r="AE66" s="14"/>
      <c r="AF66" s="14"/>
      <c r="AG66" s="14"/>
      <c r="AH66" s="17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106</v>
      </c>
      <c r="B67" s="1" t="s">
        <v>38</v>
      </c>
      <c r="C67" s="1"/>
      <c r="D67" s="1"/>
      <c r="E67" s="1"/>
      <c r="F67" s="1"/>
      <c r="G67" s="7">
        <v>0.8</v>
      </c>
      <c r="H67" s="1"/>
      <c r="I67" s="1" t="s">
        <v>105</v>
      </c>
      <c r="J67" s="1"/>
      <c r="K67" s="1"/>
      <c r="L67" s="1"/>
      <c r="M67" s="1"/>
      <c r="N67" s="1"/>
      <c r="O67" s="1"/>
      <c r="P67" s="1"/>
      <c r="Q67" s="5">
        <v>250</v>
      </c>
      <c r="R67" s="5">
        <f t="shared" ref="R67" si="30">AC67*AD67</f>
        <v>288</v>
      </c>
      <c r="S67" s="1"/>
      <c r="T67" s="1"/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/>
      <c r="AB67" s="1">
        <f t="shared" ref="AB67" si="31">G67*Q67</f>
        <v>200</v>
      </c>
      <c r="AC67" s="7">
        <v>8</v>
      </c>
      <c r="AD67" s="9">
        <f t="shared" ref="AD67" si="32">MROUND(Q67, AC67*AF67)/AC67</f>
        <v>36</v>
      </c>
      <c r="AE67" s="1">
        <f t="shared" ref="AE67" si="33">AD67*AC67*G67</f>
        <v>230.4</v>
      </c>
      <c r="AF67" s="1">
        <v>12</v>
      </c>
      <c r="AG67" s="1">
        <v>84</v>
      </c>
      <c r="AH67" s="9">
        <f t="shared" ref="AH67" si="34">AD67/AG67</f>
        <v>0.42857142857142855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7"/>
      <c r="AD68" s="9"/>
      <c r="AE68" s="1"/>
      <c r="AF68" s="1"/>
      <c r="AG68" s="1"/>
      <c r="AH68" s="9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7"/>
      <c r="AD69" s="9"/>
      <c r="AE69" s="1"/>
      <c r="AF69" s="1"/>
      <c r="AG69" s="1"/>
      <c r="AH69" s="9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7"/>
      <c r="AD70" s="9"/>
      <c r="AE70" s="1"/>
      <c r="AF70" s="1"/>
      <c r="AG70" s="1"/>
      <c r="AH70" s="9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7"/>
      <c r="AD71" s="9"/>
      <c r="AE71" s="1"/>
      <c r="AF71" s="1"/>
      <c r="AG71" s="1"/>
      <c r="AH71" s="9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7"/>
      <c r="AD72" s="9"/>
      <c r="AE72" s="1"/>
      <c r="AF72" s="1"/>
      <c r="AG72" s="1"/>
      <c r="AH72" s="9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7"/>
      <c r="AD73" s="9"/>
      <c r="AE73" s="1"/>
      <c r="AF73" s="1"/>
      <c r="AG73" s="1"/>
      <c r="AH73" s="9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7"/>
      <c r="AD74" s="9"/>
      <c r="AE74" s="1"/>
      <c r="AF74" s="1"/>
      <c r="AG74" s="1"/>
      <c r="AH74" s="9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7"/>
      <c r="AD75" s="9"/>
      <c r="AE75" s="1"/>
      <c r="AF75" s="1"/>
      <c r="AG75" s="1"/>
      <c r="AH75" s="9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7"/>
      <c r="AD76" s="9"/>
      <c r="AE76" s="1"/>
      <c r="AF76" s="1"/>
      <c r="AG76" s="1"/>
      <c r="AH76" s="9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7"/>
      <c r="AD77" s="9"/>
      <c r="AE77" s="1"/>
      <c r="AF77" s="1"/>
      <c r="AG77" s="1"/>
      <c r="AH77" s="9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7"/>
      <c r="AD78" s="9"/>
      <c r="AE78" s="1"/>
      <c r="AF78" s="1"/>
      <c r="AG78" s="1"/>
      <c r="AH78" s="9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7"/>
      <c r="AD79" s="9"/>
      <c r="AE79" s="1"/>
      <c r="AF79" s="1"/>
      <c r="AG79" s="1"/>
      <c r="AH79" s="9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7"/>
      <c r="AD80" s="9"/>
      <c r="AE80" s="1"/>
      <c r="AF80" s="1"/>
      <c r="AG80" s="1"/>
      <c r="AH80" s="9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7"/>
      <c r="AD81" s="9"/>
      <c r="AE81" s="1"/>
      <c r="AF81" s="1"/>
      <c r="AG81" s="1"/>
      <c r="AH81" s="9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7"/>
      <c r="AD82" s="9"/>
      <c r="AE82" s="1"/>
      <c r="AF82" s="1"/>
      <c r="AG82" s="1"/>
      <c r="AH82" s="9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7"/>
      <c r="AD83" s="9"/>
      <c r="AE83" s="1"/>
      <c r="AF83" s="1"/>
      <c r="AG83" s="1"/>
      <c r="AH83" s="9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7"/>
      <c r="AD84" s="9"/>
      <c r="AE84" s="1"/>
      <c r="AF84" s="1"/>
      <c r="AG84" s="1"/>
      <c r="AH84" s="9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7"/>
      <c r="AD85" s="9"/>
      <c r="AE85" s="1"/>
      <c r="AF85" s="1"/>
      <c r="AG85" s="1"/>
      <c r="AH85" s="9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7"/>
      <c r="AD86" s="9"/>
      <c r="AE86" s="1"/>
      <c r="AF86" s="1"/>
      <c r="AG86" s="1"/>
      <c r="AH86" s="9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7"/>
      <c r="AD87" s="9"/>
      <c r="AE87" s="1"/>
      <c r="AF87" s="1"/>
      <c r="AG87" s="1"/>
      <c r="AH87" s="9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7"/>
      <c r="AD88" s="9"/>
      <c r="AE88" s="1"/>
      <c r="AF88" s="1"/>
      <c r="AG88" s="1"/>
      <c r="AH88" s="9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7"/>
      <c r="AD89" s="9"/>
      <c r="AE89" s="1"/>
      <c r="AF89" s="1"/>
      <c r="AG89" s="1"/>
      <c r="AH89" s="9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7"/>
      <c r="AD90" s="9"/>
      <c r="AE90" s="1"/>
      <c r="AF90" s="1"/>
      <c r="AG90" s="1"/>
      <c r="AH90" s="9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7"/>
      <c r="AD91" s="9"/>
      <c r="AE91" s="1"/>
      <c r="AF91" s="1"/>
      <c r="AG91" s="1"/>
      <c r="AH91" s="9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7"/>
      <c r="AD92" s="9"/>
      <c r="AE92" s="1"/>
      <c r="AF92" s="1"/>
      <c r="AG92" s="1"/>
      <c r="AH92" s="9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7"/>
      <c r="AD93" s="9"/>
      <c r="AE93" s="1"/>
      <c r="AF93" s="1"/>
      <c r="AG93" s="1"/>
      <c r="AH93" s="9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7"/>
      <c r="AD94" s="9"/>
      <c r="AE94" s="1"/>
      <c r="AF94" s="1"/>
      <c r="AG94" s="1"/>
      <c r="AH94" s="9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7"/>
      <c r="AD95" s="9"/>
      <c r="AE95" s="1"/>
      <c r="AF95" s="1"/>
      <c r="AG95" s="1"/>
      <c r="AH95" s="9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7"/>
      <c r="AD96" s="9"/>
      <c r="AE96" s="1"/>
      <c r="AF96" s="1"/>
      <c r="AG96" s="1"/>
      <c r="AH96" s="9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7"/>
      <c r="AD97" s="9"/>
      <c r="AE97" s="1"/>
      <c r="AF97" s="1"/>
      <c r="AG97" s="1"/>
      <c r="AH97" s="9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7"/>
      <c r="AD98" s="9"/>
      <c r="AE98" s="1"/>
      <c r="AF98" s="1"/>
      <c r="AG98" s="1"/>
      <c r="AH98" s="9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7"/>
      <c r="AD99" s="9"/>
      <c r="AE99" s="1"/>
      <c r="AF99" s="1"/>
      <c r="AG99" s="1"/>
      <c r="AH99" s="9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7"/>
      <c r="AD100" s="9"/>
      <c r="AE100" s="1"/>
      <c r="AF100" s="1"/>
      <c r="AG100" s="1"/>
      <c r="AH100" s="9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7"/>
      <c r="AD101" s="9"/>
      <c r="AE101" s="1"/>
      <c r="AF101" s="1"/>
      <c r="AG101" s="1"/>
      <c r="AH101" s="9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7"/>
      <c r="AD102" s="9"/>
      <c r="AE102" s="1"/>
      <c r="AF102" s="1"/>
      <c r="AG102" s="1"/>
      <c r="AH102" s="9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7"/>
      <c r="AD103" s="9"/>
      <c r="AE103" s="1"/>
      <c r="AF103" s="1"/>
      <c r="AG103" s="1"/>
      <c r="AH103" s="9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7"/>
      <c r="AD104" s="9"/>
      <c r="AE104" s="1"/>
      <c r="AF104" s="1"/>
      <c r="AG104" s="1"/>
      <c r="AH104" s="9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7"/>
      <c r="AD105" s="9"/>
      <c r="AE105" s="1"/>
      <c r="AF105" s="1"/>
      <c r="AG105" s="1"/>
      <c r="AH105" s="9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7"/>
      <c r="AD106" s="9"/>
      <c r="AE106" s="1"/>
      <c r="AF106" s="1"/>
      <c r="AG106" s="1"/>
      <c r="AH106" s="9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7"/>
      <c r="AD107" s="9"/>
      <c r="AE107" s="1"/>
      <c r="AF107" s="1"/>
      <c r="AG107" s="1"/>
      <c r="AH107" s="9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7"/>
      <c r="AD108" s="9"/>
      <c r="AE108" s="1"/>
      <c r="AF108" s="1"/>
      <c r="AG108" s="1"/>
      <c r="AH108" s="9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7"/>
      <c r="AD109" s="9"/>
      <c r="AE109" s="1"/>
      <c r="AF109" s="1"/>
      <c r="AG109" s="1"/>
      <c r="AH109" s="9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7"/>
      <c r="AD110" s="9"/>
      <c r="AE110" s="1"/>
      <c r="AF110" s="1"/>
      <c r="AG110" s="1"/>
      <c r="AH110" s="9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7"/>
      <c r="AD111" s="9"/>
      <c r="AE111" s="1"/>
      <c r="AF111" s="1"/>
      <c r="AG111" s="1"/>
      <c r="AH111" s="9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7"/>
      <c r="AD112" s="9"/>
      <c r="AE112" s="1"/>
      <c r="AF112" s="1"/>
      <c r="AG112" s="1"/>
      <c r="AH112" s="9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7"/>
      <c r="AD113" s="9"/>
      <c r="AE113" s="1"/>
      <c r="AF113" s="1"/>
      <c r="AG113" s="1"/>
      <c r="AH113" s="9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7"/>
      <c r="AD114" s="9"/>
      <c r="AE114" s="1"/>
      <c r="AF114" s="1"/>
      <c r="AG114" s="1"/>
      <c r="AH114" s="9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7"/>
      <c r="AD115" s="9"/>
      <c r="AE115" s="1"/>
      <c r="AF115" s="1"/>
      <c r="AG115" s="1"/>
      <c r="AH115" s="9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7"/>
      <c r="AD116" s="9"/>
      <c r="AE116" s="1"/>
      <c r="AF116" s="1"/>
      <c r="AG116" s="1"/>
      <c r="AH116" s="9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7"/>
      <c r="AD117" s="9"/>
      <c r="AE117" s="1"/>
      <c r="AF117" s="1"/>
      <c r="AG117" s="1"/>
      <c r="AH117" s="9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7"/>
      <c r="AD118" s="9"/>
      <c r="AE118" s="1"/>
      <c r="AF118" s="1"/>
      <c r="AG118" s="1"/>
      <c r="AH118" s="9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7"/>
      <c r="AD119" s="9"/>
      <c r="AE119" s="1"/>
      <c r="AF119" s="1"/>
      <c r="AG119" s="1"/>
      <c r="AH119" s="9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7"/>
      <c r="AD120" s="9"/>
      <c r="AE120" s="1"/>
      <c r="AF120" s="1"/>
      <c r="AG120" s="1"/>
      <c r="AH120" s="9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7"/>
      <c r="AD121" s="9"/>
      <c r="AE121" s="1"/>
      <c r="AF121" s="1"/>
      <c r="AG121" s="1"/>
      <c r="AH121" s="9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7"/>
      <c r="AD122" s="9"/>
      <c r="AE122" s="1"/>
      <c r="AF122" s="1"/>
      <c r="AG122" s="1"/>
      <c r="AH122" s="9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7"/>
      <c r="AD123" s="9"/>
      <c r="AE123" s="1"/>
      <c r="AF123" s="1"/>
      <c r="AG123" s="1"/>
      <c r="AH123" s="9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7"/>
      <c r="AD124" s="9"/>
      <c r="AE124" s="1"/>
      <c r="AF124" s="1"/>
      <c r="AG124" s="1"/>
      <c r="AH124" s="9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7"/>
      <c r="AD125" s="9"/>
      <c r="AE125" s="1"/>
      <c r="AF125" s="1"/>
      <c r="AG125" s="1"/>
      <c r="AH125" s="9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7"/>
      <c r="AD126" s="9"/>
      <c r="AE126" s="1"/>
      <c r="AF126" s="1"/>
      <c r="AG126" s="1"/>
      <c r="AH126" s="9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7"/>
      <c r="AD127" s="9"/>
      <c r="AE127" s="1"/>
      <c r="AF127" s="1"/>
      <c r="AG127" s="1"/>
      <c r="AH127" s="9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7"/>
      <c r="AD128" s="9"/>
      <c r="AE128" s="1"/>
      <c r="AF128" s="1"/>
      <c r="AG128" s="1"/>
      <c r="AH128" s="9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7"/>
      <c r="AD129" s="9"/>
      <c r="AE129" s="1"/>
      <c r="AF129" s="1"/>
      <c r="AG129" s="1"/>
      <c r="AH129" s="9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7"/>
      <c r="AD130" s="9"/>
      <c r="AE130" s="1"/>
      <c r="AF130" s="1"/>
      <c r="AG130" s="1"/>
      <c r="AH130" s="9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7"/>
      <c r="AD131" s="9"/>
      <c r="AE131" s="1"/>
      <c r="AF131" s="1"/>
      <c r="AG131" s="1"/>
      <c r="AH131" s="9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7"/>
      <c r="AD132" s="9"/>
      <c r="AE132" s="1"/>
      <c r="AF132" s="1"/>
      <c r="AG132" s="1"/>
      <c r="AH132" s="9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7"/>
      <c r="AD133" s="9"/>
      <c r="AE133" s="1"/>
      <c r="AF133" s="1"/>
      <c r="AG133" s="1"/>
      <c r="AH133" s="9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7"/>
      <c r="AD134" s="9"/>
      <c r="AE134" s="1"/>
      <c r="AF134" s="1"/>
      <c r="AG134" s="1"/>
      <c r="AH134" s="9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7"/>
      <c r="AD135" s="9"/>
      <c r="AE135" s="1"/>
      <c r="AF135" s="1"/>
      <c r="AG135" s="1"/>
      <c r="AH135" s="9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7"/>
      <c r="AD136" s="9"/>
      <c r="AE136" s="1"/>
      <c r="AF136" s="1"/>
      <c r="AG136" s="1"/>
      <c r="AH136" s="9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7"/>
      <c r="AD137" s="9"/>
      <c r="AE137" s="1"/>
      <c r="AF137" s="1"/>
      <c r="AG137" s="1"/>
      <c r="AH137" s="9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7"/>
      <c r="AD138" s="9"/>
      <c r="AE138" s="1"/>
      <c r="AF138" s="1"/>
      <c r="AG138" s="1"/>
      <c r="AH138" s="9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7"/>
      <c r="AD139" s="9"/>
      <c r="AE139" s="1"/>
      <c r="AF139" s="1"/>
      <c r="AG139" s="1"/>
      <c r="AH139" s="9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7"/>
      <c r="AD140" s="9"/>
      <c r="AE140" s="1"/>
      <c r="AF140" s="1"/>
      <c r="AG140" s="1"/>
      <c r="AH140" s="9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7"/>
      <c r="AD141" s="9"/>
      <c r="AE141" s="1"/>
      <c r="AF141" s="1"/>
      <c r="AG141" s="1"/>
      <c r="AH141" s="9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7"/>
      <c r="AD142" s="9"/>
      <c r="AE142" s="1"/>
      <c r="AF142" s="1"/>
      <c r="AG142" s="1"/>
      <c r="AH142" s="9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7"/>
      <c r="AD143" s="9"/>
      <c r="AE143" s="1"/>
      <c r="AF143" s="1"/>
      <c r="AG143" s="1"/>
      <c r="AH143" s="9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7"/>
      <c r="AD144" s="9"/>
      <c r="AE144" s="1"/>
      <c r="AF144" s="1"/>
      <c r="AG144" s="1"/>
      <c r="AH144" s="9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7"/>
      <c r="AD145" s="9"/>
      <c r="AE145" s="1"/>
      <c r="AF145" s="1"/>
      <c r="AG145" s="1"/>
      <c r="AH145" s="9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7"/>
      <c r="AD146" s="9"/>
      <c r="AE146" s="1"/>
      <c r="AF146" s="1"/>
      <c r="AG146" s="1"/>
      <c r="AH146" s="9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7"/>
      <c r="AD147" s="9"/>
      <c r="AE147" s="1"/>
      <c r="AF147" s="1"/>
      <c r="AG147" s="1"/>
      <c r="AH147" s="9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7"/>
      <c r="AD148" s="9"/>
      <c r="AE148" s="1"/>
      <c r="AF148" s="1"/>
      <c r="AG148" s="1"/>
      <c r="AH148" s="9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7"/>
      <c r="AD149" s="9"/>
      <c r="AE149" s="1"/>
      <c r="AF149" s="1"/>
      <c r="AG149" s="1"/>
      <c r="AH149" s="9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7"/>
      <c r="AD150" s="9"/>
      <c r="AE150" s="1"/>
      <c r="AF150" s="1"/>
      <c r="AG150" s="1"/>
      <c r="AH150" s="9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"/>
      <c r="AD151" s="9"/>
      <c r="AE151" s="1"/>
      <c r="AF151" s="1"/>
      <c r="AG151" s="1"/>
      <c r="AH151" s="9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"/>
      <c r="AD152" s="9"/>
      <c r="AE152" s="1"/>
      <c r="AF152" s="1"/>
      <c r="AG152" s="1"/>
      <c r="AH152" s="9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7"/>
      <c r="AD153" s="9"/>
      <c r="AE153" s="1"/>
      <c r="AF153" s="1"/>
      <c r="AG153" s="1"/>
      <c r="AH153" s="9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7"/>
      <c r="AD154" s="9"/>
      <c r="AE154" s="1"/>
      <c r="AF154" s="1"/>
      <c r="AG154" s="1"/>
      <c r="AH154" s="9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7"/>
      <c r="AD155" s="9"/>
      <c r="AE155" s="1"/>
      <c r="AF155" s="1"/>
      <c r="AG155" s="1"/>
      <c r="AH155" s="9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7"/>
      <c r="AD156" s="9"/>
      <c r="AE156" s="1"/>
      <c r="AF156" s="1"/>
      <c r="AG156" s="1"/>
      <c r="AH156" s="9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7"/>
      <c r="AD157" s="9"/>
      <c r="AE157" s="1"/>
      <c r="AF157" s="1"/>
      <c r="AG157" s="1"/>
      <c r="AH157" s="9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7"/>
      <c r="AD158" s="9"/>
      <c r="AE158" s="1"/>
      <c r="AF158" s="1"/>
      <c r="AG158" s="1"/>
      <c r="AH158" s="9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7"/>
      <c r="AD159" s="9"/>
      <c r="AE159" s="1"/>
      <c r="AF159" s="1"/>
      <c r="AG159" s="1"/>
      <c r="AH159" s="9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7"/>
      <c r="AD160" s="9"/>
      <c r="AE160" s="1"/>
      <c r="AF160" s="1"/>
      <c r="AG160" s="1"/>
      <c r="AH160" s="9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7"/>
      <c r="AD161" s="9"/>
      <c r="AE161" s="1"/>
      <c r="AF161" s="1"/>
      <c r="AG161" s="1"/>
      <c r="AH161" s="9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7"/>
      <c r="AD162" s="9"/>
      <c r="AE162" s="1"/>
      <c r="AF162" s="1"/>
      <c r="AG162" s="1"/>
      <c r="AH162" s="9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7"/>
      <c r="AD163" s="9"/>
      <c r="AE163" s="1"/>
      <c r="AF163" s="1"/>
      <c r="AG163" s="1"/>
      <c r="AH163" s="9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7"/>
      <c r="AD164" s="9"/>
      <c r="AE164" s="1"/>
      <c r="AF164" s="1"/>
      <c r="AG164" s="1"/>
      <c r="AH164" s="9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7"/>
      <c r="AD165" s="9"/>
      <c r="AE165" s="1"/>
      <c r="AF165" s="1"/>
      <c r="AG165" s="1"/>
      <c r="AH165" s="9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7"/>
      <c r="AD166" s="9"/>
      <c r="AE166" s="1"/>
      <c r="AF166" s="1"/>
      <c r="AG166" s="1"/>
      <c r="AH166" s="9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7"/>
      <c r="AD167" s="9"/>
      <c r="AE167" s="1"/>
      <c r="AF167" s="1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7"/>
      <c r="AD168" s="9"/>
      <c r="AE168" s="1"/>
      <c r="AF168" s="1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7"/>
      <c r="AD169" s="9"/>
      <c r="AE169" s="1"/>
      <c r="AF169" s="1"/>
      <c r="AG169" s="1"/>
      <c r="AH169" s="9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7"/>
      <c r="AD170" s="9"/>
      <c r="AE170" s="1"/>
      <c r="AF170" s="1"/>
      <c r="AG170" s="1"/>
      <c r="AH170" s="9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7"/>
      <c r="AD171" s="9"/>
      <c r="AE171" s="1"/>
      <c r="AF171" s="1"/>
      <c r="AG171" s="1"/>
      <c r="AH171" s="9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7"/>
      <c r="AD172" s="9"/>
      <c r="AE172" s="1"/>
      <c r="AF172" s="1"/>
      <c r="AG172" s="1"/>
      <c r="AH172" s="9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7"/>
      <c r="AD173" s="9"/>
      <c r="AE173" s="1"/>
      <c r="AF173" s="1"/>
      <c r="AG173" s="1"/>
      <c r="AH173" s="9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7"/>
      <c r="AD174" s="9"/>
      <c r="AE174" s="1"/>
      <c r="AF174" s="1"/>
      <c r="AG174" s="1"/>
      <c r="AH174" s="9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7"/>
      <c r="AD175" s="9"/>
      <c r="AE175" s="1"/>
      <c r="AF175" s="1"/>
      <c r="AG175" s="1"/>
      <c r="AH175" s="9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7"/>
      <c r="AD176" s="9"/>
      <c r="AE176" s="1"/>
      <c r="AF176" s="1"/>
      <c r="AG176" s="1"/>
      <c r="AH176" s="9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7"/>
      <c r="AD177" s="9"/>
      <c r="AE177" s="1"/>
      <c r="AF177" s="1"/>
      <c r="AG177" s="1"/>
      <c r="AH177" s="9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7"/>
      <c r="AD178" s="9"/>
      <c r="AE178" s="1"/>
      <c r="AF178" s="1"/>
      <c r="AG178" s="1"/>
      <c r="AH178" s="9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7"/>
      <c r="AD179" s="9"/>
      <c r="AE179" s="1"/>
      <c r="AF179" s="1"/>
      <c r="AG179" s="1"/>
      <c r="AH179" s="9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7"/>
      <c r="AD180" s="9"/>
      <c r="AE180" s="1"/>
      <c r="AF180" s="1"/>
      <c r="AG180" s="1"/>
      <c r="AH180" s="9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7"/>
      <c r="AD181" s="9"/>
      <c r="AE181" s="1"/>
      <c r="AF181" s="1"/>
      <c r="AG181" s="1"/>
      <c r="AH181" s="9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7"/>
      <c r="AD182" s="9"/>
      <c r="AE182" s="1"/>
      <c r="AF182" s="1"/>
      <c r="AG182" s="1"/>
      <c r="AH182" s="9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7"/>
      <c r="AD183" s="9"/>
      <c r="AE183" s="1"/>
      <c r="AF183" s="1"/>
      <c r="AG183" s="1"/>
      <c r="AH183" s="9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7"/>
      <c r="AD184" s="9"/>
      <c r="AE184" s="1"/>
      <c r="AF184" s="1"/>
      <c r="AG184" s="1"/>
      <c r="AH184" s="9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7"/>
      <c r="AD185" s="9"/>
      <c r="AE185" s="1"/>
      <c r="AF185" s="1"/>
      <c r="AG185" s="1"/>
      <c r="AH185" s="9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7"/>
      <c r="AD186" s="9"/>
      <c r="AE186" s="1"/>
      <c r="AF186" s="1"/>
      <c r="AG186" s="1"/>
      <c r="AH186" s="9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7"/>
      <c r="AD187" s="9"/>
      <c r="AE187" s="1"/>
      <c r="AF187" s="1"/>
      <c r="AG187" s="1"/>
      <c r="AH187" s="9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7"/>
      <c r="AD188" s="9"/>
      <c r="AE188" s="1"/>
      <c r="AF188" s="1"/>
      <c r="AG188" s="1"/>
      <c r="AH188" s="9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7"/>
      <c r="AD189" s="9"/>
      <c r="AE189" s="1"/>
      <c r="AF189" s="1"/>
      <c r="AG189" s="1"/>
      <c r="AH189" s="9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7"/>
      <c r="AD190" s="9"/>
      <c r="AE190" s="1"/>
      <c r="AF190" s="1"/>
      <c r="AG190" s="1"/>
      <c r="AH190" s="9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7"/>
      <c r="AD191" s="9"/>
      <c r="AE191" s="1"/>
      <c r="AF191" s="1"/>
      <c r="AG191" s="1"/>
      <c r="AH191" s="9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7"/>
      <c r="AD192" s="9"/>
      <c r="AE192" s="1"/>
      <c r="AF192" s="1"/>
      <c r="AG192" s="1"/>
      <c r="AH192" s="9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7"/>
      <c r="AD193" s="9"/>
      <c r="AE193" s="1"/>
      <c r="AF193" s="1"/>
      <c r="AG193" s="1"/>
      <c r="AH193" s="9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7"/>
      <c r="AD194" s="9"/>
      <c r="AE194" s="1"/>
      <c r="AF194" s="1"/>
      <c r="AG194" s="1"/>
      <c r="AH194" s="9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7"/>
      <c r="AD195" s="9"/>
      <c r="AE195" s="1"/>
      <c r="AF195" s="1"/>
      <c r="AG195" s="1"/>
      <c r="AH195" s="9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7"/>
      <c r="AD196" s="9"/>
      <c r="AE196" s="1"/>
      <c r="AF196" s="1"/>
      <c r="AG196" s="1"/>
      <c r="AH196" s="9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7"/>
      <c r="AD197" s="9"/>
      <c r="AE197" s="1"/>
      <c r="AF197" s="1"/>
      <c r="AG197" s="1"/>
      <c r="AH197" s="9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7"/>
      <c r="AD198" s="9"/>
      <c r="AE198" s="1"/>
      <c r="AF198" s="1"/>
      <c r="AG198" s="1"/>
      <c r="AH198" s="9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7"/>
      <c r="AD199" s="9"/>
      <c r="AE199" s="1"/>
      <c r="AF199" s="1"/>
      <c r="AG199" s="1"/>
      <c r="AH199" s="9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7"/>
      <c r="AD200" s="9"/>
      <c r="AE200" s="1"/>
      <c r="AF200" s="1"/>
      <c r="AG200" s="1"/>
      <c r="AH200" s="9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7"/>
      <c r="AD201" s="9"/>
      <c r="AE201" s="1"/>
      <c r="AF201" s="1"/>
      <c r="AG201" s="1"/>
      <c r="AH201" s="9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7"/>
      <c r="AD202" s="9"/>
      <c r="AE202" s="1"/>
      <c r="AF202" s="1"/>
      <c r="AG202" s="1"/>
      <c r="AH202" s="9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7"/>
      <c r="AD203" s="9"/>
      <c r="AE203" s="1"/>
      <c r="AF203" s="1"/>
      <c r="AG203" s="1"/>
      <c r="AH203" s="9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7"/>
      <c r="AD204" s="9"/>
      <c r="AE204" s="1"/>
      <c r="AF204" s="1"/>
      <c r="AG204" s="1"/>
      <c r="AH204" s="9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7"/>
      <c r="AD205" s="9"/>
      <c r="AE205" s="1"/>
      <c r="AF205" s="1"/>
      <c r="AG205" s="1"/>
      <c r="AH205" s="9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7"/>
      <c r="AD206" s="9"/>
      <c r="AE206" s="1"/>
      <c r="AF206" s="1"/>
      <c r="AG206" s="1"/>
      <c r="AH206" s="9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7"/>
      <c r="AD207" s="9"/>
      <c r="AE207" s="1"/>
      <c r="AF207" s="1"/>
      <c r="AG207" s="1"/>
      <c r="AH207" s="9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7"/>
      <c r="AD208" s="9"/>
      <c r="AE208" s="1"/>
      <c r="AF208" s="1"/>
      <c r="AG208" s="1"/>
      <c r="AH208" s="9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7"/>
      <c r="AD209" s="9"/>
      <c r="AE209" s="1"/>
      <c r="AF209" s="1"/>
      <c r="AG209" s="1"/>
      <c r="AH209" s="9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7"/>
      <c r="AD210" s="9"/>
      <c r="AE210" s="1"/>
      <c r="AF210" s="1"/>
      <c r="AG210" s="1"/>
      <c r="AH210" s="9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7"/>
      <c r="AD211" s="9"/>
      <c r="AE211" s="1"/>
      <c r="AF211" s="1"/>
      <c r="AG211" s="1"/>
      <c r="AH211" s="9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7"/>
      <c r="AD212" s="9"/>
      <c r="AE212" s="1"/>
      <c r="AF212" s="1"/>
      <c r="AG212" s="1"/>
      <c r="AH212" s="9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7"/>
      <c r="AD213" s="9"/>
      <c r="AE213" s="1"/>
      <c r="AF213" s="1"/>
      <c r="AG213" s="1"/>
      <c r="AH213" s="9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7"/>
      <c r="AD214" s="9"/>
      <c r="AE214" s="1"/>
      <c r="AF214" s="1"/>
      <c r="AG214" s="1"/>
      <c r="AH214" s="9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7"/>
      <c r="AD215" s="9"/>
      <c r="AE215" s="1"/>
      <c r="AF215" s="1"/>
      <c r="AG215" s="1"/>
      <c r="AH215" s="9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7"/>
      <c r="AD216" s="9"/>
      <c r="AE216" s="1"/>
      <c r="AF216" s="1"/>
      <c r="AG216" s="1"/>
      <c r="AH216" s="9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7"/>
      <c r="AD217" s="9"/>
      <c r="AE217" s="1"/>
      <c r="AF217" s="1"/>
      <c r="AG217" s="1"/>
      <c r="AH217" s="9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7"/>
      <c r="AD218" s="9"/>
      <c r="AE218" s="1"/>
      <c r="AF218" s="1"/>
      <c r="AG218" s="1"/>
      <c r="AH218" s="9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7"/>
      <c r="AD219" s="9"/>
      <c r="AE219" s="1"/>
      <c r="AF219" s="1"/>
      <c r="AG219" s="1"/>
      <c r="AH219" s="9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7"/>
      <c r="AD220" s="9"/>
      <c r="AE220" s="1"/>
      <c r="AF220" s="1"/>
      <c r="AG220" s="1"/>
      <c r="AH220" s="9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7"/>
      <c r="AD221" s="9"/>
      <c r="AE221" s="1"/>
      <c r="AF221" s="1"/>
      <c r="AG221" s="1"/>
      <c r="AH221" s="9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7"/>
      <c r="AD222" s="9"/>
      <c r="AE222" s="1"/>
      <c r="AF222" s="1"/>
      <c r="AG222" s="1"/>
      <c r="AH222" s="9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7"/>
      <c r="AD223" s="9"/>
      <c r="AE223" s="1"/>
      <c r="AF223" s="1"/>
      <c r="AG223" s="1"/>
      <c r="AH223" s="9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7"/>
      <c r="AD224" s="9"/>
      <c r="AE224" s="1"/>
      <c r="AF224" s="1"/>
      <c r="AG224" s="1"/>
      <c r="AH224" s="9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7"/>
      <c r="AD225" s="9"/>
      <c r="AE225" s="1"/>
      <c r="AF225" s="1"/>
      <c r="AG225" s="1"/>
      <c r="AH225" s="9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7"/>
      <c r="AD226" s="9"/>
      <c r="AE226" s="1"/>
      <c r="AF226" s="1"/>
      <c r="AG226" s="1"/>
      <c r="AH226" s="9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7"/>
      <c r="AD227" s="9"/>
      <c r="AE227" s="1"/>
      <c r="AF227" s="1"/>
      <c r="AG227" s="1"/>
      <c r="AH227" s="9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7"/>
      <c r="AD228" s="9"/>
      <c r="AE228" s="1"/>
      <c r="AF228" s="1"/>
      <c r="AG228" s="1"/>
      <c r="AH228" s="9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7"/>
      <c r="AD229" s="9"/>
      <c r="AE229" s="1"/>
      <c r="AF229" s="1"/>
      <c r="AG229" s="1"/>
      <c r="AH229" s="9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7"/>
      <c r="AD230" s="9"/>
      <c r="AE230" s="1"/>
      <c r="AF230" s="1"/>
      <c r="AG230" s="1"/>
      <c r="AH230" s="9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7"/>
      <c r="AD231" s="9"/>
      <c r="AE231" s="1"/>
      <c r="AF231" s="1"/>
      <c r="AG231" s="1"/>
      <c r="AH231" s="9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7"/>
      <c r="AD232" s="9"/>
      <c r="AE232" s="1"/>
      <c r="AF232" s="1"/>
      <c r="AG232" s="1"/>
      <c r="AH232" s="9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7"/>
      <c r="AD233" s="9"/>
      <c r="AE233" s="1"/>
      <c r="AF233" s="1"/>
      <c r="AG233" s="1"/>
      <c r="AH233" s="9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7"/>
      <c r="AD234" s="9"/>
      <c r="AE234" s="1"/>
      <c r="AF234" s="1"/>
      <c r="AG234" s="1"/>
      <c r="AH234" s="9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7"/>
      <c r="AD235" s="9"/>
      <c r="AE235" s="1"/>
      <c r="AF235" s="1"/>
      <c r="AG235" s="1"/>
      <c r="AH235" s="9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7"/>
      <c r="AD236" s="9"/>
      <c r="AE236" s="1"/>
      <c r="AF236" s="1"/>
      <c r="AG236" s="1"/>
      <c r="AH236" s="9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7"/>
      <c r="AD237" s="9"/>
      <c r="AE237" s="1"/>
      <c r="AF237" s="1"/>
      <c r="AG237" s="1"/>
      <c r="AH237" s="9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7"/>
      <c r="AD238" s="9"/>
      <c r="AE238" s="1"/>
      <c r="AF238" s="1"/>
      <c r="AG238" s="1"/>
      <c r="AH238" s="9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7"/>
      <c r="AD239" s="9"/>
      <c r="AE239" s="1"/>
      <c r="AF239" s="1"/>
      <c r="AG239" s="1"/>
      <c r="AH239" s="9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7"/>
      <c r="AD240" s="9"/>
      <c r="AE240" s="1"/>
      <c r="AF240" s="1"/>
      <c r="AG240" s="1"/>
      <c r="AH240" s="9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7"/>
      <c r="AD241" s="9"/>
      <c r="AE241" s="1"/>
      <c r="AF241" s="1"/>
      <c r="AG241" s="1"/>
      <c r="AH241" s="9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7"/>
      <c r="AD242" s="9"/>
      <c r="AE242" s="1"/>
      <c r="AF242" s="1"/>
      <c r="AG242" s="1"/>
      <c r="AH242" s="9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7"/>
      <c r="AD243" s="9"/>
      <c r="AE243" s="1"/>
      <c r="AF243" s="1"/>
      <c r="AG243" s="1"/>
      <c r="AH243" s="9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7"/>
      <c r="AD244" s="9"/>
      <c r="AE244" s="1"/>
      <c r="AF244" s="1"/>
      <c r="AG244" s="1"/>
      <c r="AH244" s="9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7"/>
      <c r="AD245" s="9"/>
      <c r="AE245" s="1"/>
      <c r="AF245" s="1"/>
      <c r="AG245" s="1"/>
      <c r="AH245" s="9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7"/>
      <c r="AD246" s="9"/>
      <c r="AE246" s="1"/>
      <c r="AF246" s="1"/>
      <c r="AG246" s="1"/>
      <c r="AH246" s="9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7"/>
      <c r="AD247" s="9"/>
      <c r="AE247" s="1"/>
      <c r="AF247" s="1"/>
      <c r="AG247" s="1"/>
      <c r="AH247" s="9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7"/>
      <c r="AD248" s="9"/>
      <c r="AE248" s="1"/>
      <c r="AF248" s="1"/>
      <c r="AG248" s="1"/>
      <c r="AH248" s="9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7"/>
      <c r="AD249" s="9"/>
      <c r="AE249" s="1"/>
      <c r="AF249" s="1"/>
      <c r="AG249" s="1"/>
      <c r="AH249" s="9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7"/>
      <c r="AD250" s="9"/>
      <c r="AE250" s="1"/>
      <c r="AF250" s="1"/>
      <c r="AG250" s="1"/>
      <c r="AH250" s="9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7"/>
      <c r="AD251" s="9"/>
      <c r="AE251" s="1"/>
      <c r="AF251" s="1"/>
      <c r="AG251" s="1"/>
      <c r="AH251" s="9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7"/>
      <c r="AD252" s="9"/>
      <c r="AE252" s="1"/>
      <c r="AF252" s="1"/>
      <c r="AG252" s="1"/>
      <c r="AH252" s="9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7"/>
      <c r="AD253" s="9"/>
      <c r="AE253" s="1"/>
      <c r="AF253" s="1"/>
      <c r="AG253" s="1"/>
      <c r="AH253" s="9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7"/>
      <c r="AD254" s="9"/>
      <c r="AE254" s="1"/>
      <c r="AF254" s="1"/>
      <c r="AG254" s="1"/>
      <c r="AH254" s="9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7"/>
      <c r="AD255" s="9"/>
      <c r="AE255" s="1"/>
      <c r="AF255" s="1"/>
      <c r="AG255" s="1"/>
      <c r="AH255" s="9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7"/>
      <c r="AD256" s="9"/>
      <c r="AE256" s="1"/>
      <c r="AF256" s="1"/>
      <c r="AG256" s="1"/>
      <c r="AH256" s="9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7"/>
      <c r="AD257" s="9"/>
      <c r="AE257" s="1"/>
      <c r="AF257" s="1"/>
      <c r="AG257" s="1"/>
      <c r="AH257" s="9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7"/>
      <c r="AD258" s="9"/>
      <c r="AE258" s="1"/>
      <c r="AF258" s="1"/>
      <c r="AG258" s="1"/>
      <c r="AH258" s="9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7"/>
      <c r="AD259" s="9"/>
      <c r="AE259" s="1"/>
      <c r="AF259" s="1"/>
      <c r="AG259" s="1"/>
      <c r="AH259" s="9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7"/>
      <c r="AD260" s="9"/>
      <c r="AE260" s="1"/>
      <c r="AF260" s="1"/>
      <c r="AG260" s="1"/>
      <c r="AH260" s="9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7"/>
      <c r="AD261" s="9"/>
      <c r="AE261" s="1"/>
      <c r="AF261" s="1"/>
      <c r="AG261" s="1"/>
      <c r="AH261" s="9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7"/>
      <c r="AD262" s="9"/>
      <c r="AE262" s="1"/>
      <c r="AF262" s="1"/>
      <c r="AG262" s="1"/>
      <c r="AH262" s="9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7"/>
      <c r="AD263" s="9"/>
      <c r="AE263" s="1"/>
      <c r="AF263" s="1"/>
      <c r="AG263" s="1"/>
      <c r="AH263" s="9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7"/>
      <c r="AD264" s="9"/>
      <c r="AE264" s="1"/>
      <c r="AF264" s="1"/>
      <c r="AG264" s="1"/>
      <c r="AH264" s="9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7"/>
      <c r="AD265" s="9"/>
      <c r="AE265" s="1"/>
      <c r="AF265" s="1"/>
      <c r="AG265" s="1"/>
      <c r="AH265" s="9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7"/>
      <c r="AD266" s="9"/>
      <c r="AE266" s="1"/>
      <c r="AF266" s="1"/>
      <c r="AG266" s="1"/>
      <c r="AH266" s="9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7"/>
      <c r="AD267" s="9"/>
      <c r="AE267" s="1"/>
      <c r="AF267" s="1"/>
      <c r="AG267" s="1"/>
      <c r="AH267" s="9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7"/>
      <c r="AD268" s="9"/>
      <c r="AE268" s="1"/>
      <c r="AF268" s="1"/>
      <c r="AG268" s="1"/>
      <c r="AH268" s="9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7"/>
      <c r="AD269" s="9"/>
      <c r="AE269" s="1"/>
      <c r="AF269" s="1"/>
      <c r="AG269" s="1"/>
      <c r="AH269" s="9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7"/>
      <c r="AD270" s="9"/>
      <c r="AE270" s="1"/>
      <c r="AF270" s="1"/>
      <c r="AG270" s="1"/>
      <c r="AH270" s="9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7"/>
      <c r="AD271" s="9"/>
      <c r="AE271" s="1"/>
      <c r="AF271" s="1"/>
      <c r="AG271" s="1"/>
      <c r="AH271" s="9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7"/>
      <c r="AD272" s="9"/>
      <c r="AE272" s="1"/>
      <c r="AF272" s="1"/>
      <c r="AG272" s="1"/>
      <c r="AH272" s="9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7"/>
      <c r="AD273" s="9"/>
      <c r="AE273" s="1"/>
      <c r="AF273" s="1"/>
      <c r="AG273" s="1"/>
      <c r="AH273" s="9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7"/>
      <c r="AD274" s="9"/>
      <c r="AE274" s="1"/>
      <c r="AF274" s="1"/>
      <c r="AG274" s="1"/>
      <c r="AH274" s="9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7"/>
      <c r="AD275" s="9"/>
      <c r="AE275" s="1"/>
      <c r="AF275" s="1"/>
      <c r="AG275" s="1"/>
      <c r="AH275" s="9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7"/>
      <c r="AD276" s="9"/>
      <c r="AE276" s="1"/>
      <c r="AF276" s="1"/>
      <c r="AG276" s="1"/>
      <c r="AH276" s="9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7"/>
      <c r="AD277" s="9"/>
      <c r="AE277" s="1"/>
      <c r="AF277" s="1"/>
      <c r="AG277" s="1"/>
      <c r="AH277" s="9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7"/>
      <c r="AD278" s="9"/>
      <c r="AE278" s="1"/>
      <c r="AF278" s="1"/>
      <c r="AG278" s="1"/>
      <c r="AH278" s="9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7"/>
      <c r="AD279" s="9"/>
      <c r="AE279" s="1"/>
      <c r="AF279" s="1"/>
      <c r="AG279" s="1"/>
      <c r="AH279" s="9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7"/>
      <c r="AD280" s="9"/>
      <c r="AE280" s="1"/>
      <c r="AF280" s="1"/>
      <c r="AG280" s="1"/>
      <c r="AH280" s="9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7"/>
      <c r="AD281" s="9"/>
      <c r="AE281" s="1"/>
      <c r="AF281" s="1"/>
      <c r="AG281" s="1"/>
      <c r="AH281" s="9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7"/>
      <c r="AD282" s="9"/>
      <c r="AE282" s="1"/>
      <c r="AF282" s="1"/>
      <c r="AG282" s="1"/>
      <c r="AH282" s="9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7"/>
      <c r="AD283" s="9"/>
      <c r="AE283" s="1"/>
      <c r="AF283" s="1"/>
      <c r="AG283" s="1"/>
      <c r="AH283" s="9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7"/>
      <c r="AD284" s="9"/>
      <c r="AE284" s="1"/>
      <c r="AF284" s="1"/>
      <c r="AG284" s="1"/>
      <c r="AH284" s="9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7"/>
      <c r="AD285" s="9"/>
      <c r="AE285" s="1"/>
      <c r="AF285" s="1"/>
      <c r="AG285" s="1"/>
      <c r="AH285" s="9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7"/>
      <c r="AD286" s="9"/>
      <c r="AE286" s="1"/>
      <c r="AF286" s="1"/>
      <c r="AG286" s="1"/>
      <c r="AH286" s="9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7"/>
      <c r="AD287" s="9"/>
      <c r="AE287" s="1"/>
      <c r="AF287" s="1"/>
      <c r="AG287" s="1"/>
      <c r="AH287" s="9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7"/>
      <c r="AD288" s="9"/>
      <c r="AE288" s="1"/>
      <c r="AF288" s="1"/>
      <c r="AG288" s="1"/>
      <c r="AH288" s="9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7"/>
      <c r="AD289" s="9"/>
      <c r="AE289" s="1"/>
      <c r="AF289" s="1"/>
      <c r="AG289" s="1"/>
      <c r="AH289" s="9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7"/>
      <c r="AD290" s="9"/>
      <c r="AE290" s="1"/>
      <c r="AF290" s="1"/>
      <c r="AG290" s="1"/>
      <c r="AH290" s="9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7"/>
      <c r="AD291" s="9"/>
      <c r="AE291" s="1"/>
      <c r="AF291" s="1"/>
      <c r="AG291" s="1"/>
      <c r="AH291" s="9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7"/>
      <c r="AD292" s="9"/>
      <c r="AE292" s="1"/>
      <c r="AF292" s="1"/>
      <c r="AG292" s="1"/>
      <c r="AH292" s="9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7"/>
      <c r="AD293" s="9"/>
      <c r="AE293" s="1"/>
      <c r="AF293" s="1"/>
      <c r="AG293" s="1"/>
      <c r="AH293" s="9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7"/>
      <c r="AD294" s="9"/>
      <c r="AE294" s="1"/>
      <c r="AF294" s="1"/>
      <c r="AG294" s="1"/>
      <c r="AH294" s="9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7"/>
      <c r="AD295" s="9"/>
      <c r="AE295" s="1"/>
      <c r="AF295" s="1"/>
      <c r="AG295" s="1"/>
      <c r="AH295" s="9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7"/>
      <c r="AD296" s="9"/>
      <c r="AE296" s="1"/>
      <c r="AF296" s="1"/>
      <c r="AG296" s="1"/>
      <c r="AH296" s="9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7"/>
      <c r="AD297" s="9"/>
      <c r="AE297" s="1"/>
      <c r="AF297" s="1"/>
      <c r="AG297" s="1"/>
      <c r="AH297" s="9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7"/>
      <c r="AD298" s="9"/>
      <c r="AE298" s="1"/>
      <c r="AF298" s="1"/>
      <c r="AG298" s="1"/>
      <c r="AH298" s="9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7"/>
      <c r="AD299" s="9"/>
      <c r="AE299" s="1"/>
      <c r="AF299" s="1"/>
      <c r="AG299" s="1"/>
      <c r="AH299" s="9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7"/>
      <c r="AD300" s="9"/>
      <c r="AE300" s="1"/>
      <c r="AF300" s="1"/>
      <c r="AG300" s="1"/>
      <c r="AH300" s="9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7"/>
      <c r="AD301" s="9"/>
      <c r="AE301" s="1"/>
      <c r="AF301" s="1"/>
      <c r="AG301" s="1"/>
      <c r="AH301" s="9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7"/>
      <c r="AD302" s="9"/>
      <c r="AE302" s="1"/>
      <c r="AF302" s="1"/>
      <c r="AG302" s="1"/>
      <c r="AH302" s="9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7"/>
      <c r="AD303" s="9"/>
      <c r="AE303" s="1"/>
      <c r="AF303" s="1"/>
      <c r="AG303" s="1"/>
      <c r="AH303" s="9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7"/>
      <c r="AD304" s="9"/>
      <c r="AE304" s="1"/>
      <c r="AF304" s="1"/>
      <c r="AG304" s="1"/>
      <c r="AH304" s="9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7"/>
      <c r="AD305" s="9"/>
      <c r="AE305" s="1"/>
      <c r="AF305" s="1"/>
      <c r="AG305" s="1"/>
      <c r="AH305" s="9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7"/>
      <c r="AD306" s="9"/>
      <c r="AE306" s="1"/>
      <c r="AF306" s="1"/>
      <c r="AG306" s="1"/>
      <c r="AH306" s="9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7"/>
      <c r="AD307" s="9"/>
      <c r="AE307" s="1"/>
      <c r="AF307" s="1"/>
      <c r="AG307" s="1"/>
      <c r="AH307" s="9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7"/>
      <c r="AD308" s="9"/>
      <c r="AE308" s="1"/>
      <c r="AF308" s="1"/>
      <c r="AG308" s="1"/>
      <c r="AH308" s="9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7"/>
      <c r="AD309" s="9"/>
      <c r="AE309" s="1"/>
      <c r="AF309" s="1"/>
      <c r="AG309" s="1"/>
      <c r="AH309" s="9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7"/>
      <c r="AD310" s="9"/>
      <c r="AE310" s="1"/>
      <c r="AF310" s="1"/>
      <c r="AG310" s="1"/>
      <c r="AH310" s="9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7"/>
      <c r="AD311" s="9"/>
      <c r="AE311" s="1"/>
      <c r="AF311" s="1"/>
      <c r="AG311" s="1"/>
      <c r="AH311" s="9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7"/>
      <c r="AD312" s="9"/>
      <c r="AE312" s="1"/>
      <c r="AF312" s="1"/>
      <c r="AG312" s="1"/>
      <c r="AH312" s="9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7"/>
      <c r="AD313" s="9"/>
      <c r="AE313" s="1"/>
      <c r="AF313" s="1"/>
      <c r="AG313" s="1"/>
      <c r="AH313" s="9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7"/>
      <c r="AD314" s="9"/>
      <c r="AE314" s="1"/>
      <c r="AF314" s="1"/>
      <c r="AG314" s="1"/>
      <c r="AH314" s="9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7"/>
      <c r="AD315" s="9"/>
      <c r="AE315" s="1"/>
      <c r="AF315" s="1"/>
      <c r="AG315" s="1"/>
      <c r="AH315" s="9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7"/>
      <c r="AD316" s="9"/>
      <c r="AE316" s="1"/>
      <c r="AF316" s="1"/>
      <c r="AG316" s="1"/>
      <c r="AH316" s="9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7"/>
      <c r="AD317" s="9"/>
      <c r="AE317" s="1"/>
      <c r="AF317" s="1"/>
      <c r="AG317" s="1"/>
      <c r="AH317" s="9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7"/>
      <c r="AD318" s="9"/>
      <c r="AE318" s="1"/>
      <c r="AF318" s="1"/>
      <c r="AG318" s="1"/>
      <c r="AH318" s="9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7"/>
      <c r="AD319" s="9"/>
      <c r="AE319" s="1"/>
      <c r="AF319" s="1"/>
      <c r="AG319" s="1"/>
      <c r="AH319" s="9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7"/>
      <c r="AD320" s="9"/>
      <c r="AE320" s="1"/>
      <c r="AF320" s="1"/>
      <c r="AG320" s="1"/>
      <c r="AH320" s="9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7"/>
      <c r="AD321" s="9"/>
      <c r="AE321" s="1"/>
      <c r="AF321" s="1"/>
      <c r="AG321" s="1"/>
      <c r="AH321" s="9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7"/>
      <c r="AD322" s="9"/>
      <c r="AE322" s="1"/>
      <c r="AF322" s="1"/>
      <c r="AG322" s="1"/>
      <c r="AH322" s="9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7"/>
      <c r="AD323" s="9"/>
      <c r="AE323" s="1"/>
      <c r="AF323" s="1"/>
      <c r="AG323" s="1"/>
      <c r="AH323" s="9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7"/>
      <c r="AD324" s="9"/>
      <c r="AE324" s="1"/>
      <c r="AF324" s="1"/>
      <c r="AG324" s="1"/>
      <c r="AH324" s="9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7"/>
      <c r="AD325" s="9"/>
      <c r="AE325" s="1"/>
      <c r="AF325" s="1"/>
      <c r="AG325" s="1"/>
      <c r="AH325" s="9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7"/>
      <c r="AD326" s="9"/>
      <c r="AE326" s="1"/>
      <c r="AF326" s="1"/>
      <c r="AG326" s="1"/>
      <c r="AH326" s="9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7"/>
      <c r="AD327" s="9"/>
      <c r="AE327" s="1"/>
      <c r="AF327" s="1"/>
      <c r="AG327" s="1"/>
      <c r="AH327" s="9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7"/>
      <c r="AD328" s="9"/>
      <c r="AE328" s="1"/>
      <c r="AF328" s="1"/>
      <c r="AG328" s="1"/>
      <c r="AH328" s="9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7"/>
      <c r="AD329" s="9"/>
      <c r="AE329" s="1"/>
      <c r="AF329" s="1"/>
      <c r="AG329" s="1"/>
      <c r="AH329" s="9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7"/>
      <c r="AD330" s="9"/>
      <c r="AE330" s="1"/>
      <c r="AF330" s="1"/>
      <c r="AG330" s="1"/>
      <c r="AH330" s="9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7"/>
      <c r="AD331" s="9"/>
      <c r="AE331" s="1"/>
      <c r="AF331" s="1"/>
      <c r="AG331" s="1"/>
      <c r="AH331" s="9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7"/>
      <c r="AD332" s="9"/>
      <c r="AE332" s="1"/>
      <c r="AF332" s="1"/>
      <c r="AG332" s="1"/>
      <c r="AH332" s="9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7"/>
      <c r="AD333" s="9"/>
      <c r="AE333" s="1"/>
      <c r="AF333" s="1"/>
      <c r="AG333" s="1"/>
      <c r="AH333" s="9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7"/>
      <c r="AD334" s="9"/>
      <c r="AE334" s="1"/>
      <c r="AF334" s="1"/>
      <c r="AG334" s="1"/>
      <c r="AH334" s="9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7"/>
      <c r="AD335" s="9"/>
      <c r="AE335" s="1"/>
      <c r="AF335" s="1"/>
      <c r="AG335" s="1"/>
      <c r="AH335" s="9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7"/>
      <c r="AD336" s="9"/>
      <c r="AE336" s="1"/>
      <c r="AF336" s="1"/>
      <c r="AG336" s="1"/>
      <c r="AH336" s="9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7"/>
      <c r="AD337" s="9"/>
      <c r="AE337" s="1"/>
      <c r="AF337" s="1"/>
      <c r="AG337" s="1"/>
      <c r="AH337" s="9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7"/>
      <c r="AD338" s="9"/>
      <c r="AE338" s="1"/>
      <c r="AF338" s="1"/>
      <c r="AG338" s="1"/>
      <c r="AH338" s="9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7"/>
      <c r="AD339" s="9"/>
      <c r="AE339" s="1"/>
      <c r="AF339" s="1"/>
      <c r="AG339" s="1"/>
      <c r="AH339" s="9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7"/>
      <c r="AD340" s="9"/>
      <c r="AE340" s="1"/>
      <c r="AF340" s="1"/>
      <c r="AG340" s="1"/>
      <c r="AH340" s="9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7"/>
      <c r="AD341" s="9"/>
      <c r="AE341" s="1"/>
      <c r="AF341" s="1"/>
      <c r="AG341" s="1"/>
      <c r="AH341" s="9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7"/>
      <c r="AD342" s="9"/>
      <c r="AE342" s="1"/>
      <c r="AF342" s="1"/>
      <c r="AG342" s="1"/>
      <c r="AH342" s="9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7"/>
      <c r="AD343" s="9"/>
      <c r="AE343" s="1"/>
      <c r="AF343" s="1"/>
      <c r="AG343" s="1"/>
      <c r="AH343" s="9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7"/>
      <c r="AD344" s="9"/>
      <c r="AE344" s="1"/>
      <c r="AF344" s="1"/>
      <c r="AG344" s="1"/>
      <c r="AH344" s="9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7"/>
      <c r="AD345" s="9"/>
      <c r="AE345" s="1"/>
      <c r="AF345" s="1"/>
      <c r="AG345" s="1"/>
      <c r="AH345" s="9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7"/>
      <c r="AD346" s="9"/>
      <c r="AE346" s="1"/>
      <c r="AF346" s="1"/>
      <c r="AG346" s="1"/>
      <c r="AH346" s="9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7"/>
      <c r="AD347" s="9"/>
      <c r="AE347" s="1"/>
      <c r="AF347" s="1"/>
      <c r="AG347" s="1"/>
      <c r="AH347" s="9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7"/>
      <c r="AD348" s="9"/>
      <c r="AE348" s="1"/>
      <c r="AF348" s="1"/>
      <c r="AG348" s="1"/>
      <c r="AH348" s="9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7"/>
      <c r="AD349" s="9"/>
      <c r="AE349" s="1"/>
      <c r="AF349" s="1"/>
      <c r="AG349" s="1"/>
      <c r="AH349" s="9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7"/>
      <c r="AD350" s="9"/>
      <c r="AE350" s="1"/>
      <c r="AF350" s="1"/>
      <c r="AG350" s="1"/>
      <c r="AH350" s="9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7"/>
      <c r="AD351" s="9"/>
      <c r="AE351" s="1"/>
      <c r="AF351" s="1"/>
      <c r="AG351" s="1"/>
      <c r="AH351" s="9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7"/>
      <c r="AD352" s="9"/>
      <c r="AE352" s="1"/>
      <c r="AF352" s="1"/>
      <c r="AG352" s="1"/>
      <c r="AH352" s="9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7"/>
      <c r="AD353" s="9"/>
      <c r="AE353" s="1"/>
      <c r="AF353" s="1"/>
      <c r="AG353" s="1"/>
      <c r="AH353" s="9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7"/>
      <c r="AD354" s="9"/>
      <c r="AE354" s="1"/>
      <c r="AF354" s="1"/>
      <c r="AG354" s="1"/>
      <c r="AH354" s="9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7"/>
      <c r="AD355" s="9"/>
      <c r="AE355" s="1"/>
      <c r="AF355" s="1"/>
      <c r="AG355" s="1"/>
      <c r="AH355" s="9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7"/>
      <c r="AD356" s="9"/>
      <c r="AE356" s="1"/>
      <c r="AF356" s="1"/>
      <c r="AG356" s="1"/>
      <c r="AH356" s="9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7"/>
      <c r="AD357" s="9"/>
      <c r="AE357" s="1"/>
      <c r="AF357" s="1"/>
      <c r="AG357" s="1"/>
      <c r="AH357" s="9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7"/>
      <c r="AD358" s="9"/>
      <c r="AE358" s="1"/>
      <c r="AF358" s="1"/>
      <c r="AG358" s="1"/>
      <c r="AH358" s="9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7"/>
      <c r="AD359" s="9"/>
      <c r="AE359" s="1"/>
      <c r="AF359" s="1"/>
      <c r="AG359" s="1"/>
      <c r="AH359" s="9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7"/>
      <c r="AD360" s="9"/>
      <c r="AE360" s="1"/>
      <c r="AF360" s="1"/>
      <c r="AG360" s="1"/>
      <c r="AH360" s="9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7"/>
      <c r="AD361" s="9"/>
      <c r="AE361" s="1"/>
      <c r="AF361" s="1"/>
      <c r="AG361" s="1"/>
      <c r="AH361" s="9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7"/>
      <c r="AD362" s="9"/>
      <c r="AE362" s="1"/>
      <c r="AF362" s="1"/>
      <c r="AG362" s="1"/>
      <c r="AH362" s="9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7"/>
      <c r="AD363" s="9"/>
      <c r="AE363" s="1"/>
      <c r="AF363" s="1"/>
      <c r="AG363" s="1"/>
      <c r="AH363" s="9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7"/>
      <c r="AD364" s="9"/>
      <c r="AE364" s="1"/>
      <c r="AF364" s="1"/>
      <c r="AG364" s="1"/>
      <c r="AH364" s="9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7"/>
      <c r="AD365" s="9"/>
      <c r="AE365" s="1"/>
      <c r="AF365" s="1"/>
      <c r="AG365" s="1"/>
      <c r="AH365" s="9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7"/>
      <c r="AD366" s="9"/>
      <c r="AE366" s="1"/>
      <c r="AF366" s="1"/>
      <c r="AG366" s="1"/>
      <c r="AH366" s="9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7"/>
      <c r="AD367" s="9"/>
      <c r="AE367" s="1"/>
      <c r="AF367" s="1"/>
      <c r="AG367" s="1"/>
      <c r="AH367" s="9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7"/>
      <c r="AD368" s="9"/>
      <c r="AE368" s="1"/>
      <c r="AF368" s="1"/>
      <c r="AG368" s="1"/>
      <c r="AH368" s="9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7"/>
      <c r="AD369" s="9"/>
      <c r="AE369" s="1"/>
      <c r="AF369" s="1"/>
      <c r="AG369" s="1"/>
      <c r="AH369" s="9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7"/>
      <c r="AD370" s="9"/>
      <c r="AE370" s="1"/>
      <c r="AF370" s="1"/>
      <c r="AG370" s="1"/>
      <c r="AH370" s="9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7"/>
      <c r="AD371" s="9"/>
      <c r="AE371" s="1"/>
      <c r="AF371" s="1"/>
      <c r="AG371" s="1"/>
      <c r="AH371" s="9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7"/>
      <c r="AD372" s="9"/>
      <c r="AE372" s="1"/>
      <c r="AF372" s="1"/>
      <c r="AG372" s="1"/>
      <c r="AH372" s="9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7"/>
      <c r="AD373" s="9"/>
      <c r="AE373" s="1"/>
      <c r="AF373" s="1"/>
      <c r="AG373" s="1"/>
      <c r="AH373" s="9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7"/>
      <c r="AD374" s="9"/>
      <c r="AE374" s="1"/>
      <c r="AF374" s="1"/>
      <c r="AG374" s="1"/>
      <c r="AH374" s="9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7"/>
      <c r="AD375" s="9"/>
      <c r="AE375" s="1"/>
      <c r="AF375" s="1"/>
      <c r="AG375" s="1"/>
      <c r="AH375" s="9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7"/>
      <c r="AD376" s="9"/>
      <c r="AE376" s="1"/>
      <c r="AF376" s="1"/>
      <c r="AG376" s="1"/>
      <c r="AH376" s="9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7"/>
      <c r="AD377" s="9"/>
      <c r="AE377" s="1"/>
      <c r="AF377" s="1"/>
      <c r="AG377" s="1"/>
      <c r="AH377" s="9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7"/>
      <c r="AD378" s="9"/>
      <c r="AE378" s="1"/>
      <c r="AF378" s="1"/>
      <c r="AG378" s="1"/>
      <c r="AH378" s="9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7"/>
      <c r="AD379" s="9"/>
      <c r="AE379" s="1"/>
      <c r="AF379" s="1"/>
      <c r="AG379" s="1"/>
      <c r="AH379" s="9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7"/>
      <c r="AD380" s="9"/>
      <c r="AE380" s="1"/>
      <c r="AF380" s="1"/>
      <c r="AG380" s="1"/>
      <c r="AH380" s="9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7"/>
      <c r="AD381" s="9"/>
      <c r="AE381" s="1"/>
      <c r="AF381" s="1"/>
      <c r="AG381" s="1"/>
      <c r="AH381" s="9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7"/>
      <c r="AD382" s="9"/>
      <c r="AE382" s="1"/>
      <c r="AF382" s="1"/>
      <c r="AG382" s="1"/>
      <c r="AH382" s="9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7"/>
      <c r="AD383" s="9"/>
      <c r="AE383" s="1"/>
      <c r="AF383" s="1"/>
      <c r="AG383" s="1"/>
      <c r="AH383" s="9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7"/>
      <c r="AD384" s="9"/>
      <c r="AE384" s="1"/>
      <c r="AF384" s="1"/>
      <c r="AG384" s="1"/>
      <c r="AH384" s="9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7"/>
      <c r="AD385" s="9"/>
      <c r="AE385" s="1"/>
      <c r="AF385" s="1"/>
      <c r="AG385" s="1"/>
      <c r="AH385" s="9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7"/>
      <c r="AD386" s="9"/>
      <c r="AE386" s="1"/>
      <c r="AF386" s="1"/>
      <c r="AG386" s="1"/>
      <c r="AH386" s="9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7"/>
      <c r="AD387" s="9"/>
      <c r="AE387" s="1"/>
      <c r="AF387" s="1"/>
      <c r="AG387" s="1"/>
      <c r="AH387" s="9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7"/>
      <c r="AD388" s="9"/>
      <c r="AE388" s="1"/>
      <c r="AF388" s="1"/>
      <c r="AG388" s="1"/>
      <c r="AH388" s="9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7"/>
      <c r="AD389" s="9"/>
      <c r="AE389" s="1"/>
      <c r="AF389" s="1"/>
      <c r="AG389" s="1"/>
      <c r="AH389" s="9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7"/>
      <c r="AD390" s="9"/>
      <c r="AE390" s="1"/>
      <c r="AF390" s="1"/>
      <c r="AG390" s="1"/>
      <c r="AH390" s="9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7"/>
      <c r="AD391" s="9"/>
      <c r="AE391" s="1"/>
      <c r="AF391" s="1"/>
      <c r="AG391" s="1"/>
      <c r="AH391" s="9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7"/>
      <c r="AD392" s="9"/>
      <c r="AE392" s="1"/>
      <c r="AF392" s="1"/>
      <c r="AG392" s="1"/>
      <c r="AH392" s="9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7"/>
      <c r="AD393" s="9"/>
      <c r="AE393" s="1"/>
      <c r="AF393" s="1"/>
      <c r="AG393" s="1"/>
      <c r="AH393" s="9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7"/>
      <c r="AD394" s="9"/>
      <c r="AE394" s="1"/>
      <c r="AF394" s="1"/>
      <c r="AG394" s="1"/>
      <c r="AH394" s="9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7"/>
      <c r="AD395" s="9"/>
      <c r="AE395" s="1"/>
      <c r="AF395" s="1"/>
      <c r="AG395" s="1"/>
      <c r="AH395" s="9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7"/>
      <c r="AD396" s="9"/>
      <c r="AE396" s="1"/>
      <c r="AF396" s="1"/>
      <c r="AG396" s="1"/>
      <c r="AH396" s="9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7"/>
      <c r="AD397" s="9"/>
      <c r="AE397" s="1"/>
      <c r="AF397" s="1"/>
      <c r="AG397" s="1"/>
      <c r="AH397" s="9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7"/>
      <c r="AD398" s="9"/>
      <c r="AE398" s="1"/>
      <c r="AF398" s="1"/>
      <c r="AG398" s="1"/>
      <c r="AH398" s="9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7"/>
      <c r="AD399" s="9"/>
      <c r="AE399" s="1"/>
      <c r="AF399" s="1"/>
      <c r="AG399" s="1"/>
      <c r="AH399" s="9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7"/>
      <c r="AD400" s="9"/>
      <c r="AE400" s="1"/>
      <c r="AF400" s="1"/>
      <c r="AG400" s="1"/>
      <c r="AH400" s="9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7"/>
      <c r="AD401" s="9"/>
      <c r="AE401" s="1"/>
      <c r="AF401" s="1"/>
      <c r="AG401" s="1"/>
      <c r="AH401" s="9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7"/>
      <c r="AD402" s="9"/>
      <c r="AE402" s="1"/>
      <c r="AF402" s="1"/>
      <c r="AG402" s="1"/>
      <c r="AH402" s="9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7"/>
      <c r="AD403" s="9"/>
      <c r="AE403" s="1"/>
      <c r="AF403" s="1"/>
      <c r="AG403" s="1"/>
      <c r="AH403" s="9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7"/>
      <c r="AD404" s="9"/>
      <c r="AE404" s="1"/>
      <c r="AF404" s="1"/>
      <c r="AG404" s="1"/>
      <c r="AH404" s="9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7"/>
      <c r="AD405" s="9"/>
      <c r="AE405" s="1"/>
      <c r="AF405" s="1"/>
      <c r="AG405" s="1"/>
      <c r="AH405" s="9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7"/>
      <c r="AD406" s="9"/>
      <c r="AE406" s="1"/>
      <c r="AF406" s="1"/>
      <c r="AG406" s="1"/>
      <c r="AH406" s="9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7"/>
      <c r="AD407" s="9"/>
      <c r="AE407" s="1"/>
      <c r="AF407" s="1"/>
      <c r="AG407" s="1"/>
      <c r="AH407" s="9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7"/>
      <c r="AD408" s="9"/>
      <c r="AE408" s="1"/>
      <c r="AF408" s="1"/>
      <c r="AG408" s="1"/>
      <c r="AH408" s="9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7"/>
      <c r="AD409" s="9"/>
      <c r="AE409" s="1"/>
      <c r="AF409" s="1"/>
      <c r="AG409" s="1"/>
      <c r="AH409" s="9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7"/>
      <c r="AD410" s="9"/>
      <c r="AE410" s="1"/>
      <c r="AF410" s="1"/>
      <c r="AG410" s="1"/>
      <c r="AH410" s="9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7"/>
      <c r="AD411" s="9"/>
      <c r="AE411" s="1"/>
      <c r="AF411" s="1"/>
      <c r="AG411" s="1"/>
      <c r="AH411" s="9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7"/>
      <c r="AD412" s="9"/>
      <c r="AE412" s="1"/>
      <c r="AF412" s="1"/>
      <c r="AG412" s="1"/>
      <c r="AH412" s="9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7"/>
      <c r="AD413" s="9"/>
      <c r="AE413" s="1"/>
      <c r="AF413" s="1"/>
      <c r="AG413" s="1"/>
      <c r="AH413" s="9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7"/>
      <c r="AD414" s="9"/>
      <c r="AE414" s="1"/>
      <c r="AF414" s="1"/>
      <c r="AG414" s="1"/>
      <c r="AH414" s="9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7"/>
      <c r="AD415" s="9"/>
      <c r="AE415" s="1"/>
      <c r="AF415" s="1"/>
      <c r="AG415" s="1"/>
      <c r="AH415" s="9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7"/>
      <c r="AD416" s="9"/>
      <c r="AE416" s="1"/>
      <c r="AF416" s="1"/>
      <c r="AG416" s="1"/>
      <c r="AH416" s="9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7"/>
      <c r="AD417" s="9"/>
      <c r="AE417" s="1"/>
      <c r="AF417" s="1"/>
      <c r="AG417" s="1"/>
      <c r="AH417" s="9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7"/>
      <c r="AD418" s="9"/>
      <c r="AE418" s="1"/>
      <c r="AF418" s="1"/>
      <c r="AG418" s="1"/>
      <c r="AH418" s="9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7"/>
      <c r="AD419" s="9"/>
      <c r="AE419" s="1"/>
      <c r="AF419" s="1"/>
      <c r="AG419" s="1"/>
      <c r="AH419" s="9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7"/>
      <c r="AD420" s="9"/>
      <c r="AE420" s="1"/>
      <c r="AF420" s="1"/>
      <c r="AG420" s="1"/>
      <c r="AH420" s="9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7"/>
      <c r="AD421" s="9"/>
      <c r="AE421" s="1"/>
      <c r="AF421" s="1"/>
      <c r="AG421" s="1"/>
      <c r="AH421" s="9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7"/>
      <c r="AD422" s="9"/>
      <c r="AE422" s="1"/>
      <c r="AF422" s="1"/>
      <c r="AG422" s="1"/>
      <c r="AH422" s="9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7"/>
      <c r="AD423" s="9"/>
      <c r="AE423" s="1"/>
      <c r="AF423" s="1"/>
      <c r="AG423" s="1"/>
      <c r="AH423" s="9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7"/>
      <c r="AD424" s="9"/>
      <c r="AE424" s="1"/>
      <c r="AF424" s="1"/>
      <c r="AG424" s="1"/>
      <c r="AH424" s="9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7"/>
      <c r="AD425" s="9"/>
      <c r="AE425" s="1"/>
      <c r="AF425" s="1"/>
      <c r="AG425" s="1"/>
      <c r="AH425" s="9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7"/>
      <c r="AD426" s="9"/>
      <c r="AE426" s="1"/>
      <c r="AF426" s="1"/>
      <c r="AG426" s="1"/>
      <c r="AH426" s="9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7"/>
      <c r="AD427" s="9"/>
      <c r="AE427" s="1"/>
      <c r="AF427" s="1"/>
      <c r="AG427" s="1"/>
      <c r="AH427" s="9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7"/>
      <c r="AD428" s="9"/>
      <c r="AE428" s="1"/>
      <c r="AF428" s="1"/>
      <c r="AG428" s="1"/>
      <c r="AH428" s="9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7"/>
      <c r="AD429" s="9"/>
      <c r="AE429" s="1"/>
      <c r="AF429" s="1"/>
      <c r="AG429" s="1"/>
      <c r="AH429" s="9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7"/>
      <c r="AD430" s="9"/>
      <c r="AE430" s="1"/>
      <c r="AF430" s="1"/>
      <c r="AG430" s="1"/>
      <c r="AH430" s="9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7"/>
      <c r="AD431" s="9"/>
      <c r="AE431" s="1"/>
      <c r="AF431" s="1"/>
      <c r="AG431" s="1"/>
      <c r="AH431" s="9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7"/>
      <c r="AD432" s="9"/>
      <c r="AE432" s="1"/>
      <c r="AF432" s="1"/>
      <c r="AG432" s="1"/>
      <c r="AH432" s="9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7"/>
      <c r="AD433" s="9"/>
      <c r="AE433" s="1"/>
      <c r="AF433" s="1"/>
      <c r="AG433" s="1"/>
      <c r="AH433" s="9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7"/>
      <c r="AD434" s="9"/>
      <c r="AE434" s="1"/>
      <c r="AF434" s="1"/>
      <c r="AG434" s="1"/>
      <c r="AH434" s="9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7"/>
      <c r="AD435" s="9"/>
      <c r="AE435" s="1"/>
      <c r="AF435" s="1"/>
      <c r="AG435" s="1"/>
      <c r="AH435" s="9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7"/>
      <c r="AD436" s="9"/>
      <c r="AE436" s="1"/>
      <c r="AF436" s="1"/>
      <c r="AG436" s="1"/>
      <c r="AH436" s="9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7"/>
      <c r="AD437" s="9"/>
      <c r="AE437" s="1"/>
      <c r="AF437" s="1"/>
      <c r="AG437" s="1"/>
      <c r="AH437" s="9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7"/>
      <c r="AD438" s="9"/>
      <c r="AE438" s="1"/>
      <c r="AF438" s="1"/>
      <c r="AG438" s="1"/>
      <c r="AH438" s="9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7"/>
      <c r="AD439" s="9"/>
      <c r="AE439" s="1"/>
      <c r="AF439" s="1"/>
      <c r="AG439" s="1"/>
      <c r="AH439" s="9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7"/>
      <c r="AD440" s="9"/>
      <c r="AE440" s="1"/>
      <c r="AF440" s="1"/>
      <c r="AG440" s="1"/>
      <c r="AH440" s="9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7"/>
      <c r="AD441" s="9"/>
      <c r="AE441" s="1"/>
      <c r="AF441" s="1"/>
      <c r="AG441" s="1"/>
      <c r="AH441" s="9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7"/>
      <c r="AD442" s="9"/>
      <c r="AE442" s="1"/>
      <c r="AF442" s="1"/>
      <c r="AG442" s="1"/>
      <c r="AH442" s="9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7"/>
      <c r="AD443" s="9"/>
      <c r="AE443" s="1"/>
      <c r="AF443" s="1"/>
      <c r="AG443" s="1"/>
      <c r="AH443" s="9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7"/>
      <c r="AD444" s="9"/>
      <c r="AE444" s="1"/>
      <c r="AF444" s="1"/>
      <c r="AG444" s="1"/>
      <c r="AH444" s="9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7"/>
      <c r="AD445" s="9"/>
      <c r="AE445" s="1"/>
      <c r="AF445" s="1"/>
      <c r="AG445" s="1"/>
      <c r="AH445" s="9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7"/>
      <c r="AD446" s="9"/>
      <c r="AE446" s="1"/>
      <c r="AF446" s="1"/>
      <c r="AG446" s="1"/>
      <c r="AH446" s="9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7"/>
      <c r="AD447" s="9"/>
      <c r="AE447" s="1"/>
      <c r="AF447" s="1"/>
      <c r="AG447" s="1"/>
      <c r="AH447" s="9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7"/>
      <c r="AD448" s="9"/>
      <c r="AE448" s="1"/>
      <c r="AF448" s="1"/>
      <c r="AG448" s="1"/>
      <c r="AH448" s="9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7"/>
      <c r="AD449" s="9"/>
      <c r="AE449" s="1"/>
      <c r="AF449" s="1"/>
      <c r="AG449" s="1"/>
      <c r="AH449" s="9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7"/>
      <c r="AD450" s="9"/>
      <c r="AE450" s="1"/>
      <c r="AF450" s="1"/>
      <c r="AG450" s="1"/>
      <c r="AH450" s="9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7"/>
      <c r="AD451" s="9"/>
      <c r="AE451" s="1"/>
      <c r="AF451" s="1"/>
      <c r="AG451" s="1"/>
      <c r="AH451" s="9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7"/>
      <c r="AD452" s="9"/>
      <c r="AE452" s="1"/>
      <c r="AF452" s="1"/>
      <c r="AG452" s="1"/>
      <c r="AH452" s="9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7"/>
      <c r="AD453" s="9"/>
      <c r="AE453" s="1"/>
      <c r="AF453" s="1"/>
      <c r="AG453" s="1"/>
      <c r="AH453" s="9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7"/>
      <c r="AD454" s="9"/>
      <c r="AE454" s="1"/>
      <c r="AF454" s="1"/>
      <c r="AG454" s="1"/>
      <c r="AH454" s="9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7"/>
      <c r="AD455" s="9"/>
      <c r="AE455" s="1"/>
      <c r="AF455" s="1"/>
      <c r="AG455" s="1"/>
      <c r="AH455" s="9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7"/>
      <c r="AD456" s="9"/>
      <c r="AE456" s="1"/>
      <c r="AF456" s="1"/>
      <c r="AG456" s="1"/>
      <c r="AH456" s="9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7"/>
      <c r="AD457" s="9"/>
      <c r="AE457" s="1"/>
      <c r="AF457" s="1"/>
      <c r="AG457" s="1"/>
      <c r="AH457" s="9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7"/>
      <c r="AD458" s="9"/>
      <c r="AE458" s="1"/>
      <c r="AF458" s="1"/>
      <c r="AG458" s="1"/>
      <c r="AH458" s="9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7"/>
      <c r="AD459" s="9"/>
      <c r="AE459" s="1"/>
      <c r="AF459" s="1"/>
      <c r="AG459" s="1"/>
      <c r="AH459" s="9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7"/>
      <c r="AD460" s="9"/>
      <c r="AE460" s="1"/>
      <c r="AF460" s="1"/>
      <c r="AG460" s="1"/>
      <c r="AH460" s="9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7"/>
      <c r="AD461" s="9"/>
      <c r="AE461" s="1"/>
      <c r="AF461" s="1"/>
      <c r="AG461" s="1"/>
      <c r="AH461" s="9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7"/>
      <c r="AD462" s="9"/>
      <c r="AE462" s="1"/>
      <c r="AF462" s="1"/>
      <c r="AG462" s="1"/>
      <c r="AH462" s="9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7"/>
      <c r="AD463" s="9"/>
      <c r="AE463" s="1"/>
      <c r="AF463" s="1"/>
      <c r="AG463" s="1"/>
      <c r="AH463" s="9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7"/>
      <c r="AD464" s="9"/>
      <c r="AE464" s="1"/>
      <c r="AF464" s="1"/>
      <c r="AG464" s="1"/>
      <c r="AH464" s="9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7"/>
      <c r="AD465" s="9"/>
      <c r="AE465" s="1"/>
      <c r="AF465" s="1"/>
      <c r="AG465" s="1"/>
      <c r="AH465" s="9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7"/>
      <c r="AD466" s="9"/>
      <c r="AE466" s="1"/>
      <c r="AF466" s="1"/>
      <c r="AG466" s="1"/>
      <c r="AH466" s="9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7"/>
      <c r="AD467" s="9"/>
      <c r="AE467" s="1"/>
      <c r="AF467" s="1"/>
      <c r="AG467" s="1"/>
      <c r="AH467" s="9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7"/>
      <c r="AD468" s="9"/>
      <c r="AE468" s="1"/>
      <c r="AF468" s="1"/>
      <c r="AG468" s="1"/>
      <c r="AH468" s="9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7"/>
      <c r="AD469" s="9"/>
      <c r="AE469" s="1"/>
      <c r="AF469" s="1"/>
      <c r="AG469" s="1"/>
      <c r="AH469" s="9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7"/>
      <c r="AD470" s="9"/>
      <c r="AE470" s="1"/>
      <c r="AF470" s="1"/>
      <c r="AG470" s="1"/>
      <c r="AH470" s="9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7"/>
      <c r="AD471" s="9"/>
      <c r="AE471" s="1"/>
      <c r="AF471" s="1"/>
      <c r="AG471" s="1"/>
      <c r="AH471" s="9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7"/>
      <c r="AD472" s="9"/>
      <c r="AE472" s="1"/>
      <c r="AF472" s="1"/>
      <c r="AG472" s="1"/>
      <c r="AH472" s="9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7"/>
      <c r="AD473" s="9"/>
      <c r="AE473" s="1"/>
      <c r="AF473" s="1"/>
      <c r="AG473" s="1"/>
      <c r="AH473" s="9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7"/>
      <c r="AD474" s="9"/>
      <c r="AE474" s="1"/>
      <c r="AF474" s="1"/>
      <c r="AG474" s="1"/>
      <c r="AH474" s="9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7"/>
      <c r="AD475" s="9"/>
      <c r="AE475" s="1"/>
      <c r="AF475" s="1"/>
      <c r="AG475" s="1"/>
      <c r="AH475" s="9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7"/>
      <c r="AD476" s="9"/>
      <c r="AE476" s="1"/>
      <c r="AF476" s="1"/>
      <c r="AG476" s="1"/>
      <c r="AH476" s="9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7"/>
      <c r="AD477" s="9"/>
      <c r="AE477" s="1"/>
      <c r="AF477" s="1"/>
      <c r="AG477" s="1"/>
      <c r="AH477" s="9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7"/>
      <c r="AD478" s="9"/>
      <c r="AE478" s="1"/>
      <c r="AF478" s="1"/>
      <c r="AG478" s="1"/>
      <c r="AH478" s="9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7"/>
      <c r="AD479" s="9"/>
      <c r="AE479" s="1"/>
      <c r="AF479" s="1"/>
      <c r="AG479" s="1"/>
      <c r="AH479" s="9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7"/>
      <c r="AD480" s="9"/>
      <c r="AE480" s="1"/>
      <c r="AF480" s="1"/>
      <c r="AG480" s="1"/>
      <c r="AH480" s="9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7"/>
      <c r="AD481" s="9"/>
      <c r="AE481" s="1"/>
      <c r="AF481" s="1"/>
      <c r="AG481" s="1"/>
      <c r="AH481" s="9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7"/>
      <c r="AD482" s="9"/>
      <c r="AE482" s="1"/>
      <c r="AF482" s="1"/>
      <c r="AG482" s="1"/>
      <c r="AH482" s="9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7"/>
      <c r="AD483" s="9"/>
      <c r="AE483" s="1"/>
      <c r="AF483" s="1"/>
      <c r="AG483" s="1"/>
      <c r="AH483" s="9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7"/>
      <c r="AD484" s="9"/>
      <c r="AE484" s="1"/>
      <c r="AF484" s="1"/>
      <c r="AG484" s="1"/>
      <c r="AH484" s="9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7"/>
      <c r="AD485" s="9"/>
      <c r="AE485" s="1"/>
      <c r="AF485" s="1"/>
      <c r="AG485" s="1"/>
      <c r="AH485" s="9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7"/>
      <c r="AD486" s="9"/>
      <c r="AE486" s="1"/>
      <c r="AF486" s="1"/>
      <c r="AG486" s="1"/>
      <c r="AH486" s="9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7"/>
      <c r="AD487" s="9"/>
      <c r="AE487" s="1"/>
      <c r="AF487" s="1"/>
      <c r="AG487" s="1"/>
      <c r="AH487" s="9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7"/>
      <c r="AD488" s="9"/>
      <c r="AE488" s="1"/>
      <c r="AF488" s="1"/>
      <c r="AG488" s="1"/>
      <c r="AH488" s="9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7"/>
      <c r="AD489" s="9"/>
      <c r="AE489" s="1"/>
      <c r="AF489" s="1"/>
      <c r="AG489" s="1"/>
      <c r="AH489" s="9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7"/>
      <c r="AD490" s="9"/>
      <c r="AE490" s="1"/>
      <c r="AF490" s="1"/>
      <c r="AG490" s="1"/>
      <c r="AH490" s="9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7"/>
      <c r="AD491" s="9"/>
      <c r="AE491" s="1"/>
      <c r="AF491" s="1"/>
      <c r="AG491" s="1"/>
      <c r="AH491" s="9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7"/>
      <c r="AD492" s="9"/>
      <c r="AE492" s="1"/>
      <c r="AF492" s="1"/>
      <c r="AG492" s="1"/>
      <c r="AH492" s="9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7"/>
      <c r="AD493" s="9"/>
      <c r="AE493" s="1"/>
      <c r="AF493" s="1"/>
      <c r="AG493" s="1"/>
      <c r="AH493" s="9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7"/>
      <c r="AD494" s="9"/>
      <c r="AE494" s="1"/>
      <c r="AF494" s="1"/>
      <c r="AG494" s="1"/>
      <c r="AH494" s="9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7"/>
      <c r="AD495" s="9"/>
      <c r="AE495" s="1"/>
      <c r="AF495" s="1"/>
      <c r="AG495" s="1"/>
      <c r="AH495" s="9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7"/>
      <c r="AD496" s="9"/>
      <c r="AE496" s="1"/>
      <c r="AF496" s="1"/>
      <c r="AG496" s="1"/>
      <c r="AH496" s="9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7"/>
      <c r="AD497" s="9"/>
      <c r="AE497" s="1"/>
      <c r="AF497" s="1"/>
      <c r="AG497" s="1"/>
      <c r="AH497" s="9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7"/>
      <c r="AD498" s="9"/>
      <c r="AE498" s="1"/>
      <c r="AF498" s="1"/>
      <c r="AG498" s="1"/>
      <c r="AH498" s="9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7"/>
      <c r="AD499" s="9"/>
      <c r="AE499" s="1"/>
      <c r="AF499" s="1"/>
      <c r="AG499" s="1"/>
      <c r="AH499" s="9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H6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2026-07-02T10:06:02Z</dcterms:created>
  <dcterms:modified xsi:type="dcterms:W3CDTF">2026-07-03T10:13:37Z</dcterms:modified>
</cp:coreProperties>
</file>