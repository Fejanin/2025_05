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02,07,26 ПОКОМ ЗПФ\"/>
    </mc:Choice>
  </mc:AlternateContent>
  <xr:revisionPtr revIDLastSave="0" documentId="13_ncr:1_{9EED0BD4-2BC0-476D-8B92-69A85910988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Sheet!$A$3:$AI$69</definedName>
  </definedNames>
  <calcPr calcId="191029" refMode="R1C1"/>
</workbook>
</file>

<file path=xl/calcChain.xml><?xml version="1.0" encoding="utf-8"?>
<calcChain xmlns="http://schemas.openxmlformats.org/spreadsheetml/2006/main">
  <c r="AE70" i="1" l="1"/>
  <c r="AF70" i="1" s="1"/>
  <c r="AC70" i="1"/>
  <c r="R70" i="1" l="1"/>
  <c r="AI70" i="1"/>
  <c r="I68" i="1"/>
  <c r="I67" i="1"/>
  <c r="I66" i="1"/>
  <c r="I65" i="1"/>
  <c r="I64" i="1"/>
  <c r="I62" i="1"/>
  <c r="I61" i="1"/>
  <c r="I60" i="1"/>
  <c r="I59" i="1"/>
  <c r="I58" i="1"/>
  <c r="I57" i="1"/>
  <c r="I56" i="1"/>
  <c r="I55" i="1"/>
  <c r="I53" i="1"/>
  <c r="I52" i="1"/>
  <c r="I51" i="1"/>
  <c r="I49" i="1"/>
  <c r="I48" i="1"/>
  <c r="I47" i="1"/>
  <c r="I46" i="1"/>
  <c r="I45" i="1"/>
  <c r="I44" i="1"/>
  <c r="I43" i="1"/>
  <c r="I42" i="1"/>
  <c r="I41" i="1"/>
  <c r="I39" i="1"/>
  <c r="I38" i="1"/>
  <c r="I37" i="1"/>
  <c r="I36" i="1"/>
  <c r="I35" i="1"/>
  <c r="I34" i="1"/>
  <c r="I33" i="1"/>
  <c r="I31" i="1"/>
  <c r="I30" i="1"/>
  <c r="I28" i="1"/>
  <c r="I27" i="1"/>
  <c r="I26" i="1"/>
  <c r="I25" i="1"/>
  <c r="I23" i="1"/>
  <c r="I22" i="1"/>
  <c r="I21" i="1"/>
  <c r="I20" i="1"/>
  <c r="I11" i="1"/>
  <c r="I12" i="1"/>
  <c r="I13" i="1"/>
  <c r="I14" i="1"/>
  <c r="I15" i="1"/>
  <c r="I16" i="1"/>
  <c r="I17" i="1"/>
  <c r="I18" i="1"/>
  <c r="I10" i="1"/>
  <c r="H11" i="1"/>
  <c r="H12" i="1"/>
  <c r="H13" i="1"/>
  <c r="H14" i="1"/>
  <c r="H15" i="1"/>
  <c r="H16" i="1"/>
  <c r="H17" i="1"/>
  <c r="H18" i="1"/>
  <c r="H20" i="1"/>
  <c r="H21" i="1"/>
  <c r="H22" i="1"/>
  <c r="H23" i="1"/>
  <c r="H25" i="1"/>
  <c r="H26" i="1"/>
  <c r="H27" i="1"/>
  <c r="H28" i="1"/>
  <c r="H29" i="1"/>
  <c r="H30" i="1"/>
  <c r="H31" i="1"/>
  <c r="H33" i="1"/>
  <c r="H34" i="1"/>
  <c r="H35" i="1"/>
  <c r="H36" i="1"/>
  <c r="H37" i="1"/>
  <c r="H38" i="1"/>
  <c r="H39" i="1"/>
  <c r="H41" i="1"/>
  <c r="H42" i="1"/>
  <c r="H43" i="1"/>
  <c r="H44" i="1"/>
  <c r="H45" i="1"/>
  <c r="H46" i="1"/>
  <c r="H47" i="1"/>
  <c r="H48" i="1"/>
  <c r="H49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10" i="1"/>
  <c r="G11" i="1"/>
  <c r="G12" i="1"/>
  <c r="G13" i="1"/>
  <c r="G14" i="1"/>
  <c r="G15" i="1"/>
  <c r="G16" i="1"/>
  <c r="G17" i="1"/>
  <c r="G18" i="1"/>
  <c r="G20" i="1"/>
  <c r="G21" i="1"/>
  <c r="G22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1" i="1"/>
  <c r="G42" i="1"/>
  <c r="G43" i="1"/>
  <c r="G44" i="1"/>
  <c r="G45" i="1"/>
  <c r="G46" i="1"/>
  <c r="G47" i="1"/>
  <c r="G48" i="1"/>
  <c r="G49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10" i="1"/>
  <c r="P44" i="1" l="1"/>
  <c r="AJ44" i="1" s="1"/>
  <c r="P69" i="1" l="1"/>
  <c r="L69" i="1"/>
  <c r="F68" i="1"/>
  <c r="E68" i="1"/>
  <c r="L68" i="1" s="1"/>
  <c r="P67" i="1"/>
  <c r="AJ67" i="1" s="1"/>
  <c r="L67" i="1"/>
  <c r="P66" i="1"/>
  <c r="L66" i="1"/>
  <c r="P65" i="1"/>
  <c r="L65" i="1"/>
  <c r="F64" i="1"/>
  <c r="E64" i="1"/>
  <c r="L64" i="1" s="1"/>
  <c r="P63" i="1"/>
  <c r="AJ63" i="1" s="1"/>
  <c r="L63" i="1"/>
  <c r="P62" i="1"/>
  <c r="AJ62" i="1" s="1"/>
  <c r="L62" i="1"/>
  <c r="P61" i="1"/>
  <c r="L61" i="1"/>
  <c r="P60" i="1"/>
  <c r="L60" i="1"/>
  <c r="P59" i="1"/>
  <c r="AJ59" i="1" s="1"/>
  <c r="L59" i="1"/>
  <c r="P58" i="1"/>
  <c r="AJ58" i="1" s="1"/>
  <c r="L58" i="1"/>
  <c r="P57" i="1"/>
  <c r="AJ57" i="1" s="1"/>
  <c r="L57" i="1"/>
  <c r="P56" i="1"/>
  <c r="L56" i="1"/>
  <c r="P55" i="1"/>
  <c r="L55" i="1"/>
  <c r="P54" i="1"/>
  <c r="AJ54" i="1" s="1"/>
  <c r="L54" i="1"/>
  <c r="P53" i="1"/>
  <c r="AJ53" i="1" s="1"/>
  <c r="L53" i="1"/>
  <c r="P52" i="1"/>
  <c r="AJ52" i="1" s="1"/>
  <c r="L52" i="1"/>
  <c r="P51" i="1"/>
  <c r="AJ51" i="1" s="1"/>
  <c r="L51" i="1"/>
  <c r="P50" i="1"/>
  <c r="L50" i="1"/>
  <c r="P49" i="1"/>
  <c r="L49" i="1"/>
  <c r="P48" i="1"/>
  <c r="AJ48" i="1" s="1"/>
  <c r="L48" i="1"/>
  <c r="F47" i="1"/>
  <c r="E47" i="1"/>
  <c r="L47" i="1" s="1"/>
  <c r="P46" i="1"/>
  <c r="AJ46" i="1" s="1"/>
  <c r="L46" i="1"/>
  <c r="P45" i="1"/>
  <c r="L45" i="1"/>
  <c r="L44" i="1"/>
  <c r="P43" i="1"/>
  <c r="AJ43" i="1" s="1"/>
  <c r="L43" i="1"/>
  <c r="P42" i="1"/>
  <c r="AJ42" i="1" s="1"/>
  <c r="L42" i="1"/>
  <c r="P41" i="1"/>
  <c r="AJ41" i="1" s="1"/>
  <c r="L41" i="1"/>
  <c r="P40" i="1"/>
  <c r="AJ40" i="1" s="1"/>
  <c r="L40" i="1"/>
  <c r="P39" i="1"/>
  <c r="AJ39" i="1" s="1"/>
  <c r="L39" i="1"/>
  <c r="P38" i="1"/>
  <c r="L38" i="1"/>
  <c r="P37" i="1"/>
  <c r="AJ37" i="1" s="1"/>
  <c r="L37" i="1"/>
  <c r="P36" i="1"/>
  <c r="AJ36" i="1" s="1"/>
  <c r="L36" i="1"/>
  <c r="P35" i="1"/>
  <c r="AJ35" i="1" s="1"/>
  <c r="L35" i="1"/>
  <c r="P34" i="1"/>
  <c r="AJ34" i="1" s="1"/>
  <c r="L34" i="1"/>
  <c r="P33" i="1"/>
  <c r="L33" i="1"/>
  <c r="P32" i="1"/>
  <c r="L32" i="1"/>
  <c r="P31" i="1"/>
  <c r="L31" i="1"/>
  <c r="P30" i="1"/>
  <c r="L30" i="1"/>
  <c r="P29" i="1"/>
  <c r="AJ29" i="1" s="1"/>
  <c r="L29" i="1"/>
  <c r="P28" i="1"/>
  <c r="AJ28" i="1" s="1"/>
  <c r="L28" i="1"/>
  <c r="P27" i="1"/>
  <c r="AJ27" i="1" s="1"/>
  <c r="L27" i="1"/>
  <c r="P26" i="1"/>
  <c r="L26" i="1"/>
  <c r="P25" i="1"/>
  <c r="AJ25" i="1" s="1"/>
  <c r="L25" i="1"/>
  <c r="P24" i="1"/>
  <c r="AJ24" i="1" s="1"/>
  <c r="L24" i="1"/>
  <c r="P23" i="1"/>
  <c r="AJ23" i="1" s="1"/>
  <c r="L23" i="1"/>
  <c r="P22" i="1"/>
  <c r="L22" i="1"/>
  <c r="P21" i="1"/>
  <c r="L21" i="1"/>
  <c r="F20" i="1"/>
  <c r="E20" i="1"/>
  <c r="L20" i="1" s="1"/>
  <c r="P19" i="1"/>
  <c r="L19" i="1"/>
  <c r="P18" i="1"/>
  <c r="L18" i="1"/>
  <c r="P17" i="1"/>
  <c r="AJ17" i="1" s="1"/>
  <c r="L17" i="1"/>
  <c r="P16" i="1"/>
  <c r="AJ16" i="1" s="1"/>
  <c r="L16" i="1"/>
  <c r="F15" i="1"/>
  <c r="E15" i="1"/>
  <c r="L15" i="1" s="1"/>
  <c r="P14" i="1"/>
  <c r="L14" i="1"/>
  <c r="P13" i="1"/>
  <c r="L13" i="1"/>
  <c r="P12" i="1"/>
  <c r="L12" i="1"/>
  <c r="P11" i="1"/>
  <c r="AJ11" i="1" s="1"/>
  <c r="L11" i="1"/>
  <c r="P10" i="1"/>
  <c r="AJ10" i="1" s="1"/>
  <c r="L10" i="1"/>
  <c r="P9" i="1"/>
  <c r="AJ9" i="1" s="1"/>
  <c r="L9" i="1"/>
  <c r="P8" i="1"/>
  <c r="L8" i="1"/>
  <c r="P7" i="1"/>
  <c r="L7" i="1"/>
  <c r="P6" i="1"/>
  <c r="L6" i="1"/>
  <c r="AA5" i="1"/>
  <c r="Z5" i="1"/>
  <c r="Y5" i="1"/>
  <c r="X5" i="1"/>
  <c r="W5" i="1"/>
  <c r="V5" i="1"/>
  <c r="O5" i="1"/>
  <c r="N5" i="1"/>
  <c r="M5" i="1"/>
  <c r="K5" i="1"/>
  <c r="Q60" i="1" l="1"/>
  <c r="AJ60" i="1"/>
  <c r="Q61" i="1"/>
  <c r="AJ61" i="1"/>
  <c r="U50" i="1"/>
  <c r="AJ50" i="1"/>
  <c r="T19" i="1"/>
  <c r="AJ19" i="1"/>
  <c r="Q31" i="1"/>
  <c r="AJ31" i="1"/>
  <c r="Q22" i="1"/>
  <c r="AJ22" i="1"/>
  <c r="Q65" i="1"/>
  <c r="AC65" i="1" s="1"/>
  <c r="AJ65" i="1"/>
  <c r="Q30" i="1"/>
  <c r="AJ30" i="1"/>
  <c r="Q33" i="1"/>
  <c r="AJ33" i="1"/>
  <c r="Q56" i="1"/>
  <c r="AJ56" i="1"/>
  <c r="Q66" i="1"/>
  <c r="AJ66" i="1"/>
  <c r="Q21" i="1"/>
  <c r="AJ21" i="1"/>
  <c r="T32" i="1"/>
  <c r="AJ32" i="1"/>
  <c r="Q55" i="1"/>
  <c r="AJ55" i="1"/>
  <c r="U6" i="1"/>
  <c r="AJ6" i="1"/>
  <c r="Q12" i="1"/>
  <c r="AJ12" i="1"/>
  <c r="Q13" i="1"/>
  <c r="AJ13" i="1"/>
  <c r="Q14" i="1"/>
  <c r="AJ14" i="1"/>
  <c r="Q45" i="1"/>
  <c r="AJ45" i="1"/>
  <c r="Q26" i="1"/>
  <c r="AJ26" i="1"/>
  <c r="AJ38" i="1"/>
  <c r="Q38" i="1"/>
  <c r="U7" i="1"/>
  <c r="AJ7" i="1"/>
  <c r="U8" i="1"/>
  <c r="AJ8" i="1"/>
  <c r="Q18" i="1"/>
  <c r="AJ18" i="1"/>
  <c r="Q49" i="1"/>
  <c r="AJ49" i="1"/>
  <c r="U69" i="1"/>
  <c r="AJ69" i="1"/>
  <c r="Q48" i="1"/>
  <c r="AC48" i="1" s="1"/>
  <c r="U65" i="1"/>
  <c r="E5" i="1"/>
  <c r="T7" i="1"/>
  <c r="U48" i="1"/>
  <c r="AE65" i="1"/>
  <c r="AF65" i="1" s="1"/>
  <c r="L5" i="1"/>
  <c r="U9" i="1"/>
  <c r="T9" i="1"/>
  <c r="U13" i="1"/>
  <c r="U16" i="1"/>
  <c r="Q16" i="1"/>
  <c r="U23" i="1"/>
  <c r="Q23" i="1"/>
  <c r="U28" i="1"/>
  <c r="Q28" i="1"/>
  <c r="U31" i="1"/>
  <c r="U37" i="1"/>
  <c r="Q37" i="1"/>
  <c r="U45" i="1"/>
  <c r="U49" i="1"/>
  <c r="U58" i="1"/>
  <c r="U66" i="1"/>
  <c r="U67" i="1"/>
  <c r="Q67" i="1"/>
  <c r="U10" i="1"/>
  <c r="Q10" i="1"/>
  <c r="U11" i="1"/>
  <c r="Q11" i="1"/>
  <c r="U17" i="1"/>
  <c r="U24" i="1"/>
  <c r="U27" i="1"/>
  <c r="Q27" i="1"/>
  <c r="U34" i="1"/>
  <c r="Q34" i="1"/>
  <c r="U35" i="1"/>
  <c r="Q35" i="1"/>
  <c r="U36" i="1"/>
  <c r="Q36" i="1"/>
  <c r="U39" i="1"/>
  <c r="U42" i="1"/>
  <c r="Q42" i="1"/>
  <c r="U43" i="1"/>
  <c r="Q43" i="1"/>
  <c r="U44" i="1"/>
  <c r="U52" i="1"/>
  <c r="U55" i="1"/>
  <c r="U56" i="1"/>
  <c r="U57" i="1"/>
  <c r="Q57" i="1"/>
  <c r="U60" i="1"/>
  <c r="U63" i="1"/>
  <c r="U12" i="1"/>
  <c r="U14" i="1"/>
  <c r="U18" i="1"/>
  <c r="U21" i="1"/>
  <c r="U22" i="1"/>
  <c r="U25" i="1"/>
  <c r="Q25" i="1"/>
  <c r="U26" i="1"/>
  <c r="U29" i="1"/>
  <c r="U30" i="1"/>
  <c r="U33" i="1"/>
  <c r="U38" i="1"/>
  <c r="U40" i="1"/>
  <c r="U41" i="1"/>
  <c r="Q41" i="1"/>
  <c r="U46" i="1"/>
  <c r="Q46" i="1"/>
  <c r="U51" i="1"/>
  <c r="Q51" i="1"/>
  <c r="U53" i="1"/>
  <c r="Q53" i="1"/>
  <c r="U54" i="1"/>
  <c r="U59" i="1"/>
  <c r="U61" i="1"/>
  <c r="U62" i="1"/>
  <c r="Q62" i="1"/>
  <c r="P15" i="1"/>
  <c r="P20" i="1"/>
  <c r="P68" i="1"/>
  <c r="F5" i="1"/>
  <c r="T6" i="1"/>
  <c r="T8" i="1"/>
  <c r="U32" i="1"/>
  <c r="P47" i="1"/>
  <c r="T50" i="1"/>
  <c r="P64" i="1"/>
  <c r="T69" i="1"/>
  <c r="U19" i="1"/>
  <c r="Q64" i="1" l="1"/>
  <c r="AJ64" i="1"/>
  <c r="Q47" i="1"/>
  <c r="AJ47" i="1"/>
  <c r="AJ15" i="1"/>
  <c r="AJ5" i="1" s="1"/>
  <c r="Q15" i="1"/>
  <c r="AE15" i="1" s="1"/>
  <c r="U68" i="1"/>
  <c r="AJ68" i="1"/>
  <c r="U20" i="1"/>
  <c r="AJ20" i="1"/>
  <c r="R65" i="1"/>
  <c r="T65" i="1" s="1"/>
  <c r="AE48" i="1"/>
  <c r="AF48" i="1" s="1"/>
  <c r="AI65" i="1"/>
  <c r="AE64" i="1"/>
  <c r="AC64" i="1"/>
  <c r="U47" i="1"/>
  <c r="U64" i="1"/>
  <c r="AC15" i="1"/>
  <c r="AC62" i="1"/>
  <c r="AE62" i="1"/>
  <c r="AE61" i="1"/>
  <c r="AC61" i="1"/>
  <c r="AC59" i="1"/>
  <c r="AE59" i="1"/>
  <c r="AC54" i="1"/>
  <c r="AE54" i="1"/>
  <c r="AE53" i="1"/>
  <c r="AC53" i="1"/>
  <c r="AC51" i="1"/>
  <c r="AE51" i="1"/>
  <c r="AC46" i="1"/>
  <c r="AE46" i="1"/>
  <c r="AC41" i="1"/>
  <c r="AE41" i="1"/>
  <c r="AE40" i="1"/>
  <c r="AC40" i="1"/>
  <c r="AC38" i="1"/>
  <c r="AE38" i="1"/>
  <c r="AC33" i="1"/>
  <c r="AE33" i="1"/>
  <c r="AC30" i="1"/>
  <c r="AE30" i="1"/>
  <c r="AE29" i="1"/>
  <c r="AC29" i="1"/>
  <c r="AC26" i="1"/>
  <c r="AE26" i="1"/>
  <c r="AE25" i="1"/>
  <c r="AC25" i="1"/>
  <c r="AC22" i="1"/>
  <c r="AE22" i="1"/>
  <c r="AE21" i="1"/>
  <c r="AC21" i="1"/>
  <c r="AC18" i="1"/>
  <c r="AE18" i="1"/>
  <c r="AE14" i="1"/>
  <c r="AC14" i="1"/>
  <c r="AC12" i="1"/>
  <c r="AE12" i="1"/>
  <c r="AE63" i="1"/>
  <c r="AC63" i="1"/>
  <c r="AE60" i="1"/>
  <c r="AC60" i="1"/>
  <c r="AC57" i="1"/>
  <c r="AE57" i="1"/>
  <c r="AE56" i="1"/>
  <c r="AC56" i="1"/>
  <c r="AE55" i="1"/>
  <c r="AC55" i="1"/>
  <c r="AE52" i="1"/>
  <c r="AC52" i="1"/>
  <c r="AC44" i="1"/>
  <c r="AE44" i="1"/>
  <c r="AE43" i="1"/>
  <c r="AC43" i="1"/>
  <c r="AE42" i="1"/>
  <c r="AC42" i="1"/>
  <c r="AE39" i="1"/>
  <c r="AC39" i="1"/>
  <c r="AC36" i="1"/>
  <c r="AE36" i="1"/>
  <c r="AE35" i="1"/>
  <c r="AC35" i="1"/>
  <c r="AE34" i="1"/>
  <c r="AC34" i="1"/>
  <c r="AC27" i="1"/>
  <c r="AE27" i="1"/>
  <c r="AE24" i="1"/>
  <c r="AC24" i="1"/>
  <c r="AE17" i="1"/>
  <c r="AC17" i="1"/>
  <c r="AC11" i="1"/>
  <c r="AE11" i="1"/>
  <c r="AE10" i="1"/>
  <c r="AC10" i="1"/>
  <c r="AC67" i="1"/>
  <c r="AE67" i="1"/>
  <c r="AE66" i="1"/>
  <c r="AC66" i="1"/>
  <c r="AE58" i="1"/>
  <c r="AC58" i="1"/>
  <c r="AE49" i="1"/>
  <c r="AC49" i="1"/>
  <c r="AE45" i="1"/>
  <c r="AC45" i="1"/>
  <c r="AE37" i="1"/>
  <c r="AC37" i="1"/>
  <c r="AE28" i="1"/>
  <c r="AC28" i="1"/>
  <c r="AC23" i="1"/>
  <c r="AE23" i="1"/>
  <c r="AC16" i="1"/>
  <c r="AE16" i="1"/>
  <c r="AE13" i="1"/>
  <c r="AC13" i="1"/>
  <c r="U15" i="1"/>
  <c r="Q68" i="1"/>
  <c r="P5" i="1"/>
  <c r="Q20" i="1"/>
  <c r="AE31" i="1"/>
  <c r="AC31" i="1"/>
  <c r="AI48" i="1" l="1"/>
  <c r="R48" i="1"/>
  <c r="T48" i="1" s="1"/>
  <c r="AE20" i="1"/>
  <c r="AC20" i="1"/>
  <c r="AE68" i="1"/>
  <c r="AC68" i="1"/>
  <c r="AI13" i="1"/>
  <c r="R13" i="1"/>
  <c r="T13" i="1" s="1"/>
  <c r="AF13" i="1"/>
  <c r="AI28" i="1"/>
  <c r="R28" i="1"/>
  <c r="T28" i="1" s="1"/>
  <c r="AF28" i="1"/>
  <c r="AI37" i="1"/>
  <c r="R37" i="1"/>
  <c r="T37" i="1" s="1"/>
  <c r="AF37" i="1"/>
  <c r="AI45" i="1"/>
  <c r="R45" i="1"/>
  <c r="T45" i="1" s="1"/>
  <c r="AF45" i="1"/>
  <c r="AI49" i="1"/>
  <c r="R49" i="1"/>
  <c r="T49" i="1" s="1"/>
  <c r="AF49" i="1"/>
  <c r="AI58" i="1"/>
  <c r="R58" i="1"/>
  <c r="T58" i="1" s="1"/>
  <c r="AF58" i="1"/>
  <c r="AI66" i="1"/>
  <c r="R66" i="1"/>
  <c r="T66" i="1" s="1"/>
  <c r="AF66" i="1"/>
  <c r="Q5" i="1"/>
  <c r="AI11" i="1"/>
  <c r="R11" i="1"/>
  <c r="T11" i="1" s="1"/>
  <c r="AF11" i="1"/>
  <c r="AF27" i="1"/>
  <c r="R27" i="1"/>
  <c r="T27" i="1" s="1"/>
  <c r="AI27" i="1"/>
  <c r="AF36" i="1"/>
  <c r="R36" i="1"/>
  <c r="T36" i="1" s="1"/>
  <c r="AI36" i="1"/>
  <c r="AF44" i="1"/>
  <c r="R44" i="1"/>
  <c r="T44" i="1" s="1"/>
  <c r="AI44" i="1"/>
  <c r="AF57" i="1"/>
  <c r="AI57" i="1"/>
  <c r="R57" i="1"/>
  <c r="T57" i="1" s="1"/>
  <c r="AF12" i="1"/>
  <c r="R12" i="1"/>
  <c r="T12" i="1" s="1"/>
  <c r="AI12" i="1"/>
  <c r="AF18" i="1"/>
  <c r="R18" i="1"/>
  <c r="T18" i="1" s="1"/>
  <c r="AI18" i="1"/>
  <c r="AI22" i="1"/>
  <c r="R22" i="1"/>
  <c r="T22" i="1" s="1"/>
  <c r="AF22" i="1"/>
  <c r="AI26" i="1"/>
  <c r="R26" i="1"/>
  <c r="T26" i="1" s="1"/>
  <c r="AF26" i="1"/>
  <c r="AI30" i="1"/>
  <c r="R30" i="1"/>
  <c r="T30" i="1" s="1"/>
  <c r="AF30" i="1"/>
  <c r="AI33" i="1"/>
  <c r="R33" i="1"/>
  <c r="T33" i="1" s="1"/>
  <c r="AF33" i="1"/>
  <c r="AF38" i="1"/>
  <c r="R38" i="1"/>
  <c r="T38" i="1" s="1"/>
  <c r="AI38" i="1"/>
  <c r="AI41" i="1"/>
  <c r="R41" i="1"/>
  <c r="T41" i="1" s="1"/>
  <c r="AF41" i="1"/>
  <c r="AF46" i="1"/>
  <c r="R46" i="1"/>
  <c r="T46" i="1" s="1"/>
  <c r="AI46" i="1"/>
  <c r="AF51" i="1"/>
  <c r="R51" i="1"/>
  <c r="T51" i="1" s="1"/>
  <c r="AI51" i="1"/>
  <c r="AI54" i="1"/>
  <c r="R54" i="1"/>
  <c r="T54" i="1" s="1"/>
  <c r="AF54" i="1"/>
  <c r="AF59" i="1"/>
  <c r="R59" i="1"/>
  <c r="T59" i="1" s="1"/>
  <c r="AI59" i="1"/>
  <c r="AI62" i="1"/>
  <c r="R62" i="1"/>
  <c r="T62" i="1" s="1"/>
  <c r="AF62" i="1"/>
  <c r="AI15" i="1"/>
  <c r="R15" i="1"/>
  <c r="T15" i="1" s="1"/>
  <c r="AF15" i="1"/>
  <c r="AI64" i="1"/>
  <c r="R64" i="1"/>
  <c r="T64" i="1" s="1"/>
  <c r="AF64" i="1"/>
  <c r="AF31" i="1"/>
  <c r="AI31" i="1"/>
  <c r="R31" i="1"/>
  <c r="T31" i="1" s="1"/>
  <c r="R16" i="1"/>
  <c r="T16" i="1" s="1"/>
  <c r="AF16" i="1"/>
  <c r="AI16" i="1"/>
  <c r="AF23" i="1"/>
  <c r="R23" i="1"/>
  <c r="T23" i="1" s="1"/>
  <c r="AI23" i="1"/>
  <c r="AF67" i="1"/>
  <c r="AI67" i="1"/>
  <c r="R67" i="1"/>
  <c r="T67" i="1" s="1"/>
  <c r="AI10" i="1"/>
  <c r="R10" i="1"/>
  <c r="AF10" i="1"/>
  <c r="AI17" i="1"/>
  <c r="R17" i="1"/>
  <c r="T17" i="1" s="1"/>
  <c r="AF17" i="1"/>
  <c r="AI24" i="1"/>
  <c r="R24" i="1"/>
  <c r="T24" i="1" s="1"/>
  <c r="AF24" i="1"/>
  <c r="AF34" i="1"/>
  <c r="R34" i="1"/>
  <c r="T34" i="1" s="1"/>
  <c r="AI34" i="1"/>
  <c r="AI35" i="1"/>
  <c r="R35" i="1"/>
  <c r="T35" i="1" s="1"/>
  <c r="AF35" i="1"/>
  <c r="AI39" i="1"/>
  <c r="R39" i="1"/>
  <c r="T39" i="1" s="1"/>
  <c r="AF39" i="1"/>
  <c r="AF42" i="1"/>
  <c r="R42" i="1"/>
  <c r="T42" i="1" s="1"/>
  <c r="AI42" i="1"/>
  <c r="AI43" i="1"/>
  <c r="R43" i="1"/>
  <c r="T43" i="1" s="1"/>
  <c r="AF43" i="1"/>
  <c r="AI52" i="1"/>
  <c r="R52" i="1"/>
  <c r="T52" i="1" s="1"/>
  <c r="AF52" i="1"/>
  <c r="AF55" i="1"/>
  <c r="R55" i="1"/>
  <c r="T55" i="1" s="1"/>
  <c r="AI55" i="1"/>
  <c r="AI56" i="1"/>
  <c r="R56" i="1"/>
  <c r="T56" i="1" s="1"/>
  <c r="AF56" i="1"/>
  <c r="AI60" i="1"/>
  <c r="R60" i="1"/>
  <c r="T60" i="1" s="1"/>
  <c r="AF60" i="1"/>
  <c r="AF63" i="1"/>
  <c r="R63" i="1"/>
  <c r="T63" i="1" s="1"/>
  <c r="AI63" i="1"/>
  <c r="AF14" i="1"/>
  <c r="R14" i="1"/>
  <c r="T14" i="1" s="1"/>
  <c r="AI14" i="1"/>
  <c r="AF21" i="1"/>
  <c r="R21" i="1"/>
  <c r="T21" i="1" s="1"/>
  <c r="AI21" i="1"/>
  <c r="AF25" i="1"/>
  <c r="R25" i="1"/>
  <c r="T25" i="1" s="1"/>
  <c r="AI25" i="1"/>
  <c r="AF29" i="1"/>
  <c r="R29" i="1"/>
  <c r="T29" i="1" s="1"/>
  <c r="AI29" i="1"/>
  <c r="AF40" i="1"/>
  <c r="AI40" i="1"/>
  <c r="R40" i="1"/>
  <c r="T40" i="1" s="1"/>
  <c r="AF53" i="1"/>
  <c r="R53" i="1"/>
  <c r="T53" i="1" s="1"/>
  <c r="AI53" i="1"/>
  <c r="AF61" i="1"/>
  <c r="R61" i="1"/>
  <c r="T61" i="1" s="1"/>
  <c r="AI61" i="1"/>
  <c r="AE47" i="1"/>
  <c r="AE5" i="1" s="1"/>
  <c r="AC47" i="1"/>
  <c r="AC5" i="1" l="1"/>
  <c r="AI47" i="1"/>
  <c r="R47" i="1"/>
  <c r="T47" i="1" s="1"/>
  <c r="AF47" i="1"/>
  <c r="T10" i="1"/>
  <c r="AI68" i="1"/>
  <c r="R68" i="1"/>
  <c r="T68" i="1" s="1"/>
  <c r="AF68" i="1"/>
  <c r="AI20" i="1"/>
  <c r="R20" i="1"/>
  <c r="T20" i="1" s="1"/>
  <c r="AF20" i="1"/>
  <c r="AF5" i="1" l="1"/>
  <c r="AI5" i="1"/>
  <c r="R5" i="1"/>
</calcChain>
</file>

<file path=xl/sharedStrings.xml><?xml version="1.0" encoding="utf-8"?>
<sst xmlns="http://schemas.openxmlformats.org/spreadsheetml/2006/main" count="202" uniqueCount="119">
  <si>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</si>
  <si>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</si>
  <si>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</si>
  <si>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</si>
  <si>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</si>
  <si>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</si>
  <si>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</si>
  <si>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</si>
  <si>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</si>
  <si>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</si>
  <si>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</si>
  <si>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</si>
  <si>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</si>
  <si>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</si>
  <si>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</si>
  <si>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</si>
  <si>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</si>
  <si>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</si>
  <si>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</si>
  <si>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</si>
  <si>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</si>
  <si>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</si>
  <si>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</si>
  <si>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</si>
  <si>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</si>
  <si>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</si>
  <si>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</si>
  <si>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</si>
  <si>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</si>
  <si>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29,06,</t>
  </si>
  <si>
    <t>02,07,</t>
  </si>
  <si>
    <t>25,06,</t>
  </si>
  <si>
    <t>18,06,</t>
  </si>
  <si>
    <t>11,06,</t>
  </si>
  <si>
    <t>04,05,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</si>
  <si>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</si>
  <si>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</si>
  <si>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</si>
  <si>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</si>
  <si>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</si>
  <si>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</si>
  <si>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</si>
  <si>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</si>
  <si>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</si>
  <si>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</si>
  <si>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</si>
  <si>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</si>
  <si>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</si>
  <si>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</si>
  <si>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Готовые чебуманы с говядиной ТМ горячая штучка 0,28 кг.  Поком</t>
  </si>
  <si>
    <t>Готовые чебупели острые с мясом ТМ Горячая штучка флоу-пак 0,24 кг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</si>
  <si>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</si>
  <si>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</si>
  <si>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Готовые чебупели сочные с мясом ТМ Горячая штучка флоу-пак 0,48 кг XXL  Поком</t>
  </si>
  <si>
    <t>Готовые чебуреки с мясом ТМ Горячая штучка 0,09 кг флоу-пак ПОКОМ</t>
  </si>
  <si>
    <t>Готовые чебуреки со свининой и говядиной ТМ Горячая штучка ТС Базовый ассортимент 0,36 кг  ПОКОМ</t>
  </si>
  <si>
    <t>Жареные вареники с картофелем и беконом Добросельские 0,2 кг. ТМ Стародворье  ПОКОМ</t>
  </si>
  <si>
    <t>дубль</t>
  </si>
  <si>
    <t>Жареные вареники с картофелем и беконом ТМ Стародворье 0,2 кг  ПОКОМ</t>
  </si>
  <si>
    <t>Круггетсы с сырным соусом ТМ Горячая штучка ТС Круггетсы флоу-пак 0,2 кг  ПОКОМ</t>
  </si>
  <si>
    <t>Круггетсы сочные ТМ Горячая штучка ТС Круггетсы флоу-пак  0,2 кг.  ПОКОМ</t>
  </si>
  <si>
    <t>Мини-сосиски в тесте 5кг ВЕС ТМ Зареченские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</si>
  <si>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</si>
  <si>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</si>
  <si>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</si>
  <si>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Наггетсы Нагетосы Сочная курочка ТМ Горячая штучка 0,25 кг зам  ПОКОМ</t>
  </si>
  <si>
    <t>Наггетсы Нагетосы Сочная курочка со сметаной и зеленью ТМ Горячая штучка флоу-пак 0,25 кг  Поком</t>
  </si>
  <si>
    <t>Наггетсы Хрустящие ТМ Зареченские ТС Зареченские продукты. Поком</t>
  </si>
  <si>
    <t>Наггетсы Хрустящие ТМ Стародворье с сочной курочкой 0,23 кг  ПОКОМ</t>
  </si>
  <si>
    <t>акция ЮТЛ (26,06,26 - 2500)</t>
  </si>
  <si>
    <t>Наггетсы из печи 0,25кг ТМ Вязанка замор.  ПОКОМ</t>
  </si>
  <si>
    <t>Наггетсы с индейкой 0,25кг ТМ Вязанка ТС Из печи Сливушки ПОКОМ</t>
  </si>
  <si>
    <t>Наггетсы с индейкой 0,25кг ТМ Вязанка ТС Няняггетсы Сливушки НД2 замор.  ПОКОМ</t>
  </si>
  <si>
    <t>Наггетсы с куриным филе и сыром ТМ Вязанка ТС Из печи Сливушки 0,25 кг.  Поком</t>
  </si>
  <si>
    <t>Пекерсы с индейкой в сливочном соусе ТМ Горячая штучка 0,25 кг зам  ПОКОМ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</si>
  <si>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</si>
  <si>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</si>
  <si>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</si>
  <si>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</si>
  <si>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</si>
  <si>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</si>
  <si>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</si>
  <si>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</si>
  <si>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Пельмени Бульмени мини с мясом и оливковым маслом  ТС Бульмени ГШ флоу-пак сфера 0,7кг  Поком</t>
  </si>
  <si>
    <t>Пельмени Бульмени с говядиной и свининой Наваристые Горячая штучка ВЕС  ПОКОМ</t>
  </si>
  <si>
    <t>Пельмени Бульмени с говядиной и свининой ТМ Горячая штучка  флоу-пак сфера 0,4 кг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</si>
  <si>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</si>
  <si>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 флоу-пак сфера 0,4 кг .  Поком</t>
  </si>
  <si>
    <t>Пельмени Мясные с говядиной ТМ Стародворье сфера флоу-пак 1 кг  ПОКОМ</t>
  </si>
  <si>
    <t>Пельмени Отборные из свинины и говядины 0,9 кг ТМ Стародворье ТС Медвежье ушко  ПОКОМ</t>
  </si>
  <si>
    <t>нужно увеличить продажи</t>
  </si>
  <si>
    <t>Пельмени Отборные с говядиной и свининой 0,43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</si>
  <si>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</si>
  <si>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</si>
  <si>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Хотстеры Васаби-чили ТМ Горячая штучка ТС Хотстеры 0,23кг жареные ПОКОМ</t>
  </si>
  <si>
    <t>акция ЮТЛ (26,06,26 - 1800)</t>
  </si>
  <si>
    <t>Хотстеры ТМ Горячая штучка ТС Хотстеры 0,25 кг зам  ПОКОМ</t>
  </si>
  <si>
    <t>Хотстеры с сыром ТМ Горячая штучка ТС Хотстеры 0,25кг.  Поком</t>
  </si>
  <si>
    <t>Хрустипай апельсин имбирь ТМ Горячая штучка 0,18 кг  ПОКОМ</t>
  </si>
  <si>
    <t>Хрустипай манго маракуйя ТМ Горячая штучка 0,18 кг  ПОКОМ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</si>
  <si>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</si>
  <si>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</si>
  <si>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Хрустящие крылышки острые к пиву ТМ Горячая штучка 0,3кг зам  ПОКОМ</t>
  </si>
  <si>
    <t>Чебупели Курочка гриль Базовый ассортимент Фикс.вес 0,3 Пакет Горячая штучка  Поком</t>
  </si>
  <si>
    <t>Чебупицца Пепперони ТМ Горячая штучка ТС Чебупицца 0.25кг зам  ПОКОМ</t>
  </si>
  <si>
    <t>Чебупицца со вкусом 4 сыра 0,2кг ТМ Горячая штучка ТС Foodgital  ПОКОМ</t>
  </si>
  <si>
    <t>Чебупицца со вкусом Том ям ТМ Горячая штучка ТС Чебупицца 0,23кг жареные ПОКОМ</t>
  </si>
  <si>
    <t>Чебуреки Мясные вес 2,7 кг ТМ Зареченские ТС Зареченские продукты   Поком</t>
  </si>
  <si>
    <t>Чебуреки сочные ТМ Зареченские ТС Зареченские продукты.  Поком</t>
  </si>
  <si>
    <t>Чебуреки сочные, ВЕС, куриные жарен. зам  ПОКОМ</t>
  </si>
  <si>
    <t>ВНИМАНИЕ / P005043</t>
  </si>
  <si>
    <t>ВНИМАНИЕ / P005182</t>
  </si>
  <si>
    <t>ВНИМАНИЕ / P004486</t>
  </si>
  <si>
    <t>нужно увеличить продажи!!!</t>
  </si>
  <si>
    <t>Пельмени «Медвежье ушко Премиум Мясные» 0,8 классическая форма ТМ «Медвежье ушко»</t>
  </si>
  <si>
    <t>P005158</t>
  </si>
  <si>
    <t>06,07,</t>
  </si>
  <si>
    <t>1000 шт ЮТЛ</t>
  </si>
  <si>
    <t>1000шт под ЮТЛ 03,07,26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</si>
</sst>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6" fontId="1" fillId="4" borderId="1" xfId="1" applyNumberFormat="1" applyFill="1"/>
    <xf numFmtId="0" fontId="0" fillId="0" borderId="1" xfId="0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7,26\02,07,26%20&#1055;&#1054;&#1050;&#1054;&#1052;%20&#1047;&#1055;&#1060;\&#1076;&#1074;%2002,07,26%20&#1073;&#1088;&#1088;&#1089;&#1095;%20&#1087;&#1086;&#1082;%20&#1079;&#1087;&#1092;.xlsx" TargetMode="External"/><Relationship Id="rId1" Type="http://schemas.openxmlformats.org/officeDocument/2006/relationships/externalLinkPath" Target="&#1076;&#1074;%2002,07,26%20&#1073;&#1088;&#1088;&#1089;&#1095;%20&#1087;&#1086;&#1082;%20&#1079;&#1087;&#109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A1"/>
          <cell r="B1"/>
          <cell r="C1"/>
          <cell r="D1"/>
          <cell r="E1"/>
          <cell r="F1"/>
          <cell r="G1"/>
          <cell r="H1"/>
          <cell r="I1"/>
        </row>
        <row r="2">
          <cell r="A2"/>
          <cell r="B2"/>
          <cell r="C2"/>
          <cell r="D2"/>
          <cell r="E2"/>
          <cell r="F2"/>
          <cell r="G2"/>
          <cell r="H2"/>
          <cell r="I2"/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</row>
        <row r="4">
          <cell r="A4"/>
          <cell r="B4"/>
          <cell r="C4"/>
          <cell r="D4"/>
          <cell r="E4"/>
          <cell r="F4"/>
          <cell r="G4"/>
          <cell r="H4"/>
          <cell r="I4"/>
        </row>
        <row r="5">
          <cell r="A5"/>
          <cell r="B5"/>
          <cell r="C5"/>
          <cell r="D5"/>
          <cell r="E5">
            <v>11365</v>
          </cell>
          <cell r="F5">
            <v>5060.6000000000004</v>
          </cell>
          <cell r="G5"/>
          <cell r="H5"/>
          <cell r="I5"/>
        </row>
        <row r="6">
          <cell r="A6" t="str">
            <v>БОНУС_Готовые чебупели сочные с мясом ТМ Горячая штучка флоу-пак 0,24 кг  ПОКОМ</v>
          </cell>
          <cell r="B6" t="str">
            <v>шт</v>
          </cell>
          <cell r="C6">
            <v>-70</v>
          </cell>
          <cell r="D6"/>
          <cell r="E6">
            <v>21</v>
          </cell>
          <cell r="F6">
            <v>-82</v>
          </cell>
          <cell r="G6">
            <v>0</v>
          </cell>
          <cell r="H6"/>
          <cell r="I6" t="str">
            <v>бонус</v>
          </cell>
        </row>
        <row r="7">
          <cell r="A7" t="str">
            <v>БОНУС_Пельмени Бульмени со сливочным маслом ТМ Горячая штучка флоу-пак сфера 0,7 кг .  Поком</v>
          </cell>
          <cell r="B7" t="str">
            <v>шт</v>
          </cell>
          <cell r="C7">
            <v>40</v>
          </cell>
          <cell r="D7">
            <v>1</v>
          </cell>
          <cell r="E7">
            <v>63</v>
          </cell>
          <cell r="F7">
            <v>-11</v>
          </cell>
          <cell r="G7">
            <v>0</v>
          </cell>
          <cell r="H7"/>
          <cell r="I7" t="str">
            <v>бонус</v>
          </cell>
        </row>
        <row r="8">
          <cell r="A8" t="str">
            <v>БОНУС_Пирожки с мясом 3,7кг ВЕС ТМ Зареченские  ПОКОМ</v>
          </cell>
          <cell r="B8" t="str">
            <v>кг</v>
          </cell>
          <cell r="C8"/>
          <cell r="D8"/>
          <cell r="E8">
            <v>7.4</v>
          </cell>
          <cell r="F8">
            <v>-7.4</v>
          </cell>
          <cell r="G8">
            <v>0</v>
          </cell>
          <cell r="H8"/>
          <cell r="I8" t="str">
            <v>бонус</v>
          </cell>
        </row>
        <row r="9">
          <cell r="A9" t="str">
            <v>БОНУС_Чебупицца курочка по-итальянски Горячая штучка 0,25 кг зам  ПОКОМ</v>
          </cell>
          <cell r="B9" t="str">
            <v>шт</v>
          </cell>
          <cell r="C9">
            <v>32</v>
          </cell>
          <cell r="D9"/>
          <cell r="E9">
            <v>2</v>
          </cell>
          <cell r="F9">
            <v>32</v>
          </cell>
          <cell r="G9">
            <v>0</v>
          </cell>
          <cell r="H9"/>
          <cell r="I9" t="str">
            <v>бонус</v>
          </cell>
        </row>
        <row r="10">
          <cell r="A10" t="str">
            <v>Бульмени хрустящие с мясом ТМ Горячая штучка ТС Бульмени ГШ сфера 0,22 кг  Поком</v>
          </cell>
          <cell r="B10" t="str">
            <v>шт</v>
          </cell>
          <cell r="C10">
            <v>31</v>
          </cell>
          <cell r="D10"/>
          <cell r="E10">
            <v>26</v>
          </cell>
          <cell r="F10">
            <v>4</v>
          </cell>
          <cell r="G10">
            <v>0.22</v>
          </cell>
          <cell r="H10">
            <v>180</v>
          </cell>
          <cell r="I10" t="str">
            <v>P005065</v>
          </cell>
        </row>
        <row r="11">
          <cell r="A11" t="str">
            <v>Готовые бельмеши сочные с мясом ТМ Горячая штучка 0,3кг зам  ПОКОМ</v>
          </cell>
          <cell r="B11" t="str">
            <v>шт</v>
          </cell>
          <cell r="C11">
            <v>274</v>
          </cell>
          <cell r="D11"/>
          <cell r="E11">
            <v>219</v>
          </cell>
          <cell r="F11">
            <v>78</v>
          </cell>
          <cell r="G11">
            <v>0.3</v>
          </cell>
          <cell r="H11">
            <v>180</v>
          </cell>
          <cell r="I11" t="str">
            <v>P004598</v>
          </cell>
        </row>
        <row r="12">
          <cell r="A12" t="str">
            <v>Готовые чебуманы с говядиной ТМ горячая штучка 0,28 кг.  Поком</v>
          </cell>
          <cell r="B12" t="str">
            <v>шт</v>
          </cell>
          <cell r="C12">
            <v>146</v>
          </cell>
          <cell r="D12">
            <v>8</v>
          </cell>
          <cell r="E12">
            <v>159</v>
          </cell>
          <cell r="F12"/>
          <cell r="G12">
            <v>0.28000000000000003</v>
          </cell>
          <cell r="H12">
            <v>180</v>
          </cell>
          <cell r="I12" t="str">
            <v>P004597</v>
          </cell>
        </row>
        <row r="13">
          <cell r="A13" t="str">
            <v>Готовые чебупели острые с мясом ТМ Горячая штучка флоу-пак 0,24 кг  Поком</v>
          </cell>
          <cell r="B13" t="str">
            <v>шт</v>
          </cell>
          <cell r="C13">
            <v>485</v>
          </cell>
          <cell r="D13"/>
          <cell r="E13">
            <v>501</v>
          </cell>
          <cell r="F13">
            <v>15</v>
          </cell>
          <cell r="G13">
            <v>0.24</v>
          </cell>
          <cell r="H13">
            <v>180</v>
          </cell>
          <cell r="I13" t="str">
            <v>P004969</v>
          </cell>
        </row>
        <row r="14">
          <cell r="A14" t="str">
            <v>Готовые чебупели с ветчиной и сыром ТМ Горячая штучка флоу-пак 0,24 кг.  ПОКОМ</v>
          </cell>
          <cell r="B14" t="str">
            <v>шт</v>
          </cell>
          <cell r="C14">
            <v>314</v>
          </cell>
          <cell r="D14">
            <v>7</v>
          </cell>
          <cell r="E14">
            <v>414</v>
          </cell>
          <cell r="F14">
            <v>-22</v>
          </cell>
          <cell r="G14">
            <v>0.24</v>
          </cell>
          <cell r="H14">
            <v>180</v>
          </cell>
          <cell r="I14" t="str">
            <v>P004971</v>
          </cell>
        </row>
        <row r="15">
          <cell r="A15" t="str">
            <v>Готовые чебупели с мясом ТМ Горячая штучка 0,24 кг  ПОКОМ</v>
          </cell>
          <cell r="B15" t="str">
            <v>шт</v>
          </cell>
          <cell r="C15">
            <v>176</v>
          </cell>
          <cell r="D15">
            <v>7</v>
          </cell>
          <cell r="E15">
            <v>243</v>
          </cell>
          <cell r="F15">
            <v>2</v>
          </cell>
          <cell r="G15">
            <v>0.24</v>
          </cell>
          <cell r="H15">
            <v>180</v>
          </cell>
          <cell r="I15" t="str">
            <v>P004974</v>
          </cell>
        </row>
        <row r="16">
          <cell r="A16" t="str">
            <v>Готовые чебупели сочные с мясом ТМ Горячая штучка флоу-пак 0,24 кг  ПОКОМ</v>
          </cell>
          <cell r="B16" t="str">
            <v>шт</v>
          </cell>
          <cell r="C16">
            <v>492</v>
          </cell>
          <cell r="D16">
            <v>2</v>
          </cell>
          <cell r="E16">
            <v>446</v>
          </cell>
          <cell r="F16">
            <v>19</v>
          </cell>
          <cell r="G16">
            <v>0.24</v>
          </cell>
          <cell r="H16">
            <v>180</v>
          </cell>
          <cell r="I16" t="str">
            <v>P004966</v>
          </cell>
        </row>
        <row r="17">
          <cell r="A17" t="str">
            <v>Готовые чебупели сочные с мясом ТМ Горячая штучка флоу-пак 0,48 кг XXL  Поком</v>
          </cell>
          <cell r="B17" t="str">
            <v>шт</v>
          </cell>
          <cell r="C17"/>
          <cell r="D17"/>
          <cell r="E17">
            <v>3</v>
          </cell>
          <cell r="F17"/>
          <cell r="G17">
            <v>0.48</v>
          </cell>
          <cell r="H17">
            <v>180</v>
          </cell>
          <cell r="I17" t="str">
            <v>P004595</v>
          </cell>
        </row>
        <row r="18">
          <cell r="A18" t="str">
            <v>Готовые чебуреки с мясом ТМ Горячая штучка 0,09 кг флоу-пак ПОКОМ</v>
          </cell>
          <cell r="B18" t="str">
            <v>шт</v>
          </cell>
          <cell r="C18">
            <v>2</v>
          </cell>
          <cell r="D18"/>
          <cell r="E18"/>
          <cell r="F18">
            <v>2</v>
          </cell>
          <cell r="G18">
            <v>0.09</v>
          </cell>
          <cell r="H18">
            <v>180</v>
          </cell>
          <cell r="I18" t="str">
            <v>P004138</v>
          </cell>
        </row>
        <row r="19">
          <cell r="A19" t="str">
            <v>Готовые чебуреки со свининой и говядиной ТМ Горячая штучка ТС Базовый ассортимент 0,36 кг  ПОКОМ</v>
          </cell>
          <cell r="B19" t="str">
            <v>шт</v>
          </cell>
          <cell r="C19">
            <v>322</v>
          </cell>
          <cell r="D19"/>
          <cell r="E19">
            <v>225</v>
          </cell>
          <cell r="F19">
            <v>106</v>
          </cell>
          <cell r="G19">
            <v>0.36</v>
          </cell>
          <cell r="H19">
            <v>180</v>
          </cell>
          <cell r="I19" t="str">
            <v>P004583</v>
          </cell>
        </row>
        <row r="20">
          <cell r="A20" t="str">
            <v>ЖАР-ладушки с клубникой и вишней ТМ Стародворье 0,2 кг.  Поком</v>
          </cell>
          <cell r="B20" t="str">
            <v>шт</v>
          </cell>
          <cell r="C20">
            <v>56</v>
          </cell>
          <cell r="D20"/>
          <cell r="E20"/>
          <cell r="F20">
            <v>56</v>
          </cell>
          <cell r="G20">
            <v>0</v>
          </cell>
          <cell r="H20"/>
          <cell r="I20" t="str">
            <v>завод вывел</v>
          </cell>
        </row>
        <row r="21">
          <cell r="A21" t="str">
            <v>Жареные вареники с картофелем и беконом ТМ Стародворье 0,2 кг  ПОКОМ</v>
          </cell>
          <cell r="B21" t="str">
            <v>шт</v>
          </cell>
          <cell r="C21"/>
          <cell r="D21"/>
          <cell r="E21"/>
          <cell r="F21"/>
          <cell r="G21">
            <v>0.2</v>
          </cell>
          <cell r="H21">
            <v>180</v>
          </cell>
          <cell r="I21" t="str">
            <v>P005129</v>
          </cell>
        </row>
        <row r="22">
          <cell r="A22" t="str">
            <v>Круггетсы с сырным соусом ТМ Горячая штучка ТС Круггетсы флоу-пак 0,2 кг  ПОКОМ</v>
          </cell>
          <cell r="B22" t="str">
            <v>шт</v>
          </cell>
          <cell r="C22">
            <v>351</v>
          </cell>
          <cell r="D22"/>
          <cell r="E22">
            <v>399</v>
          </cell>
          <cell r="F22">
            <v>-5</v>
          </cell>
          <cell r="G22">
            <v>0.2</v>
          </cell>
          <cell r="H22">
            <v>180</v>
          </cell>
          <cell r="I22" t="str">
            <v>P004956</v>
          </cell>
        </row>
        <row r="23">
          <cell r="A23" t="str">
            <v>Круггетсы сочные ТМ Горячая штучка ТС Круггетсы флоу-пак  0,2 кг.  ПОКОМ</v>
          </cell>
          <cell r="B23" t="str">
            <v>шт</v>
          </cell>
          <cell r="C23">
            <v>209</v>
          </cell>
          <cell r="D23">
            <v>1</v>
          </cell>
          <cell r="E23">
            <v>206</v>
          </cell>
          <cell r="F23">
            <v>15</v>
          </cell>
          <cell r="G23">
            <v>0.2</v>
          </cell>
          <cell r="H23">
            <v>180</v>
          </cell>
          <cell r="I23" t="str">
            <v>P004953</v>
          </cell>
        </row>
        <row r="24">
          <cell r="A24" t="str">
            <v>Мини-сосиски в тесте 5кг ВЕС ТМ Зареченские  ПОКОМ</v>
          </cell>
          <cell r="B24" t="str">
            <v>кг</v>
          </cell>
          <cell r="C24">
            <v>5</v>
          </cell>
          <cell r="D24"/>
          <cell r="E24"/>
          <cell r="F24">
            <v>5</v>
          </cell>
          <cell r="G24">
            <v>1</v>
          </cell>
          <cell r="H24">
            <v>180</v>
          </cell>
          <cell r="I24" t="str">
            <v>P005235</v>
          </cell>
        </row>
        <row r="25">
          <cell r="A25" t="str">
            <v>Мини-шарики с курочкой и сыром ТМ Зареченские ВЕС ПОКОМ</v>
          </cell>
          <cell r="B25" t="str">
            <v>кг</v>
          </cell>
          <cell r="C25">
            <v>111</v>
          </cell>
          <cell r="D25"/>
          <cell r="E25">
            <v>42</v>
          </cell>
          <cell r="F25">
            <v>66</v>
          </cell>
          <cell r="G25">
            <v>1</v>
          </cell>
          <cell r="H25">
            <v>180</v>
          </cell>
          <cell r="I25" t="str">
            <v>P004394</v>
          </cell>
        </row>
        <row r="26">
          <cell r="A26" t="str">
            <v>Наггетсы Нагетосы Сочная курочка ТМ Горячая штучка 0,25 кг зам  ПОКОМ</v>
          </cell>
          <cell r="B26" t="str">
            <v>шт</v>
          </cell>
          <cell r="C26">
            <v>139</v>
          </cell>
          <cell r="D26">
            <v>8</v>
          </cell>
          <cell r="E26">
            <v>257</v>
          </cell>
          <cell r="F26">
            <v>-76</v>
          </cell>
          <cell r="G26">
            <v>0.25</v>
          </cell>
          <cell r="H26">
            <v>365</v>
          </cell>
          <cell r="I26" t="str">
            <v>P004602</v>
          </cell>
        </row>
        <row r="27">
          <cell r="A27" t="str">
            <v>Наггетсы Нагетосы Сочная курочка со сметаной и зеленью ТМ Горячая штучка флоу-пак 0,25 кг  Поком</v>
          </cell>
          <cell r="B27" t="str">
            <v>шт</v>
          </cell>
          <cell r="C27">
            <v>180</v>
          </cell>
          <cell r="D27">
            <v>4</v>
          </cell>
          <cell r="E27">
            <v>207</v>
          </cell>
          <cell r="F27"/>
          <cell r="G27">
            <v>0.25</v>
          </cell>
          <cell r="H27">
            <v>365</v>
          </cell>
          <cell r="I27" t="str">
            <v>P004600</v>
          </cell>
        </row>
        <row r="28">
          <cell r="A28" t="str">
            <v>Наггетсы Хрустящие ТМ Зареченские ТС Зареченские продукты. Поком</v>
          </cell>
          <cell r="B28" t="str">
            <v>кг</v>
          </cell>
          <cell r="C28"/>
          <cell r="D28"/>
          <cell r="E28"/>
          <cell r="F28"/>
          <cell r="G28">
            <v>1</v>
          </cell>
          <cell r="H28">
            <v>180</v>
          </cell>
          <cell r="I28" t="str">
            <v>P003486</v>
          </cell>
        </row>
        <row r="29">
          <cell r="A29" t="str">
            <v>Наггетсы Хрустящие ТМ Стародворье с сочной курочкой 0,23 кг  ПОКОМ</v>
          </cell>
          <cell r="B29" t="str">
            <v>шт</v>
          </cell>
          <cell r="C29">
            <v>13</v>
          </cell>
          <cell r="D29"/>
          <cell r="E29">
            <v>32</v>
          </cell>
          <cell r="F29"/>
          <cell r="G29">
            <v>0.23</v>
          </cell>
          <cell r="H29">
            <v>180</v>
          </cell>
          <cell r="I29" t="str">
            <v>P005043</v>
          </cell>
        </row>
        <row r="30">
          <cell r="A30" t="str">
            <v>Наггетсы из печи 0,25кг ТМ Вязанка замор.  ПОКОМ</v>
          </cell>
          <cell r="B30" t="str">
            <v>шт</v>
          </cell>
          <cell r="C30">
            <v>172</v>
          </cell>
          <cell r="D30">
            <v>3</v>
          </cell>
          <cell r="E30">
            <v>197</v>
          </cell>
          <cell r="F30">
            <v>-2</v>
          </cell>
          <cell r="G30">
            <v>0.25</v>
          </cell>
          <cell r="H30">
            <v>365</v>
          </cell>
          <cell r="I30" t="str">
            <v>P004497</v>
          </cell>
        </row>
        <row r="31">
          <cell r="A31" t="str">
            <v>Наггетсы с индейкой 0,25кг ТМ Вязанка ТС Из печи Сливушки ПОКОМ</v>
          </cell>
          <cell r="B31" t="str">
            <v>шт</v>
          </cell>
          <cell r="C31">
            <v>454</v>
          </cell>
          <cell r="D31">
            <v>15</v>
          </cell>
          <cell r="E31">
            <v>400</v>
          </cell>
          <cell r="F31">
            <v>97</v>
          </cell>
          <cell r="G31">
            <v>0.25</v>
          </cell>
          <cell r="H31">
            <v>365</v>
          </cell>
          <cell r="I31" t="str">
            <v>P004496</v>
          </cell>
        </row>
        <row r="32">
          <cell r="A32" t="str">
            <v>Наггетсы с индейкой 0,25кг ТМ Вязанка ТС Няняггетсы Сливушки НД2 замор.  ПОКОМ</v>
          </cell>
          <cell r="B32" t="str">
            <v>шт</v>
          </cell>
          <cell r="C32">
            <v>-1</v>
          </cell>
          <cell r="D32"/>
          <cell r="E32"/>
          <cell r="F32">
            <v>-1</v>
          </cell>
          <cell r="G32">
            <v>0</v>
          </cell>
          <cell r="H32"/>
          <cell r="I32" t="str">
            <v>дубль</v>
          </cell>
        </row>
        <row r="33">
          <cell r="A33" t="str">
            <v>Наггетсы с куриным филе и сыром ТМ Вязанка ТС Из печи Сливушки 0,25 кг.  Поком</v>
          </cell>
          <cell r="B33" t="str">
            <v>шт</v>
          </cell>
          <cell r="C33">
            <v>164</v>
          </cell>
          <cell r="D33">
            <v>6</v>
          </cell>
          <cell r="E33">
            <v>193</v>
          </cell>
          <cell r="F33">
            <v>-8</v>
          </cell>
          <cell r="G33">
            <v>0.25</v>
          </cell>
          <cell r="H33">
            <v>180</v>
          </cell>
          <cell r="I33" t="str">
            <v>P004535</v>
          </cell>
        </row>
        <row r="34">
          <cell r="A34" t="str">
            <v>Пекерсы с индейкой в сливочном соусе ТМ Горячая штучка 0,25 кг зам  ПОКОМ</v>
          </cell>
          <cell r="B34" t="str">
            <v>шт</v>
          </cell>
          <cell r="C34">
            <v>-4</v>
          </cell>
          <cell r="D34"/>
          <cell r="E34"/>
          <cell r="F34">
            <v>-4</v>
          </cell>
          <cell r="G34">
            <v>0.25</v>
          </cell>
          <cell r="H34">
            <v>180</v>
          </cell>
          <cell r="I34" t="str">
            <v>P004594</v>
          </cell>
        </row>
        <row r="35">
          <cell r="A35" t="str">
            <v>Пельмени Grandmeni с говядиной ТМ Горячаяштучка флоу-пак сфера 0,7 кг.  Поком</v>
          </cell>
          <cell r="B35" t="str">
            <v>шт</v>
          </cell>
          <cell r="C35">
            <v>65</v>
          </cell>
          <cell r="D35"/>
          <cell r="E35">
            <v>65</v>
          </cell>
          <cell r="F35">
            <v>25</v>
          </cell>
          <cell r="G35">
            <v>0.7</v>
          </cell>
          <cell r="H35">
            <v>180</v>
          </cell>
          <cell r="I35" t="str">
            <v>P004887</v>
          </cell>
        </row>
        <row r="36">
          <cell r="A36" t="str">
            <v>Пельмени Grandmeni с говядиной и свининой ТМ Горячаяштучка флоу-па классическая форма 0,7 кг.  Поком</v>
          </cell>
          <cell r="B36" t="str">
            <v>шт</v>
          </cell>
          <cell r="C36">
            <v>155</v>
          </cell>
          <cell r="D36">
            <v>3</v>
          </cell>
          <cell r="E36">
            <v>110</v>
          </cell>
          <cell r="F36">
            <v>60</v>
          </cell>
          <cell r="G36">
            <v>0.7</v>
          </cell>
          <cell r="H36">
            <v>180</v>
          </cell>
          <cell r="I36" t="str">
            <v>P004889</v>
          </cell>
        </row>
        <row r="37">
          <cell r="A37" t="str">
            <v>Пельмени Grandmeni со сливочным маслом  ТМ Горячая штучка флоу-пак сфера 0,7 кг.  Поком</v>
          </cell>
          <cell r="B37" t="str">
            <v>шт</v>
          </cell>
          <cell r="C37">
            <v>159</v>
          </cell>
          <cell r="D37"/>
          <cell r="E37">
            <v>106</v>
          </cell>
          <cell r="F37">
            <v>56</v>
          </cell>
          <cell r="G37">
            <v>0.7</v>
          </cell>
          <cell r="H37">
            <v>180</v>
          </cell>
          <cell r="I37" t="str">
            <v>P004888</v>
          </cell>
        </row>
        <row r="38">
          <cell r="A38" t="str">
            <v>Пельмени Бигбули #МЕГАВКУСИЩЕ с сочной грудинкой  ТМ Горячая штучка  флоу-пак сфера 0,7 кг.  Поком</v>
          </cell>
          <cell r="B38" t="str">
            <v>шт</v>
          </cell>
          <cell r="C38">
            <v>546</v>
          </cell>
          <cell r="D38"/>
          <cell r="E38">
            <v>332</v>
          </cell>
          <cell r="F38">
            <v>290</v>
          </cell>
          <cell r="G38">
            <v>0.7</v>
          </cell>
          <cell r="H38">
            <v>180</v>
          </cell>
          <cell r="I38" t="str">
            <v>P004440</v>
          </cell>
        </row>
        <row r="39">
          <cell r="A39" t="str">
            <v>Пельмени Бигбули с мясом ТМ Горячая штучка БУЛЬМЕНИ ТС Бигбули ГШ  флоу-пак сфера 0,7.   Поком</v>
          </cell>
          <cell r="B39" t="str">
            <v>шт</v>
          </cell>
          <cell r="C39">
            <v>56</v>
          </cell>
          <cell r="D39">
            <v>3</v>
          </cell>
          <cell r="E39">
            <v>75</v>
          </cell>
          <cell r="F39">
            <v>-1</v>
          </cell>
          <cell r="G39">
            <v>0.7</v>
          </cell>
          <cell r="H39">
            <v>180</v>
          </cell>
          <cell r="I39" t="str">
            <v>P004442</v>
          </cell>
        </row>
        <row r="40">
          <cell r="A40" t="str">
            <v>Пельмени Бигбули со сливочным маслом  ТС Бигбули ГШ#МЕГАМАСЛИЩЕ флоу-пак сфера 0,7.  Поком</v>
          </cell>
          <cell r="B40" t="str">
            <v>шт</v>
          </cell>
          <cell r="C40">
            <v>55</v>
          </cell>
          <cell r="D40">
            <v>4</v>
          </cell>
          <cell r="E40">
            <v>66</v>
          </cell>
          <cell r="F40">
            <v>8</v>
          </cell>
          <cell r="G40">
            <v>0.7</v>
          </cell>
          <cell r="H40">
            <v>180</v>
          </cell>
          <cell r="I40" t="str">
            <v>P004203</v>
          </cell>
        </row>
        <row r="41">
          <cell r="A41" t="str">
            <v>Пельмени Бульмени мини с мясом и оливковым маслом  ТС Бульмени ГШ флоу-пак сфера 0,7кг  Поком</v>
          </cell>
          <cell r="B41" t="str">
            <v>шт</v>
          </cell>
          <cell r="C41">
            <v>346</v>
          </cell>
          <cell r="D41"/>
          <cell r="E41">
            <v>165</v>
          </cell>
          <cell r="F41">
            <v>187</v>
          </cell>
          <cell r="G41">
            <v>0.7</v>
          </cell>
          <cell r="H41">
            <v>180</v>
          </cell>
          <cell r="I41" t="str">
            <v>P004819</v>
          </cell>
        </row>
        <row r="42">
          <cell r="A42" t="str">
            <v>Пельмени Бульмени с говядиной и свининой Наваристые Горячая штучка ВЕС  ПОКОМ</v>
          </cell>
          <cell r="B42" t="str">
            <v>кг</v>
          </cell>
          <cell r="C42">
            <v>455</v>
          </cell>
          <cell r="D42">
            <v>15</v>
          </cell>
          <cell r="E42">
            <v>350</v>
          </cell>
          <cell r="F42">
            <v>100</v>
          </cell>
          <cell r="G42">
            <v>1</v>
          </cell>
          <cell r="H42">
            <v>180</v>
          </cell>
          <cell r="I42" t="str">
            <v>P003697</v>
          </cell>
        </row>
        <row r="43">
          <cell r="A43" t="str">
            <v>Пельмени Бульмени с говядиной и свининой ТМ Горячая штучка  флоу-пак сфера 0,4 кг  Поком</v>
          </cell>
          <cell r="B43" t="str">
            <v>шт</v>
          </cell>
          <cell r="C43">
            <v>1113</v>
          </cell>
          <cell r="D43"/>
          <cell r="E43">
            <v>209</v>
          </cell>
          <cell r="F43">
            <v>894</v>
          </cell>
          <cell r="G43">
            <v>0.4</v>
          </cell>
          <cell r="H43">
            <v>180</v>
          </cell>
          <cell r="I43" t="str">
            <v>P004474</v>
          </cell>
        </row>
        <row r="44">
          <cell r="A44" t="str">
            <v>Пельмени Бульмени с говядиной и свининой ТМ Горячая штучка БУЛЬМЕНИ  флоу-пак сфера 0,7 кг.  Поком</v>
          </cell>
          <cell r="B44" t="str">
            <v>шт</v>
          </cell>
          <cell r="C44">
            <v>1247</v>
          </cell>
          <cell r="D44">
            <v>20</v>
          </cell>
          <cell r="E44">
            <v>463</v>
          </cell>
          <cell r="F44">
            <v>794</v>
          </cell>
          <cell r="G44">
            <v>0.7</v>
          </cell>
          <cell r="H44">
            <v>180</v>
          </cell>
          <cell r="I44" t="str">
            <v>P004345</v>
          </cell>
        </row>
        <row r="45">
          <cell r="A45" t="str">
            <v>Пельмени Бульмени со сливочным маслом ТМ Горячая штучка  флоу-пак сфера 0,4 кг .  Поком</v>
          </cell>
          <cell r="B45" t="str">
            <v>шт</v>
          </cell>
          <cell r="C45">
            <v>990</v>
          </cell>
          <cell r="D45">
            <v>15</v>
          </cell>
          <cell r="E45">
            <v>216</v>
          </cell>
          <cell r="F45">
            <v>757</v>
          </cell>
          <cell r="G45">
            <v>0.4</v>
          </cell>
          <cell r="H45">
            <v>180</v>
          </cell>
          <cell r="I45" t="str">
            <v>P004444</v>
          </cell>
        </row>
        <row r="46">
          <cell r="A46" t="str">
            <v>Пельмени Бульмени со сливочным маслом ТМ Горячая штучка флоу-пак сфера 0,7 кг .  Поком</v>
          </cell>
          <cell r="B46" t="str">
            <v>шт</v>
          </cell>
          <cell r="C46">
            <v>803</v>
          </cell>
          <cell r="D46">
            <v>18</v>
          </cell>
          <cell r="E46">
            <v>847</v>
          </cell>
          <cell r="F46">
            <v>67</v>
          </cell>
          <cell r="G46">
            <v>0.7</v>
          </cell>
          <cell r="H46">
            <v>180</v>
          </cell>
          <cell r="I46" t="str">
            <v>P004346</v>
          </cell>
        </row>
        <row r="47">
          <cell r="A47" t="str">
            <v>Пельмени Домашние со сливочным маслом ТМ Зареченские  продукты флоу-пак сфера 0,7 кг.  Поком</v>
          </cell>
          <cell r="B47" t="str">
            <v>шт</v>
          </cell>
          <cell r="C47">
            <v>370</v>
          </cell>
          <cell r="D47">
            <v>6</v>
          </cell>
          <cell r="E47">
            <v>325</v>
          </cell>
          <cell r="F47">
            <v>85</v>
          </cell>
          <cell r="G47">
            <v>0.7</v>
          </cell>
          <cell r="H47">
            <v>180</v>
          </cell>
          <cell r="I47" t="str">
            <v>P004060</v>
          </cell>
        </row>
        <row r="48">
          <cell r="A48" t="str">
            <v>Пельмени Мясные с говядиной ТМ Стародворье сфера флоу-пак 1 кг  ПОКОМ</v>
          </cell>
          <cell r="B48" t="str">
            <v>шт</v>
          </cell>
          <cell r="C48">
            <v>3</v>
          </cell>
          <cell r="D48"/>
          <cell r="E48">
            <v>17</v>
          </cell>
          <cell r="F48">
            <v>3</v>
          </cell>
          <cell r="G48">
            <v>1</v>
          </cell>
          <cell r="H48">
            <v>180</v>
          </cell>
          <cell r="I48" t="str">
            <v>P005048</v>
          </cell>
        </row>
        <row r="49">
          <cell r="A49" t="str">
            <v>Пельмени Отборные из свинины и говядины 0,9 кг ТМ Стародворье ТС Медвежье ушко  ПОКОМ</v>
          </cell>
          <cell r="B49" t="str">
            <v>шт</v>
          </cell>
          <cell r="C49">
            <v>32</v>
          </cell>
          <cell r="D49">
            <v>1</v>
          </cell>
          <cell r="E49">
            <v>41</v>
          </cell>
          <cell r="F49">
            <v>1</v>
          </cell>
          <cell r="G49">
            <v>0.9</v>
          </cell>
          <cell r="H49">
            <v>180</v>
          </cell>
          <cell r="I49" t="str">
            <v>P005107</v>
          </cell>
        </row>
        <row r="50">
          <cell r="A50" t="str">
            <v>Пельмени Отборные с говядиной 0,9 кг НОВА ТМ Стародворье ТС Медвежье ушко  ПОКОМ</v>
          </cell>
          <cell r="B50" t="str">
            <v>шт</v>
          </cell>
          <cell r="C50">
            <v>28</v>
          </cell>
          <cell r="D50"/>
          <cell r="E50">
            <v>31</v>
          </cell>
          <cell r="F50">
            <v>-1</v>
          </cell>
          <cell r="G50">
            <v>0.9</v>
          </cell>
          <cell r="H50">
            <v>180</v>
          </cell>
          <cell r="I50" t="str">
            <v>P005105</v>
          </cell>
        </row>
        <row r="51">
          <cell r="A51" t="str">
            <v>Пельмени С говядиной и свининой, ВЕС, ТМ Славница сфера пуговки  ПОКОМ</v>
          </cell>
          <cell r="B51" t="str">
            <v>кг</v>
          </cell>
          <cell r="C51">
            <v>950</v>
          </cell>
          <cell r="D51">
            <v>25</v>
          </cell>
          <cell r="E51">
            <v>600</v>
          </cell>
          <cell r="F51">
            <v>365</v>
          </cell>
          <cell r="G51">
            <v>1</v>
          </cell>
          <cell r="H51">
            <v>180</v>
          </cell>
          <cell r="I51" t="str">
            <v>P004472</v>
          </cell>
        </row>
        <row r="52">
          <cell r="A52" t="str">
            <v>Пельмени Со свининой и говядиной ТМ Особый рецепт Любимая ложка 1,0 кг  ПОКОМ</v>
          </cell>
          <cell r="B52" t="str">
            <v>шт</v>
          </cell>
          <cell r="C52">
            <v>326</v>
          </cell>
          <cell r="D52"/>
          <cell r="E52">
            <v>139</v>
          </cell>
          <cell r="F52">
            <v>188</v>
          </cell>
          <cell r="G52">
            <v>1</v>
          </cell>
          <cell r="H52">
            <v>180</v>
          </cell>
          <cell r="I52" t="str">
            <v>P004081</v>
          </cell>
        </row>
        <row r="53">
          <cell r="A53" t="str">
            <v>Пирожки с мясом 3,7кг ВЕС ТМ Зареченские  ПОКОМ</v>
          </cell>
          <cell r="B53" t="str">
            <v>кг</v>
          </cell>
          <cell r="C53">
            <v>26.6</v>
          </cell>
          <cell r="D53"/>
          <cell r="E53">
            <v>25.9</v>
          </cell>
          <cell r="F53">
            <v>0.69999999999999929</v>
          </cell>
          <cell r="G53">
            <v>1</v>
          </cell>
          <cell r="H53">
            <v>180</v>
          </cell>
          <cell r="I53" t="str">
            <v>P004359</v>
          </cell>
        </row>
        <row r="54">
          <cell r="A54" t="str">
            <v>Хотстеры Васаби-чили ТМ Горячая штучка ТС Хотстеры 0,23кг жареные ПОКОМ</v>
          </cell>
          <cell r="B54" t="str">
            <v>шт</v>
          </cell>
          <cell r="C54">
            <v>88</v>
          </cell>
          <cell r="D54"/>
          <cell r="E54">
            <v>95</v>
          </cell>
          <cell r="F54"/>
          <cell r="G54">
            <v>0.23</v>
          </cell>
          <cell r="H54">
            <v>180</v>
          </cell>
          <cell r="I54" t="str">
            <v>P005182</v>
          </cell>
        </row>
        <row r="55">
          <cell r="A55" t="str">
            <v>Хотстеры ТМ Горячая штучка ТС Хотстеры 0,25 кг зам  ПОКОМ</v>
          </cell>
          <cell r="B55" t="str">
            <v>шт</v>
          </cell>
          <cell r="C55">
            <v>147</v>
          </cell>
          <cell r="D55">
            <v>2</v>
          </cell>
          <cell r="E55">
            <v>169</v>
          </cell>
          <cell r="F55">
            <v>3</v>
          </cell>
          <cell r="G55">
            <v>0.25</v>
          </cell>
          <cell r="H55">
            <v>180</v>
          </cell>
          <cell r="I55" t="str">
            <v>P004489</v>
          </cell>
        </row>
        <row r="56">
          <cell r="A56" t="str">
            <v>Хотстеры с сыром ТМ Горячая штучка ТС Хотстеры 0,25кг.  Поком</v>
          </cell>
          <cell r="B56" t="str">
            <v>шт</v>
          </cell>
          <cell r="C56">
            <v>255</v>
          </cell>
          <cell r="D56">
            <v>4</v>
          </cell>
          <cell r="E56">
            <v>262</v>
          </cell>
          <cell r="F56">
            <v>15</v>
          </cell>
          <cell r="G56">
            <v>0.25</v>
          </cell>
          <cell r="H56">
            <v>180</v>
          </cell>
          <cell r="I56" t="str">
            <v>P005058</v>
          </cell>
        </row>
        <row r="57">
          <cell r="A57" t="str">
            <v>Хрустипай апельсин имбирь ТМ Горячая штучка 0,18 кг  ПОКОМ</v>
          </cell>
          <cell r="B57" t="str">
            <v>шт</v>
          </cell>
          <cell r="C57">
            <v>84</v>
          </cell>
          <cell r="D57"/>
          <cell r="E57">
            <v>21</v>
          </cell>
          <cell r="F57">
            <v>63</v>
          </cell>
          <cell r="G57">
            <v>0.18</v>
          </cell>
          <cell r="H57">
            <v>180</v>
          </cell>
          <cell r="I57" t="str">
            <v>P005201</v>
          </cell>
        </row>
        <row r="58">
          <cell r="A58" t="str">
            <v>Хрустипай манго маракуйя ТМ Горячая штучка 0,18 кг  ПОКОМ</v>
          </cell>
          <cell r="B58" t="str">
            <v>шт</v>
          </cell>
          <cell r="C58">
            <v>43</v>
          </cell>
          <cell r="D58"/>
          <cell r="E58">
            <v>14</v>
          </cell>
          <cell r="F58">
            <v>29</v>
          </cell>
          <cell r="G58">
            <v>0.18</v>
          </cell>
          <cell r="H58">
            <v>180</v>
          </cell>
          <cell r="I58" t="str">
            <v>P005199</v>
          </cell>
        </row>
        <row r="59">
          <cell r="A59" t="str">
            <v>Хрустипай манго чили ТМ Горячая штучка 0,18кг с начинкой ПОКОМ</v>
          </cell>
          <cell r="B59" t="str">
            <v>шт</v>
          </cell>
          <cell r="C59">
            <v>76</v>
          </cell>
          <cell r="D59"/>
          <cell r="E59">
            <v>1</v>
          </cell>
          <cell r="F59">
            <v>75</v>
          </cell>
          <cell r="G59">
            <v>0.18</v>
          </cell>
          <cell r="H59">
            <v>180</v>
          </cell>
          <cell r="I59" t="str">
            <v>P005200</v>
          </cell>
        </row>
        <row r="60">
          <cell r="A60" t="str">
            <v>Хрустящие крылышки ТМ Горячая штучка 0,3 кг зам  ПОКОМ</v>
          </cell>
          <cell r="B60" t="str">
            <v>шт</v>
          </cell>
          <cell r="C60">
            <v>253</v>
          </cell>
          <cell r="D60">
            <v>6</v>
          </cell>
          <cell r="E60">
            <v>348</v>
          </cell>
          <cell r="F60">
            <v>-1</v>
          </cell>
          <cell r="G60">
            <v>0.3</v>
          </cell>
          <cell r="H60">
            <v>180</v>
          </cell>
          <cell r="I60" t="str">
            <v>P004588</v>
          </cell>
        </row>
        <row r="61">
          <cell r="A61" t="str">
            <v>Хрустящие крылышки острые к пиву ТМ Горячая штучка 0,3кг зам  ПОКОМ</v>
          </cell>
          <cell r="B61" t="str">
            <v>шт</v>
          </cell>
          <cell r="C61">
            <v>449</v>
          </cell>
          <cell r="D61">
            <v>3</v>
          </cell>
          <cell r="E61">
            <v>426</v>
          </cell>
          <cell r="F61">
            <v>75</v>
          </cell>
          <cell r="G61">
            <v>0.3</v>
          </cell>
          <cell r="H61">
            <v>180</v>
          </cell>
          <cell r="I61" t="str">
            <v>P004589</v>
          </cell>
        </row>
        <row r="62">
          <cell r="A62" t="str">
            <v>Чебупели Курочка гриль Базовый ассортимент Фикс.вес 0,3 Пакет Горячая штучка  Поком</v>
          </cell>
          <cell r="B62" t="str">
            <v>шт</v>
          </cell>
          <cell r="C62">
            <v>-2</v>
          </cell>
          <cell r="D62"/>
          <cell r="E62"/>
          <cell r="F62">
            <v>-2</v>
          </cell>
          <cell r="G62">
            <v>0.3</v>
          </cell>
          <cell r="H62">
            <v>180</v>
          </cell>
          <cell r="I62" t="str">
            <v>P004113</v>
          </cell>
        </row>
        <row r="63">
          <cell r="A63" t="str">
            <v>Чебупицца Пепперони ТМ Горячая штучка ТС Чебупицца 0.25кг зам  ПОКОМ</v>
          </cell>
          <cell r="B63" t="str">
            <v>шт</v>
          </cell>
          <cell r="C63">
            <v>979</v>
          </cell>
          <cell r="D63">
            <v>17</v>
          </cell>
          <cell r="E63">
            <v>672</v>
          </cell>
          <cell r="F63">
            <v>367</v>
          </cell>
          <cell r="G63">
            <v>0.25</v>
          </cell>
          <cell r="H63">
            <v>180</v>
          </cell>
          <cell r="I63" t="str">
            <v>P004486</v>
          </cell>
        </row>
        <row r="64">
          <cell r="A64" t="str">
            <v>Чебупицца курочка по-итальянски Горячая штучка 0,25 кг зам  ПОКОМ</v>
          </cell>
          <cell r="B64" t="str">
            <v>шт</v>
          </cell>
          <cell r="C64">
            <v>124</v>
          </cell>
          <cell r="D64"/>
          <cell r="E64">
            <v>239</v>
          </cell>
          <cell r="F64">
            <v>5</v>
          </cell>
          <cell r="G64">
            <v>0.25</v>
          </cell>
          <cell r="H64">
            <v>180</v>
          </cell>
          <cell r="I64" t="str">
            <v>P004484</v>
          </cell>
        </row>
        <row r="65">
          <cell r="A65" t="str">
            <v>Чебупицца со вкусом 4 сыра 0,2кг ТМ Горячая штучка ТС Foodgital  ПОКОМ</v>
          </cell>
          <cell r="B65" t="str">
            <v>шт</v>
          </cell>
          <cell r="C65">
            <v>122</v>
          </cell>
          <cell r="D65">
            <v>3</v>
          </cell>
          <cell r="E65">
            <v>148</v>
          </cell>
          <cell r="F65">
            <v>2</v>
          </cell>
          <cell r="G65">
            <v>0.2</v>
          </cell>
          <cell r="H65">
            <v>365</v>
          </cell>
          <cell r="I65" t="str">
            <v>P004818</v>
          </cell>
        </row>
        <row r="66">
          <cell r="A66" t="str">
            <v>Чебупицца со вкусом Том ям ТМ Горячая штучка ТС Чебупицца 0,23кг жареные ПОКОМ</v>
          </cell>
          <cell r="B66" t="str">
            <v>шт</v>
          </cell>
          <cell r="C66">
            <v>42</v>
          </cell>
          <cell r="D66">
            <v>1</v>
          </cell>
          <cell r="E66">
            <v>63</v>
          </cell>
          <cell r="F66"/>
          <cell r="G66">
            <v>0.23</v>
          </cell>
          <cell r="H66">
            <v>180</v>
          </cell>
          <cell r="I66" t="str">
            <v>P005180</v>
          </cell>
        </row>
        <row r="67">
          <cell r="A67" t="str">
            <v>Чебуреки Мясные вес 2,7 кг ТМ Зареченские ТС Зареченские продукты   Поком</v>
          </cell>
          <cell r="B67" t="str">
            <v>кг</v>
          </cell>
          <cell r="C67">
            <v>32.4</v>
          </cell>
          <cell r="D67">
            <v>2.7</v>
          </cell>
          <cell r="E67">
            <v>51.3</v>
          </cell>
          <cell r="F67">
            <v>5.4</v>
          </cell>
          <cell r="G67">
            <v>1</v>
          </cell>
          <cell r="H67">
            <v>180</v>
          </cell>
          <cell r="I67" t="str">
            <v>P003478</v>
          </cell>
        </row>
        <row r="68">
          <cell r="A68" t="str">
            <v>Чебуреки сочные ТМ Зареченские ТС Зареченские продукты.  Поком</v>
          </cell>
          <cell r="B68" t="str">
            <v>кг</v>
          </cell>
          <cell r="C68">
            <v>82.3</v>
          </cell>
          <cell r="D68"/>
          <cell r="E68">
            <v>272.7</v>
          </cell>
          <cell r="F68">
            <v>119.60000000000001</v>
          </cell>
          <cell r="G68">
            <v>1</v>
          </cell>
          <cell r="H68">
            <v>180</v>
          </cell>
          <cell r="I68" t="str">
            <v>P003476</v>
          </cell>
        </row>
        <row r="69">
          <cell r="A69" t="str">
            <v>Чебуреки сочные, ВЕС, куриные жарен. зам  ПОКОМ</v>
          </cell>
          <cell r="B69" t="str">
            <v>кг</v>
          </cell>
          <cell r="C69">
            <v>282.3</v>
          </cell>
          <cell r="D69">
            <v>5</v>
          </cell>
          <cell r="E69">
            <v>137.69999999999999</v>
          </cell>
          <cell r="F69">
            <v>147.30000000000001</v>
          </cell>
          <cell r="G69">
            <v>0</v>
          </cell>
          <cell r="H69"/>
          <cell r="I69" t="str">
            <v>дубль</v>
          </cell>
        </row>
        <row r="70">
          <cell r="A70" t="str">
            <v>Пельмени «Медвежье ушко Премиум Мясные» 0,8 классическая форма ТМ «Медвежье ушко»</v>
          </cell>
          <cell r="B70" t="str">
            <v>шт</v>
          </cell>
          <cell r="C70"/>
          <cell r="D70"/>
          <cell r="E70"/>
          <cell r="F70"/>
          <cell r="G70">
            <v>0.8</v>
          </cell>
          <cell r="H70"/>
          <cell r="I70" t="str">
            <v>P005158</v>
          </cell>
        </row>
        <row r="71">
          <cell r="A71"/>
          <cell r="B71"/>
          <cell r="C71"/>
          <cell r="D71"/>
          <cell r="E71"/>
          <cell r="F71"/>
          <cell r="G71"/>
          <cell r="H71"/>
          <cell r="I71"/>
        </row>
        <row r="72">
          <cell r="A72"/>
          <cell r="B72"/>
          <cell r="C72"/>
          <cell r="D72"/>
          <cell r="E72"/>
          <cell r="F72"/>
          <cell r="G72"/>
          <cell r="H72"/>
          <cell r="I72"/>
        </row>
        <row r="73">
          <cell r="A73"/>
          <cell r="B73"/>
          <cell r="C73"/>
          <cell r="D73"/>
          <cell r="E73"/>
          <cell r="F73"/>
          <cell r="G73"/>
          <cell r="H73"/>
          <cell r="I73"/>
        </row>
        <row r="74">
          <cell r="A74"/>
          <cell r="B74"/>
          <cell r="C74"/>
          <cell r="D74"/>
          <cell r="E74"/>
          <cell r="F74"/>
          <cell r="G74"/>
          <cell r="H74"/>
          <cell r="I74"/>
        </row>
        <row r="75">
          <cell r="A75"/>
          <cell r="B75"/>
          <cell r="C75"/>
          <cell r="D75"/>
          <cell r="E75"/>
          <cell r="F75"/>
          <cell r="G75"/>
          <cell r="H75"/>
          <cell r="I75"/>
        </row>
        <row r="76">
          <cell r="A76"/>
          <cell r="B76"/>
          <cell r="C76"/>
          <cell r="D76"/>
          <cell r="E76"/>
          <cell r="F76"/>
          <cell r="G76"/>
          <cell r="H76"/>
          <cell r="I76"/>
        </row>
        <row r="77">
          <cell r="A77"/>
          <cell r="B77"/>
          <cell r="C77"/>
          <cell r="D77"/>
          <cell r="E77"/>
          <cell r="F77"/>
          <cell r="G77"/>
          <cell r="H77"/>
          <cell r="I77"/>
        </row>
        <row r="78">
          <cell r="A78"/>
          <cell r="B78"/>
          <cell r="C78"/>
          <cell r="D78"/>
          <cell r="E78"/>
          <cell r="F78"/>
          <cell r="G78"/>
          <cell r="H78"/>
          <cell r="I78"/>
        </row>
        <row r="79">
          <cell r="A79"/>
          <cell r="B79"/>
          <cell r="C79"/>
          <cell r="D79"/>
          <cell r="E79"/>
          <cell r="F79"/>
          <cell r="G79"/>
          <cell r="H79"/>
          <cell r="I79"/>
        </row>
        <row r="80">
          <cell r="A80"/>
          <cell r="B80"/>
          <cell r="C80"/>
          <cell r="D80"/>
          <cell r="E80"/>
          <cell r="F80"/>
          <cell r="G80"/>
          <cell r="H80"/>
          <cell r="I80"/>
        </row>
        <row r="81">
          <cell r="A81"/>
          <cell r="B81"/>
          <cell r="C81"/>
          <cell r="D81"/>
          <cell r="E81"/>
          <cell r="F81"/>
          <cell r="G81"/>
          <cell r="H81"/>
          <cell r="I81"/>
        </row>
        <row r="82">
          <cell r="A82"/>
          <cell r="B82"/>
          <cell r="C82"/>
          <cell r="D82"/>
          <cell r="E82"/>
          <cell r="F82"/>
          <cell r="G82"/>
          <cell r="H82"/>
          <cell r="I82"/>
        </row>
        <row r="83">
          <cell r="A83"/>
          <cell r="B83"/>
          <cell r="C83"/>
          <cell r="D83"/>
          <cell r="E83"/>
          <cell r="F83"/>
          <cell r="G83"/>
          <cell r="H83"/>
          <cell r="I83"/>
        </row>
        <row r="84">
          <cell r="A84"/>
          <cell r="B84"/>
          <cell r="C84"/>
          <cell r="D84"/>
          <cell r="E84"/>
          <cell r="F84"/>
          <cell r="G84"/>
          <cell r="H84"/>
          <cell r="I84"/>
        </row>
        <row r="85">
          <cell r="A85"/>
          <cell r="B85"/>
          <cell r="C85"/>
          <cell r="D85"/>
          <cell r="E85"/>
          <cell r="F85"/>
          <cell r="G85"/>
          <cell r="H85"/>
          <cell r="I85"/>
        </row>
        <row r="86">
          <cell r="A86"/>
          <cell r="B86"/>
          <cell r="C86"/>
          <cell r="D86"/>
          <cell r="E86"/>
          <cell r="F86"/>
          <cell r="G86"/>
          <cell r="H86"/>
          <cell r="I86"/>
        </row>
        <row r="87">
          <cell r="A87"/>
          <cell r="B87"/>
          <cell r="C87"/>
          <cell r="D87"/>
          <cell r="E87"/>
          <cell r="F87"/>
          <cell r="G87"/>
          <cell r="H87"/>
          <cell r="I87"/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</row>
        <row r="90">
          <cell r="A90"/>
          <cell r="B90"/>
          <cell r="C90"/>
          <cell r="D90"/>
          <cell r="E90"/>
          <cell r="F90"/>
          <cell r="G90"/>
          <cell r="H90"/>
          <cell r="I90"/>
        </row>
        <row r="91">
          <cell r="A91"/>
          <cell r="B91"/>
          <cell r="C91"/>
          <cell r="D91"/>
          <cell r="E91"/>
          <cell r="F91"/>
          <cell r="G91"/>
          <cell r="H91"/>
          <cell r="I91"/>
        </row>
        <row r="92">
          <cell r="A92"/>
          <cell r="B92"/>
          <cell r="C92"/>
          <cell r="D92"/>
          <cell r="E92"/>
          <cell r="F92"/>
          <cell r="G92"/>
          <cell r="H92"/>
          <cell r="I92"/>
        </row>
        <row r="93">
          <cell r="A93"/>
          <cell r="B93"/>
          <cell r="C93"/>
          <cell r="D93"/>
          <cell r="E93"/>
          <cell r="F93"/>
          <cell r="G93"/>
          <cell r="H93"/>
          <cell r="I93"/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</row>
        <row r="96">
          <cell r="A96"/>
          <cell r="B96"/>
          <cell r="C96"/>
          <cell r="D96"/>
          <cell r="E96"/>
          <cell r="F96"/>
          <cell r="G96"/>
          <cell r="H96"/>
          <cell r="I96"/>
        </row>
        <row r="97">
          <cell r="A97"/>
          <cell r="B97"/>
          <cell r="C97"/>
          <cell r="D97"/>
          <cell r="E97"/>
          <cell r="F97"/>
          <cell r="G97"/>
          <cell r="H97"/>
          <cell r="I97"/>
        </row>
        <row r="98">
          <cell r="A98"/>
          <cell r="B98"/>
          <cell r="C98"/>
          <cell r="D98"/>
          <cell r="E98"/>
          <cell r="F98"/>
          <cell r="G98"/>
          <cell r="H98"/>
          <cell r="I98"/>
        </row>
        <row r="99">
          <cell r="A99"/>
          <cell r="B99"/>
          <cell r="C99"/>
          <cell r="D99"/>
          <cell r="E99"/>
          <cell r="F99"/>
          <cell r="G99"/>
          <cell r="H99"/>
          <cell r="I99"/>
        </row>
        <row r="100">
          <cell r="A100"/>
          <cell r="B100"/>
          <cell r="C100"/>
          <cell r="D100"/>
          <cell r="E100"/>
          <cell r="F100"/>
          <cell r="G100"/>
          <cell r="H100"/>
          <cell r="I100"/>
        </row>
        <row r="101">
          <cell r="A101"/>
          <cell r="B101"/>
          <cell r="C101"/>
          <cell r="D101"/>
          <cell r="E101"/>
          <cell r="F101"/>
          <cell r="G101"/>
          <cell r="H101"/>
          <cell r="I101"/>
        </row>
        <row r="102">
          <cell r="A102"/>
          <cell r="B102"/>
          <cell r="C102"/>
          <cell r="D102"/>
          <cell r="E102"/>
          <cell r="F102"/>
          <cell r="G102"/>
          <cell r="H102"/>
          <cell r="I102"/>
        </row>
        <row r="103">
          <cell r="A103"/>
          <cell r="B103"/>
          <cell r="C103"/>
          <cell r="D103"/>
          <cell r="E103"/>
          <cell r="F103"/>
          <cell r="G103"/>
          <cell r="H103"/>
          <cell r="I103"/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</row>
        <row r="106">
          <cell r="A106"/>
          <cell r="B106"/>
          <cell r="C106"/>
          <cell r="D106"/>
          <cell r="E106"/>
          <cell r="F106"/>
          <cell r="G106"/>
          <cell r="H106"/>
          <cell r="I106"/>
        </row>
        <row r="107">
          <cell r="A107"/>
          <cell r="B107"/>
          <cell r="C107"/>
          <cell r="D107"/>
          <cell r="E107"/>
          <cell r="F107"/>
          <cell r="G107"/>
          <cell r="H107"/>
          <cell r="I107"/>
        </row>
        <row r="108">
          <cell r="A108"/>
          <cell r="B108"/>
          <cell r="C108"/>
          <cell r="D108"/>
          <cell r="E108"/>
          <cell r="F108"/>
          <cell r="G108"/>
          <cell r="H108"/>
          <cell r="I108"/>
        </row>
        <row r="109">
          <cell r="A109"/>
          <cell r="B109"/>
          <cell r="C109"/>
          <cell r="D109"/>
          <cell r="E109"/>
          <cell r="F109"/>
          <cell r="G109"/>
          <cell r="H109"/>
          <cell r="I109"/>
        </row>
        <row r="110">
          <cell r="A110"/>
          <cell r="B110"/>
          <cell r="C110"/>
          <cell r="D110"/>
          <cell r="E110"/>
          <cell r="F110"/>
          <cell r="G110"/>
          <cell r="H110"/>
          <cell r="I110"/>
        </row>
        <row r="111">
          <cell r="A111"/>
          <cell r="B111"/>
          <cell r="C111"/>
          <cell r="D111"/>
          <cell r="E111"/>
          <cell r="F111"/>
          <cell r="G111"/>
          <cell r="H111"/>
          <cell r="I111"/>
        </row>
        <row r="112">
          <cell r="A112"/>
          <cell r="B112"/>
          <cell r="C112"/>
          <cell r="D112"/>
          <cell r="E112"/>
          <cell r="F112"/>
          <cell r="G112"/>
          <cell r="H112"/>
          <cell r="I112"/>
        </row>
        <row r="113">
          <cell r="A113"/>
          <cell r="B113"/>
          <cell r="C113"/>
          <cell r="D113"/>
          <cell r="E113"/>
          <cell r="F113"/>
          <cell r="G113"/>
          <cell r="H113"/>
          <cell r="I113"/>
        </row>
        <row r="114">
          <cell r="A114"/>
          <cell r="B114"/>
          <cell r="C114"/>
          <cell r="D114"/>
          <cell r="E114"/>
          <cell r="F114"/>
          <cell r="G114"/>
          <cell r="H114"/>
          <cell r="I114"/>
        </row>
        <row r="115">
          <cell r="A115"/>
          <cell r="B115"/>
          <cell r="C115"/>
          <cell r="D115"/>
          <cell r="E115"/>
          <cell r="F115"/>
          <cell r="G115"/>
          <cell r="H115"/>
          <cell r="I115"/>
        </row>
        <row r="116">
          <cell r="A116"/>
          <cell r="B116"/>
          <cell r="C116"/>
          <cell r="D116"/>
          <cell r="E116"/>
          <cell r="F116"/>
          <cell r="G116"/>
          <cell r="H116"/>
          <cell r="I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</row>
        <row r="132">
          <cell r="A132"/>
          <cell r="B132"/>
          <cell r="C132"/>
          <cell r="D132"/>
          <cell r="E132"/>
          <cell r="F132"/>
          <cell r="G132"/>
          <cell r="H132"/>
          <cell r="I132"/>
        </row>
        <row r="133">
          <cell r="A133"/>
          <cell r="B133"/>
          <cell r="C133"/>
          <cell r="D133"/>
          <cell r="E133"/>
          <cell r="F133"/>
          <cell r="G133"/>
          <cell r="H133"/>
          <cell r="I133"/>
        </row>
        <row r="134">
          <cell r="A134"/>
          <cell r="B134"/>
          <cell r="C134"/>
          <cell r="D134"/>
          <cell r="E134"/>
          <cell r="F134"/>
          <cell r="G134"/>
          <cell r="H134"/>
          <cell r="I134"/>
        </row>
        <row r="135">
          <cell r="A135"/>
          <cell r="B135"/>
          <cell r="C135"/>
          <cell r="D135"/>
          <cell r="E135"/>
          <cell r="F135"/>
          <cell r="G135"/>
          <cell r="H135"/>
          <cell r="I135"/>
        </row>
        <row r="136">
          <cell r="A136"/>
          <cell r="B136"/>
          <cell r="C136"/>
          <cell r="D136"/>
          <cell r="E136"/>
          <cell r="F136"/>
          <cell r="G136"/>
          <cell r="H136"/>
          <cell r="I136"/>
        </row>
        <row r="137">
          <cell r="A137"/>
          <cell r="B137"/>
          <cell r="C137"/>
          <cell r="D137"/>
          <cell r="E137"/>
          <cell r="F137"/>
          <cell r="G137"/>
          <cell r="H137"/>
          <cell r="I137"/>
        </row>
        <row r="138">
          <cell r="A138"/>
          <cell r="B138"/>
          <cell r="C138"/>
          <cell r="D138"/>
          <cell r="E138"/>
          <cell r="F138"/>
          <cell r="G138"/>
          <cell r="H138"/>
          <cell r="I138"/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</row>
        <row r="141">
          <cell r="A141"/>
          <cell r="B141"/>
          <cell r="C141"/>
          <cell r="D141"/>
          <cell r="E141"/>
          <cell r="F141"/>
          <cell r="G141"/>
          <cell r="H141"/>
          <cell r="I141"/>
        </row>
        <row r="142">
          <cell r="A142"/>
          <cell r="B142"/>
          <cell r="C142"/>
          <cell r="D142"/>
          <cell r="E142"/>
          <cell r="F142"/>
          <cell r="G142"/>
          <cell r="H142"/>
          <cell r="I142"/>
        </row>
        <row r="143">
          <cell r="A143"/>
          <cell r="B143"/>
          <cell r="C143"/>
          <cell r="D143"/>
          <cell r="E143"/>
          <cell r="F143"/>
          <cell r="G143"/>
          <cell r="H143"/>
          <cell r="I143"/>
        </row>
        <row r="144">
          <cell r="A144"/>
          <cell r="B144"/>
          <cell r="C144"/>
          <cell r="D144"/>
          <cell r="E144"/>
          <cell r="F144"/>
          <cell r="G144"/>
          <cell r="H144"/>
          <cell r="I144"/>
        </row>
        <row r="145">
          <cell r="A145"/>
          <cell r="B145"/>
          <cell r="C145"/>
          <cell r="D145"/>
          <cell r="E145"/>
          <cell r="F145"/>
          <cell r="G145"/>
          <cell r="H145"/>
          <cell r="I145"/>
        </row>
        <row r="146">
          <cell r="A146"/>
          <cell r="B146"/>
          <cell r="C146"/>
          <cell r="D146"/>
          <cell r="E146"/>
          <cell r="F146"/>
          <cell r="G146"/>
          <cell r="H146"/>
          <cell r="I146"/>
        </row>
        <row r="147">
          <cell r="A147"/>
          <cell r="B147"/>
          <cell r="C147"/>
          <cell r="D147"/>
          <cell r="E147"/>
          <cell r="F147"/>
          <cell r="G147"/>
          <cell r="H147"/>
          <cell r="I147"/>
        </row>
        <row r="148">
          <cell r="A148"/>
          <cell r="B148"/>
          <cell r="C148"/>
          <cell r="D148"/>
          <cell r="E148"/>
          <cell r="F148"/>
          <cell r="G148"/>
          <cell r="H148"/>
          <cell r="I148"/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</row>
        <row r="151">
          <cell r="A151"/>
          <cell r="B151"/>
          <cell r="C151"/>
          <cell r="D151"/>
          <cell r="E151"/>
          <cell r="F151"/>
          <cell r="G151"/>
          <cell r="H151"/>
          <cell r="I151"/>
        </row>
        <row r="152">
          <cell r="A152"/>
          <cell r="B152"/>
          <cell r="C152"/>
          <cell r="D152"/>
          <cell r="E152"/>
          <cell r="F152"/>
          <cell r="G152"/>
          <cell r="H152"/>
          <cell r="I152"/>
        </row>
        <row r="153">
          <cell r="A153"/>
          <cell r="B153"/>
          <cell r="C153"/>
          <cell r="D153"/>
          <cell r="E153"/>
          <cell r="F153"/>
          <cell r="G153"/>
          <cell r="H153"/>
          <cell r="I153"/>
        </row>
        <row r="154">
          <cell r="A154"/>
          <cell r="B154"/>
          <cell r="C154"/>
          <cell r="D154"/>
          <cell r="E154"/>
          <cell r="F154"/>
          <cell r="G154"/>
          <cell r="H154"/>
          <cell r="I154"/>
        </row>
        <row r="155">
          <cell r="A155"/>
          <cell r="B155"/>
          <cell r="C155"/>
          <cell r="D155"/>
          <cell r="E155"/>
          <cell r="F155"/>
          <cell r="G155"/>
          <cell r="H155"/>
          <cell r="I155"/>
        </row>
        <row r="156">
          <cell r="A156"/>
          <cell r="B156"/>
          <cell r="C156"/>
          <cell r="D156"/>
          <cell r="E156"/>
          <cell r="F156"/>
          <cell r="G156"/>
          <cell r="H156"/>
          <cell r="I156"/>
        </row>
        <row r="157">
          <cell r="A157"/>
          <cell r="B157"/>
          <cell r="C157"/>
          <cell r="D157"/>
          <cell r="E157"/>
          <cell r="F157"/>
          <cell r="G157"/>
          <cell r="H157"/>
          <cell r="I157"/>
        </row>
        <row r="158">
          <cell r="A158"/>
          <cell r="B158"/>
          <cell r="C158"/>
          <cell r="D158"/>
          <cell r="E158"/>
          <cell r="F158"/>
          <cell r="G158"/>
          <cell r="H158"/>
          <cell r="I158"/>
        </row>
        <row r="159">
          <cell r="A159"/>
          <cell r="B159"/>
          <cell r="C159"/>
          <cell r="D159"/>
          <cell r="E159"/>
          <cell r="F159"/>
          <cell r="G159"/>
          <cell r="H159"/>
          <cell r="I159"/>
        </row>
        <row r="160">
          <cell r="A160"/>
          <cell r="B160"/>
          <cell r="C160"/>
          <cell r="D160"/>
          <cell r="E160"/>
          <cell r="F160"/>
          <cell r="G160"/>
          <cell r="H160"/>
          <cell r="I160"/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</row>
        <row r="163">
          <cell r="A163"/>
          <cell r="B163"/>
          <cell r="C163"/>
          <cell r="D163"/>
          <cell r="E163"/>
          <cell r="F163"/>
          <cell r="G163"/>
          <cell r="H163"/>
          <cell r="I163"/>
        </row>
        <row r="164">
          <cell r="A164"/>
          <cell r="B164"/>
          <cell r="C164"/>
          <cell r="D164"/>
          <cell r="E164"/>
          <cell r="F164"/>
          <cell r="G164"/>
          <cell r="H164"/>
          <cell r="I164"/>
        </row>
        <row r="165">
          <cell r="A165"/>
          <cell r="B165"/>
          <cell r="C165"/>
          <cell r="D165"/>
          <cell r="E165"/>
          <cell r="F165"/>
          <cell r="G165"/>
          <cell r="H165"/>
          <cell r="I165"/>
        </row>
        <row r="166">
          <cell r="A166"/>
          <cell r="B166"/>
          <cell r="C166"/>
          <cell r="D166"/>
          <cell r="E166"/>
          <cell r="F166"/>
          <cell r="G166"/>
          <cell r="H166"/>
          <cell r="I166"/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</row>
        <row r="169">
          <cell r="A169"/>
          <cell r="B169"/>
          <cell r="C169"/>
          <cell r="D169"/>
          <cell r="E169"/>
          <cell r="F169"/>
          <cell r="G169"/>
          <cell r="H169"/>
          <cell r="I169"/>
        </row>
        <row r="170">
          <cell r="A170"/>
          <cell r="B170"/>
          <cell r="C170"/>
          <cell r="D170"/>
          <cell r="E170"/>
          <cell r="F170"/>
          <cell r="G170"/>
          <cell r="H170"/>
          <cell r="I170"/>
        </row>
        <row r="171">
          <cell r="A171"/>
          <cell r="B171"/>
          <cell r="C171"/>
          <cell r="D171"/>
          <cell r="E171"/>
          <cell r="F171"/>
          <cell r="G171"/>
          <cell r="H171"/>
          <cell r="I171"/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</row>
        <row r="174">
          <cell r="A174"/>
          <cell r="B174"/>
          <cell r="C174"/>
          <cell r="D174"/>
          <cell r="E174"/>
          <cell r="F174"/>
          <cell r="G174"/>
          <cell r="H174"/>
          <cell r="I174"/>
        </row>
        <row r="175">
          <cell r="A175"/>
          <cell r="B175"/>
          <cell r="C175"/>
          <cell r="D175"/>
          <cell r="E175"/>
          <cell r="F175"/>
          <cell r="G175"/>
          <cell r="H175"/>
          <cell r="I175"/>
        </row>
        <row r="176">
          <cell r="A176"/>
          <cell r="B176"/>
          <cell r="C176"/>
          <cell r="D176"/>
          <cell r="E176"/>
          <cell r="F176"/>
          <cell r="G176"/>
          <cell r="H176"/>
          <cell r="I176"/>
        </row>
        <row r="177">
          <cell r="A177"/>
          <cell r="B177"/>
          <cell r="C177"/>
          <cell r="D177"/>
          <cell r="E177"/>
          <cell r="F177"/>
          <cell r="G177"/>
          <cell r="H177"/>
          <cell r="I177"/>
        </row>
        <row r="178">
          <cell r="A178"/>
          <cell r="B178"/>
          <cell r="C178"/>
          <cell r="D178"/>
          <cell r="E178"/>
          <cell r="F178"/>
          <cell r="G178"/>
          <cell r="H178"/>
          <cell r="I178"/>
        </row>
        <row r="179">
          <cell r="A179"/>
          <cell r="B179"/>
          <cell r="C179"/>
          <cell r="D179"/>
          <cell r="E179"/>
          <cell r="F179"/>
          <cell r="G179"/>
          <cell r="H179"/>
          <cell r="I179"/>
        </row>
        <row r="180">
          <cell r="A180"/>
          <cell r="B180"/>
          <cell r="C180"/>
          <cell r="D180"/>
          <cell r="E180"/>
          <cell r="F180"/>
          <cell r="G180"/>
          <cell r="H180"/>
          <cell r="I180"/>
        </row>
        <row r="181">
          <cell r="A181"/>
          <cell r="B181"/>
          <cell r="C181"/>
          <cell r="D181"/>
          <cell r="E181"/>
          <cell r="F181"/>
          <cell r="G181"/>
          <cell r="H181"/>
          <cell r="I181"/>
        </row>
        <row r="182">
          <cell r="A182"/>
          <cell r="B182"/>
          <cell r="C182"/>
          <cell r="D182"/>
          <cell r="E182"/>
          <cell r="F182"/>
          <cell r="G182"/>
          <cell r="H182"/>
          <cell r="I182"/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</row>
        <row r="185">
          <cell r="A185"/>
          <cell r="B185"/>
          <cell r="C185"/>
          <cell r="D185"/>
          <cell r="E185"/>
          <cell r="F185"/>
          <cell r="G185"/>
          <cell r="H185"/>
          <cell r="I185"/>
        </row>
        <row r="186">
          <cell r="A186"/>
          <cell r="B186"/>
          <cell r="C186"/>
          <cell r="D186"/>
          <cell r="E186"/>
          <cell r="F186"/>
          <cell r="G186"/>
          <cell r="H186"/>
          <cell r="I186"/>
        </row>
        <row r="187">
          <cell r="A187"/>
          <cell r="B187"/>
          <cell r="C187"/>
          <cell r="D187"/>
          <cell r="E187"/>
          <cell r="F187"/>
          <cell r="G187"/>
          <cell r="H187"/>
          <cell r="I187"/>
        </row>
        <row r="188">
          <cell r="A188"/>
          <cell r="B188"/>
          <cell r="C188"/>
          <cell r="D188"/>
          <cell r="E188"/>
          <cell r="F188"/>
          <cell r="G188"/>
          <cell r="H188"/>
          <cell r="I188"/>
        </row>
        <row r="189">
          <cell r="A189"/>
          <cell r="B189"/>
          <cell r="C189"/>
          <cell r="D189"/>
          <cell r="E189"/>
          <cell r="F189"/>
          <cell r="G189"/>
          <cell r="H189"/>
          <cell r="I189"/>
        </row>
        <row r="190">
          <cell r="A190"/>
          <cell r="B190"/>
          <cell r="C190"/>
          <cell r="D190"/>
          <cell r="E190"/>
          <cell r="F190"/>
          <cell r="G190"/>
          <cell r="H190"/>
          <cell r="I190"/>
        </row>
        <row r="191">
          <cell r="A191"/>
          <cell r="B191"/>
          <cell r="C191"/>
          <cell r="D191"/>
          <cell r="E191"/>
          <cell r="F191"/>
          <cell r="G191"/>
          <cell r="H191"/>
          <cell r="I191"/>
        </row>
        <row r="192">
          <cell r="A192"/>
          <cell r="B192"/>
          <cell r="C192"/>
          <cell r="D192"/>
          <cell r="E192"/>
          <cell r="F192"/>
          <cell r="G192"/>
          <cell r="H192"/>
          <cell r="I192"/>
        </row>
        <row r="193">
          <cell r="A193"/>
          <cell r="B193"/>
          <cell r="C193"/>
          <cell r="D193"/>
          <cell r="E193"/>
          <cell r="F193"/>
          <cell r="G193"/>
          <cell r="H193"/>
          <cell r="I193"/>
        </row>
        <row r="194">
          <cell r="A194"/>
          <cell r="B194"/>
          <cell r="C194"/>
          <cell r="D194"/>
          <cell r="E194"/>
          <cell r="F194"/>
          <cell r="G194"/>
          <cell r="H194"/>
          <cell r="I194"/>
        </row>
        <row r="195">
          <cell r="A195"/>
          <cell r="B195"/>
          <cell r="C195"/>
          <cell r="D195"/>
          <cell r="E195"/>
          <cell r="F195"/>
          <cell r="G195"/>
          <cell r="H195"/>
          <cell r="I195"/>
        </row>
        <row r="196">
          <cell r="A196"/>
          <cell r="B196"/>
          <cell r="C196"/>
          <cell r="D196"/>
          <cell r="E196"/>
          <cell r="F196"/>
          <cell r="G196"/>
          <cell r="H196"/>
          <cell r="I196"/>
        </row>
        <row r="197">
          <cell r="A197"/>
          <cell r="B197"/>
          <cell r="C197"/>
          <cell r="D197"/>
          <cell r="E197"/>
          <cell r="F197"/>
          <cell r="G197"/>
          <cell r="H197"/>
          <cell r="I197"/>
        </row>
        <row r="198">
          <cell r="A198"/>
          <cell r="B198"/>
          <cell r="C198"/>
          <cell r="D198"/>
          <cell r="E198"/>
          <cell r="F198"/>
          <cell r="G198"/>
          <cell r="H198"/>
          <cell r="I198"/>
        </row>
        <row r="199">
          <cell r="A199"/>
          <cell r="B199"/>
          <cell r="C199"/>
          <cell r="D199"/>
          <cell r="E199"/>
          <cell r="F199"/>
          <cell r="G199"/>
          <cell r="H199"/>
          <cell r="I199"/>
        </row>
        <row r="200">
          <cell r="A200"/>
          <cell r="B200"/>
          <cell r="C200"/>
          <cell r="D200"/>
          <cell r="E200"/>
          <cell r="F200"/>
          <cell r="G200"/>
          <cell r="H200"/>
          <cell r="I200"/>
        </row>
        <row r="201">
          <cell r="A201"/>
          <cell r="B201"/>
          <cell r="C201"/>
          <cell r="D201"/>
          <cell r="E201"/>
          <cell r="F201"/>
          <cell r="G201"/>
          <cell r="H201"/>
          <cell r="I201"/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</row>
        <row r="204">
          <cell r="A204"/>
          <cell r="B204"/>
          <cell r="C204"/>
          <cell r="D204"/>
          <cell r="E204"/>
          <cell r="F204"/>
          <cell r="G204"/>
          <cell r="H204"/>
          <cell r="I204"/>
        </row>
        <row r="205">
          <cell r="A205"/>
          <cell r="B205"/>
          <cell r="C205"/>
          <cell r="D205"/>
          <cell r="E205"/>
          <cell r="F205"/>
          <cell r="G205"/>
          <cell r="H205"/>
          <cell r="I205"/>
        </row>
        <row r="206">
          <cell r="A206"/>
          <cell r="B206"/>
          <cell r="C206"/>
          <cell r="D206"/>
          <cell r="E206"/>
          <cell r="F206"/>
          <cell r="G206"/>
          <cell r="H206"/>
          <cell r="I206"/>
        </row>
        <row r="207">
          <cell r="A207"/>
          <cell r="B207"/>
          <cell r="C207"/>
          <cell r="D207"/>
          <cell r="E207"/>
          <cell r="F207"/>
          <cell r="G207"/>
          <cell r="H207"/>
          <cell r="I207"/>
        </row>
        <row r="208">
          <cell r="A208"/>
          <cell r="B208"/>
          <cell r="C208"/>
          <cell r="D208"/>
          <cell r="E208"/>
          <cell r="F208"/>
          <cell r="G208"/>
          <cell r="H208"/>
          <cell r="I208"/>
        </row>
        <row r="209">
          <cell r="A209"/>
          <cell r="B209"/>
          <cell r="C209"/>
          <cell r="D209"/>
          <cell r="E209"/>
          <cell r="F209"/>
          <cell r="G209"/>
          <cell r="H209"/>
          <cell r="I209"/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</row>
        <row r="212">
          <cell r="A212"/>
          <cell r="B212"/>
          <cell r="C212"/>
          <cell r="D212"/>
          <cell r="E212"/>
          <cell r="F212"/>
          <cell r="G212"/>
          <cell r="H212"/>
          <cell r="I212"/>
        </row>
        <row r="213">
          <cell r="A213"/>
          <cell r="B213"/>
          <cell r="C213"/>
          <cell r="D213"/>
          <cell r="E213"/>
          <cell r="F213"/>
          <cell r="G213"/>
          <cell r="H213"/>
          <cell r="I213"/>
        </row>
        <row r="214">
          <cell r="A214"/>
          <cell r="B214"/>
          <cell r="C214"/>
          <cell r="D214"/>
          <cell r="E214"/>
          <cell r="F214"/>
          <cell r="G214"/>
          <cell r="H214"/>
          <cell r="I214"/>
        </row>
        <row r="215">
          <cell r="A215"/>
          <cell r="B215"/>
          <cell r="C215"/>
          <cell r="D215"/>
          <cell r="E215"/>
          <cell r="F215"/>
          <cell r="G215"/>
          <cell r="H215"/>
          <cell r="I215"/>
        </row>
        <row r="216">
          <cell r="A216"/>
          <cell r="B216"/>
          <cell r="C216"/>
          <cell r="D216"/>
          <cell r="E216"/>
          <cell r="F216"/>
          <cell r="G216"/>
          <cell r="H216"/>
          <cell r="I216"/>
        </row>
        <row r="217">
          <cell r="A217"/>
          <cell r="B217"/>
          <cell r="C217"/>
          <cell r="D217"/>
          <cell r="E217"/>
          <cell r="F217"/>
          <cell r="G217"/>
          <cell r="H217"/>
          <cell r="I217"/>
        </row>
        <row r="218">
          <cell r="A218"/>
          <cell r="B218"/>
          <cell r="C218"/>
          <cell r="D218"/>
          <cell r="E218"/>
          <cell r="F218"/>
          <cell r="G218"/>
          <cell r="H218"/>
          <cell r="I218"/>
        </row>
        <row r="219">
          <cell r="A219"/>
          <cell r="B219"/>
          <cell r="C219"/>
          <cell r="D219"/>
          <cell r="E219"/>
          <cell r="F219"/>
          <cell r="G219"/>
          <cell r="H219"/>
          <cell r="I219"/>
        </row>
        <row r="220">
          <cell r="A220"/>
          <cell r="B220"/>
          <cell r="C220"/>
          <cell r="D220"/>
          <cell r="E220"/>
          <cell r="F220"/>
          <cell r="G220"/>
          <cell r="H220"/>
          <cell r="I220"/>
        </row>
        <row r="221">
          <cell r="A221"/>
          <cell r="B221"/>
          <cell r="C221"/>
          <cell r="D221"/>
          <cell r="E221"/>
          <cell r="F221"/>
          <cell r="G221"/>
          <cell r="H221"/>
          <cell r="I221"/>
        </row>
        <row r="222">
          <cell r="A222"/>
          <cell r="B222"/>
          <cell r="C222"/>
          <cell r="D222"/>
          <cell r="E222"/>
          <cell r="F222"/>
          <cell r="G222"/>
          <cell r="H222"/>
          <cell r="I222"/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</row>
        <row r="225">
          <cell r="A225"/>
          <cell r="B225"/>
          <cell r="C225"/>
          <cell r="D225"/>
          <cell r="E225"/>
          <cell r="F225"/>
          <cell r="G225"/>
          <cell r="H225"/>
          <cell r="I225"/>
        </row>
        <row r="226">
          <cell r="A226"/>
          <cell r="B226"/>
          <cell r="C226"/>
          <cell r="D226"/>
          <cell r="E226"/>
          <cell r="F226"/>
          <cell r="G226"/>
          <cell r="H226"/>
          <cell r="I226"/>
        </row>
        <row r="227">
          <cell r="A227"/>
          <cell r="B227"/>
          <cell r="C227"/>
          <cell r="D227"/>
          <cell r="E227"/>
          <cell r="F227"/>
          <cell r="G227"/>
          <cell r="H227"/>
          <cell r="I227"/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</row>
        <row r="230">
          <cell r="A230"/>
          <cell r="B230"/>
          <cell r="C230"/>
          <cell r="D230"/>
          <cell r="E230"/>
          <cell r="F230"/>
          <cell r="G230"/>
          <cell r="H230"/>
          <cell r="I230"/>
        </row>
        <row r="231">
          <cell r="A231"/>
          <cell r="B231"/>
          <cell r="C231"/>
          <cell r="D231"/>
          <cell r="E231"/>
          <cell r="F231"/>
          <cell r="G231"/>
          <cell r="H231"/>
          <cell r="I231"/>
        </row>
        <row r="232">
          <cell r="A232"/>
          <cell r="B232"/>
          <cell r="C232"/>
          <cell r="D232"/>
          <cell r="E232"/>
          <cell r="F232"/>
          <cell r="G232"/>
          <cell r="H232"/>
          <cell r="I232"/>
        </row>
        <row r="233">
          <cell r="A233"/>
          <cell r="B233"/>
          <cell r="C233"/>
          <cell r="D233"/>
          <cell r="E233"/>
          <cell r="F233"/>
          <cell r="G233"/>
          <cell r="H233"/>
          <cell r="I233"/>
        </row>
        <row r="234">
          <cell r="A234"/>
          <cell r="B234"/>
          <cell r="C234"/>
          <cell r="D234"/>
          <cell r="E234"/>
          <cell r="F234"/>
          <cell r="G234"/>
          <cell r="H234"/>
          <cell r="I234"/>
        </row>
        <row r="235">
          <cell r="A235"/>
          <cell r="B235"/>
          <cell r="C235"/>
          <cell r="D235"/>
          <cell r="E235"/>
          <cell r="F235"/>
          <cell r="G235"/>
          <cell r="H235"/>
          <cell r="I235"/>
        </row>
        <row r="236">
          <cell r="A236"/>
          <cell r="B236"/>
          <cell r="C236"/>
          <cell r="D236"/>
          <cell r="E236"/>
          <cell r="F236"/>
          <cell r="G236"/>
          <cell r="H236"/>
          <cell r="I236"/>
        </row>
        <row r="237">
          <cell r="A237"/>
          <cell r="B237"/>
          <cell r="C237"/>
          <cell r="D237"/>
          <cell r="E237"/>
          <cell r="F237"/>
          <cell r="G237"/>
          <cell r="H237"/>
          <cell r="I237"/>
        </row>
        <row r="238">
          <cell r="A238"/>
          <cell r="B238"/>
          <cell r="C238"/>
          <cell r="D238"/>
          <cell r="E238"/>
          <cell r="F238"/>
          <cell r="G238"/>
          <cell r="H238"/>
          <cell r="I238"/>
        </row>
        <row r="239">
          <cell r="A239"/>
          <cell r="B239"/>
          <cell r="C239"/>
          <cell r="D239"/>
          <cell r="E239"/>
          <cell r="F239"/>
          <cell r="G239"/>
          <cell r="H239"/>
          <cell r="I239"/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</row>
        <row r="242">
          <cell r="A242"/>
          <cell r="B242"/>
          <cell r="C242"/>
          <cell r="D242"/>
          <cell r="E242"/>
          <cell r="F242"/>
          <cell r="G242"/>
          <cell r="H242"/>
          <cell r="I242"/>
        </row>
        <row r="243">
          <cell r="A243"/>
          <cell r="B243"/>
          <cell r="C243"/>
          <cell r="D243"/>
          <cell r="E243"/>
          <cell r="F243"/>
          <cell r="G243"/>
          <cell r="H243"/>
          <cell r="I243"/>
        </row>
        <row r="244">
          <cell r="A244"/>
          <cell r="B244"/>
          <cell r="C244"/>
          <cell r="D244"/>
          <cell r="E244"/>
          <cell r="F244"/>
          <cell r="G244"/>
          <cell r="H244"/>
          <cell r="I244"/>
        </row>
        <row r="245">
          <cell r="A245"/>
          <cell r="B245"/>
          <cell r="C245"/>
          <cell r="D245"/>
          <cell r="E245"/>
          <cell r="F245"/>
          <cell r="G245"/>
          <cell r="H245"/>
          <cell r="I245"/>
        </row>
        <row r="246">
          <cell r="A246"/>
          <cell r="B246"/>
          <cell r="C246"/>
          <cell r="D246"/>
          <cell r="E246"/>
          <cell r="F246"/>
          <cell r="G246"/>
          <cell r="H246"/>
          <cell r="I246"/>
        </row>
        <row r="247">
          <cell r="A247"/>
          <cell r="B247"/>
          <cell r="C247"/>
          <cell r="D247"/>
          <cell r="E247"/>
          <cell r="F247"/>
          <cell r="G247"/>
          <cell r="H247"/>
          <cell r="I247"/>
        </row>
        <row r="248">
          <cell r="A248"/>
          <cell r="B248"/>
          <cell r="C248"/>
          <cell r="D248"/>
          <cell r="E248"/>
          <cell r="F248"/>
          <cell r="G248"/>
          <cell r="H248"/>
          <cell r="I248"/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</row>
        <row r="251">
          <cell r="A251"/>
          <cell r="B251"/>
          <cell r="C251"/>
          <cell r="D251"/>
          <cell r="E251"/>
          <cell r="F251"/>
          <cell r="G251"/>
          <cell r="H251"/>
          <cell r="I251"/>
        </row>
        <row r="252">
          <cell r="A252"/>
          <cell r="B252"/>
          <cell r="C252"/>
          <cell r="D252"/>
          <cell r="E252"/>
          <cell r="F252"/>
          <cell r="G252"/>
          <cell r="H252"/>
          <cell r="I252"/>
        </row>
        <row r="253">
          <cell r="A253"/>
          <cell r="B253"/>
          <cell r="C253"/>
          <cell r="D253"/>
          <cell r="E253"/>
          <cell r="F253"/>
          <cell r="G253"/>
          <cell r="H253"/>
          <cell r="I253"/>
        </row>
        <row r="254">
          <cell r="A254"/>
          <cell r="B254"/>
          <cell r="C254"/>
          <cell r="D254"/>
          <cell r="E254"/>
          <cell r="F254"/>
          <cell r="G254"/>
          <cell r="H254"/>
          <cell r="I254"/>
        </row>
        <row r="255">
          <cell r="A255"/>
          <cell r="B255"/>
          <cell r="C255"/>
          <cell r="D255"/>
          <cell r="E255"/>
          <cell r="F255"/>
          <cell r="G255"/>
          <cell r="H255"/>
          <cell r="I255"/>
        </row>
        <row r="256">
          <cell r="A256"/>
          <cell r="B256"/>
          <cell r="C256"/>
          <cell r="D256"/>
          <cell r="E256"/>
          <cell r="F256"/>
          <cell r="G256"/>
          <cell r="H256"/>
          <cell r="I256"/>
        </row>
        <row r="257">
          <cell r="A257"/>
          <cell r="B257"/>
          <cell r="C257"/>
          <cell r="D257"/>
          <cell r="E257"/>
          <cell r="F257"/>
          <cell r="G257"/>
          <cell r="H257"/>
          <cell r="I257"/>
        </row>
        <row r="258">
          <cell r="A258"/>
          <cell r="B258"/>
          <cell r="C258"/>
          <cell r="D258"/>
          <cell r="E258"/>
          <cell r="F258"/>
          <cell r="G258"/>
          <cell r="H258"/>
          <cell r="I258"/>
        </row>
        <row r="259">
          <cell r="A259"/>
          <cell r="B259"/>
          <cell r="C259"/>
          <cell r="D259"/>
          <cell r="E259"/>
          <cell r="F259"/>
          <cell r="G259"/>
          <cell r="H259"/>
          <cell r="I259"/>
        </row>
        <row r="260">
          <cell r="A260"/>
          <cell r="B260"/>
          <cell r="C260"/>
          <cell r="D260"/>
          <cell r="E260"/>
          <cell r="F260"/>
          <cell r="G260"/>
          <cell r="H260"/>
          <cell r="I260"/>
        </row>
        <row r="261">
          <cell r="A261"/>
          <cell r="B261"/>
          <cell r="C261"/>
          <cell r="D261"/>
          <cell r="E261"/>
          <cell r="F261"/>
          <cell r="G261"/>
          <cell r="H261"/>
          <cell r="I261"/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</row>
        <row r="264">
          <cell r="A264"/>
          <cell r="B264"/>
          <cell r="C264"/>
          <cell r="D264"/>
          <cell r="E264"/>
          <cell r="F264"/>
          <cell r="G264"/>
          <cell r="H264"/>
          <cell r="I264"/>
        </row>
        <row r="265">
          <cell r="A265"/>
          <cell r="B265"/>
          <cell r="C265"/>
          <cell r="D265"/>
          <cell r="E265"/>
          <cell r="F265"/>
          <cell r="G265"/>
          <cell r="H265"/>
          <cell r="I265"/>
        </row>
        <row r="266">
          <cell r="A266"/>
          <cell r="B266"/>
          <cell r="C266"/>
          <cell r="D266"/>
          <cell r="E266"/>
          <cell r="F266"/>
          <cell r="G266"/>
          <cell r="H266"/>
          <cell r="I266"/>
        </row>
        <row r="267">
          <cell r="A267"/>
          <cell r="B267"/>
          <cell r="C267"/>
          <cell r="D267"/>
          <cell r="E267"/>
          <cell r="F267"/>
          <cell r="G267"/>
          <cell r="H267"/>
          <cell r="I267"/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</row>
        <row r="270">
          <cell r="A270"/>
          <cell r="B270"/>
          <cell r="C270"/>
          <cell r="D270"/>
          <cell r="E270"/>
          <cell r="F270"/>
          <cell r="G270"/>
          <cell r="H270"/>
          <cell r="I270"/>
        </row>
        <row r="271">
          <cell r="A271"/>
          <cell r="B271"/>
          <cell r="C271"/>
          <cell r="D271"/>
          <cell r="E271"/>
          <cell r="F271"/>
          <cell r="G271"/>
          <cell r="H271"/>
          <cell r="I271"/>
        </row>
        <row r="272">
          <cell r="A272"/>
          <cell r="B272"/>
          <cell r="C272"/>
          <cell r="D272"/>
          <cell r="E272"/>
          <cell r="F272"/>
          <cell r="G272"/>
          <cell r="H272"/>
          <cell r="I272"/>
        </row>
        <row r="273">
          <cell r="A273"/>
          <cell r="B273"/>
          <cell r="C273"/>
          <cell r="D273"/>
          <cell r="E273"/>
          <cell r="F273"/>
          <cell r="G273"/>
          <cell r="H273"/>
          <cell r="I273"/>
        </row>
        <row r="274">
          <cell r="A274"/>
          <cell r="B274"/>
          <cell r="C274"/>
          <cell r="D274"/>
          <cell r="E274"/>
          <cell r="F274"/>
          <cell r="G274"/>
          <cell r="H274"/>
          <cell r="I274"/>
        </row>
        <row r="275">
          <cell r="A275"/>
          <cell r="B275"/>
          <cell r="C275"/>
          <cell r="D275"/>
          <cell r="E275"/>
          <cell r="F275"/>
          <cell r="G275"/>
          <cell r="H275"/>
          <cell r="I275"/>
        </row>
        <row r="276">
          <cell r="A276"/>
          <cell r="B276"/>
          <cell r="C276"/>
          <cell r="D276"/>
          <cell r="E276"/>
          <cell r="F276"/>
          <cell r="G276"/>
          <cell r="H276"/>
          <cell r="I276"/>
        </row>
        <row r="277">
          <cell r="A277"/>
          <cell r="B277"/>
          <cell r="C277"/>
          <cell r="D277"/>
          <cell r="E277"/>
          <cell r="F277"/>
          <cell r="G277"/>
          <cell r="H277"/>
          <cell r="I277"/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</row>
        <row r="280">
          <cell r="A280"/>
          <cell r="B280"/>
          <cell r="C280"/>
          <cell r="D280"/>
          <cell r="E280"/>
          <cell r="F280"/>
          <cell r="G280"/>
          <cell r="H280"/>
          <cell r="I280"/>
        </row>
        <row r="281">
          <cell r="A281"/>
          <cell r="B281"/>
          <cell r="C281"/>
          <cell r="D281"/>
          <cell r="E281"/>
          <cell r="F281"/>
          <cell r="G281"/>
          <cell r="H281"/>
          <cell r="I281"/>
        </row>
        <row r="282">
          <cell r="A282"/>
          <cell r="B282"/>
          <cell r="C282"/>
          <cell r="D282"/>
          <cell r="E282"/>
          <cell r="F282"/>
          <cell r="G282"/>
          <cell r="H282"/>
          <cell r="I282"/>
        </row>
        <row r="283">
          <cell r="A283"/>
          <cell r="B283"/>
          <cell r="C283"/>
          <cell r="D283"/>
          <cell r="E283"/>
          <cell r="F283"/>
          <cell r="G283"/>
          <cell r="H283"/>
          <cell r="I283"/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</row>
        <row r="286">
          <cell r="A286"/>
          <cell r="B286"/>
          <cell r="C286"/>
          <cell r="D286"/>
          <cell r="E286"/>
          <cell r="F286"/>
          <cell r="G286"/>
          <cell r="H286"/>
          <cell r="I286"/>
        </row>
        <row r="287">
          <cell r="A287"/>
          <cell r="B287"/>
          <cell r="C287"/>
          <cell r="D287"/>
          <cell r="E287"/>
          <cell r="F287"/>
          <cell r="G287"/>
          <cell r="H287"/>
          <cell r="I287"/>
        </row>
        <row r="288">
          <cell r="A288"/>
          <cell r="B288"/>
          <cell r="C288"/>
          <cell r="D288"/>
          <cell r="E288"/>
          <cell r="F288"/>
          <cell r="G288"/>
          <cell r="H288"/>
          <cell r="I288"/>
        </row>
        <row r="289">
          <cell r="A289"/>
          <cell r="B289"/>
          <cell r="C289"/>
          <cell r="D289"/>
          <cell r="E289"/>
          <cell r="F289"/>
          <cell r="G289"/>
          <cell r="H289"/>
          <cell r="I289"/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</row>
        <row r="292">
          <cell r="A292"/>
          <cell r="B292"/>
          <cell r="C292"/>
          <cell r="D292"/>
          <cell r="E292"/>
          <cell r="F292"/>
          <cell r="G292"/>
          <cell r="H292"/>
          <cell r="I292"/>
        </row>
        <row r="293">
          <cell r="A293"/>
          <cell r="B293"/>
          <cell r="C293"/>
          <cell r="D293"/>
          <cell r="E293"/>
          <cell r="F293"/>
          <cell r="G293"/>
          <cell r="H293"/>
          <cell r="I293"/>
        </row>
        <row r="294">
          <cell r="A294"/>
          <cell r="B294"/>
          <cell r="C294"/>
          <cell r="D294"/>
          <cell r="E294"/>
          <cell r="F294"/>
          <cell r="G294"/>
          <cell r="H294"/>
          <cell r="I294"/>
        </row>
        <row r="295">
          <cell r="A295"/>
          <cell r="B295"/>
          <cell r="C295"/>
          <cell r="D295"/>
          <cell r="E295"/>
          <cell r="F295"/>
          <cell r="G295"/>
          <cell r="H295"/>
          <cell r="I295"/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</row>
        <row r="298">
          <cell r="A298"/>
          <cell r="B298"/>
          <cell r="C298"/>
          <cell r="D298"/>
          <cell r="E298"/>
          <cell r="F298"/>
          <cell r="G298"/>
          <cell r="H298"/>
          <cell r="I298"/>
        </row>
        <row r="299">
          <cell r="A299"/>
          <cell r="B299"/>
          <cell r="C299"/>
          <cell r="D299"/>
          <cell r="E299"/>
          <cell r="F299"/>
          <cell r="G299"/>
          <cell r="H299"/>
          <cell r="I299"/>
        </row>
        <row r="300">
          <cell r="A300"/>
          <cell r="B300"/>
          <cell r="C300"/>
          <cell r="D300"/>
          <cell r="E300"/>
          <cell r="F300"/>
          <cell r="G300"/>
          <cell r="H300"/>
          <cell r="I300"/>
        </row>
        <row r="301">
          <cell r="A301"/>
          <cell r="B301"/>
          <cell r="C301"/>
          <cell r="D301"/>
          <cell r="E301"/>
          <cell r="F301"/>
          <cell r="G301"/>
          <cell r="H301"/>
          <cell r="I301"/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</row>
        <row r="304">
          <cell r="A304"/>
          <cell r="B304"/>
          <cell r="C304"/>
          <cell r="D304"/>
          <cell r="E304"/>
          <cell r="F304"/>
          <cell r="G304"/>
          <cell r="H304"/>
          <cell r="I304"/>
        </row>
        <row r="305">
          <cell r="A305"/>
          <cell r="B305"/>
          <cell r="C305"/>
          <cell r="D305"/>
          <cell r="E305"/>
          <cell r="F305"/>
          <cell r="G305"/>
          <cell r="H305"/>
          <cell r="I305"/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</row>
        <row r="308">
          <cell r="A308"/>
          <cell r="B308"/>
          <cell r="C308"/>
          <cell r="D308"/>
          <cell r="E308"/>
          <cell r="F308"/>
          <cell r="G308"/>
          <cell r="H308"/>
          <cell r="I308"/>
        </row>
        <row r="309">
          <cell r="A309"/>
          <cell r="B309"/>
          <cell r="C309"/>
          <cell r="D309"/>
          <cell r="E309"/>
          <cell r="F309"/>
          <cell r="G309"/>
          <cell r="H309"/>
          <cell r="I309"/>
        </row>
        <row r="310">
          <cell r="A310"/>
          <cell r="B310"/>
          <cell r="C310"/>
          <cell r="D310"/>
          <cell r="E310"/>
          <cell r="F310"/>
          <cell r="G310"/>
          <cell r="H310"/>
          <cell r="I310"/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</row>
        <row r="313">
          <cell r="A313"/>
          <cell r="B313"/>
          <cell r="C313"/>
          <cell r="D313"/>
          <cell r="E313"/>
          <cell r="F313"/>
          <cell r="G313"/>
          <cell r="H313"/>
          <cell r="I313"/>
        </row>
        <row r="314">
          <cell r="A314"/>
          <cell r="B314"/>
          <cell r="C314"/>
          <cell r="D314"/>
          <cell r="E314"/>
          <cell r="F314"/>
          <cell r="G314"/>
          <cell r="H314"/>
          <cell r="I314"/>
        </row>
        <row r="315">
          <cell r="A315"/>
          <cell r="B315"/>
          <cell r="C315"/>
          <cell r="D315"/>
          <cell r="E315"/>
          <cell r="F315"/>
          <cell r="G315"/>
          <cell r="H315"/>
          <cell r="I315"/>
        </row>
        <row r="316">
          <cell r="A316"/>
          <cell r="B316"/>
          <cell r="C316"/>
          <cell r="D316"/>
          <cell r="E316"/>
          <cell r="F316"/>
          <cell r="G316"/>
          <cell r="H316"/>
          <cell r="I316"/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</row>
        <row r="319">
          <cell r="A319"/>
          <cell r="B319"/>
          <cell r="C319"/>
          <cell r="D319"/>
          <cell r="E319"/>
          <cell r="F319"/>
          <cell r="G319"/>
          <cell r="H319"/>
          <cell r="I319"/>
        </row>
        <row r="320">
          <cell r="A320"/>
          <cell r="B320"/>
          <cell r="C320"/>
          <cell r="D320"/>
          <cell r="E320"/>
          <cell r="F320"/>
          <cell r="G320"/>
          <cell r="H320"/>
          <cell r="I320"/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</row>
        <row r="323">
          <cell r="A323"/>
          <cell r="B323"/>
          <cell r="C323"/>
          <cell r="D323"/>
          <cell r="E323"/>
          <cell r="F323"/>
          <cell r="G323"/>
          <cell r="H323"/>
          <cell r="I323"/>
        </row>
        <row r="324">
          <cell r="A324"/>
          <cell r="B324"/>
          <cell r="C324"/>
          <cell r="D324"/>
          <cell r="E324"/>
          <cell r="F324"/>
          <cell r="G324"/>
          <cell r="H324"/>
          <cell r="I324"/>
        </row>
        <row r="325">
          <cell r="A325"/>
          <cell r="B325"/>
          <cell r="C325"/>
          <cell r="D325"/>
          <cell r="E325"/>
          <cell r="F325"/>
          <cell r="G325"/>
          <cell r="H325"/>
          <cell r="I325"/>
        </row>
        <row r="326">
          <cell r="A326"/>
          <cell r="B326"/>
          <cell r="C326"/>
          <cell r="D326"/>
          <cell r="E326"/>
          <cell r="F326"/>
          <cell r="G326"/>
          <cell r="H326"/>
          <cell r="I326"/>
        </row>
        <row r="327">
          <cell r="A327"/>
          <cell r="B327"/>
          <cell r="C327"/>
          <cell r="D327"/>
          <cell r="E327"/>
          <cell r="F327"/>
          <cell r="G327"/>
          <cell r="H327"/>
          <cell r="I327"/>
        </row>
        <row r="328">
          <cell r="A328"/>
          <cell r="B328"/>
          <cell r="C328"/>
          <cell r="D328"/>
          <cell r="E328"/>
          <cell r="F328"/>
          <cell r="G328"/>
          <cell r="H328"/>
          <cell r="I328"/>
        </row>
        <row r="329">
          <cell r="A329"/>
          <cell r="B329"/>
          <cell r="C329"/>
          <cell r="D329"/>
          <cell r="E329"/>
          <cell r="F329"/>
          <cell r="G329"/>
          <cell r="H329"/>
          <cell r="I329"/>
        </row>
        <row r="330">
          <cell r="A330"/>
          <cell r="B330"/>
          <cell r="C330"/>
          <cell r="D330"/>
          <cell r="E330"/>
          <cell r="F330"/>
          <cell r="G330"/>
          <cell r="H330"/>
          <cell r="I330"/>
        </row>
        <row r="331">
          <cell r="A331"/>
          <cell r="B331"/>
          <cell r="C331"/>
          <cell r="D331"/>
          <cell r="E331"/>
          <cell r="F331"/>
          <cell r="G331"/>
          <cell r="H331"/>
          <cell r="I331"/>
        </row>
        <row r="332">
          <cell r="A332"/>
          <cell r="B332"/>
          <cell r="C332"/>
          <cell r="D332"/>
          <cell r="E332"/>
          <cell r="F332"/>
          <cell r="G332"/>
          <cell r="H332"/>
          <cell r="I332"/>
        </row>
        <row r="333">
          <cell r="A333"/>
          <cell r="B333"/>
          <cell r="C333"/>
          <cell r="D333"/>
          <cell r="E333"/>
          <cell r="F333"/>
          <cell r="G333"/>
          <cell r="H333"/>
          <cell r="I333"/>
        </row>
        <row r="334">
          <cell r="A334"/>
          <cell r="B334"/>
          <cell r="C334"/>
          <cell r="D334"/>
          <cell r="E334"/>
          <cell r="F334"/>
          <cell r="G334"/>
          <cell r="H334"/>
          <cell r="I334"/>
        </row>
        <row r="335">
          <cell r="A335"/>
          <cell r="B335"/>
          <cell r="C335"/>
          <cell r="D335"/>
          <cell r="E335"/>
          <cell r="F335"/>
          <cell r="G335"/>
          <cell r="H335"/>
          <cell r="I335"/>
        </row>
        <row r="336">
          <cell r="A336"/>
          <cell r="B336"/>
          <cell r="C336"/>
          <cell r="D336"/>
          <cell r="E336"/>
          <cell r="F336"/>
          <cell r="G336"/>
          <cell r="H336"/>
          <cell r="I336"/>
        </row>
        <row r="337">
          <cell r="A337"/>
          <cell r="B337"/>
          <cell r="C337"/>
          <cell r="D337"/>
          <cell r="E337"/>
          <cell r="F337"/>
          <cell r="G337"/>
          <cell r="H337"/>
          <cell r="I337"/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</row>
        <row r="340">
          <cell r="A340"/>
          <cell r="B340"/>
          <cell r="C340"/>
          <cell r="D340"/>
          <cell r="E340"/>
          <cell r="F340"/>
          <cell r="G340"/>
          <cell r="H340"/>
          <cell r="I340"/>
        </row>
        <row r="341">
          <cell r="A341"/>
          <cell r="B341"/>
          <cell r="C341"/>
          <cell r="D341"/>
          <cell r="E341"/>
          <cell r="F341"/>
          <cell r="G341"/>
          <cell r="H341"/>
          <cell r="I341"/>
        </row>
        <row r="342">
          <cell r="A342"/>
          <cell r="B342"/>
          <cell r="C342"/>
          <cell r="D342"/>
          <cell r="E342"/>
          <cell r="F342"/>
          <cell r="G342"/>
          <cell r="H342"/>
          <cell r="I342"/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</row>
        <row r="345">
          <cell r="A345"/>
          <cell r="B345"/>
          <cell r="C345"/>
          <cell r="D345"/>
          <cell r="E345"/>
          <cell r="F345"/>
          <cell r="G345"/>
          <cell r="H345"/>
          <cell r="I345"/>
        </row>
        <row r="346">
          <cell r="A346"/>
          <cell r="B346"/>
          <cell r="C346"/>
          <cell r="D346"/>
          <cell r="E346"/>
          <cell r="F346"/>
          <cell r="G346"/>
          <cell r="H346"/>
          <cell r="I346"/>
        </row>
        <row r="347">
          <cell r="A347"/>
          <cell r="B347"/>
          <cell r="C347"/>
          <cell r="D347"/>
          <cell r="E347"/>
          <cell r="F347"/>
          <cell r="G347"/>
          <cell r="H347"/>
          <cell r="I347"/>
        </row>
        <row r="348">
          <cell r="A348"/>
          <cell r="B348"/>
          <cell r="C348"/>
          <cell r="D348"/>
          <cell r="E348"/>
          <cell r="F348"/>
          <cell r="G348"/>
          <cell r="H348"/>
          <cell r="I348"/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</row>
        <row r="351">
          <cell r="A351"/>
          <cell r="B351"/>
          <cell r="C351"/>
          <cell r="D351"/>
          <cell r="E351"/>
          <cell r="F351"/>
          <cell r="G351"/>
          <cell r="H351"/>
          <cell r="I351"/>
        </row>
        <row r="352">
          <cell r="A352"/>
          <cell r="B352"/>
          <cell r="C352"/>
          <cell r="D352"/>
          <cell r="E352"/>
          <cell r="F352"/>
          <cell r="G352"/>
          <cell r="H352"/>
          <cell r="I352"/>
        </row>
        <row r="353">
          <cell r="A353"/>
          <cell r="B353"/>
          <cell r="C353"/>
          <cell r="D353"/>
          <cell r="E353"/>
          <cell r="F353"/>
          <cell r="G353"/>
          <cell r="H353"/>
          <cell r="I353"/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</row>
        <row r="356">
          <cell r="A356"/>
          <cell r="B356"/>
          <cell r="C356"/>
          <cell r="D356"/>
          <cell r="E356"/>
          <cell r="F356"/>
          <cell r="G356"/>
          <cell r="H356"/>
          <cell r="I356"/>
        </row>
        <row r="357">
          <cell r="A357"/>
          <cell r="B357"/>
          <cell r="C357"/>
          <cell r="D357"/>
          <cell r="E357"/>
          <cell r="F357"/>
          <cell r="G357"/>
          <cell r="H357"/>
          <cell r="I357"/>
        </row>
        <row r="358">
          <cell r="A358"/>
          <cell r="B358"/>
          <cell r="C358"/>
          <cell r="D358"/>
          <cell r="E358"/>
          <cell r="F358"/>
          <cell r="G358"/>
          <cell r="H358"/>
          <cell r="I358"/>
        </row>
        <row r="359">
          <cell r="A359"/>
          <cell r="B359"/>
          <cell r="C359"/>
          <cell r="D359"/>
          <cell r="E359"/>
          <cell r="F359"/>
          <cell r="G359"/>
          <cell r="H359"/>
          <cell r="I359"/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</row>
        <row r="362">
          <cell r="A362"/>
          <cell r="B362"/>
          <cell r="C362"/>
          <cell r="D362"/>
          <cell r="E362"/>
          <cell r="F362"/>
          <cell r="G362"/>
          <cell r="H362"/>
          <cell r="I362"/>
        </row>
        <row r="363">
          <cell r="A363"/>
          <cell r="B363"/>
          <cell r="C363"/>
          <cell r="D363"/>
          <cell r="E363"/>
          <cell r="F363"/>
          <cell r="G363"/>
          <cell r="H363"/>
          <cell r="I363"/>
        </row>
        <row r="364">
          <cell r="A364"/>
          <cell r="B364"/>
          <cell r="C364"/>
          <cell r="D364"/>
          <cell r="E364"/>
          <cell r="F364"/>
          <cell r="G364"/>
          <cell r="H364"/>
          <cell r="I364"/>
        </row>
        <row r="365">
          <cell r="A365"/>
          <cell r="B365"/>
          <cell r="C365"/>
          <cell r="D365"/>
          <cell r="E365"/>
          <cell r="F365"/>
          <cell r="G365"/>
          <cell r="H365"/>
          <cell r="I365"/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</row>
        <row r="368">
          <cell r="A368"/>
          <cell r="B368"/>
          <cell r="C368"/>
          <cell r="D368"/>
          <cell r="E368"/>
          <cell r="F368"/>
          <cell r="G368"/>
          <cell r="H368"/>
          <cell r="I368"/>
        </row>
        <row r="369">
          <cell r="A369"/>
          <cell r="B369"/>
          <cell r="C369"/>
          <cell r="D369"/>
          <cell r="E369"/>
          <cell r="F369"/>
          <cell r="G369"/>
          <cell r="H369"/>
          <cell r="I369"/>
        </row>
        <row r="370">
          <cell r="A370"/>
          <cell r="B370"/>
          <cell r="C370"/>
          <cell r="D370"/>
          <cell r="E370"/>
          <cell r="F370"/>
          <cell r="G370"/>
          <cell r="H370"/>
          <cell r="I370"/>
        </row>
        <row r="371">
          <cell r="A371"/>
          <cell r="B371"/>
          <cell r="C371"/>
          <cell r="D371"/>
          <cell r="E371"/>
          <cell r="F371"/>
          <cell r="G371"/>
          <cell r="H371"/>
          <cell r="I371"/>
        </row>
        <row r="372">
          <cell r="A372"/>
          <cell r="B372"/>
          <cell r="C372"/>
          <cell r="D372"/>
          <cell r="E372"/>
          <cell r="F372"/>
          <cell r="G372"/>
          <cell r="H372"/>
          <cell r="I372"/>
        </row>
        <row r="373">
          <cell r="A373"/>
          <cell r="B373"/>
          <cell r="C373"/>
          <cell r="D373"/>
          <cell r="E373"/>
          <cell r="F373"/>
          <cell r="G373"/>
          <cell r="H373"/>
          <cell r="I373"/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</row>
        <row r="376">
          <cell r="A376"/>
          <cell r="B376"/>
          <cell r="C376"/>
          <cell r="D376"/>
          <cell r="E376"/>
          <cell r="F376"/>
          <cell r="G376"/>
          <cell r="H376"/>
          <cell r="I376"/>
        </row>
        <row r="377">
          <cell r="A377"/>
          <cell r="B377"/>
          <cell r="C377"/>
          <cell r="D377"/>
          <cell r="E377"/>
          <cell r="F377"/>
          <cell r="G377"/>
          <cell r="H377"/>
          <cell r="I377"/>
        </row>
        <row r="378">
          <cell r="A378"/>
          <cell r="B378"/>
          <cell r="C378"/>
          <cell r="D378"/>
          <cell r="E378"/>
          <cell r="F378"/>
          <cell r="G378"/>
          <cell r="H378"/>
          <cell r="I378"/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</row>
        <row r="381">
          <cell r="A381"/>
          <cell r="B381"/>
          <cell r="C381"/>
          <cell r="D381"/>
          <cell r="E381"/>
          <cell r="F381"/>
          <cell r="G381"/>
          <cell r="H381"/>
          <cell r="I381"/>
        </row>
        <row r="382">
          <cell r="A382"/>
          <cell r="B382"/>
          <cell r="C382"/>
          <cell r="D382"/>
          <cell r="E382"/>
          <cell r="F382"/>
          <cell r="G382"/>
          <cell r="H382"/>
          <cell r="I382"/>
        </row>
        <row r="383">
          <cell r="A383"/>
          <cell r="B383"/>
          <cell r="C383"/>
          <cell r="D383"/>
          <cell r="E383"/>
          <cell r="F383"/>
          <cell r="G383"/>
          <cell r="H383"/>
          <cell r="I383"/>
        </row>
        <row r="384">
          <cell r="A384"/>
          <cell r="B384"/>
          <cell r="C384"/>
          <cell r="D384"/>
          <cell r="E384"/>
          <cell r="F384"/>
          <cell r="G384"/>
          <cell r="H384"/>
          <cell r="I384"/>
        </row>
        <row r="385">
          <cell r="A385"/>
          <cell r="B385"/>
          <cell r="C385"/>
          <cell r="D385"/>
          <cell r="E385"/>
          <cell r="F385"/>
          <cell r="G385"/>
          <cell r="H385"/>
          <cell r="I385"/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</row>
        <row r="388">
          <cell r="A388"/>
          <cell r="B388"/>
          <cell r="C388"/>
          <cell r="D388"/>
          <cell r="E388"/>
          <cell r="F388"/>
          <cell r="G388"/>
          <cell r="H388"/>
          <cell r="I388"/>
        </row>
        <row r="389">
          <cell r="A389"/>
          <cell r="B389"/>
          <cell r="C389"/>
          <cell r="D389"/>
          <cell r="E389"/>
          <cell r="F389"/>
          <cell r="G389"/>
          <cell r="H389"/>
          <cell r="I389"/>
        </row>
        <row r="390">
          <cell r="A390"/>
          <cell r="B390"/>
          <cell r="C390"/>
          <cell r="D390"/>
          <cell r="E390"/>
          <cell r="F390"/>
          <cell r="G390"/>
          <cell r="H390"/>
          <cell r="I390"/>
        </row>
        <row r="391">
          <cell r="A391"/>
          <cell r="B391"/>
          <cell r="C391"/>
          <cell r="D391"/>
          <cell r="E391"/>
          <cell r="F391"/>
          <cell r="G391"/>
          <cell r="H391"/>
          <cell r="I391"/>
        </row>
        <row r="392">
          <cell r="A392"/>
          <cell r="B392"/>
          <cell r="C392"/>
          <cell r="D392"/>
          <cell r="E392"/>
          <cell r="F392"/>
          <cell r="G392"/>
          <cell r="H392"/>
          <cell r="I392"/>
        </row>
        <row r="393">
          <cell r="A393"/>
          <cell r="B393"/>
          <cell r="C393"/>
          <cell r="D393"/>
          <cell r="E393"/>
          <cell r="F393"/>
          <cell r="G393"/>
          <cell r="H393"/>
          <cell r="I393"/>
        </row>
        <row r="394">
          <cell r="A394"/>
          <cell r="B394"/>
          <cell r="C394"/>
          <cell r="D394"/>
          <cell r="E394"/>
          <cell r="F394"/>
          <cell r="G394"/>
          <cell r="H394"/>
          <cell r="I394"/>
        </row>
        <row r="395">
          <cell r="A395"/>
          <cell r="B395"/>
          <cell r="C395"/>
          <cell r="D395"/>
          <cell r="E395"/>
          <cell r="F395"/>
          <cell r="G395"/>
          <cell r="H395"/>
          <cell r="I395"/>
        </row>
        <row r="396">
          <cell r="A396"/>
          <cell r="B396"/>
          <cell r="C396"/>
          <cell r="D396"/>
          <cell r="E396"/>
          <cell r="F396"/>
          <cell r="G396"/>
          <cell r="H396"/>
          <cell r="I396"/>
        </row>
        <row r="397">
          <cell r="A397"/>
          <cell r="B397"/>
          <cell r="C397"/>
          <cell r="D397"/>
          <cell r="E397"/>
          <cell r="F397"/>
          <cell r="G397"/>
          <cell r="H397"/>
          <cell r="I397"/>
        </row>
        <row r="398">
          <cell r="A398"/>
          <cell r="B398"/>
          <cell r="C398"/>
          <cell r="D398"/>
          <cell r="E398"/>
          <cell r="F398"/>
          <cell r="G398"/>
          <cell r="H398"/>
          <cell r="I398"/>
        </row>
        <row r="399">
          <cell r="A399"/>
          <cell r="B399"/>
          <cell r="C399"/>
          <cell r="D399"/>
          <cell r="E399"/>
          <cell r="F399"/>
          <cell r="G399"/>
          <cell r="H399"/>
          <cell r="I399"/>
        </row>
        <row r="400">
          <cell r="A400"/>
          <cell r="B400"/>
          <cell r="C400"/>
          <cell r="D400"/>
          <cell r="E400"/>
          <cell r="F400"/>
          <cell r="G400"/>
          <cell r="H400"/>
          <cell r="I400"/>
        </row>
        <row r="401">
          <cell r="A401"/>
          <cell r="B401"/>
          <cell r="C401"/>
          <cell r="D401"/>
          <cell r="E401"/>
          <cell r="F401"/>
          <cell r="G401"/>
          <cell r="H401"/>
          <cell r="I401"/>
        </row>
        <row r="402">
          <cell r="A402"/>
          <cell r="B402"/>
          <cell r="C402"/>
          <cell r="D402"/>
          <cell r="E402"/>
          <cell r="F402"/>
          <cell r="G402"/>
          <cell r="H402"/>
          <cell r="I402"/>
        </row>
        <row r="403">
          <cell r="A403"/>
          <cell r="B403"/>
          <cell r="C403"/>
          <cell r="D403"/>
          <cell r="E403"/>
          <cell r="F403"/>
          <cell r="G403"/>
          <cell r="H403"/>
          <cell r="I403"/>
        </row>
        <row r="404">
          <cell r="A404"/>
          <cell r="B404"/>
          <cell r="C404"/>
          <cell r="D404"/>
          <cell r="E404"/>
          <cell r="F404"/>
          <cell r="G404"/>
          <cell r="H404"/>
          <cell r="I404"/>
        </row>
        <row r="405">
          <cell r="A405"/>
          <cell r="B405"/>
          <cell r="C405"/>
          <cell r="D405"/>
          <cell r="E405"/>
          <cell r="F405"/>
          <cell r="G405"/>
          <cell r="H405"/>
          <cell r="I405"/>
        </row>
        <row r="406">
          <cell r="A406"/>
          <cell r="B406"/>
          <cell r="C406"/>
          <cell r="D406"/>
          <cell r="E406"/>
          <cell r="F406"/>
          <cell r="G406"/>
          <cell r="H406"/>
          <cell r="I406"/>
        </row>
        <row r="407">
          <cell r="A407"/>
          <cell r="B407"/>
          <cell r="C407"/>
          <cell r="D407"/>
          <cell r="E407"/>
          <cell r="F407"/>
          <cell r="G407"/>
          <cell r="H407"/>
          <cell r="I407"/>
        </row>
        <row r="408">
          <cell r="A408"/>
          <cell r="B408"/>
          <cell r="C408"/>
          <cell r="D408"/>
          <cell r="E408"/>
          <cell r="F408"/>
          <cell r="G408"/>
          <cell r="H408"/>
          <cell r="I408"/>
        </row>
        <row r="409">
          <cell r="A409"/>
          <cell r="B409"/>
          <cell r="C409"/>
          <cell r="D409"/>
          <cell r="E409"/>
          <cell r="F409"/>
          <cell r="G409"/>
          <cell r="H409"/>
          <cell r="I409"/>
        </row>
        <row r="410">
          <cell r="A410"/>
          <cell r="B410"/>
          <cell r="C410"/>
          <cell r="D410"/>
          <cell r="E410"/>
          <cell r="F410"/>
          <cell r="G410"/>
          <cell r="H410"/>
          <cell r="I410"/>
        </row>
        <row r="411">
          <cell r="A411"/>
          <cell r="B411"/>
          <cell r="C411"/>
          <cell r="D411"/>
          <cell r="E411"/>
          <cell r="F411"/>
          <cell r="G411"/>
          <cell r="H411"/>
          <cell r="I411"/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</row>
        <row r="414">
          <cell r="A414"/>
          <cell r="B414"/>
          <cell r="C414"/>
          <cell r="D414"/>
          <cell r="E414"/>
          <cell r="F414"/>
          <cell r="G414"/>
          <cell r="H414"/>
          <cell r="I414"/>
        </row>
        <row r="415">
          <cell r="A415"/>
          <cell r="B415"/>
          <cell r="C415"/>
          <cell r="D415"/>
          <cell r="E415"/>
          <cell r="F415"/>
          <cell r="G415"/>
          <cell r="H415"/>
          <cell r="I415"/>
        </row>
        <row r="416">
          <cell r="A416"/>
          <cell r="B416"/>
          <cell r="C416"/>
          <cell r="D416"/>
          <cell r="E416"/>
          <cell r="F416"/>
          <cell r="G416"/>
          <cell r="H416"/>
          <cell r="I416"/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</row>
        <row r="419">
          <cell r="A419"/>
          <cell r="B419"/>
          <cell r="C419"/>
          <cell r="D419"/>
          <cell r="E419"/>
          <cell r="F419"/>
          <cell r="G419"/>
          <cell r="H419"/>
          <cell r="I419"/>
        </row>
        <row r="420">
          <cell r="A420"/>
          <cell r="B420"/>
          <cell r="C420"/>
          <cell r="D420"/>
          <cell r="E420"/>
          <cell r="F420"/>
          <cell r="G420"/>
          <cell r="H420"/>
          <cell r="I420"/>
        </row>
        <row r="421">
          <cell r="A421"/>
          <cell r="B421"/>
          <cell r="C421"/>
          <cell r="D421"/>
          <cell r="E421"/>
          <cell r="F421"/>
          <cell r="G421"/>
          <cell r="H421"/>
          <cell r="I421"/>
        </row>
        <row r="422">
          <cell r="A422"/>
          <cell r="B422"/>
          <cell r="C422"/>
          <cell r="D422"/>
          <cell r="E422"/>
          <cell r="F422"/>
          <cell r="G422"/>
          <cell r="H422"/>
          <cell r="I422"/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</row>
        <row r="425">
          <cell r="A425"/>
          <cell r="B425"/>
          <cell r="C425"/>
          <cell r="D425"/>
          <cell r="E425"/>
          <cell r="F425"/>
          <cell r="G425"/>
          <cell r="H425"/>
          <cell r="I425"/>
        </row>
        <row r="426">
          <cell r="A426"/>
          <cell r="B426"/>
          <cell r="C426"/>
          <cell r="D426"/>
          <cell r="E426"/>
          <cell r="F426"/>
          <cell r="G426"/>
          <cell r="H426"/>
          <cell r="I426"/>
        </row>
        <row r="427">
          <cell r="A427"/>
          <cell r="B427"/>
          <cell r="C427"/>
          <cell r="D427"/>
          <cell r="E427"/>
          <cell r="F427"/>
          <cell r="G427"/>
          <cell r="H427"/>
          <cell r="I427"/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</row>
        <row r="430">
          <cell r="A430"/>
          <cell r="B430"/>
          <cell r="C430"/>
          <cell r="D430"/>
          <cell r="E430"/>
          <cell r="F430"/>
          <cell r="G430"/>
          <cell r="H430"/>
          <cell r="I430"/>
        </row>
        <row r="431">
          <cell r="A431"/>
          <cell r="B431"/>
          <cell r="C431"/>
          <cell r="D431"/>
          <cell r="E431"/>
          <cell r="F431"/>
          <cell r="G431"/>
          <cell r="H431"/>
          <cell r="I431"/>
        </row>
        <row r="432">
          <cell r="A432"/>
          <cell r="B432"/>
          <cell r="C432"/>
          <cell r="D432"/>
          <cell r="E432"/>
          <cell r="F432"/>
          <cell r="G432"/>
          <cell r="H432"/>
          <cell r="I432"/>
        </row>
        <row r="433">
          <cell r="A433"/>
          <cell r="B433"/>
          <cell r="C433"/>
          <cell r="D433"/>
          <cell r="E433"/>
          <cell r="F433"/>
          <cell r="G433"/>
          <cell r="H433"/>
          <cell r="I433"/>
        </row>
        <row r="434">
          <cell r="A434"/>
          <cell r="B434"/>
          <cell r="C434"/>
          <cell r="D434"/>
          <cell r="E434"/>
          <cell r="F434"/>
          <cell r="G434"/>
          <cell r="H434"/>
          <cell r="I434"/>
        </row>
        <row r="435">
          <cell r="A435"/>
          <cell r="B435"/>
          <cell r="C435"/>
          <cell r="D435"/>
          <cell r="E435"/>
          <cell r="F435"/>
          <cell r="G435"/>
          <cell r="H435"/>
          <cell r="I435"/>
        </row>
        <row r="436">
          <cell r="A436"/>
          <cell r="B436"/>
          <cell r="C436"/>
          <cell r="D436"/>
          <cell r="E436"/>
          <cell r="F436"/>
          <cell r="G436"/>
          <cell r="H436"/>
          <cell r="I436"/>
        </row>
        <row r="437">
          <cell r="A437"/>
          <cell r="B437"/>
          <cell r="C437"/>
          <cell r="D437"/>
          <cell r="E437"/>
          <cell r="F437"/>
          <cell r="G437"/>
          <cell r="H437"/>
          <cell r="I437"/>
        </row>
        <row r="438">
          <cell r="A438"/>
          <cell r="B438"/>
          <cell r="C438"/>
          <cell r="D438"/>
          <cell r="E438"/>
          <cell r="F438"/>
          <cell r="G438"/>
          <cell r="H438"/>
          <cell r="I438"/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</row>
        <row r="441">
          <cell r="A441"/>
          <cell r="B441"/>
          <cell r="C441"/>
          <cell r="D441"/>
          <cell r="E441"/>
          <cell r="F441"/>
          <cell r="G441"/>
          <cell r="H441"/>
          <cell r="I441"/>
        </row>
        <row r="442">
          <cell r="A442"/>
          <cell r="B442"/>
          <cell r="C442"/>
          <cell r="D442"/>
          <cell r="E442"/>
          <cell r="F442"/>
          <cell r="G442"/>
          <cell r="H442"/>
          <cell r="I442"/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</row>
        <row r="445">
          <cell r="A445"/>
          <cell r="B445"/>
          <cell r="C445"/>
          <cell r="D445"/>
          <cell r="E445"/>
          <cell r="F445"/>
          <cell r="G445"/>
          <cell r="H445"/>
          <cell r="I445"/>
        </row>
        <row r="446">
          <cell r="A446"/>
          <cell r="B446"/>
          <cell r="C446"/>
          <cell r="D446"/>
          <cell r="E446"/>
          <cell r="F446"/>
          <cell r="G446"/>
          <cell r="H446"/>
          <cell r="I446"/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</row>
        <row r="449">
          <cell r="A449"/>
          <cell r="B449"/>
          <cell r="C449"/>
          <cell r="D449"/>
          <cell r="E449"/>
          <cell r="F449"/>
          <cell r="G449"/>
          <cell r="H449"/>
          <cell r="I449"/>
        </row>
        <row r="450">
          <cell r="A450"/>
          <cell r="B450"/>
          <cell r="C450"/>
          <cell r="D450"/>
          <cell r="E450"/>
          <cell r="F450"/>
          <cell r="G450"/>
          <cell r="H450"/>
          <cell r="I450"/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</row>
        <row r="453">
          <cell r="A453"/>
          <cell r="B453"/>
          <cell r="C453"/>
          <cell r="D453"/>
          <cell r="E453"/>
          <cell r="F453"/>
          <cell r="G453"/>
          <cell r="H453"/>
          <cell r="I453"/>
        </row>
        <row r="454">
          <cell r="A454"/>
          <cell r="B454"/>
          <cell r="C454"/>
          <cell r="D454"/>
          <cell r="E454"/>
          <cell r="F454"/>
          <cell r="G454"/>
          <cell r="H454"/>
          <cell r="I454"/>
        </row>
        <row r="455">
          <cell r="A455"/>
          <cell r="B455"/>
          <cell r="C455"/>
          <cell r="D455"/>
          <cell r="E455"/>
          <cell r="F455"/>
          <cell r="G455"/>
          <cell r="H455"/>
          <cell r="I455"/>
        </row>
        <row r="456">
          <cell r="A456"/>
          <cell r="B456"/>
          <cell r="C456"/>
          <cell r="D456"/>
          <cell r="E456"/>
          <cell r="F456"/>
          <cell r="G456"/>
          <cell r="H456"/>
          <cell r="I456"/>
        </row>
        <row r="457">
          <cell r="A457"/>
          <cell r="B457"/>
          <cell r="C457"/>
          <cell r="D457"/>
          <cell r="E457"/>
          <cell r="F457"/>
          <cell r="G457"/>
          <cell r="H457"/>
          <cell r="I457"/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</row>
        <row r="460">
          <cell r="A460"/>
          <cell r="B460"/>
          <cell r="C460"/>
          <cell r="D460"/>
          <cell r="E460"/>
          <cell r="F460"/>
          <cell r="G460"/>
          <cell r="H460"/>
          <cell r="I460"/>
        </row>
        <row r="461">
          <cell r="A461"/>
          <cell r="B461"/>
          <cell r="C461"/>
          <cell r="D461"/>
          <cell r="E461"/>
          <cell r="F461"/>
          <cell r="G461"/>
          <cell r="H461"/>
          <cell r="I461"/>
        </row>
        <row r="462">
          <cell r="A462"/>
          <cell r="B462"/>
          <cell r="C462"/>
          <cell r="D462"/>
          <cell r="E462"/>
          <cell r="F462"/>
          <cell r="G462"/>
          <cell r="H462"/>
          <cell r="I462"/>
        </row>
        <row r="463">
          <cell r="A463"/>
          <cell r="B463"/>
          <cell r="C463"/>
          <cell r="D463"/>
          <cell r="E463"/>
          <cell r="F463"/>
          <cell r="G463"/>
          <cell r="H463"/>
          <cell r="I463"/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</row>
        <row r="466">
          <cell r="A466"/>
          <cell r="B466"/>
          <cell r="C466"/>
          <cell r="D466"/>
          <cell r="E466"/>
          <cell r="F466"/>
          <cell r="G466"/>
          <cell r="H466"/>
          <cell r="I466"/>
        </row>
        <row r="467">
          <cell r="A467"/>
          <cell r="B467"/>
          <cell r="C467"/>
          <cell r="D467"/>
          <cell r="E467"/>
          <cell r="F467"/>
          <cell r="G467"/>
          <cell r="H467"/>
          <cell r="I467"/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</row>
        <row r="470">
          <cell r="A470"/>
          <cell r="B470"/>
          <cell r="C470"/>
          <cell r="D470"/>
          <cell r="E470"/>
          <cell r="F470"/>
          <cell r="G470"/>
          <cell r="H470"/>
          <cell r="I470"/>
        </row>
        <row r="471">
          <cell r="A471"/>
          <cell r="B471"/>
          <cell r="C471"/>
          <cell r="D471"/>
          <cell r="E471"/>
          <cell r="F471"/>
          <cell r="G471"/>
          <cell r="H471"/>
          <cell r="I471"/>
        </row>
        <row r="472">
          <cell r="A472"/>
          <cell r="B472"/>
          <cell r="C472"/>
          <cell r="D472"/>
          <cell r="E472"/>
          <cell r="F472"/>
          <cell r="G472"/>
          <cell r="H472"/>
          <cell r="I472"/>
        </row>
        <row r="473">
          <cell r="A473"/>
          <cell r="B473"/>
          <cell r="C473"/>
          <cell r="D473"/>
          <cell r="E473"/>
          <cell r="F473"/>
          <cell r="G473"/>
          <cell r="H473"/>
          <cell r="I473"/>
        </row>
        <row r="474">
          <cell r="A474"/>
          <cell r="B474"/>
          <cell r="C474"/>
          <cell r="D474"/>
          <cell r="E474"/>
          <cell r="F474"/>
          <cell r="G474"/>
          <cell r="H474"/>
          <cell r="I474"/>
        </row>
        <row r="475">
          <cell r="A475"/>
          <cell r="B475"/>
          <cell r="C475"/>
          <cell r="D475"/>
          <cell r="E475"/>
          <cell r="F475"/>
          <cell r="G475"/>
          <cell r="H475"/>
          <cell r="I475"/>
        </row>
        <row r="476">
          <cell r="A476"/>
          <cell r="B476"/>
          <cell r="C476"/>
          <cell r="D476"/>
          <cell r="E476"/>
          <cell r="F476"/>
          <cell r="G476"/>
          <cell r="H476"/>
          <cell r="I476"/>
        </row>
        <row r="477">
          <cell r="A477"/>
          <cell r="B477"/>
          <cell r="C477"/>
          <cell r="D477"/>
          <cell r="E477"/>
          <cell r="F477"/>
          <cell r="G477"/>
          <cell r="H477"/>
          <cell r="I477"/>
        </row>
        <row r="478">
          <cell r="A478"/>
          <cell r="B478"/>
          <cell r="C478"/>
          <cell r="D478"/>
          <cell r="E478"/>
          <cell r="F478"/>
          <cell r="G478"/>
          <cell r="H478"/>
          <cell r="I478"/>
        </row>
        <row r="479">
          <cell r="A479"/>
          <cell r="B479"/>
          <cell r="C479"/>
          <cell r="D479"/>
          <cell r="E479"/>
          <cell r="F479"/>
          <cell r="G479"/>
          <cell r="H479"/>
          <cell r="I479"/>
        </row>
        <row r="480">
          <cell r="A480"/>
          <cell r="B480"/>
          <cell r="C480"/>
          <cell r="D480"/>
          <cell r="E480"/>
          <cell r="F480"/>
          <cell r="G480"/>
          <cell r="H480"/>
          <cell r="I480"/>
        </row>
        <row r="481">
          <cell r="A481"/>
          <cell r="B481"/>
          <cell r="C481"/>
          <cell r="D481"/>
          <cell r="E481"/>
          <cell r="F481"/>
          <cell r="G481"/>
          <cell r="H481"/>
          <cell r="I481"/>
        </row>
        <row r="482">
          <cell r="A482"/>
          <cell r="B482"/>
          <cell r="C482"/>
          <cell r="D482"/>
          <cell r="E482"/>
          <cell r="F482"/>
          <cell r="G482"/>
          <cell r="H482"/>
          <cell r="I482"/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</row>
        <row r="485">
          <cell r="A485"/>
          <cell r="B485"/>
          <cell r="C485"/>
          <cell r="D485"/>
          <cell r="E485"/>
          <cell r="F485"/>
          <cell r="G485"/>
          <cell r="H485"/>
          <cell r="I485"/>
        </row>
        <row r="486">
          <cell r="A486"/>
          <cell r="B486"/>
          <cell r="C486"/>
          <cell r="D486"/>
          <cell r="E486"/>
          <cell r="F486"/>
          <cell r="G486"/>
          <cell r="H486"/>
          <cell r="I486"/>
        </row>
        <row r="487">
          <cell r="A487"/>
          <cell r="B487"/>
          <cell r="C487"/>
          <cell r="D487"/>
          <cell r="E487"/>
          <cell r="F487"/>
          <cell r="G487"/>
          <cell r="H487"/>
          <cell r="I487"/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</row>
        <row r="490">
          <cell r="A490"/>
          <cell r="B490"/>
          <cell r="C490"/>
          <cell r="D490"/>
          <cell r="E490"/>
          <cell r="F490"/>
          <cell r="G490"/>
          <cell r="H490"/>
          <cell r="I490"/>
        </row>
        <row r="491">
          <cell r="A491"/>
          <cell r="B491"/>
          <cell r="C491"/>
          <cell r="D491"/>
          <cell r="E491"/>
          <cell r="F491"/>
          <cell r="G491"/>
          <cell r="H491"/>
          <cell r="I491"/>
        </row>
        <row r="492">
          <cell r="A492"/>
          <cell r="B492"/>
          <cell r="C492"/>
          <cell r="D492"/>
          <cell r="E492"/>
          <cell r="F492"/>
          <cell r="G492"/>
          <cell r="H492"/>
          <cell r="I492"/>
        </row>
        <row r="493">
          <cell r="A493"/>
          <cell r="B493"/>
          <cell r="C493"/>
          <cell r="D493"/>
          <cell r="E493"/>
          <cell r="F493"/>
          <cell r="G493"/>
          <cell r="H493"/>
          <cell r="I493"/>
        </row>
        <row r="494">
          <cell r="A494"/>
          <cell r="B494"/>
          <cell r="C494"/>
          <cell r="D494"/>
          <cell r="E494"/>
          <cell r="F494"/>
          <cell r="G494"/>
          <cell r="H494"/>
          <cell r="I494"/>
        </row>
        <row r="495">
          <cell r="A495"/>
          <cell r="B495"/>
          <cell r="C495"/>
          <cell r="D495"/>
          <cell r="E495"/>
          <cell r="F495"/>
          <cell r="G495"/>
          <cell r="H495"/>
          <cell r="I495"/>
        </row>
        <row r="496">
          <cell r="A496"/>
          <cell r="B496"/>
          <cell r="C496"/>
          <cell r="D496"/>
          <cell r="E496"/>
          <cell r="F496"/>
          <cell r="G496"/>
          <cell r="H496"/>
          <cell r="I496"/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</row>
        <row r="499">
          <cell r="A499"/>
          <cell r="B499"/>
          <cell r="C499"/>
          <cell r="D499"/>
          <cell r="E499"/>
          <cell r="F499"/>
          <cell r="G499"/>
          <cell r="H499"/>
          <cell r="I499"/>
        </row>
        <row r="500">
          <cell r="A500"/>
          <cell r="B500"/>
          <cell r="C500"/>
          <cell r="D500"/>
          <cell r="E500"/>
          <cell r="F500"/>
          <cell r="G500"/>
          <cell r="H500"/>
          <cell r="I500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7" sqref="AK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6" width="6" customWidth="1"/>
    <col min="17" max="18" width="7" customWidth="1"/>
    <col min="19" max="19" width="13.28515625" style="22" customWidth="1"/>
    <col min="20" max="21" width="5" customWidth="1"/>
    <col min="22" max="27" width="6" customWidth="1"/>
    <col min="28" max="28" width="31.140625" customWidth="1"/>
    <col min="29" max="29" width="7.140625" customWidth="1"/>
    <col min="30" max="30" width="6" style="6" customWidth="1"/>
    <col min="31" max="31" width="7" style="12" customWidth="1"/>
    <col min="32" max="32" width="7.140625" customWidth="1"/>
    <col min="33" max="34" width="5" customWidth="1"/>
    <col min="35" max="35" width="6" style="12" customWidth="1"/>
    <col min="36" max="50" width="8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>
        <v>14.3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7"/>
      <c r="AE1" s="9"/>
      <c r="AF1" s="1"/>
      <c r="AG1" s="1"/>
      <c r="AH1" s="1"/>
      <c r="AI1" s="9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7"/>
      <c r="AE2" s="9"/>
      <c r="AF2" s="1"/>
      <c r="AG2" s="1"/>
      <c r="AH2" s="1"/>
      <c r="AI2" s="9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3"/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21</v>
      </c>
      <c r="AC3" s="2" t="s">
        <v>22</v>
      </c>
      <c r="AD3" s="8" t="s">
        <v>23</v>
      </c>
      <c r="AE3" s="10" t="s">
        <v>24</v>
      </c>
      <c r="AF3" s="2" t="s">
        <v>25</v>
      </c>
      <c r="AG3" s="2" t="s">
        <v>26</v>
      </c>
      <c r="AH3" s="2" t="s">
        <v>27</v>
      </c>
      <c r="AI3" s="10" t="s">
        <v>28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/>
      <c r="AC4" s="1"/>
      <c r="AD4" s="7"/>
      <c r="AE4" s="9" t="s">
        <v>116</v>
      </c>
      <c r="AF4" s="1"/>
      <c r="AG4" s="1"/>
      <c r="AH4" s="1"/>
      <c r="AI4" s="9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25670</v>
      </c>
      <c r="F5" s="4">
        <f>SUM(F6:F500)</f>
        <v>24511.1</v>
      </c>
      <c r="G5" s="7"/>
      <c r="H5" s="1"/>
      <c r="I5" s="1"/>
      <c r="J5" s="1"/>
      <c r="K5" s="4">
        <f t="shared" ref="K5:R5" si="0">SUM(K6:K500)</f>
        <v>30292.1</v>
      </c>
      <c r="L5" s="4">
        <f t="shared" si="0"/>
        <v>-4622.0999999999995</v>
      </c>
      <c r="M5" s="4">
        <f t="shared" si="0"/>
        <v>0</v>
      </c>
      <c r="N5" s="4">
        <f t="shared" si="0"/>
        <v>0</v>
      </c>
      <c r="O5" s="4">
        <f t="shared" si="0"/>
        <v>29251.399999999998</v>
      </c>
      <c r="P5" s="4">
        <f t="shared" si="0"/>
        <v>5134.0000000000009</v>
      </c>
      <c r="Q5" s="4">
        <f t="shared" si="0"/>
        <v>27308.600000000006</v>
      </c>
      <c r="R5" s="4">
        <f t="shared" si="0"/>
        <v>27005.200000000001</v>
      </c>
      <c r="S5" s="4"/>
      <c r="T5" s="1"/>
      <c r="U5" s="1"/>
      <c r="V5" s="4">
        <f t="shared" ref="V5:AA5" si="1">SUM(V6:V500)</f>
        <v>5231.0199999999977</v>
      </c>
      <c r="W5" s="4">
        <f t="shared" si="1"/>
        <v>4966.74</v>
      </c>
      <c r="X5" s="4">
        <f t="shared" si="1"/>
        <v>3959.78</v>
      </c>
      <c r="Y5" s="4">
        <f t="shared" si="1"/>
        <v>3954.62</v>
      </c>
      <c r="Z5" s="4">
        <f t="shared" si="1"/>
        <v>3463.2799999999988</v>
      </c>
      <c r="AA5" s="4">
        <f t="shared" si="1"/>
        <v>3838.1800000000003</v>
      </c>
      <c r="AB5" s="1"/>
      <c r="AC5" s="4">
        <f>SUM(AC6:AC500)</f>
        <v>11653.812399999999</v>
      </c>
      <c r="AD5" s="7"/>
      <c r="AE5" s="11">
        <f>SUM(AE6:AE500)</f>
        <v>3000</v>
      </c>
      <c r="AF5" s="4">
        <f>SUM(AF6:AF500)</f>
        <v>11619.119999999999</v>
      </c>
      <c r="AG5" s="1"/>
      <c r="AH5" s="1"/>
      <c r="AI5" s="11">
        <f>SUM(AI6:AI500)</f>
        <v>34.928571428571431</v>
      </c>
      <c r="AJ5" s="4">
        <f>SUM(AJ6:AJ500)</f>
        <v>2050.87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3" t="s">
        <v>37</v>
      </c>
      <c r="B6" s="13" t="s">
        <v>38</v>
      </c>
      <c r="C6" s="13">
        <v>-14</v>
      </c>
      <c r="D6" s="13">
        <v>311</v>
      </c>
      <c r="E6" s="17">
        <v>76</v>
      </c>
      <c r="F6" s="17">
        <v>211</v>
      </c>
      <c r="G6" s="14">
        <v>0</v>
      </c>
      <c r="H6" s="13"/>
      <c r="I6" s="13" t="s">
        <v>39</v>
      </c>
      <c r="J6" s="13" t="s">
        <v>40</v>
      </c>
      <c r="K6" s="13">
        <v>79</v>
      </c>
      <c r="L6" s="13">
        <f t="shared" ref="L6:L37" si="2">E6-K6</f>
        <v>-3</v>
      </c>
      <c r="M6" s="13"/>
      <c r="N6" s="13"/>
      <c r="O6" s="13"/>
      <c r="P6" s="13">
        <f t="shared" ref="P6:P37" si="3">E6/5</f>
        <v>15.2</v>
      </c>
      <c r="Q6" s="15"/>
      <c r="R6" s="15"/>
      <c r="S6" s="13"/>
      <c r="T6" s="13">
        <f t="shared" ref="T6:T37" si="4">(F6+O6+R6)/P6</f>
        <v>13.881578947368421</v>
      </c>
      <c r="U6" s="13">
        <f t="shared" ref="U6:U37" si="5">(F6+O6)/P6</f>
        <v>13.881578947368421</v>
      </c>
      <c r="V6" s="13">
        <v>39.6</v>
      </c>
      <c r="W6" s="13">
        <v>34.4</v>
      </c>
      <c r="X6" s="13">
        <v>35</v>
      </c>
      <c r="Y6" s="13">
        <v>30</v>
      </c>
      <c r="Z6" s="13">
        <v>28.8</v>
      </c>
      <c r="AA6" s="13">
        <v>33</v>
      </c>
      <c r="AB6" s="13"/>
      <c r="AC6" s="13"/>
      <c r="AD6" s="14"/>
      <c r="AE6" s="16"/>
      <c r="AF6" s="13"/>
      <c r="AG6" s="13"/>
      <c r="AH6" s="13"/>
      <c r="AI6" s="16"/>
      <c r="AJ6" s="1">
        <f>P6*G6</f>
        <v>0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3" t="s">
        <v>41</v>
      </c>
      <c r="B7" s="13" t="s">
        <v>38</v>
      </c>
      <c r="C7" s="13">
        <v>41</v>
      </c>
      <c r="D7" s="13">
        <v>240</v>
      </c>
      <c r="E7" s="17">
        <v>102</v>
      </c>
      <c r="F7" s="17">
        <v>160</v>
      </c>
      <c r="G7" s="14">
        <v>0</v>
      </c>
      <c r="H7" s="13"/>
      <c r="I7" s="13" t="s">
        <v>39</v>
      </c>
      <c r="J7" s="13" t="s">
        <v>42</v>
      </c>
      <c r="K7" s="13">
        <v>106</v>
      </c>
      <c r="L7" s="13">
        <f t="shared" si="2"/>
        <v>-4</v>
      </c>
      <c r="M7" s="13"/>
      <c r="N7" s="13"/>
      <c r="O7" s="13"/>
      <c r="P7" s="13">
        <f t="shared" si="3"/>
        <v>20.399999999999999</v>
      </c>
      <c r="Q7" s="15"/>
      <c r="R7" s="15"/>
      <c r="S7" s="13"/>
      <c r="T7" s="13">
        <f t="shared" si="4"/>
        <v>7.8431372549019613</v>
      </c>
      <c r="U7" s="13">
        <f t="shared" si="5"/>
        <v>7.8431372549019613</v>
      </c>
      <c r="V7" s="13">
        <v>30</v>
      </c>
      <c r="W7" s="13">
        <v>25.2</v>
      </c>
      <c r="X7" s="13">
        <v>38</v>
      </c>
      <c r="Y7" s="13">
        <v>27.6</v>
      </c>
      <c r="Z7" s="13">
        <v>25.6</v>
      </c>
      <c r="AA7" s="13">
        <v>24</v>
      </c>
      <c r="AB7" s="13"/>
      <c r="AC7" s="13"/>
      <c r="AD7" s="14"/>
      <c r="AE7" s="16"/>
      <c r="AF7" s="13"/>
      <c r="AG7" s="13"/>
      <c r="AH7" s="13"/>
      <c r="AI7" s="16"/>
      <c r="AJ7" s="1">
        <f t="shared" ref="AJ7:AJ69" si="6">P7*G7</f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3" t="s">
        <v>43</v>
      </c>
      <c r="B8" s="13" t="s">
        <v>44</v>
      </c>
      <c r="C8" s="13">
        <v>13</v>
      </c>
      <c r="D8" s="13"/>
      <c r="E8" s="13"/>
      <c r="F8" s="13"/>
      <c r="G8" s="14">
        <v>0</v>
      </c>
      <c r="H8" s="13"/>
      <c r="I8" s="13" t="s">
        <v>39</v>
      </c>
      <c r="J8" s="13" t="s">
        <v>45</v>
      </c>
      <c r="K8" s="13"/>
      <c r="L8" s="13">
        <f t="shared" si="2"/>
        <v>0</v>
      </c>
      <c r="M8" s="13"/>
      <c r="N8" s="13"/>
      <c r="O8" s="13"/>
      <c r="P8" s="13">
        <f t="shared" si="3"/>
        <v>0</v>
      </c>
      <c r="Q8" s="15"/>
      <c r="R8" s="15"/>
      <c r="S8" s="13"/>
      <c r="T8" s="13" t="e">
        <f t="shared" si="4"/>
        <v>#DIV/0!</v>
      </c>
      <c r="U8" s="13" t="e">
        <f t="shared" si="5"/>
        <v>#DIV/0!</v>
      </c>
      <c r="V8" s="13">
        <v>0</v>
      </c>
      <c r="W8" s="13">
        <v>0</v>
      </c>
      <c r="X8" s="13">
        <v>0.74</v>
      </c>
      <c r="Y8" s="13">
        <v>1.48</v>
      </c>
      <c r="Z8" s="13">
        <v>1.48</v>
      </c>
      <c r="AA8" s="13">
        <v>8.14</v>
      </c>
      <c r="AB8" s="13"/>
      <c r="AC8" s="13"/>
      <c r="AD8" s="14"/>
      <c r="AE8" s="16"/>
      <c r="AF8" s="13"/>
      <c r="AG8" s="13"/>
      <c r="AH8" s="13"/>
      <c r="AI8" s="16"/>
      <c r="AJ8" s="1">
        <f t="shared" si="6"/>
        <v>0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3" t="s">
        <v>46</v>
      </c>
      <c r="B9" s="13" t="s">
        <v>38</v>
      </c>
      <c r="C9" s="13">
        <v>173</v>
      </c>
      <c r="D9" s="13">
        <v>4</v>
      </c>
      <c r="E9" s="17">
        <v>16</v>
      </c>
      <c r="F9" s="17">
        <v>-10</v>
      </c>
      <c r="G9" s="14">
        <v>0</v>
      </c>
      <c r="H9" s="13"/>
      <c r="I9" s="13" t="s">
        <v>39</v>
      </c>
      <c r="J9" s="13" t="s">
        <v>47</v>
      </c>
      <c r="K9" s="13">
        <v>34</v>
      </c>
      <c r="L9" s="13">
        <f t="shared" si="2"/>
        <v>-18</v>
      </c>
      <c r="M9" s="13"/>
      <c r="N9" s="13"/>
      <c r="O9" s="13"/>
      <c r="P9" s="13">
        <f t="shared" si="3"/>
        <v>3.2</v>
      </c>
      <c r="Q9" s="15"/>
      <c r="R9" s="15"/>
      <c r="S9" s="13"/>
      <c r="T9" s="13">
        <f t="shared" si="4"/>
        <v>-3.125</v>
      </c>
      <c r="U9" s="13">
        <f t="shared" si="5"/>
        <v>-3.125</v>
      </c>
      <c r="V9" s="13">
        <v>3.8</v>
      </c>
      <c r="W9" s="13">
        <v>8.4</v>
      </c>
      <c r="X9" s="13">
        <v>3</v>
      </c>
      <c r="Y9" s="13">
        <v>13.6</v>
      </c>
      <c r="Z9" s="13">
        <v>9.6</v>
      </c>
      <c r="AA9" s="13">
        <v>5.8</v>
      </c>
      <c r="AB9" s="13"/>
      <c r="AC9" s="13"/>
      <c r="AD9" s="14"/>
      <c r="AE9" s="16"/>
      <c r="AF9" s="13"/>
      <c r="AG9" s="13"/>
      <c r="AH9" s="13"/>
      <c r="AI9" s="16"/>
      <c r="AJ9" s="1">
        <f t="shared" si="6"/>
        <v>0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48</v>
      </c>
      <c r="B10" s="1" t="s">
        <v>38</v>
      </c>
      <c r="C10" s="1">
        <v>281</v>
      </c>
      <c r="D10" s="1">
        <v>712</v>
      </c>
      <c r="E10" s="1">
        <v>293</v>
      </c>
      <c r="F10" s="1">
        <v>-34</v>
      </c>
      <c r="G10" s="7">
        <f>VLOOKUP(A10,[1]Sheet!$A:$G,7,0)</f>
        <v>0.3</v>
      </c>
      <c r="H10" s="1">
        <f>VLOOKUP(A10,[1]Sheet!$A:$H,8,0)</f>
        <v>180</v>
      </c>
      <c r="I10" s="1" t="str">
        <f>VLOOKUP(A10,[1]Sheet!$A:$I,9,0)</f>
        <v>P004598</v>
      </c>
      <c r="J10" s="1"/>
      <c r="K10" s="1">
        <v>442</v>
      </c>
      <c r="L10" s="1">
        <f t="shared" si="2"/>
        <v>-149</v>
      </c>
      <c r="M10" s="1"/>
      <c r="N10" s="1"/>
      <c r="O10" s="1">
        <v>672</v>
      </c>
      <c r="P10" s="1">
        <f t="shared" si="3"/>
        <v>58.6</v>
      </c>
      <c r="Q10" s="5">
        <f>14*P10-O10-F10</f>
        <v>182.39999999999998</v>
      </c>
      <c r="R10" s="5">
        <f t="shared" ref="R10:R18" si="7">AD10*AE10</f>
        <v>168</v>
      </c>
      <c r="S10" s="1"/>
      <c r="T10" s="1">
        <f t="shared" si="4"/>
        <v>13.754266211604095</v>
      </c>
      <c r="U10" s="1">
        <f t="shared" si="5"/>
        <v>10.887372013651877</v>
      </c>
      <c r="V10" s="1">
        <v>76.599999999999994</v>
      </c>
      <c r="W10" s="1">
        <v>43.4</v>
      </c>
      <c r="X10" s="1">
        <v>40.6</v>
      </c>
      <c r="Y10" s="1">
        <v>47</v>
      </c>
      <c r="Z10" s="1">
        <v>38.4</v>
      </c>
      <c r="AA10" s="1">
        <v>31.8</v>
      </c>
      <c r="AB10" s="1"/>
      <c r="AC10" s="1">
        <f t="shared" ref="AC10:AC18" si="8">G10*Q10</f>
        <v>54.719999999999992</v>
      </c>
      <c r="AD10" s="7">
        <v>12</v>
      </c>
      <c r="AE10" s="9">
        <f t="shared" ref="AE10:AE18" si="9">MROUND(Q10, AD10*AG10)/AD10</f>
        <v>14</v>
      </c>
      <c r="AF10" s="1">
        <f t="shared" ref="AF10:AF18" si="10">AE10*AD10*G10</f>
        <v>50.4</v>
      </c>
      <c r="AG10" s="1">
        <v>14</v>
      </c>
      <c r="AH10" s="1">
        <v>70</v>
      </c>
      <c r="AI10" s="9">
        <f t="shared" ref="AI10:AI18" si="11">AE10/AH10</f>
        <v>0.2</v>
      </c>
      <c r="AJ10" s="1">
        <f t="shared" si="6"/>
        <v>17.579999999999998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49</v>
      </c>
      <c r="B11" s="1" t="s">
        <v>38</v>
      </c>
      <c r="C11" s="1">
        <v>414</v>
      </c>
      <c r="D11" s="1">
        <v>97</v>
      </c>
      <c r="E11" s="1">
        <v>393</v>
      </c>
      <c r="F11" s="1">
        <v>9</v>
      </c>
      <c r="G11" s="7">
        <f>VLOOKUP(A11,[1]Sheet!$A:$G,7,0)</f>
        <v>0.28000000000000003</v>
      </c>
      <c r="H11" s="1">
        <f>VLOOKUP(A11,[1]Sheet!$A:$H,8,0)</f>
        <v>180</v>
      </c>
      <c r="I11" s="1" t="str">
        <f>VLOOKUP(A11,[1]Sheet!$A:$I,9,0)</f>
        <v>P004597</v>
      </c>
      <c r="J11" s="1"/>
      <c r="K11" s="1">
        <v>531</v>
      </c>
      <c r="L11" s="1">
        <f t="shared" si="2"/>
        <v>-138</v>
      </c>
      <c r="M11" s="1"/>
      <c r="N11" s="1"/>
      <c r="O11" s="1">
        <v>840</v>
      </c>
      <c r="P11" s="1">
        <f t="shared" si="3"/>
        <v>78.599999999999994</v>
      </c>
      <c r="Q11" s="5">
        <f t="shared" ref="Q11:Q16" si="12">14*P11-O11-F11</f>
        <v>251.39999999999986</v>
      </c>
      <c r="R11" s="5">
        <f t="shared" si="7"/>
        <v>252</v>
      </c>
      <c r="S11" s="1"/>
      <c r="T11" s="1">
        <f t="shared" si="4"/>
        <v>14.007633587786261</v>
      </c>
      <c r="U11" s="1">
        <f t="shared" si="5"/>
        <v>10.801526717557254</v>
      </c>
      <c r="V11" s="1">
        <v>70.2</v>
      </c>
      <c r="W11" s="1">
        <v>45.6</v>
      </c>
      <c r="X11" s="1">
        <v>25.8</v>
      </c>
      <c r="Y11" s="1">
        <v>49</v>
      </c>
      <c r="Z11" s="1">
        <v>30.4</v>
      </c>
      <c r="AA11" s="1">
        <v>40.6</v>
      </c>
      <c r="AB11" s="1"/>
      <c r="AC11" s="1">
        <f t="shared" si="8"/>
        <v>70.391999999999967</v>
      </c>
      <c r="AD11" s="7">
        <v>6</v>
      </c>
      <c r="AE11" s="9">
        <f t="shared" si="9"/>
        <v>42</v>
      </c>
      <c r="AF11" s="1">
        <f t="shared" si="10"/>
        <v>70.56</v>
      </c>
      <c r="AG11" s="1">
        <v>14</v>
      </c>
      <c r="AH11" s="1">
        <v>140</v>
      </c>
      <c r="AI11" s="9">
        <f t="shared" si="11"/>
        <v>0.3</v>
      </c>
      <c r="AJ11" s="1">
        <f t="shared" si="6"/>
        <v>22.007999999999999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50</v>
      </c>
      <c r="B12" s="1" t="s">
        <v>38</v>
      </c>
      <c r="C12" s="1">
        <v>1303</v>
      </c>
      <c r="D12" s="1">
        <v>289</v>
      </c>
      <c r="E12" s="1">
        <v>502</v>
      </c>
      <c r="F12" s="1">
        <v>840</v>
      </c>
      <c r="G12" s="7">
        <f>VLOOKUP(A12,[1]Sheet!$A:$G,7,0)</f>
        <v>0.24</v>
      </c>
      <c r="H12" s="1">
        <f>VLOOKUP(A12,[1]Sheet!$A:$H,8,0)</f>
        <v>180</v>
      </c>
      <c r="I12" s="1" t="str">
        <f>VLOOKUP(A12,[1]Sheet!$A:$I,9,0)</f>
        <v>P004969</v>
      </c>
      <c r="J12" s="1"/>
      <c r="K12" s="1">
        <v>573</v>
      </c>
      <c r="L12" s="1">
        <f t="shared" si="2"/>
        <v>-71</v>
      </c>
      <c r="M12" s="1"/>
      <c r="N12" s="1"/>
      <c r="O12" s="1">
        <v>0</v>
      </c>
      <c r="P12" s="1">
        <f t="shared" si="3"/>
        <v>100.4</v>
      </c>
      <c r="Q12" s="5">
        <f>$Q$1*P12-O12-F12</f>
        <v>595.72000000000025</v>
      </c>
      <c r="R12" s="5">
        <f t="shared" si="7"/>
        <v>672</v>
      </c>
      <c r="S12" s="1"/>
      <c r="T12" s="1">
        <f t="shared" si="4"/>
        <v>15.059760956175298</v>
      </c>
      <c r="U12" s="1">
        <f t="shared" si="5"/>
        <v>8.3665338645418323</v>
      </c>
      <c r="V12" s="1">
        <v>92.8</v>
      </c>
      <c r="W12" s="1">
        <v>115.8</v>
      </c>
      <c r="X12" s="1">
        <v>91</v>
      </c>
      <c r="Y12" s="1">
        <v>91.4</v>
      </c>
      <c r="Z12" s="1">
        <v>89</v>
      </c>
      <c r="AA12" s="1">
        <v>79.8</v>
      </c>
      <c r="AB12" s="1"/>
      <c r="AC12" s="1">
        <f t="shared" si="8"/>
        <v>142.97280000000006</v>
      </c>
      <c r="AD12" s="7">
        <v>12</v>
      </c>
      <c r="AE12" s="9">
        <f t="shared" si="9"/>
        <v>56</v>
      </c>
      <c r="AF12" s="1">
        <f t="shared" si="10"/>
        <v>161.28</v>
      </c>
      <c r="AG12" s="1">
        <v>14</v>
      </c>
      <c r="AH12" s="1">
        <v>70</v>
      </c>
      <c r="AI12" s="9">
        <f t="shared" si="11"/>
        <v>0.8</v>
      </c>
      <c r="AJ12" s="1">
        <f t="shared" si="6"/>
        <v>24.096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51</v>
      </c>
      <c r="B13" s="1" t="s">
        <v>38</v>
      </c>
      <c r="C13" s="1">
        <v>2190</v>
      </c>
      <c r="D13" s="1">
        <v>2223</v>
      </c>
      <c r="E13" s="1">
        <v>985</v>
      </c>
      <c r="F13" s="1">
        <v>1287</v>
      </c>
      <c r="G13" s="7">
        <f>VLOOKUP(A13,[1]Sheet!$A:$G,7,0)</f>
        <v>0.24</v>
      </c>
      <c r="H13" s="1">
        <f>VLOOKUP(A13,[1]Sheet!$A:$H,8,0)</f>
        <v>180</v>
      </c>
      <c r="I13" s="1" t="str">
        <f>VLOOKUP(A13,[1]Sheet!$A:$I,9,0)</f>
        <v>P004971</v>
      </c>
      <c r="J13" s="1"/>
      <c r="K13" s="1">
        <v>1052</v>
      </c>
      <c r="L13" s="1">
        <f t="shared" si="2"/>
        <v>-67</v>
      </c>
      <c r="M13" s="1"/>
      <c r="N13" s="1"/>
      <c r="O13" s="1">
        <v>504</v>
      </c>
      <c r="P13" s="1">
        <f t="shared" si="3"/>
        <v>197</v>
      </c>
      <c r="Q13" s="5">
        <f t="shared" ref="Q13:Q14" si="13">$Q$1*P13-O13-F13</f>
        <v>1026.1000000000004</v>
      </c>
      <c r="R13" s="5">
        <f t="shared" si="7"/>
        <v>1008</v>
      </c>
      <c r="S13" s="1"/>
      <c r="T13" s="1">
        <f t="shared" si="4"/>
        <v>14.208121827411167</v>
      </c>
      <c r="U13" s="1">
        <f t="shared" si="5"/>
        <v>9.091370558375635</v>
      </c>
      <c r="V13" s="1">
        <v>180</v>
      </c>
      <c r="W13" s="1">
        <v>288.39999999999998</v>
      </c>
      <c r="X13" s="1">
        <v>131</v>
      </c>
      <c r="Y13" s="1">
        <v>156.6</v>
      </c>
      <c r="Z13" s="1">
        <v>150</v>
      </c>
      <c r="AA13" s="1">
        <v>122</v>
      </c>
      <c r="AB13" s="1"/>
      <c r="AC13" s="1">
        <f t="shared" si="8"/>
        <v>246.26400000000007</v>
      </c>
      <c r="AD13" s="7">
        <v>12</v>
      </c>
      <c r="AE13" s="9">
        <f t="shared" si="9"/>
        <v>84</v>
      </c>
      <c r="AF13" s="1">
        <f t="shared" si="10"/>
        <v>241.92</v>
      </c>
      <c r="AG13" s="1">
        <v>14</v>
      </c>
      <c r="AH13" s="1">
        <v>70</v>
      </c>
      <c r="AI13" s="9">
        <f t="shared" si="11"/>
        <v>1.2</v>
      </c>
      <c r="AJ13" s="1">
        <f t="shared" si="6"/>
        <v>47.28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52</v>
      </c>
      <c r="B14" s="1" t="s">
        <v>38</v>
      </c>
      <c r="C14" s="1">
        <v>784</v>
      </c>
      <c r="D14" s="1">
        <v>2024</v>
      </c>
      <c r="E14" s="1">
        <v>705</v>
      </c>
      <c r="F14" s="1">
        <v>106</v>
      </c>
      <c r="G14" s="7">
        <f>VLOOKUP(A14,[1]Sheet!$A:$G,7,0)</f>
        <v>0.24</v>
      </c>
      <c r="H14" s="1">
        <f>VLOOKUP(A14,[1]Sheet!$A:$H,8,0)</f>
        <v>180</v>
      </c>
      <c r="I14" s="1" t="str">
        <f>VLOOKUP(A14,[1]Sheet!$A:$I,9,0)</f>
        <v>P004974</v>
      </c>
      <c r="J14" s="1"/>
      <c r="K14" s="1">
        <v>768</v>
      </c>
      <c r="L14" s="1">
        <f t="shared" si="2"/>
        <v>-63</v>
      </c>
      <c r="M14" s="1"/>
      <c r="N14" s="1"/>
      <c r="O14" s="1">
        <v>1008</v>
      </c>
      <c r="P14" s="1">
        <f t="shared" si="3"/>
        <v>141</v>
      </c>
      <c r="Q14" s="5">
        <f t="shared" si="13"/>
        <v>902.30000000000018</v>
      </c>
      <c r="R14" s="5">
        <f t="shared" si="7"/>
        <v>840</v>
      </c>
      <c r="S14" s="1"/>
      <c r="T14" s="1">
        <f t="shared" si="4"/>
        <v>13.858156028368795</v>
      </c>
      <c r="U14" s="1">
        <f t="shared" si="5"/>
        <v>7.9007092198581557</v>
      </c>
      <c r="V14" s="1">
        <v>145.4</v>
      </c>
      <c r="W14" s="1">
        <v>95.4</v>
      </c>
      <c r="X14" s="1">
        <v>88.4</v>
      </c>
      <c r="Y14" s="1">
        <v>103.2</v>
      </c>
      <c r="Z14" s="1">
        <v>78.2</v>
      </c>
      <c r="AA14" s="1">
        <v>110.6</v>
      </c>
      <c r="AB14" s="1"/>
      <c r="AC14" s="1">
        <f t="shared" si="8"/>
        <v>216.55200000000005</v>
      </c>
      <c r="AD14" s="7">
        <v>12</v>
      </c>
      <c r="AE14" s="9">
        <f t="shared" si="9"/>
        <v>70</v>
      </c>
      <c r="AF14" s="1">
        <f t="shared" si="10"/>
        <v>201.6</v>
      </c>
      <c r="AG14" s="1">
        <v>14</v>
      </c>
      <c r="AH14" s="1">
        <v>70</v>
      </c>
      <c r="AI14" s="9">
        <f t="shared" si="11"/>
        <v>1</v>
      </c>
      <c r="AJ14" s="1">
        <f t="shared" si="6"/>
        <v>33.839999999999996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40</v>
      </c>
      <c r="B15" s="1" t="s">
        <v>38</v>
      </c>
      <c r="C15" s="1">
        <v>1427</v>
      </c>
      <c r="D15" s="1">
        <v>328</v>
      </c>
      <c r="E15" s="17">
        <f>660+E6</f>
        <v>736</v>
      </c>
      <c r="F15" s="17">
        <f>313+F6</f>
        <v>524</v>
      </c>
      <c r="G15" s="7">
        <f>VLOOKUP(A15,[1]Sheet!$A:$G,7,0)</f>
        <v>0.24</v>
      </c>
      <c r="H15" s="1">
        <f>VLOOKUP(A15,[1]Sheet!$A:$H,8,0)</f>
        <v>180</v>
      </c>
      <c r="I15" s="1" t="str">
        <f>VLOOKUP(A15,[1]Sheet!$A:$I,9,0)</f>
        <v>P004966</v>
      </c>
      <c r="J15" s="1"/>
      <c r="K15" s="1">
        <v>717</v>
      </c>
      <c r="L15" s="1">
        <f t="shared" si="2"/>
        <v>19</v>
      </c>
      <c r="M15" s="1"/>
      <c r="N15" s="1"/>
      <c r="O15" s="1">
        <v>672</v>
      </c>
      <c r="P15" s="1">
        <f t="shared" si="3"/>
        <v>147.19999999999999</v>
      </c>
      <c r="Q15" s="5">
        <f>$Q$1*P15-O15-F15+1000</f>
        <v>1908.96</v>
      </c>
      <c r="R15" s="5">
        <f t="shared" si="7"/>
        <v>1848</v>
      </c>
      <c r="S15" s="1" t="s">
        <v>117</v>
      </c>
      <c r="T15" s="1">
        <f t="shared" si="4"/>
        <v>20.679347826086957</v>
      </c>
      <c r="U15" s="1">
        <f t="shared" si="5"/>
        <v>8.125</v>
      </c>
      <c r="V15" s="1">
        <v>152</v>
      </c>
      <c r="W15" s="1">
        <v>135.4</v>
      </c>
      <c r="X15" s="1">
        <v>98.2</v>
      </c>
      <c r="Y15" s="1">
        <v>128</v>
      </c>
      <c r="Z15" s="1">
        <v>99.2</v>
      </c>
      <c r="AA15" s="1">
        <v>113.8</v>
      </c>
      <c r="AB15" s="1" t="s">
        <v>118</v>
      </c>
      <c r="AC15" s="1">
        <f t="shared" si="8"/>
        <v>458.15039999999999</v>
      </c>
      <c r="AD15" s="7">
        <v>12</v>
      </c>
      <c r="AE15" s="9">
        <f t="shared" si="9"/>
        <v>154</v>
      </c>
      <c r="AF15" s="1">
        <f t="shared" si="10"/>
        <v>443.52</v>
      </c>
      <c r="AG15" s="1">
        <v>14</v>
      </c>
      <c r="AH15" s="1">
        <v>70</v>
      </c>
      <c r="AI15" s="9">
        <f t="shared" si="11"/>
        <v>2.2000000000000002</v>
      </c>
      <c r="AJ15" s="1">
        <f t="shared" si="6"/>
        <v>35.327999999999996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53</v>
      </c>
      <c r="B16" s="1" t="s">
        <v>38</v>
      </c>
      <c r="C16" s="1">
        <v>1343</v>
      </c>
      <c r="D16" s="1">
        <v>208</v>
      </c>
      <c r="E16" s="1">
        <v>435</v>
      </c>
      <c r="F16" s="1">
        <v>1022</v>
      </c>
      <c r="G16" s="7">
        <f>VLOOKUP(A16,[1]Sheet!$A:$G,7,0)</f>
        <v>0.48</v>
      </c>
      <c r="H16" s="1">
        <f>VLOOKUP(A16,[1]Sheet!$A:$H,8,0)</f>
        <v>180</v>
      </c>
      <c r="I16" s="1" t="str">
        <f>VLOOKUP(A16,[1]Sheet!$A:$I,9,0)</f>
        <v>P004595</v>
      </c>
      <c r="J16" s="1"/>
      <c r="K16" s="1">
        <v>487</v>
      </c>
      <c r="L16" s="1">
        <f t="shared" si="2"/>
        <v>-52</v>
      </c>
      <c r="M16" s="1"/>
      <c r="N16" s="1"/>
      <c r="O16" s="1">
        <v>0</v>
      </c>
      <c r="P16" s="1">
        <f t="shared" si="3"/>
        <v>87</v>
      </c>
      <c r="Q16" s="5">
        <f t="shared" si="12"/>
        <v>196</v>
      </c>
      <c r="R16" s="5">
        <f t="shared" si="7"/>
        <v>224</v>
      </c>
      <c r="S16" s="1"/>
      <c r="T16" s="1">
        <f t="shared" si="4"/>
        <v>14.321839080459769</v>
      </c>
      <c r="U16" s="1">
        <f t="shared" si="5"/>
        <v>11.74712643678161</v>
      </c>
      <c r="V16" s="1">
        <v>55.8</v>
      </c>
      <c r="W16" s="1">
        <v>105</v>
      </c>
      <c r="X16" s="1">
        <v>51.6</v>
      </c>
      <c r="Y16" s="1">
        <v>45.8</v>
      </c>
      <c r="Z16" s="1">
        <v>24.6</v>
      </c>
      <c r="AA16" s="1">
        <v>63.4</v>
      </c>
      <c r="AB16" s="1"/>
      <c r="AC16" s="1">
        <f t="shared" si="8"/>
        <v>94.08</v>
      </c>
      <c r="AD16" s="7">
        <v>8</v>
      </c>
      <c r="AE16" s="9">
        <f t="shared" si="9"/>
        <v>28</v>
      </c>
      <c r="AF16" s="1">
        <f t="shared" si="10"/>
        <v>107.52</v>
      </c>
      <c r="AG16" s="1">
        <v>14</v>
      </c>
      <c r="AH16" s="1">
        <v>70</v>
      </c>
      <c r="AI16" s="9">
        <f t="shared" si="11"/>
        <v>0.4</v>
      </c>
      <c r="AJ16" s="1">
        <f t="shared" si="6"/>
        <v>41.76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54</v>
      </c>
      <c r="B17" s="1" t="s">
        <v>38</v>
      </c>
      <c r="C17" s="1">
        <v>506</v>
      </c>
      <c r="D17" s="1">
        <v>1992</v>
      </c>
      <c r="E17" s="1">
        <v>533</v>
      </c>
      <c r="F17" s="1">
        <v>17</v>
      </c>
      <c r="G17" s="7">
        <f>VLOOKUP(A17,[1]Sheet!$A:$G,7,0)</f>
        <v>0.09</v>
      </c>
      <c r="H17" s="1">
        <f>VLOOKUP(A17,[1]Sheet!$A:$H,8,0)</f>
        <v>180</v>
      </c>
      <c r="I17" s="1" t="str">
        <f>VLOOKUP(A17,[1]Sheet!$A:$I,9,0)</f>
        <v>P004138</v>
      </c>
      <c r="J17" s="1"/>
      <c r="K17" s="1">
        <v>902</v>
      </c>
      <c r="L17" s="1">
        <f t="shared" si="2"/>
        <v>-369</v>
      </c>
      <c r="M17" s="1"/>
      <c r="N17" s="1"/>
      <c r="O17" s="1">
        <v>2016</v>
      </c>
      <c r="P17" s="1">
        <f t="shared" si="3"/>
        <v>106.6</v>
      </c>
      <c r="Q17" s="5"/>
      <c r="R17" s="5">
        <f t="shared" si="7"/>
        <v>0</v>
      </c>
      <c r="S17" s="1"/>
      <c r="T17" s="1">
        <f t="shared" si="4"/>
        <v>19.071294559099439</v>
      </c>
      <c r="U17" s="1">
        <f t="shared" si="5"/>
        <v>19.071294559099439</v>
      </c>
      <c r="V17" s="1">
        <v>204.8</v>
      </c>
      <c r="W17" s="1">
        <v>108.4</v>
      </c>
      <c r="X17" s="1">
        <v>84</v>
      </c>
      <c r="Y17" s="1">
        <v>140.19999999999999</v>
      </c>
      <c r="Z17" s="1">
        <v>86.8</v>
      </c>
      <c r="AA17" s="1">
        <v>117.6</v>
      </c>
      <c r="AB17" s="1"/>
      <c r="AC17" s="1">
        <f t="shared" si="8"/>
        <v>0</v>
      </c>
      <c r="AD17" s="7">
        <v>24</v>
      </c>
      <c r="AE17" s="9">
        <f t="shared" si="9"/>
        <v>0</v>
      </c>
      <c r="AF17" s="1">
        <f t="shared" si="10"/>
        <v>0</v>
      </c>
      <c r="AG17" s="1">
        <v>14</v>
      </c>
      <c r="AH17" s="1">
        <v>126</v>
      </c>
      <c r="AI17" s="9">
        <f t="shared" si="11"/>
        <v>0</v>
      </c>
      <c r="AJ17" s="1">
        <f t="shared" si="6"/>
        <v>9.5939999999999994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55</v>
      </c>
      <c r="B18" s="1" t="s">
        <v>38</v>
      </c>
      <c r="C18" s="1">
        <v>287</v>
      </c>
      <c r="D18" s="1">
        <v>62</v>
      </c>
      <c r="E18" s="1">
        <v>164</v>
      </c>
      <c r="F18" s="1">
        <v>109</v>
      </c>
      <c r="G18" s="7">
        <f>VLOOKUP(A18,[1]Sheet!$A:$G,7,0)</f>
        <v>0.36</v>
      </c>
      <c r="H18" s="1">
        <f>VLOOKUP(A18,[1]Sheet!$A:$H,8,0)</f>
        <v>180</v>
      </c>
      <c r="I18" s="1" t="str">
        <f>VLOOKUP(A18,[1]Sheet!$A:$I,9,0)</f>
        <v>P004583</v>
      </c>
      <c r="J18" s="1"/>
      <c r="K18" s="1">
        <v>164</v>
      </c>
      <c r="L18" s="1">
        <f t="shared" si="2"/>
        <v>0</v>
      </c>
      <c r="M18" s="1"/>
      <c r="N18" s="1"/>
      <c r="O18" s="1">
        <v>0</v>
      </c>
      <c r="P18" s="1">
        <f t="shared" si="3"/>
        <v>32.799999999999997</v>
      </c>
      <c r="Q18" s="5">
        <f>13*P18-O18-F18</f>
        <v>317.39999999999998</v>
      </c>
      <c r="R18" s="5">
        <f t="shared" si="7"/>
        <v>280</v>
      </c>
      <c r="S18" s="1"/>
      <c r="T18" s="1">
        <f t="shared" si="4"/>
        <v>11.859756097560977</v>
      </c>
      <c r="U18" s="1">
        <f t="shared" si="5"/>
        <v>3.3231707317073176</v>
      </c>
      <c r="V18" s="1">
        <v>16.399999999999999</v>
      </c>
      <c r="W18" s="1">
        <v>28.4</v>
      </c>
      <c r="X18" s="1">
        <v>15.2</v>
      </c>
      <c r="Y18" s="1">
        <v>20.399999999999999</v>
      </c>
      <c r="Z18" s="1">
        <v>22</v>
      </c>
      <c r="AA18" s="1">
        <v>26.2</v>
      </c>
      <c r="AB18" s="1"/>
      <c r="AC18" s="1">
        <f t="shared" si="8"/>
        <v>114.26399999999998</v>
      </c>
      <c r="AD18" s="7">
        <v>10</v>
      </c>
      <c r="AE18" s="9">
        <f t="shared" si="9"/>
        <v>28</v>
      </c>
      <c r="AF18" s="1">
        <f t="shared" si="10"/>
        <v>100.8</v>
      </c>
      <c r="AG18" s="1">
        <v>14</v>
      </c>
      <c r="AH18" s="1">
        <v>70</v>
      </c>
      <c r="AI18" s="9">
        <f t="shared" si="11"/>
        <v>0.4</v>
      </c>
      <c r="AJ18" s="1">
        <f t="shared" si="6"/>
        <v>11.807999999999998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3" t="s">
        <v>56</v>
      </c>
      <c r="B19" s="13" t="s">
        <v>38</v>
      </c>
      <c r="C19" s="13">
        <v>-22</v>
      </c>
      <c r="D19" s="13">
        <v>36</v>
      </c>
      <c r="E19" s="17">
        <v>34</v>
      </c>
      <c r="F19" s="17">
        <v>-20</v>
      </c>
      <c r="G19" s="21">
        <v>0</v>
      </c>
      <c r="H19" s="13"/>
      <c r="I19" s="13" t="s">
        <v>57</v>
      </c>
      <c r="J19" s="13" t="s">
        <v>58</v>
      </c>
      <c r="K19" s="13">
        <v>34</v>
      </c>
      <c r="L19" s="13">
        <f t="shared" si="2"/>
        <v>0</v>
      </c>
      <c r="M19" s="13"/>
      <c r="N19" s="13"/>
      <c r="O19" s="13"/>
      <c r="P19" s="13">
        <f t="shared" si="3"/>
        <v>6.8</v>
      </c>
      <c r="Q19" s="15"/>
      <c r="R19" s="15"/>
      <c r="S19" s="13"/>
      <c r="T19" s="13">
        <f t="shared" si="4"/>
        <v>-2.9411764705882355</v>
      </c>
      <c r="U19" s="13">
        <f t="shared" si="5"/>
        <v>-2.9411764705882355</v>
      </c>
      <c r="V19" s="13">
        <v>4</v>
      </c>
      <c r="W19" s="13">
        <v>4</v>
      </c>
      <c r="X19" s="13">
        <v>0</v>
      </c>
      <c r="Y19" s="13">
        <v>0</v>
      </c>
      <c r="Z19" s="13">
        <v>0</v>
      </c>
      <c r="AA19" s="13">
        <v>0</v>
      </c>
      <c r="AB19" s="13"/>
      <c r="AC19" s="13"/>
      <c r="AD19" s="14"/>
      <c r="AE19" s="16"/>
      <c r="AF19" s="13"/>
      <c r="AG19" s="13"/>
      <c r="AH19" s="13"/>
      <c r="AI19" s="16"/>
      <c r="AJ19" s="1">
        <f t="shared" si="6"/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58</v>
      </c>
      <c r="B20" s="1" t="s">
        <v>38</v>
      </c>
      <c r="C20" s="1">
        <v>982</v>
      </c>
      <c r="D20" s="1">
        <v>135</v>
      </c>
      <c r="E20" s="17">
        <f>389+E19</f>
        <v>423</v>
      </c>
      <c r="F20" s="17">
        <f>573+F19</f>
        <v>553</v>
      </c>
      <c r="G20" s="7">
        <f>VLOOKUP(A20,[1]Sheet!$A:$G,7,0)</f>
        <v>0.2</v>
      </c>
      <c r="H20" s="1">
        <f>VLOOKUP(A20,[1]Sheet!$A:$H,8,0)</f>
        <v>180</v>
      </c>
      <c r="I20" s="1" t="str">
        <f>VLOOKUP(A20,[1]Sheet!$A:$I,9,0)</f>
        <v>P005129</v>
      </c>
      <c r="J20" s="1"/>
      <c r="K20" s="1">
        <v>429</v>
      </c>
      <c r="L20" s="1">
        <f t="shared" si="2"/>
        <v>-6</v>
      </c>
      <c r="M20" s="1"/>
      <c r="N20" s="1"/>
      <c r="O20" s="1">
        <v>0</v>
      </c>
      <c r="P20" s="1">
        <f t="shared" si="3"/>
        <v>84.6</v>
      </c>
      <c r="Q20" s="5">
        <f t="shared" ref="Q20:Q28" si="14">14*P20-O20-F20</f>
        <v>631.39999999999986</v>
      </c>
      <c r="R20" s="5">
        <f t="shared" ref="R20:R31" si="15">AD20*AE20</f>
        <v>672</v>
      </c>
      <c r="S20" s="1"/>
      <c r="T20" s="1">
        <f t="shared" si="4"/>
        <v>14.479905437352247</v>
      </c>
      <c r="U20" s="1">
        <f t="shared" si="5"/>
        <v>6.5366430260047288</v>
      </c>
      <c r="V20" s="1">
        <v>47.4</v>
      </c>
      <c r="W20" s="1">
        <v>44.2</v>
      </c>
      <c r="X20" s="1">
        <v>37</v>
      </c>
      <c r="Y20" s="1">
        <v>32.6</v>
      </c>
      <c r="Z20" s="1">
        <v>12.6</v>
      </c>
      <c r="AA20" s="1">
        <v>30.4</v>
      </c>
      <c r="AB20" s="1"/>
      <c r="AC20" s="1">
        <f t="shared" ref="AC20:AC31" si="16">G20*Q20</f>
        <v>126.27999999999997</v>
      </c>
      <c r="AD20" s="7">
        <v>12</v>
      </c>
      <c r="AE20" s="9">
        <f t="shared" ref="AE20:AE31" si="17">MROUND(Q20, AD20*AG20)/AD20</f>
        <v>56</v>
      </c>
      <c r="AF20" s="1">
        <f t="shared" ref="AF20:AF31" si="18">AE20*AD20*G20</f>
        <v>134.4</v>
      </c>
      <c r="AG20" s="1">
        <v>14</v>
      </c>
      <c r="AH20" s="1">
        <v>70</v>
      </c>
      <c r="AI20" s="9">
        <f t="shared" ref="AI20:AI31" si="19">AE20/AH20</f>
        <v>0.8</v>
      </c>
      <c r="AJ20" s="1">
        <f t="shared" si="6"/>
        <v>16.919999999999998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59</v>
      </c>
      <c r="B21" s="1" t="s">
        <v>38</v>
      </c>
      <c r="C21" s="1">
        <v>2506</v>
      </c>
      <c r="D21" s="1">
        <v>1289</v>
      </c>
      <c r="E21" s="1">
        <v>911</v>
      </c>
      <c r="F21" s="1">
        <v>1702</v>
      </c>
      <c r="G21" s="7">
        <f>VLOOKUP(A21,[1]Sheet!$A:$G,7,0)</f>
        <v>0.2</v>
      </c>
      <c r="H21" s="1">
        <f>VLOOKUP(A21,[1]Sheet!$A:$H,8,0)</f>
        <v>180</v>
      </c>
      <c r="I21" s="1" t="str">
        <f>VLOOKUP(A21,[1]Sheet!$A:$I,9,0)</f>
        <v>P004956</v>
      </c>
      <c r="J21" s="1"/>
      <c r="K21" s="1">
        <v>993</v>
      </c>
      <c r="L21" s="1">
        <f t="shared" si="2"/>
        <v>-82</v>
      </c>
      <c r="M21" s="1"/>
      <c r="N21" s="1"/>
      <c r="O21" s="1">
        <v>0</v>
      </c>
      <c r="P21" s="1">
        <f t="shared" si="3"/>
        <v>182.2</v>
      </c>
      <c r="Q21" s="5">
        <f t="shared" ref="Q21:Q22" si="20">$Q$1*P21-O21-F21</f>
        <v>903.46</v>
      </c>
      <c r="R21" s="5">
        <f t="shared" si="15"/>
        <v>840</v>
      </c>
      <c r="S21" s="1"/>
      <c r="T21" s="1">
        <f t="shared" si="4"/>
        <v>13.951701427003293</v>
      </c>
      <c r="U21" s="1">
        <f t="shared" si="5"/>
        <v>9.3413830954994523</v>
      </c>
      <c r="V21" s="1">
        <v>166.4</v>
      </c>
      <c r="W21" s="1">
        <v>226.8</v>
      </c>
      <c r="X21" s="1">
        <v>155.19999999999999</v>
      </c>
      <c r="Y21" s="1">
        <v>153.6</v>
      </c>
      <c r="Z21" s="1">
        <v>222</v>
      </c>
      <c r="AA21" s="1">
        <v>179.8</v>
      </c>
      <c r="AB21" s="1"/>
      <c r="AC21" s="1">
        <f t="shared" si="16"/>
        <v>180.69200000000001</v>
      </c>
      <c r="AD21" s="7">
        <v>12</v>
      </c>
      <c r="AE21" s="9">
        <f t="shared" si="17"/>
        <v>70</v>
      </c>
      <c r="AF21" s="1">
        <f t="shared" si="18"/>
        <v>168</v>
      </c>
      <c r="AG21" s="1">
        <v>14</v>
      </c>
      <c r="AH21" s="1">
        <v>70</v>
      </c>
      <c r="AI21" s="9">
        <f t="shared" si="19"/>
        <v>1</v>
      </c>
      <c r="AJ21" s="1">
        <f t="shared" si="6"/>
        <v>36.44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60</v>
      </c>
      <c r="B22" s="1" t="s">
        <v>38</v>
      </c>
      <c r="C22" s="1">
        <v>704</v>
      </c>
      <c r="D22" s="1">
        <v>88</v>
      </c>
      <c r="E22" s="1">
        <v>582</v>
      </c>
      <c r="F22" s="1">
        <v>107</v>
      </c>
      <c r="G22" s="7">
        <f>VLOOKUP(A22,[1]Sheet!$A:$G,7,0)</f>
        <v>0.2</v>
      </c>
      <c r="H22" s="1">
        <f>VLOOKUP(A22,[1]Sheet!$A:$H,8,0)</f>
        <v>180</v>
      </c>
      <c r="I22" s="1" t="str">
        <f>VLOOKUP(A22,[1]Sheet!$A:$I,9,0)</f>
        <v>P004953</v>
      </c>
      <c r="J22" s="1"/>
      <c r="K22" s="1">
        <v>638</v>
      </c>
      <c r="L22" s="1">
        <f t="shared" si="2"/>
        <v>-56</v>
      </c>
      <c r="M22" s="1"/>
      <c r="N22" s="1"/>
      <c r="O22" s="1">
        <v>504</v>
      </c>
      <c r="P22" s="1">
        <f t="shared" si="3"/>
        <v>116.4</v>
      </c>
      <c r="Q22" s="5">
        <f t="shared" si="20"/>
        <v>1053.5200000000002</v>
      </c>
      <c r="R22" s="5">
        <f t="shared" si="15"/>
        <v>1008</v>
      </c>
      <c r="S22" s="1"/>
      <c r="T22" s="1">
        <f t="shared" si="4"/>
        <v>13.908934707903779</v>
      </c>
      <c r="U22" s="1">
        <f t="shared" si="5"/>
        <v>5.2491408934707904</v>
      </c>
      <c r="V22" s="1">
        <v>86.4</v>
      </c>
      <c r="W22" s="1">
        <v>73.400000000000006</v>
      </c>
      <c r="X22" s="1">
        <v>61.4</v>
      </c>
      <c r="Y22" s="1">
        <v>63.4</v>
      </c>
      <c r="Z22" s="1">
        <v>58.4</v>
      </c>
      <c r="AA22" s="1">
        <v>47</v>
      </c>
      <c r="AB22" s="1"/>
      <c r="AC22" s="1">
        <f t="shared" si="16"/>
        <v>210.70400000000006</v>
      </c>
      <c r="AD22" s="7">
        <v>12</v>
      </c>
      <c r="AE22" s="9">
        <f t="shared" si="17"/>
        <v>84</v>
      </c>
      <c r="AF22" s="1">
        <f t="shared" si="18"/>
        <v>201.60000000000002</v>
      </c>
      <c r="AG22" s="1">
        <v>14</v>
      </c>
      <c r="AH22" s="1">
        <v>70</v>
      </c>
      <c r="AI22" s="9">
        <f t="shared" si="19"/>
        <v>1.2</v>
      </c>
      <c r="AJ22" s="1">
        <f t="shared" si="6"/>
        <v>23.28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61</v>
      </c>
      <c r="B23" s="1" t="s">
        <v>44</v>
      </c>
      <c r="C23" s="1">
        <v>429.5</v>
      </c>
      <c r="D23" s="1">
        <v>255.5</v>
      </c>
      <c r="E23" s="1">
        <v>265</v>
      </c>
      <c r="F23" s="1">
        <v>218</v>
      </c>
      <c r="G23" s="7">
        <f>VLOOKUP(A23,[1]Sheet!$A:$G,7,0)</f>
        <v>1</v>
      </c>
      <c r="H23" s="1">
        <f>VLOOKUP(A23,[1]Sheet!$A:$H,8,0)</f>
        <v>180</v>
      </c>
      <c r="I23" s="1" t="str">
        <f>VLOOKUP(A23,[1]Sheet!$A:$I,9,0)</f>
        <v>P005235</v>
      </c>
      <c r="J23" s="1"/>
      <c r="K23" s="1">
        <v>280</v>
      </c>
      <c r="L23" s="1">
        <f t="shared" si="2"/>
        <v>-15</v>
      </c>
      <c r="M23" s="1"/>
      <c r="N23" s="1"/>
      <c r="O23" s="1">
        <v>180</v>
      </c>
      <c r="P23" s="1">
        <f t="shared" si="3"/>
        <v>53</v>
      </c>
      <c r="Q23" s="5">
        <f t="shared" si="14"/>
        <v>344</v>
      </c>
      <c r="R23" s="5">
        <f t="shared" si="15"/>
        <v>360</v>
      </c>
      <c r="S23" s="1"/>
      <c r="T23" s="1">
        <f t="shared" si="4"/>
        <v>14.30188679245283</v>
      </c>
      <c r="U23" s="1">
        <f t="shared" si="5"/>
        <v>7.5094339622641506</v>
      </c>
      <c r="V23" s="1">
        <v>42.1</v>
      </c>
      <c r="W23" s="1">
        <v>38</v>
      </c>
      <c r="X23" s="1">
        <v>41</v>
      </c>
      <c r="Y23" s="1">
        <v>36</v>
      </c>
      <c r="Z23" s="1">
        <v>23</v>
      </c>
      <c r="AA23" s="1">
        <v>30</v>
      </c>
      <c r="AB23" s="1"/>
      <c r="AC23" s="1">
        <f t="shared" si="16"/>
        <v>344</v>
      </c>
      <c r="AD23" s="7">
        <v>5</v>
      </c>
      <c r="AE23" s="9">
        <f t="shared" si="17"/>
        <v>72</v>
      </c>
      <c r="AF23" s="1">
        <f t="shared" si="18"/>
        <v>360</v>
      </c>
      <c r="AG23" s="1">
        <v>12</v>
      </c>
      <c r="AH23" s="1">
        <v>84</v>
      </c>
      <c r="AI23" s="9">
        <f t="shared" si="19"/>
        <v>0.8571428571428571</v>
      </c>
      <c r="AJ23" s="1">
        <f t="shared" si="6"/>
        <v>53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62</v>
      </c>
      <c r="B24" s="1" t="s">
        <v>44</v>
      </c>
      <c r="C24" s="1">
        <v>390.5</v>
      </c>
      <c r="D24" s="1">
        <v>269.5</v>
      </c>
      <c r="E24" s="1">
        <v>136.5</v>
      </c>
      <c r="F24" s="1">
        <v>265</v>
      </c>
      <c r="G24" s="7">
        <v>1</v>
      </c>
      <c r="H24" s="1">
        <v>180</v>
      </c>
      <c r="I24" s="1" t="s">
        <v>63</v>
      </c>
      <c r="J24" s="1"/>
      <c r="K24" s="1">
        <v>157.5</v>
      </c>
      <c r="L24" s="1">
        <f t="shared" si="2"/>
        <v>-21</v>
      </c>
      <c r="M24" s="1"/>
      <c r="N24" s="1"/>
      <c r="O24" s="1">
        <v>132</v>
      </c>
      <c r="P24" s="1">
        <f t="shared" si="3"/>
        <v>27.3</v>
      </c>
      <c r="Q24" s="5"/>
      <c r="R24" s="5">
        <f t="shared" si="15"/>
        <v>0</v>
      </c>
      <c r="S24" s="1"/>
      <c r="T24" s="1">
        <f t="shared" si="4"/>
        <v>14.542124542124542</v>
      </c>
      <c r="U24" s="1">
        <f t="shared" si="5"/>
        <v>14.542124542124542</v>
      </c>
      <c r="V24" s="1">
        <v>39.6</v>
      </c>
      <c r="W24" s="1">
        <v>31.9</v>
      </c>
      <c r="X24" s="1">
        <v>24.2</v>
      </c>
      <c r="Y24" s="1">
        <v>14.1</v>
      </c>
      <c r="Z24" s="1">
        <v>6.6</v>
      </c>
      <c r="AA24" s="1">
        <v>14.3</v>
      </c>
      <c r="AB24" s="1"/>
      <c r="AC24" s="1">
        <f t="shared" si="16"/>
        <v>0</v>
      </c>
      <c r="AD24" s="7">
        <v>5.5</v>
      </c>
      <c r="AE24" s="9">
        <f t="shared" si="17"/>
        <v>0</v>
      </c>
      <c r="AF24" s="1">
        <f t="shared" si="18"/>
        <v>0</v>
      </c>
      <c r="AG24" s="1">
        <v>12</v>
      </c>
      <c r="AH24" s="1">
        <v>84</v>
      </c>
      <c r="AI24" s="9">
        <f t="shared" si="19"/>
        <v>0</v>
      </c>
      <c r="AJ24" s="1">
        <f t="shared" si="6"/>
        <v>27.3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64</v>
      </c>
      <c r="B25" s="1" t="s">
        <v>44</v>
      </c>
      <c r="C25" s="1">
        <v>207</v>
      </c>
      <c r="D25" s="1">
        <v>249</v>
      </c>
      <c r="E25" s="1">
        <v>185</v>
      </c>
      <c r="F25" s="1">
        <v>50</v>
      </c>
      <c r="G25" s="7">
        <f>VLOOKUP(A25,[1]Sheet!$A:$G,7,0)</f>
        <v>1</v>
      </c>
      <c r="H25" s="1">
        <f>VLOOKUP(A25,[1]Sheet!$A:$H,8,0)</f>
        <v>180</v>
      </c>
      <c r="I25" s="1" t="str">
        <f>VLOOKUP(A25,[1]Sheet!$A:$I,9,0)</f>
        <v>P004394</v>
      </c>
      <c r="J25" s="1"/>
      <c r="K25" s="1">
        <v>200</v>
      </c>
      <c r="L25" s="1">
        <f t="shared" si="2"/>
        <v>-15</v>
      </c>
      <c r="M25" s="1"/>
      <c r="N25" s="1"/>
      <c r="O25" s="1">
        <v>378</v>
      </c>
      <c r="P25" s="1">
        <f t="shared" si="3"/>
        <v>37</v>
      </c>
      <c r="Q25" s="5">
        <f t="shared" si="14"/>
        <v>90</v>
      </c>
      <c r="R25" s="5">
        <f t="shared" si="15"/>
        <v>84</v>
      </c>
      <c r="S25" s="1"/>
      <c r="T25" s="1">
        <f t="shared" si="4"/>
        <v>13.837837837837839</v>
      </c>
      <c r="U25" s="1">
        <f t="shared" si="5"/>
        <v>11.567567567567568</v>
      </c>
      <c r="V25" s="1">
        <v>40.200000000000003</v>
      </c>
      <c r="W25" s="1">
        <v>25.2</v>
      </c>
      <c r="X25" s="1">
        <v>25.2</v>
      </c>
      <c r="Y25" s="1">
        <v>24</v>
      </c>
      <c r="Z25" s="1">
        <v>22.2</v>
      </c>
      <c r="AA25" s="1">
        <v>17.399999999999999</v>
      </c>
      <c r="AB25" s="1"/>
      <c r="AC25" s="1">
        <f t="shared" si="16"/>
        <v>90</v>
      </c>
      <c r="AD25" s="7">
        <v>3</v>
      </c>
      <c r="AE25" s="9">
        <f t="shared" si="17"/>
        <v>28</v>
      </c>
      <c r="AF25" s="1">
        <f t="shared" si="18"/>
        <v>84</v>
      </c>
      <c r="AG25" s="1">
        <v>14</v>
      </c>
      <c r="AH25" s="1">
        <v>126</v>
      </c>
      <c r="AI25" s="9">
        <f t="shared" si="19"/>
        <v>0.22222222222222221</v>
      </c>
      <c r="AJ25" s="1">
        <f t="shared" si="6"/>
        <v>37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65</v>
      </c>
      <c r="B26" s="1" t="s">
        <v>38</v>
      </c>
      <c r="C26" s="1">
        <v>577</v>
      </c>
      <c r="D26" s="1">
        <v>274</v>
      </c>
      <c r="E26" s="1">
        <v>573</v>
      </c>
      <c r="F26" s="1">
        <v>19</v>
      </c>
      <c r="G26" s="7">
        <f>VLOOKUP(A26,[1]Sheet!$A:$G,7,0)</f>
        <v>0.25</v>
      </c>
      <c r="H26" s="1">
        <f>VLOOKUP(A26,[1]Sheet!$A:$H,8,0)</f>
        <v>365</v>
      </c>
      <c r="I26" s="1" t="str">
        <f>VLOOKUP(A26,[1]Sheet!$A:$I,9,0)</f>
        <v>P004602</v>
      </c>
      <c r="J26" s="1"/>
      <c r="K26" s="1">
        <v>625</v>
      </c>
      <c r="L26" s="1">
        <f t="shared" si="2"/>
        <v>-52</v>
      </c>
      <c r="M26" s="1"/>
      <c r="N26" s="1"/>
      <c r="O26" s="1">
        <v>504</v>
      </c>
      <c r="P26" s="1">
        <f t="shared" si="3"/>
        <v>114.6</v>
      </c>
      <c r="Q26" s="5">
        <f>$Q$1*P26-O26-F26</f>
        <v>1115.78</v>
      </c>
      <c r="R26" s="5">
        <f t="shared" si="15"/>
        <v>1092</v>
      </c>
      <c r="S26" s="1"/>
      <c r="T26" s="1">
        <f t="shared" si="4"/>
        <v>14.092495636998256</v>
      </c>
      <c r="U26" s="1">
        <f t="shared" si="5"/>
        <v>4.5636998254799304</v>
      </c>
      <c r="V26" s="1">
        <v>85.8</v>
      </c>
      <c r="W26" s="1">
        <v>67.8</v>
      </c>
      <c r="X26" s="1">
        <v>47</v>
      </c>
      <c r="Y26" s="1">
        <v>55.4</v>
      </c>
      <c r="Z26" s="1">
        <v>55.4</v>
      </c>
      <c r="AA26" s="1">
        <v>42.4</v>
      </c>
      <c r="AB26" s="1"/>
      <c r="AC26" s="1">
        <f t="shared" si="16"/>
        <v>278.94499999999999</v>
      </c>
      <c r="AD26" s="7">
        <v>6</v>
      </c>
      <c r="AE26" s="9">
        <f t="shared" si="17"/>
        <v>182</v>
      </c>
      <c r="AF26" s="1">
        <f t="shared" si="18"/>
        <v>273</v>
      </c>
      <c r="AG26" s="1">
        <v>14</v>
      </c>
      <c r="AH26" s="1">
        <v>140</v>
      </c>
      <c r="AI26" s="9">
        <f t="shared" si="19"/>
        <v>1.3</v>
      </c>
      <c r="AJ26" s="1">
        <f t="shared" si="6"/>
        <v>28.65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66</v>
      </c>
      <c r="B27" s="1" t="s">
        <v>38</v>
      </c>
      <c r="C27" s="1">
        <v>1070</v>
      </c>
      <c r="D27" s="1">
        <v>362</v>
      </c>
      <c r="E27" s="1">
        <v>464</v>
      </c>
      <c r="F27" s="1">
        <v>650</v>
      </c>
      <c r="G27" s="7">
        <f>VLOOKUP(A27,[1]Sheet!$A:$G,7,0)</f>
        <v>0.25</v>
      </c>
      <c r="H27" s="1">
        <f>VLOOKUP(A27,[1]Sheet!$A:$H,8,0)</f>
        <v>365</v>
      </c>
      <c r="I27" s="1" t="str">
        <f>VLOOKUP(A27,[1]Sheet!$A:$I,9,0)</f>
        <v>P004600</v>
      </c>
      <c r="J27" s="1"/>
      <c r="K27" s="1">
        <v>506</v>
      </c>
      <c r="L27" s="1">
        <f t="shared" si="2"/>
        <v>-42</v>
      </c>
      <c r="M27" s="1"/>
      <c r="N27" s="1"/>
      <c r="O27" s="1">
        <v>0</v>
      </c>
      <c r="P27" s="1">
        <f t="shared" si="3"/>
        <v>92.8</v>
      </c>
      <c r="Q27" s="5">
        <f t="shared" si="14"/>
        <v>649.20000000000005</v>
      </c>
      <c r="R27" s="5">
        <f t="shared" si="15"/>
        <v>672</v>
      </c>
      <c r="S27" s="1"/>
      <c r="T27" s="1">
        <f t="shared" si="4"/>
        <v>14.245689655172415</v>
      </c>
      <c r="U27" s="1">
        <f t="shared" si="5"/>
        <v>7.0043103448275863</v>
      </c>
      <c r="V27" s="1">
        <v>76.8</v>
      </c>
      <c r="W27" s="1">
        <v>96</v>
      </c>
      <c r="X27" s="1">
        <v>70</v>
      </c>
      <c r="Y27" s="1">
        <v>80</v>
      </c>
      <c r="Z27" s="1">
        <v>69.8</v>
      </c>
      <c r="AA27" s="1">
        <v>64.8</v>
      </c>
      <c r="AB27" s="1"/>
      <c r="AC27" s="1">
        <f t="shared" si="16"/>
        <v>162.30000000000001</v>
      </c>
      <c r="AD27" s="7">
        <v>6</v>
      </c>
      <c r="AE27" s="9">
        <f t="shared" si="17"/>
        <v>112</v>
      </c>
      <c r="AF27" s="1">
        <f t="shared" si="18"/>
        <v>168</v>
      </c>
      <c r="AG27" s="1">
        <v>14</v>
      </c>
      <c r="AH27" s="1">
        <v>140</v>
      </c>
      <c r="AI27" s="9">
        <f t="shared" si="19"/>
        <v>0.8</v>
      </c>
      <c r="AJ27" s="1">
        <f t="shared" si="6"/>
        <v>23.2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67</v>
      </c>
      <c r="B28" s="1" t="s">
        <v>44</v>
      </c>
      <c r="C28" s="1">
        <v>606</v>
      </c>
      <c r="D28" s="1">
        <v>203</v>
      </c>
      <c r="E28" s="1">
        <v>293</v>
      </c>
      <c r="F28" s="1">
        <v>312</v>
      </c>
      <c r="G28" s="7">
        <f>VLOOKUP(A28,[1]Sheet!$A:$G,7,0)</f>
        <v>1</v>
      </c>
      <c r="H28" s="1">
        <f>VLOOKUP(A28,[1]Sheet!$A:$H,8,0)</f>
        <v>180</v>
      </c>
      <c r="I28" s="1" t="str">
        <f>VLOOKUP(A28,[1]Sheet!$A:$I,9,0)</f>
        <v>P003486</v>
      </c>
      <c r="J28" s="1"/>
      <c r="K28" s="1">
        <v>317</v>
      </c>
      <c r="L28" s="1">
        <f t="shared" si="2"/>
        <v>-24</v>
      </c>
      <c r="M28" s="1"/>
      <c r="N28" s="1"/>
      <c r="O28" s="1">
        <v>360</v>
      </c>
      <c r="P28" s="1">
        <f t="shared" si="3"/>
        <v>58.6</v>
      </c>
      <c r="Q28" s="5">
        <f t="shared" si="14"/>
        <v>148.39999999999998</v>
      </c>
      <c r="R28" s="5">
        <f t="shared" si="15"/>
        <v>144</v>
      </c>
      <c r="S28" s="1"/>
      <c r="T28" s="1">
        <f t="shared" si="4"/>
        <v>13.924914675767917</v>
      </c>
      <c r="U28" s="1">
        <f t="shared" si="5"/>
        <v>11.467576791808874</v>
      </c>
      <c r="V28" s="1">
        <v>66</v>
      </c>
      <c r="W28" s="1">
        <v>58.2</v>
      </c>
      <c r="X28" s="1">
        <v>51.4</v>
      </c>
      <c r="Y28" s="1">
        <v>42</v>
      </c>
      <c r="Z28" s="1">
        <v>45</v>
      </c>
      <c r="AA28" s="1">
        <v>48</v>
      </c>
      <c r="AB28" s="1"/>
      <c r="AC28" s="1">
        <f t="shared" si="16"/>
        <v>148.39999999999998</v>
      </c>
      <c r="AD28" s="7">
        <v>6</v>
      </c>
      <c r="AE28" s="9">
        <f t="shared" si="17"/>
        <v>24</v>
      </c>
      <c r="AF28" s="1">
        <f t="shared" si="18"/>
        <v>144</v>
      </c>
      <c r="AG28" s="1">
        <v>12</v>
      </c>
      <c r="AH28" s="1">
        <v>84</v>
      </c>
      <c r="AI28" s="9">
        <f t="shared" si="19"/>
        <v>0.2857142857142857</v>
      </c>
      <c r="AJ28" s="1">
        <f t="shared" si="6"/>
        <v>58.6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68</v>
      </c>
      <c r="B29" s="1" t="s">
        <v>38</v>
      </c>
      <c r="C29" s="1">
        <v>351</v>
      </c>
      <c r="D29" s="1">
        <v>301</v>
      </c>
      <c r="E29" s="1">
        <v>374</v>
      </c>
      <c r="F29" s="1">
        <v>100</v>
      </c>
      <c r="G29" s="7">
        <f>VLOOKUP(A29,[1]Sheet!$A:$G,7,0)</f>
        <v>0.23</v>
      </c>
      <c r="H29" s="1">
        <f>VLOOKUP(A29,[1]Sheet!$A:$H,8,0)</f>
        <v>180</v>
      </c>
      <c r="I29" s="18" t="s">
        <v>110</v>
      </c>
      <c r="J29" s="1"/>
      <c r="K29" s="1">
        <v>839</v>
      </c>
      <c r="L29" s="1">
        <f t="shared" si="2"/>
        <v>-465</v>
      </c>
      <c r="M29" s="1"/>
      <c r="N29" s="1"/>
      <c r="O29" s="1">
        <v>2520</v>
      </c>
      <c r="P29" s="1">
        <f t="shared" si="3"/>
        <v>74.8</v>
      </c>
      <c r="Q29" s="5"/>
      <c r="R29" s="5">
        <f t="shared" si="15"/>
        <v>0</v>
      </c>
      <c r="S29" s="1"/>
      <c r="T29" s="1">
        <f t="shared" si="4"/>
        <v>35.026737967914443</v>
      </c>
      <c r="U29" s="1">
        <f t="shared" si="5"/>
        <v>35.026737967914443</v>
      </c>
      <c r="V29" s="1">
        <v>140.19999999999999</v>
      </c>
      <c r="W29" s="1">
        <v>59.4</v>
      </c>
      <c r="X29" s="1">
        <v>47.2</v>
      </c>
      <c r="Y29" s="1">
        <v>63.8</v>
      </c>
      <c r="Z29" s="1">
        <v>57.2</v>
      </c>
      <c r="AA29" s="1">
        <v>48.8</v>
      </c>
      <c r="AB29" s="1" t="s">
        <v>69</v>
      </c>
      <c r="AC29" s="1">
        <f t="shared" si="16"/>
        <v>0</v>
      </c>
      <c r="AD29" s="7">
        <v>12</v>
      </c>
      <c r="AE29" s="9">
        <f t="shared" si="17"/>
        <v>0</v>
      </c>
      <c r="AF29" s="1">
        <f t="shared" si="18"/>
        <v>0</v>
      </c>
      <c r="AG29" s="1">
        <v>14</v>
      </c>
      <c r="AH29" s="1">
        <v>70</v>
      </c>
      <c r="AI29" s="9">
        <f t="shared" si="19"/>
        <v>0</v>
      </c>
      <c r="AJ29" s="1">
        <f t="shared" si="6"/>
        <v>17.204000000000001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70</v>
      </c>
      <c r="B30" s="1" t="s">
        <v>38</v>
      </c>
      <c r="C30" s="1">
        <v>1598</v>
      </c>
      <c r="D30" s="1">
        <v>1157</v>
      </c>
      <c r="E30" s="1">
        <v>928</v>
      </c>
      <c r="F30" s="1">
        <v>768</v>
      </c>
      <c r="G30" s="7">
        <f>VLOOKUP(A30,[1]Sheet!$A:$G,7,0)</f>
        <v>0.25</v>
      </c>
      <c r="H30" s="1">
        <f>VLOOKUP(A30,[1]Sheet!$A:$H,8,0)</f>
        <v>365</v>
      </c>
      <c r="I30" s="1" t="str">
        <f>VLOOKUP(A30,[1]Sheet!$A:$I,9,0)</f>
        <v>P004497</v>
      </c>
      <c r="J30" s="1"/>
      <c r="K30" s="1">
        <v>983</v>
      </c>
      <c r="L30" s="1">
        <f t="shared" si="2"/>
        <v>-55</v>
      </c>
      <c r="M30" s="1"/>
      <c r="N30" s="1"/>
      <c r="O30" s="1">
        <v>840</v>
      </c>
      <c r="P30" s="1">
        <f t="shared" si="3"/>
        <v>185.6</v>
      </c>
      <c r="Q30" s="5">
        <f t="shared" ref="Q30:Q31" si="21">$Q$1*P30-O30-F30</f>
        <v>1046.08</v>
      </c>
      <c r="R30" s="5">
        <f t="shared" si="15"/>
        <v>1008</v>
      </c>
      <c r="S30" s="1"/>
      <c r="T30" s="1">
        <f t="shared" si="4"/>
        <v>14.094827586206897</v>
      </c>
      <c r="U30" s="1">
        <f t="shared" si="5"/>
        <v>8.6637931034482758</v>
      </c>
      <c r="V30" s="1">
        <v>184</v>
      </c>
      <c r="W30" s="1">
        <v>181.2</v>
      </c>
      <c r="X30" s="1">
        <v>168.8</v>
      </c>
      <c r="Y30" s="1">
        <v>175.8</v>
      </c>
      <c r="Z30" s="1">
        <v>188.6</v>
      </c>
      <c r="AA30" s="1">
        <v>146.6</v>
      </c>
      <c r="AB30" s="1"/>
      <c r="AC30" s="1">
        <f t="shared" si="16"/>
        <v>261.52</v>
      </c>
      <c r="AD30" s="7">
        <v>12</v>
      </c>
      <c r="AE30" s="9">
        <f t="shared" si="17"/>
        <v>84</v>
      </c>
      <c r="AF30" s="1">
        <f t="shared" si="18"/>
        <v>252</v>
      </c>
      <c r="AG30" s="1">
        <v>14</v>
      </c>
      <c r="AH30" s="1">
        <v>70</v>
      </c>
      <c r="AI30" s="9">
        <f t="shared" si="19"/>
        <v>1.2</v>
      </c>
      <c r="AJ30" s="1">
        <f t="shared" si="6"/>
        <v>46.4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71</v>
      </c>
      <c r="B31" s="1" t="s">
        <v>38</v>
      </c>
      <c r="C31" s="1">
        <v>1535</v>
      </c>
      <c r="D31" s="1">
        <v>1718</v>
      </c>
      <c r="E31" s="1">
        <v>739</v>
      </c>
      <c r="F31" s="1">
        <v>854</v>
      </c>
      <c r="G31" s="7">
        <f>VLOOKUP(A31,[1]Sheet!$A:$G,7,0)</f>
        <v>0.25</v>
      </c>
      <c r="H31" s="1">
        <f>VLOOKUP(A31,[1]Sheet!$A:$H,8,0)</f>
        <v>365</v>
      </c>
      <c r="I31" s="1" t="str">
        <f>VLOOKUP(A31,[1]Sheet!$A:$I,9,0)</f>
        <v>P004496</v>
      </c>
      <c r="J31" s="1"/>
      <c r="K31" s="1">
        <v>789</v>
      </c>
      <c r="L31" s="1">
        <f t="shared" si="2"/>
        <v>-50</v>
      </c>
      <c r="M31" s="1"/>
      <c r="N31" s="1"/>
      <c r="O31" s="1">
        <v>336</v>
      </c>
      <c r="P31" s="1">
        <f t="shared" si="3"/>
        <v>147.80000000000001</v>
      </c>
      <c r="Q31" s="5">
        <f t="shared" si="21"/>
        <v>923.54000000000042</v>
      </c>
      <c r="R31" s="5">
        <f t="shared" si="15"/>
        <v>840</v>
      </c>
      <c r="S31" s="1"/>
      <c r="T31" s="1">
        <f t="shared" si="4"/>
        <v>13.734776725304464</v>
      </c>
      <c r="U31" s="1">
        <f t="shared" si="5"/>
        <v>8.0514208389715822</v>
      </c>
      <c r="V31" s="1">
        <v>128.4</v>
      </c>
      <c r="W31" s="1">
        <v>146.4</v>
      </c>
      <c r="X31" s="1">
        <v>113.2</v>
      </c>
      <c r="Y31" s="1">
        <v>126.2</v>
      </c>
      <c r="Z31" s="1">
        <v>144.80000000000001</v>
      </c>
      <c r="AA31" s="1">
        <v>100.2</v>
      </c>
      <c r="AB31" s="1"/>
      <c r="AC31" s="1">
        <f t="shared" si="16"/>
        <v>230.8850000000001</v>
      </c>
      <c r="AD31" s="7">
        <v>12</v>
      </c>
      <c r="AE31" s="9">
        <f t="shared" si="17"/>
        <v>70</v>
      </c>
      <c r="AF31" s="1">
        <f t="shared" si="18"/>
        <v>210</v>
      </c>
      <c r="AG31" s="1">
        <v>14</v>
      </c>
      <c r="AH31" s="1">
        <v>70</v>
      </c>
      <c r="AI31" s="9">
        <f t="shared" si="19"/>
        <v>1</v>
      </c>
      <c r="AJ31" s="1">
        <f t="shared" si="6"/>
        <v>36.950000000000003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3" t="s">
        <v>72</v>
      </c>
      <c r="B32" s="13" t="s">
        <v>38</v>
      </c>
      <c r="C32" s="13">
        <v>-5</v>
      </c>
      <c r="D32" s="13">
        <v>5</v>
      </c>
      <c r="E32" s="13"/>
      <c r="F32" s="13"/>
      <c r="G32" s="14">
        <f>VLOOKUP(A32,[1]Sheet!$A:$G,7,0)</f>
        <v>0</v>
      </c>
      <c r="H32" s="13"/>
      <c r="I32" s="13"/>
      <c r="J32" s="13" t="s">
        <v>71</v>
      </c>
      <c r="K32" s="13"/>
      <c r="L32" s="13">
        <f t="shared" si="2"/>
        <v>0</v>
      </c>
      <c r="M32" s="13"/>
      <c r="N32" s="13"/>
      <c r="O32" s="13"/>
      <c r="P32" s="13">
        <f t="shared" si="3"/>
        <v>0</v>
      </c>
      <c r="Q32" s="15"/>
      <c r="R32" s="15"/>
      <c r="S32" s="13"/>
      <c r="T32" s="13" t="e">
        <f t="shared" si="4"/>
        <v>#DIV/0!</v>
      </c>
      <c r="U32" s="13" t="e">
        <f t="shared" si="5"/>
        <v>#DIV/0!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/>
      <c r="AC32" s="13"/>
      <c r="AD32" s="14"/>
      <c r="AE32" s="16"/>
      <c r="AF32" s="13"/>
      <c r="AG32" s="13"/>
      <c r="AH32" s="13"/>
      <c r="AI32" s="16"/>
      <c r="AJ32" s="1">
        <f t="shared" si="6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73</v>
      </c>
      <c r="B33" s="1" t="s">
        <v>38</v>
      </c>
      <c r="C33" s="1">
        <v>1172</v>
      </c>
      <c r="D33" s="1">
        <v>926</v>
      </c>
      <c r="E33" s="1">
        <v>589</v>
      </c>
      <c r="F33" s="1">
        <v>645</v>
      </c>
      <c r="G33" s="7">
        <f>VLOOKUP(A33,[1]Sheet!$A:$G,7,0)</f>
        <v>0.25</v>
      </c>
      <c r="H33" s="1">
        <f>VLOOKUP(A33,[1]Sheet!$A:$H,8,0)</f>
        <v>180</v>
      </c>
      <c r="I33" s="1" t="str">
        <f>VLOOKUP(A33,[1]Sheet!$A:$I,9,0)</f>
        <v>P004535</v>
      </c>
      <c r="J33" s="1"/>
      <c r="K33" s="1">
        <v>650</v>
      </c>
      <c r="L33" s="1">
        <f t="shared" si="2"/>
        <v>-61</v>
      </c>
      <c r="M33" s="1"/>
      <c r="N33" s="1"/>
      <c r="O33" s="1">
        <v>504</v>
      </c>
      <c r="P33" s="1">
        <f t="shared" si="3"/>
        <v>117.8</v>
      </c>
      <c r="Q33" s="5">
        <f>$Q$1*P33-O33-F33</f>
        <v>535.54</v>
      </c>
      <c r="R33" s="5">
        <f t="shared" ref="R33:R49" si="22">AD33*AE33</f>
        <v>504</v>
      </c>
      <c r="S33" s="1"/>
      <c r="T33" s="1">
        <f t="shared" si="4"/>
        <v>14.03225806451613</v>
      </c>
      <c r="U33" s="1">
        <f t="shared" si="5"/>
        <v>9.7538200339558578</v>
      </c>
      <c r="V33" s="1">
        <v>114.4</v>
      </c>
      <c r="W33" s="1">
        <v>108</v>
      </c>
      <c r="X33" s="1">
        <v>84.6</v>
      </c>
      <c r="Y33" s="1">
        <v>75.8</v>
      </c>
      <c r="Z33" s="1">
        <v>106.8</v>
      </c>
      <c r="AA33" s="1">
        <v>78.400000000000006</v>
      </c>
      <c r="AB33" s="1"/>
      <c r="AC33" s="1">
        <f t="shared" ref="AC33:AC49" si="23">G33*Q33</f>
        <v>133.88499999999999</v>
      </c>
      <c r="AD33" s="7">
        <v>12</v>
      </c>
      <c r="AE33" s="9">
        <f t="shared" ref="AE33:AE49" si="24">MROUND(Q33, AD33*AG33)/AD33</f>
        <v>42</v>
      </c>
      <c r="AF33" s="1">
        <f t="shared" ref="AF33:AF49" si="25">AE33*AD33*G33</f>
        <v>126</v>
      </c>
      <c r="AG33" s="1">
        <v>14</v>
      </c>
      <c r="AH33" s="1">
        <v>70</v>
      </c>
      <c r="AI33" s="9">
        <f t="shared" ref="AI33:AI49" si="26">AE33/AH33</f>
        <v>0.6</v>
      </c>
      <c r="AJ33" s="1">
        <f t="shared" si="6"/>
        <v>29.45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74</v>
      </c>
      <c r="B34" s="1" t="s">
        <v>38</v>
      </c>
      <c r="C34" s="1">
        <v>542</v>
      </c>
      <c r="D34" s="1">
        <v>440</v>
      </c>
      <c r="E34" s="1">
        <v>307</v>
      </c>
      <c r="F34" s="1">
        <v>209</v>
      </c>
      <c r="G34" s="7">
        <f>VLOOKUP(A34,[1]Sheet!$A:$G,7,0)</f>
        <v>0.25</v>
      </c>
      <c r="H34" s="1">
        <f>VLOOKUP(A34,[1]Sheet!$A:$H,8,0)</f>
        <v>180</v>
      </c>
      <c r="I34" s="1" t="str">
        <f>VLOOKUP(A34,[1]Sheet!$A:$I,9,0)</f>
        <v>P004594</v>
      </c>
      <c r="J34" s="1"/>
      <c r="K34" s="1">
        <v>380</v>
      </c>
      <c r="L34" s="1">
        <f t="shared" si="2"/>
        <v>-73</v>
      </c>
      <c r="M34" s="1"/>
      <c r="N34" s="1"/>
      <c r="O34" s="1">
        <v>168</v>
      </c>
      <c r="P34" s="1">
        <f t="shared" si="3"/>
        <v>61.4</v>
      </c>
      <c r="Q34" s="5">
        <f t="shared" ref="Q34:Q46" si="27">14*P34-O34-F34</f>
        <v>482.6</v>
      </c>
      <c r="R34" s="5">
        <f t="shared" si="22"/>
        <v>504</v>
      </c>
      <c r="S34" s="1"/>
      <c r="T34" s="1">
        <f t="shared" si="4"/>
        <v>14.348534201954397</v>
      </c>
      <c r="U34" s="1">
        <f t="shared" si="5"/>
        <v>6.1400651465798051</v>
      </c>
      <c r="V34" s="1">
        <v>40.6</v>
      </c>
      <c r="W34" s="1">
        <v>44.6</v>
      </c>
      <c r="X34" s="1">
        <v>33</v>
      </c>
      <c r="Y34" s="1">
        <v>36</v>
      </c>
      <c r="Z34" s="1">
        <v>18.2</v>
      </c>
      <c r="AA34" s="1">
        <v>19</v>
      </c>
      <c r="AB34" s="1"/>
      <c r="AC34" s="1">
        <f t="shared" si="23"/>
        <v>120.65</v>
      </c>
      <c r="AD34" s="7">
        <v>12</v>
      </c>
      <c r="AE34" s="9">
        <f t="shared" si="24"/>
        <v>42</v>
      </c>
      <c r="AF34" s="1">
        <f t="shared" si="25"/>
        <v>126</v>
      </c>
      <c r="AG34" s="1">
        <v>14</v>
      </c>
      <c r="AH34" s="1">
        <v>70</v>
      </c>
      <c r="AI34" s="9">
        <f t="shared" si="26"/>
        <v>0.6</v>
      </c>
      <c r="AJ34" s="1">
        <f t="shared" si="6"/>
        <v>15.35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75</v>
      </c>
      <c r="B35" s="1" t="s">
        <v>38</v>
      </c>
      <c r="C35" s="1">
        <v>281</v>
      </c>
      <c r="D35" s="1">
        <v>104</v>
      </c>
      <c r="E35" s="1">
        <v>287</v>
      </c>
      <c r="F35" s="1">
        <v>8</v>
      </c>
      <c r="G35" s="7">
        <f>VLOOKUP(A35,[1]Sheet!$A:$G,7,0)</f>
        <v>0.7</v>
      </c>
      <c r="H35" s="1">
        <f>VLOOKUP(A35,[1]Sheet!$A:$H,8,0)</f>
        <v>180</v>
      </c>
      <c r="I35" s="1" t="str">
        <f>VLOOKUP(A35,[1]Sheet!$A:$I,9,0)</f>
        <v>P004887</v>
      </c>
      <c r="J35" s="1"/>
      <c r="K35" s="1">
        <v>434</v>
      </c>
      <c r="L35" s="1">
        <f t="shared" si="2"/>
        <v>-147</v>
      </c>
      <c r="M35" s="1"/>
      <c r="N35" s="1"/>
      <c r="O35" s="1">
        <v>384</v>
      </c>
      <c r="P35" s="1">
        <f t="shared" si="3"/>
        <v>57.4</v>
      </c>
      <c r="Q35" s="5">
        <f t="shared" si="27"/>
        <v>411.6</v>
      </c>
      <c r="R35" s="5">
        <f t="shared" si="22"/>
        <v>384</v>
      </c>
      <c r="S35" s="1"/>
      <c r="T35" s="1">
        <f t="shared" si="4"/>
        <v>13.519163763066203</v>
      </c>
      <c r="U35" s="1">
        <f t="shared" si="5"/>
        <v>6.8292682926829267</v>
      </c>
      <c r="V35" s="1">
        <v>49.6</v>
      </c>
      <c r="W35" s="1">
        <v>41.2</v>
      </c>
      <c r="X35" s="1">
        <v>30.8</v>
      </c>
      <c r="Y35" s="1">
        <v>22.8</v>
      </c>
      <c r="Z35" s="1">
        <v>26.4</v>
      </c>
      <c r="AA35" s="1">
        <v>31.4</v>
      </c>
      <c r="AB35" s="1"/>
      <c r="AC35" s="1">
        <f t="shared" si="23"/>
        <v>288.12</v>
      </c>
      <c r="AD35" s="7">
        <v>8</v>
      </c>
      <c r="AE35" s="9">
        <f t="shared" si="24"/>
        <v>48</v>
      </c>
      <c r="AF35" s="1">
        <f t="shared" si="25"/>
        <v>268.79999999999995</v>
      </c>
      <c r="AG35" s="1">
        <v>12</v>
      </c>
      <c r="AH35" s="1">
        <v>84</v>
      </c>
      <c r="AI35" s="9">
        <f t="shared" si="26"/>
        <v>0.5714285714285714</v>
      </c>
      <c r="AJ35" s="1">
        <f t="shared" si="6"/>
        <v>40.18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76</v>
      </c>
      <c r="B36" s="1" t="s">
        <v>38</v>
      </c>
      <c r="C36" s="1">
        <v>175</v>
      </c>
      <c r="D36" s="1">
        <v>65</v>
      </c>
      <c r="E36" s="1">
        <v>207</v>
      </c>
      <c r="F36" s="1">
        <v>-13</v>
      </c>
      <c r="G36" s="7">
        <f>VLOOKUP(A36,[1]Sheet!$A:$G,7,0)</f>
        <v>0.7</v>
      </c>
      <c r="H36" s="1">
        <f>VLOOKUP(A36,[1]Sheet!$A:$H,8,0)</f>
        <v>180</v>
      </c>
      <c r="I36" s="1" t="str">
        <f>VLOOKUP(A36,[1]Sheet!$A:$I,9,0)</f>
        <v>P004889</v>
      </c>
      <c r="J36" s="1"/>
      <c r="K36" s="1">
        <v>279</v>
      </c>
      <c r="L36" s="1">
        <f t="shared" si="2"/>
        <v>-72</v>
      </c>
      <c r="M36" s="1"/>
      <c r="N36" s="1"/>
      <c r="O36" s="1">
        <v>384</v>
      </c>
      <c r="P36" s="1">
        <f t="shared" si="3"/>
        <v>41.4</v>
      </c>
      <c r="Q36" s="5">
        <f t="shared" si="27"/>
        <v>208.60000000000002</v>
      </c>
      <c r="R36" s="5">
        <f t="shared" si="22"/>
        <v>192</v>
      </c>
      <c r="S36" s="1"/>
      <c r="T36" s="1">
        <f t="shared" si="4"/>
        <v>13.599033816425122</v>
      </c>
      <c r="U36" s="1">
        <f t="shared" si="5"/>
        <v>8.9613526570048307</v>
      </c>
      <c r="V36" s="1">
        <v>38.6</v>
      </c>
      <c r="W36" s="1">
        <v>24.8</v>
      </c>
      <c r="X36" s="1">
        <v>26</v>
      </c>
      <c r="Y36" s="1">
        <v>28</v>
      </c>
      <c r="Z36" s="1">
        <v>24.8</v>
      </c>
      <c r="AA36" s="1">
        <v>34.799999999999997</v>
      </c>
      <c r="AB36" s="1"/>
      <c r="AC36" s="1">
        <f t="shared" si="23"/>
        <v>146.02000000000001</v>
      </c>
      <c r="AD36" s="7">
        <v>8</v>
      </c>
      <c r="AE36" s="9">
        <f t="shared" si="24"/>
        <v>24</v>
      </c>
      <c r="AF36" s="1">
        <f t="shared" si="25"/>
        <v>134.39999999999998</v>
      </c>
      <c r="AG36" s="1">
        <v>12</v>
      </c>
      <c r="AH36" s="1">
        <v>84</v>
      </c>
      <c r="AI36" s="9">
        <f t="shared" si="26"/>
        <v>0.2857142857142857</v>
      </c>
      <c r="AJ36" s="1">
        <f t="shared" si="6"/>
        <v>28.979999999999997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77</v>
      </c>
      <c r="B37" s="1" t="s">
        <v>38</v>
      </c>
      <c r="C37" s="1">
        <v>414</v>
      </c>
      <c r="D37" s="1">
        <v>194</v>
      </c>
      <c r="E37" s="1">
        <v>342</v>
      </c>
      <c r="F37" s="1">
        <v>51</v>
      </c>
      <c r="G37" s="7">
        <f>VLOOKUP(A37,[1]Sheet!$A:$G,7,0)</f>
        <v>0.7</v>
      </c>
      <c r="H37" s="1">
        <f>VLOOKUP(A37,[1]Sheet!$A:$H,8,0)</f>
        <v>180</v>
      </c>
      <c r="I37" s="1" t="str">
        <f>VLOOKUP(A37,[1]Sheet!$A:$I,9,0)</f>
        <v>P004888</v>
      </c>
      <c r="J37" s="1"/>
      <c r="K37" s="1">
        <v>375</v>
      </c>
      <c r="L37" s="1">
        <f t="shared" si="2"/>
        <v>-33</v>
      </c>
      <c r="M37" s="1"/>
      <c r="N37" s="1"/>
      <c r="O37" s="1">
        <v>576</v>
      </c>
      <c r="P37" s="1">
        <f t="shared" si="3"/>
        <v>68.400000000000006</v>
      </c>
      <c r="Q37" s="5">
        <f t="shared" si="27"/>
        <v>330.60000000000014</v>
      </c>
      <c r="R37" s="5">
        <f t="shared" si="22"/>
        <v>288</v>
      </c>
      <c r="S37" s="1"/>
      <c r="T37" s="1">
        <f t="shared" si="4"/>
        <v>13.377192982456139</v>
      </c>
      <c r="U37" s="1">
        <f t="shared" si="5"/>
        <v>9.1666666666666661</v>
      </c>
      <c r="V37" s="1">
        <v>73.2</v>
      </c>
      <c r="W37" s="1">
        <v>44.2</v>
      </c>
      <c r="X37" s="1">
        <v>47.8</v>
      </c>
      <c r="Y37" s="1">
        <v>51.2</v>
      </c>
      <c r="Z37" s="1">
        <v>44.6</v>
      </c>
      <c r="AA37" s="1">
        <v>44</v>
      </c>
      <c r="AB37" s="1"/>
      <c r="AC37" s="1">
        <f t="shared" si="23"/>
        <v>231.42000000000007</v>
      </c>
      <c r="AD37" s="7">
        <v>8</v>
      </c>
      <c r="AE37" s="9">
        <f t="shared" si="24"/>
        <v>36</v>
      </c>
      <c r="AF37" s="1">
        <f t="shared" si="25"/>
        <v>201.6</v>
      </c>
      <c r="AG37" s="1">
        <v>12</v>
      </c>
      <c r="AH37" s="1">
        <v>84</v>
      </c>
      <c r="AI37" s="9">
        <f t="shared" si="26"/>
        <v>0.42857142857142855</v>
      </c>
      <c r="AJ37" s="1">
        <f t="shared" si="6"/>
        <v>47.88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78</v>
      </c>
      <c r="B38" s="1" t="s">
        <v>38</v>
      </c>
      <c r="C38" s="1">
        <v>426</v>
      </c>
      <c r="D38" s="1">
        <v>1501</v>
      </c>
      <c r="E38" s="1">
        <v>365</v>
      </c>
      <c r="F38" s="1">
        <v>11</v>
      </c>
      <c r="G38" s="7">
        <f>VLOOKUP(A38,[1]Sheet!$A:$G,7,0)</f>
        <v>0.7</v>
      </c>
      <c r="H38" s="1">
        <f>VLOOKUP(A38,[1]Sheet!$A:$H,8,0)</f>
        <v>180</v>
      </c>
      <c r="I38" s="1" t="str">
        <f>VLOOKUP(A38,[1]Sheet!$A:$I,9,0)</f>
        <v>P004440</v>
      </c>
      <c r="J38" s="1"/>
      <c r="K38" s="1">
        <v>386</v>
      </c>
      <c r="L38" s="1">
        <f t="shared" ref="L38:L69" si="28">E38-K38</f>
        <v>-21</v>
      </c>
      <c r="M38" s="1"/>
      <c r="N38" s="1"/>
      <c r="O38" s="1">
        <v>120</v>
      </c>
      <c r="P38" s="1">
        <f t="shared" ref="P38:P69" si="29">E38/5</f>
        <v>73</v>
      </c>
      <c r="Q38" s="5">
        <f>12*P38-O38-F38+1000</f>
        <v>1745</v>
      </c>
      <c r="R38" s="5">
        <f t="shared" si="22"/>
        <v>1800</v>
      </c>
      <c r="S38" s="1" t="s">
        <v>117</v>
      </c>
      <c r="T38" s="1">
        <f t="shared" ref="T38:T69" si="30">(F38+O38+R38)/P38</f>
        <v>26.452054794520549</v>
      </c>
      <c r="U38" s="1">
        <f t="shared" ref="U38:U69" si="31">(F38+O38)/P38</f>
        <v>1.7945205479452055</v>
      </c>
      <c r="V38" s="1">
        <v>37.4</v>
      </c>
      <c r="W38" s="1">
        <v>41.2</v>
      </c>
      <c r="X38" s="1">
        <v>57.2</v>
      </c>
      <c r="Y38" s="1">
        <v>39</v>
      </c>
      <c r="Z38" s="1">
        <v>46</v>
      </c>
      <c r="AA38" s="1">
        <v>129.80000000000001</v>
      </c>
      <c r="AB38" s="1" t="s">
        <v>118</v>
      </c>
      <c r="AC38" s="1">
        <f t="shared" si="23"/>
        <v>1221.5</v>
      </c>
      <c r="AD38" s="7">
        <v>10</v>
      </c>
      <c r="AE38" s="9">
        <f t="shared" si="24"/>
        <v>180</v>
      </c>
      <c r="AF38" s="1">
        <f t="shared" si="25"/>
        <v>1260</v>
      </c>
      <c r="AG38" s="1">
        <v>12</v>
      </c>
      <c r="AH38" s="1">
        <v>84</v>
      </c>
      <c r="AI38" s="9">
        <f t="shared" si="26"/>
        <v>2.1428571428571428</v>
      </c>
      <c r="AJ38" s="1">
        <f t="shared" si="6"/>
        <v>51.099999999999994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79</v>
      </c>
      <c r="B39" s="1" t="s">
        <v>38</v>
      </c>
      <c r="C39" s="1">
        <v>86</v>
      </c>
      <c r="D39" s="1">
        <v>447</v>
      </c>
      <c r="E39" s="1">
        <v>95</v>
      </c>
      <c r="F39" s="1"/>
      <c r="G39" s="7">
        <f>VLOOKUP(A39,[1]Sheet!$A:$G,7,0)</f>
        <v>0.7</v>
      </c>
      <c r="H39" s="1">
        <f>VLOOKUP(A39,[1]Sheet!$A:$H,8,0)</f>
        <v>180</v>
      </c>
      <c r="I39" s="1" t="str">
        <f>VLOOKUP(A39,[1]Sheet!$A:$I,9,0)</f>
        <v>P004442</v>
      </c>
      <c r="J39" s="1"/>
      <c r="K39" s="1">
        <v>277</v>
      </c>
      <c r="L39" s="1">
        <f t="shared" si="28"/>
        <v>-182</v>
      </c>
      <c r="M39" s="1"/>
      <c r="N39" s="1"/>
      <c r="O39" s="1">
        <v>576</v>
      </c>
      <c r="P39" s="1">
        <f t="shared" si="29"/>
        <v>19</v>
      </c>
      <c r="Q39" s="5"/>
      <c r="R39" s="5">
        <f t="shared" si="22"/>
        <v>0</v>
      </c>
      <c r="S39" s="1"/>
      <c r="T39" s="1">
        <f t="shared" si="30"/>
        <v>30.315789473684209</v>
      </c>
      <c r="U39" s="1">
        <f t="shared" si="31"/>
        <v>30.315789473684209</v>
      </c>
      <c r="V39" s="1">
        <v>103.4</v>
      </c>
      <c r="W39" s="1">
        <v>19.2</v>
      </c>
      <c r="X39" s="1">
        <v>40.200000000000003</v>
      </c>
      <c r="Y39" s="1">
        <v>9.4</v>
      </c>
      <c r="Z39" s="1">
        <v>6</v>
      </c>
      <c r="AA39" s="1">
        <v>0.4</v>
      </c>
      <c r="AB39" s="1"/>
      <c r="AC39" s="1">
        <f t="shared" si="23"/>
        <v>0</v>
      </c>
      <c r="AD39" s="7">
        <v>10</v>
      </c>
      <c r="AE39" s="9">
        <f t="shared" si="24"/>
        <v>0</v>
      </c>
      <c r="AF39" s="1">
        <f t="shared" si="25"/>
        <v>0</v>
      </c>
      <c r="AG39" s="1">
        <v>12</v>
      </c>
      <c r="AH39" s="1">
        <v>84</v>
      </c>
      <c r="AI39" s="9">
        <f t="shared" si="26"/>
        <v>0</v>
      </c>
      <c r="AJ39" s="1">
        <f t="shared" si="6"/>
        <v>13.299999999999999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80</v>
      </c>
      <c r="B40" s="1" t="s">
        <v>38</v>
      </c>
      <c r="C40" s="1">
        <v>159</v>
      </c>
      <c r="D40" s="1">
        <v>506</v>
      </c>
      <c r="E40" s="1">
        <v>137</v>
      </c>
      <c r="F40" s="1">
        <v>37</v>
      </c>
      <c r="G40" s="7">
        <v>0.4</v>
      </c>
      <c r="H40" s="1">
        <v>180</v>
      </c>
      <c r="I40" s="1" t="s">
        <v>81</v>
      </c>
      <c r="J40" s="1"/>
      <c r="K40" s="1">
        <v>293</v>
      </c>
      <c r="L40" s="1">
        <f t="shared" si="28"/>
        <v>-156</v>
      </c>
      <c r="M40" s="1"/>
      <c r="N40" s="1"/>
      <c r="O40" s="1">
        <v>576</v>
      </c>
      <c r="P40" s="1">
        <f t="shared" si="29"/>
        <v>27.4</v>
      </c>
      <c r="Q40" s="5"/>
      <c r="R40" s="5">
        <f t="shared" si="22"/>
        <v>0</v>
      </c>
      <c r="S40" s="1"/>
      <c r="T40" s="1">
        <f t="shared" si="30"/>
        <v>22.372262773722628</v>
      </c>
      <c r="U40" s="1">
        <f t="shared" si="31"/>
        <v>22.372262773722628</v>
      </c>
      <c r="V40" s="1">
        <v>85.8</v>
      </c>
      <c r="W40" s="1">
        <v>29.8</v>
      </c>
      <c r="X40" s="1">
        <v>34.4</v>
      </c>
      <c r="Y40" s="1">
        <v>7</v>
      </c>
      <c r="Z40" s="1">
        <v>4.4000000000000004</v>
      </c>
      <c r="AA40" s="1">
        <v>0.4</v>
      </c>
      <c r="AB40" s="1"/>
      <c r="AC40" s="1">
        <f t="shared" si="23"/>
        <v>0</v>
      </c>
      <c r="AD40" s="1">
        <v>16</v>
      </c>
      <c r="AE40" s="9">
        <f t="shared" si="24"/>
        <v>0</v>
      </c>
      <c r="AF40" s="1">
        <f t="shared" si="25"/>
        <v>0</v>
      </c>
      <c r="AG40" s="1">
        <v>12</v>
      </c>
      <c r="AH40" s="1">
        <v>84</v>
      </c>
      <c r="AI40" s="9">
        <f t="shared" si="26"/>
        <v>0</v>
      </c>
      <c r="AJ40" s="1">
        <f t="shared" si="6"/>
        <v>10.96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82</v>
      </c>
      <c r="B41" s="1" t="s">
        <v>38</v>
      </c>
      <c r="C41" s="1">
        <v>284</v>
      </c>
      <c r="D41" s="1">
        <v>684</v>
      </c>
      <c r="E41" s="1">
        <v>311</v>
      </c>
      <c r="F41" s="1">
        <v>6</v>
      </c>
      <c r="G41" s="7">
        <f>VLOOKUP(A41,[1]Sheet!$A:$G,7,0)</f>
        <v>0.7</v>
      </c>
      <c r="H41" s="1">
        <f>VLOOKUP(A41,[1]Sheet!$A:$H,8,0)</f>
        <v>180</v>
      </c>
      <c r="I41" s="1" t="str">
        <f>VLOOKUP(A41,[1]Sheet!$A:$I,9,0)</f>
        <v>P004203</v>
      </c>
      <c r="J41" s="1"/>
      <c r="K41" s="1">
        <v>474</v>
      </c>
      <c r="L41" s="1">
        <f t="shared" si="28"/>
        <v>-163</v>
      </c>
      <c r="M41" s="1"/>
      <c r="N41" s="1"/>
      <c r="O41" s="1">
        <v>480</v>
      </c>
      <c r="P41" s="1">
        <f t="shared" si="29"/>
        <v>62.2</v>
      </c>
      <c r="Q41" s="5">
        <f t="shared" si="27"/>
        <v>384.80000000000007</v>
      </c>
      <c r="R41" s="5">
        <f t="shared" si="22"/>
        <v>360</v>
      </c>
      <c r="S41" s="1"/>
      <c r="T41" s="1">
        <f t="shared" si="30"/>
        <v>13.60128617363344</v>
      </c>
      <c r="U41" s="1">
        <f t="shared" si="31"/>
        <v>7.813504823151125</v>
      </c>
      <c r="V41" s="1">
        <v>55</v>
      </c>
      <c r="W41" s="1">
        <v>35</v>
      </c>
      <c r="X41" s="1">
        <v>51.6</v>
      </c>
      <c r="Y41" s="1">
        <v>34.200000000000003</v>
      </c>
      <c r="Z41" s="1">
        <v>39.6</v>
      </c>
      <c r="AA41" s="1">
        <v>35.799999999999997</v>
      </c>
      <c r="AB41" s="1"/>
      <c r="AC41" s="1">
        <f t="shared" si="23"/>
        <v>269.36</v>
      </c>
      <c r="AD41" s="7">
        <v>10</v>
      </c>
      <c r="AE41" s="9">
        <f t="shared" si="24"/>
        <v>36</v>
      </c>
      <c r="AF41" s="1">
        <f t="shared" si="25"/>
        <v>251.99999999999997</v>
      </c>
      <c r="AG41" s="1">
        <v>12</v>
      </c>
      <c r="AH41" s="1">
        <v>84</v>
      </c>
      <c r="AI41" s="9">
        <f t="shared" si="26"/>
        <v>0.42857142857142855</v>
      </c>
      <c r="AJ41" s="1">
        <f t="shared" si="6"/>
        <v>43.54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83</v>
      </c>
      <c r="B42" s="1" t="s">
        <v>38</v>
      </c>
      <c r="C42" s="1">
        <v>631</v>
      </c>
      <c r="D42" s="1">
        <v>1676</v>
      </c>
      <c r="E42" s="1">
        <v>476</v>
      </c>
      <c r="F42" s="1">
        <v>191</v>
      </c>
      <c r="G42" s="7">
        <f>VLOOKUP(A42,[1]Sheet!$A:$G,7,0)</f>
        <v>0.7</v>
      </c>
      <c r="H42" s="1">
        <f>VLOOKUP(A42,[1]Sheet!$A:$H,8,0)</f>
        <v>180</v>
      </c>
      <c r="I42" s="1" t="str">
        <f>VLOOKUP(A42,[1]Sheet!$A:$I,9,0)</f>
        <v>P004819</v>
      </c>
      <c r="J42" s="1"/>
      <c r="K42" s="1">
        <v>512</v>
      </c>
      <c r="L42" s="1">
        <f t="shared" si="28"/>
        <v>-36</v>
      </c>
      <c r="M42" s="1"/>
      <c r="N42" s="1"/>
      <c r="O42" s="1">
        <v>840</v>
      </c>
      <c r="P42" s="1">
        <f t="shared" si="29"/>
        <v>95.2</v>
      </c>
      <c r="Q42" s="5">
        <f t="shared" si="27"/>
        <v>301.79999999999995</v>
      </c>
      <c r="R42" s="5">
        <f t="shared" si="22"/>
        <v>360</v>
      </c>
      <c r="S42" s="1"/>
      <c r="T42" s="1">
        <f t="shared" si="30"/>
        <v>14.611344537815125</v>
      </c>
      <c r="U42" s="1">
        <f t="shared" si="31"/>
        <v>10.829831932773109</v>
      </c>
      <c r="V42" s="1">
        <v>112.4</v>
      </c>
      <c r="W42" s="1">
        <v>77</v>
      </c>
      <c r="X42" s="1">
        <v>56.2</v>
      </c>
      <c r="Y42" s="1">
        <v>47</v>
      </c>
      <c r="Z42" s="1">
        <v>39.6</v>
      </c>
      <c r="AA42" s="1">
        <v>57.8</v>
      </c>
      <c r="AB42" s="1"/>
      <c r="AC42" s="1">
        <f t="shared" si="23"/>
        <v>211.25999999999996</v>
      </c>
      <c r="AD42" s="7">
        <v>10</v>
      </c>
      <c r="AE42" s="9">
        <f t="shared" si="24"/>
        <v>36</v>
      </c>
      <c r="AF42" s="1">
        <f t="shared" si="25"/>
        <v>251.99999999999997</v>
      </c>
      <c r="AG42" s="1">
        <v>12</v>
      </c>
      <c r="AH42" s="1">
        <v>84</v>
      </c>
      <c r="AI42" s="9">
        <f t="shared" si="26"/>
        <v>0.42857142857142855</v>
      </c>
      <c r="AJ42" s="1">
        <f t="shared" si="6"/>
        <v>66.64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84</v>
      </c>
      <c r="B43" s="1" t="s">
        <v>44</v>
      </c>
      <c r="C43" s="1">
        <v>735</v>
      </c>
      <c r="D43" s="1">
        <v>325</v>
      </c>
      <c r="E43" s="1">
        <v>480</v>
      </c>
      <c r="F43" s="1">
        <v>280</v>
      </c>
      <c r="G43" s="7">
        <f>VLOOKUP(A43,[1]Sheet!$A:$G,7,0)</f>
        <v>1</v>
      </c>
      <c r="H43" s="1">
        <f>VLOOKUP(A43,[1]Sheet!$A:$H,8,0)</f>
        <v>180</v>
      </c>
      <c r="I43" s="1" t="str">
        <f>VLOOKUP(A43,[1]Sheet!$A:$I,9,0)</f>
        <v>P003697</v>
      </c>
      <c r="J43" s="1"/>
      <c r="K43" s="1">
        <v>515</v>
      </c>
      <c r="L43" s="1">
        <f t="shared" si="28"/>
        <v>-35</v>
      </c>
      <c r="M43" s="1"/>
      <c r="N43" s="1"/>
      <c r="O43" s="1">
        <v>420</v>
      </c>
      <c r="P43" s="1">
        <f t="shared" si="29"/>
        <v>96</v>
      </c>
      <c r="Q43" s="5">
        <f t="shared" si="27"/>
        <v>644</v>
      </c>
      <c r="R43" s="5">
        <f t="shared" si="22"/>
        <v>660</v>
      </c>
      <c r="S43" s="1"/>
      <c r="T43" s="1">
        <f t="shared" si="30"/>
        <v>14.166666666666666</v>
      </c>
      <c r="U43" s="1">
        <f t="shared" si="31"/>
        <v>7.291666666666667</v>
      </c>
      <c r="V43" s="1">
        <v>85</v>
      </c>
      <c r="W43" s="1">
        <v>71</v>
      </c>
      <c r="X43" s="1">
        <v>51</v>
      </c>
      <c r="Y43" s="1">
        <v>63</v>
      </c>
      <c r="Z43" s="1">
        <v>60</v>
      </c>
      <c r="AA43" s="1">
        <v>71</v>
      </c>
      <c r="AB43" s="1"/>
      <c r="AC43" s="1">
        <f t="shared" si="23"/>
        <v>644</v>
      </c>
      <c r="AD43" s="7">
        <v>5</v>
      </c>
      <c r="AE43" s="9">
        <f t="shared" si="24"/>
        <v>132</v>
      </c>
      <c r="AF43" s="1">
        <f t="shared" si="25"/>
        <v>660</v>
      </c>
      <c r="AG43" s="1">
        <v>12</v>
      </c>
      <c r="AH43" s="1">
        <v>144</v>
      </c>
      <c r="AI43" s="9">
        <f t="shared" si="26"/>
        <v>0.91666666666666663</v>
      </c>
      <c r="AJ43" s="1">
        <f t="shared" si="6"/>
        <v>96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85</v>
      </c>
      <c r="B44" s="1" t="s">
        <v>38</v>
      </c>
      <c r="C44" s="1">
        <v>3149</v>
      </c>
      <c r="D44" s="1">
        <v>2768</v>
      </c>
      <c r="E44" s="1">
        <v>285</v>
      </c>
      <c r="F44" s="1">
        <v>2791</v>
      </c>
      <c r="G44" s="7">
        <f>VLOOKUP(A44,[1]Sheet!$A:$G,7,0)</f>
        <v>0.4</v>
      </c>
      <c r="H44" s="1">
        <f>VLOOKUP(A44,[1]Sheet!$A:$H,8,0)</f>
        <v>180</v>
      </c>
      <c r="I44" s="1" t="str">
        <f>VLOOKUP(A44,[1]Sheet!$A:$I,9,0)</f>
        <v>P004474</v>
      </c>
      <c r="J44" s="1"/>
      <c r="K44" s="1">
        <v>319</v>
      </c>
      <c r="L44" s="1">
        <f t="shared" si="28"/>
        <v>-34</v>
      </c>
      <c r="M44" s="1"/>
      <c r="N44" s="1"/>
      <c r="O44" s="1">
        <v>0</v>
      </c>
      <c r="P44" s="1">
        <f t="shared" si="29"/>
        <v>57</v>
      </c>
      <c r="Q44" s="5"/>
      <c r="R44" s="5">
        <f t="shared" si="22"/>
        <v>0</v>
      </c>
      <c r="S44" s="1"/>
      <c r="T44" s="1">
        <f t="shared" si="30"/>
        <v>48.964912280701753</v>
      </c>
      <c r="U44" s="1">
        <f t="shared" si="31"/>
        <v>48.964912280701753</v>
      </c>
      <c r="V44" s="1">
        <v>69</v>
      </c>
      <c r="W44" s="1">
        <v>200.6</v>
      </c>
      <c r="X44" s="1">
        <v>169.8</v>
      </c>
      <c r="Y44" s="1">
        <v>112</v>
      </c>
      <c r="Z44" s="1">
        <v>39.4</v>
      </c>
      <c r="AA44" s="1">
        <v>36</v>
      </c>
      <c r="AB44" s="19" t="s">
        <v>90</v>
      </c>
      <c r="AC44" s="1">
        <f t="shared" si="23"/>
        <v>0</v>
      </c>
      <c r="AD44" s="7">
        <v>16</v>
      </c>
      <c r="AE44" s="9">
        <f t="shared" si="24"/>
        <v>0</v>
      </c>
      <c r="AF44" s="1">
        <f t="shared" si="25"/>
        <v>0</v>
      </c>
      <c r="AG44" s="1">
        <v>12</v>
      </c>
      <c r="AH44" s="1">
        <v>84</v>
      </c>
      <c r="AI44" s="9">
        <f t="shared" si="26"/>
        <v>0</v>
      </c>
      <c r="AJ44" s="1">
        <f t="shared" si="6"/>
        <v>22.8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86</v>
      </c>
      <c r="B45" s="1" t="s">
        <v>38</v>
      </c>
      <c r="C45" s="1">
        <v>776</v>
      </c>
      <c r="D45" s="1">
        <v>906</v>
      </c>
      <c r="E45" s="1">
        <v>616</v>
      </c>
      <c r="F45" s="1">
        <v>168</v>
      </c>
      <c r="G45" s="7">
        <f>VLOOKUP(A45,[1]Sheet!$A:$G,7,0)</f>
        <v>0.7</v>
      </c>
      <c r="H45" s="1">
        <f>VLOOKUP(A45,[1]Sheet!$A:$H,8,0)</f>
        <v>180</v>
      </c>
      <c r="I45" s="1" t="str">
        <f>VLOOKUP(A45,[1]Sheet!$A:$I,9,0)</f>
        <v>P004345</v>
      </c>
      <c r="J45" s="1"/>
      <c r="K45" s="1">
        <v>672</v>
      </c>
      <c r="L45" s="1">
        <f t="shared" si="28"/>
        <v>-56</v>
      </c>
      <c r="M45" s="1"/>
      <c r="N45" s="1"/>
      <c r="O45" s="1">
        <v>600</v>
      </c>
      <c r="P45" s="1">
        <f t="shared" si="29"/>
        <v>123.2</v>
      </c>
      <c r="Q45" s="5">
        <f>$Q$1*P45-O45-F45</f>
        <v>993.76000000000022</v>
      </c>
      <c r="R45" s="5">
        <f t="shared" si="22"/>
        <v>960</v>
      </c>
      <c r="S45" s="1"/>
      <c r="T45" s="1">
        <f t="shared" si="30"/>
        <v>14.025974025974026</v>
      </c>
      <c r="U45" s="1">
        <f t="shared" si="31"/>
        <v>6.2337662337662341</v>
      </c>
      <c r="V45" s="1">
        <v>107</v>
      </c>
      <c r="W45" s="1">
        <v>89</v>
      </c>
      <c r="X45" s="1">
        <v>61.2</v>
      </c>
      <c r="Y45" s="1">
        <v>78.8</v>
      </c>
      <c r="Z45" s="1">
        <v>68.8</v>
      </c>
      <c r="AA45" s="1">
        <v>71.599999999999994</v>
      </c>
      <c r="AB45" s="1"/>
      <c r="AC45" s="1">
        <f t="shared" si="23"/>
        <v>695.63200000000006</v>
      </c>
      <c r="AD45" s="7">
        <v>10</v>
      </c>
      <c r="AE45" s="9">
        <f t="shared" si="24"/>
        <v>96</v>
      </c>
      <c r="AF45" s="1">
        <f t="shared" si="25"/>
        <v>672</v>
      </c>
      <c r="AG45" s="1">
        <v>12</v>
      </c>
      <c r="AH45" s="1">
        <v>84</v>
      </c>
      <c r="AI45" s="9">
        <f t="shared" si="26"/>
        <v>1.1428571428571428</v>
      </c>
      <c r="AJ45" s="1">
        <f t="shared" si="6"/>
        <v>86.24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87</v>
      </c>
      <c r="B46" s="1" t="s">
        <v>38</v>
      </c>
      <c r="C46" s="1">
        <v>376</v>
      </c>
      <c r="D46" s="1">
        <v>349</v>
      </c>
      <c r="E46" s="1">
        <v>214</v>
      </c>
      <c r="F46" s="1">
        <v>233</v>
      </c>
      <c r="G46" s="7">
        <f>VLOOKUP(A46,[1]Sheet!$A:$G,7,0)</f>
        <v>0.4</v>
      </c>
      <c r="H46" s="1">
        <f>VLOOKUP(A46,[1]Sheet!$A:$H,8,0)</f>
        <v>180</v>
      </c>
      <c r="I46" s="1" t="str">
        <f>VLOOKUP(A46,[1]Sheet!$A:$I,9,0)</f>
        <v>P004444</v>
      </c>
      <c r="J46" s="1"/>
      <c r="K46" s="1">
        <v>267</v>
      </c>
      <c r="L46" s="1">
        <f t="shared" si="28"/>
        <v>-53</v>
      </c>
      <c r="M46" s="1"/>
      <c r="N46" s="1"/>
      <c r="O46" s="1">
        <v>0</v>
      </c>
      <c r="P46" s="1">
        <f t="shared" si="29"/>
        <v>42.8</v>
      </c>
      <c r="Q46" s="5">
        <f t="shared" si="27"/>
        <v>366.19999999999993</v>
      </c>
      <c r="R46" s="5">
        <f t="shared" si="22"/>
        <v>384</v>
      </c>
      <c r="S46" s="1"/>
      <c r="T46" s="1">
        <f t="shared" si="30"/>
        <v>14.415887850467291</v>
      </c>
      <c r="U46" s="1">
        <f t="shared" si="31"/>
        <v>5.44392523364486</v>
      </c>
      <c r="V46" s="1">
        <v>26.6</v>
      </c>
      <c r="W46" s="1">
        <v>31.8</v>
      </c>
      <c r="X46" s="1">
        <v>12.6</v>
      </c>
      <c r="Y46" s="1">
        <v>27.2</v>
      </c>
      <c r="Z46" s="1">
        <v>24.2</v>
      </c>
      <c r="AA46" s="1">
        <v>20</v>
      </c>
      <c r="AB46" s="1"/>
      <c r="AC46" s="1">
        <f t="shared" si="23"/>
        <v>146.47999999999999</v>
      </c>
      <c r="AD46" s="7">
        <v>16</v>
      </c>
      <c r="AE46" s="9">
        <f t="shared" si="24"/>
        <v>24</v>
      </c>
      <c r="AF46" s="1">
        <f t="shared" si="25"/>
        <v>153.60000000000002</v>
      </c>
      <c r="AG46" s="1">
        <v>12</v>
      </c>
      <c r="AH46" s="1">
        <v>84</v>
      </c>
      <c r="AI46" s="9">
        <f t="shared" si="26"/>
        <v>0.2857142857142857</v>
      </c>
      <c r="AJ46" s="1">
        <f t="shared" si="6"/>
        <v>17.12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42</v>
      </c>
      <c r="B47" s="1" t="s">
        <v>38</v>
      </c>
      <c r="C47" s="1">
        <v>1812</v>
      </c>
      <c r="D47" s="1">
        <v>642</v>
      </c>
      <c r="E47" s="17">
        <f>830+E7</f>
        <v>932</v>
      </c>
      <c r="F47" s="17">
        <f>690+F7</f>
        <v>850</v>
      </c>
      <c r="G47" s="7">
        <f>VLOOKUP(A47,[1]Sheet!$A:$G,7,0)</f>
        <v>0.7</v>
      </c>
      <c r="H47" s="1">
        <f>VLOOKUP(A47,[1]Sheet!$A:$H,8,0)</f>
        <v>180</v>
      </c>
      <c r="I47" s="1" t="str">
        <f>VLOOKUP(A47,[1]Sheet!$A:$I,9,0)</f>
        <v>P004346</v>
      </c>
      <c r="J47" s="1"/>
      <c r="K47" s="1">
        <v>867</v>
      </c>
      <c r="L47" s="1">
        <f t="shared" si="28"/>
        <v>65</v>
      </c>
      <c r="M47" s="1"/>
      <c r="N47" s="1"/>
      <c r="O47" s="1">
        <v>840</v>
      </c>
      <c r="P47" s="1">
        <f t="shared" si="29"/>
        <v>186.4</v>
      </c>
      <c r="Q47" s="5">
        <f t="shared" ref="Q47:Q48" si="32">$Q$1*P47-O47-F47</f>
        <v>975.52000000000044</v>
      </c>
      <c r="R47" s="5">
        <f t="shared" si="22"/>
        <v>960</v>
      </c>
      <c r="S47" s="1"/>
      <c r="T47" s="1">
        <f t="shared" si="30"/>
        <v>14.216738197424892</v>
      </c>
      <c r="U47" s="1">
        <f t="shared" si="31"/>
        <v>9.0665236051502145</v>
      </c>
      <c r="V47" s="1">
        <v>201</v>
      </c>
      <c r="W47" s="1">
        <v>197</v>
      </c>
      <c r="X47" s="1">
        <v>157.6</v>
      </c>
      <c r="Y47" s="1">
        <v>173.6</v>
      </c>
      <c r="Z47" s="1">
        <v>138.80000000000001</v>
      </c>
      <c r="AA47" s="1">
        <v>148.4</v>
      </c>
      <c r="AB47" s="1"/>
      <c r="AC47" s="1">
        <f t="shared" si="23"/>
        <v>682.86400000000026</v>
      </c>
      <c r="AD47" s="7">
        <v>10</v>
      </c>
      <c r="AE47" s="9">
        <f t="shared" si="24"/>
        <v>96</v>
      </c>
      <c r="AF47" s="1">
        <f t="shared" si="25"/>
        <v>672</v>
      </c>
      <c r="AG47" s="1">
        <v>12</v>
      </c>
      <c r="AH47" s="1">
        <v>84</v>
      </c>
      <c r="AI47" s="9">
        <f t="shared" si="26"/>
        <v>1.1428571428571428</v>
      </c>
      <c r="AJ47" s="1">
        <f t="shared" si="6"/>
        <v>130.47999999999999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88</v>
      </c>
      <c r="B48" s="1" t="s">
        <v>38</v>
      </c>
      <c r="C48" s="1">
        <v>1280</v>
      </c>
      <c r="D48" s="1">
        <v>871</v>
      </c>
      <c r="E48" s="1">
        <v>676</v>
      </c>
      <c r="F48" s="1">
        <v>636</v>
      </c>
      <c r="G48" s="7">
        <f>VLOOKUP(A48,[1]Sheet!$A:$G,7,0)</f>
        <v>1</v>
      </c>
      <c r="H48" s="1">
        <f>VLOOKUP(A48,[1]Sheet!$A:$H,8,0)</f>
        <v>180</v>
      </c>
      <c r="I48" s="1" t="str">
        <f>VLOOKUP(A48,[1]Sheet!$A:$I,9,0)</f>
        <v>P005048</v>
      </c>
      <c r="J48" s="1"/>
      <c r="K48" s="1">
        <v>708</v>
      </c>
      <c r="L48" s="1">
        <f t="shared" si="28"/>
        <v>-32</v>
      </c>
      <c r="M48" s="1"/>
      <c r="N48" s="1"/>
      <c r="O48" s="1">
        <v>660</v>
      </c>
      <c r="P48" s="1">
        <f t="shared" si="29"/>
        <v>135.19999999999999</v>
      </c>
      <c r="Q48" s="5">
        <f t="shared" si="32"/>
        <v>637.3599999999999</v>
      </c>
      <c r="R48" s="5">
        <f t="shared" si="22"/>
        <v>660</v>
      </c>
      <c r="S48" s="1"/>
      <c r="T48" s="1">
        <f t="shared" si="30"/>
        <v>14.467455621301776</v>
      </c>
      <c r="U48" s="1">
        <f t="shared" si="31"/>
        <v>9.5857988165680474</v>
      </c>
      <c r="V48" s="1">
        <v>143.4</v>
      </c>
      <c r="W48" s="1">
        <v>123.4</v>
      </c>
      <c r="X48" s="1">
        <v>103.2</v>
      </c>
      <c r="Y48" s="1">
        <v>81.8</v>
      </c>
      <c r="Z48" s="1">
        <v>87.8</v>
      </c>
      <c r="AA48" s="1">
        <v>92.2</v>
      </c>
      <c r="AB48" s="1"/>
      <c r="AC48" s="1">
        <f t="shared" si="23"/>
        <v>637.3599999999999</v>
      </c>
      <c r="AD48" s="7">
        <v>5</v>
      </c>
      <c r="AE48" s="9">
        <f t="shared" si="24"/>
        <v>132</v>
      </c>
      <c r="AF48" s="1">
        <f t="shared" si="25"/>
        <v>660</v>
      </c>
      <c r="AG48" s="1">
        <v>12</v>
      </c>
      <c r="AH48" s="1">
        <v>84</v>
      </c>
      <c r="AI48" s="9">
        <f t="shared" si="26"/>
        <v>1.5714285714285714</v>
      </c>
      <c r="AJ48" s="1">
        <f t="shared" si="6"/>
        <v>135.19999999999999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89</v>
      </c>
      <c r="B49" s="1" t="s">
        <v>38</v>
      </c>
      <c r="C49" s="1">
        <v>276</v>
      </c>
      <c r="D49" s="1">
        <v>58</v>
      </c>
      <c r="E49" s="1">
        <v>163</v>
      </c>
      <c r="F49" s="1">
        <v>135</v>
      </c>
      <c r="G49" s="7">
        <f>VLOOKUP(A49,[1]Sheet!$A:$G,7,0)</f>
        <v>0.9</v>
      </c>
      <c r="H49" s="1">
        <f>VLOOKUP(A49,[1]Sheet!$A:$H,8,0)</f>
        <v>180</v>
      </c>
      <c r="I49" s="1" t="str">
        <f>VLOOKUP(A49,[1]Sheet!$A:$I,9,0)</f>
        <v>P005107</v>
      </c>
      <c r="J49" s="1"/>
      <c r="K49" s="1">
        <v>165</v>
      </c>
      <c r="L49" s="1">
        <f t="shared" si="28"/>
        <v>-2</v>
      </c>
      <c r="M49" s="1"/>
      <c r="N49" s="1"/>
      <c r="O49" s="1">
        <v>0</v>
      </c>
      <c r="P49" s="1">
        <f t="shared" si="29"/>
        <v>32.6</v>
      </c>
      <c r="Q49" s="5">
        <f>12*P49-O49-F49</f>
        <v>256.20000000000005</v>
      </c>
      <c r="R49" s="5">
        <f t="shared" si="22"/>
        <v>288</v>
      </c>
      <c r="S49" s="1"/>
      <c r="T49" s="1">
        <f t="shared" si="30"/>
        <v>12.975460122699387</v>
      </c>
      <c r="U49" s="1">
        <f t="shared" si="31"/>
        <v>4.1411042944785272</v>
      </c>
      <c r="V49" s="1">
        <v>7.4</v>
      </c>
      <c r="W49" s="1">
        <v>17.8</v>
      </c>
      <c r="X49" s="1">
        <v>16.600000000000001</v>
      </c>
      <c r="Y49" s="1">
        <v>19.399999999999999</v>
      </c>
      <c r="Z49" s="1">
        <v>16</v>
      </c>
      <c r="AA49" s="1">
        <v>15.8</v>
      </c>
      <c r="AB49" s="1"/>
      <c r="AC49" s="1">
        <f t="shared" si="23"/>
        <v>230.58000000000004</v>
      </c>
      <c r="AD49" s="7">
        <v>8</v>
      </c>
      <c r="AE49" s="9">
        <f t="shared" si="24"/>
        <v>36</v>
      </c>
      <c r="AF49" s="1">
        <f t="shared" si="25"/>
        <v>259.2</v>
      </c>
      <c r="AG49" s="1">
        <v>12</v>
      </c>
      <c r="AH49" s="1">
        <v>84</v>
      </c>
      <c r="AI49" s="9">
        <f t="shared" si="26"/>
        <v>0.42857142857142855</v>
      </c>
      <c r="AJ49" s="1">
        <f t="shared" si="6"/>
        <v>29.340000000000003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3" t="s">
        <v>91</v>
      </c>
      <c r="B50" s="13" t="s">
        <v>38</v>
      </c>
      <c r="C50" s="13">
        <v>46</v>
      </c>
      <c r="D50" s="13">
        <v>3</v>
      </c>
      <c r="E50" s="13">
        <v>3</v>
      </c>
      <c r="F50" s="13">
        <v>-1</v>
      </c>
      <c r="G50" s="21">
        <v>0</v>
      </c>
      <c r="H50" s="13"/>
      <c r="I50" s="13"/>
      <c r="J50" s="13"/>
      <c r="K50" s="13">
        <v>3</v>
      </c>
      <c r="L50" s="13">
        <f t="shared" si="28"/>
        <v>0</v>
      </c>
      <c r="M50" s="13"/>
      <c r="N50" s="13"/>
      <c r="O50" s="13"/>
      <c r="P50" s="13">
        <f t="shared" si="29"/>
        <v>0.6</v>
      </c>
      <c r="Q50" s="15"/>
      <c r="R50" s="15"/>
      <c r="S50" s="13"/>
      <c r="T50" s="13">
        <f t="shared" si="30"/>
        <v>-1.6666666666666667</v>
      </c>
      <c r="U50" s="13">
        <f t="shared" si="31"/>
        <v>-1.6666666666666667</v>
      </c>
      <c r="V50" s="13">
        <v>9.6</v>
      </c>
      <c r="W50" s="13">
        <v>0.4</v>
      </c>
      <c r="X50" s="13">
        <v>0</v>
      </c>
      <c r="Y50" s="13">
        <v>0</v>
      </c>
      <c r="Z50" s="13">
        <v>0</v>
      </c>
      <c r="AA50" s="13">
        <v>0</v>
      </c>
      <c r="AB50" s="13"/>
      <c r="AC50" s="13"/>
      <c r="AD50" s="14"/>
      <c r="AE50" s="16"/>
      <c r="AF50" s="13"/>
      <c r="AG50" s="13"/>
      <c r="AH50" s="13"/>
      <c r="AI50" s="16"/>
      <c r="AJ50" s="1">
        <f t="shared" si="6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92</v>
      </c>
      <c r="B51" s="1" t="s">
        <v>44</v>
      </c>
      <c r="C51" s="1">
        <v>265</v>
      </c>
      <c r="D51" s="1">
        <v>95</v>
      </c>
      <c r="E51" s="1">
        <v>265</v>
      </c>
      <c r="F51" s="1">
        <v>20</v>
      </c>
      <c r="G51" s="7">
        <f>VLOOKUP(A51,[1]Sheet!$A:$G,7,0)</f>
        <v>1</v>
      </c>
      <c r="H51" s="1">
        <f>VLOOKUP(A51,[1]Sheet!$A:$H,8,0)</f>
        <v>180</v>
      </c>
      <c r="I51" s="1" t="str">
        <f>VLOOKUP(A51,[1]Sheet!$A:$I,9,0)</f>
        <v>P004472</v>
      </c>
      <c r="J51" s="1"/>
      <c r="K51" s="1">
        <v>405</v>
      </c>
      <c r="L51" s="1">
        <f t="shared" si="28"/>
        <v>-140</v>
      </c>
      <c r="M51" s="1"/>
      <c r="N51" s="1"/>
      <c r="O51" s="1">
        <v>420</v>
      </c>
      <c r="P51" s="1">
        <f t="shared" si="29"/>
        <v>53</v>
      </c>
      <c r="Q51" s="5">
        <f t="shared" ref="Q51:Q68" si="33">14*P51-O51-F51</f>
        <v>302</v>
      </c>
      <c r="R51" s="5">
        <f t="shared" ref="R51:R70" si="34">AD51*AE51</f>
        <v>300</v>
      </c>
      <c r="S51" s="1"/>
      <c r="T51" s="1">
        <f t="shared" si="30"/>
        <v>13.962264150943396</v>
      </c>
      <c r="U51" s="1">
        <f t="shared" si="31"/>
        <v>8.3018867924528301</v>
      </c>
      <c r="V51" s="1">
        <v>59</v>
      </c>
      <c r="W51" s="1">
        <v>41</v>
      </c>
      <c r="X51" s="1">
        <v>41</v>
      </c>
      <c r="Y51" s="1">
        <v>47</v>
      </c>
      <c r="Z51" s="1">
        <v>39</v>
      </c>
      <c r="AA51" s="1">
        <v>37</v>
      </c>
      <c r="AB51" s="1"/>
      <c r="AC51" s="1">
        <f t="shared" ref="AC51:AC70" si="35">G51*Q51</f>
        <v>302</v>
      </c>
      <c r="AD51" s="7">
        <v>5</v>
      </c>
      <c r="AE51" s="9">
        <f t="shared" ref="AE51:AE68" si="36">MROUND(Q51, AD51*AG51)/AD51</f>
        <v>60</v>
      </c>
      <c r="AF51" s="1">
        <f t="shared" ref="AF51:AF68" si="37">AE51*AD51*G51</f>
        <v>300</v>
      </c>
      <c r="AG51" s="1">
        <v>12</v>
      </c>
      <c r="AH51" s="1">
        <v>144</v>
      </c>
      <c r="AI51" s="9">
        <f t="shared" ref="AI51:AI70" si="38">AE51/AH51</f>
        <v>0.41666666666666669</v>
      </c>
      <c r="AJ51" s="1">
        <f t="shared" si="6"/>
        <v>53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93</v>
      </c>
      <c r="B52" s="1" t="s">
        <v>38</v>
      </c>
      <c r="C52" s="1">
        <v>77</v>
      </c>
      <c r="D52" s="1">
        <v>30</v>
      </c>
      <c r="E52" s="1">
        <v>6</v>
      </c>
      <c r="F52" s="1">
        <v>101</v>
      </c>
      <c r="G52" s="7">
        <f>VLOOKUP(A52,[1]Sheet!$A:$G,7,0)</f>
        <v>1</v>
      </c>
      <c r="H52" s="1">
        <f>VLOOKUP(A52,[1]Sheet!$A:$H,8,0)</f>
        <v>180</v>
      </c>
      <c r="I52" s="1" t="str">
        <f>VLOOKUP(A52,[1]Sheet!$A:$I,9,0)</f>
        <v>P004081</v>
      </c>
      <c r="J52" s="1"/>
      <c r="K52" s="1">
        <v>6</v>
      </c>
      <c r="L52" s="1">
        <f t="shared" si="28"/>
        <v>0</v>
      </c>
      <c r="M52" s="1"/>
      <c r="N52" s="1"/>
      <c r="O52" s="1">
        <v>0</v>
      </c>
      <c r="P52" s="1">
        <f t="shared" si="29"/>
        <v>1.2</v>
      </c>
      <c r="Q52" s="5"/>
      <c r="R52" s="5">
        <f t="shared" si="34"/>
        <v>0</v>
      </c>
      <c r="S52" s="1"/>
      <c r="T52" s="1">
        <f t="shared" si="30"/>
        <v>84.166666666666671</v>
      </c>
      <c r="U52" s="1">
        <f t="shared" si="31"/>
        <v>84.166666666666671</v>
      </c>
      <c r="V52" s="1">
        <v>6.2</v>
      </c>
      <c r="W52" s="1">
        <v>3</v>
      </c>
      <c r="X52" s="1">
        <v>4</v>
      </c>
      <c r="Y52" s="1">
        <v>6.4</v>
      </c>
      <c r="Z52" s="1">
        <v>10.199999999999999</v>
      </c>
      <c r="AA52" s="1">
        <v>5.2</v>
      </c>
      <c r="AB52" s="20" t="s">
        <v>113</v>
      </c>
      <c r="AC52" s="1">
        <f t="shared" si="35"/>
        <v>0</v>
      </c>
      <c r="AD52" s="7">
        <v>5</v>
      </c>
      <c r="AE52" s="9">
        <f t="shared" si="36"/>
        <v>0</v>
      </c>
      <c r="AF52" s="1">
        <f t="shared" si="37"/>
        <v>0</v>
      </c>
      <c r="AG52" s="1">
        <v>12</v>
      </c>
      <c r="AH52" s="1">
        <v>84</v>
      </c>
      <c r="AI52" s="9">
        <f t="shared" si="38"/>
        <v>0</v>
      </c>
      <c r="AJ52" s="1">
        <f t="shared" si="6"/>
        <v>1.2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45</v>
      </c>
      <c r="B53" s="1" t="s">
        <v>44</v>
      </c>
      <c r="C53" s="1">
        <v>324</v>
      </c>
      <c r="D53" s="1">
        <v>251.5</v>
      </c>
      <c r="E53" s="1">
        <v>161.6</v>
      </c>
      <c r="F53" s="1">
        <v>178.8</v>
      </c>
      <c r="G53" s="7">
        <f>VLOOKUP(A53,[1]Sheet!$A:$G,7,0)</f>
        <v>1</v>
      </c>
      <c r="H53" s="1">
        <f>VLOOKUP(A53,[1]Sheet!$A:$H,8,0)</f>
        <v>180</v>
      </c>
      <c r="I53" s="1" t="str">
        <f>VLOOKUP(A53,[1]Sheet!$A:$I,9,0)</f>
        <v>P004359</v>
      </c>
      <c r="J53" s="1"/>
      <c r="K53" s="1">
        <v>167.8</v>
      </c>
      <c r="L53" s="1">
        <f t="shared" si="28"/>
        <v>-6.2000000000000171</v>
      </c>
      <c r="M53" s="1"/>
      <c r="N53" s="1"/>
      <c r="O53" s="1">
        <v>103.6</v>
      </c>
      <c r="P53" s="1">
        <f t="shared" si="29"/>
        <v>32.32</v>
      </c>
      <c r="Q53" s="5">
        <f t="shared" si="33"/>
        <v>170.07999999999998</v>
      </c>
      <c r="R53" s="5">
        <f t="shared" si="34"/>
        <v>155.4</v>
      </c>
      <c r="S53" s="1"/>
      <c r="T53" s="1">
        <f t="shared" si="30"/>
        <v>13.545792079207919</v>
      </c>
      <c r="U53" s="1">
        <f t="shared" si="31"/>
        <v>8.7376237623762361</v>
      </c>
      <c r="V53" s="1">
        <v>30.3</v>
      </c>
      <c r="W53" s="1">
        <v>37.739999999999988</v>
      </c>
      <c r="X53" s="1">
        <v>39.22</v>
      </c>
      <c r="Y53" s="1">
        <v>27.2</v>
      </c>
      <c r="Z53" s="1">
        <v>13.32</v>
      </c>
      <c r="AA53" s="1">
        <v>29</v>
      </c>
      <c r="AB53" s="1"/>
      <c r="AC53" s="1">
        <f t="shared" si="35"/>
        <v>170.07999999999998</v>
      </c>
      <c r="AD53" s="7">
        <v>3.7</v>
      </c>
      <c r="AE53" s="9">
        <f t="shared" si="36"/>
        <v>42</v>
      </c>
      <c r="AF53" s="1">
        <f t="shared" si="37"/>
        <v>155.4</v>
      </c>
      <c r="AG53" s="1">
        <v>14</v>
      </c>
      <c r="AH53" s="1">
        <v>126</v>
      </c>
      <c r="AI53" s="9">
        <f t="shared" si="38"/>
        <v>0.33333333333333331</v>
      </c>
      <c r="AJ53" s="1">
        <f t="shared" si="6"/>
        <v>32.32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94</v>
      </c>
      <c r="B54" s="1" t="s">
        <v>38</v>
      </c>
      <c r="C54" s="1">
        <v>225</v>
      </c>
      <c r="D54" s="1">
        <v>690</v>
      </c>
      <c r="E54" s="1">
        <v>218</v>
      </c>
      <c r="F54" s="1">
        <v>4</v>
      </c>
      <c r="G54" s="7">
        <f>VLOOKUP(A54,[1]Sheet!$A:$G,7,0)</f>
        <v>0.23</v>
      </c>
      <c r="H54" s="1">
        <f>VLOOKUP(A54,[1]Sheet!$A:$H,8,0)</f>
        <v>180</v>
      </c>
      <c r="I54" s="18" t="s">
        <v>111</v>
      </c>
      <c r="J54" s="1"/>
      <c r="K54" s="1">
        <v>717</v>
      </c>
      <c r="L54" s="1">
        <f t="shared" si="28"/>
        <v>-499</v>
      </c>
      <c r="M54" s="1"/>
      <c r="N54" s="1"/>
      <c r="O54" s="1">
        <v>1764</v>
      </c>
      <c r="P54" s="1">
        <f t="shared" si="29"/>
        <v>43.6</v>
      </c>
      <c r="Q54" s="5"/>
      <c r="R54" s="5">
        <f t="shared" si="34"/>
        <v>0</v>
      </c>
      <c r="S54" s="1"/>
      <c r="T54" s="1">
        <f t="shared" si="30"/>
        <v>40.550458715596328</v>
      </c>
      <c r="U54" s="1">
        <f t="shared" si="31"/>
        <v>40.550458715596328</v>
      </c>
      <c r="V54" s="1">
        <v>120.2</v>
      </c>
      <c r="W54" s="1">
        <v>59</v>
      </c>
      <c r="X54" s="1">
        <v>70.400000000000006</v>
      </c>
      <c r="Y54" s="1">
        <v>81</v>
      </c>
      <c r="Z54" s="1">
        <v>13.6</v>
      </c>
      <c r="AA54" s="1">
        <v>102.8</v>
      </c>
      <c r="AB54" s="1" t="s">
        <v>95</v>
      </c>
      <c r="AC54" s="1">
        <f t="shared" si="35"/>
        <v>0</v>
      </c>
      <c r="AD54" s="7">
        <v>6</v>
      </c>
      <c r="AE54" s="9">
        <f t="shared" si="36"/>
        <v>0</v>
      </c>
      <c r="AF54" s="1">
        <f t="shared" si="37"/>
        <v>0</v>
      </c>
      <c r="AG54" s="1">
        <v>14</v>
      </c>
      <c r="AH54" s="1">
        <v>140</v>
      </c>
      <c r="AI54" s="9">
        <f t="shared" si="38"/>
        <v>0</v>
      </c>
      <c r="AJ54" s="1">
        <f t="shared" si="6"/>
        <v>10.028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96</v>
      </c>
      <c r="B55" s="1" t="s">
        <v>38</v>
      </c>
      <c r="C55" s="1">
        <v>1932</v>
      </c>
      <c r="D55" s="1">
        <v>1331</v>
      </c>
      <c r="E55" s="1">
        <v>695</v>
      </c>
      <c r="F55" s="1">
        <v>1198</v>
      </c>
      <c r="G55" s="7">
        <f>VLOOKUP(A55,[1]Sheet!$A:$G,7,0)</f>
        <v>0.25</v>
      </c>
      <c r="H55" s="1">
        <f>VLOOKUP(A55,[1]Sheet!$A:$H,8,0)</f>
        <v>180</v>
      </c>
      <c r="I55" s="1" t="str">
        <f>VLOOKUP(A55,[1]Sheet!$A:$I,9,0)</f>
        <v>P004489</v>
      </c>
      <c r="J55" s="1"/>
      <c r="K55" s="1">
        <v>761</v>
      </c>
      <c r="L55" s="1">
        <f t="shared" si="28"/>
        <v>-66</v>
      </c>
      <c r="M55" s="1"/>
      <c r="N55" s="1"/>
      <c r="O55" s="1">
        <v>0</v>
      </c>
      <c r="P55" s="1">
        <f t="shared" si="29"/>
        <v>139</v>
      </c>
      <c r="Q55" s="5">
        <f t="shared" ref="Q55:Q56" si="39">$Q$1*P55-O55-F55</f>
        <v>789.7</v>
      </c>
      <c r="R55" s="5">
        <f t="shared" si="34"/>
        <v>840</v>
      </c>
      <c r="S55" s="1"/>
      <c r="T55" s="1">
        <f t="shared" si="30"/>
        <v>14.661870503597122</v>
      </c>
      <c r="U55" s="1">
        <f t="shared" si="31"/>
        <v>8.6187050359712227</v>
      </c>
      <c r="V55" s="1">
        <v>132.19999999999999</v>
      </c>
      <c r="W55" s="1">
        <v>156.6</v>
      </c>
      <c r="X55" s="1">
        <v>92.8</v>
      </c>
      <c r="Y55" s="1">
        <v>82.4</v>
      </c>
      <c r="Z55" s="1">
        <v>64</v>
      </c>
      <c r="AA55" s="1">
        <v>106.8</v>
      </c>
      <c r="AB55" s="1"/>
      <c r="AC55" s="1">
        <f t="shared" si="35"/>
        <v>197.42500000000001</v>
      </c>
      <c r="AD55" s="7">
        <v>12</v>
      </c>
      <c r="AE55" s="9">
        <f t="shared" si="36"/>
        <v>70</v>
      </c>
      <c r="AF55" s="1">
        <f t="shared" si="37"/>
        <v>210</v>
      </c>
      <c r="AG55" s="1">
        <v>14</v>
      </c>
      <c r="AH55" s="1">
        <v>70</v>
      </c>
      <c r="AI55" s="9">
        <f t="shared" si="38"/>
        <v>1</v>
      </c>
      <c r="AJ55" s="1">
        <f t="shared" si="6"/>
        <v>34.75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97</v>
      </c>
      <c r="B56" s="1" t="s">
        <v>38</v>
      </c>
      <c r="C56" s="1">
        <v>810</v>
      </c>
      <c r="D56" s="1">
        <v>584</v>
      </c>
      <c r="E56" s="1">
        <v>593</v>
      </c>
      <c r="F56" s="1">
        <v>306</v>
      </c>
      <c r="G56" s="7">
        <f>VLOOKUP(A56,[1]Sheet!$A:$G,7,0)</f>
        <v>0.25</v>
      </c>
      <c r="H56" s="1">
        <f>VLOOKUP(A56,[1]Sheet!$A:$H,8,0)</f>
        <v>180</v>
      </c>
      <c r="I56" s="1" t="str">
        <f>VLOOKUP(A56,[1]Sheet!$A:$I,9,0)</f>
        <v>P005058</v>
      </c>
      <c r="J56" s="1"/>
      <c r="K56" s="1">
        <v>651</v>
      </c>
      <c r="L56" s="1">
        <f t="shared" si="28"/>
        <v>-58</v>
      </c>
      <c r="M56" s="1"/>
      <c r="N56" s="1"/>
      <c r="O56" s="1">
        <v>840</v>
      </c>
      <c r="P56" s="1">
        <f t="shared" si="29"/>
        <v>118.6</v>
      </c>
      <c r="Q56" s="5">
        <f t="shared" si="39"/>
        <v>549.98</v>
      </c>
      <c r="R56" s="5">
        <f t="shared" si="34"/>
        <v>504</v>
      </c>
      <c r="S56" s="1"/>
      <c r="T56" s="1">
        <f t="shared" si="30"/>
        <v>13.91231028667791</v>
      </c>
      <c r="U56" s="1">
        <f t="shared" si="31"/>
        <v>9.6627318718381119</v>
      </c>
      <c r="V56" s="1">
        <v>146.80000000000001</v>
      </c>
      <c r="W56" s="1">
        <v>100.8</v>
      </c>
      <c r="X56" s="1">
        <v>85.8</v>
      </c>
      <c r="Y56" s="1">
        <v>69.2</v>
      </c>
      <c r="Z56" s="1">
        <v>65.2</v>
      </c>
      <c r="AA56" s="1">
        <v>65</v>
      </c>
      <c r="AB56" s="1"/>
      <c r="AC56" s="1">
        <f t="shared" si="35"/>
        <v>137.495</v>
      </c>
      <c r="AD56" s="7">
        <v>12</v>
      </c>
      <c r="AE56" s="9">
        <f t="shared" si="36"/>
        <v>42</v>
      </c>
      <c r="AF56" s="1">
        <f t="shared" si="37"/>
        <v>126</v>
      </c>
      <c r="AG56" s="1">
        <v>14</v>
      </c>
      <c r="AH56" s="1">
        <v>70</v>
      </c>
      <c r="AI56" s="9">
        <f t="shared" si="38"/>
        <v>0.6</v>
      </c>
      <c r="AJ56" s="1">
        <f t="shared" si="6"/>
        <v>29.65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98</v>
      </c>
      <c r="B57" s="1" t="s">
        <v>38</v>
      </c>
      <c r="C57" s="1">
        <v>725</v>
      </c>
      <c r="D57" s="1">
        <v>110</v>
      </c>
      <c r="E57" s="1">
        <v>262</v>
      </c>
      <c r="F57" s="1">
        <v>451</v>
      </c>
      <c r="G57" s="7">
        <f>VLOOKUP(A57,[1]Sheet!$A:$G,7,0)</f>
        <v>0.18</v>
      </c>
      <c r="H57" s="1">
        <f>VLOOKUP(A57,[1]Sheet!$A:$H,8,0)</f>
        <v>180</v>
      </c>
      <c r="I57" s="1" t="str">
        <f>VLOOKUP(A57,[1]Sheet!$A:$I,9,0)</f>
        <v>P005201</v>
      </c>
      <c r="J57" s="1"/>
      <c r="K57" s="1">
        <v>324</v>
      </c>
      <c r="L57" s="1">
        <f t="shared" si="28"/>
        <v>-62</v>
      </c>
      <c r="M57" s="1"/>
      <c r="N57" s="1"/>
      <c r="O57" s="1">
        <v>0</v>
      </c>
      <c r="P57" s="1">
        <f t="shared" si="29"/>
        <v>52.4</v>
      </c>
      <c r="Q57" s="5">
        <f t="shared" si="33"/>
        <v>282.60000000000002</v>
      </c>
      <c r="R57" s="5">
        <f t="shared" si="34"/>
        <v>252</v>
      </c>
      <c r="S57" s="1"/>
      <c r="T57" s="1">
        <f t="shared" si="30"/>
        <v>13.416030534351146</v>
      </c>
      <c r="U57" s="1">
        <f t="shared" si="31"/>
        <v>8.6068702290076331</v>
      </c>
      <c r="V57" s="1">
        <v>19.2</v>
      </c>
      <c r="W57" s="1">
        <v>20</v>
      </c>
      <c r="X57" s="1">
        <v>31.4</v>
      </c>
      <c r="Y57" s="1">
        <v>23.4</v>
      </c>
      <c r="Z57" s="1">
        <v>12.2</v>
      </c>
      <c r="AA57" s="1">
        <v>69</v>
      </c>
      <c r="AB57" s="1"/>
      <c r="AC57" s="1">
        <f t="shared" si="35"/>
        <v>50.868000000000002</v>
      </c>
      <c r="AD57" s="7">
        <v>6</v>
      </c>
      <c r="AE57" s="9">
        <f t="shared" si="36"/>
        <v>42</v>
      </c>
      <c r="AF57" s="1">
        <f t="shared" si="37"/>
        <v>45.36</v>
      </c>
      <c r="AG57" s="1">
        <v>14</v>
      </c>
      <c r="AH57" s="1">
        <v>140</v>
      </c>
      <c r="AI57" s="9">
        <f t="shared" si="38"/>
        <v>0.3</v>
      </c>
      <c r="AJ57" s="1">
        <f t="shared" si="6"/>
        <v>9.4319999999999986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99</v>
      </c>
      <c r="B58" s="1" t="s">
        <v>38</v>
      </c>
      <c r="C58" s="1">
        <v>588</v>
      </c>
      <c r="D58" s="1">
        <v>246</v>
      </c>
      <c r="E58" s="1">
        <v>233</v>
      </c>
      <c r="F58" s="1">
        <v>345</v>
      </c>
      <c r="G58" s="7">
        <f>VLOOKUP(A58,[1]Sheet!$A:$G,7,0)</f>
        <v>0.18</v>
      </c>
      <c r="H58" s="1">
        <f>VLOOKUP(A58,[1]Sheet!$A:$H,8,0)</f>
        <v>180</v>
      </c>
      <c r="I58" s="1" t="str">
        <f>VLOOKUP(A58,[1]Sheet!$A:$I,9,0)</f>
        <v>P005199</v>
      </c>
      <c r="J58" s="1"/>
      <c r="K58" s="1">
        <v>283</v>
      </c>
      <c r="L58" s="1">
        <f t="shared" si="28"/>
        <v>-50</v>
      </c>
      <c r="M58" s="1"/>
      <c r="N58" s="1"/>
      <c r="O58" s="1">
        <v>336</v>
      </c>
      <c r="P58" s="1">
        <f t="shared" si="29"/>
        <v>46.6</v>
      </c>
      <c r="Q58" s="5"/>
      <c r="R58" s="5">
        <f t="shared" si="34"/>
        <v>0</v>
      </c>
      <c r="S58" s="1"/>
      <c r="T58" s="1">
        <f t="shared" si="30"/>
        <v>14.613733905579398</v>
      </c>
      <c r="U58" s="1">
        <f t="shared" si="31"/>
        <v>14.613733905579398</v>
      </c>
      <c r="V58" s="1">
        <v>66.2</v>
      </c>
      <c r="W58" s="1">
        <v>29.2</v>
      </c>
      <c r="X58" s="1">
        <v>53</v>
      </c>
      <c r="Y58" s="1">
        <v>22.6</v>
      </c>
      <c r="Z58" s="1">
        <v>31</v>
      </c>
      <c r="AA58" s="1">
        <v>81.8</v>
      </c>
      <c r="AB58" s="1"/>
      <c r="AC58" s="1">
        <f t="shared" si="35"/>
        <v>0</v>
      </c>
      <c r="AD58" s="7">
        <v>6</v>
      </c>
      <c r="AE58" s="9">
        <f t="shared" si="36"/>
        <v>0</v>
      </c>
      <c r="AF58" s="1">
        <f t="shared" si="37"/>
        <v>0</v>
      </c>
      <c r="AG58" s="1">
        <v>14</v>
      </c>
      <c r="AH58" s="1">
        <v>140</v>
      </c>
      <c r="AI58" s="9">
        <f t="shared" si="38"/>
        <v>0</v>
      </c>
      <c r="AJ58" s="1">
        <f t="shared" si="6"/>
        <v>8.3879999999999999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100</v>
      </c>
      <c r="B59" s="1" t="s">
        <v>38</v>
      </c>
      <c r="C59" s="1">
        <v>62</v>
      </c>
      <c r="D59" s="1">
        <v>1</v>
      </c>
      <c r="E59" s="1">
        <v>10</v>
      </c>
      <c r="F59" s="1">
        <v>49</v>
      </c>
      <c r="G59" s="7">
        <f>VLOOKUP(A59,[1]Sheet!$A:$G,7,0)</f>
        <v>0.18</v>
      </c>
      <c r="H59" s="1">
        <f>VLOOKUP(A59,[1]Sheet!$A:$H,8,0)</f>
        <v>180</v>
      </c>
      <c r="I59" s="1" t="str">
        <f>VLOOKUP(A59,[1]Sheet!$A:$I,9,0)</f>
        <v>P005200</v>
      </c>
      <c r="J59" s="1"/>
      <c r="K59" s="1">
        <v>10</v>
      </c>
      <c r="L59" s="1">
        <f t="shared" si="28"/>
        <v>0</v>
      </c>
      <c r="M59" s="1"/>
      <c r="N59" s="1"/>
      <c r="O59" s="1">
        <v>0</v>
      </c>
      <c r="P59" s="1">
        <f t="shared" si="29"/>
        <v>2</v>
      </c>
      <c r="Q59" s="5"/>
      <c r="R59" s="5">
        <f t="shared" si="34"/>
        <v>0</v>
      </c>
      <c r="S59" s="1"/>
      <c r="T59" s="1">
        <f t="shared" si="30"/>
        <v>24.5</v>
      </c>
      <c r="U59" s="1">
        <f t="shared" si="31"/>
        <v>24.5</v>
      </c>
      <c r="V59" s="1">
        <v>2.2000000000000002</v>
      </c>
      <c r="W59" s="1">
        <v>2.8</v>
      </c>
      <c r="X59" s="1">
        <v>2</v>
      </c>
      <c r="Y59" s="1">
        <v>2</v>
      </c>
      <c r="Z59" s="1">
        <v>2</v>
      </c>
      <c r="AA59" s="1">
        <v>6.8</v>
      </c>
      <c r="AB59" s="19" t="s">
        <v>90</v>
      </c>
      <c r="AC59" s="1">
        <f t="shared" si="35"/>
        <v>0</v>
      </c>
      <c r="AD59" s="7">
        <v>6</v>
      </c>
      <c r="AE59" s="9">
        <f t="shared" si="36"/>
        <v>0</v>
      </c>
      <c r="AF59" s="1">
        <f t="shared" si="37"/>
        <v>0</v>
      </c>
      <c r="AG59" s="1">
        <v>14</v>
      </c>
      <c r="AH59" s="1">
        <v>140</v>
      </c>
      <c r="AI59" s="9">
        <f t="shared" si="38"/>
        <v>0</v>
      </c>
      <c r="AJ59" s="1">
        <f t="shared" si="6"/>
        <v>0.36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101</v>
      </c>
      <c r="B60" s="1" t="s">
        <v>38</v>
      </c>
      <c r="C60" s="1">
        <v>353</v>
      </c>
      <c r="D60" s="1">
        <v>2913</v>
      </c>
      <c r="E60" s="1">
        <v>808</v>
      </c>
      <c r="F60" s="1">
        <v>620</v>
      </c>
      <c r="G60" s="7">
        <f>VLOOKUP(A60,[1]Sheet!$A:$G,7,0)</f>
        <v>0.3</v>
      </c>
      <c r="H60" s="1">
        <f>VLOOKUP(A60,[1]Sheet!$A:$H,8,0)</f>
        <v>180</v>
      </c>
      <c r="I60" s="1" t="str">
        <f>VLOOKUP(A60,[1]Sheet!$A:$I,9,0)</f>
        <v>P004588</v>
      </c>
      <c r="J60" s="1"/>
      <c r="K60" s="1">
        <v>901</v>
      </c>
      <c r="L60" s="1">
        <f t="shared" si="28"/>
        <v>-93</v>
      </c>
      <c r="M60" s="1"/>
      <c r="N60" s="1"/>
      <c r="O60" s="1">
        <v>840</v>
      </c>
      <c r="P60" s="1">
        <f t="shared" si="29"/>
        <v>161.6</v>
      </c>
      <c r="Q60" s="5">
        <f t="shared" ref="Q60:Q61" si="40">$Q$1*P60-O60-F60</f>
        <v>850.88000000000011</v>
      </c>
      <c r="R60" s="5">
        <f t="shared" si="34"/>
        <v>840</v>
      </c>
      <c r="S60" s="1"/>
      <c r="T60" s="1">
        <f t="shared" si="30"/>
        <v>14.232673267326733</v>
      </c>
      <c r="U60" s="1">
        <f t="shared" si="31"/>
        <v>9.0346534653465351</v>
      </c>
      <c r="V60" s="1">
        <v>159.19999999999999</v>
      </c>
      <c r="W60" s="1">
        <v>146.4</v>
      </c>
      <c r="X60" s="1">
        <v>138.4</v>
      </c>
      <c r="Y60" s="1">
        <v>166.2</v>
      </c>
      <c r="Z60" s="1">
        <v>161.19999999999999</v>
      </c>
      <c r="AA60" s="1">
        <v>122.6</v>
      </c>
      <c r="AB60" s="1"/>
      <c r="AC60" s="1">
        <f t="shared" si="35"/>
        <v>255.26400000000001</v>
      </c>
      <c r="AD60" s="7">
        <v>12</v>
      </c>
      <c r="AE60" s="9">
        <f t="shared" si="36"/>
        <v>70</v>
      </c>
      <c r="AF60" s="1">
        <f t="shared" si="37"/>
        <v>252</v>
      </c>
      <c r="AG60" s="1">
        <v>14</v>
      </c>
      <c r="AH60" s="1">
        <v>70</v>
      </c>
      <c r="AI60" s="9">
        <f t="shared" si="38"/>
        <v>1</v>
      </c>
      <c r="AJ60" s="1">
        <f t="shared" si="6"/>
        <v>48.48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102</v>
      </c>
      <c r="B61" s="1" t="s">
        <v>38</v>
      </c>
      <c r="C61" s="1">
        <v>980</v>
      </c>
      <c r="D61" s="1">
        <v>1415</v>
      </c>
      <c r="E61" s="1">
        <v>573</v>
      </c>
      <c r="F61" s="1">
        <v>447</v>
      </c>
      <c r="G61" s="7">
        <f>VLOOKUP(A61,[1]Sheet!$A:$G,7,0)</f>
        <v>0.3</v>
      </c>
      <c r="H61" s="1">
        <f>VLOOKUP(A61,[1]Sheet!$A:$H,8,0)</f>
        <v>180</v>
      </c>
      <c r="I61" s="1" t="str">
        <f>VLOOKUP(A61,[1]Sheet!$A:$I,9,0)</f>
        <v>P004589</v>
      </c>
      <c r="J61" s="1"/>
      <c r="K61" s="1">
        <v>667</v>
      </c>
      <c r="L61" s="1">
        <f t="shared" si="28"/>
        <v>-94</v>
      </c>
      <c r="M61" s="1"/>
      <c r="N61" s="1"/>
      <c r="O61" s="1">
        <v>504</v>
      </c>
      <c r="P61" s="1">
        <f t="shared" si="29"/>
        <v>114.6</v>
      </c>
      <c r="Q61" s="5">
        <f t="shared" si="40"/>
        <v>687.78</v>
      </c>
      <c r="R61" s="5">
        <f t="shared" si="34"/>
        <v>672</v>
      </c>
      <c r="S61" s="1"/>
      <c r="T61" s="1">
        <f t="shared" si="30"/>
        <v>14.162303664921467</v>
      </c>
      <c r="U61" s="1">
        <f t="shared" si="31"/>
        <v>8.2984293193717278</v>
      </c>
      <c r="V61" s="1">
        <v>112.4</v>
      </c>
      <c r="W61" s="1">
        <v>100.4</v>
      </c>
      <c r="X61" s="1">
        <v>70.8</v>
      </c>
      <c r="Y61" s="1">
        <v>92.4</v>
      </c>
      <c r="Z61" s="1">
        <v>77.599999999999994</v>
      </c>
      <c r="AA61" s="1">
        <v>85.2</v>
      </c>
      <c r="AB61" s="1"/>
      <c r="AC61" s="1">
        <f t="shared" si="35"/>
        <v>206.33399999999997</v>
      </c>
      <c r="AD61" s="7">
        <v>12</v>
      </c>
      <c r="AE61" s="9">
        <f t="shared" si="36"/>
        <v>56</v>
      </c>
      <c r="AF61" s="1">
        <f t="shared" si="37"/>
        <v>201.6</v>
      </c>
      <c r="AG61" s="1">
        <v>14</v>
      </c>
      <c r="AH61" s="1">
        <v>70</v>
      </c>
      <c r="AI61" s="9">
        <f t="shared" si="38"/>
        <v>0.8</v>
      </c>
      <c r="AJ61" s="1">
        <f t="shared" si="6"/>
        <v>34.379999999999995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103</v>
      </c>
      <c r="B62" s="1" t="s">
        <v>38</v>
      </c>
      <c r="C62" s="1">
        <v>191</v>
      </c>
      <c r="D62" s="1">
        <v>773</v>
      </c>
      <c r="E62" s="1">
        <v>475</v>
      </c>
      <c r="F62" s="1">
        <v>325</v>
      </c>
      <c r="G62" s="7">
        <f>VLOOKUP(A62,[1]Sheet!$A:$G,7,0)</f>
        <v>0.3</v>
      </c>
      <c r="H62" s="1">
        <f>VLOOKUP(A62,[1]Sheet!$A:$H,8,0)</f>
        <v>180</v>
      </c>
      <c r="I62" s="1" t="str">
        <f>VLOOKUP(A62,[1]Sheet!$A:$I,9,0)</f>
        <v>P004113</v>
      </c>
      <c r="J62" s="1"/>
      <c r="K62" s="1">
        <v>541</v>
      </c>
      <c r="L62" s="1">
        <f t="shared" si="28"/>
        <v>-66</v>
      </c>
      <c r="M62" s="1"/>
      <c r="N62" s="1"/>
      <c r="O62" s="1">
        <v>784</v>
      </c>
      <c r="P62" s="1">
        <f t="shared" si="29"/>
        <v>95</v>
      </c>
      <c r="Q62" s="5">
        <f t="shared" si="33"/>
        <v>221</v>
      </c>
      <c r="R62" s="5">
        <f t="shared" si="34"/>
        <v>196</v>
      </c>
      <c r="S62" s="1"/>
      <c r="T62" s="1">
        <f t="shared" si="30"/>
        <v>13.736842105263158</v>
      </c>
      <c r="U62" s="1">
        <f t="shared" si="31"/>
        <v>11.673684210526316</v>
      </c>
      <c r="V62" s="1">
        <v>105.4</v>
      </c>
      <c r="W62" s="1">
        <v>91.8</v>
      </c>
      <c r="X62" s="1">
        <v>36.799999999999997</v>
      </c>
      <c r="Y62" s="1">
        <v>84.4</v>
      </c>
      <c r="Z62" s="1">
        <v>0</v>
      </c>
      <c r="AA62" s="1">
        <v>53.6</v>
      </c>
      <c r="AB62" s="1"/>
      <c r="AC62" s="1">
        <f t="shared" si="35"/>
        <v>66.3</v>
      </c>
      <c r="AD62" s="7">
        <v>14</v>
      </c>
      <c r="AE62" s="9">
        <f t="shared" si="36"/>
        <v>14</v>
      </c>
      <c r="AF62" s="1">
        <f t="shared" si="37"/>
        <v>58.8</v>
      </c>
      <c r="AG62" s="1">
        <v>14</v>
      </c>
      <c r="AH62" s="1">
        <v>70</v>
      </c>
      <c r="AI62" s="9">
        <f t="shared" si="38"/>
        <v>0.2</v>
      </c>
      <c r="AJ62" s="1">
        <f t="shared" si="6"/>
        <v>28.5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104</v>
      </c>
      <c r="B63" s="1" t="s">
        <v>38</v>
      </c>
      <c r="C63" s="1">
        <v>-29</v>
      </c>
      <c r="D63" s="1">
        <v>5785</v>
      </c>
      <c r="E63" s="1">
        <v>1079</v>
      </c>
      <c r="F63" s="1">
        <v>1447</v>
      </c>
      <c r="G63" s="7">
        <f>VLOOKUP(A63,[1]Sheet!$A:$G,7,0)</f>
        <v>0.25</v>
      </c>
      <c r="H63" s="1">
        <f>VLOOKUP(A63,[1]Sheet!$A:$H,8,0)</f>
        <v>180</v>
      </c>
      <c r="I63" s="18" t="s">
        <v>112</v>
      </c>
      <c r="J63" s="1"/>
      <c r="K63" s="1">
        <v>1309</v>
      </c>
      <c r="L63" s="1">
        <f t="shared" si="28"/>
        <v>-230</v>
      </c>
      <c r="M63" s="1"/>
      <c r="N63" s="1"/>
      <c r="O63" s="1">
        <v>2520</v>
      </c>
      <c r="P63" s="1">
        <f t="shared" si="29"/>
        <v>215.8</v>
      </c>
      <c r="Q63" s="5"/>
      <c r="R63" s="5">
        <f t="shared" si="34"/>
        <v>0</v>
      </c>
      <c r="S63" s="1"/>
      <c r="T63" s="1">
        <f t="shared" si="30"/>
        <v>18.382761816496757</v>
      </c>
      <c r="U63" s="1">
        <f t="shared" si="31"/>
        <v>18.382761816496757</v>
      </c>
      <c r="V63" s="1">
        <v>216.4</v>
      </c>
      <c r="W63" s="1">
        <v>262.8</v>
      </c>
      <c r="X63" s="1">
        <v>204.4</v>
      </c>
      <c r="Y63" s="1">
        <v>184</v>
      </c>
      <c r="Z63" s="1">
        <v>194.2</v>
      </c>
      <c r="AA63" s="1">
        <v>226.4</v>
      </c>
      <c r="AB63" s="1" t="s">
        <v>69</v>
      </c>
      <c r="AC63" s="1">
        <f t="shared" si="35"/>
        <v>0</v>
      </c>
      <c r="AD63" s="7">
        <v>12</v>
      </c>
      <c r="AE63" s="9">
        <f t="shared" si="36"/>
        <v>0</v>
      </c>
      <c r="AF63" s="1">
        <f t="shared" si="37"/>
        <v>0</v>
      </c>
      <c r="AG63" s="1">
        <v>14</v>
      </c>
      <c r="AH63" s="1">
        <v>70</v>
      </c>
      <c r="AI63" s="9">
        <f t="shared" si="38"/>
        <v>0</v>
      </c>
      <c r="AJ63" s="1">
        <f t="shared" si="6"/>
        <v>53.95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47</v>
      </c>
      <c r="B64" s="1" t="s">
        <v>38</v>
      </c>
      <c r="C64" s="1">
        <v>-183</v>
      </c>
      <c r="D64" s="1">
        <v>6839</v>
      </c>
      <c r="E64" s="17">
        <f>1242+E9</f>
        <v>1258</v>
      </c>
      <c r="F64" s="17">
        <f>2290+F9</f>
        <v>2280</v>
      </c>
      <c r="G64" s="7">
        <f>VLOOKUP(A64,[1]Sheet!$A:$G,7,0)</f>
        <v>0.25</v>
      </c>
      <c r="H64" s="1">
        <f>VLOOKUP(A64,[1]Sheet!$A:$H,8,0)</f>
        <v>180</v>
      </c>
      <c r="I64" s="1" t="str">
        <f>VLOOKUP(A64,[1]Sheet!$A:$I,9,0)</f>
        <v>P004484</v>
      </c>
      <c r="J64" s="1"/>
      <c r="K64" s="1">
        <v>1438</v>
      </c>
      <c r="L64" s="1">
        <f t="shared" si="28"/>
        <v>-180</v>
      </c>
      <c r="M64" s="1"/>
      <c r="N64" s="1"/>
      <c r="O64" s="1">
        <v>0</v>
      </c>
      <c r="P64" s="1">
        <f t="shared" si="29"/>
        <v>251.6</v>
      </c>
      <c r="Q64" s="5">
        <f>$Q$1*P64-O64-F64</f>
        <v>1317.88</v>
      </c>
      <c r="R64" s="5">
        <f t="shared" si="34"/>
        <v>1344</v>
      </c>
      <c r="S64" s="1"/>
      <c r="T64" s="1">
        <f t="shared" si="30"/>
        <v>14.403815580286169</v>
      </c>
      <c r="U64" s="1">
        <f t="shared" si="31"/>
        <v>9.0620031796502385</v>
      </c>
      <c r="V64" s="1">
        <v>171</v>
      </c>
      <c r="W64" s="1">
        <v>356.2</v>
      </c>
      <c r="X64" s="1">
        <v>210.2</v>
      </c>
      <c r="Y64" s="1">
        <v>214.6</v>
      </c>
      <c r="Z64" s="1">
        <v>183</v>
      </c>
      <c r="AA64" s="1">
        <v>166.4</v>
      </c>
      <c r="AB64" s="1"/>
      <c r="AC64" s="1">
        <f t="shared" si="35"/>
        <v>329.47</v>
      </c>
      <c r="AD64" s="7">
        <v>12</v>
      </c>
      <c r="AE64" s="9">
        <f t="shared" si="36"/>
        <v>112</v>
      </c>
      <c r="AF64" s="1">
        <f t="shared" si="37"/>
        <v>336</v>
      </c>
      <c r="AG64" s="1">
        <v>14</v>
      </c>
      <c r="AH64" s="1">
        <v>70</v>
      </c>
      <c r="AI64" s="9">
        <f t="shared" si="38"/>
        <v>1.6</v>
      </c>
      <c r="AJ64" s="1">
        <f t="shared" si="6"/>
        <v>62.9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105</v>
      </c>
      <c r="B65" s="1" t="s">
        <v>38</v>
      </c>
      <c r="C65" s="1">
        <v>256</v>
      </c>
      <c r="D65" s="1">
        <v>649</v>
      </c>
      <c r="E65" s="1">
        <v>429</v>
      </c>
      <c r="F65" s="1">
        <v>16</v>
      </c>
      <c r="G65" s="7">
        <f>VLOOKUP(A65,[1]Sheet!$A:$G,7,0)</f>
        <v>0.2</v>
      </c>
      <c r="H65" s="1">
        <f>VLOOKUP(A65,[1]Sheet!$A:$H,8,0)</f>
        <v>365</v>
      </c>
      <c r="I65" s="1" t="str">
        <f>VLOOKUP(A65,[1]Sheet!$A:$I,9,0)</f>
        <v>P004818</v>
      </c>
      <c r="J65" s="1"/>
      <c r="K65" s="1">
        <v>641</v>
      </c>
      <c r="L65" s="1">
        <f t="shared" si="28"/>
        <v>-212</v>
      </c>
      <c r="M65" s="1"/>
      <c r="N65" s="1"/>
      <c r="O65" s="1">
        <v>588</v>
      </c>
      <c r="P65" s="1">
        <f t="shared" si="29"/>
        <v>85.8</v>
      </c>
      <c r="Q65" s="5">
        <f t="shared" si="33"/>
        <v>597.20000000000005</v>
      </c>
      <c r="R65" s="5">
        <f t="shared" si="34"/>
        <v>588</v>
      </c>
      <c r="S65" s="1"/>
      <c r="T65" s="1">
        <f t="shared" si="30"/>
        <v>13.892773892773894</v>
      </c>
      <c r="U65" s="1">
        <f t="shared" si="31"/>
        <v>7.0396270396270397</v>
      </c>
      <c r="V65" s="1">
        <v>79</v>
      </c>
      <c r="W65" s="1">
        <v>60.2</v>
      </c>
      <c r="X65" s="1">
        <v>69</v>
      </c>
      <c r="Y65" s="1">
        <v>48</v>
      </c>
      <c r="Z65" s="1">
        <v>50.2</v>
      </c>
      <c r="AA65" s="1">
        <v>44.2</v>
      </c>
      <c r="AB65" s="1"/>
      <c r="AC65" s="1">
        <f t="shared" si="35"/>
        <v>119.44000000000001</v>
      </c>
      <c r="AD65" s="7">
        <v>6</v>
      </c>
      <c r="AE65" s="9">
        <f t="shared" si="36"/>
        <v>98</v>
      </c>
      <c r="AF65" s="1">
        <f t="shared" si="37"/>
        <v>117.60000000000001</v>
      </c>
      <c r="AG65" s="1">
        <v>14</v>
      </c>
      <c r="AH65" s="1">
        <v>140</v>
      </c>
      <c r="AI65" s="9">
        <f t="shared" si="38"/>
        <v>0.7</v>
      </c>
      <c r="AJ65" s="1">
        <f t="shared" si="6"/>
        <v>17.16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106</v>
      </c>
      <c r="B66" s="1" t="s">
        <v>38</v>
      </c>
      <c r="C66" s="1">
        <v>337</v>
      </c>
      <c r="D66" s="1">
        <v>3368</v>
      </c>
      <c r="E66" s="1">
        <v>739</v>
      </c>
      <c r="F66" s="1">
        <v>185</v>
      </c>
      <c r="G66" s="7">
        <f>VLOOKUP(A66,[1]Sheet!$A:$G,7,0)</f>
        <v>0.23</v>
      </c>
      <c r="H66" s="1">
        <f>VLOOKUP(A66,[1]Sheet!$A:$H,8,0)</f>
        <v>180</v>
      </c>
      <c r="I66" s="1" t="str">
        <f>VLOOKUP(A66,[1]Sheet!$A:$I,9,0)</f>
        <v>P005180</v>
      </c>
      <c r="J66" s="1"/>
      <c r="K66" s="1">
        <v>829</v>
      </c>
      <c r="L66" s="1">
        <f t="shared" si="28"/>
        <v>-90</v>
      </c>
      <c r="M66" s="1"/>
      <c r="N66" s="1"/>
      <c r="O66" s="1">
        <v>1680</v>
      </c>
      <c r="P66" s="1">
        <f t="shared" si="29"/>
        <v>147.80000000000001</v>
      </c>
      <c r="Q66" s="5">
        <f>$Q$1*P66-O66-F66</f>
        <v>248.54000000000042</v>
      </c>
      <c r="R66" s="5">
        <f t="shared" si="34"/>
        <v>252</v>
      </c>
      <c r="S66" s="1"/>
      <c r="T66" s="1">
        <f t="shared" si="30"/>
        <v>14.323410013531799</v>
      </c>
      <c r="U66" s="1">
        <f t="shared" si="31"/>
        <v>12.618403247631933</v>
      </c>
      <c r="V66" s="1">
        <v>153.19999999999999</v>
      </c>
      <c r="W66" s="1">
        <v>121.4</v>
      </c>
      <c r="X66" s="1">
        <v>114</v>
      </c>
      <c r="Y66" s="1">
        <v>105.8</v>
      </c>
      <c r="Z66" s="1">
        <v>94</v>
      </c>
      <c r="AA66" s="1">
        <v>142.19999999999999</v>
      </c>
      <c r="AB66" s="1"/>
      <c r="AC66" s="1">
        <f t="shared" si="35"/>
        <v>57.1642000000001</v>
      </c>
      <c r="AD66" s="7">
        <v>6</v>
      </c>
      <c r="AE66" s="9">
        <f t="shared" si="36"/>
        <v>42</v>
      </c>
      <c r="AF66" s="1">
        <f t="shared" si="37"/>
        <v>57.96</v>
      </c>
      <c r="AG66" s="1">
        <v>14</v>
      </c>
      <c r="AH66" s="1">
        <v>140</v>
      </c>
      <c r="AI66" s="9">
        <f t="shared" si="38"/>
        <v>0.3</v>
      </c>
      <c r="AJ66" s="1">
        <f t="shared" si="6"/>
        <v>33.994000000000007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107</v>
      </c>
      <c r="B67" s="1" t="s">
        <v>44</v>
      </c>
      <c r="C67" s="1">
        <v>65.599999999999994</v>
      </c>
      <c r="D67" s="1">
        <v>10</v>
      </c>
      <c r="E67" s="1">
        <v>37.9</v>
      </c>
      <c r="F67" s="1">
        <v>29.6</v>
      </c>
      <c r="G67" s="7">
        <f>VLOOKUP(A67,[1]Sheet!$A:$G,7,0)</f>
        <v>1</v>
      </c>
      <c r="H67" s="1">
        <f>VLOOKUP(A67,[1]Sheet!$A:$H,8,0)</f>
        <v>180</v>
      </c>
      <c r="I67" s="1" t="str">
        <f>VLOOKUP(A67,[1]Sheet!$A:$I,9,0)</f>
        <v>P003478</v>
      </c>
      <c r="J67" s="1"/>
      <c r="K67" s="1">
        <v>39.799999999999997</v>
      </c>
      <c r="L67" s="1">
        <f t="shared" si="28"/>
        <v>-1.8999999999999986</v>
      </c>
      <c r="M67" s="1"/>
      <c r="N67" s="1"/>
      <c r="O67" s="1">
        <v>37.799999999999997</v>
      </c>
      <c r="P67" s="1">
        <f t="shared" si="29"/>
        <v>7.58</v>
      </c>
      <c r="Q67" s="5">
        <f t="shared" si="33"/>
        <v>38.720000000000006</v>
      </c>
      <c r="R67" s="5">
        <f t="shared" si="34"/>
        <v>37.800000000000004</v>
      </c>
      <c r="S67" s="1"/>
      <c r="T67" s="1">
        <f t="shared" si="30"/>
        <v>13.878627968337733</v>
      </c>
      <c r="U67" s="1">
        <f t="shared" si="31"/>
        <v>8.8918205804749348</v>
      </c>
      <c r="V67" s="1">
        <v>6.94</v>
      </c>
      <c r="W67" s="1">
        <v>7.56</v>
      </c>
      <c r="X67" s="1">
        <v>2.62</v>
      </c>
      <c r="Y67" s="1">
        <v>8.64</v>
      </c>
      <c r="Z67" s="1">
        <v>6.48</v>
      </c>
      <c r="AA67" s="1">
        <v>5.94</v>
      </c>
      <c r="AB67" s="1"/>
      <c r="AC67" s="1">
        <f t="shared" si="35"/>
        <v>38.720000000000006</v>
      </c>
      <c r="AD67" s="7">
        <v>2.7</v>
      </c>
      <c r="AE67" s="9">
        <f t="shared" si="36"/>
        <v>14</v>
      </c>
      <c r="AF67" s="1">
        <f t="shared" si="37"/>
        <v>37.800000000000004</v>
      </c>
      <c r="AG67" s="1">
        <v>14</v>
      </c>
      <c r="AH67" s="1">
        <v>126</v>
      </c>
      <c r="AI67" s="9">
        <f t="shared" si="38"/>
        <v>0.1111111111111111</v>
      </c>
      <c r="AJ67" s="1">
        <f t="shared" si="6"/>
        <v>7.58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108</v>
      </c>
      <c r="B68" s="1" t="s">
        <v>44</v>
      </c>
      <c r="C68" s="1">
        <v>222.3</v>
      </c>
      <c r="D68" s="1">
        <v>417.7</v>
      </c>
      <c r="E68" s="17">
        <f>225+E69</f>
        <v>360</v>
      </c>
      <c r="F68" s="17">
        <f>297.3+F69</f>
        <v>375</v>
      </c>
      <c r="G68" s="7">
        <f>VLOOKUP(A68,[1]Sheet!$A:$G,7,0)</f>
        <v>1</v>
      </c>
      <c r="H68" s="1">
        <f>VLOOKUP(A68,[1]Sheet!$A:$H,8,0)</f>
        <v>180</v>
      </c>
      <c r="I68" s="1" t="str">
        <f>VLOOKUP(A68,[1]Sheet!$A:$I,9,0)</f>
        <v>P003476</v>
      </c>
      <c r="J68" s="1"/>
      <c r="K68" s="1">
        <v>235</v>
      </c>
      <c r="L68" s="1">
        <f t="shared" si="28"/>
        <v>125</v>
      </c>
      <c r="M68" s="1"/>
      <c r="N68" s="1"/>
      <c r="O68" s="1">
        <v>240</v>
      </c>
      <c r="P68" s="1">
        <f t="shared" si="29"/>
        <v>72</v>
      </c>
      <c r="Q68" s="5">
        <f t="shared" si="33"/>
        <v>393</v>
      </c>
      <c r="R68" s="5">
        <f t="shared" si="34"/>
        <v>420</v>
      </c>
      <c r="S68" s="1"/>
      <c r="T68" s="1">
        <f t="shared" si="30"/>
        <v>14.375</v>
      </c>
      <c r="U68" s="1">
        <f t="shared" si="31"/>
        <v>8.5416666666666661</v>
      </c>
      <c r="V68" s="1">
        <v>78.539999999999992</v>
      </c>
      <c r="W68" s="1">
        <v>52.54</v>
      </c>
      <c r="X68" s="1">
        <v>82</v>
      </c>
      <c r="Y68" s="1">
        <v>17</v>
      </c>
      <c r="Z68" s="1">
        <v>59</v>
      </c>
      <c r="AA68" s="1">
        <v>55</v>
      </c>
      <c r="AB68" s="1"/>
      <c r="AC68" s="1">
        <f t="shared" si="35"/>
        <v>393</v>
      </c>
      <c r="AD68" s="7">
        <v>5</v>
      </c>
      <c r="AE68" s="9">
        <f t="shared" si="36"/>
        <v>84</v>
      </c>
      <c r="AF68" s="1">
        <f t="shared" si="37"/>
        <v>420</v>
      </c>
      <c r="AG68" s="1">
        <v>12</v>
      </c>
      <c r="AH68" s="1">
        <v>84</v>
      </c>
      <c r="AI68" s="9">
        <f t="shared" si="38"/>
        <v>1</v>
      </c>
      <c r="AJ68" s="1">
        <f t="shared" si="6"/>
        <v>72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3" t="s">
        <v>109</v>
      </c>
      <c r="B69" s="13" t="s">
        <v>44</v>
      </c>
      <c r="C69" s="13">
        <v>227.3</v>
      </c>
      <c r="D69" s="13">
        <v>175</v>
      </c>
      <c r="E69" s="17">
        <v>135</v>
      </c>
      <c r="F69" s="17">
        <v>77.7</v>
      </c>
      <c r="G69" s="7">
        <f>VLOOKUP(A69,[1]Sheet!$A:$G,7,0)</f>
        <v>0</v>
      </c>
      <c r="H69" s="1"/>
      <c r="I69" s="13" t="s">
        <v>57</v>
      </c>
      <c r="J69" s="13" t="s">
        <v>108</v>
      </c>
      <c r="K69" s="13">
        <v>145</v>
      </c>
      <c r="L69" s="13">
        <f t="shared" si="28"/>
        <v>-10</v>
      </c>
      <c r="M69" s="13"/>
      <c r="N69" s="13"/>
      <c r="O69" s="13"/>
      <c r="P69" s="13">
        <f t="shared" si="29"/>
        <v>27</v>
      </c>
      <c r="Q69" s="15"/>
      <c r="R69" s="15"/>
      <c r="S69" s="13"/>
      <c r="T69" s="13">
        <f t="shared" si="30"/>
        <v>2.8777777777777778</v>
      </c>
      <c r="U69" s="13">
        <f t="shared" si="31"/>
        <v>2.8777777777777778</v>
      </c>
      <c r="V69" s="13">
        <v>32.54</v>
      </c>
      <c r="W69" s="13">
        <v>35</v>
      </c>
      <c r="X69" s="13">
        <v>34</v>
      </c>
      <c r="Y69" s="13">
        <v>45</v>
      </c>
      <c r="Z69" s="13">
        <v>6</v>
      </c>
      <c r="AA69" s="13">
        <v>0</v>
      </c>
      <c r="AB69" s="13"/>
      <c r="AC69" s="13"/>
      <c r="AD69" s="14"/>
      <c r="AE69" s="16"/>
      <c r="AF69" s="13"/>
      <c r="AG69" s="13"/>
      <c r="AH69" s="13"/>
      <c r="AI69" s="16"/>
      <c r="AJ69" s="1">
        <f t="shared" si="6"/>
        <v>0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114</v>
      </c>
      <c r="B70" s="1" t="s">
        <v>38</v>
      </c>
      <c r="C70" s="1"/>
      <c r="D70" s="1"/>
      <c r="E70" s="1"/>
      <c r="F70" s="1"/>
      <c r="G70" s="7">
        <v>0.8</v>
      </c>
      <c r="H70" s="1"/>
      <c r="I70" s="1" t="s">
        <v>115</v>
      </c>
      <c r="J70" s="1"/>
      <c r="K70" s="1"/>
      <c r="L70" s="1"/>
      <c r="M70" s="1"/>
      <c r="N70" s="1"/>
      <c r="O70" s="1"/>
      <c r="P70" s="1"/>
      <c r="Q70" s="5">
        <v>300</v>
      </c>
      <c r="R70" s="5">
        <f t="shared" si="34"/>
        <v>288</v>
      </c>
      <c r="S70" s="1"/>
      <c r="T70" s="1"/>
      <c r="U70" s="1"/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/>
      <c r="AC70" s="1">
        <f t="shared" si="35"/>
        <v>240</v>
      </c>
      <c r="AD70" s="7">
        <v>8</v>
      </c>
      <c r="AE70" s="9">
        <f t="shared" ref="AE70" si="41">MROUND(Q70, AD70*AG70)/AD70</f>
        <v>36</v>
      </c>
      <c r="AF70" s="1">
        <f t="shared" ref="AF70" si="42">AE70*AD70*G70</f>
        <v>230.4</v>
      </c>
      <c r="AG70" s="1">
        <v>12</v>
      </c>
      <c r="AH70" s="1">
        <v>84</v>
      </c>
      <c r="AI70" s="9">
        <f t="shared" si="38"/>
        <v>0.42857142857142855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7"/>
      <c r="AE71" s="9"/>
      <c r="AF71" s="1"/>
      <c r="AG71" s="1"/>
      <c r="AH71" s="1"/>
      <c r="AI71" s="9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7"/>
      <c r="AE72" s="9"/>
      <c r="AF72" s="1"/>
      <c r="AG72" s="1"/>
      <c r="AH72" s="1"/>
      <c r="AI72" s="9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7"/>
      <c r="AE73" s="9"/>
      <c r="AF73" s="1"/>
      <c r="AG73" s="1"/>
      <c r="AH73" s="1"/>
      <c r="AI73" s="9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7"/>
      <c r="AE74" s="9"/>
      <c r="AF74" s="1"/>
      <c r="AG74" s="1"/>
      <c r="AH74" s="1"/>
      <c r="AI74" s="9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7"/>
      <c r="AE75" s="9"/>
      <c r="AF75" s="1"/>
      <c r="AG75" s="1"/>
      <c r="AH75" s="1"/>
      <c r="AI75" s="9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7"/>
      <c r="AE76" s="9"/>
      <c r="AF76" s="1"/>
      <c r="AG76" s="1"/>
      <c r="AH76" s="1"/>
      <c r="AI76" s="9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7"/>
      <c r="AE77" s="9"/>
      <c r="AF77" s="1"/>
      <c r="AG77" s="1"/>
      <c r="AH77" s="1"/>
      <c r="AI77" s="9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7"/>
      <c r="AE78" s="9"/>
      <c r="AF78" s="1"/>
      <c r="AG78" s="1"/>
      <c r="AH78" s="1"/>
      <c r="AI78" s="9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7"/>
      <c r="AE79" s="9"/>
      <c r="AF79" s="1"/>
      <c r="AG79" s="1"/>
      <c r="AH79" s="1"/>
      <c r="AI79" s="9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7"/>
      <c r="AE80" s="9"/>
      <c r="AF80" s="1"/>
      <c r="AG80" s="1"/>
      <c r="AH80" s="1"/>
      <c r="AI80" s="9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7"/>
      <c r="AE81" s="9"/>
      <c r="AF81" s="1"/>
      <c r="AG81" s="1"/>
      <c r="AH81" s="1"/>
      <c r="AI81" s="9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7"/>
      <c r="AE82" s="9"/>
      <c r="AF82" s="1"/>
      <c r="AG82" s="1"/>
      <c r="AH82" s="1"/>
      <c r="AI82" s="9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7"/>
      <c r="AE83" s="9"/>
      <c r="AF83" s="1"/>
      <c r="AG83" s="1"/>
      <c r="AH83" s="1"/>
      <c r="AI83" s="9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7"/>
      <c r="AE84" s="9"/>
      <c r="AF84" s="1"/>
      <c r="AG84" s="1"/>
      <c r="AH84" s="1"/>
      <c r="AI84" s="9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7"/>
      <c r="AE85" s="9"/>
      <c r="AF85" s="1"/>
      <c r="AG85" s="1"/>
      <c r="AH85" s="1"/>
      <c r="AI85" s="9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7"/>
      <c r="AE86" s="9"/>
      <c r="AF86" s="1"/>
      <c r="AG86" s="1"/>
      <c r="AH86" s="1"/>
      <c r="AI86" s="9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7"/>
      <c r="AE87" s="9"/>
      <c r="AF87" s="1"/>
      <c r="AG87" s="1"/>
      <c r="AH87" s="1"/>
      <c r="AI87" s="9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7"/>
      <c r="AE88" s="9"/>
      <c r="AF88" s="1"/>
      <c r="AG88" s="1"/>
      <c r="AH88" s="1"/>
      <c r="AI88" s="9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7"/>
      <c r="AE89" s="9"/>
      <c r="AF89" s="1"/>
      <c r="AG89" s="1"/>
      <c r="AH89" s="1"/>
      <c r="AI89" s="9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7"/>
      <c r="AE90" s="9"/>
      <c r="AF90" s="1"/>
      <c r="AG90" s="1"/>
      <c r="AH90" s="1"/>
      <c r="AI90" s="9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7"/>
      <c r="AE91" s="9"/>
      <c r="AF91" s="1"/>
      <c r="AG91" s="1"/>
      <c r="AH91" s="1"/>
      <c r="AI91" s="9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7"/>
      <c r="AE92" s="9"/>
      <c r="AF92" s="1"/>
      <c r="AG92" s="1"/>
      <c r="AH92" s="1"/>
      <c r="AI92" s="9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7"/>
      <c r="AE93" s="9"/>
      <c r="AF93" s="1"/>
      <c r="AG93" s="1"/>
      <c r="AH93" s="1"/>
      <c r="AI93" s="9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7"/>
      <c r="AE94" s="9"/>
      <c r="AF94" s="1"/>
      <c r="AG94" s="1"/>
      <c r="AH94" s="1"/>
      <c r="AI94" s="9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7"/>
      <c r="AE95" s="9"/>
      <c r="AF95" s="1"/>
      <c r="AG95" s="1"/>
      <c r="AH95" s="1"/>
      <c r="AI95" s="9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7"/>
      <c r="AE96" s="9"/>
      <c r="AF96" s="1"/>
      <c r="AG96" s="1"/>
      <c r="AH96" s="1"/>
      <c r="AI96" s="9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7"/>
      <c r="AE97" s="9"/>
      <c r="AF97" s="1"/>
      <c r="AG97" s="1"/>
      <c r="AH97" s="1"/>
      <c r="AI97" s="9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7"/>
      <c r="AE98" s="9"/>
      <c r="AF98" s="1"/>
      <c r="AG98" s="1"/>
      <c r="AH98" s="1"/>
      <c r="AI98" s="9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7"/>
      <c r="AE99" s="9"/>
      <c r="AF99" s="1"/>
      <c r="AG99" s="1"/>
      <c r="AH99" s="1"/>
      <c r="AI99" s="9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7"/>
      <c r="AE100" s="9"/>
      <c r="AF100" s="1"/>
      <c r="AG100" s="1"/>
      <c r="AH100" s="1"/>
      <c r="AI100" s="9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7"/>
      <c r="AE101" s="9"/>
      <c r="AF101" s="1"/>
      <c r="AG101" s="1"/>
      <c r="AH101" s="1"/>
      <c r="AI101" s="9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7"/>
      <c r="AE102" s="9"/>
      <c r="AF102" s="1"/>
      <c r="AG102" s="1"/>
      <c r="AH102" s="1"/>
      <c r="AI102" s="9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7"/>
      <c r="AE103" s="9"/>
      <c r="AF103" s="1"/>
      <c r="AG103" s="1"/>
      <c r="AH103" s="1"/>
      <c r="AI103" s="9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7"/>
      <c r="AE104" s="9"/>
      <c r="AF104" s="1"/>
      <c r="AG104" s="1"/>
      <c r="AH104" s="1"/>
      <c r="AI104" s="9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7"/>
      <c r="AE105" s="9"/>
      <c r="AF105" s="1"/>
      <c r="AG105" s="1"/>
      <c r="AH105" s="1"/>
      <c r="AI105" s="9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7"/>
      <c r="AE106" s="9"/>
      <c r="AF106" s="1"/>
      <c r="AG106" s="1"/>
      <c r="AH106" s="1"/>
      <c r="AI106" s="9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7"/>
      <c r="AE107" s="9"/>
      <c r="AF107" s="1"/>
      <c r="AG107" s="1"/>
      <c r="AH107" s="1"/>
      <c r="AI107" s="9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7"/>
      <c r="AE108" s="9"/>
      <c r="AF108" s="1"/>
      <c r="AG108" s="1"/>
      <c r="AH108" s="1"/>
      <c r="AI108" s="9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7"/>
      <c r="AE109" s="9"/>
      <c r="AF109" s="1"/>
      <c r="AG109" s="1"/>
      <c r="AH109" s="1"/>
      <c r="AI109" s="9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7"/>
      <c r="AE110" s="9"/>
      <c r="AF110" s="1"/>
      <c r="AG110" s="1"/>
      <c r="AH110" s="1"/>
      <c r="AI110" s="9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7"/>
      <c r="AE111" s="9"/>
      <c r="AF111" s="1"/>
      <c r="AG111" s="1"/>
      <c r="AH111" s="1"/>
      <c r="AI111" s="9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7"/>
      <c r="AE112" s="9"/>
      <c r="AF112" s="1"/>
      <c r="AG112" s="1"/>
      <c r="AH112" s="1"/>
      <c r="AI112" s="9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7"/>
      <c r="AE113" s="9"/>
      <c r="AF113" s="1"/>
      <c r="AG113" s="1"/>
      <c r="AH113" s="1"/>
      <c r="AI113" s="9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7"/>
      <c r="AE114" s="9"/>
      <c r="AF114" s="1"/>
      <c r="AG114" s="1"/>
      <c r="AH114" s="1"/>
      <c r="AI114" s="9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7"/>
      <c r="AE115" s="9"/>
      <c r="AF115" s="1"/>
      <c r="AG115" s="1"/>
      <c r="AH115" s="1"/>
      <c r="AI115" s="9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7"/>
      <c r="AE116" s="9"/>
      <c r="AF116" s="1"/>
      <c r="AG116" s="1"/>
      <c r="AH116" s="1"/>
      <c r="AI116" s="9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7"/>
      <c r="AE117" s="9"/>
      <c r="AF117" s="1"/>
      <c r="AG117" s="1"/>
      <c r="AH117" s="1"/>
      <c r="AI117" s="9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7"/>
      <c r="AE118" s="9"/>
      <c r="AF118" s="1"/>
      <c r="AG118" s="1"/>
      <c r="AH118" s="1"/>
      <c r="AI118" s="9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7"/>
      <c r="AE119" s="9"/>
      <c r="AF119" s="1"/>
      <c r="AG119" s="1"/>
      <c r="AH119" s="1"/>
      <c r="AI119" s="9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7"/>
      <c r="AE120" s="9"/>
      <c r="AF120" s="1"/>
      <c r="AG120" s="1"/>
      <c r="AH120" s="1"/>
      <c r="AI120" s="9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7"/>
      <c r="AE121" s="9"/>
      <c r="AF121" s="1"/>
      <c r="AG121" s="1"/>
      <c r="AH121" s="1"/>
      <c r="AI121" s="9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7"/>
      <c r="AE122" s="9"/>
      <c r="AF122" s="1"/>
      <c r="AG122" s="1"/>
      <c r="AH122" s="1"/>
      <c r="AI122" s="9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7"/>
      <c r="AE123" s="9"/>
      <c r="AF123" s="1"/>
      <c r="AG123" s="1"/>
      <c r="AH123" s="1"/>
      <c r="AI123" s="9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7"/>
      <c r="AE124" s="9"/>
      <c r="AF124" s="1"/>
      <c r="AG124" s="1"/>
      <c r="AH124" s="1"/>
      <c r="AI124" s="9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7"/>
      <c r="AE125" s="9"/>
      <c r="AF125" s="1"/>
      <c r="AG125" s="1"/>
      <c r="AH125" s="1"/>
      <c r="AI125" s="9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7"/>
      <c r="AE126" s="9"/>
      <c r="AF126" s="1"/>
      <c r="AG126" s="1"/>
      <c r="AH126" s="1"/>
      <c r="AI126" s="9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7"/>
      <c r="AE127" s="9"/>
      <c r="AF127" s="1"/>
      <c r="AG127" s="1"/>
      <c r="AH127" s="1"/>
      <c r="AI127" s="9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7"/>
      <c r="AE128" s="9"/>
      <c r="AF128" s="1"/>
      <c r="AG128" s="1"/>
      <c r="AH128" s="1"/>
      <c r="AI128" s="9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7"/>
      <c r="AE129" s="9"/>
      <c r="AF129" s="1"/>
      <c r="AG129" s="1"/>
      <c r="AH129" s="1"/>
      <c r="AI129" s="9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7"/>
      <c r="AE130" s="9"/>
      <c r="AF130" s="1"/>
      <c r="AG130" s="1"/>
      <c r="AH130" s="1"/>
      <c r="AI130" s="9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7"/>
      <c r="AE131" s="9"/>
      <c r="AF131" s="1"/>
      <c r="AG131" s="1"/>
      <c r="AH131" s="1"/>
      <c r="AI131" s="9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7"/>
      <c r="AE132" s="9"/>
      <c r="AF132" s="1"/>
      <c r="AG132" s="1"/>
      <c r="AH132" s="1"/>
      <c r="AI132" s="9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7"/>
      <c r="AE133" s="9"/>
      <c r="AF133" s="1"/>
      <c r="AG133" s="1"/>
      <c r="AH133" s="1"/>
      <c r="AI133" s="9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7"/>
      <c r="AE134" s="9"/>
      <c r="AF134" s="1"/>
      <c r="AG134" s="1"/>
      <c r="AH134" s="1"/>
      <c r="AI134" s="9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7"/>
      <c r="AE135" s="9"/>
      <c r="AF135" s="1"/>
      <c r="AG135" s="1"/>
      <c r="AH135" s="1"/>
      <c r="AI135" s="9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7"/>
      <c r="AE136" s="9"/>
      <c r="AF136" s="1"/>
      <c r="AG136" s="1"/>
      <c r="AH136" s="1"/>
      <c r="AI136" s="9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7"/>
      <c r="AE137" s="9"/>
      <c r="AF137" s="1"/>
      <c r="AG137" s="1"/>
      <c r="AH137" s="1"/>
      <c r="AI137" s="9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7"/>
      <c r="AE138" s="9"/>
      <c r="AF138" s="1"/>
      <c r="AG138" s="1"/>
      <c r="AH138" s="1"/>
      <c r="AI138" s="9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7"/>
      <c r="AE139" s="9"/>
      <c r="AF139" s="1"/>
      <c r="AG139" s="1"/>
      <c r="AH139" s="1"/>
      <c r="AI139" s="9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7"/>
      <c r="AE140" s="9"/>
      <c r="AF140" s="1"/>
      <c r="AG140" s="1"/>
      <c r="AH140" s="1"/>
      <c r="AI140" s="9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7"/>
      <c r="AE141" s="9"/>
      <c r="AF141" s="1"/>
      <c r="AG141" s="1"/>
      <c r="AH141" s="1"/>
      <c r="AI141" s="9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7"/>
      <c r="AE142" s="9"/>
      <c r="AF142" s="1"/>
      <c r="AG142" s="1"/>
      <c r="AH142" s="1"/>
      <c r="AI142" s="9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7"/>
      <c r="AE143" s="9"/>
      <c r="AF143" s="1"/>
      <c r="AG143" s="1"/>
      <c r="AH143" s="1"/>
      <c r="AI143" s="9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7"/>
      <c r="AE144" s="9"/>
      <c r="AF144" s="1"/>
      <c r="AG144" s="1"/>
      <c r="AH144" s="1"/>
      <c r="AI144" s="9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7"/>
      <c r="AE145" s="9"/>
      <c r="AF145" s="1"/>
      <c r="AG145" s="1"/>
      <c r="AH145" s="1"/>
      <c r="AI145" s="9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7"/>
      <c r="AE146" s="9"/>
      <c r="AF146" s="1"/>
      <c r="AG146" s="1"/>
      <c r="AH146" s="1"/>
      <c r="AI146" s="9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7"/>
      <c r="AE147" s="9"/>
      <c r="AF147" s="1"/>
      <c r="AG147" s="1"/>
      <c r="AH147" s="1"/>
      <c r="AI147" s="9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7"/>
      <c r="AE148" s="9"/>
      <c r="AF148" s="1"/>
      <c r="AG148" s="1"/>
      <c r="AH148" s="1"/>
      <c r="AI148" s="9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7"/>
      <c r="AE149" s="9"/>
      <c r="AF149" s="1"/>
      <c r="AG149" s="1"/>
      <c r="AH149" s="1"/>
      <c r="AI149" s="9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7"/>
      <c r="AE150" s="9"/>
      <c r="AF150" s="1"/>
      <c r="AG150" s="1"/>
      <c r="AH150" s="1"/>
      <c r="AI150" s="9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7"/>
      <c r="AE151" s="9"/>
      <c r="AF151" s="1"/>
      <c r="AG151" s="1"/>
      <c r="AH151" s="1"/>
      <c r="AI151" s="9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7"/>
      <c r="AE152" s="9"/>
      <c r="AF152" s="1"/>
      <c r="AG152" s="1"/>
      <c r="AH152" s="1"/>
      <c r="AI152" s="9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7"/>
      <c r="AE153" s="9"/>
      <c r="AF153" s="1"/>
      <c r="AG153" s="1"/>
      <c r="AH153" s="1"/>
      <c r="AI153" s="9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7"/>
      <c r="AE154" s="9"/>
      <c r="AF154" s="1"/>
      <c r="AG154" s="1"/>
      <c r="AH154" s="1"/>
      <c r="AI154" s="9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7"/>
      <c r="AE155" s="9"/>
      <c r="AF155" s="1"/>
      <c r="AG155" s="1"/>
      <c r="AH155" s="1"/>
      <c r="AI155" s="9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7"/>
      <c r="AE156" s="9"/>
      <c r="AF156" s="1"/>
      <c r="AG156" s="1"/>
      <c r="AH156" s="1"/>
      <c r="AI156" s="9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7"/>
      <c r="AE157" s="9"/>
      <c r="AF157" s="1"/>
      <c r="AG157" s="1"/>
      <c r="AH157" s="1"/>
      <c r="AI157" s="9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7"/>
      <c r="AE158" s="9"/>
      <c r="AF158" s="1"/>
      <c r="AG158" s="1"/>
      <c r="AH158" s="1"/>
      <c r="AI158" s="9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7"/>
      <c r="AE159" s="9"/>
      <c r="AF159" s="1"/>
      <c r="AG159" s="1"/>
      <c r="AH159" s="1"/>
      <c r="AI159" s="9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7"/>
      <c r="AE160" s="9"/>
      <c r="AF160" s="1"/>
      <c r="AG160" s="1"/>
      <c r="AH160" s="1"/>
      <c r="AI160" s="9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7"/>
      <c r="AE161" s="9"/>
      <c r="AF161" s="1"/>
      <c r="AG161" s="1"/>
      <c r="AH161" s="1"/>
      <c r="AI161" s="9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7"/>
      <c r="AE162" s="9"/>
      <c r="AF162" s="1"/>
      <c r="AG162" s="1"/>
      <c r="AH162" s="1"/>
      <c r="AI162" s="9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7"/>
      <c r="AE163" s="9"/>
      <c r="AF163" s="1"/>
      <c r="AG163" s="1"/>
      <c r="AH163" s="1"/>
      <c r="AI163" s="9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7"/>
      <c r="AE164" s="9"/>
      <c r="AF164" s="1"/>
      <c r="AG164" s="1"/>
      <c r="AH164" s="1"/>
      <c r="AI164" s="9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7"/>
      <c r="AE165" s="9"/>
      <c r="AF165" s="1"/>
      <c r="AG165" s="1"/>
      <c r="AH165" s="1"/>
      <c r="AI165" s="9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7"/>
      <c r="AE166" s="9"/>
      <c r="AF166" s="1"/>
      <c r="AG166" s="1"/>
      <c r="AH166" s="1"/>
      <c r="AI166" s="9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7"/>
      <c r="AE167" s="9"/>
      <c r="AF167" s="1"/>
      <c r="AG167" s="1"/>
      <c r="AH167" s="1"/>
      <c r="AI167" s="9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7"/>
      <c r="AE168" s="9"/>
      <c r="AF168" s="1"/>
      <c r="AG168" s="1"/>
      <c r="AH168" s="1"/>
      <c r="AI168" s="9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7"/>
      <c r="AE169" s="9"/>
      <c r="AF169" s="1"/>
      <c r="AG169" s="1"/>
      <c r="AH169" s="1"/>
      <c r="AI169" s="9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7"/>
      <c r="AE170" s="9"/>
      <c r="AF170" s="1"/>
      <c r="AG170" s="1"/>
      <c r="AH170" s="1"/>
      <c r="AI170" s="9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7"/>
      <c r="AE171" s="9"/>
      <c r="AF171" s="1"/>
      <c r="AG171" s="1"/>
      <c r="AH171" s="1"/>
      <c r="AI171" s="9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7"/>
      <c r="AE172" s="9"/>
      <c r="AF172" s="1"/>
      <c r="AG172" s="1"/>
      <c r="AH172" s="1"/>
      <c r="AI172" s="9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7"/>
      <c r="AE173" s="9"/>
      <c r="AF173" s="1"/>
      <c r="AG173" s="1"/>
      <c r="AH173" s="1"/>
      <c r="AI173" s="9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7"/>
      <c r="AE174" s="9"/>
      <c r="AF174" s="1"/>
      <c r="AG174" s="1"/>
      <c r="AH174" s="1"/>
      <c r="AI174" s="9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7"/>
      <c r="AE175" s="9"/>
      <c r="AF175" s="1"/>
      <c r="AG175" s="1"/>
      <c r="AH175" s="1"/>
      <c r="AI175" s="9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7"/>
      <c r="AE176" s="9"/>
      <c r="AF176" s="1"/>
      <c r="AG176" s="1"/>
      <c r="AH176" s="1"/>
      <c r="AI176" s="9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7"/>
      <c r="AE177" s="9"/>
      <c r="AF177" s="1"/>
      <c r="AG177" s="1"/>
      <c r="AH177" s="1"/>
      <c r="AI177" s="9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7"/>
      <c r="AE178" s="9"/>
      <c r="AF178" s="1"/>
      <c r="AG178" s="1"/>
      <c r="AH178" s="1"/>
      <c r="AI178" s="9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7"/>
      <c r="AE179" s="9"/>
      <c r="AF179" s="1"/>
      <c r="AG179" s="1"/>
      <c r="AH179" s="1"/>
      <c r="AI179" s="9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7"/>
      <c r="AE180" s="9"/>
      <c r="AF180" s="1"/>
      <c r="AG180" s="1"/>
      <c r="AH180" s="1"/>
      <c r="AI180" s="9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7"/>
      <c r="AE181" s="9"/>
      <c r="AF181" s="1"/>
      <c r="AG181" s="1"/>
      <c r="AH181" s="1"/>
      <c r="AI181" s="9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7"/>
      <c r="AE182" s="9"/>
      <c r="AF182" s="1"/>
      <c r="AG182" s="1"/>
      <c r="AH182" s="1"/>
      <c r="AI182" s="9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7"/>
      <c r="AE183" s="9"/>
      <c r="AF183" s="1"/>
      <c r="AG183" s="1"/>
      <c r="AH183" s="1"/>
      <c r="AI183" s="9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7"/>
      <c r="AE184" s="9"/>
      <c r="AF184" s="1"/>
      <c r="AG184" s="1"/>
      <c r="AH184" s="1"/>
      <c r="AI184" s="9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7"/>
      <c r="AE185" s="9"/>
      <c r="AF185" s="1"/>
      <c r="AG185" s="1"/>
      <c r="AH185" s="1"/>
      <c r="AI185" s="9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7"/>
      <c r="AE186" s="9"/>
      <c r="AF186" s="1"/>
      <c r="AG186" s="1"/>
      <c r="AH186" s="1"/>
      <c r="AI186" s="9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7"/>
      <c r="AE187" s="9"/>
      <c r="AF187" s="1"/>
      <c r="AG187" s="1"/>
      <c r="AH187" s="1"/>
      <c r="AI187" s="9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7"/>
      <c r="AE188" s="9"/>
      <c r="AF188" s="1"/>
      <c r="AG188" s="1"/>
      <c r="AH188" s="1"/>
      <c r="AI188" s="9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7"/>
      <c r="AE189" s="9"/>
      <c r="AF189" s="1"/>
      <c r="AG189" s="1"/>
      <c r="AH189" s="1"/>
      <c r="AI189" s="9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7"/>
      <c r="AE190" s="9"/>
      <c r="AF190" s="1"/>
      <c r="AG190" s="1"/>
      <c r="AH190" s="1"/>
      <c r="AI190" s="9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7"/>
      <c r="AE191" s="9"/>
      <c r="AF191" s="1"/>
      <c r="AG191" s="1"/>
      <c r="AH191" s="1"/>
      <c r="AI191" s="9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7"/>
      <c r="AE192" s="9"/>
      <c r="AF192" s="1"/>
      <c r="AG192" s="1"/>
      <c r="AH192" s="1"/>
      <c r="AI192" s="9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7"/>
      <c r="AE193" s="9"/>
      <c r="AF193" s="1"/>
      <c r="AG193" s="1"/>
      <c r="AH193" s="1"/>
      <c r="AI193" s="9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7"/>
      <c r="AE194" s="9"/>
      <c r="AF194" s="1"/>
      <c r="AG194" s="1"/>
      <c r="AH194" s="1"/>
      <c r="AI194" s="9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7"/>
      <c r="AE195" s="9"/>
      <c r="AF195" s="1"/>
      <c r="AG195" s="1"/>
      <c r="AH195" s="1"/>
      <c r="AI195" s="9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7"/>
      <c r="AE196" s="9"/>
      <c r="AF196" s="1"/>
      <c r="AG196" s="1"/>
      <c r="AH196" s="1"/>
      <c r="AI196" s="9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7"/>
      <c r="AE197" s="9"/>
      <c r="AF197" s="1"/>
      <c r="AG197" s="1"/>
      <c r="AH197" s="1"/>
      <c r="AI197" s="9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7"/>
      <c r="AE198" s="9"/>
      <c r="AF198" s="1"/>
      <c r="AG198" s="1"/>
      <c r="AH198" s="1"/>
      <c r="AI198" s="9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7"/>
      <c r="AE199" s="9"/>
      <c r="AF199" s="1"/>
      <c r="AG199" s="1"/>
      <c r="AH199" s="1"/>
      <c r="AI199" s="9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7"/>
      <c r="AE200" s="9"/>
      <c r="AF200" s="1"/>
      <c r="AG200" s="1"/>
      <c r="AH200" s="1"/>
      <c r="AI200" s="9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7"/>
      <c r="AE201" s="9"/>
      <c r="AF201" s="1"/>
      <c r="AG201" s="1"/>
      <c r="AH201" s="1"/>
      <c r="AI201" s="9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7"/>
      <c r="AE202" s="9"/>
      <c r="AF202" s="1"/>
      <c r="AG202" s="1"/>
      <c r="AH202" s="1"/>
      <c r="AI202" s="9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7"/>
      <c r="AE203" s="9"/>
      <c r="AF203" s="1"/>
      <c r="AG203" s="1"/>
      <c r="AH203" s="1"/>
      <c r="AI203" s="9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7"/>
      <c r="AE204" s="9"/>
      <c r="AF204" s="1"/>
      <c r="AG204" s="1"/>
      <c r="AH204" s="1"/>
      <c r="AI204" s="9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7"/>
      <c r="AE205" s="9"/>
      <c r="AF205" s="1"/>
      <c r="AG205" s="1"/>
      <c r="AH205" s="1"/>
      <c r="AI205" s="9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7"/>
      <c r="AE206" s="9"/>
      <c r="AF206" s="1"/>
      <c r="AG206" s="1"/>
      <c r="AH206" s="1"/>
      <c r="AI206" s="9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7"/>
      <c r="AE207" s="9"/>
      <c r="AF207" s="1"/>
      <c r="AG207" s="1"/>
      <c r="AH207" s="1"/>
      <c r="AI207" s="9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7"/>
      <c r="AE208" s="9"/>
      <c r="AF208" s="1"/>
      <c r="AG208" s="1"/>
      <c r="AH208" s="1"/>
      <c r="AI208" s="9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7"/>
      <c r="AE209" s="9"/>
      <c r="AF209" s="1"/>
      <c r="AG209" s="1"/>
      <c r="AH209" s="1"/>
      <c r="AI209" s="9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7"/>
      <c r="AE210" s="9"/>
      <c r="AF210" s="1"/>
      <c r="AG210" s="1"/>
      <c r="AH210" s="1"/>
      <c r="AI210" s="9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7"/>
      <c r="AE211" s="9"/>
      <c r="AF211" s="1"/>
      <c r="AG211" s="1"/>
      <c r="AH211" s="1"/>
      <c r="AI211" s="9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7"/>
      <c r="AE212" s="9"/>
      <c r="AF212" s="1"/>
      <c r="AG212" s="1"/>
      <c r="AH212" s="1"/>
      <c r="AI212" s="9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7"/>
      <c r="AE213" s="9"/>
      <c r="AF213" s="1"/>
      <c r="AG213" s="1"/>
      <c r="AH213" s="1"/>
      <c r="AI213" s="9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7"/>
      <c r="AE214" s="9"/>
      <c r="AF214" s="1"/>
      <c r="AG214" s="1"/>
      <c r="AH214" s="1"/>
      <c r="AI214" s="9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7"/>
      <c r="AE215" s="9"/>
      <c r="AF215" s="1"/>
      <c r="AG215" s="1"/>
      <c r="AH215" s="1"/>
      <c r="AI215" s="9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7"/>
      <c r="AE216" s="9"/>
      <c r="AF216" s="1"/>
      <c r="AG216" s="1"/>
      <c r="AH216" s="1"/>
      <c r="AI216" s="9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7"/>
      <c r="AE217" s="9"/>
      <c r="AF217" s="1"/>
      <c r="AG217" s="1"/>
      <c r="AH217" s="1"/>
      <c r="AI217" s="9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7"/>
      <c r="AE218" s="9"/>
      <c r="AF218" s="1"/>
      <c r="AG218" s="1"/>
      <c r="AH218" s="1"/>
      <c r="AI218" s="9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7"/>
      <c r="AE219" s="9"/>
      <c r="AF219" s="1"/>
      <c r="AG219" s="1"/>
      <c r="AH219" s="1"/>
      <c r="AI219" s="9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7"/>
      <c r="AE220" s="9"/>
      <c r="AF220" s="1"/>
      <c r="AG220" s="1"/>
      <c r="AH220" s="1"/>
      <c r="AI220" s="9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7"/>
      <c r="AE221" s="9"/>
      <c r="AF221" s="1"/>
      <c r="AG221" s="1"/>
      <c r="AH221" s="1"/>
      <c r="AI221" s="9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7"/>
      <c r="AE222" s="9"/>
      <c r="AF222" s="1"/>
      <c r="AG222" s="1"/>
      <c r="AH222" s="1"/>
      <c r="AI222" s="9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7"/>
      <c r="AE223" s="9"/>
      <c r="AF223" s="1"/>
      <c r="AG223" s="1"/>
      <c r="AH223" s="1"/>
      <c r="AI223" s="9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7"/>
      <c r="AE224" s="9"/>
      <c r="AF224" s="1"/>
      <c r="AG224" s="1"/>
      <c r="AH224" s="1"/>
      <c r="AI224" s="9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7"/>
      <c r="AE225" s="9"/>
      <c r="AF225" s="1"/>
      <c r="AG225" s="1"/>
      <c r="AH225" s="1"/>
      <c r="AI225" s="9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7"/>
      <c r="AE226" s="9"/>
      <c r="AF226" s="1"/>
      <c r="AG226" s="1"/>
      <c r="AH226" s="1"/>
      <c r="AI226" s="9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7"/>
      <c r="AE227" s="9"/>
      <c r="AF227" s="1"/>
      <c r="AG227" s="1"/>
      <c r="AH227" s="1"/>
      <c r="AI227" s="9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7"/>
      <c r="AE228" s="9"/>
      <c r="AF228" s="1"/>
      <c r="AG228" s="1"/>
      <c r="AH228" s="1"/>
      <c r="AI228" s="9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7"/>
      <c r="AE229" s="9"/>
      <c r="AF229" s="1"/>
      <c r="AG229" s="1"/>
      <c r="AH229" s="1"/>
      <c r="AI229" s="9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7"/>
      <c r="AE230" s="9"/>
      <c r="AF230" s="1"/>
      <c r="AG230" s="1"/>
      <c r="AH230" s="1"/>
      <c r="AI230" s="9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7"/>
      <c r="AE231" s="9"/>
      <c r="AF231" s="1"/>
      <c r="AG231" s="1"/>
      <c r="AH231" s="1"/>
      <c r="AI231" s="9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7"/>
      <c r="AE232" s="9"/>
      <c r="AF232" s="1"/>
      <c r="AG232" s="1"/>
      <c r="AH232" s="1"/>
      <c r="AI232" s="9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7"/>
      <c r="AE233" s="9"/>
      <c r="AF233" s="1"/>
      <c r="AG233" s="1"/>
      <c r="AH233" s="1"/>
      <c r="AI233" s="9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7"/>
      <c r="AE234" s="9"/>
      <c r="AF234" s="1"/>
      <c r="AG234" s="1"/>
      <c r="AH234" s="1"/>
      <c r="AI234" s="9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7"/>
      <c r="AE235" s="9"/>
      <c r="AF235" s="1"/>
      <c r="AG235" s="1"/>
      <c r="AH235" s="1"/>
      <c r="AI235" s="9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7"/>
      <c r="AE236" s="9"/>
      <c r="AF236" s="1"/>
      <c r="AG236" s="1"/>
      <c r="AH236" s="1"/>
      <c r="AI236" s="9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7"/>
      <c r="AE237" s="9"/>
      <c r="AF237" s="1"/>
      <c r="AG237" s="1"/>
      <c r="AH237" s="1"/>
      <c r="AI237" s="9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7"/>
      <c r="AE238" s="9"/>
      <c r="AF238" s="1"/>
      <c r="AG238" s="1"/>
      <c r="AH238" s="1"/>
      <c r="AI238" s="9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7"/>
      <c r="AE239" s="9"/>
      <c r="AF239" s="1"/>
      <c r="AG239" s="1"/>
      <c r="AH239" s="1"/>
      <c r="AI239" s="9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7"/>
      <c r="AE240" s="9"/>
      <c r="AF240" s="1"/>
      <c r="AG240" s="1"/>
      <c r="AH240" s="1"/>
      <c r="AI240" s="9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7"/>
      <c r="AE241" s="9"/>
      <c r="AF241" s="1"/>
      <c r="AG241" s="1"/>
      <c r="AH241" s="1"/>
      <c r="AI241" s="9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7"/>
      <c r="AE242" s="9"/>
      <c r="AF242" s="1"/>
      <c r="AG242" s="1"/>
      <c r="AH242" s="1"/>
      <c r="AI242" s="9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7"/>
      <c r="AE243" s="9"/>
      <c r="AF243" s="1"/>
      <c r="AG243" s="1"/>
      <c r="AH243" s="1"/>
      <c r="AI243" s="9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7"/>
      <c r="AE244" s="9"/>
      <c r="AF244" s="1"/>
      <c r="AG244" s="1"/>
      <c r="AH244" s="1"/>
      <c r="AI244" s="9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7"/>
      <c r="AE245" s="9"/>
      <c r="AF245" s="1"/>
      <c r="AG245" s="1"/>
      <c r="AH245" s="1"/>
      <c r="AI245" s="9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7"/>
      <c r="AE246" s="9"/>
      <c r="AF246" s="1"/>
      <c r="AG246" s="1"/>
      <c r="AH246" s="1"/>
      <c r="AI246" s="9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7"/>
      <c r="AE247" s="9"/>
      <c r="AF247" s="1"/>
      <c r="AG247" s="1"/>
      <c r="AH247" s="1"/>
      <c r="AI247" s="9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7"/>
      <c r="AE248" s="9"/>
      <c r="AF248" s="1"/>
      <c r="AG248" s="1"/>
      <c r="AH248" s="1"/>
      <c r="AI248" s="9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7"/>
      <c r="AE249" s="9"/>
      <c r="AF249" s="1"/>
      <c r="AG249" s="1"/>
      <c r="AH249" s="1"/>
      <c r="AI249" s="9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7"/>
      <c r="AE250" s="9"/>
      <c r="AF250" s="1"/>
      <c r="AG250" s="1"/>
      <c r="AH250" s="1"/>
      <c r="AI250" s="9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7"/>
      <c r="AE251" s="9"/>
      <c r="AF251" s="1"/>
      <c r="AG251" s="1"/>
      <c r="AH251" s="1"/>
      <c r="AI251" s="9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7"/>
      <c r="AE252" s="9"/>
      <c r="AF252" s="1"/>
      <c r="AG252" s="1"/>
      <c r="AH252" s="1"/>
      <c r="AI252" s="9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7"/>
      <c r="AE253" s="9"/>
      <c r="AF253" s="1"/>
      <c r="AG253" s="1"/>
      <c r="AH253" s="1"/>
      <c r="AI253" s="9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7"/>
      <c r="AE254" s="9"/>
      <c r="AF254" s="1"/>
      <c r="AG254" s="1"/>
      <c r="AH254" s="1"/>
      <c r="AI254" s="9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7"/>
      <c r="AE255" s="9"/>
      <c r="AF255" s="1"/>
      <c r="AG255" s="1"/>
      <c r="AH255" s="1"/>
      <c r="AI255" s="9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7"/>
      <c r="AE256" s="9"/>
      <c r="AF256" s="1"/>
      <c r="AG256" s="1"/>
      <c r="AH256" s="1"/>
      <c r="AI256" s="9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7"/>
      <c r="AE257" s="9"/>
      <c r="AF257" s="1"/>
      <c r="AG257" s="1"/>
      <c r="AH257" s="1"/>
      <c r="AI257" s="9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7"/>
      <c r="AE258" s="9"/>
      <c r="AF258" s="1"/>
      <c r="AG258" s="1"/>
      <c r="AH258" s="1"/>
      <c r="AI258" s="9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7"/>
      <c r="AE259" s="9"/>
      <c r="AF259" s="1"/>
      <c r="AG259" s="1"/>
      <c r="AH259" s="1"/>
      <c r="AI259" s="9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7"/>
      <c r="AE260" s="9"/>
      <c r="AF260" s="1"/>
      <c r="AG260" s="1"/>
      <c r="AH260" s="1"/>
      <c r="AI260" s="9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7"/>
      <c r="AE261" s="9"/>
      <c r="AF261" s="1"/>
      <c r="AG261" s="1"/>
      <c r="AH261" s="1"/>
      <c r="AI261" s="9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7"/>
      <c r="AE262" s="9"/>
      <c r="AF262" s="1"/>
      <c r="AG262" s="1"/>
      <c r="AH262" s="1"/>
      <c r="AI262" s="9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7"/>
      <c r="AE263" s="9"/>
      <c r="AF263" s="1"/>
      <c r="AG263" s="1"/>
      <c r="AH263" s="1"/>
      <c r="AI263" s="9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7"/>
      <c r="AE264" s="9"/>
      <c r="AF264" s="1"/>
      <c r="AG264" s="1"/>
      <c r="AH264" s="1"/>
      <c r="AI264" s="9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7"/>
      <c r="AE265" s="9"/>
      <c r="AF265" s="1"/>
      <c r="AG265" s="1"/>
      <c r="AH265" s="1"/>
      <c r="AI265" s="9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7"/>
      <c r="AE266" s="9"/>
      <c r="AF266" s="1"/>
      <c r="AG266" s="1"/>
      <c r="AH266" s="1"/>
      <c r="AI266" s="9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7"/>
      <c r="AE267" s="9"/>
      <c r="AF267" s="1"/>
      <c r="AG267" s="1"/>
      <c r="AH267" s="1"/>
      <c r="AI267" s="9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7"/>
      <c r="AE268" s="9"/>
      <c r="AF268" s="1"/>
      <c r="AG268" s="1"/>
      <c r="AH268" s="1"/>
      <c r="AI268" s="9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7"/>
      <c r="AE269" s="9"/>
      <c r="AF269" s="1"/>
      <c r="AG269" s="1"/>
      <c r="AH269" s="1"/>
      <c r="AI269" s="9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7"/>
      <c r="AE270" s="9"/>
      <c r="AF270" s="1"/>
      <c r="AG270" s="1"/>
      <c r="AH270" s="1"/>
      <c r="AI270" s="9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7"/>
      <c r="AE271" s="9"/>
      <c r="AF271" s="1"/>
      <c r="AG271" s="1"/>
      <c r="AH271" s="1"/>
      <c r="AI271" s="9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7"/>
      <c r="AE272" s="9"/>
      <c r="AF272" s="1"/>
      <c r="AG272" s="1"/>
      <c r="AH272" s="1"/>
      <c r="AI272" s="9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7"/>
      <c r="AE273" s="9"/>
      <c r="AF273" s="1"/>
      <c r="AG273" s="1"/>
      <c r="AH273" s="1"/>
      <c r="AI273" s="9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7"/>
      <c r="AE274" s="9"/>
      <c r="AF274" s="1"/>
      <c r="AG274" s="1"/>
      <c r="AH274" s="1"/>
      <c r="AI274" s="9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7"/>
      <c r="AE275" s="9"/>
      <c r="AF275" s="1"/>
      <c r="AG275" s="1"/>
      <c r="AH275" s="1"/>
      <c r="AI275" s="9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7"/>
      <c r="AE276" s="9"/>
      <c r="AF276" s="1"/>
      <c r="AG276" s="1"/>
      <c r="AH276" s="1"/>
      <c r="AI276" s="9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7"/>
      <c r="AE277" s="9"/>
      <c r="AF277" s="1"/>
      <c r="AG277" s="1"/>
      <c r="AH277" s="1"/>
      <c r="AI277" s="9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7"/>
      <c r="AE278" s="9"/>
      <c r="AF278" s="1"/>
      <c r="AG278" s="1"/>
      <c r="AH278" s="1"/>
      <c r="AI278" s="9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7"/>
      <c r="AE279" s="9"/>
      <c r="AF279" s="1"/>
      <c r="AG279" s="1"/>
      <c r="AH279" s="1"/>
      <c r="AI279" s="9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7"/>
      <c r="AE280" s="9"/>
      <c r="AF280" s="1"/>
      <c r="AG280" s="1"/>
      <c r="AH280" s="1"/>
      <c r="AI280" s="9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7"/>
      <c r="AE281" s="9"/>
      <c r="AF281" s="1"/>
      <c r="AG281" s="1"/>
      <c r="AH281" s="1"/>
      <c r="AI281" s="9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7"/>
      <c r="AE282" s="9"/>
      <c r="AF282" s="1"/>
      <c r="AG282" s="1"/>
      <c r="AH282" s="1"/>
      <c r="AI282" s="9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7"/>
      <c r="AE283" s="9"/>
      <c r="AF283" s="1"/>
      <c r="AG283" s="1"/>
      <c r="AH283" s="1"/>
      <c r="AI283" s="9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7"/>
      <c r="AE284" s="9"/>
      <c r="AF284" s="1"/>
      <c r="AG284" s="1"/>
      <c r="AH284" s="1"/>
      <c r="AI284" s="9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7"/>
      <c r="AE285" s="9"/>
      <c r="AF285" s="1"/>
      <c r="AG285" s="1"/>
      <c r="AH285" s="1"/>
      <c r="AI285" s="9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7"/>
      <c r="AE286" s="9"/>
      <c r="AF286" s="1"/>
      <c r="AG286" s="1"/>
      <c r="AH286" s="1"/>
      <c r="AI286" s="9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7"/>
      <c r="AE287" s="9"/>
      <c r="AF287" s="1"/>
      <c r="AG287" s="1"/>
      <c r="AH287" s="1"/>
      <c r="AI287" s="9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7"/>
      <c r="AE288" s="9"/>
      <c r="AF288" s="1"/>
      <c r="AG288" s="1"/>
      <c r="AH288" s="1"/>
      <c r="AI288" s="9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7"/>
      <c r="AE289" s="9"/>
      <c r="AF289" s="1"/>
      <c r="AG289" s="1"/>
      <c r="AH289" s="1"/>
      <c r="AI289" s="9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7"/>
      <c r="AE290" s="9"/>
      <c r="AF290" s="1"/>
      <c r="AG290" s="1"/>
      <c r="AH290" s="1"/>
      <c r="AI290" s="9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7"/>
      <c r="AE291" s="9"/>
      <c r="AF291" s="1"/>
      <c r="AG291" s="1"/>
      <c r="AH291" s="1"/>
      <c r="AI291" s="9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7"/>
      <c r="AE292" s="9"/>
      <c r="AF292" s="1"/>
      <c r="AG292" s="1"/>
      <c r="AH292" s="1"/>
      <c r="AI292" s="9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7"/>
      <c r="AE293" s="9"/>
      <c r="AF293" s="1"/>
      <c r="AG293" s="1"/>
      <c r="AH293" s="1"/>
      <c r="AI293" s="9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7"/>
      <c r="AE294" s="9"/>
      <c r="AF294" s="1"/>
      <c r="AG294" s="1"/>
      <c r="AH294" s="1"/>
      <c r="AI294" s="9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7"/>
      <c r="AE295" s="9"/>
      <c r="AF295" s="1"/>
      <c r="AG295" s="1"/>
      <c r="AH295" s="1"/>
      <c r="AI295" s="9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7"/>
      <c r="AE296" s="9"/>
      <c r="AF296" s="1"/>
      <c r="AG296" s="1"/>
      <c r="AH296" s="1"/>
      <c r="AI296" s="9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7"/>
      <c r="AE297" s="9"/>
      <c r="AF297" s="1"/>
      <c r="AG297" s="1"/>
      <c r="AH297" s="1"/>
      <c r="AI297" s="9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7"/>
      <c r="AE298" s="9"/>
      <c r="AF298" s="1"/>
      <c r="AG298" s="1"/>
      <c r="AH298" s="1"/>
      <c r="AI298" s="9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7"/>
      <c r="AE299" s="9"/>
      <c r="AF299" s="1"/>
      <c r="AG299" s="1"/>
      <c r="AH299" s="1"/>
      <c r="AI299" s="9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7"/>
      <c r="AE300" s="9"/>
      <c r="AF300" s="1"/>
      <c r="AG300" s="1"/>
      <c r="AH300" s="1"/>
      <c r="AI300" s="9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7"/>
      <c r="AE301" s="9"/>
      <c r="AF301" s="1"/>
      <c r="AG301" s="1"/>
      <c r="AH301" s="1"/>
      <c r="AI301" s="9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7"/>
      <c r="AE302" s="9"/>
      <c r="AF302" s="1"/>
      <c r="AG302" s="1"/>
      <c r="AH302" s="1"/>
      <c r="AI302" s="9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7"/>
      <c r="AE303" s="9"/>
      <c r="AF303" s="1"/>
      <c r="AG303" s="1"/>
      <c r="AH303" s="1"/>
      <c r="AI303" s="9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7"/>
      <c r="AE304" s="9"/>
      <c r="AF304" s="1"/>
      <c r="AG304" s="1"/>
      <c r="AH304" s="1"/>
      <c r="AI304" s="9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7"/>
      <c r="AE305" s="9"/>
      <c r="AF305" s="1"/>
      <c r="AG305" s="1"/>
      <c r="AH305" s="1"/>
      <c r="AI305" s="9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7"/>
      <c r="AE306" s="9"/>
      <c r="AF306" s="1"/>
      <c r="AG306" s="1"/>
      <c r="AH306" s="1"/>
      <c r="AI306" s="9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7"/>
      <c r="AE307" s="9"/>
      <c r="AF307" s="1"/>
      <c r="AG307" s="1"/>
      <c r="AH307" s="1"/>
      <c r="AI307" s="9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7"/>
      <c r="AE308" s="9"/>
      <c r="AF308" s="1"/>
      <c r="AG308" s="1"/>
      <c r="AH308" s="1"/>
      <c r="AI308" s="9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7"/>
      <c r="AE309" s="9"/>
      <c r="AF309" s="1"/>
      <c r="AG309" s="1"/>
      <c r="AH309" s="1"/>
      <c r="AI309" s="9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7"/>
      <c r="AE310" s="9"/>
      <c r="AF310" s="1"/>
      <c r="AG310" s="1"/>
      <c r="AH310" s="1"/>
      <c r="AI310" s="9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7"/>
      <c r="AE311" s="9"/>
      <c r="AF311" s="1"/>
      <c r="AG311" s="1"/>
      <c r="AH311" s="1"/>
      <c r="AI311" s="9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7"/>
      <c r="AE312" s="9"/>
      <c r="AF312" s="1"/>
      <c r="AG312" s="1"/>
      <c r="AH312" s="1"/>
      <c r="AI312" s="9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7"/>
      <c r="AE313" s="9"/>
      <c r="AF313" s="1"/>
      <c r="AG313" s="1"/>
      <c r="AH313" s="1"/>
      <c r="AI313" s="9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7"/>
      <c r="AE314" s="9"/>
      <c r="AF314" s="1"/>
      <c r="AG314" s="1"/>
      <c r="AH314" s="1"/>
      <c r="AI314" s="9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7"/>
      <c r="AE315" s="9"/>
      <c r="AF315" s="1"/>
      <c r="AG315" s="1"/>
      <c r="AH315" s="1"/>
      <c r="AI315" s="9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7"/>
      <c r="AE316" s="9"/>
      <c r="AF316" s="1"/>
      <c r="AG316" s="1"/>
      <c r="AH316" s="1"/>
      <c r="AI316" s="9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7"/>
      <c r="AE317" s="9"/>
      <c r="AF317" s="1"/>
      <c r="AG317" s="1"/>
      <c r="AH317" s="1"/>
      <c r="AI317" s="9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7"/>
      <c r="AE318" s="9"/>
      <c r="AF318" s="1"/>
      <c r="AG318" s="1"/>
      <c r="AH318" s="1"/>
      <c r="AI318" s="9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7"/>
      <c r="AE319" s="9"/>
      <c r="AF319" s="1"/>
      <c r="AG319" s="1"/>
      <c r="AH319" s="1"/>
      <c r="AI319" s="9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7"/>
      <c r="AE320" s="9"/>
      <c r="AF320" s="1"/>
      <c r="AG320" s="1"/>
      <c r="AH320" s="1"/>
      <c r="AI320" s="9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7"/>
      <c r="AE321" s="9"/>
      <c r="AF321" s="1"/>
      <c r="AG321" s="1"/>
      <c r="AH321" s="1"/>
      <c r="AI321" s="9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7"/>
      <c r="AE322" s="9"/>
      <c r="AF322" s="1"/>
      <c r="AG322" s="1"/>
      <c r="AH322" s="1"/>
      <c r="AI322" s="9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7"/>
      <c r="AE323" s="9"/>
      <c r="AF323" s="1"/>
      <c r="AG323" s="1"/>
      <c r="AH323" s="1"/>
      <c r="AI323" s="9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7"/>
      <c r="AE324" s="9"/>
      <c r="AF324" s="1"/>
      <c r="AG324" s="1"/>
      <c r="AH324" s="1"/>
      <c r="AI324" s="9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7"/>
      <c r="AE325" s="9"/>
      <c r="AF325" s="1"/>
      <c r="AG325" s="1"/>
      <c r="AH325" s="1"/>
      <c r="AI325" s="9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7"/>
      <c r="AE326" s="9"/>
      <c r="AF326" s="1"/>
      <c r="AG326" s="1"/>
      <c r="AH326" s="1"/>
      <c r="AI326" s="9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7"/>
      <c r="AE327" s="9"/>
      <c r="AF327" s="1"/>
      <c r="AG327" s="1"/>
      <c r="AH327" s="1"/>
      <c r="AI327" s="9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7"/>
      <c r="AE328" s="9"/>
      <c r="AF328" s="1"/>
      <c r="AG328" s="1"/>
      <c r="AH328" s="1"/>
      <c r="AI328" s="9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7"/>
      <c r="AE329" s="9"/>
      <c r="AF329" s="1"/>
      <c r="AG329" s="1"/>
      <c r="AH329" s="1"/>
      <c r="AI329" s="9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7"/>
      <c r="AE330" s="9"/>
      <c r="AF330" s="1"/>
      <c r="AG330" s="1"/>
      <c r="AH330" s="1"/>
      <c r="AI330" s="9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7"/>
      <c r="AE331" s="9"/>
      <c r="AF331" s="1"/>
      <c r="AG331" s="1"/>
      <c r="AH331" s="1"/>
      <c r="AI331" s="9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7"/>
      <c r="AE332" s="9"/>
      <c r="AF332" s="1"/>
      <c r="AG332" s="1"/>
      <c r="AH332" s="1"/>
      <c r="AI332" s="9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7"/>
      <c r="AE333" s="9"/>
      <c r="AF333" s="1"/>
      <c r="AG333" s="1"/>
      <c r="AH333" s="1"/>
      <c r="AI333" s="9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7"/>
      <c r="AE334" s="9"/>
      <c r="AF334" s="1"/>
      <c r="AG334" s="1"/>
      <c r="AH334" s="1"/>
      <c r="AI334" s="9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7"/>
      <c r="AE335" s="9"/>
      <c r="AF335" s="1"/>
      <c r="AG335" s="1"/>
      <c r="AH335" s="1"/>
      <c r="AI335" s="9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7"/>
      <c r="AE336" s="9"/>
      <c r="AF336" s="1"/>
      <c r="AG336" s="1"/>
      <c r="AH336" s="1"/>
      <c r="AI336" s="9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7"/>
      <c r="AE337" s="9"/>
      <c r="AF337" s="1"/>
      <c r="AG337" s="1"/>
      <c r="AH337" s="1"/>
      <c r="AI337" s="9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7"/>
      <c r="AE338" s="9"/>
      <c r="AF338" s="1"/>
      <c r="AG338" s="1"/>
      <c r="AH338" s="1"/>
      <c r="AI338" s="9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7"/>
      <c r="AE339" s="9"/>
      <c r="AF339" s="1"/>
      <c r="AG339" s="1"/>
      <c r="AH339" s="1"/>
      <c r="AI339" s="9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7"/>
      <c r="AE340" s="9"/>
      <c r="AF340" s="1"/>
      <c r="AG340" s="1"/>
      <c r="AH340" s="1"/>
      <c r="AI340" s="9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7"/>
      <c r="AE341" s="9"/>
      <c r="AF341" s="1"/>
      <c r="AG341" s="1"/>
      <c r="AH341" s="1"/>
      <c r="AI341" s="9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7"/>
      <c r="AE342" s="9"/>
      <c r="AF342" s="1"/>
      <c r="AG342" s="1"/>
      <c r="AH342" s="1"/>
      <c r="AI342" s="9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7"/>
      <c r="AE343" s="9"/>
      <c r="AF343" s="1"/>
      <c r="AG343" s="1"/>
      <c r="AH343" s="1"/>
      <c r="AI343" s="9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7"/>
      <c r="AE344" s="9"/>
      <c r="AF344" s="1"/>
      <c r="AG344" s="1"/>
      <c r="AH344" s="1"/>
      <c r="AI344" s="9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7"/>
      <c r="AE345" s="9"/>
      <c r="AF345" s="1"/>
      <c r="AG345" s="1"/>
      <c r="AH345" s="1"/>
      <c r="AI345" s="9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7"/>
      <c r="AE346" s="9"/>
      <c r="AF346" s="1"/>
      <c r="AG346" s="1"/>
      <c r="AH346" s="1"/>
      <c r="AI346" s="9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7"/>
      <c r="AE347" s="9"/>
      <c r="AF347" s="1"/>
      <c r="AG347" s="1"/>
      <c r="AH347" s="1"/>
      <c r="AI347" s="9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7"/>
      <c r="AE348" s="9"/>
      <c r="AF348" s="1"/>
      <c r="AG348" s="1"/>
      <c r="AH348" s="1"/>
      <c r="AI348" s="9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7"/>
      <c r="AE349" s="9"/>
      <c r="AF349" s="1"/>
      <c r="AG349" s="1"/>
      <c r="AH349" s="1"/>
      <c r="AI349" s="9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7"/>
      <c r="AE350" s="9"/>
      <c r="AF350" s="1"/>
      <c r="AG350" s="1"/>
      <c r="AH350" s="1"/>
      <c r="AI350" s="9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7"/>
      <c r="AE351" s="9"/>
      <c r="AF351" s="1"/>
      <c r="AG351" s="1"/>
      <c r="AH351" s="1"/>
      <c r="AI351" s="9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7"/>
      <c r="AE352" s="9"/>
      <c r="AF352" s="1"/>
      <c r="AG352" s="1"/>
      <c r="AH352" s="1"/>
      <c r="AI352" s="9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7"/>
      <c r="AE353" s="9"/>
      <c r="AF353" s="1"/>
      <c r="AG353" s="1"/>
      <c r="AH353" s="1"/>
      <c r="AI353" s="9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7"/>
      <c r="AE354" s="9"/>
      <c r="AF354" s="1"/>
      <c r="AG354" s="1"/>
      <c r="AH354" s="1"/>
      <c r="AI354" s="9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7"/>
      <c r="AE355" s="9"/>
      <c r="AF355" s="1"/>
      <c r="AG355" s="1"/>
      <c r="AH355" s="1"/>
      <c r="AI355" s="9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7"/>
      <c r="AE356" s="9"/>
      <c r="AF356" s="1"/>
      <c r="AG356" s="1"/>
      <c r="AH356" s="1"/>
      <c r="AI356" s="9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7"/>
      <c r="AE357" s="9"/>
      <c r="AF357" s="1"/>
      <c r="AG357" s="1"/>
      <c r="AH357" s="1"/>
      <c r="AI357" s="9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7"/>
      <c r="AE358" s="9"/>
      <c r="AF358" s="1"/>
      <c r="AG358" s="1"/>
      <c r="AH358" s="1"/>
      <c r="AI358" s="9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7"/>
      <c r="AE359" s="9"/>
      <c r="AF359" s="1"/>
      <c r="AG359" s="1"/>
      <c r="AH359" s="1"/>
      <c r="AI359" s="9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7"/>
      <c r="AE360" s="9"/>
      <c r="AF360" s="1"/>
      <c r="AG360" s="1"/>
      <c r="AH360" s="1"/>
      <c r="AI360" s="9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7"/>
      <c r="AE361" s="9"/>
      <c r="AF361" s="1"/>
      <c r="AG361" s="1"/>
      <c r="AH361" s="1"/>
      <c r="AI361" s="9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7"/>
      <c r="AE362" s="9"/>
      <c r="AF362" s="1"/>
      <c r="AG362" s="1"/>
      <c r="AH362" s="1"/>
      <c r="AI362" s="9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7"/>
      <c r="AE363" s="9"/>
      <c r="AF363" s="1"/>
      <c r="AG363" s="1"/>
      <c r="AH363" s="1"/>
      <c r="AI363" s="9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7"/>
      <c r="AE364" s="9"/>
      <c r="AF364" s="1"/>
      <c r="AG364" s="1"/>
      <c r="AH364" s="1"/>
      <c r="AI364" s="9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7"/>
      <c r="AE365" s="9"/>
      <c r="AF365" s="1"/>
      <c r="AG365" s="1"/>
      <c r="AH365" s="1"/>
      <c r="AI365" s="9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7"/>
      <c r="AE366" s="9"/>
      <c r="AF366" s="1"/>
      <c r="AG366" s="1"/>
      <c r="AH366" s="1"/>
      <c r="AI366" s="9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7"/>
      <c r="AE367" s="9"/>
      <c r="AF367" s="1"/>
      <c r="AG367" s="1"/>
      <c r="AH367" s="1"/>
      <c r="AI367" s="9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7"/>
      <c r="AE368" s="9"/>
      <c r="AF368" s="1"/>
      <c r="AG368" s="1"/>
      <c r="AH368" s="1"/>
      <c r="AI368" s="9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7"/>
      <c r="AE369" s="9"/>
      <c r="AF369" s="1"/>
      <c r="AG369" s="1"/>
      <c r="AH369" s="1"/>
      <c r="AI369" s="9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7"/>
      <c r="AE370" s="9"/>
      <c r="AF370" s="1"/>
      <c r="AG370" s="1"/>
      <c r="AH370" s="1"/>
      <c r="AI370" s="9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7"/>
      <c r="AE371" s="9"/>
      <c r="AF371" s="1"/>
      <c r="AG371" s="1"/>
      <c r="AH371" s="1"/>
      <c r="AI371" s="9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7"/>
      <c r="AE372" s="9"/>
      <c r="AF372" s="1"/>
      <c r="AG372" s="1"/>
      <c r="AH372" s="1"/>
      <c r="AI372" s="9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7"/>
      <c r="AE373" s="9"/>
      <c r="AF373" s="1"/>
      <c r="AG373" s="1"/>
      <c r="AH373" s="1"/>
      <c r="AI373" s="9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7"/>
      <c r="AE374" s="9"/>
      <c r="AF374" s="1"/>
      <c r="AG374" s="1"/>
      <c r="AH374" s="1"/>
      <c r="AI374" s="9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7"/>
      <c r="AE375" s="9"/>
      <c r="AF375" s="1"/>
      <c r="AG375" s="1"/>
      <c r="AH375" s="1"/>
      <c r="AI375" s="9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7"/>
      <c r="AE376" s="9"/>
      <c r="AF376" s="1"/>
      <c r="AG376" s="1"/>
      <c r="AH376" s="1"/>
      <c r="AI376" s="9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7"/>
      <c r="AE377" s="9"/>
      <c r="AF377" s="1"/>
      <c r="AG377" s="1"/>
      <c r="AH377" s="1"/>
      <c r="AI377" s="9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7"/>
      <c r="AE378" s="9"/>
      <c r="AF378" s="1"/>
      <c r="AG378" s="1"/>
      <c r="AH378" s="1"/>
      <c r="AI378" s="9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7"/>
      <c r="AE379" s="9"/>
      <c r="AF379" s="1"/>
      <c r="AG379" s="1"/>
      <c r="AH379" s="1"/>
      <c r="AI379" s="9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7"/>
      <c r="AE380" s="9"/>
      <c r="AF380" s="1"/>
      <c r="AG380" s="1"/>
      <c r="AH380" s="1"/>
      <c r="AI380" s="9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7"/>
      <c r="AE381" s="9"/>
      <c r="AF381" s="1"/>
      <c r="AG381" s="1"/>
      <c r="AH381" s="1"/>
      <c r="AI381" s="9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7"/>
      <c r="AE382" s="9"/>
      <c r="AF382" s="1"/>
      <c r="AG382" s="1"/>
      <c r="AH382" s="1"/>
      <c r="AI382" s="9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7"/>
      <c r="AE383" s="9"/>
      <c r="AF383" s="1"/>
      <c r="AG383" s="1"/>
      <c r="AH383" s="1"/>
      <c r="AI383" s="9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7"/>
      <c r="AE384" s="9"/>
      <c r="AF384" s="1"/>
      <c r="AG384" s="1"/>
      <c r="AH384" s="1"/>
      <c r="AI384" s="9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7"/>
      <c r="AE385" s="9"/>
      <c r="AF385" s="1"/>
      <c r="AG385" s="1"/>
      <c r="AH385" s="1"/>
      <c r="AI385" s="9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7"/>
      <c r="AE386" s="9"/>
      <c r="AF386" s="1"/>
      <c r="AG386" s="1"/>
      <c r="AH386" s="1"/>
      <c r="AI386" s="9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7"/>
      <c r="AE387" s="9"/>
      <c r="AF387" s="1"/>
      <c r="AG387" s="1"/>
      <c r="AH387" s="1"/>
      <c r="AI387" s="9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7"/>
      <c r="AE388" s="9"/>
      <c r="AF388" s="1"/>
      <c r="AG388" s="1"/>
      <c r="AH388" s="1"/>
      <c r="AI388" s="9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7"/>
      <c r="AE389" s="9"/>
      <c r="AF389" s="1"/>
      <c r="AG389" s="1"/>
      <c r="AH389" s="1"/>
      <c r="AI389" s="9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7"/>
      <c r="AE390" s="9"/>
      <c r="AF390" s="1"/>
      <c r="AG390" s="1"/>
      <c r="AH390" s="1"/>
      <c r="AI390" s="9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7"/>
      <c r="AE391" s="9"/>
      <c r="AF391" s="1"/>
      <c r="AG391" s="1"/>
      <c r="AH391" s="1"/>
      <c r="AI391" s="9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7"/>
      <c r="AE392" s="9"/>
      <c r="AF392" s="1"/>
      <c r="AG392" s="1"/>
      <c r="AH392" s="1"/>
      <c r="AI392" s="9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7"/>
      <c r="AE393" s="9"/>
      <c r="AF393" s="1"/>
      <c r="AG393" s="1"/>
      <c r="AH393" s="1"/>
      <c r="AI393" s="9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7"/>
      <c r="AE394" s="9"/>
      <c r="AF394" s="1"/>
      <c r="AG394" s="1"/>
      <c r="AH394" s="1"/>
      <c r="AI394" s="9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7"/>
      <c r="AE395" s="9"/>
      <c r="AF395" s="1"/>
      <c r="AG395" s="1"/>
      <c r="AH395" s="1"/>
      <c r="AI395" s="9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7"/>
      <c r="AE396" s="9"/>
      <c r="AF396" s="1"/>
      <c r="AG396" s="1"/>
      <c r="AH396" s="1"/>
      <c r="AI396" s="9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7"/>
      <c r="AE397" s="9"/>
      <c r="AF397" s="1"/>
      <c r="AG397" s="1"/>
      <c r="AH397" s="1"/>
      <c r="AI397" s="9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7"/>
      <c r="AE398" s="9"/>
      <c r="AF398" s="1"/>
      <c r="AG398" s="1"/>
      <c r="AH398" s="1"/>
      <c r="AI398" s="9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7"/>
      <c r="AE399" s="9"/>
      <c r="AF399" s="1"/>
      <c r="AG399" s="1"/>
      <c r="AH399" s="1"/>
      <c r="AI399" s="9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7"/>
      <c r="AE400" s="9"/>
      <c r="AF400" s="1"/>
      <c r="AG400" s="1"/>
      <c r="AH400" s="1"/>
      <c r="AI400" s="9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7"/>
      <c r="AE401" s="9"/>
      <c r="AF401" s="1"/>
      <c r="AG401" s="1"/>
      <c r="AH401" s="1"/>
      <c r="AI401" s="9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7"/>
      <c r="AE402" s="9"/>
      <c r="AF402" s="1"/>
      <c r="AG402" s="1"/>
      <c r="AH402" s="1"/>
      <c r="AI402" s="9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7"/>
      <c r="AE403" s="9"/>
      <c r="AF403" s="1"/>
      <c r="AG403" s="1"/>
      <c r="AH403" s="1"/>
      <c r="AI403" s="9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7"/>
      <c r="AE404" s="9"/>
      <c r="AF404" s="1"/>
      <c r="AG404" s="1"/>
      <c r="AH404" s="1"/>
      <c r="AI404" s="9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7"/>
      <c r="AE405" s="9"/>
      <c r="AF405" s="1"/>
      <c r="AG405" s="1"/>
      <c r="AH405" s="1"/>
      <c r="AI405" s="9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7"/>
      <c r="AE406" s="9"/>
      <c r="AF406" s="1"/>
      <c r="AG406" s="1"/>
      <c r="AH406" s="1"/>
      <c r="AI406" s="9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7"/>
      <c r="AE407" s="9"/>
      <c r="AF407" s="1"/>
      <c r="AG407" s="1"/>
      <c r="AH407" s="1"/>
      <c r="AI407" s="9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7"/>
      <c r="AE408" s="9"/>
      <c r="AF408" s="1"/>
      <c r="AG408" s="1"/>
      <c r="AH408" s="1"/>
      <c r="AI408" s="9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7"/>
      <c r="AE409" s="9"/>
      <c r="AF409" s="1"/>
      <c r="AG409" s="1"/>
      <c r="AH409" s="1"/>
      <c r="AI409" s="9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7"/>
      <c r="AE410" s="9"/>
      <c r="AF410" s="1"/>
      <c r="AG410" s="1"/>
      <c r="AH410" s="1"/>
      <c r="AI410" s="9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7"/>
      <c r="AE411" s="9"/>
      <c r="AF411" s="1"/>
      <c r="AG411" s="1"/>
      <c r="AH411" s="1"/>
      <c r="AI411" s="9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7"/>
      <c r="AE412" s="9"/>
      <c r="AF412" s="1"/>
      <c r="AG412" s="1"/>
      <c r="AH412" s="1"/>
      <c r="AI412" s="9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7"/>
      <c r="AE413" s="9"/>
      <c r="AF413" s="1"/>
      <c r="AG413" s="1"/>
      <c r="AH413" s="1"/>
      <c r="AI413" s="9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7"/>
      <c r="AE414" s="9"/>
      <c r="AF414" s="1"/>
      <c r="AG414" s="1"/>
      <c r="AH414" s="1"/>
      <c r="AI414" s="9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7"/>
      <c r="AE415" s="9"/>
      <c r="AF415" s="1"/>
      <c r="AG415" s="1"/>
      <c r="AH415" s="1"/>
      <c r="AI415" s="9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7"/>
      <c r="AE416" s="9"/>
      <c r="AF416" s="1"/>
      <c r="AG416" s="1"/>
      <c r="AH416" s="1"/>
      <c r="AI416" s="9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7"/>
      <c r="AE417" s="9"/>
      <c r="AF417" s="1"/>
      <c r="AG417" s="1"/>
      <c r="AH417" s="1"/>
      <c r="AI417" s="9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7"/>
      <c r="AE418" s="9"/>
      <c r="AF418" s="1"/>
      <c r="AG418" s="1"/>
      <c r="AH418" s="1"/>
      <c r="AI418" s="9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7"/>
      <c r="AE419" s="9"/>
      <c r="AF419" s="1"/>
      <c r="AG419" s="1"/>
      <c r="AH419" s="1"/>
      <c r="AI419" s="9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7"/>
      <c r="AE420" s="9"/>
      <c r="AF420" s="1"/>
      <c r="AG420" s="1"/>
      <c r="AH420" s="1"/>
      <c r="AI420" s="9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7"/>
      <c r="AE421" s="9"/>
      <c r="AF421" s="1"/>
      <c r="AG421" s="1"/>
      <c r="AH421" s="1"/>
      <c r="AI421" s="9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7"/>
      <c r="AE422" s="9"/>
      <c r="AF422" s="1"/>
      <c r="AG422" s="1"/>
      <c r="AH422" s="1"/>
      <c r="AI422" s="9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7"/>
      <c r="AE423" s="9"/>
      <c r="AF423" s="1"/>
      <c r="AG423" s="1"/>
      <c r="AH423" s="1"/>
      <c r="AI423" s="9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7"/>
      <c r="AE424" s="9"/>
      <c r="AF424" s="1"/>
      <c r="AG424" s="1"/>
      <c r="AH424" s="1"/>
      <c r="AI424" s="9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7"/>
      <c r="AE425" s="9"/>
      <c r="AF425" s="1"/>
      <c r="AG425" s="1"/>
      <c r="AH425" s="1"/>
      <c r="AI425" s="9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7"/>
      <c r="AE426" s="9"/>
      <c r="AF426" s="1"/>
      <c r="AG426" s="1"/>
      <c r="AH426" s="1"/>
      <c r="AI426" s="9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7"/>
      <c r="AE427" s="9"/>
      <c r="AF427" s="1"/>
      <c r="AG427" s="1"/>
      <c r="AH427" s="1"/>
      <c r="AI427" s="9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7"/>
      <c r="AE428" s="9"/>
      <c r="AF428" s="1"/>
      <c r="AG428" s="1"/>
      <c r="AH428" s="1"/>
      <c r="AI428" s="9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7"/>
      <c r="AE429" s="9"/>
      <c r="AF429" s="1"/>
      <c r="AG429" s="1"/>
      <c r="AH429" s="1"/>
      <c r="AI429" s="9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7"/>
      <c r="AE430" s="9"/>
      <c r="AF430" s="1"/>
      <c r="AG430" s="1"/>
      <c r="AH430" s="1"/>
      <c r="AI430" s="9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7"/>
      <c r="AE431" s="9"/>
      <c r="AF431" s="1"/>
      <c r="AG431" s="1"/>
      <c r="AH431" s="1"/>
      <c r="AI431" s="9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7"/>
      <c r="AE432" s="9"/>
      <c r="AF432" s="1"/>
      <c r="AG432" s="1"/>
      <c r="AH432" s="1"/>
      <c r="AI432" s="9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7"/>
      <c r="AE433" s="9"/>
      <c r="AF433" s="1"/>
      <c r="AG433" s="1"/>
      <c r="AH433" s="1"/>
      <c r="AI433" s="9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7"/>
      <c r="AE434" s="9"/>
      <c r="AF434" s="1"/>
      <c r="AG434" s="1"/>
      <c r="AH434" s="1"/>
      <c r="AI434" s="9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7"/>
      <c r="AE435" s="9"/>
      <c r="AF435" s="1"/>
      <c r="AG435" s="1"/>
      <c r="AH435" s="1"/>
      <c r="AI435" s="9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7"/>
      <c r="AE436" s="9"/>
      <c r="AF436" s="1"/>
      <c r="AG436" s="1"/>
      <c r="AH436" s="1"/>
      <c r="AI436" s="9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7"/>
      <c r="AE437" s="9"/>
      <c r="AF437" s="1"/>
      <c r="AG437" s="1"/>
      <c r="AH437" s="1"/>
      <c r="AI437" s="9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7"/>
      <c r="AE438" s="9"/>
      <c r="AF438" s="1"/>
      <c r="AG438" s="1"/>
      <c r="AH438" s="1"/>
      <c r="AI438" s="9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7"/>
      <c r="AE439" s="9"/>
      <c r="AF439" s="1"/>
      <c r="AG439" s="1"/>
      <c r="AH439" s="1"/>
      <c r="AI439" s="9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7"/>
      <c r="AE440" s="9"/>
      <c r="AF440" s="1"/>
      <c r="AG440" s="1"/>
      <c r="AH440" s="1"/>
      <c r="AI440" s="9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7"/>
      <c r="AE441" s="9"/>
      <c r="AF441" s="1"/>
      <c r="AG441" s="1"/>
      <c r="AH441" s="1"/>
      <c r="AI441" s="9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7"/>
      <c r="AE442" s="9"/>
      <c r="AF442" s="1"/>
      <c r="AG442" s="1"/>
      <c r="AH442" s="1"/>
      <c r="AI442" s="9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7"/>
      <c r="AE443" s="9"/>
      <c r="AF443" s="1"/>
      <c r="AG443" s="1"/>
      <c r="AH443" s="1"/>
      <c r="AI443" s="9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7"/>
      <c r="AE444" s="9"/>
      <c r="AF444" s="1"/>
      <c r="AG444" s="1"/>
      <c r="AH444" s="1"/>
      <c r="AI444" s="9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7"/>
      <c r="AE445" s="9"/>
      <c r="AF445" s="1"/>
      <c r="AG445" s="1"/>
      <c r="AH445" s="1"/>
      <c r="AI445" s="9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7"/>
      <c r="AE446" s="9"/>
      <c r="AF446" s="1"/>
      <c r="AG446" s="1"/>
      <c r="AH446" s="1"/>
      <c r="AI446" s="9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7"/>
      <c r="AE447" s="9"/>
      <c r="AF447" s="1"/>
      <c r="AG447" s="1"/>
      <c r="AH447" s="1"/>
      <c r="AI447" s="9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7"/>
      <c r="AE448" s="9"/>
      <c r="AF448" s="1"/>
      <c r="AG448" s="1"/>
      <c r="AH448" s="1"/>
      <c r="AI448" s="9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7"/>
      <c r="AE449" s="9"/>
      <c r="AF449" s="1"/>
      <c r="AG449" s="1"/>
      <c r="AH449" s="1"/>
      <c r="AI449" s="9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7"/>
      <c r="AE450" s="9"/>
      <c r="AF450" s="1"/>
      <c r="AG450" s="1"/>
      <c r="AH450" s="1"/>
      <c r="AI450" s="9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7"/>
      <c r="AE451" s="9"/>
      <c r="AF451" s="1"/>
      <c r="AG451" s="1"/>
      <c r="AH451" s="1"/>
      <c r="AI451" s="9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7"/>
      <c r="AE452" s="9"/>
      <c r="AF452" s="1"/>
      <c r="AG452" s="1"/>
      <c r="AH452" s="1"/>
      <c r="AI452" s="9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7"/>
      <c r="AE453" s="9"/>
      <c r="AF453" s="1"/>
      <c r="AG453" s="1"/>
      <c r="AH453" s="1"/>
      <c r="AI453" s="9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7"/>
      <c r="AE454" s="9"/>
      <c r="AF454" s="1"/>
      <c r="AG454" s="1"/>
      <c r="AH454" s="1"/>
      <c r="AI454" s="9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7"/>
      <c r="AE455" s="9"/>
      <c r="AF455" s="1"/>
      <c r="AG455" s="1"/>
      <c r="AH455" s="1"/>
      <c r="AI455" s="9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7"/>
      <c r="AE456" s="9"/>
      <c r="AF456" s="1"/>
      <c r="AG456" s="1"/>
      <c r="AH456" s="1"/>
      <c r="AI456" s="9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7"/>
      <c r="AE457" s="9"/>
      <c r="AF457" s="1"/>
      <c r="AG457" s="1"/>
      <c r="AH457" s="1"/>
      <c r="AI457" s="9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7"/>
      <c r="AE458" s="9"/>
      <c r="AF458" s="1"/>
      <c r="AG458" s="1"/>
      <c r="AH458" s="1"/>
      <c r="AI458" s="9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7"/>
      <c r="AE459" s="9"/>
      <c r="AF459" s="1"/>
      <c r="AG459" s="1"/>
      <c r="AH459" s="1"/>
      <c r="AI459" s="9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7"/>
      <c r="AE460" s="9"/>
      <c r="AF460" s="1"/>
      <c r="AG460" s="1"/>
      <c r="AH460" s="1"/>
      <c r="AI460" s="9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7"/>
      <c r="AE461" s="9"/>
      <c r="AF461" s="1"/>
      <c r="AG461" s="1"/>
      <c r="AH461" s="1"/>
      <c r="AI461" s="9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7"/>
      <c r="AE462" s="9"/>
      <c r="AF462" s="1"/>
      <c r="AG462" s="1"/>
      <c r="AH462" s="1"/>
      <c r="AI462" s="9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7"/>
      <c r="AE463" s="9"/>
      <c r="AF463" s="1"/>
      <c r="AG463" s="1"/>
      <c r="AH463" s="1"/>
      <c r="AI463" s="9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7"/>
      <c r="AE464" s="9"/>
      <c r="AF464" s="1"/>
      <c r="AG464" s="1"/>
      <c r="AH464" s="1"/>
      <c r="AI464" s="9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7"/>
      <c r="AE465" s="9"/>
      <c r="AF465" s="1"/>
      <c r="AG465" s="1"/>
      <c r="AH465" s="1"/>
      <c r="AI465" s="9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7"/>
      <c r="AE466" s="9"/>
      <c r="AF466" s="1"/>
      <c r="AG466" s="1"/>
      <c r="AH466" s="1"/>
      <c r="AI466" s="9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7"/>
      <c r="AE467" s="9"/>
      <c r="AF467" s="1"/>
      <c r="AG467" s="1"/>
      <c r="AH467" s="1"/>
      <c r="AI467" s="9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7"/>
      <c r="AE468" s="9"/>
      <c r="AF468" s="1"/>
      <c r="AG468" s="1"/>
      <c r="AH468" s="1"/>
      <c r="AI468" s="9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7"/>
      <c r="AE469" s="9"/>
      <c r="AF469" s="1"/>
      <c r="AG469" s="1"/>
      <c r="AH469" s="1"/>
      <c r="AI469" s="9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7"/>
      <c r="AE470" s="9"/>
      <c r="AF470" s="1"/>
      <c r="AG470" s="1"/>
      <c r="AH470" s="1"/>
      <c r="AI470" s="9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7"/>
      <c r="AE471" s="9"/>
      <c r="AF471" s="1"/>
      <c r="AG471" s="1"/>
      <c r="AH471" s="1"/>
      <c r="AI471" s="9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7"/>
      <c r="AE472" s="9"/>
      <c r="AF472" s="1"/>
      <c r="AG472" s="1"/>
      <c r="AH472" s="1"/>
      <c r="AI472" s="9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7"/>
      <c r="AE473" s="9"/>
      <c r="AF473" s="1"/>
      <c r="AG473" s="1"/>
      <c r="AH473" s="1"/>
      <c r="AI473" s="9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7"/>
      <c r="AE474" s="9"/>
      <c r="AF474" s="1"/>
      <c r="AG474" s="1"/>
      <c r="AH474" s="1"/>
      <c r="AI474" s="9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7"/>
      <c r="AE475" s="9"/>
      <c r="AF475" s="1"/>
      <c r="AG475" s="1"/>
      <c r="AH475" s="1"/>
      <c r="AI475" s="9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7"/>
      <c r="AE476" s="9"/>
      <c r="AF476" s="1"/>
      <c r="AG476" s="1"/>
      <c r="AH476" s="1"/>
      <c r="AI476" s="9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7"/>
      <c r="AE477" s="9"/>
      <c r="AF477" s="1"/>
      <c r="AG477" s="1"/>
      <c r="AH477" s="1"/>
      <c r="AI477" s="9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7"/>
      <c r="AE478" s="9"/>
      <c r="AF478" s="1"/>
      <c r="AG478" s="1"/>
      <c r="AH478" s="1"/>
      <c r="AI478" s="9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7"/>
      <c r="AE479" s="9"/>
      <c r="AF479" s="1"/>
      <c r="AG479" s="1"/>
      <c r="AH479" s="1"/>
      <c r="AI479" s="9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7"/>
      <c r="AE480" s="9"/>
      <c r="AF480" s="1"/>
      <c r="AG480" s="1"/>
      <c r="AH480" s="1"/>
      <c r="AI480" s="9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7"/>
      <c r="AE481" s="9"/>
      <c r="AF481" s="1"/>
      <c r="AG481" s="1"/>
      <c r="AH481" s="1"/>
      <c r="AI481" s="9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7"/>
      <c r="AE482" s="9"/>
      <c r="AF482" s="1"/>
      <c r="AG482" s="1"/>
      <c r="AH482" s="1"/>
      <c r="AI482" s="9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7"/>
      <c r="AE483" s="9"/>
      <c r="AF483" s="1"/>
      <c r="AG483" s="1"/>
      <c r="AH483" s="1"/>
      <c r="AI483" s="9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7"/>
      <c r="AE484" s="9"/>
      <c r="AF484" s="1"/>
      <c r="AG484" s="1"/>
      <c r="AH484" s="1"/>
      <c r="AI484" s="9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7"/>
      <c r="AE485" s="9"/>
      <c r="AF485" s="1"/>
      <c r="AG485" s="1"/>
      <c r="AH485" s="1"/>
      <c r="AI485" s="9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7"/>
      <c r="AE486" s="9"/>
      <c r="AF486" s="1"/>
      <c r="AG486" s="1"/>
      <c r="AH486" s="1"/>
      <c r="AI486" s="9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7"/>
      <c r="AE487" s="9"/>
      <c r="AF487" s="1"/>
      <c r="AG487" s="1"/>
      <c r="AH487" s="1"/>
      <c r="AI487" s="9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7"/>
      <c r="AE488" s="9"/>
      <c r="AF488" s="1"/>
      <c r="AG488" s="1"/>
      <c r="AH488" s="1"/>
      <c r="AI488" s="9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7"/>
      <c r="AE489" s="9"/>
      <c r="AF489" s="1"/>
      <c r="AG489" s="1"/>
      <c r="AH489" s="1"/>
      <c r="AI489" s="9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7"/>
      <c r="AE490" s="9"/>
      <c r="AF490" s="1"/>
      <c r="AG490" s="1"/>
      <c r="AH490" s="1"/>
      <c r="AI490" s="9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7"/>
      <c r="AE491" s="9"/>
      <c r="AF491" s="1"/>
      <c r="AG491" s="1"/>
      <c r="AH491" s="1"/>
      <c r="AI491" s="9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7"/>
      <c r="AE492" s="9"/>
      <c r="AF492" s="1"/>
      <c r="AG492" s="1"/>
      <c r="AH492" s="1"/>
      <c r="AI492" s="9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7"/>
      <c r="AE493" s="9"/>
      <c r="AF493" s="1"/>
      <c r="AG493" s="1"/>
      <c r="AH493" s="1"/>
      <c r="AI493" s="9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7"/>
      <c r="AE494" s="9"/>
      <c r="AF494" s="1"/>
      <c r="AG494" s="1"/>
      <c r="AH494" s="1"/>
      <c r="AI494" s="9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7"/>
      <c r="AE495" s="9"/>
      <c r="AF495" s="1"/>
      <c r="AG495" s="1"/>
      <c r="AH495" s="1"/>
      <c r="AI495" s="9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7"/>
      <c r="AE496" s="9"/>
      <c r="AF496" s="1"/>
      <c r="AG496" s="1"/>
      <c r="AH496" s="1"/>
      <c r="AI496" s="9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7"/>
      <c r="AE497" s="9"/>
      <c r="AF497" s="1"/>
      <c r="AG497" s="1"/>
      <c r="AH497" s="1"/>
      <c r="AI497" s="9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7"/>
      <c r="AE498" s="9"/>
      <c r="AF498" s="1"/>
      <c r="AG498" s="1"/>
      <c r="AH498" s="1"/>
      <c r="AI498" s="9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7"/>
      <c r="AE499" s="9"/>
      <c r="AF499" s="1"/>
      <c r="AG499" s="1"/>
      <c r="AH499" s="1"/>
      <c r="AI499" s="9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7"/>
      <c r="AE500" s="9"/>
      <c r="AF500" s="1"/>
      <c r="AG500" s="1"/>
      <c r="AH500" s="1"/>
      <c r="AI500" s="9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I6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2026-07-02T08:43:58Z</dcterms:created>
  <dcterms:modified xsi:type="dcterms:W3CDTF">2026-07-05T05:40:55Z</dcterms:modified>
</cp:coreProperties>
</file>