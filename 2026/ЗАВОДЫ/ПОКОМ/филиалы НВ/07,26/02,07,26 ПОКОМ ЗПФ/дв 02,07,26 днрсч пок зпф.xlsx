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5B104F53-BB1F-4128-81D5-D7A1F524BE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Sheet!$A$3:$AI$69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8" i="1" l="1"/>
  <c r="Q15" i="1"/>
  <c r="R70" i="1" l="1"/>
  <c r="AE70" i="1"/>
  <c r="AF70" i="1" s="1"/>
  <c r="AC70" i="1"/>
  <c r="AI70" i="1" l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49" i="1"/>
  <c r="AH48" i="1"/>
  <c r="AH47" i="1"/>
  <c r="AH46" i="1"/>
  <c r="AH45" i="1"/>
  <c r="AH44" i="1"/>
  <c r="AH43" i="1"/>
  <c r="AH42" i="1"/>
  <c r="AH41" i="1"/>
  <c r="AH39" i="1"/>
  <c r="AH38" i="1"/>
  <c r="AH37" i="1"/>
  <c r="AH36" i="1"/>
  <c r="AH35" i="1"/>
  <c r="AH34" i="1"/>
  <c r="AH33" i="1"/>
  <c r="AH31" i="1"/>
  <c r="AH30" i="1"/>
  <c r="AH29" i="1"/>
  <c r="AH28" i="1"/>
  <c r="AH27" i="1"/>
  <c r="AH26" i="1"/>
  <c r="AH25" i="1"/>
  <c r="AH23" i="1"/>
  <c r="AH22" i="1"/>
  <c r="AH21" i="1"/>
  <c r="AH20" i="1"/>
  <c r="AH18" i="1"/>
  <c r="AH17" i="1"/>
  <c r="AH16" i="1"/>
  <c r="AH15" i="1"/>
  <c r="AH14" i="1"/>
  <c r="AH13" i="1"/>
  <c r="AH12" i="1"/>
  <c r="AH11" i="1"/>
  <c r="AH10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49" i="1"/>
  <c r="AG48" i="1"/>
  <c r="AG47" i="1"/>
  <c r="AG46" i="1"/>
  <c r="AG45" i="1"/>
  <c r="AG44" i="1"/>
  <c r="AG43" i="1"/>
  <c r="AG42" i="1"/>
  <c r="AG41" i="1"/>
  <c r="AG39" i="1"/>
  <c r="AG38" i="1"/>
  <c r="AG37" i="1"/>
  <c r="AG36" i="1"/>
  <c r="AG35" i="1"/>
  <c r="AG34" i="1"/>
  <c r="AG33" i="1"/>
  <c r="AG31" i="1"/>
  <c r="AG30" i="1"/>
  <c r="AG29" i="1"/>
  <c r="AG28" i="1"/>
  <c r="AG27" i="1"/>
  <c r="AG26" i="1"/>
  <c r="AG25" i="1"/>
  <c r="AG23" i="1"/>
  <c r="AG22" i="1"/>
  <c r="AG21" i="1"/>
  <c r="AG20" i="1"/>
  <c r="AG18" i="1"/>
  <c r="AG17" i="1"/>
  <c r="AG16" i="1"/>
  <c r="AG15" i="1"/>
  <c r="AG14" i="1"/>
  <c r="AG13" i="1"/>
  <c r="AG12" i="1"/>
  <c r="AG11" i="1"/>
  <c r="AG10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49" i="1"/>
  <c r="AD48" i="1"/>
  <c r="AD47" i="1"/>
  <c r="AD46" i="1"/>
  <c r="AD45" i="1"/>
  <c r="AD44" i="1"/>
  <c r="AD43" i="1"/>
  <c r="AD42" i="1"/>
  <c r="AD41" i="1"/>
  <c r="AD39" i="1"/>
  <c r="AD38" i="1"/>
  <c r="AD37" i="1"/>
  <c r="AD36" i="1"/>
  <c r="AD35" i="1"/>
  <c r="AD34" i="1"/>
  <c r="AD33" i="1"/>
  <c r="AD31" i="1"/>
  <c r="AD30" i="1"/>
  <c r="AD29" i="1"/>
  <c r="AD28" i="1"/>
  <c r="AD27" i="1"/>
  <c r="AD26" i="1"/>
  <c r="AD25" i="1"/>
  <c r="AD23" i="1"/>
  <c r="AD22" i="1"/>
  <c r="AD21" i="1"/>
  <c r="AD20" i="1"/>
  <c r="AD18" i="1"/>
  <c r="AD17" i="1"/>
  <c r="AD16" i="1"/>
  <c r="AD15" i="1"/>
  <c r="AD14" i="1"/>
  <c r="AD13" i="1"/>
  <c r="AD12" i="1"/>
  <c r="AD11" i="1"/>
  <c r="AD10" i="1"/>
  <c r="I68" i="1"/>
  <c r="I67" i="1"/>
  <c r="I66" i="1"/>
  <c r="I65" i="1"/>
  <c r="I64" i="1"/>
  <c r="I62" i="1"/>
  <c r="I61" i="1"/>
  <c r="I60" i="1"/>
  <c r="I59" i="1"/>
  <c r="I58" i="1"/>
  <c r="I57" i="1"/>
  <c r="I56" i="1"/>
  <c r="I55" i="1"/>
  <c r="I53" i="1"/>
  <c r="I52" i="1"/>
  <c r="I51" i="1"/>
  <c r="I49" i="1"/>
  <c r="I48" i="1"/>
  <c r="I47" i="1"/>
  <c r="I46" i="1"/>
  <c r="I45" i="1"/>
  <c r="I44" i="1"/>
  <c r="I43" i="1"/>
  <c r="I42" i="1"/>
  <c r="I41" i="1"/>
  <c r="I39" i="1"/>
  <c r="I38" i="1"/>
  <c r="I37" i="1"/>
  <c r="I36" i="1"/>
  <c r="I35" i="1"/>
  <c r="I34" i="1"/>
  <c r="I33" i="1"/>
  <c r="I31" i="1"/>
  <c r="I30" i="1"/>
  <c r="I28" i="1"/>
  <c r="I27" i="1"/>
  <c r="I26" i="1"/>
  <c r="I25" i="1"/>
  <c r="I23" i="1"/>
  <c r="I22" i="1"/>
  <c r="I21" i="1"/>
  <c r="I20" i="1"/>
  <c r="I11" i="1"/>
  <c r="I12" i="1"/>
  <c r="I13" i="1"/>
  <c r="I14" i="1"/>
  <c r="I15" i="1"/>
  <c r="I16" i="1"/>
  <c r="I17" i="1"/>
  <c r="I18" i="1"/>
  <c r="I10" i="1"/>
  <c r="H11" i="1"/>
  <c r="H12" i="1"/>
  <c r="H13" i="1"/>
  <c r="H14" i="1"/>
  <c r="H15" i="1"/>
  <c r="H16" i="1"/>
  <c r="H17" i="1"/>
  <c r="H18" i="1"/>
  <c r="H20" i="1"/>
  <c r="H21" i="1"/>
  <c r="H22" i="1"/>
  <c r="H23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1" i="1"/>
  <c r="H42" i="1"/>
  <c r="H43" i="1"/>
  <c r="H44" i="1"/>
  <c r="H45" i="1"/>
  <c r="H46" i="1"/>
  <c r="H47" i="1"/>
  <c r="H48" i="1"/>
  <c r="H49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10" i="1"/>
  <c r="G11" i="1"/>
  <c r="G12" i="1"/>
  <c r="G13" i="1"/>
  <c r="G14" i="1"/>
  <c r="G15" i="1"/>
  <c r="G16" i="1"/>
  <c r="G17" i="1"/>
  <c r="G18" i="1"/>
  <c r="G20" i="1"/>
  <c r="G21" i="1"/>
  <c r="G22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1" i="1"/>
  <c r="G42" i="1"/>
  <c r="G43" i="1"/>
  <c r="G44" i="1"/>
  <c r="G45" i="1"/>
  <c r="G46" i="1"/>
  <c r="G47" i="1"/>
  <c r="G48" i="1"/>
  <c r="G49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10" i="1"/>
  <c r="P44" i="1" l="1"/>
  <c r="P69" i="1" l="1"/>
  <c r="U69" i="1" s="1"/>
  <c r="L69" i="1"/>
  <c r="F68" i="1"/>
  <c r="E68" i="1"/>
  <c r="L68" i="1" s="1"/>
  <c r="P67" i="1"/>
  <c r="L67" i="1"/>
  <c r="P66" i="1"/>
  <c r="Q66" i="1" s="1"/>
  <c r="L66" i="1"/>
  <c r="P65" i="1"/>
  <c r="Q65" i="1" s="1"/>
  <c r="AC65" i="1" s="1"/>
  <c r="L65" i="1"/>
  <c r="F64" i="1"/>
  <c r="E64" i="1"/>
  <c r="L64" i="1" s="1"/>
  <c r="P63" i="1"/>
  <c r="L63" i="1"/>
  <c r="P62" i="1"/>
  <c r="L62" i="1"/>
  <c r="P61" i="1"/>
  <c r="Q61" i="1" s="1"/>
  <c r="L61" i="1"/>
  <c r="P60" i="1"/>
  <c r="Q60" i="1" s="1"/>
  <c r="L60" i="1"/>
  <c r="P59" i="1"/>
  <c r="L59" i="1"/>
  <c r="P58" i="1"/>
  <c r="L58" i="1"/>
  <c r="P57" i="1"/>
  <c r="L57" i="1"/>
  <c r="P56" i="1"/>
  <c r="Q56" i="1" s="1"/>
  <c r="L56" i="1"/>
  <c r="P55" i="1"/>
  <c r="Q55" i="1" s="1"/>
  <c r="L55" i="1"/>
  <c r="P54" i="1"/>
  <c r="L54" i="1"/>
  <c r="P53" i="1"/>
  <c r="L53" i="1"/>
  <c r="P52" i="1"/>
  <c r="L52" i="1"/>
  <c r="P51" i="1"/>
  <c r="L51" i="1"/>
  <c r="P50" i="1"/>
  <c r="U50" i="1" s="1"/>
  <c r="L50" i="1"/>
  <c r="P49" i="1"/>
  <c r="Q49" i="1" s="1"/>
  <c r="L49" i="1"/>
  <c r="P48" i="1"/>
  <c r="L48" i="1"/>
  <c r="F47" i="1"/>
  <c r="E47" i="1"/>
  <c r="L47" i="1" s="1"/>
  <c r="P46" i="1"/>
  <c r="L46" i="1"/>
  <c r="P45" i="1"/>
  <c r="Q45" i="1" s="1"/>
  <c r="L45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Q33" i="1" s="1"/>
  <c r="L33" i="1"/>
  <c r="P32" i="1"/>
  <c r="T32" i="1" s="1"/>
  <c r="L32" i="1"/>
  <c r="P31" i="1"/>
  <c r="Q31" i="1" s="1"/>
  <c r="L31" i="1"/>
  <c r="P30" i="1"/>
  <c r="Q30" i="1" s="1"/>
  <c r="L30" i="1"/>
  <c r="P29" i="1"/>
  <c r="L29" i="1"/>
  <c r="P28" i="1"/>
  <c r="L28" i="1"/>
  <c r="P27" i="1"/>
  <c r="L27" i="1"/>
  <c r="P26" i="1"/>
  <c r="Q26" i="1" s="1"/>
  <c r="L26" i="1"/>
  <c r="P25" i="1"/>
  <c r="L25" i="1"/>
  <c r="P24" i="1"/>
  <c r="L24" i="1"/>
  <c r="P23" i="1"/>
  <c r="L23" i="1"/>
  <c r="P22" i="1"/>
  <c r="Q22" i="1" s="1"/>
  <c r="L22" i="1"/>
  <c r="P21" i="1"/>
  <c r="Q21" i="1" s="1"/>
  <c r="L21" i="1"/>
  <c r="F20" i="1"/>
  <c r="E20" i="1"/>
  <c r="L20" i="1" s="1"/>
  <c r="P19" i="1"/>
  <c r="T19" i="1" s="1"/>
  <c r="L19" i="1"/>
  <c r="P18" i="1"/>
  <c r="Q18" i="1" s="1"/>
  <c r="L18" i="1"/>
  <c r="P17" i="1"/>
  <c r="L17" i="1"/>
  <c r="P16" i="1"/>
  <c r="L16" i="1"/>
  <c r="F15" i="1"/>
  <c r="E15" i="1"/>
  <c r="L15" i="1" s="1"/>
  <c r="P14" i="1"/>
  <c r="Q14" i="1" s="1"/>
  <c r="L14" i="1"/>
  <c r="P13" i="1"/>
  <c r="Q13" i="1" s="1"/>
  <c r="L13" i="1"/>
  <c r="P12" i="1"/>
  <c r="Q12" i="1" s="1"/>
  <c r="L12" i="1"/>
  <c r="P11" i="1"/>
  <c r="L11" i="1"/>
  <c r="P10" i="1"/>
  <c r="L10" i="1"/>
  <c r="P9" i="1"/>
  <c r="L9" i="1"/>
  <c r="P8" i="1"/>
  <c r="U8" i="1" s="1"/>
  <c r="L8" i="1"/>
  <c r="P7" i="1"/>
  <c r="U7" i="1" s="1"/>
  <c r="L7" i="1"/>
  <c r="P6" i="1"/>
  <c r="U6" i="1" s="1"/>
  <c r="L6" i="1"/>
  <c r="AA5" i="1"/>
  <c r="Z5" i="1"/>
  <c r="Y5" i="1"/>
  <c r="X5" i="1"/>
  <c r="W5" i="1"/>
  <c r="V5" i="1"/>
  <c r="O5" i="1"/>
  <c r="N5" i="1"/>
  <c r="M5" i="1"/>
  <c r="K5" i="1"/>
  <c r="Q48" i="1" l="1"/>
  <c r="AC48" i="1" s="1"/>
  <c r="U65" i="1"/>
  <c r="E5" i="1"/>
  <c r="T7" i="1"/>
  <c r="U48" i="1"/>
  <c r="AE65" i="1"/>
  <c r="AF65" i="1" s="1"/>
  <c r="L5" i="1"/>
  <c r="U9" i="1"/>
  <c r="T9" i="1"/>
  <c r="U13" i="1"/>
  <c r="U16" i="1"/>
  <c r="Q16" i="1"/>
  <c r="U23" i="1"/>
  <c r="Q23" i="1"/>
  <c r="U28" i="1"/>
  <c r="Q28" i="1"/>
  <c r="U31" i="1"/>
  <c r="U37" i="1"/>
  <c r="Q37" i="1"/>
  <c r="U45" i="1"/>
  <c r="U49" i="1"/>
  <c r="U58" i="1"/>
  <c r="U66" i="1"/>
  <c r="U67" i="1"/>
  <c r="Q67" i="1"/>
  <c r="U10" i="1"/>
  <c r="Q10" i="1"/>
  <c r="U11" i="1"/>
  <c r="Q11" i="1"/>
  <c r="U17" i="1"/>
  <c r="U24" i="1"/>
  <c r="U27" i="1"/>
  <c r="Q27" i="1"/>
  <c r="U34" i="1"/>
  <c r="Q34" i="1"/>
  <c r="U35" i="1"/>
  <c r="Q35" i="1"/>
  <c r="U36" i="1"/>
  <c r="Q36" i="1"/>
  <c r="U39" i="1"/>
  <c r="U42" i="1"/>
  <c r="Q42" i="1"/>
  <c r="U43" i="1"/>
  <c r="Q43" i="1"/>
  <c r="U44" i="1"/>
  <c r="U52" i="1"/>
  <c r="U55" i="1"/>
  <c r="U56" i="1"/>
  <c r="U57" i="1"/>
  <c r="Q57" i="1"/>
  <c r="U60" i="1"/>
  <c r="U63" i="1"/>
  <c r="U12" i="1"/>
  <c r="U14" i="1"/>
  <c r="U18" i="1"/>
  <c r="U21" i="1"/>
  <c r="U22" i="1"/>
  <c r="U25" i="1"/>
  <c r="Q25" i="1"/>
  <c r="U26" i="1"/>
  <c r="U29" i="1"/>
  <c r="U30" i="1"/>
  <c r="U33" i="1"/>
  <c r="U38" i="1"/>
  <c r="U40" i="1"/>
  <c r="U41" i="1"/>
  <c r="Q41" i="1"/>
  <c r="U46" i="1"/>
  <c r="Q46" i="1"/>
  <c r="U51" i="1"/>
  <c r="Q51" i="1"/>
  <c r="U53" i="1"/>
  <c r="Q53" i="1"/>
  <c r="U54" i="1"/>
  <c r="U59" i="1"/>
  <c r="U61" i="1"/>
  <c r="U62" i="1"/>
  <c r="Q62" i="1"/>
  <c r="P15" i="1"/>
  <c r="P20" i="1"/>
  <c r="U20" i="1" s="1"/>
  <c r="P68" i="1"/>
  <c r="U68" i="1" s="1"/>
  <c r="F5" i="1"/>
  <c r="T6" i="1"/>
  <c r="T8" i="1"/>
  <c r="U32" i="1"/>
  <c r="P47" i="1"/>
  <c r="Q47" i="1" s="1"/>
  <c r="T50" i="1"/>
  <c r="P64" i="1"/>
  <c r="Q64" i="1" s="1"/>
  <c r="T69" i="1"/>
  <c r="U19" i="1"/>
  <c r="R65" i="1" l="1"/>
  <c r="T65" i="1" s="1"/>
  <c r="AE48" i="1"/>
  <c r="AF48" i="1" s="1"/>
  <c r="AI65" i="1"/>
  <c r="AI48" i="1"/>
  <c r="AE64" i="1"/>
  <c r="AC64" i="1"/>
  <c r="U47" i="1"/>
  <c r="U64" i="1"/>
  <c r="AC15" i="1"/>
  <c r="AE15" i="1"/>
  <c r="AC62" i="1"/>
  <c r="AE62" i="1"/>
  <c r="AE61" i="1"/>
  <c r="AC61" i="1"/>
  <c r="AC59" i="1"/>
  <c r="AE59" i="1"/>
  <c r="AC54" i="1"/>
  <c r="AE54" i="1"/>
  <c r="AE53" i="1"/>
  <c r="AC53" i="1"/>
  <c r="AC51" i="1"/>
  <c r="AE51" i="1"/>
  <c r="AC46" i="1"/>
  <c r="AE46" i="1"/>
  <c r="AC41" i="1"/>
  <c r="AE41" i="1"/>
  <c r="AE40" i="1"/>
  <c r="AC40" i="1"/>
  <c r="AC38" i="1"/>
  <c r="AE38" i="1"/>
  <c r="AC33" i="1"/>
  <c r="AE33" i="1"/>
  <c r="AC30" i="1"/>
  <c r="AE30" i="1"/>
  <c r="AE29" i="1"/>
  <c r="AC29" i="1"/>
  <c r="AC26" i="1"/>
  <c r="AE26" i="1"/>
  <c r="AE25" i="1"/>
  <c r="AC25" i="1"/>
  <c r="AC22" i="1"/>
  <c r="AE22" i="1"/>
  <c r="AE21" i="1"/>
  <c r="AC21" i="1"/>
  <c r="AC18" i="1"/>
  <c r="AE18" i="1"/>
  <c r="AE14" i="1"/>
  <c r="AC14" i="1"/>
  <c r="AC12" i="1"/>
  <c r="AE12" i="1"/>
  <c r="AE63" i="1"/>
  <c r="AC63" i="1"/>
  <c r="AE60" i="1"/>
  <c r="AC60" i="1"/>
  <c r="AC57" i="1"/>
  <c r="AE57" i="1"/>
  <c r="AE56" i="1"/>
  <c r="AC56" i="1"/>
  <c r="AE55" i="1"/>
  <c r="AC55" i="1"/>
  <c r="AE52" i="1"/>
  <c r="AC52" i="1"/>
  <c r="AC44" i="1"/>
  <c r="AE44" i="1"/>
  <c r="AE43" i="1"/>
  <c r="AC43" i="1"/>
  <c r="AE42" i="1"/>
  <c r="AC42" i="1"/>
  <c r="AE39" i="1"/>
  <c r="AC39" i="1"/>
  <c r="AC36" i="1"/>
  <c r="AE36" i="1"/>
  <c r="AE35" i="1"/>
  <c r="AC35" i="1"/>
  <c r="AE34" i="1"/>
  <c r="AC34" i="1"/>
  <c r="AC27" i="1"/>
  <c r="AE27" i="1"/>
  <c r="AE24" i="1"/>
  <c r="AC24" i="1"/>
  <c r="AE17" i="1"/>
  <c r="AC17" i="1"/>
  <c r="AC11" i="1"/>
  <c r="AE11" i="1"/>
  <c r="AE10" i="1"/>
  <c r="AC10" i="1"/>
  <c r="AC67" i="1"/>
  <c r="AE67" i="1"/>
  <c r="AE66" i="1"/>
  <c r="AC66" i="1"/>
  <c r="AE58" i="1"/>
  <c r="AC58" i="1"/>
  <c r="AE49" i="1"/>
  <c r="AC49" i="1"/>
  <c r="AE45" i="1"/>
  <c r="AC45" i="1"/>
  <c r="AE37" i="1"/>
  <c r="AC37" i="1"/>
  <c r="AE28" i="1"/>
  <c r="AC28" i="1"/>
  <c r="AC23" i="1"/>
  <c r="AE23" i="1"/>
  <c r="AC16" i="1"/>
  <c r="AE16" i="1"/>
  <c r="AE13" i="1"/>
  <c r="AC13" i="1"/>
  <c r="U15" i="1"/>
  <c r="Q68" i="1"/>
  <c r="P5" i="1"/>
  <c r="Q20" i="1"/>
  <c r="AE31" i="1"/>
  <c r="AC31" i="1"/>
  <c r="R48" i="1" l="1"/>
  <c r="T48" i="1" s="1"/>
  <c r="AE20" i="1"/>
  <c r="AC20" i="1"/>
  <c r="AE68" i="1"/>
  <c r="AC68" i="1"/>
  <c r="AI13" i="1"/>
  <c r="R13" i="1"/>
  <c r="T13" i="1" s="1"/>
  <c r="AF13" i="1"/>
  <c r="AI28" i="1"/>
  <c r="R28" i="1"/>
  <c r="T28" i="1" s="1"/>
  <c r="AF28" i="1"/>
  <c r="AI37" i="1"/>
  <c r="R37" i="1"/>
  <c r="T37" i="1" s="1"/>
  <c r="AF37" i="1"/>
  <c r="AI45" i="1"/>
  <c r="R45" i="1"/>
  <c r="T45" i="1" s="1"/>
  <c r="AF45" i="1"/>
  <c r="AI49" i="1"/>
  <c r="R49" i="1"/>
  <c r="T49" i="1" s="1"/>
  <c r="AF49" i="1"/>
  <c r="AI58" i="1"/>
  <c r="R58" i="1"/>
  <c r="T58" i="1" s="1"/>
  <c r="AF58" i="1"/>
  <c r="AI66" i="1"/>
  <c r="R66" i="1"/>
  <c r="T66" i="1" s="1"/>
  <c r="AF66" i="1"/>
  <c r="Q5" i="1"/>
  <c r="AI11" i="1"/>
  <c r="R11" i="1"/>
  <c r="T11" i="1" s="1"/>
  <c r="AF11" i="1"/>
  <c r="AF27" i="1"/>
  <c r="R27" i="1"/>
  <c r="T27" i="1" s="1"/>
  <c r="AI27" i="1"/>
  <c r="AF36" i="1"/>
  <c r="R36" i="1"/>
  <c r="T36" i="1" s="1"/>
  <c r="AI36" i="1"/>
  <c r="AF44" i="1"/>
  <c r="R44" i="1"/>
  <c r="T44" i="1" s="1"/>
  <c r="AI44" i="1"/>
  <c r="AF57" i="1"/>
  <c r="AI57" i="1"/>
  <c r="R57" i="1"/>
  <c r="T57" i="1" s="1"/>
  <c r="AF12" i="1"/>
  <c r="R12" i="1"/>
  <c r="T12" i="1" s="1"/>
  <c r="AI12" i="1"/>
  <c r="AF18" i="1"/>
  <c r="R18" i="1"/>
  <c r="T18" i="1" s="1"/>
  <c r="AI18" i="1"/>
  <c r="AI22" i="1"/>
  <c r="R22" i="1"/>
  <c r="T22" i="1" s="1"/>
  <c r="AF22" i="1"/>
  <c r="AI26" i="1"/>
  <c r="R26" i="1"/>
  <c r="T26" i="1" s="1"/>
  <c r="AF26" i="1"/>
  <c r="AI30" i="1"/>
  <c r="R30" i="1"/>
  <c r="T30" i="1" s="1"/>
  <c r="AF30" i="1"/>
  <c r="AI33" i="1"/>
  <c r="R33" i="1"/>
  <c r="T33" i="1" s="1"/>
  <c r="AF33" i="1"/>
  <c r="AF38" i="1"/>
  <c r="R38" i="1"/>
  <c r="T38" i="1" s="1"/>
  <c r="AI38" i="1"/>
  <c r="AI41" i="1"/>
  <c r="R41" i="1"/>
  <c r="T41" i="1" s="1"/>
  <c r="AF41" i="1"/>
  <c r="AF46" i="1"/>
  <c r="R46" i="1"/>
  <c r="T46" i="1" s="1"/>
  <c r="AI46" i="1"/>
  <c r="AF51" i="1"/>
  <c r="R51" i="1"/>
  <c r="T51" i="1" s="1"/>
  <c r="AI51" i="1"/>
  <c r="AI54" i="1"/>
  <c r="R54" i="1"/>
  <c r="T54" i="1" s="1"/>
  <c r="AF54" i="1"/>
  <c r="AF59" i="1"/>
  <c r="R59" i="1"/>
  <c r="T59" i="1" s="1"/>
  <c r="AI59" i="1"/>
  <c r="AI62" i="1"/>
  <c r="R62" i="1"/>
  <c r="T62" i="1" s="1"/>
  <c r="AF62" i="1"/>
  <c r="AI15" i="1"/>
  <c r="R15" i="1"/>
  <c r="T15" i="1" s="1"/>
  <c r="AF15" i="1"/>
  <c r="AI64" i="1"/>
  <c r="R64" i="1"/>
  <c r="T64" i="1" s="1"/>
  <c r="AF64" i="1"/>
  <c r="AF31" i="1"/>
  <c r="AI31" i="1"/>
  <c r="R31" i="1"/>
  <c r="T31" i="1" s="1"/>
  <c r="R16" i="1"/>
  <c r="T16" i="1" s="1"/>
  <c r="AF16" i="1"/>
  <c r="AI16" i="1"/>
  <c r="AF23" i="1"/>
  <c r="R23" i="1"/>
  <c r="T23" i="1" s="1"/>
  <c r="AI23" i="1"/>
  <c r="AF67" i="1"/>
  <c r="AI67" i="1"/>
  <c r="R67" i="1"/>
  <c r="T67" i="1" s="1"/>
  <c r="AI10" i="1"/>
  <c r="R10" i="1"/>
  <c r="AF10" i="1"/>
  <c r="AI17" i="1"/>
  <c r="R17" i="1"/>
  <c r="T17" i="1" s="1"/>
  <c r="AF17" i="1"/>
  <c r="AI24" i="1"/>
  <c r="R24" i="1"/>
  <c r="T24" i="1" s="1"/>
  <c r="AF24" i="1"/>
  <c r="AF34" i="1"/>
  <c r="R34" i="1"/>
  <c r="T34" i="1" s="1"/>
  <c r="AI34" i="1"/>
  <c r="AI35" i="1"/>
  <c r="R35" i="1"/>
  <c r="T35" i="1" s="1"/>
  <c r="AF35" i="1"/>
  <c r="AI39" i="1"/>
  <c r="R39" i="1"/>
  <c r="T39" i="1" s="1"/>
  <c r="AF39" i="1"/>
  <c r="AF42" i="1"/>
  <c r="R42" i="1"/>
  <c r="T42" i="1" s="1"/>
  <c r="AI42" i="1"/>
  <c r="AI43" i="1"/>
  <c r="R43" i="1"/>
  <c r="T43" i="1" s="1"/>
  <c r="AF43" i="1"/>
  <c r="AI52" i="1"/>
  <c r="R52" i="1"/>
  <c r="T52" i="1" s="1"/>
  <c r="AF52" i="1"/>
  <c r="AF55" i="1"/>
  <c r="R55" i="1"/>
  <c r="T55" i="1" s="1"/>
  <c r="AI55" i="1"/>
  <c r="AI56" i="1"/>
  <c r="R56" i="1"/>
  <c r="T56" i="1" s="1"/>
  <c r="AF56" i="1"/>
  <c r="AI60" i="1"/>
  <c r="R60" i="1"/>
  <c r="T60" i="1" s="1"/>
  <c r="AF60" i="1"/>
  <c r="AF63" i="1"/>
  <c r="R63" i="1"/>
  <c r="T63" i="1" s="1"/>
  <c r="AI63" i="1"/>
  <c r="AF14" i="1"/>
  <c r="R14" i="1"/>
  <c r="T14" i="1" s="1"/>
  <c r="AI14" i="1"/>
  <c r="AF21" i="1"/>
  <c r="R21" i="1"/>
  <c r="T21" i="1" s="1"/>
  <c r="AI21" i="1"/>
  <c r="AF25" i="1"/>
  <c r="R25" i="1"/>
  <c r="T25" i="1" s="1"/>
  <c r="AI25" i="1"/>
  <c r="AF29" i="1"/>
  <c r="R29" i="1"/>
  <c r="T29" i="1" s="1"/>
  <c r="AI29" i="1"/>
  <c r="AF40" i="1"/>
  <c r="AI40" i="1"/>
  <c r="R40" i="1"/>
  <c r="T40" i="1" s="1"/>
  <c r="AF53" i="1"/>
  <c r="R53" i="1"/>
  <c r="T53" i="1" s="1"/>
  <c r="AI53" i="1"/>
  <c r="AF61" i="1"/>
  <c r="R61" i="1"/>
  <c r="T61" i="1" s="1"/>
  <c r="AI61" i="1"/>
  <c r="AE47" i="1"/>
  <c r="AE5" i="1" s="1"/>
  <c r="AC47" i="1"/>
  <c r="AC5" i="1" l="1"/>
  <c r="AI47" i="1"/>
  <c r="R47" i="1"/>
  <c r="T47" i="1" s="1"/>
  <c r="AF47" i="1"/>
  <c r="T10" i="1"/>
  <c r="AI68" i="1"/>
  <c r="R68" i="1"/>
  <c r="T68" i="1" s="1"/>
  <c r="AF68" i="1"/>
  <c r="AI20" i="1"/>
  <c r="R20" i="1"/>
  <c r="T20" i="1" s="1"/>
  <c r="AF20" i="1"/>
  <c r="AF5" i="1" l="1"/>
  <c r="AI5" i="1"/>
  <c r="R5" i="1"/>
</calcChain>
</file>

<file path=xl/sharedStrings.xml><?xml version="1.0" encoding="utf-8"?>
<sst xmlns="http://schemas.openxmlformats.org/spreadsheetml/2006/main" count="202" uniqueCount="119">
  <si>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</si>
  <si>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</si>
  <si>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</si>
  <si>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</si>
  <si>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</si>
  <si>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</si>
  <si>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</si>
  <si>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</si>
  <si>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</si>
  <si>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</si>
  <si>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</si>
  <si>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</si>
  <si>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</si>
  <si>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</si>
  <si>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</si>
  <si>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</si>
  <si>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</si>
  <si>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</si>
  <si>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</si>
  <si>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</si>
  <si>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</si>
  <si>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</si>
  <si>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</si>
  <si>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</si>
  <si>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</si>
  <si>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</si>
  <si>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</si>
  <si>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</si>
  <si>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</si>
  <si>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29,06,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</si>
  <si>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</si>
  <si>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</si>
  <si>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</si>
  <si>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</si>
  <si>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</si>
  <si>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</si>
  <si>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</si>
  <si>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</si>
  <si>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</si>
  <si>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</si>
  <si>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</si>
  <si>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</si>
  <si>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</si>
  <si>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</si>
  <si>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</si>
  <si>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</si>
  <si>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</si>
  <si>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</si>
  <si>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</si>
  <si>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</si>
  <si>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</si>
  <si>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</si>
  <si>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</si>
  <si>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</si>
  <si>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</si>
  <si>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</si>
  <si>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</si>
  <si>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</si>
  <si>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</si>
  <si>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</si>
  <si>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</si>
  <si>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</si>
  <si>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</si>
  <si>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</si>
  <si>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</si>
  <si>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</si>
  <si>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</si>
  <si>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</si>
  <si>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</si>
  <si>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акция ЮТЛ (26,06,26 - 2500)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</si>
  <si>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</si>
  <si>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</si>
  <si>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</si>
  <si>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</si>
  <si>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</si>
  <si>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</si>
  <si>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</si>
  <si>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</si>
  <si>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</si>
  <si>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</si>
  <si>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</si>
  <si>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</si>
  <si>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</si>
  <si>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</si>
  <si>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</si>
  <si>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</si>
  <si>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</si>
  <si>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</si>
  <si>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</si>
  <si>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</si>
  <si>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нужно увеличить продажи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</si>
  <si>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</si>
  <si>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</si>
  <si>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</si>
  <si>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</si>
  <si>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акция ЮТЛ (26,06,26 - 1800)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</si>
  <si>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</si>
  <si>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</si>
  <si>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</si>
  <si>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</si>
  <si>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</si>
  <si>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</si>
  <si>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</si>
  <si>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</si>
  <si>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</si>
  <si>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</si>
  <si>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</si>
  <si>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</si>
  <si>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</si>
  <si>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</si>
  <si>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ВНИМАНИЕ / P005043</t>
  </si>
  <si>
    <t>ВНИМАНИЕ / P005182</t>
  </si>
  <si>
    <t>ВНИМАНИЕ / P004486</t>
  </si>
  <si>
    <t>нужно увеличить продажи!!!</t>
  </si>
  <si>
    <t>Пельмени «Медвежье ушко Премиум Мясные» 0,8 классическая форма ТМ «Медвежье ушко»</t>
  </si>
  <si>
    <t>P005158</t>
  </si>
  <si>
    <t>06,07,</t>
  </si>
  <si>
    <t>1000 шт ЮТЛ</t>
  </si>
  <si>
    <t>1000шт под ЮТЛ 03,07,26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</si>
</sst>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6" fontId="1" fillId="4" borderId="1" xfId="1" applyNumberFormat="1" applyFill="1"/>
    <xf numFmtId="164" fontId="1" fillId="0" borderId="1" xfId="1" applyNumberFormat="1" applyFill="1"/>
    <xf numFmtId="2" fontId="1" fillId="0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заказ филиала</v>
          </cell>
          <cell r="U3" t="str">
            <v>Комментарии филиала</v>
          </cell>
          <cell r="V3" t="str">
            <v>кон ост</v>
          </cell>
          <cell r="W3" t="str">
            <v>факт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крат кор</v>
          </cell>
          <cell r="AG3" t="str">
            <v>заказ кор.</v>
          </cell>
          <cell r="AH3" t="str">
            <v>ВЕС</v>
          </cell>
          <cell r="AI3" t="str">
            <v>ряд</v>
          </cell>
          <cell r="AJ3" t="str">
            <v>паллет</v>
          </cell>
        </row>
        <row r="4">
          <cell r="O4" t="str">
            <v>22,06,</v>
          </cell>
          <cell r="P4" t="str">
            <v>29,06,</v>
          </cell>
          <cell r="Q4" t="str">
            <v>02,07,</v>
          </cell>
          <cell r="X4" t="str">
            <v>25,06,</v>
          </cell>
          <cell r="Y4" t="str">
            <v>18,06,</v>
          </cell>
          <cell r="Z4" t="str">
            <v>11,06,</v>
          </cell>
          <cell r="AA4" t="str">
            <v>04,06,</v>
          </cell>
          <cell r="AB4" t="str">
            <v>28,05,</v>
          </cell>
          <cell r="AC4" t="str">
            <v>21,05,</v>
          </cell>
        </row>
        <row r="5">
          <cell r="E5">
            <v>11365</v>
          </cell>
          <cell r="F5">
            <v>5060.6000000000004</v>
          </cell>
          <cell r="K5">
            <v>11053.6</v>
          </cell>
          <cell r="L5">
            <v>311.39999999999998</v>
          </cell>
          <cell r="M5">
            <v>0</v>
          </cell>
          <cell r="N5">
            <v>0</v>
          </cell>
          <cell r="O5">
            <v>15801.2</v>
          </cell>
          <cell r="P5">
            <v>14001.8</v>
          </cell>
          <cell r="Q5">
            <v>2273.0000000000005</v>
          </cell>
          <cell r="R5">
            <v>7305.34</v>
          </cell>
          <cell r="S5">
            <v>7335.8</v>
          </cell>
          <cell r="T5">
            <v>0</v>
          </cell>
          <cell r="X5">
            <v>2385.1799999999998</v>
          </cell>
          <cell r="Y5">
            <v>2426.4199999999996</v>
          </cell>
          <cell r="Z5">
            <v>2159.9659999999994</v>
          </cell>
          <cell r="AA5">
            <v>2317.7799999999997</v>
          </cell>
          <cell r="AB5">
            <v>2162.94</v>
          </cell>
          <cell r="AC5">
            <v>2675.66</v>
          </cell>
          <cell r="AE5">
            <v>2749.1819999999998</v>
          </cell>
          <cell r="AG5">
            <v>762</v>
          </cell>
          <cell r="AH5">
            <v>2774.6000000000004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E6">
            <v>21</v>
          </cell>
          <cell r="F6">
            <v>-82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</v>
          </cell>
          <cell r="L6">
            <v>-6</v>
          </cell>
          <cell r="O6">
            <v>0</v>
          </cell>
          <cell r="Q6">
            <v>4.2</v>
          </cell>
          <cell r="V6">
            <v>-19.523809523809522</v>
          </cell>
          <cell r="W6">
            <v>-19.523809523809522</v>
          </cell>
          <cell r="X6">
            <v>9</v>
          </cell>
          <cell r="Y6">
            <v>11.2</v>
          </cell>
          <cell r="Z6">
            <v>6</v>
          </cell>
          <cell r="AA6">
            <v>10.199999999999999</v>
          </cell>
          <cell r="AB6">
            <v>9.6</v>
          </cell>
          <cell r="AC6">
            <v>37.6</v>
          </cell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I7" t="str">
            <v>бонус</v>
          </cell>
          <cell r="J7" t="str">
            <v>Пельмени Бульмени со сливочным маслом ТМ Горячая штучка флоу-пак сфера 0,7 кг .  Поком</v>
          </cell>
          <cell r="K7">
            <v>55</v>
          </cell>
          <cell r="L7">
            <v>8</v>
          </cell>
          <cell r="O7">
            <v>0</v>
          </cell>
          <cell r="Q7">
            <v>12.6</v>
          </cell>
          <cell r="V7">
            <v>-0.87301587301587302</v>
          </cell>
          <cell r="W7">
            <v>-0.87301587301587302</v>
          </cell>
          <cell r="X7">
            <v>13.8</v>
          </cell>
          <cell r="Y7">
            <v>12.6</v>
          </cell>
          <cell r="Z7">
            <v>9</v>
          </cell>
          <cell r="AA7">
            <v>10</v>
          </cell>
          <cell r="AB7">
            <v>17</v>
          </cell>
          <cell r="AC7">
            <v>36.6</v>
          </cell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E8">
            <v>7.4</v>
          </cell>
          <cell r="F8">
            <v>-7.4</v>
          </cell>
          <cell r="G8">
            <v>0</v>
          </cell>
          <cell r="I8" t="str">
            <v>бонус</v>
          </cell>
          <cell r="J8" t="str">
            <v>Пирожки с мясом 3,7кг ВЕС ТМ Зареченские  ПОКОМ</v>
          </cell>
          <cell r="K8">
            <v>14.8</v>
          </cell>
          <cell r="L8">
            <v>-7.4</v>
          </cell>
          <cell r="Q8">
            <v>1.48</v>
          </cell>
          <cell r="V8">
            <v>-5</v>
          </cell>
          <cell r="W8">
            <v>-5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E9">
            <v>2</v>
          </cell>
          <cell r="F9">
            <v>32</v>
          </cell>
          <cell r="G9">
            <v>0</v>
          </cell>
          <cell r="I9" t="str">
            <v>бонус</v>
          </cell>
          <cell r="J9" t="str">
            <v>Чебупицца курочка по-итальянски Горячая штучка 0,25 кг зам  ПОКОМ</v>
          </cell>
          <cell r="K9">
            <v>15</v>
          </cell>
          <cell r="L9">
            <v>-13</v>
          </cell>
          <cell r="O9">
            <v>0</v>
          </cell>
          <cell r="Q9">
            <v>0.4</v>
          </cell>
          <cell r="V9">
            <v>80</v>
          </cell>
          <cell r="W9">
            <v>80</v>
          </cell>
          <cell r="X9">
            <v>5.2</v>
          </cell>
          <cell r="Y9">
            <v>8.4</v>
          </cell>
          <cell r="Z9">
            <v>0.2</v>
          </cell>
          <cell r="AA9">
            <v>0.8</v>
          </cell>
          <cell r="AB9">
            <v>2.6</v>
          </cell>
          <cell r="AC9">
            <v>10.4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  <cell r="K10">
            <v>25</v>
          </cell>
          <cell r="L10">
            <v>1</v>
          </cell>
          <cell r="O10">
            <v>168</v>
          </cell>
          <cell r="P10">
            <v>168</v>
          </cell>
          <cell r="Q10">
            <v>5.2</v>
          </cell>
          <cell r="S10">
            <v>0</v>
          </cell>
          <cell r="V10">
            <v>65.384615384615387</v>
          </cell>
          <cell r="W10">
            <v>65.384615384615387</v>
          </cell>
          <cell r="X10">
            <v>11</v>
          </cell>
          <cell r="Y10">
            <v>7.6</v>
          </cell>
          <cell r="Z10">
            <v>7.6</v>
          </cell>
          <cell r="AA10">
            <v>7.6</v>
          </cell>
          <cell r="AB10">
            <v>11.2</v>
          </cell>
          <cell r="AC10">
            <v>6.2</v>
          </cell>
          <cell r="AE10">
            <v>0</v>
          </cell>
          <cell r="AF10">
            <v>12</v>
          </cell>
          <cell r="AG10">
            <v>0</v>
          </cell>
          <cell r="AH10">
            <v>0</v>
          </cell>
          <cell r="AI10">
            <v>14</v>
          </cell>
          <cell r="AJ10">
            <v>70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  <cell r="K11">
            <v>194</v>
          </cell>
          <cell r="L11">
            <v>25</v>
          </cell>
          <cell r="O11">
            <v>168</v>
          </cell>
          <cell r="P11">
            <v>168</v>
          </cell>
          <cell r="Q11">
            <v>43.8</v>
          </cell>
          <cell r="R11">
            <v>199.19999999999993</v>
          </cell>
          <cell r="S11">
            <v>168</v>
          </cell>
          <cell r="V11">
            <v>13.287671232876713</v>
          </cell>
          <cell r="W11">
            <v>9.4520547945205493</v>
          </cell>
          <cell r="X11">
            <v>20.2</v>
          </cell>
          <cell r="Y11">
            <v>29.8</v>
          </cell>
          <cell r="Z11">
            <v>30.6</v>
          </cell>
          <cell r="AA11">
            <v>22.2</v>
          </cell>
          <cell r="AB11">
            <v>27</v>
          </cell>
          <cell r="AC11">
            <v>27.4</v>
          </cell>
          <cell r="AE11">
            <v>59.759999999999977</v>
          </cell>
          <cell r="AF11">
            <v>12</v>
          </cell>
          <cell r="AG11">
            <v>14</v>
          </cell>
          <cell r="AH11">
            <v>50.4</v>
          </cell>
          <cell r="AI11">
            <v>14</v>
          </cell>
          <cell r="AJ11">
            <v>70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180</v>
          </cell>
          <cell r="L12">
            <v>-21</v>
          </cell>
          <cell r="O12">
            <v>84</v>
          </cell>
          <cell r="P12">
            <v>504</v>
          </cell>
          <cell r="Q12">
            <v>31.8</v>
          </cell>
          <cell r="S12">
            <v>0</v>
          </cell>
          <cell r="V12">
            <v>18.490566037735849</v>
          </cell>
          <cell r="W12">
            <v>18.490566037735849</v>
          </cell>
          <cell r="X12">
            <v>72</v>
          </cell>
          <cell r="Y12">
            <v>50.4</v>
          </cell>
          <cell r="Z12">
            <v>4.8</v>
          </cell>
          <cell r="AA12">
            <v>46.2</v>
          </cell>
          <cell r="AB12">
            <v>53</v>
          </cell>
          <cell r="AC12">
            <v>89.2</v>
          </cell>
          <cell r="AE12">
            <v>0</v>
          </cell>
          <cell r="AF12">
            <v>6</v>
          </cell>
          <cell r="AG12">
            <v>0</v>
          </cell>
          <cell r="AH12">
            <v>0</v>
          </cell>
          <cell r="AI12">
            <v>14</v>
          </cell>
          <cell r="AJ12">
            <v>140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  <cell r="K13">
            <v>468</v>
          </cell>
          <cell r="L13">
            <v>33</v>
          </cell>
          <cell r="O13">
            <v>672</v>
          </cell>
          <cell r="P13">
            <v>168</v>
          </cell>
          <cell r="Q13">
            <v>100.2</v>
          </cell>
          <cell r="R13">
            <v>547.79999999999995</v>
          </cell>
          <cell r="S13">
            <v>504</v>
          </cell>
          <cell r="V13">
            <v>13.562874251497005</v>
          </cell>
          <cell r="W13">
            <v>8.5329341317365266</v>
          </cell>
          <cell r="X13">
            <v>39</v>
          </cell>
          <cell r="Y13">
            <v>70</v>
          </cell>
          <cell r="Z13">
            <v>68.599999999999994</v>
          </cell>
          <cell r="AA13">
            <v>57</v>
          </cell>
          <cell r="AB13">
            <v>68</v>
          </cell>
          <cell r="AC13">
            <v>76.2</v>
          </cell>
          <cell r="AE13">
            <v>131.47199999999998</v>
          </cell>
          <cell r="AF13">
            <v>12</v>
          </cell>
          <cell r="AG13">
            <v>42</v>
          </cell>
          <cell r="AH13">
            <v>120.96</v>
          </cell>
          <cell r="AI13">
            <v>14</v>
          </cell>
          <cell r="AJ13">
            <v>70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  <cell r="K14">
            <v>343</v>
          </cell>
          <cell r="L14">
            <v>71</v>
          </cell>
          <cell r="O14">
            <v>168</v>
          </cell>
          <cell r="P14">
            <v>336</v>
          </cell>
          <cell r="Q14">
            <v>82.8</v>
          </cell>
          <cell r="R14">
            <v>677.2</v>
          </cell>
          <cell r="S14">
            <v>672</v>
          </cell>
          <cell r="V14">
            <v>13.937198067632851</v>
          </cell>
          <cell r="W14">
            <v>5.8212560386473431</v>
          </cell>
          <cell r="X14">
            <v>80.599999999999994</v>
          </cell>
          <cell r="Y14">
            <v>94.6</v>
          </cell>
          <cell r="Z14">
            <v>67.8</v>
          </cell>
          <cell r="AA14">
            <v>77.599999999999994</v>
          </cell>
          <cell r="AB14">
            <v>50.4</v>
          </cell>
          <cell r="AC14">
            <v>75.2</v>
          </cell>
          <cell r="AE14">
            <v>162.52799999999999</v>
          </cell>
          <cell r="AF14">
            <v>12</v>
          </cell>
          <cell r="AG14">
            <v>56</v>
          </cell>
          <cell r="AH14">
            <v>161.28</v>
          </cell>
          <cell r="AI14">
            <v>14</v>
          </cell>
          <cell r="AJ14">
            <v>70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  <cell r="K15">
            <v>197</v>
          </cell>
          <cell r="L15">
            <v>46</v>
          </cell>
          <cell r="O15">
            <v>336</v>
          </cell>
          <cell r="P15">
            <v>336</v>
          </cell>
          <cell r="Q15">
            <v>48.6</v>
          </cell>
          <cell r="S15">
            <v>0</v>
          </cell>
          <cell r="V15">
            <v>13.868312757201645</v>
          </cell>
          <cell r="W15">
            <v>13.868312757201645</v>
          </cell>
          <cell r="X15">
            <v>46.6</v>
          </cell>
          <cell r="Y15">
            <v>47.8</v>
          </cell>
          <cell r="Z15">
            <v>38.6</v>
          </cell>
          <cell r="AA15">
            <v>20.8</v>
          </cell>
          <cell r="AB15">
            <v>47.6</v>
          </cell>
          <cell r="AC15">
            <v>42</v>
          </cell>
          <cell r="AE15">
            <v>0</v>
          </cell>
          <cell r="AF15">
            <v>12</v>
          </cell>
          <cell r="AG15">
            <v>0</v>
          </cell>
          <cell r="AH15">
            <v>0</v>
          </cell>
          <cell r="AI15">
            <v>14</v>
          </cell>
          <cell r="AJ15">
            <v>70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  <cell r="K16">
            <v>434</v>
          </cell>
          <cell r="L16">
            <v>12</v>
          </cell>
          <cell r="O16">
            <v>336</v>
          </cell>
          <cell r="P16">
            <v>336</v>
          </cell>
          <cell r="Q16">
            <v>89.2</v>
          </cell>
          <cell r="R16">
            <v>557.79999999999995</v>
          </cell>
          <cell r="S16">
            <v>504</v>
          </cell>
          <cell r="V16">
            <v>13.396860986547084</v>
          </cell>
          <cell r="W16">
            <v>7.746636771300448</v>
          </cell>
          <cell r="X16">
            <v>81.599999999999994</v>
          </cell>
          <cell r="Y16">
            <v>46.6</v>
          </cell>
          <cell r="Z16">
            <v>53.2</v>
          </cell>
          <cell r="AA16">
            <v>82.6</v>
          </cell>
          <cell r="AB16">
            <v>50.4</v>
          </cell>
          <cell r="AC16">
            <v>78</v>
          </cell>
          <cell r="AE16">
            <v>133.87199999999999</v>
          </cell>
          <cell r="AF16">
            <v>12</v>
          </cell>
          <cell r="AG16">
            <v>42</v>
          </cell>
          <cell r="AH16">
            <v>120.96</v>
          </cell>
          <cell r="AI16">
            <v>14</v>
          </cell>
          <cell r="AJ16">
            <v>70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E17">
            <v>3</v>
          </cell>
          <cell r="G17">
            <v>0.48</v>
          </cell>
          <cell r="H17">
            <v>180</v>
          </cell>
          <cell r="I17" t="str">
            <v>P004595</v>
          </cell>
          <cell r="K17">
            <v>16</v>
          </cell>
          <cell r="L17">
            <v>-13</v>
          </cell>
          <cell r="O17">
            <v>336</v>
          </cell>
          <cell r="P17">
            <v>112</v>
          </cell>
          <cell r="Q17">
            <v>0.6</v>
          </cell>
          <cell r="S17">
            <v>0</v>
          </cell>
          <cell r="V17">
            <v>746.66666666666674</v>
          </cell>
          <cell r="W17">
            <v>746.66666666666674</v>
          </cell>
          <cell r="X17">
            <v>3.8</v>
          </cell>
          <cell r="Y17">
            <v>20.2</v>
          </cell>
          <cell r="Z17">
            <v>0</v>
          </cell>
          <cell r="AA17">
            <v>10</v>
          </cell>
          <cell r="AB17">
            <v>16.399999999999999</v>
          </cell>
          <cell r="AC17">
            <v>23.2</v>
          </cell>
          <cell r="AE17">
            <v>0</v>
          </cell>
          <cell r="AF17">
            <v>8</v>
          </cell>
          <cell r="AG17">
            <v>0</v>
          </cell>
          <cell r="AH17">
            <v>0</v>
          </cell>
          <cell r="AI17">
            <v>14</v>
          </cell>
          <cell r="AJ17">
            <v>70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  <cell r="K18">
            <v>16</v>
          </cell>
          <cell r="L18">
            <v>-16</v>
          </cell>
          <cell r="O18">
            <v>0</v>
          </cell>
          <cell r="P18">
            <v>336</v>
          </cell>
          <cell r="Q18">
            <v>0</v>
          </cell>
          <cell r="S18">
            <v>0</v>
          </cell>
          <cell r="V18" t="e">
            <v>#DIV/0!</v>
          </cell>
          <cell r="W18" t="e">
            <v>#DIV/0!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42.2</v>
          </cell>
          <cell r="AE18">
            <v>0</v>
          </cell>
          <cell r="AF18">
            <v>24</v>
          </cell>
          <cell r="AG18">
            <v>0</v>
          </cell>
          <cell r="AH18">
            <v>0</v>
          </cell>
          <cell r="AI18">
            <v>14</v>
          </cell>
          <cell r="AJ18">
            <v>126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  <cell r="K19">
            <v>216</v>
          </cell>
          <cell r="L19">
            <v>9</v>
          </cell>
          <cell r="O19">
            <v>140</v>
          </cell>
          <cell r="P19">
            <v>0</v>
          </cell>
          <cell r="Q19">
            <v>45</v>
          </cell>
          <cell r="R19">
            <v>384</v>
          </cell>
          <cell r="S19">
            <v>420</v>
          </cell>
          <cell r="V19">
            <v>14.8</v>
          </cell>
          <cell r="W19">
            <v>5.4666666666666668</v>
          </cell>
          <cell r="X19">
            <v>17.2</v>
          </cell>
          <cell r="Y19">
            <v>24</v>
          </cell>
          <cell r="Z19">
            <v>36</v>
          </cell>
          <cell r="AA19">
            <v>33.4</v>
          </cell>
          <cell r="AB19">
            <v>27.2</v>
          </cell>
          <cell r="AC19">
            <v>30.8</v>
          </cell>
          <cell r="AE19">
            <v>138.24</v>
          </cell>
          <cell r="AF19">
            <v>10</v>
          </cell>
          <cell r="AG19">
            <v>42</v>
          </cell>
          <cell r="AH19">
            <v>151.19999999999999</v>
          </cell>
          <cell r="AI19">
            <v>14</v>
          </cell>
          <cell r="AJ19">
            <v>70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16</v>
          </cell>
          <cell r="L20">
            <v>-16</v>
          </cell>
          <cell r="O20">
            <v>0</v>
          </cell>
          <cell r="P20">
            <v>0</v>
          </cell>
          <cell r="Q20">
            <v>0</v>
          </cell>
          <cell r="V20" t="e">
            <v>#DIV/0!</v>
          </cell>
          <cell r="W20" t="e">
            <v>#DIV/0!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 t="str">
            <v>нужно увеличить продажи!!! / НЕТ В БЛАНКЕ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G21">
            <v>0.2</v>
          </cell>
          <cell r="H21">
            <v>180</v>
          </cell>
          <cell r="I21" t="str">
            <v>P005129</v>
          </cell>
          <cell r="K21">
            <v>16</v>
          </cell>
          <cell r="L21">
            <v>-16</v>
          </cell>
          <cell r="O21">
            <v>336</v>
          </cell>
          <cell r="P21">
            <v>168</v>
          </cell>
          <cell r="Q21">
            <v>0</v>
          </cell>
          <cell r="S21">
            <v>0</v>
          </cell>
          <cell r="V21" t="e">
            <v>#DIV/0!</v>
          </cell>
          <cell r="W21" t="e">
            <v>#DIV/0!</v>
          </cell>
          <cell r="X21">
            <v>1.6</v>
          </cell>
          <cell r="Y21">
            <v>22.8</v>
          </cell>
          <cell r="Z21">
            <v>9.1999999999999993</v>
          </cell>
          <cell r="AA21">
            <v>4.2</v>
          </cell>
          <cell r="AB21">
            <v>9</v>
          </cell>
          <cell r="AC21">
            <v>12.8</v>
          </cell>
          <cell r="AE21">
            <v>0</v>
          </cell>
          <cell r="AF21">
            <v>12</v>
          </cell>
          <cell r="AG21">
            <v>0</v>
          </cell>
          <cell r="AH21">
            <v>0</v>
          </cell>
          <cell r="AI21">
            <v>14</v>
          </cell>
          <cell r="AJ21">
            <v>70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  <cell r="K22">
            <v>356</v>
          </cell>
          <cell r="L22">
            <v>43</v>
          </cell>
          <cell r="O22">
            <v>336</v>
          </cell>
          <cell r="P22">
            <v>168</v>
          </cell>
          <cell r="Q22">
            <v>79.8</v>
          </cell>
          <cell r="R22">
            <v>618.20000000000005</v>
          </cell>
          <cell r="S22">
            <v>672</v>
          </cell>
          <cell r="V22">
            <v>14.674185463659148</v>
          </cell>
          <cell r="W22">
            <v>6.2531328320802011</v>
          </cell>
          <cell r="X22">
            <v>28.6</v>
          </cell>
          <cell r="Y22">
            <v>48</v>
          </cell>
          <cell r="Z22">
            <v>53.4</v>
          </cell>
          <cell r="AA22">
            <v>39.4</v>
          </cell>
          <cell r="AB22">
            <v>34.200000000000003</v>
          </cell>
          <cell r="AC22">
            <v>47.2</v>
          </cell>
          <cell r="AE22">
            <v>123.64000000000001</v>
          </cell>
          <cell r="AF22">
            <v>12</v>
          </cell>
          <cell r="AG22">
            <v>56</v>
          </cell>
          <cell r="AH22">
            <v>134.4</v>
          </cell>
          <cell r="AI22">
            <v>14</v>
          </cell>
          <cell r="AJ22">
            <v>70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  <cell r="K23">
            <v>192</v>
          </cell>
          <cell r="L23">
            <v>14</v>
          </cell>
          <cell r="O23">
            <v>336</v>
          </cell>
          <cell r="P23">
            <v>168</v>
          </cell>
          <cell r="Q23">
            <v>41.2</v>
          </cell>
          <cell r="R23">
            <v>140.20000000000005</v>
          </cell>
          <cell r="S23">
            <v>168</v>
          </cell>
          <cell r="V23">
            <v>16.674757281553397</v>
          </cell>
          <cell r="W23">
            <v>12.597087378640776</v>
          </cell>
          <cell r="X23">
            <v>26</v>
          </cell>
          <cell r="Y23">
            <v>11.6</v>
          </cell>
          <cell r="Z23">
            <v>21</v>
          </cell>
          <cell r="AA23">
            <v>11.4</v>
          </cell>
          <cell r="AB23">
            <v>19.8</v>
          </cell>
          <cell r="AC23">
            <v>25.2</v>
          </cell>
          <cell r="AE23">
            <v>28.04000000000001</v>
          </cell>
          <cell r="AF23">
            <v>12</v>
          </cell>
          <cell r="AG23">
            <v>14</v>
          </cell>
          <cell r="AH23">
            <v>33.6</v>
          </cell>
          <cell r="AI23">
            <v>14</v>
          </cell>
          <cell r="AJ23">
            <v>70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  <cell r="K24">
            <v>60</v>
          </cell>
          <cell r="L24">
            <v>-60</v>
          </cell>
          <cell r="O24">
            <v>0</v>
          </cell>
          <cell r="P24">
            <v>60</v>
          </cell>
          <cell r="Q24">
            <v>0</v>
          </cell>
          <cell r="S24">
            <v>0</v>
          </cell>
          <cell r="V24" t="e">
            <v>#DIV/0!</v>
          </cell>
          <cell r="W24" t="e">
            <v>#DIV/0!</v>
          </cell>
          <cell r="X24">
            <v>0</v>
          </cell>
          <cell r="Y24">
            <v>10</v>
          </cell>
          <cell r="Z24">
            <v>20</v>
          </cell>
          <cell r="AA24">
            <v>20</v>
          </cell>
          <cell r="AB24">
            <v>18</v>
          </cell>
          <cell r="AC24">
            <v>15</v>
          </cell>
          <cell r="AE24">
            <v>0</v>
          </cell>
          <cell r="AF24">
            <v>5</v>
          </cell>
          <cell r="AG24">
            <v>0</v>
          </cell>
          <cell r="AH24">
            <v>0</v>
          </cell>
          <cell r="AI24">
            <v>12</v>
          </cell>
          <cell r="AJ24">
            <v>84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  <cell r="K25">
            <v>41.8</v>
          </cell>
          <cell r="L25">
            <v>0.20000000000000284</v>
          </cell>
          <cell r="O25">
            <v>210</v>
          </cell>
          <cell r="P25">
            <v>210</v>
          </cell>
          <cell r="Q25">
            <v>8.4</v>
          </cell>
          <cell r="S25">
            <v>0</v>
          </cell>
          <cell r="V25">
            <v>57.857142857142854</v>
          </cell>
          <cell r="W25">
            <v>57.857142857142854</v>
          </cell>
          <cell r="X25">
            <v>14.4</v>
          </cell>
          <cell r="Y25">
            <v>7.2</v>
          </cell>
          <cell r="Z25">
            <v>12.6</v>
          </cell>
          <cell r="AA25">
            <v>11.4</v>
          </cell>
          <cell r="AB25">
            <v>10.74</v>
          </cell>
          <cell r="AC25">
            <v>12.6</v>
          </cell>
          <cell r="AE25">
            <v>0</v>
          </cell>
          <cell r="AF25">
            <v>3</v>
          </cell>
          <cell r="AG25">
            <v>0</v>
          </cell>
          <cell r="AH25">
            <v>0</v>
          </cell>
          <cell r="AI25">
            <v>14</v>
          </cell>
          <cell r="AJ25">
            <v>126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  <cell r="K26">
            <v>217</v>
          </cell>
          <cell r="L26">
            <v>40</v>
          </cell>
          <cell r="O26">
            <v>840</v>
          </cell>
          <cell r="P26">
            <v>336</v>
          </cell>
          <cell r="Q26">
            <v>51.4</v>
          </cell>
          <cell r="S26">
            <v>0</v>
          </cell>
          <cell r="V26">
            <v>21.400778210116734</v>
          </cell>
          <cell r="W26">
            <v>21.400778210116734</v>
          </cell>
          <cell r="X26">
            <v>75</v>
          </cell>
          <cell r="Y26">
            <v>81.2</v>
          </cell>
          <cell r="Z26">
            <v>69.599999999999994</v>
          </cell>
          <cell r="AA26">
            <v>60.6</v>
          </cell>
          <cell r="AB26">
            <v>69.8</v>
          </cell>
          <cell r="AC26">
            <v>72.8</v>
          </cell>
          <cell r="AE26">
            <v>0</v>
          </cell>
          <cell r="AF26">
            <v>6</v>
          </cell>
          <cell r="AG26">
            <v>0</v>
          </cell>
          <cell r="AH26">
            <v>0</v>
          </cell>
          <cell r="AI26">
            <v>14</v>
          </cell>
          <cell r="AJ26">
            <v>140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G27">
            <v>0.25</v>
          </cell>
          <cell r="H27">
            <v>365</v>
          </cell>
          <cell r="I27" t="str">
            <v>P004600</v>
          </cell>
          <cell r="K27">
            <v>185</v>
          </cell>
          <cell r="L27">
            <v>22</v>
          </cell>
          <cell r="O27">
            <v>0</v>
          </cell>
          <cell r="P27">
            <v>84</v>
          </cell>
          <cell r="Q27">
            <v>41.4</v>
          </cell>
          <cell r="R27">
            <v>495.6</v>
          </cell>
          <cell r="S27">
            <v>504</v>
          </cell>
          <cell r="V27">
            <v>14.202898550724639</v>
          </cell>
          <cell r="W27">
            <v>2.0289855072463769</v>
          </cell>
          <cell r="X27">
            <v>14.4</v>
          </cell>
          <cell r="Y27">
            <v>14.4</v>
          </cell>
          <cell r="Z27">
            <v>19.2</v>
          </cell>
          <cell r="AA27">
            <v>13.6</v>
          </cell>
          <cell r="AB27">
            <v>20.8</v>
          </cell>
          <cell r="AC27">
            <v>33.4</v>
          </cell>
          <cell r="AE27">
            <v>123.9</v>
          </cell>
          <cell r="AF27">
            <v>6</v>
          </cell>
          <cell r="AG27">
            <v>84</v>
          </cell>
          <cell r="AH27">
            <v>126</v>
          </cell>
          <cell r="AI27">
            <v>14</v>
          </cell>
          <cell r="AJ27">
            <v>140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G28">
            <v>1</v>
          </cell>
          <cell r="H28">
            <v>180</v>
          </cell>
          <cell r="I28" t="str">
            <v>P003486</v>
          </cell>
          <cell r="K28">
            <v>11</v>
          </cell>
          <cell r="L28">
            <v>-11</v>
          </cell>
          <cell r="O28">
            <v>0</v>
          </cell>
          <cell r="P28">
            <v>468</v>
          </cell>
          <cell r="Q28">
            <v>0</v>
          </cell>
          <cell r="S28">
            <v>0</v>
          </cell>
          <cell r="V28" t="e">
            <v>#DIV/0!</v>
          </cell>
          <cell r="W28" t="e">
            <v>#DIV/0!</v>
          </cell>
          <cell r="X28">
            <v>0</v>
          </cell>
          <cell r="Y28">
            <v>14.4</v>
          </cell>
          <cell r="Z28">
            <v>32.4</v>
          </cell>
          <cell r="AA28">
            <v>0</v>
          </cell>
          <cell r="AB28">
            <v>0</v>
          </cell>
          <cell r="AC28">
            <v>39.6</v>
          </cell>
          <cell r="AE28">
            <v>0</v>
          </cell>
          <cell r="AF28">
            <v>6</v>
          </cell>
          <cell r="AG28">
            <v>0</v>
          </cell>
          <cell r="AH28">
            <v>0</v>
          </cell>
          <cell r="AI28">
            <v>12</v>
          </cell>
          <cell r="AJ28">
            <v>84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E29">
            <v>32</v>
          </cell>
          <cell r="G29">
            <v>0.23</v>
          </cell>
          <cell r="H29">
            <v>180</v>
          </cell>
          <cell r="I29" t="str">
            <v>P005043</v>
          </cell>
          <cell r="K29">
            <v>72</v>
          </cell>
          <cell r="L29">
            <v>-40</v>
          </cell>
          <cell r="O29">
            <v>168</v>
          </cell>
          <cell r="P29">
            <v>336</v>
          </cell>
          <cell r="Q29">
            <v>6.4</v>
          </cell>
          <cell r="S29">
            <v>0</v>
          </cell>
          <cell r="V29">
            <v>78.75</v>
          </cell>
          <cell r="W29">
            <v>78.75</v>
          </cell>
          <cell r="X29">
            <v>20.399999999999999</v>
          </cell>
          <cell r="Y29">
            <v>12.6</v>
          </cell>
          <cell r="Z29">
            <v>7.6</v>
          </cell>
          <cell r="AA29">
            <v>20.2</v>
          </cell>
          <cell r="AB29">
            <v>12.6</v>
          </cell>
          <cell r="AC29">
            <v>17.8</v>
          </cell>
          <cell r="AE29">
            <v>0</v>
          </cell>
          <cell r="AF29">
            <v>12</v>
          </cell>
          <cell r="AG29">
            <v>0</v>
          </cell>
          <cell r="AH29">
            <v>0</v>
          </cell>
          <cell r="AI29">
            <v>14</v>
          </cell>
          <cell r="AJ29">
            <v>70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  <cell r="K30">
            <v>200</v>
          </cell>
          <cell r="L30">
            <v>-3</v>
          </cell>
          <cell r="O30">
            <v>840</v>
          </cell>
          <cell r="P30">
            <v>168</v>
          </cell>
          <cell r="Q30">
            <v>39.4</v>
          </cell>
          <cell r="S30">
            <v>0</v>
          </cell>
          <cell r="V30">
            <v>25.532994923857871</v>
          </cell>
          <cell r="W30">
            <v>25.532994923857871</v>
          </cell>
          <cell r="X30">
            <v>58.6</v>
          </cell>
          <cell r="Y30">
            <v>86.2</v>
          </cell>
          <cell r="Z30">
            <v>60.2</v>
          </cell>
          <cell r="AA30">
            <v>80</v>
          </cell>
          <cell r="AB30">
            <v>40.799999999999997</v>
          </cell>
          <cell r="AC30">
            <v>47.8</v>
          </cell>
          <cell r="AE30">
            <v>0</v>
          </cell>
          <cell r="AF30">
            <v>12</v>
          </cell>
          <cell r="AG30">
            <v>0</v>
          </cell>
          <cell r="AH30">
            <v>0</v>
          </cell>
          <cell r="AI30">
            <v>14</v>
          </cell>
          <cell r="AJ30">
            <v>70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  <cell r="K31">
            <v>358</v>
          </cell>
          <cell r="L31">
            <v>42</v>
          </cell>
          <cell r="O31">
            <v>504</v>
          </cell>
          <cell r="P31">
            <v>0</v>
          </cell>
          <cell r="Q31">
            <v>80</v>
          </cell>
          <cell r="R31">
            <v>519</v>
          </cell>
          <cell r="S31">
            <v>504</v>
          </cell>
          <cell r="V31">
            <v>13.8125</v>
          </cell>
          <cell r="W31">
            <v>7.5125000000000002</v>
          </cell>
          <cell r="X31">
            <v>62.4</v>
          </cell>
          <cell r="Y31">
            <v>38.4</v>
          </cell>
          <cell r="Z31">
            <v>48.4</v>
          </cell>
          <cell r="AA31">
            <v>47.4</v>
          </cell>
          <cell r="AB31">
            <v>42.6</v>
          </cell>
          <cell r="AC31">
            <v>62</v>
          </cell>
          <cell r="AE31">
            <v>129.75</v>
          </cell>
          <cell r="AF31">
            <v>12</v>
          </cell>
          <cell r="AG31">
            <v>42</v>
          </cell>
          <cell r="AH31">
            <v>126</v>
          </cell>
          <cell r="AI31">
            <v>14</v>
          </cell>
          <cell r="AJ31">
            <v>70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дубль</v>
          </cell>
          <cell r="J32" t="str">
            <v>Наггетсы с индейкой 0,25кг ТМ Вязанка ТС Из печи Сливушки ПОКОМ</v>
          </cell>
          <cell r="L32">
            <v>0</v>
          </cell>
          <cell r="Q32">
            <v>0</v>
          </cell>
          <cell r="V32" t="e">
            <v>#DIV/0!</v>
          </cell>
          <cell r="W32" t="e">
            <v>#DIV/0!</v>
          </cell>
          <cell r="X32">
            <v>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  <cell r="K33">
            <v>178</v>
          </cell>
          <cell r="L33">
            <v>15</v>
          </cell>
          <cell r="O33">
            <v>336</v>
          </cell>
          <cell r="P33">
            <v>336</v>
          </cell>
          <cell r="Q33">
            <v>38.6</v>
          </cell>
          <cell r="S33">
            <v>0</v>
          </cell>
          <cell r="V33">
            <v>17.202072538860104</v>
          </cell>
          <cell r="W33">
            <v>17.202072538860104</v>
          </cell>
          <cell r="X33">
            <v>41.8</v>
          </cell>
          <cell r="Y33">
            <v>52.6</v>
          </cell>
          <cell r="Z33">
            <v>34.4</v>
          </cell>
          <cell r="AA33">
            <v>49.4</v>
          </cell>
          <cell r="AB33">
            <v>31.4</v>
          </cell>
          <cell r="AC33">
            <v>44.8</v>
          </cell>
          <cell r="AE33">
            <v>0</v>
          </cell>
          <cell r="AF33">
            <v>12</v>
          </cell>
          <cell r="AG33">
            <v>0</v>
          </cell>
          <cell r="AH33">
            <v>0</v>
          </cell>
          <cell r="AI33">
            <v>14</v>
          </cell>
          <cell r="AJ33">
            <v>70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  <cell r="K34">
            <v>13</v>
          </cell>
          <cell r="L34">
            <v>-13</v>
          </cell>
          <cell r="O34">
            <v>336</v>
          </cell>
          <cell r="P34">
            <v>0</v>
          </cell>
          <cell r="Q34">
            <v>0</v>
          </cell>
          <cell r="S34">
            <v>0</v>
          </cell>
          <cell r="V34" t="e">
            <v>#DIV/0!</v>
          </cell>
          <cell r="W34" t="e">
            <v>#DIV/0!</v>
          </cell>
          <cell r="X34">
            <v>4.4000000000000004</v>
          </cell>
          <cell r="Y34">
            <v>17.600000000000001</v>
          </cell>
          <cell r="Z34">
            <v>10.4</v>
          </cell>
          <cell r="AA34">
            <v>10.8</v>
          </cell>
          <cell r="AB34">
            <v>11.2</v>
          </cell>
          <cell r="AC34">
            <v>13.6</v>
          </cell>
          <cell r="AE34">
            <v>0</v>
          </cell>
          <cell r="AF34">
            <v>12</v>
          </cell>
          <cell r="AG34">
            <v>0</v>
          </cell>
          <cell r="AH34">
            <v>0</v>
          </cell>
          <cell r="AI34">
            <v>14</v>
          </cell>
          <cell r="AJ34">
            <v>70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  <cell r="K35">
            <v>40</v>
          </cell>
          <cell r="L35">
            <v>25</v>
          </cell>
          <cell r="O35">
            <v>192</v>
          </cell>
          <cell r="P35">
            <v>96</v>
          </cell>
          <cell r="Q35">
            <v>13</v>
          </cell>
          <cell r="S35">
            <v>0</v>
          </cell>
          <cell r="V35">
            <v>24.076923076923077</v>
          </cell>
          <cell r="W35">
            <v>24.076923076923077</v>
          </cell>
          <cell r="X35">
            <v>17.2</v>
          </cell>
          <cell r="Y35">
            <v>16.600000000000001</v>
          </cell>
          <cell r="Z35">
            <v>11.6</v>
          </cell>
          <cell r="AA35">
            <v>14</v>
          </cell>
          <cell r="AB35">
            <v>15.4</v>
          </cell>
          <cell r="AC35">
            <v>18.600000000000001</v>
          </cell>
          <cell r="AE35">
            <v>0</v>
          </cell>
          <cell r="AF35">
            <v>8</v>
          </cell>
          <cell r="AG35">
            <v>0</v>
          </cell>
          <cell r="AH35">
            <v>0</v>
          </cell>
          <cell r="AI35">
            <v>12</v>
          </cell>
          <cell r="AJ35">
            <v>84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  <cell r="K36">
            <v>98</v>
          </cell>
          <cell r="L36">
            <v>12</v>
          </cell>
          <cell r="O36">
            <v>192</v>
          </cell>
          <cell r="P36">
            <v>96</v>
          </cell>
          <cell r="Q36">
            <v>22</v>
          </cell>
          <cell r="S36">
            <v>0</v>
          </cell>
          <cell r="V36">
            <v>15.818181818181818</v>
          </cell>
          <cell r="W36">
            <v>15.818181818181818</v>
          </cell>
          <cell r="X36">
            <v>8.4</v>
          </cell>
          <cell r="Y36">
            <v>18.399999999999999</v>
          </cell>
          <cell r="Z36">
            <v>19</v>
          </cell>
          <cell r="AA36">
            <v>5.6</v>
          </cell>
          <cell r="AB36">
            <v>14</v>
          </cell>
          <cell r="AC36">
            <v>19.600000000000001</v>
          </cell>
          <cell r="AE36">
            <v>0</v>
          </cell>
          <cell r="AF36">
            <v>8</v>
          </cell>
          <cell r="AG36">
            <v>0</v>
          </cell>
          <cell r="AH36">
            <v>0</v>
          </cell>
          <cell r="AI36">
            <v>12</v>
          </cell>
          <cell r="AJ36">
            <v>84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  <cell r="K37">
            <v>103</v>
          </cell>
          <cell r="L37">
            <v>3</v>
          </cell>
          <cell r="O37">
            <v>96</v>
          </cell>
          <cell r="P37">
            <v>96</v>
          </cell>
          <cell r="Q37">
            <v>21.2</v>
          </cell>
          <cell r="R37">
            <v>48.800000000000011</v>
          </cell>
          <cell r="S37">
            <v>96</v>
          </cell>
          <cell r="V37">
            <v>16.226415094339622</v>
          </cell>
          <cell r="W37">
            <v>11.69811320754717</v>
          </cell>
          <cell r="X37">
            <v>17</v>
          </cell>
          <cell r="Y37">
            <v>18.399999999999999</v>
          </cell>
          <cell r="Z37">
            <v>15.2</v>
          </cell>
          <cell r="AA37">
            <v>22.4</v>
          </cell>
          <cell r="AB37">
            <v>18.600000000000001</v>
          </cell>
          <cell r="AC37">
            <v>17.600000000000001</v>
          </cell>
          <cell r="AE37">
            <v>34.160000000000004</v>
          </cell>
          <cell r="AF37">
            <v>8</v>
          </cell>
          <cell r="AG37">
            <v>12</v>
          </cell>
          <cell r="AH37">
            <v>67.199999999999989</v>
          </cell>
          <cell r="AI37">
            <v>12</v>
          </cell>
          <cell r="AJ37">
            <v>84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  <cell r="K38">
            <v>274</v>
          </cell>
          <cell r="L38">
            <v>58</v>
          </cell>
          <cell r="O38">
            <v>120</v>
          </cell>
          <cell r="P38">
            <v>360</v>
          </cell>
          <cell r="Q38">
            <v>66.400000000000006</v>
          </cell>
          <cell r="R38">
            <v>159.60000000000014</v>
          </cell>
          <cell r="S38">
            <v>120</v>
          </cell>
          <cell r="V38">
            <v>13.403614457831324</v>
          </cell>
          <cell r="W38">
            <v>11.596385542168674</v>
          </cell>
          <cell r="X38">
            <v>55.6</v>
          </cell>
          <cell r="Y38">
            <v>27</v>
          </cell>
          <cell r="Z38">
            <v>23.8</v>
          </cell>
          <cell r="AA38">
            <v>34.6</v>
          </cell>
          <cell r="AB38">
            <v>29.8</v>
          </cell>
          <cell r="AC38">
            <v>35.6</v>
          </cell>
          <cell r="AE38">
            <v>111.72000000000008</v>
          </cell>
          <cell r="AF38">
            <v>10</v>
          </cell>
          <cell r="AG38">
            <v>12</v>
          </cell>
          <cell r="AH38">
            <v>84</v>
          </cell>
          <cell r="AI38">
            <v>12</v>
          </cell>
          <cell r="AJ38">
            <v>84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  <cell r="K39">
            <v>60</v>
          </cell>
          <cell r="L39">
            <v>15</v>
          </cell>
          <cell r="O39">
            <v>360</v>
          </cell>
          <cell r="P39">
            <v>0</v>
          </cell>
          <cell r="Q39">
            <v>15</v>
          </cell>
          <cell r="S39">
            <v>0</v>
          </cell>
          <cell r="V39">
            <v>23.933333333333334</v>
          </cell>
          <cell r="W39">
            <v>23.933333333333334</v>
          </cell>
          <cell r="X39">
            <v>10.8</v>
          </cell>
          <cell r="Y39">
            <v>24</v>
          </cell>
          <cell r="Z39">
            <v>23.8</v>
          </cell>
          <cell r="AA39">
            <v>24.6</v>
          </cell>
          <cell r="AB39">
            <v>31.4</v>
          </cell>
          <cell r="AC39">
            <v>31.2</v>
          </cell>
          <cell r="AE39">
            <v>0</v>
          </cell>
          <cell r="AF39">
            <v>10</v>
          </cell>
          <cell r="AG39">
            <v>0</v>
          </cell>
          <cell r="AH39">
            <v>0</v>
          </cell>
          <cell r="AI39">
            <v>12</v>
          </cell>
          <cell r="AJ39">
            <v>84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  <cell r="K40">
            <v>156</v>
          </cell>
          <cell r="L40">
            <v>-90</v>
          </cell>
          <cell r="O40">
            <v>600</v>
          </cell>
          <cell r="P40">
            <v>0</v>
          </cell>
          <cell r="Q40">
            <v>13.2</v>
          </cell>
          <cell r="S40">
            <v>0</v>
          </cell>
          <cell r="V40">
            <v>46.060606060606062</v>
          </cell>
          <cell r="W40">
            <v>46.060606060606062</v>
          </cell>
          <cell r="X40">
            <v>37.4</v>
          </cell>
          <cell r="Y40">
            <v>64.8</v>
          </cell>
          <cell r="Z40">
            <v>45</v>
          </cell>
          <cell r="AA40">
            <v>42.2</v>
          </cell>
          <cell r="AB40">
            <v>59.6</v>
          </cell>
          <cell r="AC40">
            <v>50</v>
          </cell>
          <cell r="AE40">
            <v>0</v>
          </cell>
          <cell r="AF40">
            <v>10</v>
          </cell>
          <cell r="AG40">
            <v>0</v>
          </cell>
          <cell r="AH40">
            <v>0</v>
          </cell>
          <cell r="AI40">
            <v>12</v>
          </cell>
          <cell r="AJ40">
            <v>84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  <cell r="K41">
            <v>259</v>
          </cell>
          <cell r="L41">
            <v>-94</v>
          </cell>
          <cell r="O41">
            <v>0</v>
          </cell>
          <cell r="P41">
            <v>120</v>
          </cell>
          <cell r="Q41">
            <v>33</v>
          </cell>
          <cell r="R41">
            <v>155</v>
          </cell>
          <cell r="S41">
            <v>120</v>
          </cell>
          <cell r="V41">
            <v>12.939393939393939</v>
          </cell>
          <cell r="W41">
            <v>9.3030303030303028</v>
          </cell>
          <cell r="X41">
            <v>18.8</v>
          </cell>
          <cell r="Y41">
            <v>15.4</v>
          </cell>
          <cell r="Z41">
            <v>18.8</v>
          </cell>
          <cell r="AA41">
            <v>27.4</v>
          </cell>
          <cell r="AB41">
            <v>12</v>
          </cell>
          <cell r="AC41">
            <v>12.4</v>
          </cell>
          <cell r="AE41">
            <v>108.5</v>
          </cell>
          <cell r="AF41">
            <v>10</v>
          </cell>
          <cell r="AG41">
            <v>12</v>
          </cell>
          <cell r="AH41">
            <v>84</v>
          </cell>
          <cell r="AI41">
            <v>12</v>
          </cell>
          <cell r="AJ41">
            <v>84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  <cell r="K42">
            <v>350</v>
          </cell>
          <cell r="L42">
            <v>0</v>
          </cell>
          <cell r="O42">
            <v>0</v>
          </cell>
          <cell r="P42">
            <v>660</v>
          </cell>
          <cell r="Q42">
            <v>70</v>
          </cell>
          <cell r="R42">
            <v>220</v>
          </cell>
          <cell r="S42">
            <v>240</v>
          </cell>
          <cell r="V42">
            <v>14.285714285714286</v>
          </cell>
          <cell r="W42">
            <v>10.857142857142858</v>
          </cell>
          <cell r="X42">
            <v>84</v>
          </cell>
          <cell r="Y42">
            <v>62</v>
          </cell>
          <cell r="Z42">
            <v>77</v>
          </cell>
          <cell r="AA42">
            <v>89</v>
          </cell>
          <cell r="AB42">
            <v>77</v>
          </cell>
          <cell r="AC42">
            <v>73</v>
          </cell>
          <cell r="AE42">
            <v>220</v>
          </cell>
          <cell r="AF42">
            <v>5</v>
          </cell>
          <cell r="AG42">
            <v>48</v>
          </cell>
          <cell r="AH42">
            <v>240</v>
          </cell>
          <cell r="AI42">
            <v>12</v>
          </cell>
          <cell r="AJ42">
            <v>144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  <cell r="K43">
            <v>214</v>
          </cell>
          <cell r="L43">
            <v>-5</v>
          </cell>
          <cell r="O43">
            <v>0</v>
          </cell>
          <cell r="P43">
            <v>0</v>
          </cell>
          <cell r="Q43">
            <v>41.8</v>
          </cell>
          <cell r="S43">
            <v>0</v>
          </cell>
          <cell r="V43">
            <v>21.387559808612441</v>
          </cell>
          <cell r="W43">
            <v>21.387559808612441</v>
          </cell>
          <cell r="X43">
            <v>51</v>
          </cell>
          <cell r="Y43">
            <v>41</v>
          </cell>
          <cell r="Z43">
            <v>0</v>
          </cell>
          <cell r="AA43">
            <v>63.8</v>
          </cell>
          <cell r="AB43">
            <v>19.600000000000001</v>
          </cell>
          <cell r="AC43">
            <v>52.8</v>
          </cell>
          <cell r="AE43">
            <v>0</v>
          </cell>
          <cell r="AF43">
            <v>16</v>
          </cell>
          <cell r="AG43">
            <v>0</v>
          </cell>
          <cell r="AH43">
            <v>0</v>
          </cell>
          <cell r="AI43">
            <v>12</v>
          </cell>
          <cell r="AJ43">
            <v>84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  <cell r="K44">
            <v>466</v>
          </cell>
          <cell r="L44">
            <v>-3</v>
          </cell>
          <cell r="O44">
            <v>0</v>
          </cell>
          <cell r="P44">
            <v>720</v>
          </cell>
          <cell r="Q44">
            <v>92.6</v>
          </cell>
          <cell r="S44">
            <v>0</v>
          </cell>
          <cell r="V44">
            <v>16.349892008639308</v>
          </cell>
          <cell r="W44">
            <v>16.349892008639308</v>
          </cell>
          <cell r="X44">
            <v>136.80000000000001</v>
          </cell>
          <cell r="Y44">
            <v>79</v>
          </cell>
          <cell r="Z44">
            <v>89.8</v>
          </cell>
          <cell r="AA44">
            <v>129.6</v>
          </cell>
          <cell r="AB44">
            <v>82.8</v>
          </cell>
          <cell r="AC44">
            <v>110.8</v>
          </cell>
          <cell r="AD44" t="str">
            <v>Мера</v>
          </cell>
          <cell r="AE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12</v>
          </cell>
          <cell r="AJ44">
            <v>84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  <cell r="K45">
            <v>244</v>
          </cell>
          <cell r="L45">
            <v>-28</v>
          </cell>
          <cell r="O45">
            <v>0</v>
          </cell>
          <cell r="P45">
            <v>0</v>
          </cell>
          <cell r="Q45">
            <v>43.2</v>
          </cell>
          <cell r="S45">
            <v>0</v>
          </cell>
          <cell r="V45">
            <v>17.523148148148145</v>
          </cell>
          <cell r="W45">
            <v>17.523148148148145</v>
          </cell>
          <cell r="X45">
            <v>53.2</v>
          </cell>
          <cell r="Y45">
            <v>53.8</v>
          </cell>
          <cell r="Z45">
            <v>51.6</v>
          </cell>
          <cell r="AA45">
            <v>75.599999999999994</v>
          </cell>
          <cell r="AB45">
            <v>52.6</v>
          </cell>
          <cell r="AC45">
            <v>50.4</v>
          </cell>
          <cell r="AE45">
            <v>0</v>
          </cell>
          <cell r="AF45">
            <v>16</v>
          </cell>
          <cell r="AG45">
            <v>0</v>
          </cell>
          <cell r="AH45">
            <v>0</v>
          </cell>
          <cell r="AI45">
            <v>12</v>
          </cell>
          <cell r="AJ45">
            <v>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  <cell r="K46">
            <v>728</v>
          </cell>
          <cell r="L46">
            <v>119</v>
          </cell>
          <cell r="O46">
            <v>720</v>
          </cell>
          <cell r="P46">
            <v>960</v>
          </cell>
          <cell r="Q46">
            <v>169.4</v>
          </cell>
          <cell r="R46">
            <v>624.59999999999991</v>
          </cell>
          <cell r="S46">
            <v>600</v>
          </cell>
          <cell r="V46">
            <v>13.85478158205431</v>
          </cell>
          <cell r="W46">
            <v>10.312868949232586</v>
          </cell>
          <cell r="X46">
            <v>179.4</v>
          </cell>
          <cell r="Y46">
            <v>161.80000000000001</v>
          </cell>
          <cell r="Z46">
            <v>176.4</v>
          </cell>
          <cell r="AA46">
            <v>190.8</v>
          </cell>
          <cell r="AB46">
            <v>129.19999999999999</v>
          </cell>
          <cell r="AC46">
            <v>167</v>
          </cell>
          <cell r="AE46">
            <v>437.21999999999991</v>
          </cell>
          <cell r="AF46">
            <v>10</v>
          </cell>
          <cell r="AG46">
            <v>60</v>
          </cell>
          <cell r="AH46">
            <v>420</v>
          </cell>
          <cell r="AI46">
            <v>12</v>
          </cell>
          <cell r="AJ46">
            <v>84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  <cell r="K47">
            <v>291</v>
          </cell>
          <cell r="L47">
            <v>34</v>
          </cell>
          <cell r="O47">
            <v>360</v>
          </cell>
          <cell r="P47">
            <v>240</v>
          </cell>
          <cell r="Q47">
            <v>65</v>
          </cell>
          <cell r="R47">
            <v>225</v>
          </cell>
          <cell r="S47">
            <v>240</v>
          </cell>
          <cell r="V47">
            <v>14.23076923076923</v>
          </cell>
          <cell r="W47">
            <v>10.538461538461538</v>
          </cell>
          <cell r="X47">
            <v>31.4</v>
          </cell>
          <cell r="Y47">
            <v>62.6</v>
          </cell>
          <cell r="Z47">
            <v>49.6</v>
          </cell>
          <cell r="AA47">
            <v>37.799999999999997</v>
          </cell>
          <cell r="AB47">
            <v>67.8</v>
          </cell>
          <cell r="AC47">
            <v>108.8</v>
          </cell>
          <cell r="AE47">
            <v>157.5</v>
          </cell>
          <cell r="AF47">
            <v>10</v>
          </cell>
          <cell r="AG47">
            <v>24</v>
          </cell>
          <cell r="AH47">
            <v>168</v>
          </cell>
          <cell r="AI47">
            <v>12</v>
          </cell>
          <cell r="AJ47">
            <v>84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  <cell r="K48">
            <v>94</v>
          </cell>
          <cell r="L48">
            <v>-77</v>
          </cell>
          <cell r="O48">
            <v>720</v>
          </cell>
          <cell r="P48">
            <v>180</v>
          </cell>
          <cell r="Q48">
            <v>3.4</v>
          </cell>
          <cell r="S48">
            <v>0</v>
          </cell>
          <cell r="V48">
            <v>265.58823529411768</v>
          </cell>
          <cell r="W48">
            <v>265.58823529411768</v>
          </cell>
          <cell r="X48">
            <v>37.6</v>
          </cell>
          <cell r="Y48">
            <v>65.2</v>
          </cell>
          <cell r="Z48">
            <v>31.2</v>
          </cell>
          <cell r="AA48">
            <v>38.799999999999997</v>
          </cell>
          <cell r="AB48">
            <v>30.8</v>
          </cell>
          <cell r="AC48">
            <v>42</v>
          </cell>
          <cell r="AE48">
            <v>0</v>
          </cell>
          <cell r="AF48">
            <v>5</v>
          </cell>
          <cell r="AG48">
            <v>0</v>
          </cell>
          <cell r="AH48">
            <v>0</v>
          </cell>
          <cell r="AI48">
            <v>12</v>
          </cell>
          <cell r="AJ48">
            <v>84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  <cell r="K49">
            <v>46</v>
          </cell>
          <cell r="L49">
            <v>-5</v>
          </cell>
          <cell r="O49">
            <v>288</v>
          </cell>
          <cell r="P49">
            <v>288</v>
          </cell>
          <cell r="Q49">
            <v>8.1999999999999993</v>
          </cell>
          <cell r="S49">
            <v>0</v>
          </cell>
          <cell r="V49">
            <v>70.365853658536594</v>
          </cell>
          <cell r="W49">
            <v>70.365853658536594</v>
          </cell>
          <cell r="X49">
            <v>33.4</v>
          </cell>
          <cell r="Y49">
            <v>21.2</v>
          </cell>
          <cell r="Z49">
            <v>22.6</v>
          </cell>
          <cell r="AA49">
            <v>19</v>
          </cell>
          <cell r="AB49">
            <v>23</v>
          </cell>
          <cell r="AC49">
            <v>12.2</v>
          </cell>
          <cell r="AE49">
            <v>0</v>
          </cell>
          <cell r="AF49">
            <v>8</v>
          </cell>
          <cell r="AG49">
            <v>0</v>
          </cell>
          <cell r="AH49">
            <v>0</v>
          </cell>
          <cell r="AI49">
            <v>12</v>
          </cell>
          <cell r="AJ49">
            <v>84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  <cell r="K50">
            <v>36</v>
          </cell>
          <cell r="L50">
            <v>-5</v>
          </cell>
          <cell r="O50">
            <v>288</v>
          </cell>
          <cell r="P50">
            <v>192</v>
          </cell>
          <cell r="Q50">
            <v>6.2</v>
          </cell>
          <cell r="S50">
            <v>0</v>
          </cell>
          <cell r="V50">
            <v>77.258064516129025</v>
          </cell>
          <cell r="W50">
            <v>77.258064516129025</v>
          </cell>
          <cell r="X50">
            <v>13.6</v>
          </cell>
          <cell r="Y50">
            <v>13.6</v>
          </cell>
          <cell r="Z50">
            <v>5.8</v>
          </cell>
          <cell r="AA50">
            <v>16</v>
          </cell>
          <cell r="AB50">
            <v>12</v>
          </cell>
          <cell r="AC50">
            <v>11.8</v>
          </cell>
          <cell r="AE50">
            <v>0</v>
          </cell>
          <cell r="AF50">
            <v>8</v>
          </cell>
          <cell r="AG50">
            <v>0</v>
          </cell>
          <cell r="AH50">
            <v>0</v>
          </cell>
          <cell r="AI50">
            <v>12</v>
          </cell>
          <cell r="AJ50">
            <v>84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  <cell r="K51">
            <v>565</v>
          </cell>
          <cell r="L51">
            <v>35</v>
          </cell>
          <cell r="O51">
            <v>1020</v>
          </cell>
          <cell r="P51">
            <v>180</v>
          </cell>
          <cell r="Q51">
            <v>120</v>
          </cell>
          <cell r="R51">
            <v>115</v>
          </cell>
          <cell r="S51">
            <v>120</v>
          </cell>
          <cell r="V51">
            <v>14.041666666666666</v>
          </cell>
          <cell r="W51">
            <v>13.041666666666666</v>
          </cell>
          <cell r="X51">
            <v>88</v>
          </cell>
          <cell r="Y51">
            <v>53</v>
          </cell>
          <cell r="Z51">
            <v>150</v>
          </cell>
          <cell r="AA51">
            <v>9</v>
          </cell>
          <cell r="AB51">
            <v>99</v>
          </cell>
          <cell r="AC51">
            <v>116</v>
          </cell>
          <cell r="AE51">
            <v>115</v>
          </cell>
          <cell r="AF51">
            <v>5</v>
          </cell>
          <cell r="AG51">
            <v>24</v>
          </cell>
          <cell r="AH51">
            <v>120</v>
          </cell>
          <cell r="AI51">
            <v>12</v>
          </cell>
          <cell r="AJ51">
            <v>144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  <cell r="K52">
            <v>138</v>
          </cell>
          <cell r="L52">
            <v>1</v>
          </cell>
          <cell r="O52">
            <v>0</v>
          </cell>
          <cell r="P52">
            <v>120</v>
          </cell>
          <cell r="Q52">
            <v>27.8</v>
          </cell>
          <cell r="R52">
            <v>81.199999999999989</v>
          </cell>
          <cell r="S52">
            <v>60</v>
          </cell>
          <cell r="V52">
            <v>13.237410071942445</v>
          </cell>
          <cell r="W52">
            <v>11.079136690647482</v>
          </cell>
          <cell r="X52">
            <v>27.2</v>
          </cell>
          <cell r="Y52">
            <v>31.4</v>
          </cell>
          <cell r="Z52">
            <v>41.2</v>
          </cell>
          <cell r="AA52">
            <v>33.200000000000003</v>
          </cell>
          <cell r="AB52">
            <v>35.4</v>
          </cell>
          <cell r="AC52">
            <v>26.6</v>
          </cell>
          <cell r="AE52">
            <v>81.199999999999989</v>
          </cell>
          <cell r="AF52">
            <v>5</v>
          </cell>
          <cell r="AG52">
            <v>12</v>
          </cell>
          <cell r="AH52">
            <v>60</v>
          </cell>
          <cell r="AI52">
            <v>12</v>
          </cell>
          <cell r="AJ52">
            <v>84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  <cell r="K53">
            <v>18.5</v>
          </cell>
          <cell r="L53">
            <v>7.3999999999999986</v>
          </cell>
          <cell r="O53">
            <v>0</v>
          </cell>
          <cell r="P53">
            <v>51.8</v>
          </cell>
          <cell r="Q53">
            <v>5.18</v>
          </cell>
          <cell r="R53">
            <v>30.38</v>
          </cell>
          <cell r="S53">
            <v>51.800000000000004</v>
          </cell>
          <cell r="V53">
            <v>20.135135135135137</v>
          </cell>
          <cell r="W53">
            <v>10.135135135135135</v>
          </cell>
          <cell r="X53">
            <v>5.18</v>
          </cell>
          <cell r="Y53">
            <v>0</v>
          </cell>
          <cell r="Z53">
            <v>0</v>
          </cell>
          <cell r="AA53">
            <v>1.48</v>
          </cell>
          <cell r="AB53">
            <v>5.2</v>
          </cell>
          <cell r="AC53">
            <v>2.2200000000000002</v>
          </cell>
          <cell r="AE53">
            <v>30.38</v>
          </cell>
          <cell r="AF53">
            <v>3.7</v>
          </cell>
          <cell r="AG53">
            <v>14</v>
          </cell>
          <cell r="AH53">
            <v>51.800000000000004</v>
          </cell>
          <cell r="AI53">
            <v>14</v>
          </cell>
          <cell r="AJ53">
            <v>126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E54">
            <v>95</v>
          </cell>
          <cell r="G54">
            <v>0.23</v>
          </cell>
          <cell r="H54">
            <v>180</v>
          </cell>
          <cell r="I54" t="str">
            <v>P005182</v>
          </cell>
          <cell r="K54">
            <v>111</v>
          </cell>
          <cell r="L54">
            <v>-16</v>
          </cell>
          <cell r="O54">
            <v>168</v>
          </cell>
          <cell r="P54">
            <v>420</v>
          </cell>
          <cell r="Q54">
            <v>19</v>
          </cell>
          <cell r="S54">
            <v>0</v>
          </cell>
          <cell r="V54">
            <v>30.94736842105263</v>
          </cell>
          <cell r="W54">
            <v>30.94736842105263</v>
          </cell>
          <cell r="X54">
            <v>30.2</v>
          </cell>
          <cell r="Y54">
            <v>28.8</v>
          </cell>
          <cell r="Z54">
            <v>21</v>
          </cell>
          <cell r="AA54">
            <v>21.4</v>
          </cell>
          <cell r="AB54">
            <v>15.2</v>
          </cell>
          <cell r="AC54">
            <v>16.399999999999999</v>
          </cell>
          <cell r="AE54">
            <v>0</v>
          </cell>
          <cell r="AF54">
            <v>6</v>
          </cell>
          <cell r="AG54">
            <v>0</v>
          </cell>
          <cell r="AH54">
            <v>0</v>
          </cell>
          <cell r="AI54">
            <v>14</v>
          </cell>
          <cell r="AJ54">
            <v>140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  <cell r="K55">
            <v>203</v>
          </cell>
          <cell r="L55">
            <v>-34</v>
          </cell>
          <cell r="O55">
            <v>336</v>
          </cell>
          <cell r="P55">
            <v>672</v>
          </cell>
          <cell r="Q55">
            <v>33.799999999999997</v>
          </cell>
          <cell r="S55">
            <v>0</v>
          </cell>
          <cell r="V55">
            <v>29.911242603550299</v>
          </cell>
          <cell r="W55">
            <v>29.911242603550299</v>
          </cell>
          <cell r="X55">
            <v>72.400000000000006</v>
          </cell>
          <cell r="Y55">
            <v>97</v>
          </cell>
          <cell r="Z55">
            <v>62</v>
          </cell>
          <cell r="AA55">
            <v>79.8</v>
          </cell>
          <cell r="AB55">
            <v>65.400000000000006</v>
          </cell>
          <cell r="AC55">
            <v>85.6</v>
          </cell>
          <cell r="AE55">
            <v>0</v>
          </cell>
          <cell r="AF55">
            <v>12</v>
          </cell>
          <cell r="AG55">
            <v>0</v>
          </cell>
          <cell r="AH55">
            <v>0</v>
          </cell>
          <cell r="AI55">
            <v>14</v>
          </cell>
          <cell r="AJ55">
            <v>70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  <cell r="K56">
            <v>272</v>
          </cell>
          <cell r="L56">
            <v>-10</v>
          </cell>
          <cell r="O56">
            <v>336</v>
          </cell>
          <cell r="P56">
            <v>168</v>
          </cell>
          <cell r="Q56">
            <v>52.4</v>
          </cell>
          <cell r="R56">
            <v>214.60000000000002</v>
          </cell>
          <cell r="S56">
            <v>168</v>
          </cell>
          <cell r="V56">
            <v>13.110687022900764</v>
          </cell>
          <cell r="W56">
            <v>9.9045801526717554</v>
          </cell>
          <cell r="X56">
            <v>23</v>
          </cell>
          <cell r="Y56">
            <v>38.4</v>
          </cell>
          <cell r="Z56">
            <v>23.4</v>
          </cell>
          <cell r="AA56">
            <v>10.199999999999999</v>
          </cell>
          <cell r="AB56">
            <v>31.4</v>
          </cell>
          <cell r="AC56">
            <v>39.799999999999997</v>
          </cell>
          <cell r="AE56">
            <v>53.650000000000006</v>
          </cell>
          <cell r="AF56">
            <v>12</v>
          </cell>
          <cell r="AG56">
            <v>14</v>
          </cell>
          <cell r="AH56">
            <v>42</v>
          </cell>
          <cell r="AI56">
            <v>14</v>
          </cell>
          <cell r="AJ56">
            <v>70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  <cell r="K57">
            <v>21</v>
          </cell>
          <cell r="L57">
            <v>0</v>
          </cell>
          <cell r="O57">
            <v>0</v>
          </cell>
          <cell r="P57">
            <v>0</v>
          </cell>
          <cell r="Q57">
            <v>4.2</v>
          </cell>
          <cell r="S57">
            <v>0</v>
          </cell>
          <cell r="V57">
            <v>15</v>
          </cell>
          <cell r="W57">
            <v>15</v>
          </cell>
          <cell r="X57">
            <v>0</v>
          </cell>
          <cell r="Y57">
            <v>0</v>
          </cell>
          <cell r="Z57">
            <v>0</v>
          </cell>
          <cell r="AA57">
            <v>1.4</v>
          </cell>
          <cell r="AB57">
            <v>2.6</v>
          </cell>
          <cell r="AC57">
            <v>7.8</v>
          </cell>
          <cell r="AE57">
            <v>0</v>
          </cell>
          <cell r="AF57">
            <v>6</v>
          </cell>
          <cell r="AG57">
            <v>0</v>
          </cell>
          <cell r="AH57">
            <v>0</v>
          </cell>
          <cell r="AI57">
            <v>14</v>
          </cell>
          <cell r="AJ57">
            <v>140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  <cell r="K58">
            <v>14</v>
          </cell>
          <cell r="L58">
            <v>0</v>
          </cell>
          <cell r="O58">
            <v>0</v>
          </cell>
          <cell r="P58">
            <v>0</v>
          </cell>
          <cell r="Q58">
            <v>2.8</v>
          </cell>
          <cell r="S58">
            <v>0</v>
          </cell>
          <cell r="V58">
            <v>10.357142857142858</v>
          </cell>
          <cell r="W58">
            <v>10.357142857142858</v>
          </cell>
          <cell r="X58">
            <v>2.2000000000000002</v>
          </cell>
          <cell r="Y58">
            <v>5.2</v>
          </cell>
          <cell r="Z58">
            <v>1.8</v>
          </cell>
          <cell r="AA58">
            <v>2.4</v>
          </cell>
          <cell r="AB58">
            <v>6</v>
          </cell>
          <cell r="AC58">
            <v>17.399999999999999</v>
          </cell>
          <cell r="AE58">
            <v>0</v>
          </cell>
          <cell r="AF58">
            <v>6</v>
          </cell>
          <cell r="AG58">
            <v>0</v>
          </cell>
          <cell r="AH58">
            <v>0</v>
          </cell>
          <cell r="AI58">
            <v>14</v>
          </cell>
          <cell r="AJ58">
            <v>140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  <cell r="K59">
            <v>1</v>
          </cell>
          <cell r="L59">
            <v>0</v>
          </cell>
          <cell r="O59">
            <v>0</v>
          </cell>
          <cell r="P59">
            <v>0</v>
          </cell>
          <cell r="Q59">
            <v>0.2</v>
          </cell>
          <cell r="S59">
            <v>0</v>
          </cell>
          <cell r="V59">
            <v>375</v>
          </cell>
          <cell r="W59">
            <v>375</v>
          </cell>
          <cell r="X59">
            <v>0.2</v>
          </cell>
          <cell r="Y59">
            <v>0.8</v>
          </cell>
          <cell r="Z59">
            <v>0.2</v>
          </cell>
          <cell r="AA59">
            <v>0.8</v>
          </cell>
          <cell r="AB59">
            <v>3.8</v>
          </cell>
          <cell r="AC59">
            <v>4.5999999999999996</v>
          </cell>
          <cell r="AD59" t="str">
            <v>нужно увеличить продажи!!!</v>
          </cell>
          <cell r="AE59">
            <v>0</v>
          </cell>
          <cell r="AF59">
            <v>6</v>
          </cell>
          <cell r="AG59">
            <v>0</v>
          </cell>
          <cell r="AH59">
            <v>0</v>
          </cell>
          <cell r="AI59">
            <v>14</v>
          </cell>
          <cell r="AJ59">
            <v>140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307</v>
          </cell>
          <cell r="L60">
            <v>41</v>
          </cell>
          <cell r="O60">
            <v>336</v>
          </cell>
          <cell r="P60">
            <v>504</v>
          </cell>
          <cell r="Q60">
            <v>69.599999999999994</v>
          </cell>
          <cell r="R60">
            <v>135.39999999999986</v>
          </cell>
          <cell r="S60">
            <v>168</v>
          </cell>
          <cell r="V60">
            <v>14.468390804597702</v>
          </cell>
          <cell r="W60">
            <v>12.054597701149426</v>
          </cell>
          <cell r="X60">
            <v>71.599999999999994</v>
          </cell>
          <cell r="Y60">
            <v>103.8</v>
          </cell>
          <cell r="Z60">
            <v>62.6</v>
          </cell>
          <cell r="AA60">
            <v>81</v>
          </cell>
          <cell r="AB60">
            <v>73.599999999999994</v>
          </cell>
          <cell r="AC60">
            <v>76.2</v>
          </cell>
          <cell r="AE60">
            <v>40.619999999999955</v>
          </cell>
          <cell r="AF60">
            <v>12</v>
          </cell>
          <cell r="AG60">
            <v>14</v>
          </cell>
          <cell r="AH60">
            <v>50.4</v>
          </cell>
          <cell r="AI60">
            <v>14</v>
          </cell>
          <cell r="AJ60">
            <v>70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  <cell r="K61">
            <v>371</v>
          </cell>
          <cell r="L61">
            <v>55</v>
          </cell>
          <cell r="O61">
            <v>168</v>
          </cell>
          <cell r="P61">
            <v>672</v>
          </cell>
          <cell r="Q61">
            <v>85.2</v>
          </cell>
          <cell r="R61">
            <v>277.79999999999995</v>
          </cell>
          <cell r="S61">
            <v>336</v>
          </cell>
          <cell r="V61">
            <v>14.683098591549296</v>
          </cell>
          <cell r="W61">
            <v>10.73943661971831</v>
          </cell>
          <cell r="X61">
            <v>81.8</v>
          </cell>
          <cell r="Y61">
            <v>90.2</v>
          </cell>
          <cell r="Z61">
            <v>74.2</v>
          </cell>
          <cell r="AA61">
            <v>95</v>
          </cell>
          <cell r="AB61">
            <v>82.8</v>
          </cell>
          <cell r="AC61">
            <v>82</v>
          </cell>
          <cell r="AE61">
            <v>83.339999999999989</v>
          </cell>
          <cell r="AF61">
            <v>12</v>
          </cell>
          <cell r="AG61">
            <v>28</v>
          </cell>
          <cell r="AH61">
            <v>100.8</v>
          </cell>
          <cell r="AI61">
            <v>14</v>
          </cell>
          <cell r="AJ61">
            <v>70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-36</v>
          </cell>
          <cell r="O62">
            <v>0</v>
          </cell>
          <cell r="P62">
            <v>392</v>
          </cell>
          <cell r="Q62">
            <v>0</v>
          </cell>
          <cell r="S62">
            <v>0</v>
          </cell>
          <cell r="V62" t="e">
            <v>#DIV/0!</v>
          </cell>
          <cell r="W62" t="e">
            <v>#DIV/0!</v>
          </cell>
          <cell r="X62">
            <v>15.8</v>
          </cell>
          <cell r="Y62">
            <v>24.8</v>
          </cell>
          <cell r="Z62">
            <v>12</v>
          </cell>
          <cell r="AA62">
            <v>22.6</v>
          </cell>
          <cell r="AB62">
            <v>6.8</v>
          </cell>
          <cell r="AC62">
            <v>13.6</v>
          </cell>
          <cell r="AE62">
            <v>0</v>
          </cell>
          <cell r="AF62">
            <v>14</v>
          </cell>
          <cell r="AG62">
            <v>0</v>
          </cell>
          <cell r="AH62">
            <v>0</v>
          </cell>
          <cell r="AI62">
            <v>14</v>
          </cell>
          <cell r="AJ62">
            <v>70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  <cell r="K63">
            <v>623</v>
          </cell>
          <cell r="L63">
            <v>49</v>
          </cell>
          <cell r="O63">
            <v>336</v>
          </cell>
          <cell r="P63">
            <v>504</v>
          </cell>
          <cell r="Q63">
            <v>134.4</v>
          </cell>
          <cell r="R63">
            <v>674.60000000000014</v>
          </cell>
          <cell r="S63">
            <v>672</v>
          </cell>
          <cell r="V63">
            <v>13.980654761904761</v>
          </cell>
          <cell r="W63">
            <v>8.980654761904761</v>
          </cell>
          <cell r="X63">
            <v>129.19999999999999</v>
          </cell>
          <cell r="Y63">
            <v>79.400000000000006</v>
          </cell>
          <cell r="Z63">
            <v>80</v>
          </cell>
          <cell r="AA63">
            <v>108</v>
          </cell>
          <cell r="AB63">
            <v>105.2</v>
          </cell>
          <cell r="AC63">
            <v>110.4</v>
          </cell>
          <cell r="AE63">
            <v>168.65000000000003</v>
          </cell>
          <cell r="AF63">
            <v>12</v>
          </cell>
          <cell r="AG63">
            <v>56</v>
          </cell>
          <cell r="AH63">
            <v>168</v>
          </cell>
          <cell r="AI63">
            <v>14</v>
          </cell>
          <cell r="AJ63">
            <v>70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  <cell r="K64">
            <v>295</v>
          </cell>
          <cell r="L64">
            <v>-56</v>
          </cell>
          <cell r="O64">
            <v>1512</v>
          </cell>
          <cell r="P64">
            <v>504</v>
          </cell>
          <cell r="Q64">
            <v>47.8</v>
          </cell>
          <cell r="S64">
            <v>0</v>
          </cell>
          <cell r="V64">
            <v>42.280334728033473</v>
          </cell>
          <cell r="W64">
            <v>42.280334728033473</v>
          </cell>
          <cell r="X64">
            <v>136.4</v>
          </cell>
          <cell r="Y64">
            <v>140.19999999999999</v>
          </cell>
          <cell r="Z64">
            <v>113.8</v>
          </cell>
          <cell r="AA64">
            <v>115.8</v>
          </cell>
          <cell r="AB64">
            <v>111.6</v>
          </cell>
          <cell r="AC64">
            <v>117.6</v>
          </cell>
          <cell r="AE64">
            <v>0</v>
          </cell>
          <cell r="AF64">
            <v>12</v>
          </cell>
          <cell r="AG64">
            <v>0</v>
          </cell>
          <cell r="AH64">
            <v>0</v>
          </cell>
          <cell r="AI64">
            <v>14</v>
          </cell>
          <cell r="AJ64">
            <v>70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  <cell r="K65">
            <v>132</v>
          </cell>
          <cell r="L65">
            <v>16</v>
          </cell>
          <cell r="O65">
            <v>0</v>
          </cell>
          <cell r="P65">
            <v>252</v>
          </cell>
          <cell r="Q65">
            <v>29.6</v>
          </cell>
          <cell r="R65">
            <v>160.40000000000003</v>
          </cell>
          <cell r="S65">
            <v>168</v>
          </cell>
          <cell r="V65">
            <v>14.256756756756756</v>
          </cell>
          <cell r="W65">
            <v>8.5810810810810807</v>
          </cell>
          <cell r="X65">
            <v>25.2</v>
          </cell>
          <cell r="Y65">
            <v>17.2</v>
          </cell>
          <cell r="Z65">
            <v>1.6</v>
          </cell>
          <cell r="AA65">
            <v>19.600000000000001</v>
          </cell>
          <cell r="AB65">
            <v>20</v>
          </cell>
          <cell r="AC65">
            <v>27.8</v>
          </cell>
          <cell r="AE65">
            <v>32.080000000000005</v>
          </cell>
          <cell r="AF65">
            <v>6</v>
          </cell>
          <cell r="AG65">
            <v>28</v>
          </cell>
          <cell r="AH65">
            <v>33.6</v>
          </cell>
          <cell r="AI65">
            <v>14</v>
          </cell>
          <cell r="AJ65">
            <v>140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G66">
            <v>0.23</v>
          </cell>
          <cell r="H66">
            <v>180</v>
          </cell>
          <cell r="I66" t="str">
            <v>P005180</v>
          </cell>
          <cell r="K66">
            <v>80</v>
          </cell>
          <cell r="L66">
            <v>-17</v>
          </cell>
          <cell r="O66">
            <v>672</v>
          </cell>
          <cell r="P66">
            <v>168</v>
          </cell>
          <cell r="Q66">
            <v>12.6</v>
          </cell>
          <cell r="S66">
            <v>0</v>
          </cell>
          <cell r="V66">
            <v>66.666666666666671</v>
          </cell>
          <cell r="W66">
            <v>66.666666666666671</v>
          </cell>
          <cell r="X66">
            <v>46.6</v>
          </cell>
          <cell r="Y66">
            <v>66.2</v>
          </cell>
          <cell r="Z66">
            <v>45.6</v>
          </cell>
          <cell r="AA66">
            <v>46.4</v>
          </cell>
          <cell r="AB66">
            <v>30.2</v>
          </cell>
          <cell r="AC66">
            <v>23.6</v>
          </cell>
          <cell r="AE66">
            <v>0</v>
          </cell>
          <cell r="AF66">
            <v>6</v>
          </cell>
          <cell r="AG66">
            <v>0</v>
          </cell>
          <cell r="AH66">
            <v>0</v>
          </cell>
          <cell r="AI66">
            <v>14</v>
          </cell>
          <cell r="AJ66">
            <v>140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  <cell r="K67">
            <v>45.1</v>
          </cell>
          <cell r="L67">
            <v>6.1999999999999957</v>
          </cell>
          <cell r="O67">
            <v>151.19999999999999</v>
          </cell>
          <cell r="P67">
            <v>0</v>
          </cell>
          <cell r="Q67">
            <v>10.26</v>
          </cell>
          <cell r="S67">
            <v>0</v>
          </cell>
          <cell r="V67">
            <v>15.263157894736842</v>
          </cell>
          <cell r="W67">
            <v>15.263157894736842</v>
          </cell>
          <cell r="X67">
            <v>9.7200000000000006</v>
          </cell>
          <cell r="Y67">
            <v>6.48</v>
          </cell>
          <cell r="Z67">
            <v>7.5659999999999998</v>
          </cell>
          <cell r="AA67">
            <v>2.16</v>
          </cell>
          <cell r="AB67">
            <v>10.8</v>
          </cell>
          <cell r="AC67">
            <v>8.64</v>
          </cell>
          <cell r="AE67">
            <v>0</v>
          </cell>
          <cell r="AF67">
            <v>2.7</v>
          </cell>
          <cell r="AG67">
            <v>0</v>
          </cell>
          <cell r="AH67">
            <v>0</v>
          </cell>
          <cell r="AI67">
            <v>14</v>
          </cell>
          <cell r="AJ67">
            <v>126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  <cell r="K68">
            <v>115</v>
          </cell>
          <cell r="L68">
            <v>157.69999999999999</v>
          </cell>
          <cell r="O68">
            <v>180</v>
          </cell>
          <cell r="P68">
            <v>420</v>
          </cell>
          <cell r="Q68">
            <v>54.54</v>
          </cell>
          <cell r="R68">
            <v>43.959999999999937</v>
          </cell>
          <cell r="S68">
            <v>60</v>
          </cell>
          <cell r="V68">
            <v>14.294096076274295</v>
          </cell>
          <cell r="W68">
            <v>13.193986065273194</v>
          </cell>
          <cell r="X68">
            <v>84.539999999999992</v>
          </cell>
          <cell r="Y68">
            <v>57.54</v>
          </cell>
          <cell r="Z68">
            <v>81</v>
          </cell>
          <cell r="AA68">
            <v>89.539999999999992</v>
          </cell>
          <cell r="AB68">
            <v>81</v>
          </cell>
          <cell r="AC68">
            <v>66</v>
          </cell>
          <cell r="AE68">
            <v>43.959999999999937</v>
          </cell>
          <cell r="AF68">
            <v>5</v>
          </cell>
          <cell r="AG68">
            <v>12</v>
          </cell>
          <cell r="AH68">
            <v>60</v>
          </cell>
          <cell r="AI68">
            <v>12</v>
          </cell>
          <cell r="AJ68">
            <v>84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130.4</v>
          </cell>
          <cell r="L69">
            <v>7.2999999999999829</v>
          </cell>
          <cell r="O69">
            <v>0</v>
          </cell>
          <cell r="Q69">
            <v>27.54</v>
          </cell>
          <cell r="V69">
            <v>5.3485838779956429</v>
          </cell>
          <cell r="W69">
            <v>5.3485838779956429</v>
          </cell>
          <cell r="X69">
            <v>2.54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19" width="13.28515625" style="26" customWidth="1"/>
    <col min="20" max="21" width="5" customWidth="1"/>
    <col min="22" max="27" width="6" customWidth="1"/>
    <col min="28" max="28" width="31.140625" customWidth="1"/>
    <col min="29" max="29" width="7.140625" customWidth="1"/>
    <col min="30" max="30" width="6" style="6" customWidth="1"/>
    <col min="31" max="31" width="7" style="12" customWidth="1"/>
    <col min="32" max="32" width="7.140625" customWidth="1"/>
    <col min="33" max="34" width="5" customWidth="1"/>
    <col min="35" max="35" width="6" style="12" customWidth="1"/>
    <col min="36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>
        <v>14.3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7"/>
      <c r="AE1" s="9"/>
      <c r="AF1" s="1"/>
      <c r="AG1" s="1"/>
      <c r="AH1" s="1"/>
      <c r="AI1" s="9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7"/>
      <c r="AE2" s="9"/>
      <c r="AF2" s="1"/>
      <c r="AG2" s="1"/>
      <c r="AH2" s="1"/>
      <c r="AI2" s="9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3"/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21</v>
      </c>
      <c r="AC3" s="2" t="s">
        <v>22</v>
      </c>
      <c r="AD3" s="8" t="s">
        <v>23</v>
      </c>
      <c r="AE3" s="10" t="s">
        <v>24</v>
      </c>
      <c r="AF3" s="2" t="s">
        <v>25</v>
      </c>
      <c r="AG3" s="2" t="s">
        <v>26</v>
      </c>
      <c r="AH3" s="2" t="s">
        <v>27</v>
      </c>
      <c r="AI3" s="10" t="s">
        <v>28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/>
      <c r="AC4" s="1"/>
      <c r="AD4" s="7"/>
      <c r="AE4" s="9" t="s">
        <v>116</v>
      </c>
      <c r="AF4" s="1"/>
      <c r="AG4" s="1"/>
      <c r="AH4" s="1"/>
      <c r="AI4" s="9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25670</v>
      </c>
      <c r="F5" s="4">
        <f>SUM(F6:F500)</f>
        <v>24511.1</v>
      </c>
      <c r="G5" s="7"/>
      <c r="H5" s="1"/>
      <c r="I5" s="1"/>
      <c r="J5" s="1"/>
      <c r="K5" s="4">
        <f t="shared" ref="K5:R5" si="0">SUM(K6:K500)</f>
        <v>30292.1</v>
      </c>
      <c r="L5" s="4">
        <f t="shared" si="0"/>
        <v>-4622.0999999999995</v>
      </c>
      <c r="M5" s="4">
        <f t="shared" si="0"/>
        <v>0</v>
      </c>
      <c r="N5" s="4">
        <f t="shared" si="0"/>
        <v>0</v>
      </c>
      <c r="O5" s="4">
        <f t="shared" si="0"/>
        <v>29251.399999999998</v>
      </c>
      <c r="P5" s="4">
        <f t="shared" si="0"/>
        <v>5134.0000000000009</v>
      </c>
      <c r="Q5" s="4">
        <f t="shared" si="0"/>
        <v>27308.600000000006</v>
      </c>
      <c r="R5" s="4">
        <f t="shared" si="0"/>
        <v>27005.200000000001</v>
      </c>
      <c r="S5" s="4"/>
      <c r="T5" s="1"/>
      <c r="U5" s="1"/>
      <c r="V5" s="4">
        <f t="shared" ref="V5:AA5" si="1">SUM(V6:V500)</f>
        <v>5231.0199999999977</v>
      </c>
      <c r="W5" s="4">
        <f t="shared" si="1"/>
        <v>4966.74</v>
      </c>
      <c r="X5" s="4">
        <f t="shared" si="1"/>
        <v>3959.78</v>
      </c>
      <c r="Y5" s="4">
        <f t="shared" si="1"/>
        <v>3954.62</v>
      </c>
      <c r="Z5" s="4">
        <f t="shared" si="1"/>
        <v>3463.2799999999988</v>
      </c>
      <c r="AA5" s="4">
        <f t="shared" si="1"/>
        <v>3838.1800000000003</v>
      </c>
      <c r="AB5" s="1"/>
      <c r="AC5" s="4">
        <f>SUM(AC6:AC500)</f>
        <v>11653.812399999999</v>
      </c>
      <c r="AD5" s="7"/>
      <c r="AE5" s="11">
        <f>SUM(AE6:AE500)</f>
        <v>3000</v>
      </c>
      <c r="AF5" s="4">
        <f>SUM(AF6:AF500)</f>
        <v>11619.119999999999</v>
      </c>
      <c r="AG5" s="1"/>
      <c r="AH5" s="1"/>
      <c r="AI5" s="11">
        <f>SUM(AI6:AI500)</f>
        <v>34.928571428571431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37</v>
      </c>
      <c r="B6" s="13" t="s">
        <v>38</v>
      </c>
      <c r="C6" s="13">
        <v>-14</v>
      </c>
      <c r="D6" s="13">
        <v>311</v>
      </c>
      <c r="E6" s="17">
        <v>76</v>
      </c>
      <c r="F6" s="17">
        <v>211</v>
      </c>
      <c r="G6" s="14">
        <v>0</v>
      </c>
      <c r="H6" s="13"/>
      <c r="I6" s="13" t="s">
        <v>39</v>
      </c>
      <c r="J6" s="13" t="s">
        <v>40</v>
      </c>
      <c r="K6" s="13">
        <v>79</v>
      </c>
      <c r="L6" s="13">
        <f t="shared" ref="L6:L37" si="2">E6-K6</f>
        <v>-3</v>
      </c>
      <c r="M6" s="13"/>
      <c r="N6" s="13"/>
      <c r="O6" s="13"/>
      <c r="P6" s="13">
        <f t="shared" ref="P6:P37" si="3">E6/5</f>
        <v>15.2</v>
      </c>
      <c r="Q6" s="15"/>
      <c r="R6" s="15"/>
      <c r="S6" s="24"/>
      <c r="T6" s="13">
        <f t="shared" ref="T6:T37" si="4">(F6+O6+R6)/P6</f>
        <v>13.881578947368421</v>
      </c>
      <c r="U6" s="13">
        <f t="shared" ref="U6:U37" si="5">(F6+O6)/P6</f>
        <v>13.881578947368421</v>
      </c>
      <c r="V6" s="13">
        <v>39.6</v>
      </c>
      <c r="W6" s="13">
        <v>34.4</v>
      </c>
      <c r="X6" s="13">
        <v>35</v>
      </c>
      <c r="Y6" s="13">
        <v>30</v>
      </c>
      <c r="Z6" s="13">
        <v>28.8</v>
      </c>
      <c r="AA6" s="13">
        <v>33</v>
      </c>
      <c r="AB6" s="13"/>
      <c r="AC6" s="13"/>
      <c r="AD6" s="14"/>
      <c r="AE6" s="16"/>
      <c r="AF6" s="13"/>
      <c r="AG6" s="13"/>
      <c r="AH6" s="13"/>
      <c r="AI6" s="16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3" t="s">
        <v>41</v>
      </c>
      <c r="B7" s="13" t="s">
        <v>38</v>
      </c>
      <c r="C7" s="13">
        <v>41</v>
      </c>
      <c r="D7" s="13">
        <v>240</v>
      </c>
      <c r="E7" s="17">
        <v>102</v>
      </c>
      <c r="F7" s="17">
        <v>160</v>
      </c>
      <c r="G7" s="14">
        <v>0</v>
      </c>
      <c r="H7" s="13"/>
      <c r="I7" s="13" t="s">
        <v>39</v>
      </c>
      <c r="J7" s="13" t="s">
        <v>42</v>
      </c>
      <c r="K7" s="13">
        <v>106</v>
      </c>
      <c r="L7" s="13">
        <f t="shared" si="2"/>
        <v>-4</v>
      </c>
      <c r="M7" s="13"/>
      <c r="N7" s="13"/>
      <c r="O7" s="13"/>
      <c r="P7" s="13">
        <f t="shared" si="3"/>
        <v>20.399999999999999</v>
      </c>
      <c r="Q7" s="15"/>
      <c r="R7" s="15"/>
      <c r="S7" s="24"/>
      <c r="T7" s="13">
        <f t="shared" si="4"/>
        <v>7.8431372549019613</v>
      </c>
      <c r="U7" s="13">
        <f t="shared" si="5"/>
        <v>7.8431372549019613</v>
      </c>
      <c r="V7" s="13">
        <v>30</v>
      </c>
      <c r="W7" s="13">
        <v>25.2</v>
      </c>
      <c r="X7" s="13">
        <v>38</v>
      </c>
      <c r="Y7" s="13">
        <v>27.6</v>
      </c>
      <c r="Z7" s="13">
        <v>25.6</v>
      </c>
      <c r="AA7" s="13">
        <v>24</v>
      </c>
      <c r="AB7" s="13"/>
      <c r="AC7" s="13"/>
      <c r="AD7" s="14"/>
      <c r="AE7" s="16"/>
      <c r="AF7" s="13"/>
      <c r="AG7" s="13"/>
      <c r="AH7" s="13"/>
      <c r="AI7" s="16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43</v>
      </c>
      <c r="B8" s="13" t="s">
        <v>44</v>
      </c>
      <c r="C8" s="13">
        <v>13</v>
      </c>
      <c r="D8" s="13"/>
      <c r="E8" s="13"/>
      <c r="F8" s="13"/>
      <c r="G8" s="14">
        <v>0</v>
      </c>
      <c r="H8" s="13"/>
      <c r="I8" s="13" t="s">
        <v>39</v>
      </c>
      <c r="J8" s="13" t="s">
        <v>45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24"/>
      <c r="T8" s="13" t="e">
        <f t="shared" si="4"/>
        <v>#DIV/0!</v>
      </c>
      <c r="U8" s="13" t="e">
        <f t="shared" si="5"/>
        <v>#DIV/0!</v>
      </c>
      <c r="V8" s="13">
        <v>0</v>
      </c>
      <c r="W8" s="13">
        <v>0</v>
      </c>
      <c r="X8" s="13">
        <v>0.74</v>
      </c>
      <c r="Y8" s="13">
        <v>1.48</v>
      </c>
      <c r="Z8" s="13">
        <v>1.48</v>
      </c>
      <c r="AA8" s="13">
        <v>8.14</v>
      </c>
      <c r="AB8" s="13"/>
      <c r="AC8" s="13"/>
      <c r="AD8" s="14"/>
      <c r="AE8" s="16"/>
      <c r="AF8" s="13"/>
      <c r="AG8" s="13"/>
      <c r="AH8" s="13"/>
      <c r="AI8" s="16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46</v>
      </c>
      <c r="B9" s="13" t="s">
        <v>38</v>
      </c>
      <c r="C9" s="13">
        <v>173</v>
      </c>
      <c r="D9" s="13">
        <v>4</v>
      </c>
      <c r="E9" s="17">
        <v>16</v>
      </c>
      <c r="F9" s="17">
        <v>-10</v>
      </c>
      <c r="G9" s="14">
        <v>0</v>
      </c>
      <c r="H9" s="13"/>
      <c r="I9" s="13" t="s">
        <v>39</v>
      </c>
      <c r="J9" s="13" t="s">
        <v>47</v>
      </c>
      <c r="K9" s="13">
        <v>34</v>
      </c>
      <c r="L9" s="13">
        <f t="shared" si="2"/>
        <v>-18</v>
      </c>
      <c r="M9" s="13"/>
      <c r="N9" s="13"/>
      <c r="O9" s="13"/>
      <c r="P9" s="13">
        <f t="shared" si="3"/>
        <v>3.2</v>
      </c>
      <c r="Q9" s="15"/>
      <c r="R9" s="15"/>
      <c r="S9" s="24"/>
      <c r="T9" s="13">
        <f t="shared" si="4"/>
        <v>-3.125</v>
      </c>
      <c r="U9" s="13">
        <f t="shared" si="5"/>
        <v>-3.125</v>
      </c>
      <c r="V9" s="13">
        <v>3.8</v>
      </c>
      <c r="W9" s="13">
        <v>8.4</v>
      </c>
      <c r="X9" s="13">
        <v>3</v>
      </c>
      <c r="Y9" s="13">
        <v>13.6</v>
      </c>
      <c r="Z9" s="13">
        <v>9.6</v>
      </c>
      <c r="AA9" s="13">
        <v>5.8</v>
      </c>
      <c r="AB9" s="13"/>
      <c r="AC9" s="13"/>
      <c r="AD9" s="14"/>
      <c r="AE9" s="16"/>
      <c r="AF9" s="13"/>
      <c r="AG9" s="13"/>
      <c r="AH9" s="13"/>
      <c r="AI9" s="16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48</v>
      </c>
      <c r="B10" s="1" t="s">
        <v>38</v>
      </c>
      <c r="C10" s="1">
        <v>281</v>
      </c>
      <c r="D10" s="1">
        <v>712</v>
      </c>
      <c r="E10" s="1">
        <v>293</v>
      </c>
      <c r="F10" s="1">
        <v>-34</v>
      </c>
      <c r="G10" s="7">
        <f>VLOOKUP(A10,[1]Sheet!$A:$G,7,0)</f>
        <v>0.3</v>
      </c>
      <c r="H10" s="1">
        <f>VLOOKUP(A10,[1]Sheet!$A:$H,8,0)</f>
        <v>180</v>
      </c>
      <c r="I10" s="1" t="str">
        <f>VLOOKUP(A10,[1]Sheet!$A:$I,9,0)</f>
        <v>P004598</v>
      </c>
      <c r="J10" s="1"/>
      <c r="K10" s="1">
        <v>442</v>
      </c>
      <c r="L10" s="1">
        <f t="shared" si="2"/>
        <v>-149</v>
      </c>
      <c r="M10" s="1"/>
      <c r="N10" s="1"/>
      <c r="O10" s="1">
        <v>672</v>
      </c>
      <c r="P10" s="1">
        <f t="shared" si="3"/>
        <v>58.6</v>
      </c>
      <c r="Q10" s="5">
        <f>14*P10-O10-F10</f>
        <v>182.39999999999998</v>
      </c>
      <c r="R10" s="5">
        <f t="shared" ref="R10:R18" si="6">AD10*AE10</f>
        <v>168</v>
      </c>
      <c r="S10" s="25"/>
      <c r="T10" s="1">
        <f t="shared" si="4"/>
        <v>13.754266211604095</v>
      </c>
      <c r="U10" s="1">
        <f t="shared" si="5"/>
        <v>10.887372013651877</v>
      </c>
      <c r="V10" s="1">
        <v>76.599999999999994</v>
      </c>
      <c r="W10" s="1">
        <v>43.4</v>
      </c>
      <c r="X10" s="1">
        <v>40.6</v>
      </c>
      <c r="Y10" s="1">
        <v>47</v>
      </c>
      <c r="Z10" s="1">
        <v>38.4</v>
      </c>
      <c r="AA10" s="1">
        <v>31.8</v>
      </c>
      <c r="AB10" s="1"/>
      <c r="AC10" s="1">
        <f t="shared" ref="AC10:AC18" si="7">G10*Q10</f>
        <v>54.719999999999992</v>
      </c>
      <c r="AD10" s="7">
        <f>VLOOKUP(A10,[1]Sheet!$A:$AF,32,0)</f>
        <v>12</v>
      </c>
      <c r="AE10" s="9">
        <f t="shared" ref="AE10:AE18" si="8">MROUND(Q10, AD10*AG10)/AD10</f>
        <v>14</v>
      </c>
      <c r="AF10" s="1">
        <f t="shared" ref="AF10:AF18" si="9">AE10*AD10*G10</f>
        <v>50.4</v>
      </c>
      <c r="AG10" s="1">
        <f>VLOOKUP(A10,[1]Sheet!$A:$AJ,35,0)</f>
        <v>14</v>
      </c>
      <c r="AH10" s="1">
        <f>VLOOKUP(A10,[1]Sheet!$A:$AJ,36,0)</f>
        <v>70</v>
      </c>
      <c r="AI10" s="9">
        <f t="shared" ref="AI10:AI18" si="10">AE10/AH10</f>
        <v>0.2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49</v>
      </c>
      <c r="B11" s="1" t="s">
        <v>38</v>
      </c>
      <c r="C11" s="1">
        <v>414</v>
      </c>
      <c r="D11" s="1">
        <v>97</v>
      </c>
      <c r="E11" s="1">
        <v>393</v>
      </c>
      <c r="F11" s="1">
        <v>9</v>
      </c>
      <c r="G11" s="7">
        <f>VLOOKUP(A11,[1]Sheet!$A:$G,7,0)</f>
        <v>0.28000000000000003</v>
      </c>
      <c r="H11" s="1">
        <f>VLOOKUP(A11,[1]Sheet!$A:$H,8,0)</f>
        <v>180</v>
      </c>
      <c r="I11" s="1" t="str">
        <f>VLOOKUP(A11,[1]Sheet!$A:$I,9,0)</f>
        <v>P004597</v>
      </c>
      <c r="J11" s="1"/>
      <c r="K11" s="1">
        <v>531</v>
      </c>
      <c r="L11" s="1">
        <f t="shared" si="2"/>
        <v>-138</v>
      </c>
      <c r="M11" s="1"/>
      <c r="N11" s="1"/>
      <c r="O11" s="1">
        <v>840</v>
      </c>
      <c r="P11" s="1">
        <f t="shared" si="3"/>
        <v>78.599999999999994</v>
      </c>
      <c r="Q11" s="5">
        <f t="shared" ref="Q11:Q16" si="11">14*P11-O11-F11</f>
        <v>251.39999999999986</v>
      </c>
      <c r="R11" s="5">
        <f t="shared" si="6"/>
        <v>252</v>
      </c>
      <c r="S11" s="25"/>
      <c r="T11" s="1">
        <f t="shared" si="4"/>
        <v>14.007633587786261</v>
      </c>
      <c r="U11" s="1">
        <f t="shared" si="5"/>
        <v>10.801526717557254</v>
      </c>
      <c r="V11" s="1">
        <v>70.2</v>
      </c>
      <c r="W11" s="1">
        <v>45.6</v>
      </c>
      <c r="X11" s="1">
        <v>25.8</v>
      </c>
      <c r="Y11" s="1">
        <v>49</v>
      </c>
      <c r="Z11" s="1">
        <v>30.4</v>
      </c>
      <c r="AA11" s="1">
        <v>40.6</v>
      </c>
      <c r="AB11" s="1"/>
      <c r="AC11" s="1">
        <f t="shared" si="7"/>
        <v>70.391999999999967</v>
      </c>
      <c r="AD11" s="7">
        <f>VLOOKUP(A11,[1]Sheet!$A:$AF,32,0)</f>
        <v>6</v>
      </c>
      <c r="AE11" s="9">
        <f t="shared" si="8"/>
        <v>42</v>
      </c>
      <c r="AF11" s="1">
        <f t="shared" si="9"/>
        <v>70.56</v>
      </c>
      <c r="AG11" s="1">
        <f>VLOOKUP(A11,[1]Sheet!$A:$AJ,35,0)</f>
        <v>14</v>
      </c>
      <c r="AH11" s="1">
        <f>VLOOKUP(A11,[1]Sheet!$A:$AJ,36,0)</f>
        <v>140</v>
      </c>
      <c r="AI11" s="9">
        <f t="shared" si="10"/>
        <v>0.3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50</v>
      </c>
      <c r="B12" s="1" t="s">
        <v>38</v>
      </c>
      <c r="C12" s="1">
        <v>1303</v>
      </c>
      <c r="D12" s="1">
        <v>289</v>
      </c>
      <c r="E12" s="1">
        <v>502</v>
      </c>
      <c r="F12" s="1">
        <v>840</v>
      </c>
      <c r="G12" s="7">
        <f>VLOOKUP(A12,[1]Sheet!$A:$G,7,0)</f>
        <v>0.24</v>
      </c>
      <c r="H12" s="1">
        <f>VLOOKUP(A12,[1]Sheet!$A:$H,8,0)</f>
        <v>180</v>
      </c>
      <c r="I12" s="1" t="str">
        <f>VLOOKUP(A12,[1]Sheet!$A:$I,9,0)</f>
        <v>P004969</v>
      </c>
      <c r="J12" s="1"/>
      <c r="K12" s="1">
        <v>573</v>
      </c>
      <c r="L12" s="1">
        <f t="shared" si="2"/>
        <v>-71</v>
      </c>
      <c r="M12" s="1"/>
      <c r="N12" s="1"/>
      <c r="O12" s="1">
        <v>0</v>
      </c>
      <c r="P12" s="1">
        <f t="shared" si="3"/>
        <v>100.4</v>
      </c>
      <c r="Q12" s="5">
        <f>$Q$1*P12-O12-F12</f>
        <v>595.72000000000025</v>
      </c>
      <c r="R12" s="5">
        <f t="shared" si="6"/>
        <v>672</v>
      </c>
      <c r="S12" s="25"/>
      <c r="T12" s="1">
        <f t="shared" si="4"/>
        <v>15.059760956175298</v>
      </c>
      <c r="U12" s="1">
        <f t="shared" si="5"/>
        <v>8.3665338645418323</v>
      </c>
      <c r="V12" s="1">
        <v>92.8</v>
      </c>
      <c r="W12" s="1">
        <v>115.8</v>
      </c>
      <c r="X12" s="1">
        <v>91</v>
      </c>
      <c r="Y12" s="1">
        <v>91.4</v>
      </c>
      <c r="Z12" s="1">
        <v>89</v>
      </c>
      <c r="AA12" s="1">
        <v>79.8</v>
      </c>
      <c r="AB12" s="1"/>
      <c r="AC12" s="1">
        <f t="shared" si="7"/>
        <v>142.97280000000006</v>
      </c>
      <c r="AD12" s="7">
        <f>VLOOKUP(A12,[1]Sheet!$A:$AF,32,0)</f>
        <v>12</v>
      </c>
      <c r="AE12" s="9">
        <f t="shared" si="8"/>
        <v>56</v>
      </c>
      <c r="AF12" s="1">
        <f t="shared" si="9"/>
        <v>161.28</v>
      </c>
      <c r="AG12" s="1">
        <f>VLOOKUP(A12,[1]Sheet!$A:$AJ,35,0)</f>
        <v>14</v>
      </c>
      <c r="AH12" s="1">
        <f>VLOOKUP(A12,[1]Sheet!$A:$AJ,36,0)</f>
        <v>70</v>
      </c>
      <c r="AI12" s="9">
        <f t="shared" si="10"/>
        <v>0.8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51</v>
      </c>
      <c r="B13" s="1" t="s">
        <v>38</v>
      </c>
      <c r="C13" s="1">
        <v>2190</v>
      </c>
      <c r="D13" s="1">
        <v>2223</v>
      </c>
      <c r="E13" s="1">
        <v>985</v>
      </c>
      <c r="F13" s="1">
        <v>1287</v>
      </c>
      <c r="G13" s="7">
        <f>VLOOKUP(A13,[1]Sheet!$A:$G,7,0)</f>
        <v>0.24</v>
      </c>
      <c r="H13" s="1">
        <f>VLOOKUP(A13,[1]Sheet!$A:$H,8,0)</f>
        <v>180</v>
      </c>
      <c r="I13" s="1" t="str">
        <f>VLOOKUP(A13,[1]Sheet!$A:$I,9,0)</f>
        <v>P004971</v>
      </c>
      <c r="J13" s="1"/>
      <c r="K13" s="1">
        <v>1052</v>
      </c>
      <c r="L13" s="1">
        <f t="shared" si="2"/>
        <v>-67</v>
      </c>
      <c r="M13" s="1"/>
      <c r="N13" s="1"/>
      <c r="O13" s="1">
        <v>504</v>
      </c>
      <c r="P13" s="1">
        <f t="shared" si="3"/>
        <v>197</v>
      </c>
      <c r="Q13" s="5">
        <f t="shared" ref="Q13:Q15" si="12">$Q$1*P13-O13-F13</f>
        <v>1026.1000000000004</v>
      </c>
      <c r="R13" s="5">
        <f t="shared" si="6"/>
        <v>1008</v>
      </c>
      <c r="S13" s="25"/>
      <c r="T13" s="1">
        <f t="shared" si="4"/>
        <v>14.208121827411167</v>
      </c>
      <c r="U13" s="1">
        <f t="shared" si="5"/>
        <v>9.091370558375635</v>
      </c>
      <c r="V13" s="1">
        <v>180</v>
      </c>
      <c r="W13" s="1">
        <v>288.39999999999998</v>
      </c>
      <c r="X13" s="1">
        <v>131</v>
      </c>
      <c r="Y13" s="1">
        <v>156.6</v>
      </c>
      <c r="Z13" s="1">
        <v>150</v>
      </c>
      <c r="AA13" s="1">
        <v>122</v>
      </c>
      <c r="AB13" s="1"/>
      <c r="AC13" s="1">
        <f t="shared" si="7"/>
        <v>246.26400000000007</v>
      </c>
      <c r="AD13" s="7">
        <f>VLOOKUP(A13,[1]Sheet!$A:$AF,32,0)</f>
        <v>12</v>
      </c>
      <c r="AE13" s="9">
        <f t="shared" si="8"/>
        <v>84</v>
      </c>
      <c r="AF13" s="1">
        <f t="shared" si="9"/>
        <v>241.92</v>
      </c>
      <c r="AG13" s="1">
        <f>VLOOKUP(A13,[1]Sheet!$A:$AJ,35,0)</f>
        <v>14</v>
      </c>
      <c r="AH13" s="1">
        <f>VLOOKUP(A13,[1]Sheet!$A:$AJ,36,0)</f>
        <v>70</v>
      </c>
      <c r="AI13" s="9">
        <f t="shared" si="10"/>
        <v>1.2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52</v>
      </c>
      <c r="B14" s="1" t="s">
        <v>38</v>
      </c>
      <c r="C14" s="1">
        <v>784</v>
      </c>
      <c r="D14" s="1">
        <v>2024</v>
      </c>
      <c r="E14" s="1">
        <v>705</v>
      </c>
      <c r="F14" s="1">
        <v>106</v>
      </c>
      <c r="G14" s="7">
        <f>VLOOKUP(A14,[1]Sheet!$A:$G,7,0)</f>
        <v>0.24</v>
      </c>
      <c r="H14" s="1">
        <f>VLOOKUP(A14,[1]Sheet!$A:$H,8,0)</f>
        <v>180</v>
      </c>
      <c r="I14" s="1" t="str">
        <f>VLOOKUP(A14,[1]Sheet!$A:$I,9,0)</f>
        <v>P004974</v>
      </c>
      <c r="J14" s="1"/>
      <c r="K14" s="1">
        <v>768</v>
      </c>
      <c r="L14" s="1">
        <f t="shared" si="2"/>
        <v>-63</v>
      </c>
      <c r="M14" s="1"/>
      <c r="N14" s="1"/>
      <c r="O14" s="1">
        <v>1008</v>
      </c>
      <c r="P14" s="1">
        <f t="shared" si="3"/>
        <v>141</v>
      </c>
      <c r="Q14" s="5">
        <f t="shared" si="12"/>
        <v>902.30000000000018</v>
      </c>
      <c r="R14" s="5">
        <f t="shared" si="6"/>
        <v>840</v>
      </c>
      <c r="S14" s="25"/>
      <c r="T14" s="1">
        <f t="shared" si="4"/>
        <v>13.858156028368795</v>
      </c>
      <c r="U14" s="1">
        <f t="shared" si="5"/>
        <v>7.9007092198581557</v>
      </c>
      <c r="V14" s="1">
        <v>145.4</v>
      </c>
      <c r="W14" s="1">
        <v>95.4</v>
      </c>
      <c r="X14" s="1">
        <v>88.4</v>
      </c>
      <c r="Y14" s="1">
        <v>103.2</v>
      </c>
      <c r="Z14" s="1">
        <v>78.2</v>
      </c>
      <c r="AA14" s="1">
        <v>110.6</v>
      </c>
      <c r="AB14" s="1"/>
      <c r="AC14" s="1">
        <f t="shared" si="7"/>
        <v>216.55200000000005</v>
      </c>
      <c r="AD14" s="7">
        <f>VLOOKUP(A14,[1]Sheet!$A:$AF,32,0)</f>
        <v>12</v>
      </c>
      <c r="AE14" s="9">
        <f t="shared" si="8"/>
        <v>70</v>
      </c>
      <c r="AF14" s="1">
        <f t="shared" si="9"/>
        <v>201.6</v>
      </c>
      <c r="AG14" s="1">
        <f>VLOOKUP(A14,[1]Sheet!$A:$AJ,35,0)</f>
        <v>14</v>
      </c>
      <c r="AH14" s="1">
        <f>VLOOKUP(A14,[1]Sheet!$A:$AJ,36,0)</f>
        <v>70</v>
      </c>
      <c r="AI14" s="9">
        <f t="shared" si="10"/>
        <v>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40</v>
      </c>
      <c r="B15" s="1" t="s">
        <v>38</v>
      </c>
      <c r="C15" s="1">
        <v>1427</v>
      </c>
      <c r="D15" s="1">
        <v>328</v>
      </c>
      <c r="E15" s="17">
        <f>660+E6</f>
        <v>736</v>
      </c>
      <c r="F15" s="17">
        <f>313+F6</f>
        <v>524</v>
      </c>
      <c r="G15" s="7">
        <f>VLOOKUP(A15,[1]Sheet!$A:$G,7,0)</f>
        <v>0.24</v>
      </c>
      <c r="H15" s="1">
        <f>VLOOKUP(A15,[1]Sheet!$A:$H,8,0)</f>
        <v>180</v>
      </c>
      <c r="I15" s="1" t="str">
        <f>VLOOKUP(A15,[1]Sheet!$A:$I,9,0)</f>
        <v>P004966</v>
      </c>
      <c r="J15" s="1"/>
      <c r="K15" s="1">
        <v>717</v>
      </c>
      <c r="L15" s="1">
        <f t="shared" si="2"/>
        <v>19</v>
      </c>
      <c r="M15" s="1"/>
      <c r="N15" s="1"/>
      <c r="O15" s="1">
        <v>672</v>
      </c>
      <c r="P15" s="1">
        <f t="shared" si="3"/>
        <v>147.19999999999999</v>
      </c>
      <c r="Q15" s="5">
        <f>$Q$1*P15-O15-F15+1000</f>
        <v>1908.96</v>
      </c>
      <c r="R15" s="5">
        <f t="shared" si="6"/>
        <v>1848</v>
      </c>
      <c r="S15" s="25" t="s">
        <v>117</v>
      </c>
      <c r="T15" s="1">
        <f t="shared" si="4"/>
        <v>20.679347826086957</v>
      </c>
      <c r="U15" s="1">
        <f t="shared" si="5"/>
        <v>8.125</v>
      </c>
      <c r="V15" s="1">
        <v>152</v>
      </c>
      <c r="W15" s="1">
        <v>135.4</v>
      </c>
      <c r="X15" s="1">
        <v>98.2</v>
      </c>
      <c r="Y15" s="1">
        <v>128</v>
      </c>
      <c r="Z15" s="1">
        <v>99.2</v>
      </c>
      <c r="AA15" s="1">
        <v>113.8</v>
      </c>
      <c r="AB15" s="1" t="s">
        <v>118</v>
      </c>
      <c r="AC15" s="1">
        <f t="shared" si="7"/>
        <v>458.15039999999999</v>
      </c>
      <c r="AD15" s="7">
        <f>VLOOKUP(A15,[1]Sheet!$A:$AF,32,0)</f>
        <v>12</v>
      </c>
      <c r="AE15" s="9">
        <f t="shared" si="8"/>
        <v>154</v>
      </c>
      <c r="AF15" s="1">
        <f t="shared" si="9"/>
        <v>443.52</v>
      </c>
      <c r="AG15" s="1">
        <f>VLOOKUP(A15,[1]Sheet!$A:$AJ,35,0)</f>
        <v>14</v>
      </c>
      <c r="AH15" s="1">
        <f>VLOOKUP(A15,[1]Sheet!$A:$AJ,36,0)</f>
        <v>70</v>
      </c>
      <c r="AI15" s="9">
        <f t="shared" si="10"/>
        <v>2.2000000000000002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38</v>
      </c>
      <c r="C16" s="1">
        <v>1343</v>
      </c>
      <c r="D16" s="1">
        <v>208</v>
      </c>
      <c r="E16" s="1">
        <v>435</v>
      </c>
      <c r="F16" s="1">
        <v>1022</v>
      </c>
      <c r="G16" s="7">
        <f>VLOOKUP(A16,[1]Sheet!$A:$G,7,0)</f>
        <v>0.48</v>
      </c>
      <c r="H16" s="1">
        <f>VLOOKUP(A16,[1]Sheet!$A:$H,8,0)</f>
        <v>180</v>
      </c>
      <c r="I16" s="1" t="str">
        <f>VLOOKUP(A16,[1]Sheet!$A:$I,9,0)</f>
        <v>P004595</v>
      </c>
      <c r="J16" s="1"/>
      <c r="K16" s="1">
        <v>487</v>
      </c>
      <c r="L16" s="1">
        <f t="shared" si="2"/>
        <v>-52</v>
      </c>
      <c r="M16" s="1"/>
      <c r="N16" s="1"/>
      <c r="O16" s="1">
        <v>0</v>
      </c>
      <c r="P16" s="1">
        <f t="shared" si="3"/>
        <v>87</v>
      </c>
      <c r="Q16" s="5">
        <f t="shared" si="11"/>
        <v>196</v>
      </c>
      <c r="R16" s="5">
        <f t="shared" si="6"/>
        <v>224</v>
      </c>
      <c r="S16" s="25"/>
      <c r="T16" s="1">
        <f t="shared" si="4"/>
        <v>14.321839080459769</v>
      </c>
      <c r="U16" s="1">
        <f t="shared" si="5"/>
        <v>11.74712643678161</v>
      </c>
      <c r="V16" s="1">
        <v>55.8</v>
      </c>
      <c r="W16" s="1">
        <v>105</v>
      </c>
      <c r="X16" s="1">
        <v>51.6</v>
      </c>
      <c r="Y16" s="1">
        <v>45.8</v>
      </c>
      <c r="Z16" s="1">
        <v>24.6</v>
      </c>
      <c r="AA16" s="1">
        <v>63.4</v>
      </c>
      <c r="AB16" s="1"/>
      <c r="AC16" s="1">
        <f t="shared" si="7"/>
        <v>94.08</v>
      </c>
      <c r="AD16" s="7">
        <f>VLOOKUP(A16,[1]Sheet!$A:$AF,32,0)</f>
        <v>8</v>
      </c>
      <c r="AE16" s="9">
        <f t="shared" si="8"/>
        <v>28</v>
      </c>
      <c r="AF16" s="1">
        <f t="shared" si="9"/>
        <v>107.52</v>
      </c>
      <c r="AG16" s="1">
        <f>VLOOKUP(A16,[1]Sheet!$A:$AJ,35,0)</f>
        <v>14</v>
      </c>
      <c r="AH16" s="1">
        <f>VLOOKUP(A16,[1]Sheet!$A:$AJ,36,0)</f>
        <v>70</v>
      </c>
      <c r="AI16" s="9">
        <f t="shared" si="10"/>
        <v>0.4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38</v>
      </c>
      <c r="C17" s="1">
        <v>506</v>
      </c>
      <c r="D17" s="1">
        <v>1992</v>
      </c>
      <c r="E17" s="1">
        <v>533</v>
      </c>
      <c r="F17" s="1">
        <v>17</v>
      </c>
      <c r="G17" s="7">
        <f>VLOOKUP(A17,[1]Sheet!$A:$G,7,0)</f>
        <v>0.09</v>
      </c>
      <c r="H17" s="1">
        <f>VLOOKUP(A17,[1]Sheet!$A:$H,8,0)</f>
        <v>180</v>
      </c>
      <c r="I17" s="1" t="str">
        <f>VLOOKUP(A17,[1]Sheet!$A:$I,9,0)</f>
        <v>P004138</v>
      </c>
      <c r="J17" s="1"/>
      <c r="K17" s="1">
        <v>902</v>
      </c>
      <c r="L17" s="1">
        <f t="shared" si="2"/>
        <v>-369</v>
      </c>
      <c r="M17" s="1"/>
      <c r="N17" s="1"/>
      <c r="O17" s="1">
        <v>2016</v>
      </c>
      <c r="P17" s="1">
        <f t="shared" si="3"/>
        <v>106.6</v>
      </c>
      <c r="Q17" s="5"/>
      <c r="R17" s="5">
        <f t="shared" si="6"/>
        <v>0</v>
      </c>
      <c r="S17" s="25"/>
      <c r="T17" s="1">
        <f t="shared" si="4"/>
        <v>19.071294559099439</v>
      </c>
      <c r="U17" s="1">
        <f t="shared" si="5"/>
        <v>19.071294559099439</v>
      </c>
      <c r="V17" s="1">
        <v>204.8</v>
      </c>
      <c r="W17" s="1">
        <v>108.4</v>
      </c>
      <c r="X17" s="1">
        <v>84</v>
      </c>
      <c r="Y17" s="1">
        <v>140.19999999999999</v>
      </c>
      <c r="Z17" s="1">
        <v>86.8</v>
      </c>
      <c r="AA17" s="1">
        <v>117.6</v>
      </c>
      <c r="AB17" s="1"/>
      <c r="AC17" s="1">
        <f t="shared" si="7"/>
        <v>0</v>
      </c>
      <c r="AD17" s="7">
        <f>VLOOKUP(A17,[1]Sheet!$A:$AF,32,0)</f>
        <v>24</v>
      </c>
      <c r="AE17" s="9">
        <f t="shared" si="8"/>
        <v>0</v>
      </c>
      <c r="AF17" s="1">
        <f t="shared" si="9"/>
        <v>0</v>
      </c>
      <c r="AG17" s="1">
        <f>VLOOKUP(A17,[1]Sheet!$A:$AJ,35,0)</f>
        <v>14</v>
      </c>
      <c r="AH17" s="1">
        <f>VLOOKUP(A17,[1]Sheet!$A:$AJ,36,0)</f>
        <v>126</v>
      </c>
      <c r="AI17" s="9">
        <f t="shared" si="10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38</v>
      </c>
      <c r="C18" s="1">
        <v>287</v>
      </c>
      <c r="D18" s="1">
        <v>62</v>
      </c>
      <c r="E18" s="1">
        <v>164</v>
      </c>
      <c r="F18" s="1">
        <v>109</v>
      </c>
      <c r="G18" s="7">
        <f>VLOOKUP(A18,[1]Sheet!$A:$G,7,0)</f>
        <v>0.36</v>
      </c>
      <c r="H18" s="1">
        <f>VLOOKUP(A18,[1]Sheet!$A:$H,8,0)</f>
        <v>180</v>
      </c>
      <c r="I18" s="1" t="str">
        <f>VLOOKUP(A18,[1]Sheet!$A:$I,9,0)</f>
        <v>P004583</v>
      </c>
      <c r="J18" s="1"/>
      <c r="K18" s="1">
        <v>164</v>
      </c>
      <c r="L18" s="1">
        <f t="shared" si="2"/>
        <v>0</v>
      </c>
      <c r="M18" s="1"/>
      <c r="N18" s="1"/>
      <c r="O18" s="1">
        <v>0</v>
      </c>
      <c r="P18" s="1">
        <f t="shared" si="3"/>
        <v>32.799999999999997</v>
      </c>
      <c r="Q18" s="5">
        <f>13*P18-O18-F18</f>
        <v>317.39999999999998</v>
      </c>
      <c r="R18" s="5">
        <f t="shared" si="6"/>
        <v>280</v>
      </c>
      <c r="S18" s="25"/>
      <c r="T18" s="1">
        <f t="shared" si="4"/>
        <v>11.859756097560977</v>
      </c>
      <c r="U18" s="1">
        <f t="shared" si="5"/>
        <v>3.3231707317073176</v>
      </c>
      <c r="V18" s="1">
        <v>16.399999999999999</v>
      </c>
      <c r="W18" s="1">
        <v>28.4</v>
      </c>
      <c r="X18" s="1">
        <v>15.2</v>
      </c>
      <c r="Y18" s="1">
        <v>20.399999999999999</v>
      </c>
      <c r="Z18" s="1">
        <v>22</v>
      </c>
      <c r="AA18" s="1">
        <v>26.2</v>
      </c>
      <c r="AB18" s="1"/>
      <c r="AC18" s="1">
        <f t="shared" si="7"/>
        <v>114.26399999999998</v>
      </c>
      <c r="AD18" s="7">
        <f>VLOOKUP(A18,[1]Sheet!$A:$AF,32,0)</f>
        <v>10</v>
      </c>
      <c r="AE18" s="9">
        <f t="shared" si="8"/>
        <v>28</v>
      </c>
      <c r="AF18" s="1">
        <f t="shared" si="9"/>
        <v>100.8</v>
      </c>
      <c r="AG18" s="1">
        <f>VLOOKUP(A18,[1]Sheet!$A:$AJ,35,0)</f>
        <v>14</v>
      </c>
      <c r="AH18" s="1">
        <f>VLOOKUP(A18,[1]Sheet!$A:$AJ,36,0)</f>
        <v>70</v>
      </c>
      <c r="AI18" s="9">
        <f t="shared" si="10"/>
        <v>0.4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3" t="s">
        <v>56</v>
      </c>
      <c r="B19" s="13" t="s">
        <v>38</v>
      </c>
      <c r="C19" s="13">
        <v>-22</v>
      </c>
      <c r="D19" s="13">
        <v>36</v>
      </c>
      <c r="E19" s="17">
        <v>34</v>
      </c>
      <c r="F19" s="17">
        <v>-20</v>
      </c>
      <c r="G19" s="21">
        <v>0</v>
      </c>
      <c r="H19" s="13"/>
      <c r="I19" s="13" t="s">
        <v>57</v>
      </c>
      <c r="J19" s="13" t="s">
        <v>58</v>
      </c>
      <c r="K19" s="13">
        <v>34</v>
      </c>
      <c r="L19" s="13">
        <f t="shared" si="2"/>
        <v>0</v>
      </c>
      <c r="M19" s="13"/>
      <c r="N19" s="13"/>
      <c r="O19" s="13"/>
      <c r="P19" s="13">
        <f t="shared" si="3"/>
        <v>6.8</v>
      </c>
      <c r="Q19" s="15"/>
      <c r="R19" s="15"/>
      <c r="S19" s="24"/>
      <c r="T19" s="13">
        <f t="shared" si="4"/>
        <v>-2.9411764705882355</v>
      </c>
      <c r="U19" s="13">
        <f t="shared" si="5"/>
        <v>-2.9411764705882355</v>
      </c>
      <c r="V19" s="13">
        <v>4</v>
      </c>
      <c r="W19" s="13">
        <v>4</v>
      </c>
      <c r="X19" s="13">
        <v>0</v>
      </c>
      <c r="Y19" s="13">
        <v>0</v>
      </c>
      <c r="Z19" s="13">
        <v>0</v>
      </c>
      <c r="AA19" s="13">
        <v>0</v>
      </c>
      <c r="AB19" s="13"/>
      <c r="AC19" s="13"/>
      <c r="AD19" s="14"/>
      <c r="AE19" s="16"/>
      <c r="AF19" s="13"/>
      <c r="AG19" s="13"/>
      <c r="AH19" s="13"/>
      <c r="AI19" s="16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58</v>
      </c>
      <c r="B20" s="1" t="s">
        <v>38</v>
      </c>
      <c r="C20" s="1">
        <v>982</v>
      </c>
      <c r="D20" s="1">
        <v>135</v>
      </c>
      <c r="E20" s="17">
        <f>389+E19</f>
        <v>423</v>
      </c>
      <c r="F20" s="17">
        <f>573+F19</f>
        <v>553</v>
      </c>
      <c r="G20" s="7">
        <f>VLOOKUP(A20,[1]Sheet!$A:$G,7,0)</f>
        <v>0.2</v>
      </c>
      <c r="H20" s="1">
        <f>VLOOKUP(A20,[1]Sheet!$A:$H,8,0)</f>
        <v>180</v>
      </c>
      <c r="I20" s="1" t="str">
        <f>VLOOKUP(A20,[1]Sheet!$A:$I,9,0)</f>
        <v>P005129</v>
      </c>
      <c r="J20" s="1"/>
      <c r="K20" s="1">
        <v>429</v>
      </c>
      <c r="L20" s="1">
        <f t="shared" si="2"/>
        <v>-6</v>
      </c>
      <c r="M20" s="1"/>
      <c r="N20" s="1"/>
      <c r="O20" s="1">
        <v>0</v>
      </c>
      <c r="P20" s="1">
        <f t="shared" si="3"/>
        <v>84.6</v>
      </c>
      <c r="Q20" s="5">
        <f t="shared" ref="Q20:Q28" si="13">14*P20-O20-F20</f>
        <v>631.39999999999986</v>
      </c>
      <c r="R20" s="5">
        <f t="shared" ref="R20:R31" si="14">AD20*AE20</f>
        <v>672</v>
      </c>
      <c r="S20" s="25"/>
      <c r="T20" s="1">
        <f t="shared" si="4"/>
        <v>14.479905437352247</v>
      </c>
      <c r="U20" s="1">
        <f t="shared" si="5"/>
        <v>6.5366430260047288</v>
      </c>
      <c r="V20" s="1">
        <v>47.4</v>
      </c>
      <c r="W20" s="1">
        <v>44.2</v>
      </c>
      <c r="X20" s="1">
        <v>37</v>
      </c>
      <c r="Y20" s="1">
        <v>32.6</v>
      </c>
      <c r="Z20" s="1">
        <v>12.6</v>
      </c>
      <c r="AA20" s="1">
        <v>30.4</v>
      </c>
      <c r="AB20" s="1"/>
      <c r="AC20" s="1">
        <f t="shared" ref="AC20:AC31" si="15">G20*Q20</f>
        <v>126.27999999999997</v>
      </c>
      <c r="AD20" s="7">
        <f>VLOOKUP(A20,[1]Sheet!$A:$AF,32,0)</f>
        <v>12</v>
      </c>
      <c r="AE20" s="9">
        <f t="shared" ref="AE20:AE31" si="16">MROUND(Q20, AD20*AG20)/AD20</f>
        <v>56</v>
      </c>
      <c r="AF20" s="1">
        <f t="shared" ref="AF20:AF31" si="17">AE20*AD20*G20</f>
        <v>134.4</v>
      </c>
      <c r="AG20" s="1">
        <f>VLOOKUP(A20,[1]Sheet!$A:$AJ,35,0)</f>
        <v>14</v>
      </c>
      <c r="AH20" s="1">
        <f>VLOOKUP(A20,[1]Sheet!$A:$AJ,36,0)</f>
        <v>70</v>
      </c>
      <c r="AI20" s="9">
        <f t="shared" ref="AI20:AI31" si="18">AE20/AH20</f>
        <v>0.8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38</v>
      </c>
      <c r="C21" s="1">
        <v>2506</v>
      </c>
      <c r="D21" s="1">
        <v>1289</v>
      </c>
      <c r="E21" s="1">
        <v>911</v>
      </c>
      <c r="F21" s="1">
        <v>1702</v>
      </c>
      <c r="G21" s="7">
        <f>VLOOKUP(A21,[1]Sheet!$A:$G,7,0)</f>
        <v>0.2</v>
      </c>
      <c r="H21" s="1">
        <f>VLOOKUP(A21,[1]Sheet!$A:$H,8,0)</f>
        <v>180</v>
      </c>
      <c r="I21" s="1" t="str">
        <f>VLOOKUP(A21,[1]Sheet!$A:$I,9,0)</f>
        <v>P004956</v>
      </c>
      <c r="J21" s="1"/>
      <c r="K21" s="1">
        <v>993</v>
      </c>
      <c r="L21" s="1">
        <f t="shared" si="2"/>
        <v>-82</v>
      </c>
      <c r="M21" s="1"/>
      <c r="N21" s="1"/>
      <c r="O21" s="1">
        <v>0</v>
      </c>
      <c r="P21" s="1">
        <f t="shared" si="3"/>
        <v>182.2</v>
      </c>
      <c r="Q21" s="5">
        <f t="shared" ref="Q21:Q22" si="19">$Q$1*P21-O21-F21</f>
        <v>903.46</v>
      </c>
      <c r="R21" s="5">
        <f t="shared" si="14"/>
        <v>840</v>
      </c>
      <c r="S21" s="25"/>
      <c r="T21" s="1">
        <f t="shared" si="4"/>
        <v>13.951701427003293</v>
      </c>
      <c r="U21" s="1">
        <f t="shared" si="5"/>
        <v>9.3413830954994523</v>
      </c>
      <c r="V21" s="1">
        <v>166.4</v>
      </c>
      <c r="W21" s="1">
        <v>226.8</v>
      </c>
      <c r="X21" s="1">
        <v>155.19999999999999</v>
      </c>
      <c r="Y21" s="1">
        <v>153.6</v>
      </c>
      <c r="Z21" s="1">
        <v>222</v>
      </c>
      <c r="AA21" s="1">
        <v>179.8</v>
      </c>
      <c r="AB21" s="1"/>
      <c r="AC21" s="1">
        <f t="shared" si="15"/>
        <v>180.69200000000001</v>
      </c>
      <c r="AD21" s="7">
        <f>VLOOKUP(A21,[1]Sheet!$A:$AF,32,0)</f>
        <v>12</v>
      </c>
      <c r="AE21" s="9">
        <f t="shared" si="16"/>
        <v>70</v>
      </c>
      <c r="AF21" s="1">
        <f t="shared" si="17"/>
        <v>168</v>
      </c>
      <c r="AG21" s="1">
        <f>VLOOKUP(A21,[1]Sheet!$A:$AJ,35,0)</f>
        <v>14</v>
      </c>
      <c r="AH21" s="1">
        <f>VLOOKUP(A21,[1]Sheet!$A:$AJ,36,0)</f>
        <v>70</v>
      </c>
      <c r="AI21" s="9">
        <f t="shared" si="18"/>
        <v>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38</v>
      </c>
      <c r="C22" s="1">
        <v>704</v>
      </c>
      <c r="D22" s="1">
        <v>88</v>
      </c>
      <c r="E22" s="1">
        <v>582</v>
      </c>
      <c r="F22" s="1">
        <v>107</v>
      </c>
      <c r="G22" s="7">
        <f>VLOOKUP(A22,[1]Sheet!$A:$G,7,0)</f>
        <v>0.2</v>
      </c>
      <c r="H22" s="1">
        <f>VLOOKUP(A22,[1]Sheet!$A:$H,8,0)</f>
        <v>180</v>
      </c>
      <c r="I22" s="1" t="str">
        <f>VLOOKUP(A22,[1]Sheet!$A:$I,9,0)</f>
        <v>P004953</v>
      </c>
      <c r="J22" s="1"/>
      <c r="K22" s="1">
        <v>638</v>
      </c>
      <c r="L22" s="1">
        <f t="shared" si="2"/>
        <v>-56</v>
      </c>
      <c r="M22" s="1"/>
      <c r="N22" s="1"/>
      <c r="O22" s="1">
        <v>504</v>
      </c>
      <c r="P22" s="1">
        <f t="shared" si="3"/>
        <v>116.4</v>
      </c>
      <c r="Q22" s="5">
        <f t="shared" si="19"/>
        <v>1053.5200000000002</v>
      </c>
      <c r="R22" s="5">
        <f t="shared" si="14"/>
        <v>1008</v>
      </c>
      <c r="S22" s="25"/>
      <c r="T22" s="1">
        <f t="shared" si="4"/>
        <v>13.908934707903779</v>
      </c>
      <c r="U22" s="1">
        <f t="shared" si="5"/>
        <v>5.2491408934707904</v>
      </c>
      <c r="V22" s="1">
        <v>86.4</v>
      </c>
      <c r="W22" s="1">
        <v>73.400000000000006</v>
      </c>
      <c r="X22" s="1">
        <v>61.4</v>
      </c>
      <c r="Y22" s="1">
        <v>63.4</v>
      </c>
      <c r="Z22" s="1">
        <v>58.4</v>
      </c>
      <c r="AA22" s="1">
        <v>47</v>
      </c>
      <c r="AB22" s="1"/>
      <c r="AC22" s="1">
        <f t="shared" si="15"/>
        <v>210.70400000000006</v>
      </c>
      <c r="AD22" s="7">
        <f>VLOOKUP(A22,[1]Sheet!$A:$AF,32,0)</f>
        <v>12</v>
      </c>
      <c r="AE22" s="9">
        <f t="shared" si="16"/>
        <v>84</v>
      </c>
      <c r="AF22" s="1">
        <f t="shared" si="17"/>
        <v>201.60000000000002</v>
      </c>
      <c r="AG22" s="1">
        <f>VLOOKUP(A22,[1]Sheet!$A:$AJ,35,0)</f>
        <v>14</v>
      </c>
      <c r="AH22" s="1">
        <f>VLOOKUP(A22,[1]Sheet!$A:$AJ,36,0)</f>
        <v>70</v>
      </c>
      <c r="AI22" s="9">
        <f t="shared" si="18"/>
        <v>1.2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44</v>
      </c>
      <c r="C23" s="1">
        <v>429.5</v>
      </c>
      <c r="D23" s="1">
        <v>255.5</v>
      </c>
      <c r="E23" s="1">
        <v>265</v>
      </c>
      <c r="F23" s="1">
        <v>218</v>
      </c>
      <c r="G23" s="7">
        <f>VLOOKUP(A23,[1]Sheet!$A:$G,7,0)</f>
        <v>1</v>
      </c>
      <c r="H23" s="1">
        <f>VLOOKUP(A23,[1]Sheet!$A:$H,8,0)</f>
        <v>180</v>
      </c>
      <c r="I23" s="1" t="str">
        <f>VLOOKUP(A23,[1]Sheet!$A:$I,9,0)</f>
        <v>P005235</v>
      </c>
      <c r="J23" s="1"/>
      <c r="K23" s="1">
        <v>280</v>
      </c>
      <c r="L23" s="1">
        <f t="shared" si="2"/>
        <v>-15</v>
      </c>
      <c r="M23" s="1"/>
      <c r="N23" s="1"/>
      <c r="O23" s="1">
        <v>180</v>
      </c>
      <c r="P23" s="1">
        <f t="shared" si="3"/>
        <v>53</v>
      </c>
      <c r="Q23" s="5">
        <f t="shared" si="13"/>
        <v>344</v>
      </c>
      <c r="R23" s="5">
        <f t="shared" si="14"/>
        <v>360</v>
      </c>
      <c r="S23" s="25"/>
      <c r="T23" s="1">
        <f t="shared" si="4"/>
        <v>14.30188679245283</v>
      </c>
      <c r="U23" s="1">
        <f t="shared" si="5"/>
        <v>7.5094339622641506</v>
      </c>
      <c r="V23" s="1">
        <v>42.1</v>
      </c>
      <c r="W23" s="1">
        <v>38</v>
      </c>
      <c r="X23" s="1">
        <v>41</v>
      </c>
      <c r="Y23" s="1">
        <v>36</v>
      </c>
      <c r="Z23" s="1">
        <v>23</v>
      </c>
      <c r="AA23" s="1">
        <v>30</v>
      </c>
      <c r="AB23" s="1"/>
      <c r="AC23" s="1">
        <f t="shared" si="15"/>
        <v>344</v>
      </c>
      <c r="AD23" s="7">
        <f>VLOOKUP(A23,[1]Sheet!$A:$AF,32,0)</f>
        <v>5</v>
      </c>
      <c r="AE23" s="9">
        <f t="shared" si="16"/>
        <v>72</v>
      </c>
      <c r="AF23" s="1">
        <f t="shared" si="17"/>
        <v>360</v>
      </c>
      <c r="AG23" s="1">
        <f>VLOOKUP(A23,[1]Sheet!$A:$AJ,35,0)</f>
        <v>12</v>
      </c>
      <c r="AH23" s="1">
        <f>VLOOKUP(A23,[1]Sheet!$A:$AJ,36,0)</f>
        <v>84</v>
      </c>
      <c r="AI23" s="9">
        <f t="shared" si="18"/>
        <v>0.8571428571428571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44</v>
      </c>
      <c r="C24" s="1">
        <v>390.5</v>
      </c>
      <c r="D24" s="1">
        <v>269.5</v>
      </c>
      <c r="E24" s="1">
        <v>136.5</v>
      </c>
      <c r="F24" s="1">
        <v>265</v>
      </c>
      <c r="G24" s="23">
        <v>1</v>
      </c>
      <c r="H24" s="1">
        <v>180</v>
      </c>
      <c r="I24" s="1" t="s">
        <v>63</v>
      </c>
      <c r="J24" s="1"/>
      <c r="K24" s="1">
        <v>157.5</v>
      </c>
      <c r="L24" s="1">
        <f t="shared" si="2"/>
        <v>-21</v>
      </c>
      <c r="M24" s="1"/>
      <c r="N24" s="1"/>
      <c r="O24" s="1">
        <v>132</v>
      </c>
      <c r="P24" s="1">
        <f t="shared" si="3"/>
        <v>27.3</v>
      </c>
      <c r="Q24" s="5"/>
      <c r="R24" s="5">
        <f t="shared" si="14"/>
        <v>0</v>
      </c>
      <c r="S24" s="25"/>
      <c r="T24" s="1">
        <f t="shared" si="4"/>
        <v>14.542124542124542</v>
      </c>
      <c r="U24" s="1">
        <f t="shared" si="5"/>
        <v>14.542124542124542</v>
      </c>
      <c r="V24" s="1">
        <v>39.6</v>
      </c>
      <c r="W24" s="1">
        <v>31.9</v>
      </c>
      <c r="X24" s="1">
        <v>24.2</v>
      </c>
      <c r="Y24" s="1">
        <v>14.1</v>
      </c>
      <c r="Z24" s="1">
        <v>6.6</v>
      </c>
      <c r="AA24" s="1">
        <v>14.3</v>
      </c>
      <c r="AB24" s="1"/>
      <c r="AC24" s="1">
        <f t="shared" si="15"/>
        <v>0</v>
      </c>
      <c r="AD24" s="7">
        <v>5.5</v>
      </c>
      <c r="AE24" s="9">
        <f t="shared" si="16"/>
        <v>0</v>
      </c>
      <c r="AF24" s="1">
        <f t="shared" si="17"/>
        <v>0</v>
      </c>
      <c r="AG24" s="1">
        <v>12</v>
      </c>
      <c r="AH24" s="1">
        <v>84</v>
      </c>
      <c r="AI24" s="9">
        <f t="shared" si="18"/>
        <v>0</v>
      </c>
      <c r="AJ24" s="7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44</v>
      </c>
      <c r="C25" s="1">
        <v>207</v>
      </c>
      <c r="D25" s="1">
        <v>249</v>
      </c>
      <c r="E25" s="1">
        <v>185</v>
      </c>
      <c r="F25" s="1">
        <v>50</v>
      </c>
      <c r="G25" s="7">
        <f>VLOOKUP(A25,[1]Sheet!$A:$G,7,0)</f>
        <v>1</v>
      </c>
      <c r="H25" s="1">
        <f>VLOOKUP(A25,[1]Sheet!$A:$H,8,0)</f>
        <v>180</v>
      </c>
      <c r="I25" s="1" t="str">
        <f>VLOOKUP(A25,[1]Sheet!$A:$I,9,0)</f>
        <v>P004394</v>
      </c>
      <c r="J25" s="1"/>
      <c r="K25" s="1">
        <v>200</v>
      </c>
      <c r="L25" s="1">
        <f t="shared" si="2"/>
        <v>-15</v>
      </c>
      <c r="M25" s="1"/>
      <c r="N25" s="1"/>
      <c r="O25" s="1">
        <v>378</v>
      </c>
      <c r="P25" s="1">
        <f t="shared" si="3"/>
        <v>37</v>
      </c>
      <c r="Q25" s="5">
        <f t="shared" si="13"/>
        <v>90</v>
      </c>
      <c r="R25" s="5">
        <f t="shared" si="14"/>
        <v>84</v>
      </c>
      <c r="S25" s="25"/>
      <c r="T25" s="1">
        <f t="shared" si="4"/>
        <v>13.837837837837839</v>
      </c>
      <c r="U25" s="1">
        <f t="shared" si="5"/>
        <v>11.567567567567568</v>
      </c>
      <c r="V25" s="1">
        <v>40.200000000000003</v>
      </c>
      <c r="W25" s="1">
        <v>25.2</v>
      </c>
      <c r="X25" s="1">
        <v>25.2</v>
      </c>
      <c r="Y25" s="1">
        <v>24</v>
      </c>
      <c r="Z25" s="1">
        <v>22.2</v>
      </c>
      <c r="AA25" s="1">
        <v>17.399999999999999</v>
      </c>
      <c r="AB25" s="1"/>
      <c r="AC25" s="1">
        <f t="shared" si="15"/>
        <v>90</v>
      </c>
      <c r="AD25" s="7">
        <f>VLOOKUP(A25,[1]Sheet!$A:$AF,32,0)</f>
        <v>3</v>
      </c>
      <c r="AE25" s="9">
        <f t="shared" si="16"/>
        <v>28</v>
      </c>
      <c r="AF25" s="1">
        <f t="shared" si="17"/>
        <v>84</v>
      </c>
      <c r="AG25" s="1">
        <f>VLOOKUP(A25,[1]Sheet!$A:$AJ,35,0)</f>
        <v>14</v>
      </c>
      <c r="AH25" s="1">
        <f>VLOOKUP(A25,[1]Sheet!$A:$AJ,36,0)</f>
        <v>126</v>
      </c>
      <c r="AI25" s="9">
        <f t="shared" si="18"/>
        <v>0.22222222222222221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38</v>
      </c>
      <c r="C26" s="1">
        <v>577</v>
      </c>
      <c r="D26" s="1">
        <v>274</v>
      </c>
      <c r="E26" s="1">
        <v>573</v>
      </c>
      <c r="F26" s="1">
        <v>19</v>
      </c>
      <c r="G26" s="7">
        <f>VLOOKUP(A26,[1]Sheet!$A:$G,7,0)</f>
        <v>0.25</v>
      </c>
      <c r="H26" s="1">
        <f>VLOOKUP(A26,[1]Sheet!$A:$H,8,0)</f>
        <v>365</v>
      </c>
      <c r="I26" s="1" t="str">
        <f>VLOOKUP(A26,[1]Sheet!$A:$I,9,0)</f>
        <v>P004602</v>
      </c>
      <c r="J26" s="1"/>
      <c r="K26" s="1">
        <v>625</v>
      </c>
      <c r="L26" s="1">
        <f t="shared" si="2"/>
        <v>-52</v>
      </c>
      <c r="M26" s="1"/>
      <c r="N26" s="1"/>
      <c r="O26" s="1">
        <v>504</v>
      </c>
      <c r="P26" s="1">
        <f t="shared" si="3"/>
        <v>114.6</v>
      </c>
      <c r="Q26" s="5">
        <f>$Q$1*P26-O26-F26</f>
        <v>1115.78</v>
      </c>
      <c r="R26" s="5">
        <f t="shared" si="14"/>
        <v>1092</v>
      </c>
      <c r="S26" s="25"/>
      <c r="T26" s="1">
        <f t="shared" si="4"/>
        <v>14.092495636998256</v>
      </c>
      <c r="U26" s="1">
        <f t="shared" si="5"/>
        <v>4.5636998254799304</v>
      </c>
      <c r="V26" s="1">
        <v>85.8</v>
      </c>
      <c r="W26" s="1">
        <v>67.8</v>
      </c>
      <c r="X26" s="1">
        <v>47</v>
      </c>
      <c r="Y26" s="1">
        <v>55.4</v>
      </c>
      <c r="Z26" s="1">
        <v>55.4</v>
      </c>
      <c r="AA26" s="1">
        <v>42.4</v>
      </c>
      <c r="AB26" s="1"/>
      <c r="AC26" s="1">
        <f t="shared" si="15"/>
        <v>278.94499999999999</v>
      </c>
      <c r="AD26" s="7">
        <f>VLOOKUP(A26,[1]Sheet!$A:$AF,32,0)</f>
        <v>6</v>
      </c>
      <c r="AE26" s="9">
        <f t="shared" si="16"/>
        <v>182</v>
      </c>
      <c r="AF26" s="1">
        <f t="shared" si="17"/>
        <v>273</v>
      </c>
      <c r="AG26" s="1">
        <f>VLOOKUP(A26,[1]Sheet!$A:$AJ,35,0)</f>
        <v>14</v>
      </c>
      <c r="AH26" s="1">
        <f>VLOOKUP(A26,[1]Sheet!$A:$AJ,36,0)</f>
        <v>140</v>
      </c>
      <c r="AI26" s="9">
        <f t="shared" si="18"/>
        <v>1.3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38</v>
      </c>
      <c r="C27" s="1">
        <v>1070</v>
      </c>
      <c r="D27" s="1">
        <v>362</v>
      </c>
      <c r="E27" s="1">
        <v>464</v>
      </c>
      <c r="F27" s="1">
        <v>650</v>
      </c>
      <c r="G27" s="7">
        <f>VLOOKUP(A27,[1]Sheet!$A:$G,7,0)</f>
        <v>0.25</v>
      </c>
      <c r="H27" s="1">
        <f>VLOOKUP(A27,[1]Sheet!$A:$H,8,0)</f>
        <v>365</v>
      </c>
      <c r="I27" s="1" t="str">
        <f>VLOOKUP(A27,[1]Sheet!$A:$I,9,0)</f>
        <v>P004600</v>
      </c>
      <c r="J27" s="1"/>
      <c r="K27" s="1">
        <v>506</v>
      </c>
      <c r="L27" s="1">
        <f t="shared" si="2"/>
        <v>-42</v>
      </c>
      <c r="M27" s="1"/>
      <c r="N27" s="1"/>
      <c r="O27" s="1">
        <v>0</v>
      </c>
      <c r="P27" s="1">
        <f t="shared" si="3"/>
        <v>92.8</v>
      </c>
      <c r="Q27" s="5">
        <f t="shared" si="13"/>
        <v>649.20000000000005</v>
      </c>
      <c r="R27" s="5">
        <f t="shared" si="14"/>
        <v>672</v>
      </c>
      <c r="S27" s="25"/>
      <c r="T27" s="1">
        <f t="shared" si="4"/>
        <v>14.245689655172415</v>
      </c>
      <c r="U27" s="1">
        <f t="shared" si="5"/>
        <v>7.0043103448275863</v>
      </c>
      <c r="V27" s="1">
        <v>76.8</v>
      </c>
      <c r="W27" s="1">
        <v>96</v>
      </c>
      <c r="X27" s="1">
        <v>70</v>
      </c>
      <c r="Y27" s="1">
        <v>80</v>
      </c>
      <c r="Z27" s="1">
        <v>69.8</v>
      </c>
      <c r="AA27" s="1">
        <v>64.8</v>
      </c>
      <c r="AB27" s="1"/>
      <c r="AC27" s="1">
        <f t="shared" si="15"/>
        <v>162.30000000000001</v>
      </c>
      <c r="AD27" s="7">
        <f>VLOOKUP(A27,[1]Sheet!$A:$AF,32,0)</f>
        <v>6</v>
      </c>
      <c r="AE27" s="9">
        <f t="shared" si="16"/>
        <v>112</v>
      </c>
      <c r="AF27" s="1">
        <f t="shared" si="17"/>
        <v>168</v>
      </c>
      <c r="AG27" s="1">
        <f>VLOOKUP(A27,[1]Sheet!$A:$AJ,35,0)</f>
        <v>14</v>
      </c>
      <c r="AH27" s="1">
        <f>VLOOKUP(A27,[1]Sheet!$A:$AJ,36,0)</f>
        <v>140</v>
      </c>
      <c r="AI27" s="9">
        <f t="shared" si="18"/>
        <v>0.8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44</v>
      </c>
      <c r="C28" s="1">
        <v>606</v>
      </c>
      <c r="D28" s="1">
        <v>203</v>
      </c>
      <c r="E28" s="1">
        <v>293</v>
      </c>
      <c r="F28" s="1">
        <v>312</v>
      </c>
      <c r="G28" s="7">
        <f>VLOOKUP(A28,[1]Sheet!$A:$G,7,0)</f>
        <v>1</v>
      </c>
      <c r="H28" s="1">
        <f>VLOOKUP(A28,[1]Sheet!$A:$H,8,0)</f>
        <v>180</v>
      </c>
      <c r="I28" s="1" t="str">
        <f>VLOOKUP(A28,[1]Sheet!$A:$I,9,0)</f>
        <v>P003486</v>
      </c>
      <c r="J28" s="1"/>
      <c r="K28" s="1">
        <v>317</v>
      </c>
      <c r="L28" s="1">
        <f t="shared" si="2"/>
        <v>-24</v>
      </c>
      <c r="M28" s="1"/>
      <c r="N28" s="1"/>
      <c r="O28" s="1">
        <v>360</v>
      </c>
      <c r="P28" s="1">
        <f t="shared" si="3"/>
        <v>58.6</v>
      </c>
      <c r="Q28" s="5">
        <f t="shared" si="13"/>
        <v>148.39999999999998</v>
      </c>
      <c r="R28" s="5">
        <f t="shared" si="14"/>
        <v>144</v>
      </c>
      <c r="S28" s="25"/>
      <c r="T28" s="1">
        <f t="shared" si="4"/>
        <v>13.924914675767917</v>
      </c>
      <c r="U28" s="1">
        <f t="shared" si="5"/>
        <v>11.467576791808874</v>
      </c>
      <c r="V28" s="1">
        <v>66</v>
      </c>
      <c r="W28" s="1">
        <v>58.2</v>
      </c>
      <c r="X28" s="1">
        <v>51.4</v>
      </c>
      <c r="Y28" s="1">
        <v>42</v>
      </c>
      <c r="Z28" s="1">
        <v>45</v>
      </c>
      <c r="AA28" s="1">
        <v>48</v>
      </c>
      <c r="AB28" s="1"/>
      <c r="AC28" s="1">
        <f t="shared" si="15"/>
        <v>148.39999999999998</v>
      </c>
      <c r="AD28" s="7">
        <f>VLOOKUP(A28,[1]Sheet!$A:$AF,32,0)</f>
        <v>6</v>
      </c>
      <c r="AE28" s="9">
        <f t="shared" si="16"/>
        <v>24</v>
      </c>
      <c r="AF28" s="1">
        <f t="shared" si="17"/>
        <v>144</v>
      </c>
      <c r="AG28" s="1">
        <f>VLOOKUP(A28,[1]Sheet!$A:$AJ,35,0)</f>
        <v>12</v>
      </c>
      <c r="AH28" s="1">
        <f>VLOOKUP(A28,[1]Sheet!$A:$AJ,36,0)</f>
        <v>84</v>
      </c>
      <c r="AI28" s="9">
        <f t="shared" si="18"/>
        <v>0.2857142857142857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38</v>
      </c>
      <c r="C29" s="1">
        <v>351</v>
      </c>
      <c r="D29" s="1">
        <v>301</v>
      </c>
      <c r="E29" s="1">
        <v>374</v>
      </c>
      <c r="F29" s="1">
        <v>100</v>
      </c>
      <c r="G29" s="7">
        <f>VLOOKUP(A29,[1]Sheet!$A:$G,7,0)</f>
        <v>0.23</v>
      </c>
      <c r="H29" s="1">
        <f>VLOOKUP(A29,[1]Sheet!$A:$H,8,0)</f>
        <v>180</v>
      </c>
      <c r="I29" s="18" t="s">
        <v>110</v>
      </c>
      <c r="J29" s="1"/>
      <c r="K29" s="1">
        <v>839</v>
      </c>
      <c r="L29" s="1">
        <f t="shared" si="2"/>
        <v>-465</v>
      </c>
      <c r="M29" s="1"/>
      <c r="N29" s="1"/>
      <c r="O29" s="1">
        <v>2520</v>
      </c>
      <c r="P29" s="1">
        <f t="shared" si="3"/>
        <v>74.8</v>
      </c>
      <c r="Q29" s="5"/>
      <c r="R29" s="5">
        <f t="shared" si="14"/>
        <v>0</v>
      </c>
      <c r="S29" s="25"/>
      <c r="T29" s="1">
        <f t="shared" si="4"/>
        <v>35.026737967914443</v>
      </c>
      <c r="U29" s="1">
        <f t="shared" si="5"/>
        <v>35.026737967914443</v>
      </c>
      <c r="V29" s="1">
        <v>140.19999999999999</v>
      </c>
      <c r="W29" s="1">
        <v>59.4</v>
      </c>
      <c r="X29" s="1">
        <v>47.2</v>
      </c>
      <c r="Y29" s="1">
        <v>63.8</v>
      </c>
      <c r="Z29" s="1">
        <v>57.2</v>
      </c>
      <c r="AA29" s="1">
        <v>48.8</v>
      </c>
      <c r="AB29" s="1" t="s">
        <v>69</v>
      </c>
      <c r="AC29" s="1">
        <f t="shared" si="15"/>
        <v>0</v>
      </c>
      <c r="AD29" s="7">
        <f>VLOOKUP(A29,[1]Sheet!$A:$AF,32,0)</f>
        <v>12</v>
      </c>
      <c r="AE29" s="9">
        <f t="shared" si="16"/>
        <v>0</v>
      </c>
      <c r="AF29" s="1">
        <f t="shared" si="17"/>
        <v>0</v>
      </c>
      <c r="AG29" s="1">
        <f>VLOOKUP(A29,[1]Sheet!$A:$AJ,35,0)</f>
        <v>14</v>
      </c>
      <c r="AH29" s="1">
        <f>VLOOKUP(A29,[1]Sheet!$A:$AJ,36,0)</f>
        <v>70</v>
      </c>
      <c r="AI29" s="9">
        <f t="shared" si="18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70</v>
      </c>
      <c r="B30" s="1" t="s">
        <v>38</v>
      </c>
      <c r="C30" s="1">
        <v>1598</v>
      </c>
      <c r="D30" s="1">
        <v>1157</v>
      </c>
      <c r="E30" s="1">
        <v>928</v>
      </c>
      <c r="F30" s="1">
        <v>768</v>
      </c>
      <c r="G30" s="7">
        <f>VLOOKUP(A30,[1]Sheet!$A:$G,7,0)</f>
        <v>0.25</v>
      </c>
      <c r="H30" s="1">
        <f>VLOOKUP(A30,[1]Sheet!$A:$H,8,0)</f>
        <v>365</v>
      </c>
      <c r="I30" s="1" t="str">
        <f>VLOOKUP(A30,[1]Sheet!$A:$I,9,0)</f>
        <v>P004497</v>
      </c>
      <c r="J30" s="1"/>
      <c r="K30" s="1">
        <v>983</v>
      </c>
      <c r="L30" s="1">
        <f t="shared" si="2"/>
        <v>-55</v>
      </c>
      <c r="M30" s="1"/>
      <c r="N30" s="1"/>
      <c r="O30" s="1">
        <v>840</v>
      </c>
      <c r="P30" s="1">
        <f t="shared" si="3"/>
        <v>185.6</v>
      </c>
      <c r="Q30" s="5">
        <f t="shared" ref="Q30:Q31" si="20">$Q$1*P30-O30-F30</f>
        <v>1046.08</v>
      </c>
      <c r="R30" s="5">
        <f t="shared" si="14"/>
        <v>1008</v>
      </c>
      <c r="S30" s="25"/>
      <c r="T30" s="1">
        <f t="shared" si="4"/>
        <v>14.094827586206897</v>
      </c>
      <c r="U30" s="1">
        <f t="shared" si="5"/>
        <v>8.6637931034482758</v>
      </c>
      <c r="V30" s="1">
        <v>184</v>
      </c>
      <c r="W30" s="1">
        <v>181.2</v>
      </c>
      <c r="X30" s="1">
        <v>168.8</v>
      </c>
      <c r="Y30" s="1">
        <v>175.8</v>
      </c>
      <c r="Z30" s="1">
        <v>188.6</v>
      </c>
      <c r="AA30" s="1">
        <v>146.6</v>
      </c>
      <c r="AB30" s="1"/>
      <c r="AC30" s="1">
        <f t="shared" si="15"/>
        <v>261.52</v>
      </c>
      <c r="AD30" s="7">
        <f>VLOOKUP(A30,[1]Sheet!$A:$AF,32,0)</f>
        <v>12</v>
      </c>
      <c r="AE30" s="9">
        <f t="shared" si="16"/>
        <v>84</v>
      </c>
      <c r="AF30" s="1">
        <f t="shared" si="17"/>
        <v>252</v>
      </c>
      <c r="AG30" s="1">
        <f>VLOOKUP(A30,[1]Sheet!$A:$AJ,35,0)</f>
        <v>14</v>
      </c>
      <c r="AH30" s="1">
        <f>VLOOKUP(A30,[1]Sheet!$A:$AJ,36,0)</f>
        <v>70</v>
      </c>
      <c r="AI30" s="9">
        <f t="shared" si="18"/>
        <v>1.2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71</v>
      </c>
      <c r="B31" s="1" t="s">
        <v>38</v>
      </c>
      <c r="C31" s="1">
        <v>1535</v>
      </c>
      <c r="D31" s="1">
        <v>1718</v>
      </c>
      <c r="E31" s="1">
        <v>739</v>
      </c>
      <c r="F31" s="1">
        <v>854</v>
      </c>
      <c r="G31" s="7">
        <f>VLOOKUP(A31,[1]Sheet!$A:$G,7,0)</f>
        <v>0.25</v>
      </c>
      <c r="H31" s="1">
        <f>VLOOKUP(A31,[1]Sheet!$A:$H,8,0)</f>
        <v>365</v>
      </c>
      <c r="I31" s="1" t="str">
        <f>VLOOKUP(A31,[1]Sheet!$A:$I,9,0)</f>
        <v>P004496</v>
      </c>
      <c r="J31" s="1"/>
      <c r="K31" s="1">
        <v>789</v>
      </c>
      <c r="L31" s="1">
        <f t="shared" si="2"/>
        <v>-50</v>
      </c>
      <c r="M31" s="1"/>
      <c r="N31" s="1"/>
      <c r="O31" s="1">
        <v>336</v>
      </c>
      <c r="P31" s="1">
        <f t="shared" si="3"/>
        <v>147.80000000000001</v>
      </c>
      <c r="Q31" s="5">
        <f t="shared" si="20"/>
        <v>923.54000000000042</v>
      </c>
      <c r="R31" s="5">
        <f t="shared" si="14"/>
        <v>840</v>
      </c>
      <c r="S31" s="25"/>
      <c r="T31" s="1">
        <f t="shared" si="4"/>
        <v>13.734776725304464</v>
      </c>
      <c r="U31" s="1">
        <f t="shared" si="5"/>
        <v>8.0514208389715822</v>
      </c>
      <c r="V31" s="1">
        <v>128.4</v>
      </c>
      <c r="W31" s="1">
        <v>146.4</v>
      </c>
      <c r="X31" s="1">
        <v>113.2</v>
      </c>
      <c r="Y31" s="1">
        <v>126.2</v>
      </c>
      <c r="Z31" s="1">
        <v>144.80000000000001</v>
      </c>
      <c r="AA31" s="1">
        <v>100.2</v>
      </c>
      <c r="AB31" s="1"/>
      <c r="AC31" s="1">
        <f t="shared" si="15"/>
        <v>230.8850000000001</v>
      </c>
      <c r="AD31" s="7">
        <f>VLOOKUP(A31,[1]Sheet!$A:$AF,32,0)</f>
        <v>12</v>
      </c>
      <c r="AE31" s="9">
        <f t="shared" si="16"/>
        <v>70</v>
      </c>
      <c r="AF31" s="1">
        <f t="shared" si="17"/>
        <v>210</v>
      </c>
      <c r="AG31" s="1">
        <f>VLOOKUP(A31,[1]Sheet!$A:$AJ,35,0)</f>
        <v>14</v>
      </c>
      <c r="AH31" s="1">
        <f>VLOOKUP(A31,[1]Sheet!$A:$AJ,36,0)</f>
        <v>70</v>
      </c>
      <c r="AI31" s="9">
        <f t="shared" si="18"/>
        <v>1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3" t="s">
        <v>72</v>
      </c>
      <c r="B32" s="13" t="s">
        <v>38</v>
      </c>
      <c r="C32" s="13">
        <v>-5</v>
      </c>
      <c r="D32" s="13">
        <v>5</v>
      </c>
      <c r="E32" s="13"/>
      <c r="F32" s="13"/>
      <c r="G32" s="14">
        <f>VLOOKUP(A32,[1]Sheet!$A:$G,7,0)</f>
        <v>0</v>
      </c>
      <c r="H32" s="13"/>
      <c r="I32" s="13"/>
      <c r="J32" s="13" t="s">
        <v>71</v>
      </c>
      <c r="K32" s="13"/>
      <c r="L32" s="13">
        <f t="shared" si="2"/>
        <v>0</v>
      </c>
      <c r="M32" s="13"/>
      <c r="N32" s="13"/>
      <c r="O32" s="13"/>
      <c r="P32" s="13">
        <f t="shared" si="3"/>
        <v>0</v>
      </c>
      <c r="Q32" s="15"/>
      <c r="R32" s="15"/>
      <c r="S32" s="24"/>
      <c r="T32" s="13" t="e">
        <f t="shared" si="4"/>
        <v>#DIV/0!</v>
      </c>
      <c r="U32" s="13" t="e">
        <f t="shared" si="5"/>
        <v>#DIV/0!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/>
      <c r="AC32" s="13"/>
      <c r="AD32" s="14"/>
      <c r="AE32" s="16"/>
      <c r="AF32" s="13"/>
      <c r="AG32" s="13"/>
      <c r="AH32" s="13"/>
      <c r="AI32" s="16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38</v>
      </c>
      <c r="C33" s="1">
        <v>1172</v>
      </c>
      <c r="D33" s="1">
        <v>926</v>
      </c>
      <c r="E33" s="1">
        <v>589</v>
      </c>
      <c r="F33" s="1">
        <v>645</v>
      </c>
      <c r="G33" s="7">
        <f>VLOOKUP(A33,[1]Sheet!$A:$G,7,0)</f>
        <v>0.25</v>
      </c>
      <c r="H33" s="1">
        <f>VLOOKUP(A33,[1]Sheet!$A:$H,8,0)</f>
        <v>180</v>
      </c>
      <c r="I33" s="1" t="str">
        <f>VLOOKUP(A33,[1]Sheet!$A:$I,9,0)</f>
        <v>P004535</v>
      </c>
      <c r="J33" s="1"/>
      <c r="K33" s="1">
        <v>650</v>
      </c>
      <c r="L33" s="1">
        <f t="shared" si="2"/>
        <v>-61</v>
      </c>
      <c r="M33" s="1"/>
      <c r="N33" s="1"/>
      <c r="O33" s="1">
        <v>504</v>
      </c>
      <c r="P33" s="1">
        <f t="shared" si="3"/>
        <v>117.8</v>
      </c>
      <c r="Q33" s="5">
        <f>$Q$1*P33-O33-F33</f>
        <v>535.54</v>
      </c>
      <c r="R33" s="5">
        <f t="shared" ref="R33:R49" si="21">AD33*AE33</f>
        <v>504</v>
      </c>
      <c r="S33" s="25"/>
      <c r="T33" s="1">
        <f t="shared" si="4"/>
        <v>14.03225806451613</v>
      </c>
      <c r="U33" s="1">
        <f t="shared" si="5"/>
        <v>9.7538200339558578</v>
      </c>
      <c r="V33" s="1">
        <v>114.4</v>
      </c>
      <c r="W33" s="1">
        <v>108</v>
      </c>
      <c r="X33" s="1">
        <v>84.6</v>
      </c>
      <c r="Y33" s="1">
        <v>75.8</v>
      </c>
      <c r="Z33" s="1">
        <v>106.8</v>
      </c>
      <c r="AA33" s="1">
        <v>78.400000000000006</v>
      </c>
      <c r="AB33" s="1"/>
      <c r="AC33" s="1">
        <f t="shared" ref="AC33:AC49" si="22">G33*Q33</f>
        <v>133.88499999999999</v>
      </c>
      <c r="AD33" s="7">
        <f>VLOOKUP(A33,[1]Sheet!$A:$AF,32,0)</f>
        <v>12</v>
      </c>
      <c r="AE33" s="9">
        <f t="shared" ref="AE33:AE49" si="23">MROUND(Q33, AD33*AG33)/AD33</f>
        <v>42</v>
      </c>
      <c r="AF33" s="1">
        <f t="shared" ref="AF33:AF49" si="24">AE33*AD33*G33</f>
        <v>126</v>
      </c>
      <c r="AG33" s="1">
        <f>VLOOKUP(A33,[1]Sheet!$A:$AJ,35,0)</f>
        <v>14</v>
      </c>
      <c r="AH33" s="1">
        <f>VLOOKUP(A33,[1]Sheet!$A:$AJ,36,0)</f>
        <v>70</v>
      </c>
      <c r="AI33" s="9">
        <f t="shared" ref="AI33:AI49" si="25">AE33/AH33</f>
        <v>0.6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74</v>
      </c>
      <c r="B34" s="1" t="s">
        <v>38</v>
      </c>
      <c r="C34" s="1">
        <v>542</v>
      </c>
      <c r="D34" s="1">
        <v>440</v>
      </c>
      <c r="E34" s="1">
        <v>307</v>
      </c>
      <c r="F34" s="1">
        <v>209</v>
      </c>
      <c r="G34" s="7">
        <f>VLOOKUP(A34,[1]Sheet!$A:$G,7,0)</f>
        <v>0.25</v>
      </c>
      <c r="H34" s="1">
        <f>VLOOKUP(A34,[1]Sheet!$A:$H,8,0)</f>
        <v>180</v>
      </c>
      <c r="I34" s="1" t="str">
        <f>VLOOKUP(A34,[1]Sheet!$A:$I,9,0)</f>
        <v>P004594</v>
      </c>
      <c r="J34" s="1"/>
      <c r="K34" s="1">
        <v>380</v>
      </c>
      <c r="L34" s="1">
        <f t="shared" si="2"/>
        <v>-73</v>
      </c>
      <c r="M34" s="1"/>
      <c r="N34" s="1"/>
      <c r="O34" s="1">
        <v>168</v>
      </c>
      <c r="P34" s="1">
        <f t="shared" si="3"/>
        <v>61.4</v>
      </c>
      <c r="Q34" s="5">
        <f t="shared" ref="Q34:Q46" si="26">14*P34-O34-F34</f>
        <v>482.6</v>
      </c>
      <c r="R34" s="5">
        <f t="shared" si="21"/>
        <v>504</v>
      </c>
      <c r="S34" s="25"/>
      <c r="T34" s="1">
        <f t="shared" si="4"/>
        <v>14.348534201954397</v>
      </c>
      <c r="U34" s="1">
        <f t="shared" si="5"/>
        <v>6.1400651465798051</v>
      </c>
      <c r="V34" s="1">
        <v>40.6</v>
      </c>
      <c r="W34" s="1">
        <v>44.6</v>
      </c>
      <c r="X34" s="1">
        <v>33</v>
      </c>
      <c r="Y34" s="1">
        <v>36</v>
      </c>
      <c r="Z34" s="1">
        <v>18.2</v>
      </c>
      <c r="AA34" s="1">
        <v>19</v>
      </c>
      <c r="AB34" s="1"/>
      <c r="AC34" s="1">
        <f t="shared" si="22"/>
        <v>120.65</v>
      </c>
      <c r="AD34" s="7">
        <f>VLOOKUP(A34,[1]Sheet!$A:$AF,32,0)</f>
        <v>12</v>
      </c>
      <c r="AE34" s="9">
        <f t="shared" si="23"/>
        <v>42</v>
      </c>
      <c r="AF34" s="1">
        <f t="shared" si="24"/>
        <v>126</v>
      </c>
      <c r="AG34" s="1">
        <f>VLOOKUP(A34,[1]Sheet!$A:$AJ,35,0)</f>
        <v>14</v>
      </c>
      <c r="AH34" s="1">
        <f>VLOOKUP(A34,[1]Sheet!$A:$AJ,36,0)</f>
        <v>70</v>
      </c>
      <c r="AI34" s="9">
        <f t="shared" si="25"/>
        <v>0.6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75</v>
      </c>
      <c r="B35" s="1" t="s">
        <v>38</v>
      </c>
      <c r="C35" s="1">
        <v>281</v>
      </c>
      <c r="D35" s="1">
        <v>104</v>
      </c>
      <c r="E35" s="1">
        <v>287</v>
      </c>
      <c r="F35" s="1">
        <v>8</v>
      </c>
      <c r="G35" s="7">
        <f>VLOOKUP(A35,[1]Sheet!$A:$G,7,0)</f>
        <v>0.7</v>
      </c>
      <c r="H35" s="1">
        <f>VLOOKUP(A35,[1]Sheet!$A:$H,8,0)</f>
        <v>180</v>
      </c>
      <c r="I35" s="1" t="str">
        <f>VLOOKUP(A35,[1]Sheet!$A:$I,9,0)</f>
        <v>P004887</v>
      </c>
      <c r="J35" s="1"/>
      <c r="K35" s="1">
        <v>434</v>
      </c>
      <c r="L35" s="1">
        <f t="shared" si="2"/>
        <v>-147</v>
      </c>
      <c r="M35" s="1"/>
      <c r="N35" s="1"/>
      <c r="O35" s="1">
        <v>384</v>
      </c>
      <c r="P35" s="1">
        <f t="shared" si="3"/>
        <v>57.4</v>
      </c>
      <c r="Q35" s="5">
        <f t="shared" si="26"/>
        <v>411.6</v>
      </c>
      <c r="R35" s="5">
        <f t="shared" si="21"/>
        <v>384</v>
      </c>
      <c r="S35" s="25"/>
      <c r="T35" s="1">
        <f t="shared" si="4"/>
        <v>13.519163763066203</v>
      </c>
      <c r="U35" s="1">
        <f t="shared" si="5"/>
        <v>6.8292682926829267</v>
      </c>
      <c r="V35" s="1">
        <v>49.6</v>
      </c>
      <c r="W35" s="1">
        <v>41.2</v>
      </c>
      <c r="X35" s="1">
        <v>30.8</v>
      </c>
      <c r="Y35" s="1">
        <v>22.8</v>
      </c>
      <c r="Z35" s="1">
        <v>26.4</v>
      </c>
      <c r="AA35" s="1">
        <v>31.4</v>
      </c>
      <c r="AB35" s="1"/>
      <c r="AC35" s="1">
        <f t="shared" si="22"/>
        <v>288.12</v>
      </c>
      <c r="AD35" s="7">
        <f>VLOOKUP(A35,[1]Sheet!$A:$AF,32,0)</f>
        <v>8</v>
      </c>
      <c r="AE35" s="9">
        <f t="shared" si="23"/>
        <v>48</v>
      </c>
      <c r="AF35" s="1">
        <f t="shared" si="24"/>
        <v>268.79999999999995</v>
      </c>
      <c r="AG35" s="1">
        <f>VLOOKUP(A35,[1]Sheet!$A:$AJ,35,0)</f>
        <v>12</v>
      </c>
      <c r="AH35" s="1">
        <f>VLOOKUP(A35,[1]Sheet!$A:$AJ,36,0)</f>
        <v>84</v>
      </c>
      <c r="AI35" s="9">
        <f t="shared" si="25"/>
        <v>0.5714285714285714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76</v>
      </c>
      <c r="B36" s="1" t="s">
        <v>38</v>
      </c>
      <c r="C36" s="1">
        <v>175</v>
      </c>
      <c r="D36" s="1">
        <v>65</v>
      </c>
      <c r="E36" s="1">
        <v>207</v>
      </c>
      <c r="F36" s="1">
        <v>-13</v>
      </c>
      <c r="G36" s="7">
        <f>VLOOKUP(A36,[1]Sheet!$A:$G,7,0)</f>
        <v>0.7</v>
      </c>
      <c r="H36" s="1">
        <f>VLOOKUP(A36,[1]Sheet!$A:$H,8,0)</f>
        <v>180</v>
      </c>
      <c r="I36" s="1" t="str">
        <f>VLOOKUP(A36,[1]Sheet!$A:$I,9,0)</f>
        <v>P004889</v>
      </c>
      <c r="J36" s="1"/>
      <c r="K36" s="1">
        <v>279</v>
      </c>
      <c r="L36" s="1">
        <f t="shared" si="2"/>
        <v>-72</v>
      </c>
      <c r="M36" s="1"/>
      <c r="N36" s="1"/>
      <c r="O36" s="1">
        <v>384</v>
      </c>
      <c r="P36" s="1">
        <f t="shared" si="3"/>
        <v>41.4</v>
      </c>
      <c r="Q36" s="5">
        <f t="shared" si="26"/>
        <v>208.60000000000002</v>
      </c>
      <c r="R36" s="5">
        <f t="shared" si="21"/>
        <v>192</v>
      </c>
      <c r="S36" s="25"/>
      <c r="T36" s="1">
        <f t="shared" si="4"/>
        <v>13.599033816425122</v>
      </c>
      <c r="U36" s="1">
        <f t="shared" si="5"/>
        <v>8.9613526570048307</v>
      </c>
      <c r="V36" s="1">
        <v>38.6</v>
      </c>
      <c r="W36" s="1">
        <v>24.8</v>
      </c>
      <c r="X36" s="1">
        <v>26</v>
      </c>
      <c r="Y36" s="1">
        <v>28</v>
      </c>
      <c r="Z36" s="1">
        <v>24.8</v>
      </c>
      <c r="AA36" s="1">
        <v>34.799999999999997</v>
      </c>
      <c r="AB36" s="1"/>
      <c r="AC36" s="1">
        <f t="shared" si="22"/>
        <v>146.02000000000001</v>
      </c>
      <c r="AD36" s="7">
        <f>VLOOKUP(A36,[1]Sheet!$A:$AF,32,0)</f>
        <v>8</v>
      </c>
      <c r="AE36" s="9">
        <f t="shared" si="23"/>
        <v>24</v>
      </c>
      <c r="AF36" s="1">
        <f t="shared" si="24"/>
        <v>134.39999999999998</v>
      </c>
      <c r="AG36" s="1">
        <f>VLOOKUP(A36,[1]Sheet!$A:$AJ,35,0)</f>
        <v>12</v>
      </c>
      <c r="AH36" s="1">
        <f>VLOOKUP(A36,[1]Sheet!$A:$AJ,36,0)</f>
        <v>84</v>
      </c>
      <c r="AI36" s="9">
        <f t="shared" si="25"/>
        <v>0.2857142857142857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77</v>
      </c>
      <c r="B37" s="1" t="s">
        <v>38</v>
      </c>
      <c r="C37" s="1">
        <v>414</v>
      </c>
      <c r="D37" s="1">
        <v>194</v>
      </c>
      <c r="E37" s="1">
        <v>342</v>
      </c>
      <c r="F37" s="1">
        <v>51</v>
      </c>
      <c r="G37" s="7">
        <f>VLOOKUP(A37,[1]Sheet!$A:$G,7,0)</f>
        <v>0.7</v>
      </c>
      <c r="H37" s="1">
        <f>VLOOKUP(A37,[1]Sheet!$A:$H,8,0)</f>
        <v>180</v>
      </c>
      <c r="I37" s="1" t="str">
        <f>VLOOKUP(A37,[1]Sheet!$A:$I,9,0)</f>
        <v>P004888</v>
      </c>
      <c r="J37" s="1"/>
      <c r="K37" s="1">
        <v>375</v>
      </c>
      <c r="L37" s="1">
        <f t="shared" si="2"/>
        <v>-33</v>
      </c>
      <c r="M37" s="1"/>
      <c r="N37" s="1"/>
      <c r="O37" s="1">
        <v>576</v>
      </c>
      <c r="P37" s="1">
        <f t="shared" si="3"/>
        <v>68.400000000000006</v>
      </c>
      <c r="Q37" s="5">
        <f t="shared" si="26"/>
        <v>330.60000000000014</v>
      </c>
      <c r="R37" s="5">
        <f t="shared" si="21"/>
        <v>288</v>
      </c>
      <c r="S37" s="25"/>
      <c r="T37" s="1">
        <f t="shared" si="4"/>
        <v>13.377192982456139</v>
      </c>
      <c r="U37" s="1">
        <f t="shared" si="5"/>
        <v>9.1666666666666661</v>
      </c>
      <c r="V37" s="1">
        <v>73.2</v>
      </c>
      <c r="W37" s="1">
        <v>44.2</v>
      </c>
      <c r="X37" s="1">
        <v>47.8</v>
      </c>
      <c r="Y37" s="1">
        <v>51.2</v>
      </c>
      <c r="Z37" s="1">
        <v>44.6</v>
      </c>
      <c r="AA37" s="1">
        <v>44</v>
      </c>
      <c r="AB37" s="1"/>
      <c r="AC37" s="1">
        <f t="shared" si="22"/>
        <v>231.42000000000007</v>
      </c>
      <c r="AD37" s="7">
        <f>VLOOKUP(A37,[1]Sheet!$A:$AF,32,0)</f>
        <v>8</v>
      </c>
      <c r="AE37" s="9">
        <f t="shared" si="23"/>
        <v>36</v>
      </c>
      <c r="AF37" s="1">
        <f t="shared" si="24"/>
        <v>201.6</v>
      </c>
      <c r="AG37" s="1">
        <f>VLOOKUP(A37,[1]Sheet!$A:$AJ,35,0)</f>
        <v>12</v>
      </c>
      <c r="AH37" s="1">
        <f>VLOOKUP(A37,[1]Sheet!$A:$AJ,36,0)</f>
        <v>84</v>
      </c>
      <c r="AI37" s="9">
        <f t="shared" si="25"/>
        <v>0.42857142857142855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38</v>
      </c>
      <c r="C38" s="1">
        <v>426</v>
      </c>
      <c r="D38" s="1">
        <v>1501</v>
      </c>
      <c r="E38" s="1">
        <v>365</v>
      </c>
      <c r="F38" s="1">
        <v>11</v>
      </c>
      <c r="G38" s="7">
        <f>VLOOKUP(A38,[1]Sheet!$A:$G,7,0)</f>
        <v>0.7</v>
      </c>
      <c r="H38" s="1">
        <f>VLOOKUP(A38,[1]Sheet!$A:$H,8,0)</f>
        <v>180</v>
      </c>
      <c r="I38" s="1" t="str">
        <f>VLOOKUP(A38,[1]Sheet!$A:$I,9,0)</f>
        <v>P004440</v>
      </c>
      <c r="J38" s="1"/>
      <c r="K38" s="1">
        <v>386</v>
      </c>
      <c r="L38" s="1">
        <f t="shared" ref="L38:L69" si="27">E38-K38</f>
        <v>-21</v>
      </c>
      <c r="M38" s="1"/>
      <c r="N38" s="1"/>
      <c r="O38" s="1">
        <v>120</v>
      </c>
      <c r="P38" s="1">
        <f t="shared" ref="P38:P69" si="28">E38/5</f>
        <v>73</v>
      </c>
      <c r="Q38" s="5">
        <f>12*P38-O38-F38+1000</f>
        <v>1745</v>
      </c>
      <c r="R38" s="5">
        <f t="shared" si="21"/>
        <v>1800</v>
      </c>
      <c r="S38" s="25" t="s">
        <v>117</v>
      </c>
      <c r="T38" s="1">
        <f t="shared" ref="T38:T69" si="29">(F38+O38+R38)/P38</f>
        <v>26.452054794520549</v>
      </c>
      <c r="U38" s="1">
        <f t="shared" ref="U38:U69" si="30">(F38+O38)/P38</f>
        <v>1.7945205479452055</v>
      </c>
      <c r="V38" s="1">
        <v>37.4</v>
      </c>
      <c r="W38" s="1">
        <v>41.2</v>
      </c>
      <c r="X38" s="1">
        <v>57.2</v>
      </c>
      <c r="Y38" s="1">
        <v>39</v>
      </c>
      <c r="Z38" s="1">
        <v>46</v>
      </c>
      <c r="AA38" s="1">
        <v>129.80000000000001</v>
      </c>
      <c r="AB38" s="1" t="s">
        <v>118</v>
      </c>
      <c r="AC38" s="1">
        <f t="shared" si="22"/>
        <v>1221.5</v>
      </c>
      <c r="AD38" s="7">
        <f>VLOOKUP(A38,[1]Sheet!$A:$AF,32,0)</f>
        <v>10</v>
      </c>
      <c r="AE38" s="9">
        <f t="shared" si="23"/>
        <v>180</v>
      </c>
      <c r="AF38" s="1">
        <f t="shared" si="24"/>
        <v>1260</v>
      </c>
      <c r="AG38" s="1">
        <f>VLOOKUP(A38,[1]Sheet!$A:$AJ,35,0)</f>
        <v>12</v>
      </c>
      <c r="AH38" s="1">
        <f>VLOOKUP(A38,[1]Sheet!$A:$AJ,36,0)</f>
        <v>84</v>
      </c>
      <c r="AI38" s="9">
        <f t="shared" si="25"/>
        <v>2.1428571428571428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38</v>
      </c>
      <c r="C39" s="1">
        <v>86</v>
      </c>
      <c r="D39" s="1">
        <v>447</v>
      </c>
      <c r="E39" s="1">
        <v>95</v>
      </c>
      <c r="F39" s="1"/>
      <c r="G39" s="7">
        <f>VLOOKUP(A39,[1]Sheet!$A:$G,7,0)</f>
        <v>0.7</v>
      </c>
      <c r="H39" s="1">
        <f>VLOOKUP(A39,[1]Sheet!$A:$H,8,0)</f>
        <v>180</v>
      </c>
      <c r="I39" s="1" t="str">
        <f>VLOOKUP(A39,[1]Sheet!$A:$I,9,0)</f>
        <v>P004442</v>
      </c>
      <c r="J39" s="1"/>
      <c r="K39" s="1">
        <v>277</v>
      </c>
      <c r="L39" s="1">
        <f t="shared" si="27"/>
        <v>-182</v>
      </c>
      <c r="M39" s="1"/>
      <c r="N39" s="1"/>
      <c r="O39" s="1">
        <v>576</v>
      </c>
      <c r="P39" s="1">
        <f t="shared" si="28"/>
        <v>19</v>
      </c>
      <c r="Q39" s="5"/>
      <c r="R39" s="5">
        <f t="shared" si="21"/>
        <v>0</v>
      </c>
      <c r="S39" s="25"/>
      <c r="T39" s="1">
        <f t="shared" si="29"/>
        <v>30.315789473684209</v>
      </c>
      <c r="U39" s="1">
        <f t="shared" si="30"/>
        <v>30.315789473684209</v>
      </c>
      <c r="V39" s="1">
        <v>103.4</v>
      </c>
      <c r="W39" s="1">
        <v>19.2</v>
      </c>
      <c r="X39" s="1">
        <v>40.200000000000003</v>
      </c>
      <c r="Y39" s="1">
        <v>9.4</v>
      </c>
      <c r="Z39" s="1">
        <v>6</v>
      </c>
      <c r="AA39" s="1">
        <v>0.4</v>
      </c>
      <c r="AB39" s="1"/>
      <c r="AC39" s="1">
        <f t="shared" si="22"/>
        <v>0</v>
      </c>
      <c r="AD39" s="7">
        <f>VLOOKUP(A39,[1]Sheet!$A:$AF,32,0)</f>
        <v>10</v>
      </c>
      <c r="AE39" s="9">
        <f t="shared" si="23"/>
        <v>0</v>
      </c>
      <c r="AF39" s="1">
        <f t="shared" si="24"/>
        <v>0</v>
      </c>
      <c r="AG39" s="1">
        <f>VLOOKUP(A39,[1]Sheet!$A:$AJ,35,0)</f>
        <v>12</v>
      </c>
      <c r="AH39" s="1">
        <f>VLOOKUP(A39,[1]Sheet!$A:$AJ,36,0)</f>
        <v>84</v>
      </c>
      <c r="AI39" s="9">
        <f t="shared" si="25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22" t="s">
        <v>80</v>
      </c>
      <c r="B40" s="1" t="s">
        <v>38</v>
      </c>
      <c r="C40" s="1">
        <v>159</v>
      </c>
      <c r="D40" s="1">
        <v>506</v>
      </c>
      <c r="E40" s="1">
        <v>137</v>
      </c>
      <c r="F40" s="1">
        <v>37</v>
      </c>
      <c r="G40" s="23">
        <v>0.4</v>
      </c>
      <c r="H40" s="1">
        <v>180</v>
      </c>
      <c r="I40" s="1" t="s">
        <v>81</v>
      </c>
      <c r="J40" s="1"/>
      <c r="K40" s="1">
        <v>293</v>
      </c>
      <c r="L40" s="1">
        <f t="shared" si="27"/>
        <v>-156</v>
      </c>
      <c r="M40" s="1"/>
      <c r="N40" s="1"/>
      <c r="O40" s="1">
        <v>576</v>
      </c>
      <c r="P40" s="1">
        <f t="shared" si="28"/>
        <v>27.4</v>
      </c>
      <c r="Q40" s="5"/>
      <c r="R40" s="5">
        <f t="shared" si="21"/>
        <v>0</v>
      </c>
      <c r="S40" s="25"/>
      <c r="T40" s="1">
        <f t="shared" si="29"/>
        <v>22.372262773722628</v>
      </c>
      <c r="U40" s="1">
        <f t="shared" si="30"/>
        <v>22.372262773722628</v>
      </c>
      <c r="V40" s="1">
        <v>85.8</v>
      </c>
      <c r="W40" s="1">
        <v>29.8</v>
      </c>
      <c r="X40" s="1">
        <v>34.4</v>
      </c>
      <c r="Y40" s="1">
        <v>7</v>
      </c>
      <c r="Z40" s="1">
        <v>4.4000000000000004</v>
      </c>
      <c r="AA40" s="1">
        <v>0.4</v>
      </c>
      <c r="AB40" s="1"/>
      <c r="AC40" s="1">
        <f t="shared" si="22"/>
        <v>0</v>
      </c>
      <c r="AD40" s="1">
        <v>16</v>
      </c>
      <c r="AE40" s="9">
        <f t="shared" si="23"/>
        <v>0</v>
      </c>
      <c r="AF40" s="1">
        <f t="shared" si="24"/>
        <v>0</v>
      </c>
      <c r="AG40" s="1">
        <v>12</v>
      </c>
      <c r="AH40" s="1">
        <v>84</v>
      </c>
      <c r="AI40" s="9">
        <f t="shared" si="25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82</v>
      </c>
      <c r="B41" s="1" t="s">
        <v>38</v>
      </c>
      <c r="C41" s="1">
        <v>284</v>
      </c>
      <c r="D41" s="1">
        <v>684</v>
      </c>
      <c r="E41" s="1">
        <v>311</v>
      </c>
      <c r="F41" s="1">
        <v>6</v>
      </c>
      <c r="G41" s="7">
        <f>VLOOKUP(A41,[1]Sheet!$A:$G,7,0)</f>
        <v>0.7</v>
      </c>
      <c r="H41" s="1">
        <f>VLOOKUP(A41,[1]Sheet!$A:$H,8,0)</f>
        <v>180</v>
      </c>
      <c r="I41" s="1" t="str">
        <f>VLOOKUP(A41,[1]Sheet!$A:$I,9,0)</f>
        <v>P004203</v>
      </c>
      <c r="J41" s="1"/>
      <c r="K41" s="1">
        <v>474</v>
      </c>
      <c r="L41" s="1">
        <f t="shared" si="27"/>
        <v>-163</v>
      </c>
      <c r="M41" s="1"/>
      <c r="N41" s="1"/>
      <c r="O41" s="1">
        <v>480</v>
      </c>
      <c r="P41" s="1">
        <f t="shared" si="28"/>
        <v>62.2</v>
      </c>
      <c r="Q41" s="5">
        <f t="shared" si="26"/>
        <v>384.80000000000007</v>
      </c>
      <c r="R41" s="5">
        <f t="shared" si="21"/>
        <v>360</v>
      </c>
      <c r="S41" s="25"/>
      <c r="T41" s="1">
        <f t="shared" si="29"/>
        <v>13.60128617363344</v>
      </c>
      <c r="U41" s="1">
        <f t="shared" si="30"/>
        <v>7.813504823151125</v>
      </c>
      <c r="V41" s="1">
        <v>55</v>
      </c>
      <c r="W41" s="1">
        <v>35</v>
      </c>
      <c r="X41" s="1">
        <v>51.6</v>
      </c>
      <c r="Y41" s="1">
        <v>34.200000000000003</v>
      </c>
      <c r="Z41" s="1">
        <v>39.6</v>
      </c>
      <c r="AA41" s="1">
        <v>35.799999999999997</v>
      </c>
      <c r="AB41" s="1"/>
      <c r="AC41" s="1">
        <f t="shared" si="22"/>
        <v>269.36</v>
      </c>
      <c r="AD41" s="7">
        <f>VLOOKUP(A41,[1]Sheet!$A:$AF,32,0)</f>
        <v>10</v>
      </c>
      <c r="AE41" s="9">
        <f t="shared" si="23"/>
        <v>36</v>
      </c>
      <c r="AF41" s="1">
        <f t="shared" si="24"/>
        <v>251.99999999999997</v>
      </c>
      <c r="AG41" s="1">
        <f>VLOOKUP(A41,[1]Sheet!$A:$AJ,35,0)</f>
        <v>12</v>
      </c>
      <c r="AH41" s="1">
        <f>VLOOKUP(A41,[1]Sheet!$A:$AJ,36,0)</f>
        <v>84</v>
      </c>
      <c r="AI41" s="9">
        <f t="shared" si="25"/>
        <v>0.42857142857142855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83</v>
      </c>
      <c r="B42" s="1" t="s">
        <v>38</v>
      </c>
      <c r="C42" s="1">
        <v>631</v>
      </c>
      <c r="D42" s="1">
        <v>1676</v>
      </c>
      <c r="E42" s="1">
        <v>476</v>
      </c>
      <c r="F42" s="1">
        <v>191</v>
      </c>
      <c r="G42" s="7">
        <f>VLOOKUP(A42,[1]Sheet!$A:$G,7,0)</f>
        <v>0.7</v>
      </c>
      <c r="H42" s="1">
        <f>VLOOKUP(A42,[1]Sheet!$A:$H,8,0)</f>
        <v>180</v>
      </c>
      <c r="I42" s="1" t="str">
        <f>VLOOKUP(A42,[1]Sheet!$A:$I,9,0)</f>
        <v>P004819</v>
      </c>
      <c r="J42" s="1"/>
      <c r="K42" s="1">
        <v>512</v>
      </c>
      <c r="L42" s="1">
        <f t="shared" si="27"/>
        <v>-36</v>
      </c>
      <c r="M42" s="1"/>
      <c r="N42" s="1"/>
      <c r="O42" s="1">
        <v>840</v>
      </c>
      <c r="P42" s="1">
        <f t="shared" si="28"/>
        <v>95.2</v>
      </c>
      <c r="Q42" s="5">
        <f t="shared" si="26"/>
        <v>301.79999999999995</v>
      </c>
      <c r="R42" s="5">
        <f t="shared" si="21"/>
        <v>360</v>
      </c>
      <c r="S42" s="25"/>
      <c r="T42" s="1">
        <f t="shared" si="29"/>
        <v>14.611344537815125</v>
      </c>
      <c r="U42" s="1">
        <f t="shared" si="30"/>
        <v>10.829831932773109</v>
      </c>
      <c r="V42" s="1">
        <v>112.4</v>
      </c>
      <c r="W42" s="1">
        <v>77</v>
      </c>
      <c r="X42" s="1">
        <v>56.2</v>
      </c>
      <c r="Y42" s="1">
        <v>47</v>
      </c>
      <c r="Z42" s="1">
        <v>39.6</v>
      </c>
      <c r="AA42" s="1">
        <v>57.8</v>
      </c>
      <c r="AB42" s="1"/>
      <c r="AC42" s="1">
        <f t="shared" si="22"/>
        <v>211.25999999999996</v>
      </c>
      <c r="AD42" s="7">
        <f>VLOOKUP(A42,[1]Sheet!$A:$AF,32,0)</f>
        <v>10</v>
      </c>
      <c r="AE42" s="9">
        <f t="shared" si="23"/>
        <v>36</v>
      </c>
      <c r="AF42" s="1">
        <f t="shared" si="24"/>
        <v>251.99999999999997</v>
      </c>
      <c r="AG42" s="1">
        <f>VLOOKUP(A42,[1]Sheet!$A:$AJ,35,0)</f>
        <v>12</v>
      </c>
      <c r="AH42" s="1">
        <f>VLOOKUP(A42,[1]Sheet!$A:$AJ,36,0)</f>
        <v>84</v>
      </c>
      <c r="AI42" s="9">
        <f t="shared" si="25"/>
        <v>0.42857142857142855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44</v>
      </c>
      <c r="C43" s="1">
        <v>735</v>
      </c>
      <c r="D43" s="1">
        <v>325</v>
      </c>
      <c r="E43" s="1">
        <v>480</v>
      </c>
      <c r="F43" s="1">
        <v>280</v>
      </c>
      <c r="G43" s="7">
        <f>VLOOKUP(A43,[1]Sheet!$A:$G,7,0)</f>
        <v>1</v>
      </c>
      <c r="H43" s="1">
        <f>VLOOKUP(A43,[1]Sheet!$A:$H,8,0)</f>
        <v>180</v>
      </c>
      <c r="I43" s="1" t="str">
        <f>VLOOKUP(A43,[1]Sheet!$A:$I,9,0)</f>
        <v>P003697</v>
      </c>
      <c r="J43" s="1"/>
      <c r="K43" s="1">
        <v>515</v>
      </c>
      <c r="L43" s="1">
        <f t="shared" si="27"/>
        <v>-35</v>
      </c>
      <c r="M43" s="1"/>
      <c r="N43" s="1"/>
      <c r="O43" s="1">
        <v>420</v>
      </c>
      <c r="P43" s="1">
        <f t="shared" si="28"/>
        <v>96</v>
      </c>
      <c r="Q43" s="5">
        <f t="shared" si="26"/>
        <v>644</v>
      </c>
      <c r="R43" s="5">
        <f t="shared" si="21"/>
        <v>660</v>
      </c>
      <c r="S43" s="25"/>
      <c r="T43" s="1">
        <f t="shared" si="29"/>
        <v>14.166666666666666</v>
      </c>
      <c r="U43" s="1">
        <f t="shared" si="30"/>
        <v>7.291666666666667</v>
      </c>
      <c r="V43" s="1">
        <v>85</v>
      </c>
      <c r="W43" s="1">
        <v>71</v>
      </c>
      <c r="X43" s="1">
        <v>51</v>
      </c>
      <c r="Y43" s="1">
        <v>63</v>
      </c>
      <c r="Z43" s="1">
        <v>60</v>
      </c>
      <c r="AA43" s="1">
        <v>71</v>
      </c>
      <c r="AB43" s="1"/>
      <c r="AC43" s="1">
        <f t="shared" si="22"/>
        <v>644</v>
      </c>
      <c r="AD43" s="7">
        <f>VLOOKUP(A43,[1]Sheet!$A:$AF,32,0)</f>
        <v>5</v>
      </c>
      <c r="AE43" s="9">
        <f t="shared" si="23"/>
        <v>132</v>
      </c>
      <c r="AF43" s="1">
        <f t="shared" si="24"/>
        <v>660</v>
      </c>
      <c r="AG43" s="1">
        <f>VLOOKUP(A43,[1]Sheet!$A:$AJ,35,0)</f>
        <v>12</v>
      </c>
      <c r="AH43" s="1">
        <f>VLOOKUP(A43,[1]Sheet!$A:$AJ,36,0)</f>
        <v>144</v>
      </c>
      <c r="AI43" s="9">
        <f t="shared" si="25"/>
        <v>0.91666666666666663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38</v>
      </c>
      <c r="C44" s="1">
        <v>3149</v>
      </c>
      <c r="D44" s="1">
        <v>2768</v>
      </c>
      <c r="E44" s="1">
        <v>285</v>
      </c>
      <c r="F44" s="1">
        <v>2791</v>
      </c>
      <c r="G44" s="7">
        <f>VLOOKUP(A44,[1]Sheet!$A:$G,7,0)</f>
        <v>0.4</v>
      </c>
      <c r="H44" s="1">
        <f>VLOOKUP(A44,[1]Sheet!$A:$H,8,0)</f>
        <v>180</v>
      </c>
      <c r="I44" s="1" t="str">
        <f>VLOOKUP(A44,[1]Sheet!$A:$I,9,0)</f>
        <v>P004474</v>
      </c>
      <c r="J44" s="1"/>
      <c r="K44" s="1">
        <v>319</v>
      </c>
      <c r="L44" s="1">
        <f t="shared" si="27"/>
        <v>-34</v>
      </c>
      <c r="M44" s="1"/>
      <c r="N44" s="1"/>
      <c r="O44" s="1">
        <v>0</v>
      </c>
      <c r="P44" s="1">
        <f t="shared" si="28"/>
        <v>57</v>
      </c>
      <c r="Q44" s="5"/>
      <c r="R44" s="5">
        <f t="shared" si="21"/>
        <v>0</v>
      </c>
      <c r="S44" s="25"/>
      <c r="T44" s="1">
        <f t="shared" si="29"/>
        <v>48.964912280701753</v>
      </c>
      <c r="U44" s="1">
        <f t="shared" si="30"/>
        <v>48.964912280701753</v>
      </c>
      <c r="V44" s="1">
        <v>69</v>
      </c>
      <c r="W44" s="1">
        <v>200.6</v>
      </c>
      <c r="X44" s="1">
        <v>169.8</v>
      </c>
      <c r="Y44" s="1">
        <v>112</v>
      </c>
      <c r="Z44" s="1">
        <v>39.4</v>
      </c>
      <c r="AA44" s="1">
        <v>36</v>
      </c>
      <c r="AB44" s="19" t="s">
        <v>90</v>
      </c>
      <c r="AC44" s="1">
        <f t="shared" si="22"/>
        <v>0</v>
      </c>
      <c r="AD44" s="7">
        <f>VLOOKUP(A44,[1]Sheet!$A:$AF,32,0)</f>
        <v>16</v>
      </c>
      <c r="AE44" s="9">
        <f t="shared" si="23"/>
        <v>0</v>
      </c>
      <c r="AF44" s="1">
        <f t="shared" si="24"/>
        <v>0</v>
      </c>
      <c r="AG44" s="1">
        <f>VLOOKUP(A44,[1]Sheet!$A:$AJ,35,0)</f>
        <v>12</v>
      </c>
      <c r="AH44" s="1">
        <f>VLOOKUP(A44,[1]Sheet!$A:$AJ,36,0)</f>
        <v>84</v>
      </c>
      <c r="AI44" s="9">
        <f t="shared" si="25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38</v>
      </c>
      <c r="C45" s="1">
        <v>776</v>
      </c>
      <c r="D45" s="1">
        <v>906</v>
      </c>
      <c r="E45" s="1">
        <v>616</v>
      </c>
      <c r="F45" s="1">
        <v>168</v>
      </c>
      <c r="G45" s="7">
        <f>VLOOKUP(A45,[1]Sheet!$A:$G,7,0)</f>
        <v>0.7</v>
      </c>
      <c r="H45" s="1">
        <f>VLOOKUP(A45,[1]Sheet!$A:$H,8,0)</f>
        <v>180</v>
      </c>
      <c r="I45" s="1" t="str">
        <f>VLOOKUP(A45,[1]Sheet!$A:$I,9,0)</f>
        <v>P004345</v>
      </c>
      <c r="J45" s="1"/>
      <c r="K45" s="1">
        <v>672</v>
      </c>
      <c r="L45" s="1">
        <f t="shared" si="27"/>
        <v>-56</v>
      </c>
      <c r="M45" s="1"/>
      <c r="N45" s="1"/>
      <c r="O45" s="1">
        <v>600</v>
      </c>
      <c r="P45" s="1">
        <f t="shared" si="28"/>
        <v>123.2</v>
      </c>
      <c r="Q45" s="5">
        <f>$Q$1*P45-O45-F45</f>
        <v>993.76000000000022</v>
      </c>
      <c r="R45" s="5">
        <f t="shared" si="21"/>
        <v>960</v>
      </c>
      <c r="S45" s="25"/>
      <c r="T45" s="1">
        <f t="shared" si="29"/>
        <v>14.025974025974026</v>
      </c>
      <c r="U45" s="1">
        <f t="shared" si="30"/>
        <v>6.2337662337662341</v>
      </c>
      <c r="V45" s="1">
        <v>107</v>
      </c>
      <c r="W45" s="1">
        <v>89</v>
      </c>
      <c r="X45" s="1">
        <v>61.2</v>
      </c>
      <c r="Y45" s="1">
        <v>78.8</v>
      </c>
      <c r="Z45" s="1">
        <v>68.8</v>
      </c>
      <c r="AA45" s="1">
        <v>71.599999999999994</v>
      </c>
      <c r="AB45" s="1"/>
      <c r="AC45" s="1">
        <f t="shared" si="22"/>
        <v>695.63200000000006</v>
      </c>
      <c r="AD45" s="7">
        <f>VLOOKUP(A45,[1]Sheet!$A:$AF,32,0)</f>
        <v>10</v>
      </c>
      <c r="AE45" s="9">
        <f t="shared" si="23"/>
        <v>96</v>
      </c>
      <c r="AF45" s="1">
        <f t="shared" si="24"/>
        <v>672</v>
      </c>
      <c r="AG45" s="1">
        <f>VLOOKUP(A45,[1]Sheet!$A:$AJ,35,0)</f>
        <v>12</v>
      </c>
      <c r="AH45" s="1">
        <f>VLOOKUP(A45,[1]Sheet!$A:$AJ,36,0)</f>
        <v>84</v>
      </c>
      <c r="AI45" s="9">
        <f t="shared" si="25"/>
        <v>1.1428571428571428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38</v>
      </c>
      <c r="C46" s="1">
        <v>376</v>
      </c>
      <c r="D46" s="1">
        <v>349</v>
      </c>
      <c r="E46" s="1">
        <v>214</v>
      </c>
      <c r="F46" s="1">
        <v>233</v>
      </c>
      <c r="G46" s="7">
        <f>VLOOKUP(A46,[1]Sheet!$A:$G,7,0)</f>
        <v>0.4</v>
      </c>
      <c r="H46" s="1">
        <f>VLOOKUP(A46,[1]Sheet!$A:$H,8,0)</f>
        <v>180</v>
      </c>
      <c r="I46" s="1" t="str">
        <f>VLOOKUP(A46,[1]Sheet!$A:$I,9,0)</f>
        <v>P004444</v>
      </c>
      <c r="J46" s="1"/>
      <c r="K46" s="1">
        <v>267</v>
      </c>
      <c r="L46" s="1">
        <f t="shared" si="27"/>
        <v>-53</v>
      </c>
      <c r="M46" s="1"/>
      <c r="N46" s="1"/>
      <c r="O46" s="1">
        <v>0</v>
      </c>
      <c r="P46" s="1">
        <f t="shared" si="28"/>
        <v>42.8</v>
      </c>
      <c r="Q46" s="5">
        <f t="shared" si="26"/>
        <v>366.19999999999993</v>
      </c>
      <c r="R46" s="5">
        <f t="shared" si="21"/>
        <v>384</v>
      </c>
      <c r="S46" s="25"/>
      <c r="T46" s="1">
        <f t="shared" si="29"/>
        <v>14.415887850467291</v>
      </c>
      <c r="U46" s="1">
        <f t="shared" si="30"/>
        <v>5.44392523364486</v>
      </c>
      <c r="V46" s="1">
        <v>26.6</v>
      </c>
      <c r="W46" s="1">
        <v>31.8</v>
      </c>
      <c r="X46" s="1">
        <v>12.6</v>
      </c>
      <c r="Y46" s="1">
        <v>27.2</v>
      </c>
      <c r="Z46" s="1">
        <v>24.2</v>
      </c>
      <c r="AA46" s="1">
        <v>20</v>
      </c>
      <c r="AB46" s="1"/>
      <c r="AC46" s="1">
        <f t="shared" si="22"/>
        <v>146.47999999999999</v>
      </c>
      <c r="AD46" s="7">
        <f>VLOOKUP(A46,[1]Sheet!$A:$AF,32,0)</f>
        <v>16</v>
      </c>
      <c r="AE46" s="9">
        <f t="shared" si="23"/>
        <v>24</v>
      </c>
      <c r="AF46" s="1">
        <f t="shared" si="24"/>
        <v>153.60000000000002</v>
      </c>
      <c r="AG46" s="1">
        <f>VLOOKUP(A46,[1]Sheet!$A:$AJ,35,0)</f>
        <v>12</v>
      </c>
      <c r="AH46" s="1">
        <f>VLOOKUP(A46,[1]Sheet!$A:$AJ,36,0)</f>
        <v>84</v>
      </c>
      <c r="AI46" s="9">
        <f t="shared" si="25"/>
        <v>0.2857142857142857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42</v>
      </c>
      <c r="B47" s="1" t="s">
        <v>38</v>
      </c>
      <c r="C47" s="1">
        <v>1812</v>
      </c>
      <c r="D47" s="1">
        <v>642</v>
      </c>
      <c r="E47" s="17">
        <f>830+E7</f>
        <v>932</v>
      </c>
      <c r="F47" s="17">
        <f>690+F7</f>
        <v>850</v>
      </c>
      <c r="G47" s="7">
        <f>VLOOKUP(A47,[1]Sheet!$A:$G,7,0)</f>
        <v>0.7</v>
      </c>
      <c r="H47" s="1">
        <f>VLOOKUP(A47,[1]Sheet!$A:$H,8,0)</f>
        <v>180</v>
      </c>
      <c r="I47" s="1" t="str">
        <f>VLOOKUP(A47,[1]Sheet!$A:$I,9,0)</f>
        <v>P004346</v>
      </c>
      <c r="J47" s="1"/>
      <c r="K47" s="1">
        <v>867</v>
      </c>
      <c r="L47" s="1">
        <f t="shared" si="27"/>
        <v>65</v>
      </c>
      <c r="M47" s="1"/>
      <c r="N47" s="1"/>
      <c r="O47" s="1">
        <v>840</v>
      </c>
      <c r="P47" s="1">
        <f t="shared" si="28"/>
        <v>186.4</v>
      </c>
      <c r="Q47" s="5">
        <f t="shared" ref="Q47:Q48" si="31">$Q$1*P47-O47-F47</f>
        <v>975.52000000000044</v>
      </c>
      <c r="R47" s="5">
        <f t="shared" si="21"/>
        <v>960</v>
      </c>
      <c r="S47" s="25"/>
      <c r="T47" s="1">
        <f t="shared" si="29"/>
        <v>14.216738197424892</v>
      </c>
      <c r="U47" s="1">
        <f t="shared" si="30"/>
        <v>9.0665236051502145</v>
      </c>
      <c r="V47" s="1">
        <v>201</v>
      </c>
      <c r="W47" s="1">
        <v>197</v>
      </c>
      <c r="X47" s="1">
        <v>157.6</v>
      </c>
      <c r="Y47" s="1">
        <v>173.6</v>
      </c>
      <c r="Z47" s="1">
        <v>138.80000000000001</v>
      </c>
      <c r="AA47" s="1">
        <v>148.4</v>
      </c>
      <c r="AB47" s="1"/>
      <c r="AC47" s="1">
        <f t="shared" si="22"/>
        <v>682.86400000000026</v>
      </c>
      <c r="AD47" s="7">
        <f>VLOOKUP(A47,[1]Sheet!$A:$AF,32,0)</f>
        <v>10</v>
      </c>
      <c r="AE47" s="9">
        <f t="shared" si="23"/>
        <v>96</v>
      </c>
      <c r="AF47" s="1">
        <f t="shared" si="24"/>
        <v>672</v>
      </c>
      <c r="AG47" s="1">
        <f>VLOOKUP(A47,[1]Sheet!$A:$AJ,35,0)</f>
        <v>12</v>
      </c>
      <c r="AH47" s="1">
        <f>VLOOKUP(A47,[1]Sheet!$A:$AJ,36,0)</f>
        <v>84</v>
      </c>
      <c r="AI47" s="9">
        <f t="shared" si="25"/>
        <v>1.1428571428571428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88</v>
      </c>
      <c r="B48" s="1" t="s">
        <v>38</v>
      </c>
      <c r="C48" s="1">
        <v>1280</v>
      </c>
      <c r="D48" s="1">
        <v>871</v>
      </c>
      <c r="E48" s="1">
        <v>676</v>
      </c>
      <c r="F48" s="1">
        <v>636</v>
      </c>
      <c r="G48" s="7">
        <f>VLOOKUP(A48,[1]Sheet!$A:$G,7,0)</f>
        <v>1</v>
      </c>
      <c r="H48" s="1">
        <f>VLOOKUP(A48,[1]Sheet!$A:$H,8,0)</f>
        <v>180</v>
      </c>
      <c r="I48" s="1" t="str">
        <f>VLOOKUP(A48,[1]Sheet!$A:$I,9,0)</f>
        <v>P005048</v>
      </c>
      <c r="J48" s="1"/>
      <c r="K48" s="1">
        <v>708</v>
      </c>
      <c r="L48" s="1">
        <f t="shared" si="27"/>
        <v>-32</v>
      </c>
      <c r="M48" s="1"/>
      <c r="N48" s="1"/>
      <c r="O48" s="1">
        <v>660</v>
      </c>
      <c r="P48" s="1">
        <f t="shared" si="28"/>
        <v>135.19999999999999</v>
      </c>
      <c r="Q48" s="5">
        <f t="shared" si="31"/>
        <v>637.3599999999999</v>
      </c>
      <c r="R48" s="5">
        <f t="shared" si="21"/>
        <v>660</v>
      </c>
      <c r="S48" s="25"/>
      <c r="T48" s="1">
        <f t="shared" si="29"/>
        <v>14.467455621301776</v>
      </c>
      <c r="U48" s="1">
        <f t="shared" si="30"/>
        <v>9.5857988165680474</v>
      </c>
      <c r="V48" s="1">
        <v>143.4</v>
      </c>
      <c r="W48" s="1">
        <v>123.4</v>
      </c>
      <c r="X48" s="1">
        <v>103.2</v>
      </c>
      <c r="Y48" s="1">
        <v>81.8</v>
      </c>
      <c r="Z48" s="1">
        <v>87.8</v>
      </c>
      <c r="AA48" s="1">
        <v>92.2</v>
      </c>
      <c r="AB48" s="1"/>
      <c r="AC48" s="1">
        <f t="shared" si="22"/>
        <v>637.3599999999999</v>
      </c>
      <c r="AD48" s="7">
        <f>VLOOKUP(A48,[1]Sheet!$A:$AF,32,0)</f>
        <v>5</v>
      </c>
      <c r="AE48" s="9">
        <f t="shared" si="23"/>
        <v>132</v>
      </c>
      <c r="AF48" s="1">
        <f t="shared" si="24"/>
        <v>660</v>
      </c>
      <c r="AG48" s="1">
        <f>VLOOKUP(A48,[1]Sheet!$A:$AJ,35,0)</f>
        <v>12</v>
      </c>
      <c r="AH48" s="1">
        <f>VLOOKUP(A48,[1]Sheet!$A:$AJ,36,0)</f>
        <v>84</v>
      </c>
      <c r="AI48" s="9">
        <f t="shared" si="25"/>
        <v>1.5714285714285714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89</v>
      </c>
      <c r="B49" s="1" t="s">
        <v>38</v>
      </c>
      <c r="C49" s="1">
        <v>276</v>
      </c>
      <c r="D49" s="1">
        <v>58</v>
      </c>
      <c r="E49" s="1">
        <v>163</v>
      </c>
      <c r="F49" s="1">
        <v>135</v>
      </c>
      <c r="G49" s="7">
        <f>VLOOKUP(A49,[1]Sheet!$A:$G,7,0)</f>
        <v>0.9</v>
      </c>
      <c r="H49" s="1">
        <f>VLOOKUP(A49,[1]Sheet!$A:$H,8,0)</f>
        <v>180</v>
      </c>
      <c r="I49" s="1" t="str">
        <f>VLOOKUP(A49,[1]Sheet!$A:$I,9,0)</f>
        <v>P005107</v>
      </c>
      <c r="J49" s="1"/>
      <c r="K49" s="1">
        <v>165</v>
      </c>
      <c r="L49" s="1">
        <f t="shared" si="27"/>
        <v>-2</v>
      </c>
      <c r="M49" s="1"/>
      <c r="N49" s="1"/>
      <c r="O49" s="1">
        <v>0</v>
      </c>
      <c r="P49" s="1">
        <f t="shared" si="28"/>
        <v>32.6</v>
      </c>
      <c r="Q49" s="5">
        <f>12*P49-O49-F49</f>
        <v>256.20000000000005</v>
      </c>
      <c r="R49" s="5">
        <f t="shared" si="21"/>
        <v>288</v>
      </c>
      <c r="S49" s="25"/>
      <c r="T49" s="1">
        <f t="shared" si="29"/>
        <v>12.975460122699387</v>
      </c>
      <c r="U49" s="1">
        <f t="shared" si="30"/>
        <v>4.1411042944785272</v>
      </c>
      <c r="V49" s="1">
        <v>7.4</v>
      </c>
      <c r="W49" s="1">
        <v>17.8</v>
      </c>
      <c r="X49" s="1">
        <v>16.600000000000001</v>
      </c>
      <c r="Y49" s="1">
        <v>19.399999999999999</v>
      </c>
      <c r="Z49" s="1">
        <v>16</v>
      </c>
      <c r="AA49" s="1">
        <v>15.8</v>
      </c>
      <c r="AB49" s="1"/>
      <c r="AC49" s="1">
        <f t="shared" si="22"/>
        <v>230.58000000000004</v>
      </c>
      <c r="AD49" s="7">
        <f>VLOOKUP(A49,[1]Sheet!$A:$AF,32,0)</f>
        <v>8</v>
      </c>
      <c r="AE49" s="9">
        <f t="shared" si="23"/>
        <v>36</v>
      </c>
      <c r="AF49" s="1">
        <f t="shared" si="24"/>
        <v>259.2</v>
      </c>
      <c r="AG49" s="1">
        <f>VLOOKUP(A49,[1]Sheet!$A:$AJ,35,0)</f>
        <v>12</v>
      </c>
      <c r="AH49" s="1">
        <f>VLOOKUP(A49,[1]Sheet!$A:$AJ,36,0)</f>
        <v>84</v>
      </c>
      <c r="AI49" s="9">
        <f t="shared" si="25"/>
        <v>0.42857142857142855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3" t="s">
        <v>91</v>
      </c>
      <c r="B50" s="13" t="s">
        <v>38</v>
      </c>
      <c r="C50" s="13">
        <v>46</v>
      </c>
      <c r="D50" s="13">
        <v>3</v>
      </c>
      <c r="E50" s="13">
        <v>3</v>
      </c>
      <c r="F50" s="13">
        <v>-1</v>
      </c>
      <c r="G50" s="21">
        <v>0</v>
      </c>
      <c r="H50" s="13"/>
      <c r="I50" s="13"/>
      <c r="J50" s="13"/>
      <c r="K50" s="13">
        <v>3</v>
      </c>
      <c r="L50" s="13">
        <f t="shared" si="27"/>
        <v>0</v>
      </c>
      <c r="M50" s="13"/>
      <c r="N50" s="13"/>
      <c r="O50" s="13"/>
      <c r="P50" s="13">
        <f t="shared" si="28"/>
        <v>0.6</v>
      </c>
      <c r="Q50" s="15"/>
      <c r="R50" s="15"/>
      <c r="S50" s="24"/>
      <c r="T50" s="13">
        <f t="shared" si="29"/>
        <v>-1.6666666666666667</v>
      </c>
      <c r="U50" s="13">
        <f t="shared" si="30"/>
        <v>-1.6666666666666667</v>
      </c>
      <c r="V50" s="13">
        <v>9.6</v>
      </c>
      <c r="W50" s="13">
        <v>0.4</v>
      </c>
      <c r="X50" s="13">
        <v>0</v>
      </c>
      <c r="Y50" s="13">
        <v>0</v>
      </c>
      <c r="Z50" s="13">
        <v>0</v>
      </c>
      <c r="AA50" s="13">
        <v>0</v>
      </c>
      <c r="AB50" s="13"/>
      <c r="AC50" s="13"/>
      <c r="AD50" s="14"/>
      <c r="AE50" s="16"/>
      <c r="AF50" s="13"/>
      <c r="AG50" s="13"/>
      <c r="AH50" s="13"/>
      <c r="AI50" s="16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92</v>
      </c>
      <c r="B51" s="1" t="s">
        <v>44</v>
      </c>
      <c r="C51" s="1">
        <v>265</v>
      </c>
      <c r="D51" s="1">
        <v>95</v>
      </c>
      <c r="E51" s="1">
        <v>265</v>
      </c>
      <c r="F51" s="1">
        <v>20</v>
      </c>
      <c r="G51" s="7">
        <f>VLOOKUP(A51,[1]Sheet!$A:$G,7,0)</f>
        <v>1</v>
      </c>
      <c r="H51" s="1">
        <f>VLOOKUP(A51,[1]Sheet!$A:$H,8,0)</f>
        <v>180</v>
      </c>
      <c r="I51" s="1" t="str">
        <f>VLOOKUP(A51,[1]Sheet!$A:$I,9,0)</f>
        <v>P004472</v>
      </c>
      <c r="J51" s="1"/>
      <c r="K51" s="1">
        <v>405</v>
      </c>
      <c r="L51" s="1">
        <f t="shared" si="27"/>
        <v>-140</v>
      </c>
      <c r="M51" s="1"/>
      <c r="N51" s="1"/>
      <c r="O51" s="1">
        <v>420</v>
      </c>
      <c r="P51" s="1">
        <f t="shared" si="28"/>
        <v>53</v>
      </c>
      <c r="Q51" s="5">
        <f t="shared" ref="Q51:Q68" si="32">14*P51-O51-F51</f>
        <v>302</v>
      </c>
      <c r="R51" s="5">
        <f t="shared" ref="R51:R70" si="33">AD51*AE51</f>
        <v>300</v>
      </c>
      <c r="S51" s="25"/>
      <c r="T51" s="1">
        <f t="shared" si="29"/>
        <v>13.962264150943396</v>
      </c>
      <c r="U51" s="1">
        <f t="shared" si="30"/>
        <v>8.3018867924528301</v>
      </c>
      <c r="V51" s="1">
        <v>59</v>
      </c>
      <c r="W51" s="1">
        <v>41</v>
      </c>
      <c r="X51" s="1">
        <v>41</v>
      </c>
      <c r="Y51" s="1">
        <v>47</v>
      </c>
      <c r="Z51" s="1">
        <v>39</v>
      </c>
      <c r="AA51" s="1">
        <v>37</v>
      </c>
      <c r="AB51" s="1"/>
      <c r="AC51" s="1">
        <f t="shared" ref="AC51:AC70" si="34">G51*Q51</f>
        <v>302</v>
      </c>
      <c r="AD51" s="7">
        <f>VLOOKUP(A51,[1]Sheet!$A:$AF,32,0)</f>
        <v>5</v>
      </c>
      <c r="AE51" s="9">
        <f t="shared" ref="AE51:AE68" si="35">MROUND(Q51, AD51*AG51)/AD51</f>
        <v>60</v>
      </c>
      <c r="AF51" s="1">
        <f t="shared" ref="AF51:AF68" si="36">AE51*AD51*G51</f>
        <v>300</v>
      </c>
      <c r="AG51" s="1">
        <f>VLOOKUP(A51,[1]Sheet!$A:$AJ,35,0)</f>
        <v>12</v>
      </c>
      <c r="AH51" s="1">
        <f>VLOOKUP(A51,[1]Sheet!$A:$AJ,36,0)</f>
        <v>144</v>
      </c>
      <c r="AI51" s="9">
        <f t="shared" ref="AI51:AI70" si="37">AE51/AH51</f>
        <v>0.41666666666666669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93</v>
      </c>
      <c r="B52" s="1" t="s">
        <v>38</v>
      </c>
      <c r="C52" s="1">
        <v>77</v>
      </c>
      <c r="D52" s="1">
        <v>30</v>
      </c>
      <c r="E52" s="1">
        <v>6</v>
      </c>
      <c r="F52" s="1">
        <v>101</v>
      </c>
      <c r="G52" s="7">
        <f>VLOOKUP(A52,[1]Sheet!$A:$G,7,0)</f>
        <v>1</v>
      </c>
      <c r="H52" s="1">
        <f>VLOOKUP(A52,[1]Sheet!$A:$H,8,0)</f>
        <v>180</v>
      </c>
      <c r="I52" s="1" t="str">
        <f>VLOOKUP(A52,[1]Sheet!$A:$I,9,0)</f>
        <v>P004081</v>
      </c>
      <c r="J52" s="1"/>
      <c r="K52" s="1">
        <v>6</v>
      </c>
      <c r="L52" s="1">
        <f t="shared" si="27"/>
        <v>0</v>
      </c>
      <c r="M52" s="1"/>
      <c r="N52" s="1"/>
      <c r="O52" s="1">
        <v>0</v>
      </c>
      <c r="P52" s="1">
        <f t="shared" si="28"/>
        <v>1.2</v>
      </c>
      <c r="Q52" s="5"/>
      <c r="R52" s="5">
        <f t="shared" si="33"/>
        <v>0</v>
      </c>
      <c r="S52" s="25"/>
      <c r="T52" s="1">
        <f t="shared" si="29"/>
        <v>84.166666666666671</v>
      </c>
      <c r="U52" s="1">
        <f t="shared" si="30"/>
        <v>84.166666666666671</v>
      </c>
      <c r="V52" s="1">
        <v>6.2</v>
      </c>
      <c r="W52" s="1">
        <v>3</v>
      </c>
      <c r="X52" s="1">
        <v>4</v>
      </c>
      <c r="Y52" s="1">
        <v>6.4</v>
      </c>
      <c r="Z52" s="1">
        <v>10.199999999999999</v>
      </c>
      <c r="AA52" s="1">
        <v>5.2</v>
      </c>
      <c r="AB52" s="20" t="s">
        <v>113</v>
      </c>
      <c r="AC52" s="1">
        <f t="shared" si="34"/>
        <v>0</v>
      </c>
      <c r="AD52" s="7">
        <f>VLOOKUP(A52,[1]Sheet!$A:$AF,32,0)</f>
        <v>5</v>
      </c>
      <c r="AE52" s="9">
        <f t="shared" si="35"/>
        <v>0</v>
      </c>
      <c r="AF52" s="1">
        <f t="shared" si="36"/>
        <v>0</v>
      </c>
      <c r="AG52" s="1">
        <f>VLOOKUP(A52,[1]Sheet!$A:$AJ,35,0)</f>
        <v>12</v>
      </c>
      <c r="AH52" s="1">
        <f>VLOOKUP(A52,[1]Sheet!$A:$AJ,36,0)</f>
        <v>84</v>
      </c>
      <c r="AI52" s="9">
        <f t="shared" si="3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45</v>
      </c>
      <c r="B53" s="1" t="s">
        <v>44</v>
      </c>
      <c r="C53" s="1">
        <v>324</v>
      </c>
      <c r="D53" s="1">
        <v>251.5</v>
      </c>
      <c r="E53" s="1">
        <v>161.6</v>
      </c>
      <c r="F53" s="1">
        <v>178.8</v>
      </c>
      <c r="G53" s="7">
        <f>VLOOKUP(A53,[1]Sheet!$A:$G,7,0)</f>
        <v>1</v>
      </c>
      <c r="H53" s="1">
        <f>VLOOKUP(A53,[1]Sheet!$A:$H,8,0)</f>
        <v>180</v>
      </c>
      <c r="I53" s="1" t="str">
        <f>VLOOKUP(A53,[1]Sheet!$A:$I,9,0)</f>
        <v>P004359</v>
      </c>
      <c r="J53" s="1"/>
      <c r="K53" s="1">
        <v>167.8</v>
      </c>
      <c r="L53" s="1">
        <f t="shared" si="27"/>
        <v>-6.2000000000000171</v>
      </c>
      <c r="M53" s="1"/>
      <c r="N53" s="1"/>
      <c r="O53" s="1">
        <v>103.6</v>
      </c>
      <c r="P53" s="1">
        <f t="shared" si="28"/>
        <v>32.32</v>
      </c>
      <c r="Q53" s="5">
        <f t="shared" si="32"/>
        <v>170.07999999999998</v>
      </c>
      <c r="R53" s="5">
        <f t="shared" si="33"/>
        <v>155.4</v>
      </c>
      <c r="S53" s="25"/>
      <c r="T53" s="1">
        <f t="shared" si="29"/>
        <v>13.545792079207919</v>
      </c>
      <c r="U53" s="1">
        <f t="shared" si="30"/>
        <v>8.7376237623762361</v>
      </c>
      <c r="V53" s="1">
        <v>30.3</v>
      </c>
      <c r="W53" s="1">
        <v>37.739999999999988</v>
      </c>
      <c r="X53" s="1">
        <v>39.22</v>
      </c>
      <c r="Y53" s="1">
        <v>27.2</v>
      </c>
      <c r="Z53" s="1">
        <v>13.32</v>
      </c>
      <c r="AA53" s="1">
        <v>29</v>
      </c>
      <c r="AB53" s="1"/>
      <c r="AC53" s="1">
        <f t="shared" si="34"/>
        <v>170.07999999999998</v>
      </c>
      <c r="AD53" s="7">
        <f>VLOOKUP(A53,[1]Sheet!$A:$AF,32,0)</f>
        <v>3.7</v>
      </c>
      <c r="AE53" s="9">
        <f t="shared" si="35"/>
        <v>42</v>
      </c>
      <c r="AF53" s="1">
        <f t="shared" si="36"/>
        <v>155.4</v>
      </c>
      <c r="AG53" s="1">
        <f>VLOOKUP(A53,[1]Sheet!$A:$AJ,35,0)</f>
        <v>14</v>
      </c>
      <c r="AH53" s="1">
        <f>VLOOKUP(A53,[1]Sheet!$A:$AJ,36,0)</f>
        <v>126</v>
      </c>
      <c r="AI53" s="9">
        <f t="shared" si="37"/>
        <v>0.33333333333333331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94</v>
      </c>
      <c r="B54" s="1" t="s">
        <v>38</v>
      </c>
      <c r="C54" s="1">
        <v>225</v>
      </c>
      <c r="D54" s="1">
        <v>690</v>
      </c>
      <c r="E54" s="1">
        <v>218</v>
      </c>
      <c r="F54" s="1">
        <v>4</v>
      </c>
      <c r="G54" s="7">
        <f>VLOOKUP(A54,[1]Sheet!$A:$G,7,0)</f>
        <v>0.23</v>
      </c>
      <c r="H54" s="1">
        <f>VLOOKUP(A54,[1]Sheet!$A:$H,8,0)</f>
        <v>180</v>
      </c>
      <c r="I54" s="18" t="s">
        <v>111</v>
      </c>
      <c r="J54" s="1"/>
      <c r="K54" s="1">
        <v>717</v>
      </c>
      <c r="L54" s="1">
        <f t="shared" si="27"/>
        <v>-499</v>
      </c>
      <c r="M54" s="1"/>
      <c r="N54" s="1"/>
      <c r="O54" s="1">
        <v>1764</v>
      </c>
      <c r="P54" s="1">
        <f t="shared" si="28"/>
        <v>43.6</v>
      </c>
      <c r="Q54" s="5"/>
      <c r="R54" s="5">
        <f t="shared" si="33"/>
        <v>0</v>
      </c>
      <c r="S54" s="25"/>
      <c r="T54" s="1">
        <f t="shared" si="29"/>
        <v>40.550458715596328</v>
      </c>
      <c r="U54" s="1">
        <f t="shared" si="30"/>
        <v>40.550458715596328</v>
      </c>
      <c r="V54" s="1">
        <v>120.2</v>
      </c>
      <c r="W54" s="1">
        <v>59</v>
      </c>
      <c r="X54" s="1">
        <v>70.400000000000006</v>
      </c>
      <c r="Y54" s="1">
        <v>81</v>
      </c>
      <c r="Z54" s="1">
        <v>13.6</v>
      </c>
      <c r="AA54" s="1">
        <v>102.8</v>
      </c>
      <c r="AB54" s="1" t="s">
        <v>95</v>
      </c>
      <c r="AC54" s="1">
        <f t="shared" si="34"/>
        <v>0</v>
      </c>
      <c r="AD54" s="7">
        <f>VLOOKUP(A54,[1]Sheet!$A:$AF,32,0)</f>
        <v>6</v>
      </c>
      <c r="AE54" s="9">
        <f t="shared" si="35"/>
        <v>0</v>
      </c>
      <c r="AF54" s="1">
        <f t="shared" si="36"/>
        <v>0</v>
      </c>
      <c r="AG54" s="1">
        <f>VLOOKUP(A54,[1]Sheet!$A:$AJ,35,0)</f>
        <v>14</v>
      </c>
      <c r="AH54" s="1">
        <f>VLOOKUP(A54,[1]Sheet!$A:$AJ,36,0)</f>
        <v>140</v>
      </c>
      <c r="AI54" s="9">
        <f t="shared" si="3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96</v>
      </c>
      <c r="B55" s="1" t="s">
        <v>38</v>
      </c>
      <c r="C55" s="1">
        <v>1932</v>
      </c>
      <c r="D55" s="1">
        <v>1331</v>
      </c>
      <c r="E55" s="1">
        <v>695</v>
      </c>
      <c r="F55" s="1">
        <v>1198</v>
      </c>
      <c r="G55" s="7">
        <f>VLOOKUP(A55,[1]Sheet!$A:$G,7,0)</f>
        <v>0.25</v>
      </c>
      <c r="H55" s="1">
        <f>VLOOKUP(A55,[1]Sheet!$A:$H,8,0)</f>
        <v>180</v>
      </c>
      <c r="I55" s="1" t="str">
        <f>VLOOKUP(A55,[1]Sheet!$A:$I,9,0)</f>
        <v>P004489</v>
      </c>
      <c r="J55" s="1"/>
      <c r="K55" s="1">
        <v>761</v>
      </c>
      <c r="L55" s="1">
        <f t="shared" si="27"/>
        <v>-66</v>
      </c>
      <c r="M55" s="1"/>
      <c r="N55" s="1"/>
      <c r="O55" s="1">
        <v>0</v>
      </c>
      <c r="P55" s="1">
        <f t="shared" si="28"/>
        <v>139</v>
      </c>
      <c r="Q55" s="5">
        <f t="shared" ref="Q55:Q56" si="38">$Q$1*P55-O55-F55</f>
        <v>789.7</v>
      </c>
      <c r="R55" s="5">
        <f t="shared" si="33"/>
        <v>840</v>
      </c>
      <c r="S55" s="25"/>
      <c r="T55" s="1">
        <f t="shared" si="29"/>
        <v>14.661870503597122</v>
      </c>
      <c r="U55" s="1">
        <f t="shared" si="30"/>
        <v>8.6187050359712227</v>
      </c>
      <c r="V55" s="1">
        <v>132.19999999999999</v>
      </c>
      <c r="W55" s="1">
        <v>156.6</v>
      </c>
      <c r="X55" s="1">
        <v>92.8</v>
      </c>
      <c r="Y55" s="1">
        <v>82.4</v>
      </c>
      <c r="Z55" s="1">
        <v>64</v>
      </c>
      <c r="AA55" s="1">
        <v>106.8</v>
      </c>
      <c r="AB55" s="1"/>
      <c r="AC55" s="1">
        <f t="shared" si="34"/>
        <v>197.42500000000001</v>
      </c>
      <c r="AD55" s="7">
        <f>VLOOKUP(A55,[1]Sheet!$A:$AF,32,0)</f>
        <v>12</v>
      </c>
      <c r="AE55" s="9">
        <f t="shared" si="35"/>
        <v>70</v>
      </c>
      <c r="AF55" s="1">
        <f t="shared" si="36"/>
        <v>210</v>
      </c>
      <c r="AG55" s="1">
        <f>VLOOKUP(A55,[1]Sheet!$A:$AJ,35,0)</f>
        <v>14</v>
      </c>
      <c r="AH55" s="1">
        <f>VLOOKUP(A55,[1]Sheet!$A:$AJ,36,0)</f>
        <v>70</v>
      </c>
      <c r="AI55" s="9">
        <f t="shared" si="37"/>
        <v>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97</v>
      </c>
      <c r="B56" s="1" t="s">
        <v>38</v>
      </c>
      <c r="C56" s="1">
        <v>810</v>
      </c>
      <c r="D56" s="1">
        <v>584</v>
      </c>
      <c r="E56" s="1">
        <v>593</v>
      </c>
      <c r="F56" s="1">
        <v>306</v>
      </c>
      <c r="G56" s="7">
        <f>VLOOKUP(A56,[1]Sheet!$A:$G,7,0)</f>
        <v>0.25</v>
      </c>
      <c r="H56" s="1">
        <f>VLOOKUP(A56,[1]Sheet!$A:$H,8,0)</f>
        <v>180</v>
      </c>
      <c r="I56" s="1" t="str">
        <f>VLOOKUP(A56,[1]Sheet!$A:$I,9,0)</f>
        <v>P005058</v>
      </c>
      <c r="J56" s="1"/>
      <c r="K56" s="1">
        <v>651</v>
      </c>
      <c r="L56" s="1">
        <f t="shared" si="27"/>
        <v>-58</v>
      </c>
      <c r="M56" s="1"/>
      <c r="N56" s="1"/>
      <c r="O56" s="1">
        <v>840</v>
      </c>
      <c r="P56" s="1">
        <f t="shared" si="28"/>
        <v>118.6</v>
      </c>
      <c r="Q56" s="5">
        <f t="shared" si="38"/>
        <v>549.98</v>
      </c>
      <c r="R56" s="5">
        <f t="shared" si="33"/>
        <v>504</v>
      </c>
      <c r="S56" s="25"/>
      <c r="T56" s="1">
        <f t="shared" si="29"/>
        <v>13.91231028667791</v>
      </c>
      <c r="U56" s="1">
        <f t="shared" si="30"/>
        <v>9.6627318718381119</v>
      </c>
      <c r="V56" s="1">
        <v>146.80000000000001</v>
      </c>
      <c r="W56" s="1">
        <v>100.8</v>
      </c>
      <c r="X56" s="1">
        <v>85.8</v>
      </c>
      <c r="Y56" s="1">
        <v>69.2</v>
      </c>
      <c r="Z56" s="1">
        <v>65.2</v>
      </c>
      <c r="AA56" s="1">
        <v>65</v>
      </c>
      <c r="AB56" s="1"/>
      <c r="AC56" s="1">
        <f t="shared" si="34"/>
        <v>137.495</v>
      </c>
      <c r="AD56" s="7">
        <f>VLOOKUP(A56,[1]Sheet!$A:$AF,32,0)</f>
        <v>12</v>
      </c>
      <c r="AE56" s="9">
        <f t="shared" si="35"/>
        <v>42</v>
      </c>
      <c r="AF56" s="1">
        <f t="shared" si="36"/>
        <v>126</v>
      </c>
      <c r="AG56" s="1">
        <f>VLOOKUP(A56,[1]Sheet!$A:$AJ,35,0)</f>
        <v>14</v>
      </c>
      <c r="AH56" s="1">
        <f>VLOOKUP(A56,[1]Sheet!$A:$AJ,36,0)</f>
        <v>70</v>
      </c>
      <c r="AI56" s="9">
        <f t="shared" si="37"/>
        <v>0.6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38</v>
      </c>
      <c r="C57" s="1">
        <v>725</v>
      </c>
      <c r="D57" s="1">
        <v>110</v>
      </c>
      <c r="E57" s="1">
        <v>262</v>
      </c>
      <c r="F57" s="1">
        <v>451</v>
      </c>
      <c r="G57" s="7">
        <f>VLOOKUP(A57,[1]Sheet!$A:$G,7,0)</f>
        <v>0.18</v>
      </c>
      <c r="H57" s="1">
        <f>VLOOKUP(A57,[1]Sheet!$A:$H,8,0)</f>
        <v>180</v>
      </c>
      <c r="I57" s="1" t="str">
        <f>VLOOKUP(A57,[1]Sheet!$A:$I,9,0)</f>
        <v>P005201</v>
      </c>
      <c r="J57" s="1"/>
      <c r="K57" s="1">
        <v>324</v>
      </c>
      <c r="L57" s="1">
        <f t="shared" si="27"/>
        <v>-62</v>
      </c>
      <c r="M57" s="1"/>
      <c r="N57" s="1"/>
      <c r="O57" s="1">
        <v>0</v>
      </c>
      <c r="P57" s="1">
        <f t="shared" si="28"/>
        <v>52.4</v>
      </c>
      <c r="Q57" s="5">
        <f t="shared" si="32"/>
        <v>282.60000000000002</v>
      </c>
      <c r="R57" s="5">
        <f t="shared" si="33"/>
        <v>252</v>
      </c>
      <c r="S57" s="25"/>
      <c r="T57" s="1">
        <f t="shared" si="29"/>
        <v>13.416030534351146</v>
      </c>
      <c r="U57" s="1">
        <f t="shared" si="30"/>
        <v>8.6068702290076331</v>
      </c>
      <c r="V57" s="1">
        <v>19.2</v>
      </c>
      <c r="W57" s="1">
        <v>20</v>
      </c>
      <c r="X57" s="1">
        <v>31.4</v>
      </c>
      <c r="Y57" s="1">
        <v>23.4</v>
      </c>
      <c r="Z57" s="1">
        <v>12.2</v>
      </c>
      <c r="AA57" s="1">
        <v>69</v>
      </c>
      <c r="AB57" s="1"/>
      <c r="AC57" s="1">
        <f t="shared" si="34"/>
        <v>50.868000000000002</v>
      </c>
      <c r="AD57" s="7">
        <f>VLOOKUP(A57,[1]Sheet!$A:$AF,32,0)</f>
        <v>6</v>
      </c>
      <c r="AE57" s="9">
        <f t="shared" si="35"/>
        <v>42</v>
      </c>
      <c r="AF57" s="1">
        <f t="shared" si="36"/>
        <v>45.36</v>
      </c>
      <c r="AG57" s="1">
        <f>VLOOKUP(A57,[1]Sheet!$A:$AJ,35,0)</f>
        <v>14</v>
      </c>
      <c r="AH57" s="1">
        <f>VLOOKUP(A57,[1]Sheet!$A:$AJ,36,0)</f>
        <v>140</v>
      </c>
      <c r="AI57" s="9">
        <f t="shared" si="37"/>
        <v>0.3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38</v>
      </c>
      <c r="C58" s="1">
        <v>588</v>
      </c>
      <c r="D58" s="1">
        <v>246</v>
      </c>
      <c r="E58" s="1">
        <v>233</v>
      </c>
      <c r="F58" s="1">
        <v>345</v>
      </c>
      <c r="G58" s="7">
        <f>VLOOKUP(A58,[1]Sheet!$A:$G,7,0)</f>
        <v>0.18</v>
      </c>
      <c r="H58" s="1">
        <f>VLOOKUP(A58,[1]Sheet!$A:$H,8,0)</f>
        <v>180</v>
      </c>
      <c r="I58" s="1" t="str">
        <f>VLOOKUP(A58,[1]Sheet!$A:$I,9,0)</f>
        <v>P005199</v>
      </c>
      <c r="J58" s="1"/>
      <c r="K58" s="1">
        <v>283</v>
      </c>
      <c r="L58" s="1">
        <f t="shared" si="27"/>
        <v>-50</v>
      </c>
      <c r="M58" s="1"/>
      <c r="N58" s="1"/>
      <c r="O58" s="1">
        <v>336</v>
      </c>
      <c r="P58" s="1">
        <f t="shared" si="28"/>
        <v>46.6</v>
      </c>
      <c r="Q58" s="5"/>
      <c r="R58" s="5">
        <f t="shared" si="33"/>
        <v>0</v>
      </c>
      <c r="S58" s="25"/>
      <c r="T58" s="1">
        <f t="shared" si="29"/>
        <v>14.613733905579398</v>
      </c>
      <c r="U58" s="1">
        <f t="shared" si="30"/>
        <v>14.613733905579398</v>
      </c>
      <c r="V58" s="1">
        <v>66.2</v>
      </c>
      <c r="W58" s="1">
        <v>29.2</v>
      </c>
      <c r="X58" s="1">
        <v>53</v>
      </c>
      <c r="Y58" s="1">
        <v>22.6</v>
      </c>
      <c r="Z58" s="1">
        <v>31</v>
      </c>
      <c r="AA58" s="1">
        <v>81.8</v>
      </c>
      <c r="AB58" s="1"/>
      <c r="AC58" s="1">
        <f t="shared" si="34"/>
        <v>0</v>
      </c>
      <c r="AD58" s="7">
        <f>VLOOKUP(A58,[1]Sheet!$A:$AF,32,0)</f>
        <v>6</v>
      </c>
      <c r="AE58" s="9">
        <f t="shared" si="35"/>
        <v>0</v>
      </c>
      <c r="AF58" s="1">
        <f t="shared" si="36"/>
        <v>0</v>
      </c>
      <c r="AG58" s="1">
        <f>VLOOKUP(A58,[1]Sheet!$A:$AJ,35,0)</f>
        <v>14</v>
      </c>
      <c r="AH58" s="1">
        <f>VLOOKUP(A58,[1]Sheet!$A:$AJ,36,0)</f>
        <v>140</v>
      </c>
      <c r="AI58" s="9">
        <f t="shared" si="37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100</v>
      </c>
      <c r="B59" s="1" t="s">
        <v>38</v>
      </c>
      <c r="C59" s="1">
        <v>62</v>
      </c>
      <c r="D59" s="1">
        <v>1</v>
      </c>
      <c r="E59" s="1">
        <v>10</v>
      </c>
      <c r="F59" s="1">
        <v>49</v>
      </c>
      <c r="G59" s="7">
        <f>VLOOKUP(A59,[1]Sheet!$A:$G,7,0)</f>
        <v>0.18</v>
      </c>
      <c r="H59" s="1">
        <f>VLOOKUP(A59,[1]Sheet!$A:$H,8,0)</f>
        <v>180</v>
      </c>
      <c r="I59" s="1" t="str">
        <f>VLOOKUP(A59,[1]Sheet!$A:$I,9,0)</f>
        <v>P005200</v>
      </c>
      <c r="J59" s="1"/>
      <c r="K59" s="1">
        <v>10</v>
      </c>
      <c r="L59" s="1">
        <f t="shared" si="27"/>
        <v>0</v>
      </c>
      <c r="M59" s="1"/>
      <c r="N59" s="1"/>
      <c r="O59" s="1">
        <v>0</v>
      </c>
      <c r="P59" s="1">
        <f t="shared" si="28"/>
        <v>2</v>
      </c>
      <c r="Q59" s="5"/>
      <c r="R59" s="5">
        <f t="shared" si="33"/>
        <v>0</v>
      </c>
      <c r="S59" s="25"/>
      <c r="T59" s="1">
        <f t="shared" si="29"/>
        <v>24.5</v>
      </c>
      <c r="U59" s="1">
        <f t="shared" si="30"/>
        <v>24.5</v>
      </c>
      <c r="V59" s="1">
        <v>2.2000000000000002</v>
      </c>
      <c r="W59" s="1">
        <v>2.8</v>
      </c>
      <c r="X59" s="1">
        <v>2</v>
      </c>
      <c r="Y59" s="1">
        <v>2</v>
      </c>
      <c r="Z59" s="1">
        <v>2</v>
      </c>
      <c r="AA59" s="1">
        <v>6.8</v>
      </c>
      <c r="AB59" s="19" t="s">
        <v>90</v>
      </c>
      <c r="AC59" s="1">
        <f t="shared" si="34"/>
        <v>0</v>
      </c>
      <c r="AD59" s="7">
        <f>VLOOKUP(A59,[1]Sheet!$A:$AF,32,0)</f>
        <v>6</v>
      </c>
      <c r="AE59" s="9">
        <f t="shared" si="35"/>
        <v>0</v>
      </c>
      <c r="AF59" s="1">
        <f t="shared" si="36"/>
        <v>0</v>
      </c>
      <c r="AG59" s="1">
        <f>VLOOKUP(A59,[1]Sheet!$A:$AJ,35,0)</f>
        <v>14</v>
      </c>
      <c r="AH59" s="1">
        <f>VLOOKUP(A59,[1]Sheet!$A:$AJ,36,0)</f>
        <v>140</v>
      </c>
      <c r="AI59" s="9">
        <f t="shared" si="37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101</v>
      </c>
      <c r="B60" s="1" t="s">
        <v>38</v>
      </c>
      <c r="C60" s="1">
        <v>353</v>
      </c>
      <c r="D60" s="1">
        <v>2913</v>
      </c>
      <c r="E60" s="1">
        <v>808</v>
      </c>
      <c r="F60" s="1">
        <v>620</v>
      </c>
      <c r="G60" s="7">
        <f>VLOOKUP(A60,[1]Sheet!$A:$G,7,0)</f>
        <v>0.3</v>
      </c>
      <c r="H60" s="1">
        <f>VLOOKUP(A60,[1]Sheet!$A:$H,8,0)</f>
        <v>180</v>
      </c>
      <c r="I60" s="1" t="str">
        <f>VLOOKUP(A60,[1]Sheet!$A:$I,9,0)</f>
        <v>P004588</v>
      </c>
      <c r="J60" s="1"/>
      <c r="K60" s="1">
        <v>901</v>
      </c>
      <c r="L60" s="1">
        <f t="shared" si="27"/>
        <v>-93</v>
      </c>
      <c r="M60" s="1"/>
      <c r="N60" s="1"/>
      <c r="O60" s="1">
        <v>840</v>
      </c>
      <c r="P60" s="1">
        <f t="shared" si="28"/>
        <v>161.6</v>
      </c>
      <c r="Q60" s="5">
        <f t="shared" ref="Q60:Q61" si="39">$Q$1*P60-O60-F60</f>
        <v>850.88000000000011</v>
      </c>
      <c r="R60" s="5">
        <f t="shared" si="33"/>
        <v>840</v>
      </c>
      <c r="S60" s="25"/>
      <c r="T60" s="1">
        <f t="shared" si="29"/>
        <v>14.232673267326733</v>
      </c>
      <c r="U60" s="1">
        <f t="shared" si="30"/>
        <v>9.0346534653465351</v>
      </c>
      <c r="V60" s="1">
        <v>159.19999999999999</v>
      </c>
      <c r="W60" s="1">
        <v>146.4</v>
      </c>
      <c r="X60" s="1">
        <v>138.4</v>
      </c>
      <c r="Y60" s="1">
        <v>166.2</v>
      </c>
      <c r="Z60" s="1">
        <v>161.19999999999999</v>
      </c>
      <c r="AA60" s="1">
        <v>122.6</v>
      </c>
      <c r="AB60" s="1"/>
      <c r="AC60" s="1">
        <f t="shared" si="34"/>
        <v>255.26400000000001</v>
      </c>
      <c r="AD60" s="7">
        <f>VLOOKUP(A60,[1]Sheet!$A:$AF,32,0)</f>
        <v>12</v>
      </c>
      <c r="AE60" s="9">
        <f t="shared" si="35"/>
        <v>70</v>
      </c>
      <c r="AF60" s="1">
        <f t="shared" si="36"/>
        <v>252</v>
      </c>
      <c r="AG60" s="1">
        <f>VLOOKUP(A60,[1]Sheet!$A:$AJ,35,0)</f>
        <v>14</v>
      </c>
      <c r="AH60" s="1">
        <f>VLOOKUP(A60,[1]Sheet!$A:$AJ,36,0)</f>
        <v>70</v>
      </c>
      <c r="AI60" s="9">
        <f t="shared" si="37"/>
        <v>1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102</v>
      </c>
      <c r="B61" s="1" t="s">
        <v>38</v>
      </c>
      <c r="C61" s="1">
        <v>980</v>
      </c>
      <c r="D61" s="1">
        <v>1415</v>
      </c>
      <c r="E61" s="1">
        <v>573</v>
      </c>
      <c r="F61" s="1">
        <v>447</v>
      </c>
      <c r="G61" s="7">
        <f>VLOOKUP(A61,[1]Sheet!$A:$G,7,0)</f>
        <v>0.3</v>
      </c>
      <c r="H61" s="1">
        <f>VLOOKUP(A61,[1]Sheet!$A:$H,8,0)</f>
        <v>180</v>
      </c>
      <c r="I61" s="1" t="str">
        <f>VLOOKUP(A61,[1]Sheet!$A:$I,9,0)</f>
        <v>P004589</v>
      </c>
      <c r="J61" s="1"/>
      <c r="K61" s="1">
        <v>667</v>
      </c>
      <c r="L61" s="1">
        <f t="shared" si="27"/>
        <v>-94</v>
      </c>
      <c r="M61" s="1"/>
      <c r="N61" s="1"/>
      <c r="O61" s="1">
        <v>504</v>
      </c>
      <c r="P61" s="1">
        <f t="shared" si="28"/>
        <v>114.6</v>
      </c>
      <c r="Q61" s="5">
        <f t="shared" si="39"/>
        <v>687.78</v>
      </c>
      <c r="R61" s="5">
        <f t="shared" si="33"/>
        <v>672</v>
      </c>
      <c r="S61" s="25"/>
      <c r="T61" s="1">
        <f t="shared" si="29"/>
        <v>14.162303664921467</v>
      </c>
      <c r="U61" s="1">
        <f t="shared" si="30"/>
        <v>8.2984293193717278</v>
      </c>
      <c r="V61" s="1">
        <v>112.4</v>
      </c>
      <c r="W61" s="1">
        <v>100.4</v>
      </c>
      <c r="X61" s="1">
        <v>70.8</v>
      </c>
      <c r="Y61" s="1">
        <v>92.4</v>
      </c>
      <c r="Z61" s="1">
        <v>77.599999999999994</v>
      </c>
      <c r="AA61" s="1">
        <v>85.2</v>
      </c>
      <c r="AB61" s="1"/>
      <c r="AC61" s="1">
        <f t="shared" si="34"/>
        <v>206.33399999999997</v>
      </c>
      <c r="AD61" s="7">
        <f>VLOOKUP(A61,[1]Sheet!$A:$AF,32,0)</f>
        <v>12</v>
      </c>
      <c r="AE61" s="9">
        <f t="shared" si="35"/>
        <v>56</v>
      </c>
      <c r="AF61" s="1">
        <f t="shared" si="36"/>
        <v>201.6</v>
      </c>
      <c r="AG61" s="1">
        <f>VLOOKUP(A61,[1]Sheet!$A:$AJ,35,0)</f>
        <v>14</v>
      </c>
      <c r="AH61" s="1">
        <f>VLOOKUP(A61,[1]Sheet!$A:$AJ,36,0)</f>
        <v>70</v>
      </c>
      <c r="AI61" s="9">
        <f t="shared" si="37"/>
        <v>0.8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103</v>
      </c>
      <c r="B62" s="1" t="s">
        <v>38</v>
      </c>
      <c r="C62" s="1">
        <v>191</v>
      </c>
      <c r="D62" s="1">
        <v>773</v>
      </c>
      <c r="E62" s="1">
        <v>475</v>
      </c>
      <c r="F62" s="1">
        <v>325</v>
      </c>
      <c r="G62" s="7">
        <f>VLOOKUP(A62,[1]Sheet!$A:$G,7,0)</f>
        <v>0.3</v>
      </c>
      <c r="H62" s="1">
        <f>VLOOKUP(A62,[1]Sheet!$A:$H,8,0)</f>
        <v>180</v>
      </c>
      <c r="I62" s="1" t="str">
        <f>VLOOKUP(A62,[1]Sheet!$A:$I,9,0)</f>
        <v>P004113</v>
      </c>
      <c r="J62" s="1"/>
      <c r="K62" s="1">
        <v>541</v>
      </c>
      <c r="L62" s="1">
        <f t="shared" si="27"/>
        <v>-66</v>
      </c>
      <c r="M62" s="1"/>
      <c r="N62" s="1"/>
      <c r="O62" s="1">
        <v>784</v>
      </c>
      <c r="P62" s="1">
        <f t="shared" si="28"/>
        <v>95</v>
      </c>
      <c r="Q62" s="5">
        <f t="shared" si="32"/>
        <v>221</v>
      </c>
      <c r="R62" s="5">
        <f t="shared" si="33"/>
        <v>196</v>
      </c>
      <c r="S62" s="25"/>
      <c r="T62" s="1">
        <f t="shared" si="29"/>
        <v>13.736842105263158</v>
      </c>
      <c r="U62" s="1">
        <f t="shared" si="30"/>
        <v>11.673684210526316</v>
      </c>
      <c r="V62" s="1">
        <v>105.4</v>
      </c>
      <c r="W62" s="1">
        <v>91.8</v>
      </c>
      <c r="X62" s="1">
        <v>36.799999999999997</v>
      </c>
      <c r="Y62" s="1">
        <v>84.4</v>
      </c>
      <c r="Z62" s="1">
        <v>0</v>
      </c>
      <c r="AA62" s="1">
        <v>53.6</v>
      </c>
      <c r="AB62" s="1"/>
      <c r="AC62" s="1">
        <f t="shared" si="34"/>
        <v>66.3</v>
      </c>
      <c r="AD62" s="7">
        <f>VLOOKUP(A62,[1]Sheet!$A:$AF,32,0)</f>
        <v>14</v>
      </c>
      <c r="AE62" s="9">
        <f t="shared" si="35"/>
        <v>14</v>
      </c>
      <c r="AF62" s="1">
        <f t="shared" si="36"/>
        <v>58.8</v>
      </c>
      <c r="AG62" s="1">
        <f>VLOOKUP(A62,[1]Sheet!$A:$AJ,35,0)</f>
        <v>14</v>
      </c>
      <c r="AH62" s="1">
        <f>VLOOKUP(A62,[1]Sheet!$A:$AJ,36,0)</f>
        <v>70</v>
      </c>
      <c r="AI62" s="9">
        <f t="shared" si="37"/>
        <v>0.2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104</v>
      </c>
      <c r="B63" s="1" t="s">
        <v>38</v>
      </c>
      <c r="C63" s="1">
        <v>-29</v>
      </c>
      <c r="D63" s="1">
        <v>5785</v>
      </c>
      <c r="E63" s="1">
        <v>1079</v>
      </c>
      <c r="F63" s="1">
        <v>1447</v>
      </c>
      <c r="G63" s="7">
        <f>VLOOKUP(A63,[1]Sheet!$A:$G,7,0)</f>
        <v>0.25</v>
      </c>
      <c r="H63" s="1">
        <f>VLOOKUP(A63,[1]Sheet!$A:$H,8,0)</f>
        <v>180</v>
      </c>
      <c r="I63" s="18" t="s">
        <v>112</v>
      </c>
      <c r="J63" s="1"/>
      <c r="K63" s="1">
        <v>1309</v>
      </c>
      <c r="L63" s="1">
        <f t="shared" si="27"/>
        <v>-230</v>
      </c>
      <c r="M63" s="1"/>
      <c r="N63" s="1"/>
      <c r="O63" s="1">
        <v>2520</v>
      </c>
      <c r="P63" s="1">
        <f t="shared" si="28"/>
        <v>215.8</v>
      </c>
      <c r="Q63" s="5"/>
      <c r="R63" s="5">
        <f t="shared" si="33"/>
        <v>0</v>
      </c>
      <c r="S63" s="25"/>
      <c r="T63" s="1">
        <f t="shared" si="29"/>
        <v>18.382761816496757</v>
      </c>
      <c r="U63" s="1">
        <f t="shared" si="30"/>
        <v>18.382761816496757</v>
      </c>
      <c r="V63" s="1">
        <v>216.4</v>
      </c>
      <c r="W63" s="1">
        <v>262.8</v>
      </c>
      <c r="X63" s="1">
        <v>204.4</v>
      </c>
      <c r="Y63" s="1">
        <v>184</v>
      </c>
      <c r="Z63" s="1">
        <v>194.2</v>
      </c>
      <c r="AA63" s="1">
        <v>226.4</v>
      </c>
      <c r="AB63" s="1" t="s">
        <v>69</v>
      </c>
      <c r="AC63" s="1">
        <f t="shared" si="34"/>
        <v>0</v>
      </c>
      <c r="AD63" s="7">
        <f>VLOOKUP(A63,[1]Sheet!$A:$AF,32,0)</f>
        <v>12</v>
      </c>
      <c r="AE63" s="9">
        <f t="shared" si="35"/>
        <v>0</v>
      </c>
      <c r="AF63" s="1">
        <f t="shared" si="36"/>
        <v>0</v>
      </c>
      <c r="AG63" s="1">
        <f>VLOOKUP(A63,[1]Sheet!$A:$AJ,35,0)</f>
        <v>14</v>
      </c>
      <c r="AH63" s="1">
        <f>VLOOKUP(A63,[1]Sheet!$A:$AJ,36,0)</f>
        <v>70</v>
      </c>
      <c r="AI63" s="9">
        <f t="shared" si="37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47</v>
      </c>
      <c r="B64" s="1" t="s">
        <v>38</v>
      </c>
      <c r="C64" s="1">
        <v>-183</v>
      </c>
      <c r="D64" s="1">
        <v>6839</v>
      </c>
      <c r="E64" s="17">
        <f>1242+E9</f>
        <v>1258</v>
      </c>
      <c r="F64" s="17">
        <f>2290+F9</f>
        <v>2280</v>
      </c>
      <c r="G64" s="7">
        <f>VLOOKUP(A64,[1]Sheet!$A:$G,7,0)</f>
        <v>0.25</v>
      </c>
      <c r="H64" s="1">
        <f>VLOOKUP(A64,[1]Sheet!$A:$H,8,0)</f>
        <v>180</v>
      </c>
      <c r="I64" s="1" t="str">
        <f>VLOOKUP(A64,[1]Sheet!$A:$I,9,0)</f>
        <v>P004484</v>
      </c>
      <c r="J64" s="1"/>
      <c r="K64" s="1">
        <v>1438</v>
      </c>
      <c r="L64" s="1">
        <f t="shared" si="27"/>
        <v>-180</v>
      </c>
      <c r="M64" s="1"/>
      <c r="N64" s="1"/>
      <c r="O64" s="1">
        <v>0</v>
      </c>
      <c r="P64" s="1">
        <f t="shared" si="28"/>
        <v>251.6</v>
      </c>
      <c r="Q64" s="5">
        <f>$Q$1*P64-O64-F64</f>
        <v>1317.88</v>
      </c>
      <c r="R64" s="5">
        <f t="shared" si="33"/>
        <v>1344</v>
      </c>
      <c r="S64" s="25"/>
      <c r="T64" s="1">
        <f t="shared" si="29"/>
        <v>14.403815580286169</v>
      </c>
      <c r="U64" s="1">
        <f t="shared" si="30"/>
        <v>9.0620031796502385</v>
      </c>
      <c r="V64" s="1">
        <v>171</v>
      </c>
      <c r="W64" s="1">
        <v>356.2</v>
      </c>
      <c r="X64" s="1">
        <v>210.2</v>
      </c>
      <c r="Y64" s="1">
        <v>214.6</v>
      </c>
      <c r="Z64" s="1">
        <v>183</v>
      </c>
      <c r="AA64" s="1">
        <v>166.4</v>
      </c>
      <c r="AB64" s="1"/>
      <c r="AC64" s="1">
        <f t="shared" si="34"/>
        <v>329.47</v>
      </c>
      <c r="AD64" s="7">
        <f>VLOOKUP(A64,[1]Sheet!$A:$AF,32,0)</f>
        <v>12</v>
      </c>
      <c r="AE64" s="9">
        <f t="shared" si="35"/>
        <v>112</v>
      </c>
      <c r="AF64" s="1">
        <f t="shared" si="36"/>
        <v>336</v>
      </c>
      <c r="AG64" s="1">
        <f>VLOOKUP(A64,[1]Sheet!$A:$AJ,35,0)</f>
        <v>14</v>
      </c>
      <c r="AH64" s="1">
        <f>VLOOKUP(A64,[1]Sheet!$A:$AJ,36,0)</f>
        <v>70</v>
      </c>
      <c r="AI64" s="9">
        <f t="shared" si="37"/>
        <v>1.6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105</v>
      </c>
      <c r="B65" s="1" t="s">
        <v>38</v>
      </c>
      <c r="C65" s="1">
        <v>256</v>
      </c>
      <c r="D65" s="1">
        <v>649</v>
      </c>
      <c r="E65" s="1">
        <v>429</v>
      </c>
      <c r="F65" s="1">
        <v>16</v>
      </c>
      <c r="G65" s="7">
        <f>VLOOKUP(A65,[1]Sheet!$A:$G,7,0)</f>
        <v>0.2</v>
      </c>
      <c r="H65" s="1">
        <f>VLOOKUP(A65,[1]Sheet!$A:$H,8,0)</f>
        <v>365</v>
      </c>
      <c r="I65" s="1" t="str">
        <f>VLOOKUP(A65,[1]Sheet!$A:$I,9,0)</f>
        <v>P004818</v>
      </c>
      <c r="J65" s="1"/>
      <c r="K65" s="1">
        <v>641</v>
      </c>
      <c r="L65" s="1">
        <f t="shared" si="27"/>
        <v>-212</v>
      </c>
      <c r="M65" s="1"/>
      <c r="N65" s="1"/>
      <c r="O65" s="1">
        <v>588</v>
      </c>
      <c r="P65" s="1">
        <f t="shared" si="28"/>
        <v>85.8</v>
      </c>
      <c r="Q65" s="5">
        <f t="shared" si="32"/>
        <v>597.20000000000005</v>
      </c>
      <c r="R65" s="5">
        <f t="shared" si="33"/>
        <v>588</v>
      </c>
      <c r="S65" s="25"/>
      <c r="T65" s="1">
        <f t="shared" si="29"/>
        <v>13.892773892773894</v>
      </c>
      <c r="U65" s="1">
        <f t="shared" si="30"/>
        <v>7.0396270396270397</v>
      </c>
      <c r="V65" s="1">
        <v>79</v>
      </c>
      <c r="W65" s="1">
        <v>60.2</v>
      </c>
      <c r="X65" s="1">
        <v>69</v>
      </c>
      <c r="Y65" s="1">
        <v>48</v>
      </c>
      <c r="Z65" s="1">
        <v>50.2</v>
      </c>
      <c r="AA65" s="1">
        <v>44.2</v>
      </c>
      <c r="AB65" s="1"/>
      <c r="AC65" s="1">
        <f t="shared" si="34"/>
        <v>119.44000000000001</v>
      </c>
      <c r="AD65" s="7">
        <f>VLOOKUP(A65,[1]Sheet!$A:$AF,32,0)</f>
        <v>6</v>
      </c>
      <c r="AE65" s="9">
        <f t="shared" si="35"/>
        <v>98</v>
      </c>
      <c r="AF65" s="1">
        <f t="shared" si="36"/>
        <v>117.60000000000001</v>
      </c>
      <c r="AG65" s="1">
        <f>VLOOKUP(A65,[1]Sheet!$A:$AJ,35,0)</f>
        <v>14</v>
      </c>
      <c r="AH65" s="1">
        <f>VLOOKUP(A65,[1]Sheet!$A:$AJ,36,0)</f>
        <v>140</v>
      </c>
      <c r="AI65" s="9">
        <f t="shared" si="37"/>
        <v>0.7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106</v>
      </c>
      <c r="B66" s="1" t="s">
        <v>38</v>
      </c>
      <c r="C66" s="1">
        <v>337</v>
      </c>
      <c r="D66" s="1">
        <v>3368</v>
      </c>
      <c r="E66" s="1">
        <v>739</v>
      </c>
      <c r="F66" s="1">
        <v>185</v>
      </c>
      <c r="G66" s="7">
        <f>VLOOKUP(A66,[1]Sheet!$A:$G,7,0)</f>
        <v>0.23</v>
      </c>
      <c r="H66" s="1">
        <f>VLOOKUP(A66,[1]Sheet!$A:$H,8,0)</f>
        <v>180</v>
      </c>
      <c r="I66" s="1" t="str">
        <f>VLOOKUP(A66,[1]Sheet!$A:$I,9,0)</f>
        <v>P005180</v>
      </c>
      <c r="J66" s="1"/>
      <c r="K66" s="1">
        <v>829</v>
      </c>
      <c r="L66" s="1">
        <f t="shared" si="27"/>
        <v>-90</v>
      </c>
      <c r="M66" s="1"/>
      <c r="N66" s="1"/>
      <c r="O66" s="1">
        <v>1680</v>
      </c>
      <c r="P66" s="1">
        <f t="shared" si="28"/>
        <v>147.80000000000001</v>
      </c>
      <c r="Q66" s="5">
        <f>$Q$1*P66-O66-F66</f>
        <v>248.54000000000042</v>
      </c>
      <c r="R66" s="5">
        <f t="shared" si="33"/>
        <v>252</v>
      </c>
      <c r="S66" s="25"/>
      <c r="T66" s="1">
        <f t="shared" si="29"/>
        <v>14.323410013531799</v>
      </c>
      <c r="U66" s="1">
        <f t="shared" si="30"/>
        <v>12.618403247631933</v>
      </c>
      <c r="V66" s="1">
        <v>153.19999999999999</v>
      </c>
      <c r="W66" s="1">
        <v>121.4</v>
      </c>
      <c r="X66" s="1">
        <v>114</v>
      </c>
      <c r="Y66" s="1">
        <v>105.8</v>
      </c>
      <c r="Z66" s="1">
        <v>94</v>
      </c>
      <c r="AA66" s="1">
        <v>142.19999999999999</v>
      </c>
      <c r="AB66" s="1"/>
      <c r="AC66" s="1">
        <f t="shared" si="34"/>
        <v>57.1642000000001</v>
      </c>
      <c r="AD66" s="7">
        <f>VLOOKUP(A66,[1]Sheet!$A:$AF,32,0)</f>
        <v>6</v>
      </c>
      <c r="AE66" s="9">
        <f t="shared" si="35"/>
        <v>42</v>
      </c>
      <c r="AF66" s="1">
        <f t="shared" si="36"/>
        <v>57.96</v>
      </c>
      <c r="AG66" s="1">
        <f>VLOOKUP(A66,[1]Sheet!$A:$AJ,35,0)</f>
        <v>14</v>
      </c>
      <c r="AH66" s="1">
        <f>VLOOKUP(A66,[1]Sheet!$A:$AJ,36,0)</f>
        <v>140</v>
      </c>
      <c r="AI66" s="9">
        <f t="shared" si="37"/>
        <v>0.3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107</v>
      </c>
      <c r="B67" s="1" t="s">
        <v>44</v>
      </c>
      <c r="C67" s="1">
        <v>65.599999999999994</v>
      </c>
      <c r="D67" s="1">
        <v>10</v>
      </c>
      <c r="E67" s="1">
        <v>37.9</v>
      </c>
      <c r="F67" s="1">
        <v>29.6</v>
      </c>
      <c r="G67" s="7">
        <f>VLOOKUP(A67,[1]Sheet!$A:$G,7,0)</f>
        <v>1</v>
      </c>
      <c r="H67" s="1">
        <f>VLOOKUP(A67,[1]Sheet!$A:$H,8,0)</f>
        <v>180</v>
      </c>
      <c r="I67" s="1" t="str">
        <f>VLOOKUP(A67,[1]Sheet!$A:$I,9,0)</f>
        <v>P003478</v>
      </c>
      <c r="J67" s="1"/>
      <c r="K67" s="1">
        <v>39.799999999999997</v>
      </c>
      <c r="L67" s="1">
        <f t="shared" si="27"/>
        <v>-1.8999999999999986</v>
      </c>
      <c r="M67" s="1"/>
      <c r="N67" s="1"/>
      <c r="O67" s="1">
        <v>37.799999999999997</v>
      </c>
      <c r="P67" s="1">
        <f t="shared" si="28"/>
        <v>7.58</v>
      </c>
      <c r="Q67" s="5">
        <f t="shared" si="32"/>
        <v>38.720000000000006</v>
      </c>
      <c r="R67" s="5">
        <f t="shared" si="33"/>
        <v>37.800000000000004</v>
      </c>
      <c r="S67" s="25"/>
      <c r="T67" s="1">
        <f t="shared" si="29"/>
        <v>13.878627968337733</v>
      </c>
      <c r="U67" s="1">
        <f t="shared" si="30"/>
        <v>8.8918205804749348</v>
      </c>
      <c r="V67" s="1">
        <v>6.94</v>
      </c>
      <c r="W67" s="1">
        <v>7.56</v>
      </c>
      <c r="X67" s="1">
        <v>2.62</v>
      </c>
      <c r="Y67" s="1">
        <v>8.64</v>
      </c>
      <c r="Z67" s="1">
        <v>6.48</v>
      </c>
      <c r="AA67" s="1">
        <v>5.94</v>
      </c>
      <c r="AB67" s="1"/>
      <c r="AC67" s="1">
        <f t="shared" si="34"/>
        <v>38.720000000000006</v>
      </c>
      <c r="AD67" s="7">
        <f>VLOOKUP(A67,[1]Sheet!$A:$AF,32,0)</f>
        <v>2.7</v>
      </c>
      <c r="AE67" s="9">
        <f t="shared" si="35"/>
        <v>14</v>
      </c>
      <c r="AF67" s="1">
        <f t="shared" si="36"/>
        <v>37.800000000000004</v>
      </c>
      <c r="AG67" s="1">
        <f>VLOOKUP(A67,[1]Sheet!$A:$AJ,35,0)</f>
        <v>14</v>
      </c>
      <c r="AH67" s="1">
        <f>VLOOKUP(A67,[1]Sheet!$A:$AJ,36,0)</f>
        <v>126</v>
      </c>
      <c r="AI67" s="9">
        <f t="shared" si="37"/>
        <v>0.1111111111111111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108</v>
      </c>
      <c r="B68" s="1" t="s">
        <v>44</v>
      </c>
      <c r="C68" s="1">
        <v>222.3</v>
      </c>
      <c r="D68" s="1">
        <v>417.7</v>
      </c>
      <c r="E68" s="17">
        <f>225+E69</f>
        <v>360</v>
      </c>
      <c r="F68" s="17">
        <f>297.3+F69</f>
        <v>375</v>
      </c>
      <c r="G68" s="7">
        <f>VLOOKUP(A68,[1]Sheet!$A:$G,7,0)</f>
        <v>1</v>
      </c>
      <c r="H68" s="1">
        <f>VLOOKUP(A68,[1]Sheet!$A:$H,8,0)</f>
        <v>180</v>
      </c>
      <c r="I68" s="1" t="str">
        <f>VLOOKUP(A68,[1]Sheet!$A:$I,9,0)</f>
        <v>P003476</v>
      </c>
      <c r="J68" s="1"/>
      <c r="K68" s="1">
        <v>235</v>
      </c>
      <c r="L68" s="1">
        <f t="shared" si="27"/>
        <v>125</v>
      </c>
      <c r="M68" s="1"/>
      <c r="N68" s="1"/>
      <c r="O68" s="1">
        <v>240</v>
      </c>
      <c r="P68" s="1">
        <f t="shared" si="28"/>
        <v>72</v>
      </c>
      <c r="Q68" s="5">
        <f t="shared" si="32"/>
        <v>393</v>
      </c>
      <c r="R68" s="5">
        <f t="shared" si="33"/>
        <v>420</v>
      </c>
      <c r="S68" s="25"/>
      <c r="T68" s="1">
        <f t="shared" si="29"/>
        <v>14.375</v>
      </c>
      <c r="U68" s="1">
        <f t="shared" si="30"/>
        <v>8.5416666666666661</v>
      </c>
      <c r="V68" s="1">
        <v>78.539999999999992</v>
      </c>
      <c r="W68" s="1">
        <v>52.54</v>
      </c>
      <c r="X68" s="1">
        <v>82</v>
      </c>
      <c r="Y68" s="1">
        <v>17</v>
      </c>
      <c r="Z68" s="1">
        <v>59</v>
      </c>
      <c r="AA68" s="1">
        <v>55</v>
      </c>
      <c r="AB68" s="1"/>
      <c r="AC68" s="1">
        <f t="shared" si="34"/>
        <v>393</v>
      </c>
      <c r="AD68" s="7">
        <f>VLOOKUP(A68,[1]Sheet!$A:$AF,32,0)</f>
        <v>5</v>
      </c>
      <c r="AE68" s="9">
        <f t="shared" si="35"/>
        <v>84</v>
      </c>
      <c r="AF68" s="1">
        <f t="shared" si="36"/>
        <v>420</v>
      </c>
      <c r="AG68" s="1">
        <f>VLOOKUP(A68,[1]Sheet!$A:$AJ,35,0)</f>
        <v>12</v>
      </c>
      <c r="AH68" s="1">
        <f>VLOOKUP(A68,[1]Sheet!$A:$AJ,36,0)</f>
        <v>84</v>
      </c>
      <c r="AI68" s="9">
        <f t="shared" si="37"/>
        <v>1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109</v>
      </c>
      <c r="B69" s="13" t="s">
        <v>44</v>
      </c>
      <c r="C69" s="13">
        <v>227.3</v>
      </c>
      <c r="D69" s="13">
        <v>175</v>
      </c>
      <c r="E69" s="17">
        <v>135</v>
      </c>
      <c r="F69" s="17">
        <v>77.7</v>
      </c>
      <c r="G69" s="7">
        <f>VLOOKUP(A69,[1]Sheet!$A:$G,7,0)</f>
        <v>0</v>
      </c>
      <c r="H69" s="1"/>
      <c r="I69" s="13" t="s">
        <v>57</v>
      </c>
      <c r="J69" s="13" t="s">
        <v>108</v>
      </c>
      <c r="K69" s="13">
        <v>145</v>
      </c>
      <c r="L69" s="13">
        <f t="shared" si="27"/>
        <v>-10</v>
      </c>
      <c r="M69" s="13"/>
      <c r="N69" s="13"/>
      <c r="O69" s="13"/>
      <c r="P69" s="13">
        <f t="shared" si="28"/>
        <v>27</v>
      </c>
      <c r="Q69" s="15"/>
      <c r="R69" s="15"/>
      <c r="S69" s="24"/>
      <c r="T69" s="13">
        <f t="shared" si="29"/>
        <v>2.8777777777777778</v>
      </c>
      <c r="U69" s="13">
        <f t="shared" si="30"/>
        <v>2.8777777777777778</v>
      </c>
      <c r="V69" s="13">
        <v>32.54</v>
      </c>
      <c r="W69" s="13">
        <v>35</v>
      </c>
      <c r="X69" s="13">
        <v>34</v>
      </c>
      <c r="Y69" s="13">
        <v>45</v>
      </c>
      <c r="Z69" s="13">
        <v>6</v>
      </c>
      <c r="AA69" s="13">
        <v>0</v>
      </c>
      <c r="AB69" s="13"/>
      <c r="AC69" s="13"/>
      <c r="AD69" s="14"/>
      <c r="AE69" s="16"/>
      <c r="AF69" s="13"/>
      <c r="AG69" s="13"/>
      <c r="AH69" s="13"/>
      <c r="AI69" s="16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114</v>
      </c>
      <c r="B70" s="1" t="s">
        <v>38</v>
      </c>
      <c r="C70" s="1"/>
      <c r="D70" s="1"/>
      <c r="E70" s="1"/>
      <c r="F70" s="1"/>
      <c r="G70" s="7">
        <v>0.8</v>
      </c>
      <c r="H70" s="1"/>
      <c r="I70" s="1" t="s">
        <v>115</v>
      </c>
      <c r="J70" s="1"/>
      <c r="K70" s="1"/>
      <c r="L70" s="1"/>
      <c r="M70" s="1"/>
      <c r="N70" s="1"/>
      <c r="O70" s="1"/>
      <c r="P70" s="1"/>
      <c r="Q70" s="5">
        <v>300</v>
      </c>
      <c r="R70" s="5">
        <f t="shared" si="33"/>
        <v>288</v>
      </c>
      <c r="S70" s="25"/>
      <c r="T70" s="1"/>
      <c r="U70" s="1"/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/>
      <c r="AC70" s="1">
        <f t="shared" si="34"/>
        <v>240</v>
      </c>
      <c r="AD70" s="7">
        <v>8</v>
      </c>
      <c r="AE70" s="9">
        <f t="shared" ref="AE70" si="40">MROUND(Q70, AD70*AG70)/AD70</f>
        <v>36</v>
      </c>
      <c r="AF70" s="1">
        <f t="shared" ref="AF70" si="41">AE70*AD70*G70</f>
        <v>230.4</v>
      </c>
      <c r="AG70" s="1">
        <v>12</v>
      </c>
      <c r="AH70" s="1">
        <v>84</v>
      </c>
      <c r="AI70" s="9">
        <f t="shared" si="37"/>
        <v>0.42857142857142855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7"/>
      <c r="AE71" s="9"/>
      <c r="AF71" s="1"/>
      <c r="AG71" s="1"/>
      <c r="AH71" s="1"/>
      <c r="AI71" s="9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7"/>
      <c r="AE72" s="9"/>
      <c r="AF72" s="1"/>
      <c r="AG72" s="1"/>
      <c r="AH72" s="1"/>
      <c r="AI72" s="9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7"/>
      <c r="AE73" s="9"/>
      <c r="AF73" s="1"/>
      <c r="AG73" s="1"/>
      <c r="AH73" s="1"/>
      <c r="AI73" s="9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7"/>
      <c r="AE74" s="9"/>
      <c r="AF74" s="1"/>
      <c r="AG74" s="1"/>
      <c r="AH74" s="1"/>
      <c r="AI74" s="9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7"/>
      <c r="AE75" s="9"/>
      <c r="AF75" s="1"/>
      <c r="AG75" s="1"/>
      <c r="AH75" s="1"/>
      <c r="AI75" s="9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7"/>
      <c r="AE76" s="9"/>
      <c r="AF76" s="1"/>
      <c r="AG76" s="1"/>
      <c r="AH76" s="1"/>
      <c r="AI76" s="9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7"/>
      <c r="AE77" s="9"/>
      <c r="AF77" s="1"/>
      <c r="AG77" s="1"/>
      <c r="AH77" s="1"/>
      <c r="AI77" s="9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7"/>
      <c r="AE78" s="9"/>
      <c r="AF78" s="1"/>
      <c r="AG78" s="1"/>
      <c r="AH78" s="1"/>
      <c r="AI78" s="9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7"/>
      <c r="AE79" s="9"/>
      <c r="AF79" s="1"/>
      <c r="AG79" s="1"/>
      <c r="AH79" s="1"/>
      <c r="AI79" s="9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7"/>
      <c r="AE80" s="9"/>
      <c r="AF80" s="1"/>
      <c r="AG80" s="1"/>
      <c r="AH80" s="1"/>
      <c r="AI80" s="9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7"/>
      <c r="AE81" s="9"/>
      <c r="AF81" s="1"/>
      <c r="AG81" s="1"/>
      <c r="AH81" s="1"/>
      <c r="AI81" s="9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7"/>
      <c r="AE82" s="9"/>
      <c r="AF82" s="1"/>
      <c r="AG82" s="1"/>
      <c r="AH82" s="1"/>
      <c r="AI82" s="9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7"/>
      <c r="AE83" s="9"/>
      <c r="AF83" s="1"/>
      <c r="AG83" s="1"/>
      <c r="AH83" s="1"/>
      <c r="AI83" s="9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7"/>
      <c r="AE84" s="9"/>
      <c r="AF84" s="1"/>
      <c r="AG84" s="1"/>
      <c r="AH84" s="1"/>
      <c r="AI84" s="9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7"/>
      <c r="AE85" s="9"/>
      <c r="AF85" s="1"/>
      <c r="AG85" s="1"/>
      <c r="AH85" s="1"/>
      <c r="AI85" s="9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7"/>
      <c r="AE86" s="9"/>
      <c r="AF86" s="1"/>
      <c r="AG86" s="1"/>
      <c r="AH86" s="1"/>
      <c r="AI86" s="9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7"/>
      <c r="AE87" s="9"/>
      <c r="AF87" s="1"/>
      <c r="AG87" s="1"/>
      <c r="AH87" s="1"/>
      <c r="AI87" s="9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7"/>
      <c r="AE88" s="9"/>
      <c r="AF88" s="1"/>
      <c r="AG88" s="1"/>
      <c r="AH88" s="1"/>
      <c r="AI88" s="9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7"/>
      <c r="AE89" s="9"/>
      <c r="AF89" s="1"/>
      <c r="AG89" s="1"/>
      <c r="AH89" s="1"/>
      <c r="AI89" s="9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7"/>
      <c r="AE90" s="9"/>
      <c r="AF90" s="1"/>
      <c r="AG90" s="1"/>
      <c r="AH90" s="1"/>
      <c r="AI90" s="9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7"/>
      <c r="AE91" s="9"/>
      <c r="AF91" s="1"/>
      <c r="AG91" s="1"/>
      <c r="AH91" s="1"/>
      <c r="AI91" s="9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7"/>
      <c r="AE92" s="9"/>
      <c r="AF92" s="1"/>
      <c r="AG92" s="1"/>
      <c r="AH92" s="1"/>
      <c r="AI92" s="9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7"/>
      <c r="AE93" s="9"/>
      <c r="AF93" s="1"/>
      <c r="AG93" s="1"/>
      <c r="AH93" s="1"/>
      <c r="AI93" s="9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7"/>
      <c r="AE94" s="9"/>
      <c r="AF94" s="1"/>
      <c r="AG94" s="1"/>
      <c r="AH94" s="1"/>
      <c r="AI94" s="9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7"/>
      <c r="AE95" s="9"/>
      <c r="AF95" s="1"/>
      <c r="AG95" s="1"/>
      <c r="AH95" s="1"/>
      <c r="AI95" s="9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7"/>
      <c r="AE96" s="9"/>
      <c r="AF96" s="1"/>
      <c r="AG96" s="1"/>
      <c r="AH96" s="1"/>
      <c r="AI96" s="9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7"/>
      <c r="AE97" s="9"/>
      <c r="AF97" s="1"/>
      <c r="AG97" s="1"/>
      <c r="AH97" s="1"/>
      <c r="AI97" s="9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7"/>
      <c r="AE98" s="9"/>
      <c r="AF98" s="1"/>
      <c r="AG98" s="1"/>
      <c r="AH98" s="1"/>
      <c r="AI98" s="9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7"/>
      <c r="AE99" s="9"/>
      <c r="AF99" s="1"/>
      <c r="AG99" s="1"/>
      <c r="AH99" s="1"/>
      <c r="AI99" s="9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7"/>
      <c r="AE100" s="9"/>
      <c r="AF100" s="1"/>
      <c r="AG100" s="1"/>
      <c r="AH100" s="1"/>
      <c r="AI100" s="9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7"/>
      <c r="AE101" s="9"/>
      <c r="AF101" s="1"/>
      <c r="AG101" s="1"/>
      <c r="AH101" s="1"/>
      <c r="AI101" s="9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7"/>
      <c r="AE102" s="9"/>
      <c r="AF102" s="1"/>
      <c r="AG102" s="1"/>
      <c r="AH102" s="1"/>
      <c r="AI102" s="9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7"/>
      <c r="AE103" s="9"/>
      <c r="AF103" s="1"/>
      <c r="AG103" s="1"/>
      <c r="AH103" s="1"/>
      <c r="AI103" s="9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7"/>
      <c r="AE104" s="9"/>
      <c r="AF104" s="1"/>
      <c r="AG104" s="1"/>
      <c r="AH104" s="1"/>
      <c r="AI104" s="9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7"/>
      <c r="AE105" s="9"/>
      <c r="AF105" s="1"/>
      <c r="AG105" s="1"/>
      <c r="AH105" s="1"/>
      <c r="AI105" s="9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7"/>
      <c r="AE106" s="9"/>
      <c r="AF106" s="1"/>
      <c r="AG106" s="1"/>
      <c r="AH106" s="1"/>
      <c r="AI106" s="9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7"/>
      <c r="AE107" s="9"/>
      <c r="AF107" s="1"/>
      <c r="AG107" s="1"/>
      <c r="AH107" s="1"/>
      <c r="AI107" s="9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7"/>
      <c r="AE108" s="9"/>
      <c r="AF108" s="1"/>
      <c r="AG108" s="1"/>
      <c r="AH108" s="1"/>
      <c r="AI108" s="9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7"/>
      <c r="AE109" s="9"/>
      <c r="AF109" s="1"/>
      <c r="AG109" s="1"/>
      <c r="AH109" s="1"/>
      <c r="AI109" s="9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7"/>
      <c r="AE110" s="9"/>
      <c r="AF110" s="1"/>
      <c r="AG110" s="1"/>
      <c r="AH110" s="1"/>
      <c r="AI110" s="9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7"/>
      <c r="AE111" s="9"/>
      <c r="AF111" s="1"/>
      <c r="AG111" s="1"/>
      <c r="AH111" s="1"/>
      <c r="AI111" s="9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7"/>
      <c r="AE112" s="9"/>
      <c r="AF112" s="1"/>
      <c r="AG112" s="1"/>
      <c r="AH112" s="1"/>
      <c r="AI112" s="9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7"/>
      <c r="AE113" s="9"/>
      <c r="AF113" s="1"/>
      <c r="AG113" s="1"/>
      <c r="AH113" s="1"/>
      <c r="AI113" s="9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7"/>
      <c r="AE114" s="9"/>
      <c r="AF114" s="1"/>
      <c r="AG114" s="1"/>
      <c r="AH114" s="1"/>
      <c r="AI114" s="9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7"/>
      <c r="AE115" s="9"/>
      <c r="AF115" s="1"/>
      <c r="AG115" s="1"/>
      <c r="AH115" s="1"/>
      <c r="AI115" s="9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7"/>
      <c r="AE116" s="9"/>
      <c r="AF116" s="1"/>
      <c r="AG116" s="1"/>
      <c r="AH116" s="1"/>
      <c r="AI116" s="9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7"/>
      <c r="AE117" s="9"/>
      <c r="AF117" s="1"/>
      <c r="AG117" s="1"/>
      <c r="AH117" s="1"/>
      <c r="AI117" s="9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7"/>
      <c r="AE118" s="9"/>
      <c r="AF118" s="1"/>
      <c r="AG118" s="1"/>
      <c r="AH118" s="1"/>
      <c r="AI118" s="9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7"/>
      <c r="AE119" s="9"/>
      <c r="AF119" s="1"/>
      <c r="AG119" s="1"/>
      <c r="AH119" s="1"/>
      <c r="AI119" s="9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7"/>
      <c r="AE120" s="9"/>
      <c r="AF120" s="1"/>
      <c r="AG120" s="1"/>
      <c r="AH120" s="1"/>
      <c r="AI120" s="9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7"/>
      <c r="AE121" s="9"/>
      <c r="AF121" s="1"/>
      <c r="AG121" s="1"/>
      <c r="AH121" s="1"/>
      <c r="AI121" s="9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7"/>
      <c r="AE122" s="9"/>
      <c r="AF122" s="1"/>
      <c r="AG122" s="1"/>
      <c r="AH122" s="1"/>
      <c r="AI122" s="9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7"/>
      <c r="AE123" s="9"/>
      <c r="AF123" s="1"/>
      <c r="AG123" s="1"/>
      <c r="AH123" s="1"/>
      <c r="AI123" s="9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7"/>
      <c r="AE124" s="9"/>
      <c r="AF124" s="1"/>
      <c r="AG124" s="1"/>
      <c r="AH124" s="1"/>
      <c r="AI124" s="9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7"/>
      <c r="AE125" s="9"/>
      <c r="AF125" s="1"/>
      <c r="AG125" s="1"/>
      <c r="AH125" s="1"/>
      <c r="AI125" s="9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7"/>
      <c r="AE126" s="9"/>
      <c r="AF126" s="1"/>
      <c r="AG126" s="1"/>
      <c r="AH126" s="1"/>
      <c r="AI126" s="9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7"/>
      <c r="AE127" s="9"/>
      <c r="AF127" s="1"/>
      <c r="AG127" s="1"/>
      <c r="AH127" s="1"/>
      <c r="AI127" s="9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7"/>
      <c r="AE128" s="9"/>
      <c r="AF128" s="1"/>
      <c r="AG128" s="1"/>
      <c r="AH128" s="1"/>
      <c r="AI128" s="9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7"/>
      <c r="AE129" s="9"/>
      <c r="AF129" s="1"/>
      <c r="AG129" s="1"/>
      <c r="AH129" s="1"/>
      <c r="AI129" s="9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7"/>
      <c r="AE130" s="9"/>
      <c r="AF130" s="1"/>
      <c r="AG130" s="1"/>
      <c r="AH130" s="1"/>
      <c r="AI130" s="9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7"/>
      <c r="AE131" s="9"/>
      <c r="AF131" s="1"/>
      <c r="AG131" s="1"/>
      <c r="AH131" s="1"/>
      <c r="AI131" s="9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7"/>
      <c r="AE132" s="9"/>
      <c r="AF132" s="1"/>
      <c r="AG132" s="1"/>
      <c r="AH132" s="1"/>
      <c r="AI132" s="9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7"/>
      <c r="AE133" s="9"/>
      <c r="AF133" s="1"/>
      <c r="AG133" s="1"/>
      <c r="AH133" s="1"/>
      <c r="AI133" s="9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7"/>
      <c r="AE134" s="9"/>
      <c r="AF134" s="1"/>
      <c r="AG134" s="1"/>
      <c r="AH134" s="1"/>
      <c r="AI134" s="9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7"/>
      <c r="AE135" s="9"/>
      <c r="AF135" s="1"/>
      <c r="AG135" s="1"/>
      <c r="AH135" s="1"/>
      <c r="AI135" s="9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7"/>
      <c r="AE136" s="9"/>
      <c r="AF136" s="1"/>
      <c r="AG136" s="1"/>
      <c r="AH136" s="1"/>
      <c r="AI136" s="9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7"/>
      <c r="AE137" s="9"/>
      <c r="AF137" s="1"/>
      <c r="AG137" s="1"/>
      <c r="AH137" s="1"/>
      <c r="AI137" s="9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7"/>
      <c r="AE138" s="9"/>
      <c r="AF138" s="1"/>
      <c r="AG138" s="1"/>
      <c r="AH138" s="1"/>
      <c r="AI138" s="9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7"/>
      <c r="AE139" s="9"/>
      <c r="AF139" s="1"/>
      <c r="AG139" s="1"/>
      <c r="AH139" s="1"/>
      <c r="AI139" s="9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7"/>
      <c r="AE140" s="9"/>
      <c r="AF140" s="1"/>
      <c r="AG140" s="1"/>
      <c r="AH140" s="1"/>
      <c r="AI140" s="9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7"/>
      <c r="AE141" s="9"/>
      <c r="AF141" s="1"/>
      <c r="AG141" s="1"/>
      <c r="AH141" s="1"/>
      <c r="AI141" s="9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7"/>
      <c r="AE142" s="9"/>
      <c r="AF142" s="1"/>
      <c r="AG142" s="1"/>
      <c r="AH142" s="1"/>
      <c r="AI142" s="9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7"/>
      <c r="AE143" s="9"/>
      <c r="AF143" s="1"/>
      <c r="AG143" s="1"/>
      <c r="AH143" s="1"/>
      <c r="AI143" s="9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7"/>
      <c r="AE144" s="9"/>
      <c r="AF144" s="1"/>
      <c r="AG144" s="1"/>
      <c r="AH144" s="1"/>
      <c r="AI144" s="9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7"/>
      <c r="AE145" s="9"/>
      <c r="AF145" s="1"/>
      <c r="AG145" s="1"/>
      <c r="AH145" s="1"/>
      <c r="AI145" s="9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7"/>
      <c r="AE146" s="9"/>
      <c r="AF146" s="1"/>
      <c r="AG146" s="1"/>
      <c r="AH146" s="1"/>
      <c r="AI146" s="9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7"/>
      <c r="AE147" s="9"/>
      <c r="AF147" s="1"/>
      <c r="AG147" s="1"/>
      <c r="AH147" s="1"/>
      <c r="AI147" s="9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7"/>
      <c r="AE148" s="9"/>
      <c r="AF148" s="1"/>
      <c r="AG148" s="1"/>
      <c r="AH148" s="1"/>
      <c r="AI148" s="9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7"/>
      <c r="AE149" s="9"/>
      <c r="AF149" s="1"/>
      <c r="AG149" s="1"/>
      <c r="AH149" s="1"/>
      <c r="AI149" s="9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7"/>
      <c r="AE150" s="9"/>
      <c r="AF150" s="1"/>
      <c r="AG150" s="1"/>
      <c r="AH150" s="1"/>
      <c r="AI150" s="9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7"/>
      <c r="AE151" s="9"/>
      <c r="AF151" s="1"/>
      <c r="AG151" s="1"/>
      <c r="AH151" s="1"/>
      <c r="AI151" s="9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7"/>
      <c r="AE152" s="9"/>
      <c r="AF152" s="1"/>
      <c r="AG152" s="1"/>
      <c r="AH152" s="1"/>
      <c r="AI152" s="9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7"/>
      <c r="AE153" s="9"/>
      <c r="AF153" s="1"/>
      <c r="AG153" s="1"/>
      <c r="AH153" s="1"/>
      <c r="AI153" s="9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7"/>
      <c r="AE154" s="9"/>
      <c r="AF154" s="1"/>
      <c r="AG154" s="1"/>
      <c r="AH154" s="1"/>
      <c r="AI154" s="9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7"/>
      <c r="AE155" s="9"/>
      <c r="AF155" s="1"/>
      <c r="AG155" s="1"/>
      <c r="AH155" s="1"/>
      <c r="AI155" s="9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7"/>
      <c r="AE156" s="9"/>
      <c r="AF156" s="1"/>
      <c r="AG156" s="1"/>
      <c r="AH156" s="1"/>
      <c r="AI156" s="9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7"/>
      <c r="AE157" s="9"/>
      <c r="AF157" s="1"/>
      <c r="AG157" s="1"/>
      <c r="AH157" s="1"/>
      <c r="AI157" s="9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7"/>
      <c r="AE158" s="9"/>
      <c r="AF158" s="1"/>
      <c r="AG158" s="1"/>
      <c r="AH158" s="1"/>
      <c r="AI158" s="9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7"/>
      <c r="AE159" s="9"/>
      <c r="AF159" s="1"/>
      <c r="AG159" s="1"/>
      <c r="AH159" s="1"/>
      <c r="AI159" s="9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7"/>
      <c r="AE160" s="9"/>
      <c r="AF160" s="1"/>
      <c r="AG160" s="1"/>
      <c r="AH160" s="1"/>
      <c r="AI160" s="9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7"/>
      <c r="AE161" s="9"/>
      <c r="AF161" s="1"/>
      <c r="AG161" s="1"/>
      <c r="AH161" s="1"/>
      <c r="AI161" s="9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7"/>
      <c r="AE162" s="9"/>
      <c r="AF162" s="1"/>
      <c r="AG162" s="1"/>
      <c r="AH162" s="1"/>
      <c r="AI162" s="9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7"/>
      <c r="AE163" s="9"/>
      <c r="AF163" s="1"/>
      <c r="AG163" s="1"/>
      <c r="AH163" s="1"/>
      <c r="AI163" s="9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7"/>
      <c r="AE164" s="9"/>
      <c r="AF164" s="1"/>
      <c r="AG164" s="1"/>
      <c r="AH164" s="1"/>
      <c r="AI164" s="9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7"/>
      <c r="AE165" s="9"/>
      <c r="AF165" s="1"/>
      <c r="AG165" s="1"/>
      <c r="AH165" s="1"/>
      <c r="AI165" s="9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7"/>
      <c r="AE166" s="9"/>
      <c r="AF166" s="1"/>
      <c r="AG166" s="1"/>
      <c r="AH166" s="1"/>
      <c r="AI166" s="9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7"/>
      <c r="AE167" s="9"/>
      <c r="AF167" s="1"/>
      <c r="AG167" s="1"/>
      <c r="AH167" s="1"/>
      <c r="AI167" s="9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7"/>
      <c r="AE168" s="9"/>
      <c r="AF168" s="1"/>
      <c r="AG168" s="1"/>
      <c r="AH168" s="1"/>
      <c r="AI168" s="9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7"/>
      <c r="AE169" s="9"/>
      <c r="AF169" s="1"/>
      <c r="AG169" s="1"/>
      <c r="AH169" s="1"/>
      <c r="AI169" s="9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7"/>
      <c r="AE170" s="9"/>
      <c r="AF170" s="1"/>
      <c r="AG170" s="1"/>
      <c r="AH170" s="1"/>
      <c r="AI170" s="9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7"/>
      <c r="AE171" s="9"/>
      <c r="AF171" s="1"/>
      <c r="AG171" s="1"/>
      <c r="AH171" s="1"/>
      <c r="AI171" s="9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7"/>
      <c r="AE172" s="9"/>
      <c r="AF172" s="1"/>
      <c r="AG172" s="1"/>
      <c r="AH172" s="1"/>
      <c r="AI172" s="9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7"/>
      <c r="AE173" s="9"/>
      <c r="AF173" s="1"/>
      <c r="AG173" s="1"/>
      <c r="AH173" s="1"/>
      <c r="AI173" s="9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7"/>
      <c r="AE174" s="9"/>
      <c r="AF174" s="1"/>
      <c r="AG174" s="1"/>
      <c r="AH174" s="1"/>
      <c r="AI174" s="9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7"/>
      <c r="AE175" s="9"/>
      <c r="AF175" s="1"/>
      <c r="AG175" s="1"/>
      <c r="AH175" s="1"/>
      <c r="AI175" s="9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7"/>
      <c r="AE176" s="9"/>
      <c r="AF176" s="1"/>
      <c r="AG176" s="1"/>
      <c r="AH176" s="1"/>
      <c r="AI176" s="9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7"/>
      <c r="AE177" s="9"/>
      <c r="AF177" s="1"/>
      <c r="AG177" s="1"/>
      <c r="AH177" s="1"/>
      <c r="AI177" s="9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7"/>
      <c r="AE178" s="9"/>
      <c r="AF178" s="1"/>
      <c r="AG178" s="1"/>
      <c r="AH178" s="1"/>
      <c r="AI178" s="9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7"/>
      <c r="AE179" s="9"/>
      <c r="AF179" s="1"/>
      <c r="AG179" s="1"/>
      <c r="AH179" s="1"/>
      <c r="AI179" s="9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7"/>
      <c r="AE180" s="9"/>
      <c r="AF180" s="1"/>
      <c r="AG180" s="1"/>
      <c r="AH180" s="1"/>
      <c r="AI180" s="9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7"/>
      <c r="AE181" s="9"/>
      <c r="AF181" s="1"/>
      <c r="AG181" s="1"/>
      <c r="AH181" s="1"/>
      <c r="AI181" s="9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7"/>
      <c r="AE182" s="9"/>
      <c r="AF182" s="1"/>
      <c r="AG182" s="1"/>
      <c r="AH182" s="1"/>
      <c r="AI182" s="9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7"/>
      <c r="AE183" s="9"/>
      <c r="AF183" s="1"/>
      <c r="AG183" s="1"/>
      <c r="AH183" s="1"/>
      <c r="AI183" s="9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7"/>
      <c r="AE184" s="9"/>
      <c r="AF184" s="1"/>
      <c r="AG184" s="1"/>
      <c r="AH184" s="1"/>
      <c r="AI184" s="9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7"/>
      <c r="AE185" s="9"/>
      <c r="AF185" s="1"/>
      <c r="AG185" s="1"/>
      <c r="AH185" s="1"/>
      <c r="AI185" s="9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7"/>
      <c r="AE186" s="9"/>
      <c r="AF186" s="1"/>
      <c r="AG186" s="1"/>
      <c r="AH186" s="1"/>
      <c r="AI186" s="9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7"/>
      <c r="AE187" s="9"/>
      <c r="AF187" s="1"/>
      <c r="AG187" s="1"/>
      <c r="AH187" s="1"/>
      <c r="AI187" s="9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7"/>
      <c r="AE188" s="9"/>
      <c r="AF188" s="1"/>
      <c r="AG188" s="1"/>
      <c r="AH188" s="1"/>
      <c r="AI188" s="9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7"/>
      <c r="AE189" s="9"/>
      <c r="AF189" s="1"/>
      <c r="AG189" s="1"/>
      <c r="AH189" s="1"/>
      <c r="AI189" s="9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7"/>
      <c r="AE190" s="9"/>
      <c r="AF190" s="1"/>
      <c r="AG190" s="1"/>
      <c r="AH190" s="1"/>
      <c r="AI190" s="9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7"/>
      <c r="AE191" s="9"/>
      <c r="AF191" s="1"/>
      <c r="AG191" s="1"/>
      <c r="AH191" s="1"/>
      <c r="AI191" s="9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7"/>
      <c r="AE192" s="9"/>
      <c r="AF192" s="1"/>
      <c r="AG192" s="1"/>
      <c r="AH192" s="1"/>
      <c r="AI192" s="9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7"/>
      <c r="AE193" s="9"/>
      <c r="AF193" s="1"/>
      <c r="AG193" s="1"/>
      <c r="AH193" s="1"/>
      <c r="AI193" s="9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7"/>
      <c r="AE194" s="9"/>
      <c r="AF194" s="1"/>
      <c r="AG194" s="1"/>
      <c r="AH194" s="1"/>
      <c r="AI194" s="9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7"/>
      <c r="AE195" s="9"/>
      <c r="AF195" s="1"/>
      <c r="AG195" s="1"/>
      <c r="AH195" s="1"/>
      <c r="AI195" s="9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7"/>
      <c r="AE196" s="9"/>
      <c r="AF196" s="1"/>
      <c r="AG196" s="1"/>
      <c r="AH196" s="1"/>
      <c r="AI196" s="9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7"/>
      <c r="AE197" s="9"/>
      <c r="AF197" s="1"/>
      <c r="AG197" s="1"/>
      <c r="AH197" s="1"/>
      <c r="AI197" s="9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7"/>
      <c r="AE198" s="9"/>
      <c r="AF198" s="1"/>
      <c r="AG198" s="1"/>
      <c r="AH198" s="1"/>
      <c r="AI198" s="9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7"/>
      <c r="AE199" s="9"/>
      <c r="AF199" s="1"/>
      <c r="AG199" s="1"/>
      <c r="AH199" s="1"/>
      <c r="AI199" s="9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7"/>
      <c r="AE200" s="9"/>
      <c r="AF200" s="1"/>
      <c r="AG200" s="1"/>
      <c r="AH200" s="1"/>
      <c r="AI200" s="9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7"/>
      <c r="AE201" s="9"/>
      <c r="AF201" s="1"/>
      <c r="AG201" s="1"/>
      <c r="AH201" s="1"/>
      <c r="AI201" s="9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7"/>
      <c r="AE202" s="9"/>
      <c r="AF202" s="1"/>
      <c r="AG202" s="1"/>
      <c r="AH202" s="1"/>
      <c r="AI202" s="9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7"/>
      <c r="AE203" s="9"/>
      <c r="AF203" s="1"/>
      <c r="AG203" s="1"/>
      <c r="AH203" s="1"/>
      <c r="AI203" s="9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7"/>
      <c r="AE204" s="9"/>
      <c r="AF204" s="1"/>
      <c r="AG204" s="1"/>
      <c r="AH204" s="1"/>
      <c r="AI204" s="9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7"/>
      <c r="AE205" s="9"/>
      <c r="AF205" s="1"/>
      <c r="AG205" s="1"/>
      <c r="AH205" s="1"/>
      <c r="AI205" s="9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7"/>
      <c r="AE206" s="9"/>
      <c r="AF206" s="1"/>
      <c r="AG206" s="1"/>
      <c r="AH206" s="1"/>
      <c r="AI206" s="9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7"/>
      <c r="AE207" s="9"/>
      <c r="AF207" s="1"/>
      <c r="AG207" s="1"/>
      <c r="AH207" s="1"/>
      <c r="AI207" s="9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7"/>
      <c r="AE208" s="9"/>
      <c r="AF208" s="1"/>
      <c r="AG208" s="1"/>
      <c r="AH208" s="1"/>
      <c r="AI208" s="9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7"/>
      <c r="AE209" s="9"/>
      <c r="AF209" s="1"/>
      <c r="AG209" s="1"/>
      <c r="AH209" s="1"/>
      <c r="AI209" s="9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7"/>
      <c r="AE210" s="9"/>
      <c r="AF210" s="1"/>
      <c r="AG210" s="1"/>
      <c r="AH210" s="1"/>
      <c r="AI210" s="9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7"/>
      <c r="AE211" s="9"/>
      <c r="AF211" s="1"/>
      <c r="AG211" s="1"/>
      <c r="AH211" s="1"/>
      <c r="AI211" s="9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7"/>
      <c r="AE212" s="9"/>
      <c r="AF212" s="1"/>
      <c r="AG212" s="1"/>
      <c r="AH212" s="1"/>
      <c r="AI212" s="9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7"/>
      <c r="AE213" s="9"/>
      <c r="AF213" s="1"/>
      <c r="AG213" s="1"/>
      <c r="AH213" s="1"/>
      <c r="AI213" s="9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7"/>
      <c r="AE214" s="9"/>
      <c r="AF214" s="1"/>
      <c r="AG214" s="1"/>
      <c r="AH214" s="1"/>
      <c r="AI214" s="9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7"/>
      <c r="AE215" s="9"/>
      <c r="AF215" s="1"/>
      <c r="AG215" s="1"/>
      <c r="AH215" s="1"/>
      <c r="AI215" s="9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7"/>
      <c r="AE216" s="9"/>
      <c r="AF216" s="1"/>
      <c r="AG216" s="1"/>
      <c r="AH216" s="1"/>
      <c r="AI216" s="9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7"/>
      <c r="AE217" s="9"/>
      <c r="AF217" s="1"/>
      <c r="AG217" s="1"/>
      <c r="AH217" s="1"/>
      <c r="AI217" s="9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7"/>
      <c r="AE218" s="9"/>
      <c r="AF218" s="1"/>
      <c r="AG218" s="1"/>
      <c r="AH218" s="1"/>
      <c r="AI218" s="9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7"/>
      <c r="AE219" s="9"/>
      <c r="AF219" s="1"/>
      <c r="AG219" s="1"/>
      <c r="AH219" s="1"/>
      <c r="AI219" s="9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7"/>
      <c r="AE220" s="9"/>
      <c r="AF220" s="1"/>
      <c r="AG220" s="1"/>
      <c r="AH220" s="1"/>
      <c r="AI220" s="9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7"/>
      <c r="AE221" s="9"/>
      <c r="AF221" s="1"/>
      <c r="AG221" s="1"/>
      <c r="AH221" s="1"/>
      <c r="AI221" s="9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7"/>
      <c r="AE222" s="9"/>
      <c r="AF222" s="1"/>
      <c r="AG222" s="1"/>
      <c r="AH222" s="1"/>
      <c r="AI222" s="9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7"/>
      <c r="AE223" s="9"/>
      <c r="AF223" s="1"/>
      <c r="AG223" s="1"/>
      <c r="AH223" s="1"/>
      <c r="AI223" s="9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7"/>
      <c r="AE224" s="9"/>
      <c r="AF224" s="1"/>
      <c r="AG224" s="1"/>
      <c r="AH224" s="1"/>
      <c r="AI224" s="9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7"/>
      <c r="AE225" s="9"/>
      <c r="AF225" s="1"/>
      <c r="AG225" s="1"/>
      <c r="AH225" s="1"/>
      <c r="AI225" s="9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7"/>
      <c r="AE226" s="9"/>
      <c r="AF226" s="1"/>
      <c r="AG226" s="1"/>
      <c r="AH226" s="1"/>
      <c r="AI226" s="9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7"/>
      <c r="AE227" s="9"/>
      <c r="AF227" s="1"/>
      <c r="AG227" s="1"/>
      <c r="AH227" s="1"/>
      <c r="AI227" s="9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7"/>
      <c r="AE228" s="9"/>
      <c r="AF228" s="1"/>
      <c r="AG228" s="1"/>
      <c r="AH228" s="1"/>
      <c r="AI228" s="9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7"/>
      <c r="AE229" s="9"/>
      <c r="AF229" s="1"/>
      <c r="AG229" s="1"/>
      <c r="AH229" s="1"/>
      <c r="AI229" s="9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7"/>
      <c r="AE230" s="9"/>
      <c r="AF230" s="1"/>
      <c r="AG230" s="1"/>
      <c r="AH230" s="1"/>
      <c r="AI230" s="9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7"/>
      <c r="AE231" s="9"/>
      <c r="AF231" s="1"/>
      <c r="AG231" s="1"/>
      <c r="AH231" s="1"/>
      <c r="AI231" s="9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7"/>
      <c r="AE232" s="9"/>
      <c r="AF232" s="1"/>
      <c r="AG232" s="1"/>
      <c r="AH232" s="1"/>
      <c r="AI232" s="9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7"/>
      <c r="AE233" s="9"/>
      <c r="AF233" s="1"/>
      <c r="AG233" s="1"/>
      <c r="AH233" s="1"/>
      <c r="AI233" s="9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7"/>
      <c r="AE234" s="9"/>
      <c r="AF234" s="1"/>
      <c r="AG234" s="1"/>
      <c r="AH234" s="1"/>
      <c r="AI234" s="9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7"/>
      <c r="AE235" s="9"/>
      <c r="AF235" s="1"/>
      <c r="AG235" s="1"/>
      <c r="AH235" s="1"/>
      <c r="AI235" s="9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7"/>
      <c r="AE236" s="9"/>
      <c r="AF236" s="1"/>
      <c r="AG236" s="1"/>
      <c r="AH236" s="1"/>
      <c r="AI236" s="9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7"/>
      <c r="AE237" s="9"/>
      <c r="AF237" s="1"/>
      <c r="AG237" s="1"/>
      <c r="AH237" s="1"/>
      <c r="AI237" s="9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7"/>
      <c r="AE238" s="9"/>
      <c r="AF238" s="1"/>
      <c r="AG238" s="1"/>
      <c r="AH238" s="1"/>
      <c r="AI238" s="9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7"/>
      <c r="AE239" s="9"/>
      <c r="AF239" s="1"/>
      <c r="AG239" s="1"/>
      <c r="AH239" s="1"/>
      <c r="AI239" s="9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7"/>
      <c r="AE240" s="9"/>
      <c r="AF240" s="1"/>
      <c r="AG240" s="1"/>
      <c r="AH240" s="1"/>
      <c r="AI240" s="9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7"/>
      <c r="AE241" s="9"/>
      <c r="AF241" s="1"/>
      <c r="AG241" s="1"/>
      <c r="AH241" s="1"/>
      <c r="AI241" s="9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7"/>
      <c r="AE242" s="9"/>
      <c r="AF242" s="1"/>
      <c r="AG242" s="1"/>
      <c r="AH242" s="1"/>
      <c r="AI242" s="9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7"/>
      <c r="AE243" s="9"/>
      <c r="AF243" s="1"/>
      <c r="AG243" s="1"/>
      <c r="AH243" s="1"/>
      <c r="AI243" s="9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7"/>
      <c r="AE244" s="9"/>
      <c r="AF244" s="1"/>
      <c r="AG244" s="1"/>
      <c r="AH244" s="1"/>
      <c r="AI244" s="9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7"/>
      <c r="AE245" s="9"/>
      <c r="AF245" s="1"/>
      <c r="AG245" s="1"/>
      <c r="AH245" s="1"/>
      <c r="AI245" s="9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7"/>
      <c r="AE246" s="9"/>
      <c r="AF246" s="1"/>
      <c r="AG246" s="1"/>
      <c r="AH246" s="1"/>
      <c r="AI246" s="9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7"/>
      <c r="AE247" s="9"/>
      <c r="AF247" s="1"/>
      <c r="AG247" s="1"/>
      <c r="AH247" s="1"/>
      <c r="AI247" s="9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7"/>
      <c r="AE248" s="9"/>
      <c r="AF248" s="1"/>
      <c r="AG248" s="1"/>
      <c r="AH248" s="1"/>
      <c r="AI248" s="9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7"/>
      <c r="AE249" s="9"/>
      <c r="AF249" s="1"/>
      <c r="AG249" s="1"/>
      <c r="AH249" s="1"/>
      <c r="AI249" s="9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7"/>
      <c r="AE250" s="9"/>
      <c r="AF250" s="1"/>
      <c r="AG250" s="1"/>
      <c r="AH250" s="1"/>
      <c r="AI250" s="9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7"/>
      <c r="AE251" s="9"/>
      <c r="AF251" s="1"/>
      <c r="AG251" s="1"/>
      <c r="AH251" s="1"/>
      <c r="AI251" s="9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7"/>
      <c r="AE252" s="9"/>
      <c r="AF252" s="1"/>
      <c r="AG252" s="1"/>
      <c r="AH252" s="1"/>
      <c r="AI252" s="9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7"/>
      <c r="AE253" s="9"/>
      <c r="AF253" s="1"/>
      <c r="AG253" s="1"/>
      <c r="AH253" s="1"/>
      <c r="AI253" s="9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7"/>
      <c r="AE254" s="9"/>
      <c r="AF254" s="1"/>
      <c r="AG254" s="1"/>
      <c r="AH254" s="1"/>
      <c r="AI254" s="9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7"/>
      <c r="AE255" s="9"/>
      <c r="AF255" s="1"/>
      <c r="AG255" s="1"/>
      <c r="AH255" s="1"/>
      <c r="AI255" s="9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7"/>
      <c r="AE256" s="9"/>
      <c r="AF256" s="1"/>
      <c r="AG256" s="1"/>
      <c r="AH256" s="1"/>
      <c r="AI256" s="9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7"/>
      <c r="AE257" s="9"/>
      <c r="AF257" s="1"/>
      <c r="AG257" s="1"/>
      <c r="AH257" s="1"/>
      <c r="AI257" s="9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7"/>
      <c r="AE258" s="9"/>
      <c r="AF258" s="1"/>
      <c r="AG258" s="1"/>
      <c r="AH258" s="1"/>
      <c r="AI258" s="9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7"/>
      <c r="AE259" s="9"/>
      <c r="AF259" s="1"/>
      <c r="AG259" s="1"/>
      <c r="AH259" s="1"/>
      <c r="AI259" s="9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7"/>
      <c r="AE260" s="9"/>
      <c r="AF260" s="1"/>
      <c r="AG260" s="1"/>
      <c r="AH260" s="1"/>
      <c r="AI260" s="9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7"/>
      <c r="AE261" s="9"/>
      <c r="AF261" s="1"/>
      <c r="AG261" s="1"/>
      <c r="AH261" s="1"/>
      <c r="AI261" s="9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7"/>
      <c r="AE262" s="9"/>
      <c r="AF262" s="1"/>
      <c r="AG262" s="1"/>
      <c r="AH262" s="1"/>
      <c r="AI262" s="9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7"/>
      <c r="AE263" s="9"/>
      <c r="AF263" s="1"/>
      <c r="AG263" s="1"/>
      <c r="AH263" s="1"/>
      <c r="AI263" s="9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7"/>
      <c r="AE264" s="9"/>
      <c r="AF264" s="1"/>
      <c r="AG264" s="1"/>
      <c r="AH264" s="1"/>
      <c r="AI264" s="9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7"/>
      <c r="AE265" s="9"/>
      <c r="AF265" s="1"/>
      <c r="AG265" s="1"/>
      <c r="AH265" s="1"/>
      <c r="AI265" s="9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7"/>
      <c r="AE266" s="9"/>
      <c r="AF266" s="1"/>
      <c r="AG266" s="1"/>
      <c r="AH266" s="1"/>
      <c r="AI266" s="9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7"/>
      <c r="AE267" s="9"/>
      <c r="AF267" s="1"/>
      <c r="AG267" s="1"/>
      <c r="AH267" s="1"/>
      <c r="AI267" s="9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7"/>
      <c r="AE268" s="9"/>
      <c r="AF268" s="1"/>
      <c r="AG268" s="1"/>
      <c r="AH268" s="1"/>
      <c r="AI268" s="9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7"/>
      <c r="AE269" s="9"/>
      <c r="AF269" s="1"/>
      <c r="AG269" s="1"/>
      <c r="AH269" s="1"/>
      <c r="AI269" s="9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7"/>
      <c r="AE270" s="9"/>
      <c r="AF270" s="1"/>
      <c r="AG270" s="1"/>
      <c r="AH270" s="1"/>
      <c r="AI270" s="9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7"/>
      <c r="AE271" s="9"/>
      <c r="AF271" s="1"/>
      <c r="AG271" s="1"/>
      <c r="AH271" s="1"/>
      <c r="AI271" s="9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7"/>
      <c r="AE272" s="9"/>
      <c r="AF272" s="1"/>
      <c r="AG272" s="1"/>
      <c r="AH272" s="1"/>
      <c r="AI272" s="9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7"/>
      <c r="AE273" s="9"/>
      <c r="AF273" s="1"/>
      <c r="AG273" s="1"/>
      <c r="AH273" s="1"/>
      <c r="AI273" s="9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7"/>
      <c r="AE274" s="9"/>
      <c r="AF274" s="1"/>
      <c r="AG274" s="1"/>
      <c r="AH274" s="1"/>
      <c r="AI274" s="9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7"/>
      <c r="AE275" s="9"/>
      <c r="AF275" s="1"/>
      <c r="AG275" s="1"/>
      <c r="AH275" s="1"/>
      <c r="AI275" s="9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7"/>
      <c r="AE276" s="9"/>
      <c r="AF276" s="1"/>
      <c r="AG276" s="1"/>
      <c r="AH276" s="1"/>
      <c r="AI276" s="9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7"/>
      <c r="AE277" s="9"/>
      <c r="AF277" s="1"/>
      <c r="AG277" s="1"/>
      <c r="AH277" s="1"/>
      <c r="AI277" s="9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7"/>
      <c r="AE278" s="9"/>
      <c r="AF278" s="1"/>
      <c r="AG278" s="1"/>
      <c r="AH278" s="1"/>
      <c r="AI278" s="9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7"/>
      <c r="AE279" s="9"/>
      <c r="AF279" s="1"/>
      <c r="AG279" s="1"/>
      <c r="AH279" s="1"/>
      <c r="AI279" s="9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7"/>
      <c r="AE280" s="9"/>
      <c r="AF280" s="1"/>
      <c r="AG280" s="1"/>
      <c r="AH280" s="1"/>
      <c r="AI280" s="9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7"/>
      <c r="AE281" s="9"/>
      <c r="AF281" s="1"/>
      <c r="AG281" s="1"/>
      <c r="AH281" s="1"/>
      <c r="AI281" s="9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7"/>
      <c r="AE282" s="9"/>
      <c r="AF282" s="1"/>
      <c r="AG282" s="1"/>
      <c r="AH282" s="1"/>
      <c r="AI282" s="9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7"/>
      <c r="AE283" s="9"/>
      <c r="AF283" s="1"/>
      <c r="AG283" s="1"/>
      <c r="AH283" s="1"/>
      <c r="AI283" s="9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7"/>
      <c r="AE284" s="9"/>
      <c r="AF284" s="1"/>
      <c r="AG284" s="1"/>
      <c r="AH284" s="1"/>
      <c r="AI284" s="9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7"/>
      <c r="AE285" s="9"/>
      <c r="AF285" s="1"/>
      <c r="AG285" s="1"/>
      <c r="AH285" s="1"/>
      <c r="AI285" s="9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7"/>
      <c r="AE286" s="9"/>
      <c r="AF286" s="1"/>
      <c r="AG286" s="1"/>
      <c r="AH286" s="1"/>
      <c r="AI286" s="9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7"/>
      <c r="AE287" s="9"/>
      <c r="AF287" s="1"/>
      <c r="AG287" s="1"/>
      <c r="AH287" s="1"/>
      <c r="AI287" s="9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7"/>
      <c r="AE288" s="9"/>
      <c r="AF288" s="1"/>
      <c r="AG288" s="1"/>
      <c r="AH288" s="1"/>
      <c r="AI288" s="9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7"/>
      <c r="AE289" s="9"/>
      <c r="AF289" s="1"/>
      <c r="AG289" s="1"/>
      <c r="AH289" s="1"/>
      <c r="AI289" s="9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7"/>
      <c r="AE290" s="9"/>
      <c r="AF290" s="1"/>
      <c r="AG290" s="1"/>
      <c r="AH290" s="1"/>
      <c r="AI290" s="9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7"/>
      <c r="AE291" s="9"/>
      <c r="AF291" s="1"/>
      <c r="AG291" s="1"/>
      <c r="AH291" s="1"/>
      <c r="AI291" s="9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7"/>
      <c r="AE292" s="9"/>
      <c r="AF292" s="1"/>
      <c r="AG292" s="1"/>
      <c r="AH292" s="1"/>
      <c r="AI292" s="9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7"/>
      <c r="AE293" s="9"/>
      <c r="AF293" s="1"/>
      <c r="AG293" s="1"/>
      <c r="AH293" s="1"/>
      <c r="AI293" s="9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7"/>
      <c r="AE294" s="9"/>
      <c r="AF294" s="1"/>
      <c r="AG294" s="1"/>
      <c r="AH294" s="1"/>
      <c r="AI294" s="9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7"/>
      <c r="AE295" s="9"/>
      <c r="AF295" s="1"/>
      <c r="AG295" s="1"/>
      <c r="AH295" s="1"/>
      <c r="AI295" s="9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7"/>
      <c r="AE296" s="9"/>
      <c r="AF296" s="1"/>
      <c r="AG296" s="1"/>
      <c r="AH296" s="1"/>
      <c r="AI296" s="9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7"/>
      <c r="AE297" s="9"/>
      <c r="AF297" s="1"/>
      <c r="AG297" s="1"/>
      <c r="AH297" s="1"/>
      <c r="AI297" s="9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7"/>
      <c r="AE298" s="9"/>
      <c r="AF298" s="1"/>
      <c r="AG298" s="1"/>
      <c r="AH298" s="1"/>
      <c r="AI298" s="9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7"/>
      <c r="AE299" s="9"/>
      <c r="AF299" s="1"/>
      <c r="AG299" s="1"/>
      <c r="AH299" s="1"/>
      <c r="AI299" s="9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7"/>
      <c r="AE300" s="9"/>
      <c r="AF300" s="1"/>
      <c r="AG300" s="1"/>
      <c r="AH300" s="1"/>
      <c r="AI300" s="9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7"/>
      <c r="AE301" s="9"/>
      <c r="AF301" s="1"/>
      <c r="AG301" s="1"/>
      <c r="AH301" s="1"/>
      <c r="AI301" s="9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7"/>
      <c r="AE302" s="9"/>
      <c r="AF302" s="1"/>
      <c r="AG302" s="1"/>
      <c r="AH302" s="1"/>
      <c r="AI302" s="9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7"/>
      <c r="AE303" s="9"/>
      <c r="AF303" s="1"/>
      <c r="AG303" s="1"/>
      <c r="AH303" s="1"/>
      <c r="AI303" s="9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7"/>
      <c r="AE304" s="9"/>
      <c r="AF304" s="1"/>
      <c r="AG304" s="1"/>
      <c r="AH304" s="1"/>
      <c r="AI304" s="9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7"/>
      <c r="AE305" s="9"/>
      <c r="AF305" s="1"/>
      <c r="AG305" s="1"/>
      <c r="AH305" s="1"/>
      <c r="AI305" s="9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7"/>
      <c r="AE306" s="9"/>
      <c r="AF306" s="1"/>
      <c r="AG306" s="1"/>
      <c r="AH306" s="1"/>
      <c r="AI306" s="9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7"/>
      <c r="AE307" s="9"/>
      <c r="AF307" s="1"/>
      <c r="AG307" s="1"/>
      <c r="AH307" s="1"/>
      <c r="AI307" s="9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7"/>
      <c r="AE308" s="9"/>
      <c r="AF308" s="1"/>
      <c r="AG308" s="1"/>
      <c r="AH308" s="1"/>
      <c r="AI308" s="9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7"/>
      <c r="AE309" s="9"/>
      <c r="AF309" s="1"/>
      <c r="AG309" s="1"/>
      <c r="AH309" s="1"/>
      <c r="AI309" s="9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7"/>
      <c r="AE310" s="9"/>
      <c r="AF310" s="1"/>
      <c r="AG310" s="1"/>
      <c r="AH310" s="1"/>
      <c r="AI310" s="9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7"/>
      <c r="AE311" s="9"/>
      <c r="AF311" s="1"/>
      <c r="AG311" s="1"/>
      <c r="AH311" s="1"/>
      <c r="AI311" s="9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7"/>
      <c r="AE312" s="9"/>
      <c r="AF312" s="1"/>
      <c r="AG312" s="1"/>
      <c r="AH312" s="1"/>
      <c r="AI312" s="9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7"/>
      <c r="AE313" s="9"/>
      <c r="AF313" s="1"/>
      <c r="AG313" s="1"/>
      <c r="AH313" s="1"/>
      <c r="AI313" s="9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7"/>
      <c r="AE314" s="9"/>
      <c r="AF314" s="1"/>
      <c r="AG314" s="1"/>
      <c r="AH314" s="1"/>
      <c r="AI314" s="9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7"/>
      <c r="AE315" s="9"/>
      <c r="AF315" s="1"/>
      <c r="AG315" s="1"/>
      <c r="AH315" s="1"/>
      <c r="AI315" s="9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7"/>
      <c r="AE316" s="9"/>
      <c r="AF316" s="1"/>
      <c r="AG316" s="1"/>
      <c r="AH316" s="1"/>
      <c r="AI316" s="9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7"/>
      <c r="AE317" s="9"/>
      <c r="AF317" s="1"/>
      <c r="AG317" s="1"/>
      <c r="AH317" s="1"/>
      <c r="AI317" s="9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7"/>
      <c r="AE318" s="9"/>
      <c r="AF318" s="1"/>
      <c r="AG318" s="1"/>
      <c r="AH318" s="1"/>
      <c r="AI318" s="9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7"/>
      <c r="AE319" s="9"/>
      <c r="AF319" s="1"/>
      <c r="AG319" s="1"/>
      <c r="AH319" s="1"/>
      <c r="AI319" s="9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7"/>
      <c r="AE320" s="9"/>
      <c r="AF320" s="1"/>
      <c r="AG320" s="1"/>
      <c r="AH320" s="1"/>
      <c r="AI320" s="9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7"/>
      <c r="AE321" s="9"/>
      <c r="AF321" s="1"/>
      <c r="AG321" s="1"/>
      <c r="AH321" s="1"/>
      <c r="AI321" s="9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7"/>
      <c r="AE322" s="9"/>
      <c r="AF322" s="1"/>
      <c r="AG322" s="1"/>
      <c r="AH322" s="1"/>
      <c r="AI322" s="9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7"/>
      <c r="AE323" s="9"/>
      <c r="AF323" s="1"/>
      <c r="AG323" s="1"/>
      <c r="AH323" s="1"/>
      <c r="AI323" s="9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7"/>
      <c r="AE324" s="9"/>
      <c r="AF324" s="1"/>
      <c r="AG324" s="1"/>
      <c r="AH324" s="1"/>
      <c r="AI324" s="9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7"/>
      <c r="AE325" s="9"/>
      <c r="AF325" s="1"/>
      <c r="AG325" s="1"/>
      <c r="AH325" s="1"/>
      <c r="AI325" s="9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7"/>
      <c r="AE326" s="9"/>
      <c r="AF326" s="1"/>
      <c r="AG326" s="1"/>
      <c r="AH326" s="1"/>
      <c r="AI326" s="9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7"/>
      <c r="AE327" s="9"/>
      <c r="AF327" s="1"/>
      <c r="AG327" s="1"/>
      <c r="AH327" s="1"/>
      <c r="AI327" s="9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7"/>
      <c r="AE328" s="9"/>
      <c r="AF328" s="1"/>
      <c r="AG328" s="1"/>
      <c r="AH328" s="1"/>
      <c r="AI328" s="9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7"/>
      <c r="AE329" s="9"/>
      <c r="AF329" s="1"/>
      <c r="AG329" s="1"/>
      <c r="AH329" s="1"/>
      <c r="AI329" s="9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7"/>
      <c r="AE330" s="9"/>
      <c r="AF330" s="1"/>
      <c r="AG330" s="1"/>
      <c r="AH330" s="1"/>
      <c r="AI330" s="9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7"/>
      <c r="AE331" s="9"/>
      <c r="AF331" s="1"/>
      <c r="AG331" s="1"/>
      <c r="AH331" s="1"/>
      <c r="AI331" s="9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7"/>
      <c r="AE332" s="9"/>
      <c r="AF332" s="1"/>
      <c r="AG332" s="1"/>
      <c r="AH332" s="1"/>
      <c r="AI332" s="9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7"/>
      <c r="AE333" s="9"/>
      <c r="AF333" s="1"/>
      <c r="AG333" s="1"/>
      <c r="AH333" s="1"/>
      <c r="AI333" s="9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7"/>
      <c r="AE334" s="9"/>
      <c r="AF334" s="1"/>
      <c r="AG334" s="1"/>
      <c r="AH334" s="1"/>
      <c r="AI334" s="9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7"/>
      <c r="AE335" s="9"/>
      <c r="AF335" s="1"/>
      <c r="AG335" s="1"/>
      <c r="AH335" s="1"/>
      <c r="AI335" s="9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7"/>
      <c r="AE336" s="9"/>
      <c r="AF336" s="1"/>
      <c r="AG336" s="1"/>
      <c r="AH336" s="1"/>
      <c r="AI336" s="9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7"/>
      <c r="AE337" s="9"/>
      <c r="AF337" s="1"/>
      <c r="AG337" s="1"/>
      <c r="AH337" s="1"/>
      <c r="AI337" s="9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7"/>
      <c r="AE338" s="9"/>
      <c r="AF338" s="1"/>
      <c r="AG338" s="1"/>
      <c r="AH338" s="1"/>
      <c r="AI338" s="9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7"/>
      <c r="AE339" s="9"/>
      <c r="AF339" s="1"/>
      <c r="AG339" s="1"/>
      <c r="AH339" s="1"/>
      <c r="AI339" s="9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7"/>
      <c r="AE340" s="9"/>
      <c r="AF340" s="1"/>
      <c r="AG340" s="1"/>
      <c r="AH340" s="1"/>
      <c r="AI340" s="9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7"/>
      <c r="AE341" s="9"/>
      <c r="AF341" s="1"/>
      <c r="AG341" s="1"/>
      <c r="AH341" s="1"/>
      <c r="AI341" s="9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7"/>
      <c r="AE342" s="9"/>
      <c r="AF342" s="1"/>
      <c r="AG342" s="1"/>
      <c r="AH342" s="1"/>
      <c r="AI342" s="9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7"/>
      <c r="AE343" s="9"/>
      <c r="AF343" s="1"/>
      <c r="AG343" s="1"/>
      <c r="AH343" s="1"/>
      <c r="AI343" s="9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7"/>
      <c r="AE344" s="9"/>
      <c r="AF344" s="1"/>
      <c r="AG344" s="1"/>
      <c r="AH344" s="1"/>
      <c r="AI344" s="9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7"/>
      <c r="AE345" s="9"/>
      <c r="AF345" s="1"/>
      <c r="AG345" s="1"/>
      <c r="AH345" s="1"/>
      <c r="AI345" s="9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7"/>
      <c r="AE346" s="9"/>
      <c r="AF346" s="1"/>
      <c r="AG346" s="1"/>
      <c r="AH346" s="1"/>
      <c r="AI346" s="9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7"/>
      <c r="AE347" s="9"/>
      <c r="AF347" s="1"/>
      <c r="AG347" s="1"/>
      <c r="AH347" s="1"/>
      <c r="AI347" s="9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7"/>
      <c r="AE348" s="9"/>
      <c r="AF348" s="1"/>
      <c r="AG348" s="1"/>
      <c r="AH348" s="1"/>
      <c r="AI348" s="9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7"/>
      <c r="AE349" s="9"/>
      <c r="AF349" s="1"/>
      <c r="AG349" s="1"/>
      <c r="AH349" s="1"/>
      <c r="AI349" s="9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7"/>
      <c r="AE350" s="9"/>
      <c r="AF350" s="1"/>
      <c r="AG350" s="1"/>
      <c r="AH350" s="1"/>
      <c r="AI350" s="9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7"/>
      <c r="AE351" s="9"/>
      <c r="AF351" s="1"/>
      <c r="AG351" s="1"/>
      <c r="AH351" s="1"/>
      <c r="AI351" s="9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7"/>
      <c r="AE352" s="9"/>
      <c r="AF352" s="1"/>
      <c r="AG352" s="1"/>
      <c r="AH352" s="1"/>
      <c r="AI352" s="9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7"/>
      <c r="AE353" s="9"/>
      <c r="AF353" s="1"/>
      <c r="AG353" s="1"/>
      <c r="AH353" s="1"/>
      <c r="AI353" s="9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7"/>
      <c r="AE354" s="9"/>
      <c r="AF354" s="1"/>
      <c r="AG354" s="1"/>
      <c r="AH354" s="1"/>
      <c r="AI354" s="9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7"/>
      <c r="AE355" s="9"/>
      <c r="AF355" s="1"/>
      <c r="AG355" s="1"/>
      <c r="AH355" s="1"/>
      <c r="AI355" s="9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7"/>
      <c r="AE356" s="9"/>
      <c r="AF356" s="1"/>
      <c r="AG356" s="1"/>
      <c r="AH356" s="1"/>
      <c r="AI356" s="9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7"/>
      <c r="AE357" s="9"/>
      <c r="AF357" s="1"/>
      <c r="AG357" s="1"/>
      <c r="AH357" s="1"/>
      <c r="AI357" s="9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7"/>
      <c r="AE358" s="9"/>
      <c r="AF358" s="1"/>
      <c r="AG358" s="1"/>
      <c r="AH358" s="1"/>
      <c r="AI358" s="9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7"/>
      <c r="AE359" s="9"/>
      <c r="AF359" s="1"/>
      <c r="AG359" s="1"/>
      <c r="AH359" s="1"/>
      <c r="AI359" s="9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7"/>
      <c r="AE360" s="9"/>
      <c r="AF360" s="1"/>
      <c r="AG360" s="1"/>
      <c r="AH360" s="1"/>
      <c r="AI360" s="9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7"/>
      <c r="AE361" s="9"/>
      <c r="AF361" s="1"/>
      <c r="AG361" s="1"/>
      <c r="AH361" s="1"/>
      <c r="AI361" s="9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7"/>
      <c r="AE362" s="9"/>
      <c r="AF362" s="1"/>
      <c r="AG362" s="1"/>
      <c r="AH362" s="1"/>
      <c r="AI362" s="9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7"/>
      <c r="AE363" s="9"/>
      <c r="AF363" s="1"/>
      <c r="AG363" s="1"/>
      <c r="AH363" s="1"/>
      <c r="AI363" s="9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7"/>
      <c r="AE364" s="9"/>
      <c r="AF364" s="1"/>
      <c r="AG364" s="1"/>
      <c r="AH364" s="1"/>
      <c r="AI364" s="9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7"/>
      <c r="AE365" s="9"/>
      <c r="AF365" s="1"/>
      <c r="AG365" s="1"/>
      <c r="AH365" s="1"/>
      <c r="AI365" s="9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7"/>
      <c r="AE366" s="9"/>
      <c r="AF366" s="1"/>
      <c r="AG366" s="1"/>
      <c r="AH366" s="1"/>
      <c r="AI366" s="9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7"/>
      <c r="AE367" s="9"/>
      <c r="AF367" s="1"/>
      <c r="AG367" s="1"/>
      <c r="AH367" s="1"/>
      <c r="AI367" s="9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7"/>
      <c r="AE368" s="9"/>
      <c r="AF368" s="1"/>
      <c r="AG368" s="1"/>
      <c r="AH368" s="1"/>
      <c r="AI368" s="9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7"/>
      <c r="AE369" s="9"/>
      <c r="AF369" s="1"/>
      <c r="AG369" s="1"/>
      <c r="AH369" s="1"/>
      <c r="AI369" s="9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7"/>
      <c r="AE370" s="9"/>
      <c r="AF370" s="1"/>
      <c r="AG370" s="1"/>
      <c r="AH370" s="1"/>
      <c r="AI370" s="9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7"/>
      <c r="AE371" s="9"/>
      <c r="AF371" s="1"/>
      <c r="AG371" s="1"/>
      <c r="AH371" s="1"/>
      <c r="AI371" s="9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7"/>
      <c r="AE372" s="9"/>
      <c r="AF372" s="1"/>
      <c r="AG372" s="1"/>
      <c r="AH372" s="1"/>
      <c r="AI372" s="9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7"/>
      <c r="AE373" s="9"/>
      <c r="AF373" s="1"/>
      <c r="AG373" s="1"/>
      <c r="AH373" s="1"/>
      <c r="AI373" s="9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7"/>
      <c r="AE374" s="9"/>
      <c r="AF374" s="1"/>
      <c r="AG374" s="1"/>
      <c r="AH374" s="1"/>
      <c r="AI374" s="9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7"/>
      <c r="AE375" s="9"/>
      <c r="AF375" s="1"/>
      <c r="AG375" s="1"/>
      <c r="AH375" s="1"/>
      <c r="AI375" s="9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7"/>
      <c r="AE376" s="9"/>
      <c r="AF376" s="1"/>
      <c r="AG376" s="1"/>
      <c r="AH376" s="1"/>
      <c r="AI376" s="9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7"/>
      <c r="AE377" s="9"/>
      <c r="AF377" s="1"/>
      <c r="AG377" s="1"/>
      <c r="AH377" s="1"/>
      <c r="AI377" s="9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7"/>
      <c r="AE378" s="9"/>
      <c r="AF378" s="1"/>
      <c r="AG378" s="1"/>
      <c r="AH378" s="1"/>
      <c r="AI378" s="9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7"/>
      <c r="AE379" s="9"/>
      <c r="AF379" s="1"/>
      <c r="AG379" s="1"/>
      <c r="AH379" s="1"/>
      <c r="AI379" s="9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7"/>
      <c r="AE380" s="9"/>
      <c r="AF380" s="1"/>
      <c r="AG380" s="1"/>
      <c r="AH380" s="1"/>
      <c r="AI380" s="9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7"/>
      <c r="AE381" s="9"/>
      <c r="AF381" s="1"/>
      <c r="AG381" s="1"/>
      <c r="AH381" s="1"/>
      <c r="AI381" s="9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7"/>
      <c r="AE382" s="9"/>
      <c r="AF382" s="1"/>
      <c r="AG382" s="1"/>
      <c r="AH382" s="1"/>
      <c r="AI382" s="9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7"/>
      <c r="AE383" s="9"/>
      <c r="AF383" s="1"/>
      <c r="AG383" s="1"/>
      <c r="AH383" s="1"/>
      <c r="AI383" s="9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7"/>
      <c r="AE384" s="9"/>
      <c r="AF384" s="1"/>
      <c r="AG384" s="1"/>
      <c r="AH384" s="1"/>
      <c r="AI384" s="9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7"/>
      <c r="AE385" s="9"/>
      <c r="AF385" s="1"/>
      <c r="AG385" s="1"/>
      <c r="AH385" s="1"/>
      <c r="AI385" s="9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7"/>
      <c r="AE386" s="9"/>
      <c r="AF386" s="1"/>
      <c r="AG386" s="1"/>
      <c r="AH386" s="1"/>
      <c r="AI386" s="9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7"/>
      <c r="AE387" s="9"/>
      <c r="AF387" s="1"/>
      <c r="AG387" s="1"/>
      <c r="AH387" s="1"/>
      <c r="AI387" s="9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7"/>
      <c r="AE388" s="9"/>
      <c r="AF388" s="1"/>
      <c r="AG388" s="1"/>
      <c r="AH388" s="1"/>
      <c r="AI388" s="9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7"/>
      <c r="AE389" s="9"/>
      <c r="AF389" s="1"/>
      <c r="AG389" s="1"/>
      <c r="AH389" s="1"/>
      <c r="AI389" s="9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7"/>
      <c r="AE390" s="9"/>
      <c r="AF390" s="1"/>
      <c r="AG390" s="1"/>
      <c r="AH390" s="1"/>
      <c r="AI390" s="9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7"/>
      <c r="AE391" s="9"/>
      <c r="AF391" s="1"/>
      <c r="AG391" s="1"/>
      <c r="AH391" s="1"/>
      <c r="AI391" s="9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7"/>
      <c r="AE392" s="9"/>
      <c r="AF392" s="1"/>
      <c r="AG392" s="1"/>
      <c r="AH392" s="1"/>
      <c r="AI392" s="9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7"/>
      <c r="AE393" s="9"/>
      <c r="AF393" s="1"/>
      <c r="AG393" s="1"/>
      <c r="AH393" s="1"/>
      <c r="AI393" s="9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7"/>
      <c r="AE394" s="9"/>
      <c r="AF394" s="1"/>
      <c r="AG394" s="1"/>
      <c r="AH394" s="1"/>
      <c r="AI394" s="9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7"/>
      <c r="AE395" s="9"/>
      <c r="AF395" s="1"/>
      <c r="AG395" s="1"/>
      <c r="AH395" s="1"/>
      <c r="AI395" s="9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7"/>
      <c r="AE396" s="9"/>
      <c r="AF396" s="1"/>
      <c r="AG396" s="1"/>
      <c r="AH396" s="1"/>
      <c r="AI396" s="9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7"/>
      <c r="AE397" s="9"/>
      <c r="AF397" s="1"/>
      <c r="AG397" s="1"/>
      <c r="AH397" s="1"/>
      <c r="AI397" s="9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7"/>
      <c r="AE398" s="9"/>
      <c r="AF398" s="1"/>
      <c r="AG398" s="1"/>
      <c r="AH398" s="1"/>
      <c r="AI398" s="9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7"/>
      <c r="AE399" s="9"/>
      <c r="AF399" s="1"/>
      <c r="AG399" s="1"/>
      <c r="AH399" s="1"/>
      <c r="AI399" s="9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7"/>
      <c r="AE400" s="9"/>
      <c r="AF400" s="1"/>
      <c r="AG400" s="1"/>
      <c r="AH400" s="1"/>
      <c r="AI400" s="9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7"/>
      <c r="AE401" s="9"/>
      <c r="AF401" s="1"/>
      <c r="AG401" s="1"/>
      <c r="AH401" s="1"/>
      <c r="AI401" s="9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7"/>
      <c r="AE402" s="9"/>
      <c r="AF402" s="1"/>
      <c r="AG402" s="1"/>
      <c r="AH402" s="1"/>
      <c r="AI402" s="9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7"/>
      <c r="AE403" s="9"/>
      <c r="AF403" s="1"/>
      <c r="AG403" s="1"/>
      <c r="AH403" s="1"/>
      <c r="AI403" s="9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7"/>
      <c r="AE404" s="9"/>
      <c r="AF404" s="1"/>
      <c r="AG404" s="1"/>
      <c r="AH404" s="1"/>
      <c r="AI404" s="9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7"/>
      <c r="AE405" s="9"/>
      <c r="AF405" s="1"/>
      <c r="AG405" s="1"/>
      <c r="AH405" s="1"/>
      <c r="AI405" s="9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7"/>
      <c r="AE406" s="9"/>
      <c r="AF406" s="1"/>
      <c r="AG406" s="1"/>
      <c r="AH406" s="1"/>
      <c r="AI406" s="9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7"/>
      <c r="AE407" s="9"/>
      <c r="AF407" s="1"/>
      <c r="AG407" s="1"/>
      <c r="AH407" s="1"/>
      <c r="AI407" s="9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7"/>
      <c r="AE408" s="9"/>
      <c r="AF408" s="1"/>
      <c r="AG408" s="1"/>
      <c r="AH408" s="1"/>
      <c r="AI408" s="9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7"/>
      <c r="AE409" s="9"/>
      <c r="AF409" s="1"/>
      <c r="AG409" s="1"/>
      <c r="AH409" s="1"/>
      <c r="AI409" s="9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7"/>
      <c r="AE410" s="9"/>
      <c r="AF410" s="1"/>
      <c r="AG410" s="1"/>
      <c r="AH410" s="1"/>
      <c r="AI410" s="9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7"/>
      <c r="AE411" s="9"/>
      <c r="AF411" s="1"/>
      <c r="AG411" s="1"/>
      <c r="AH411" s="1"/>
      <c r="AI411" s="9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7"/>
      <c r="AE412" s="9"/>
      <c r="AF412" s="1"/>
      <c r="AG412" s="1"/>
      <c r="AH412" s="1"/>
      <c r="AI412" s="9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7"/>
      <c r="AE413" s="9"/>
      <c r="AF413" s="1"/>
      <c r="AG413" s="1"/>
      <c r="AH413" s="1"/>
      <c r="AI413" s="9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7"/>
      <c r="AE414" s="9"/>
      <c r="AF414" s="1"/>
      <c r="AG414" s="1"/>
      <c r="AH414" s="1"/>
      <c r="AI414" s="9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7"/>
      <c r="AE415" s="9"/>
      <c r="AF415" s="1"/>
      <c r="AG415" s="1"/>
      <c r="AH415" s="1"/>
      <c r="AI415" s="9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7"/>
      <c r="AE416" s="9"/>
      <c r="AF416" s="1"/>
      <c r="AG416" s="1"/>
      <c r="AH416" s="1"/>
      <c r="AI416" s="9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7"/>
      <c r="AE417" s="9"/>
      <c r="AF417" s="1"/>
      <c r="AG417" s="1"/>
      <c r="AH417" s="1"/>
      <c r="AI417" s="9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7"/>
      <c r="AE418" s="9"/>
      <c r="AF418" s="1"/>
      <c r="AG418" s="1"/>
      <c r="AH418" s="1"/>
      <c r="AI418" s="9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7"/>
      <c r="AE419" s="9"/>
      <c r="AF419" s="1"/>
      <c r="AG419" s="1"/>
      <c r="AH419" s="1"/>
      <c r="AI419" s="9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7"/>
      <c r="AE420" s="9"/>
      <c r="AF420" s="1"/>
      <c r="AG420" s="1"/>
      <c r="AH420" s="1"/>
      <c r="AI420" s="9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7"/>
      <c r="AE421" s="9"/>
      <c r="AF421" s="1"/>
      <c r="AG421" s="1"/>
      <c r="AH421" s="1"/>
      <c r="AI421" s="9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7"/>
      <c r="AE422" s="9"/>
      <c r="AF422" s="1"/>
      <c r="AG422" s="1"/>
      <c r="AH422" s="1"/>
      <c r="AI422" s="9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7"/>
      <c r="AE423" s="9"/>
      <c r="AF423" s="1"/>
      <c r="AG423" s="1"/>
      <c r="AH423" s="1"/>
      <c r="AI423" s="9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7"/>
      <c r="AE424" s="9"/>
      <c r="AF424" s="1"/>
      <c r="AG424" s="1"/>
      <c r="AH424" s="1"/>
      <c r="AI424" s="9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7"/>
      <c r="AE425" s="9"/>
      <c r="AF425" s="1"/>
      <c r="AG425" s="1"/>
      <c r="AH425" s="1"/>
      <c r="AI425" s="9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7"/>
      <c r="AE426" s="9"/>
      <c r="AF426" s="1"/>
      <c r="AG426" s="1"/>
      <c r="AH426" s="1"/>
      <c r="AI426" s="9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7"/>
      <c r="AE427" s="9"/>
      <c r="AF427" s="1"/>
      <c r="AG427" s="1"/>
      <c r="AH427" s="1"/>
      <c r="AI427" s="9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7"/>
      <c r="AE428" s="9"/>
      <c r="AF428" s="1"/>
      <c r="AG428" s="1"/>
      <c r="AH428" s="1"/>
      <c r="AI428" s="9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7"/>
      <c r="AE429" s="9"/>
      <c r="AF429" s="1"/>
      <c r="AG429" s="1"/>
      <c r="AH429" s="1"/>
      <c r="AI429" s="9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7"/>
      <c r="AE430" s="9"/>
      <c r="AF430" s="1"/>
      <c r="AG430" s="1"/>
      <c r="AH430" s="1"/>
      <c r="AI430" s="9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7"/>
      <c r="AE431" s="9"/>
      <c r="AF431" s="1"/>
      <c r="AG431" s="1"/>
      <c r="AH431" s="1"/>
      <c r="AI431" s="9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7"/>
      <c r="AE432" s="9"/>
      <c r="AF432" s="1"/>
      <c r="AG432" s="1"/>
      <c r="AH432" s="1"/>
      <c r="AI432" s="9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7"/>
      <c r="AE433" s="9"/>
      <c r="AF433" s="1"/>
      <c r="AG433" s="1"/>
      <c r="AH433" s="1"/>
      <c r="AI433" s="9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7"/>
      <c r="AE434" s="9"/>
      <c r="AF434" s="1"/>
      <c r="AG434" s="1"/>
      <c r="AH434" s="1"/>
      <c r="AI434" s="9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7"/>
      <c r="AE435" s="9"/>
      <c r="AF435" s="1"/>
      <c r="AG435" s="1"/>
      <c r="AH435" s="1"/>
      <c r="AI435" s="9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7"/>
      <c r="AE436" s="9"/>
      <c r="AF436" s="1"/>
      <c r="AG436" s="1"/>
      <c r="AH436" s="1"/>
      <c r="AI436" s="9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7"/>
      <c r="AE437" s="9"/>
      <c r="AF437" s="1"/>
      <c r="AG437" s="1"/>
      <c r="AH437" s="1"/>
      <c r="AI437" s="9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7"/>
      <c r="AE438" s="9"/>
      <c r="AF438" s="1"/>
      <c r="AG438" s="1"/>
      <c r="AH438" s="1"/>
      <c r="AI438" s="9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7"/>
      <c r="AE439" s="9"/>
      <c r="AF439" s="1"/>
      <c r="AG439" s="1"/>
      <c r="AH439" s="1"/>
      <c r="AI439" s="9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7"/>
      <c r="AE440" s="9"/>
      <c r="AF440" s="1"/>
      <c r="AG440" s="1"/>
      <c r="AH440" s="1"/>
      <c r="AI440" s="9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7"/>
      <c r="AE441" s="9"/>
      <c r="AF441" s="1"/>
      <c r="AG441" s="1"/>
      <c r="AH441" s="1"/>
      <c r="AI441" s="9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7"/>
      <c r="AE442" s="9"/>
      <c r="AF442" s="1"/>
      <c r="AG442" s="1"/>
      <c r="AH442" s="1"/>
      <c r="AI442" s="9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7"/>
      <c r="AE443" s="9"/>
      <c r="AF443" s="1"/>
      <c r="AG443" s="1"/>
      <c r="AH443" s="1"/>
      <c r="AI443" s="9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7"/>
      <c r="AE444" s="9"/>
      <c r="AF444" s="1"/>
      <c r="AG444" s="1"/>
      <c r="AH444" s="1"/>
      <c r="AI444" s="9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7"/>
      <c r="AE445" s="9"/>
      <c r="AF445" s="1"/>
      <c r="AG445" s="1"/>
      <c r="AH445" s="1"/>
      <c r="AI445" s="9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7"/>
      <c r="AE446" s="9"/>
      <c r="AF446" s="1"/>
      <c r="AG446" s="1"/>
      <c r="AH446" s="1"/>
      <c r="AI446" s="9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7"/>
      <c r="AE447" s="9"/>
      <c r="AF447" s="1"/>
      <c r="AG447" s="1"/>
      <c r="AH447" s="1"/>
      <c r="AI447" s="9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7"/>
      <c r="AE448" s="9"/>
      <c r="AF448" s="1"/>
      <c r="AG448" s="1"/>
      <c r="AH448" s="1"/>
      <c r="AI448" s="9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7"/>
      <c r="AE449" s="9"/>
      <c r="AF449" s="1"/>
      <c r="AG449" s="1"/>
      <c r="AH449" s="1"/>
      <c r="AI449" s="9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7"/>
      <c r="AE450" s="9"/>
      <c r="AF450" s="1"/>
      <c r="AG450" s="1"/>
      <c r="AH450" s="1"/>
      <c r="AI450" s="9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7"/>
      <c r="AE451" s="9"/>
      <c r="AF451" s="1"/>
      <c r="AG451" s="1"/>
      <c r="AH451" s="1"/>
      <c r="AI451" s="9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7"/>
      <c r="AE452" s="9"/>
      <c r="AF452" s="1"/>
      <c r="AG452" s="1"/>
      <c r="AH452" s="1"/>
      <c r="AI452" s="9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7"/>
      <c r="AE453" s="9"/>
      <c r="AF453" s="1"/>
      <c r="AG453" s="1"/>
      <c r="AH453" s="1"/>
      <c r="AI453" s="9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7"/>
      <c r="AE454" s="9"/>
      <c r="AF454" s="1"/>
      <c r="AG454" s="1"/>
      <c r="AH454" s="1"/>
      <c r="AI454" s="9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7"/>
      <c r="AE455" s="9"/>
      <c r="AF455" s="1"/>
      <c r="AG455" s="1"/>
      <c r="AH455" s="1"/>
      <c r="AI455" s="9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7"/>
      <c r="AE456" s="9"/>
      <c r="AF456" s="1"/>
      <c r="AG456" s="1"/>
      <c r="AH456" s="1"/>
      <c r="AI456" s="9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7"/>
      <c r="AE457" s="9"/>
      <c r="AF457" s="1"/>
      <c r="AG457" s="1"/>
      <c r="AH457" s="1"/>
      <c r="AI457" s="9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7"/>
      <c r="AE458" s="9"/>
      <c r="AF458" s="1"/>
      <c r="AG458" s="1"/>
      <c r="AH458" s="1"/>
      <c r="AI458" s="9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7"/>
      <c r="AE459" s="9"/>
      <c r="AF459" s="1"/>
      <c r="AG459" s="1"/>
      <c r="AH459" s="1"/>
      <c r="AI459" s="9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7"/>
      <c r="AE460" s="9"/>
      <c r="AF460" s="1"/>
      <c r="AG460" s="1"/>
      <c r="AH460" s="1"/>
      <c r="AI460" s="9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7"/>
      <c r="AE461" s="9"/>
      <c r="AF461" s="1"/>
      <c r="AG461" s="1"/>
      <c r="AH461" s="1"/>
      <c r="AI461" s="9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7"/>
      <c r="AE462" s="9"/>
      <c r="AF462" s="1"/>
      <c r="AG462" s="1"/>
      <c r="AH462" s="1"/>
      <c r="AI462" s="9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7"/>
      <c r="AE463" s="9"/>
      <c r="AF463" s="1"/>
      <c r="AG463" s="1"/>
      <c r="AH463" s="1"/>
      <c r="AI463" s="9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7"/>
      <c r="AE464" s="9"/>
      <c r="AF464" s="1"/>
      <c r="AG464" s="1"/>
      <c r="AH464" s="1"/>
      <c r="AI464" s="9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7"/>
      <c r="AE465" s="9"/>
      <c r="AF465" s="1"/>
      <c r="AG465" s="1"/>
      <c r="AH465" s="1"/>
      <c r="AI465" s="9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7"/>
      <c r="AE466" s="9"/>
      <c r="AF466" s="1"/>
      <c r="AG466" s="1"/>
      <c r="AH466" s="1"/>
      <c r="AI466" s="9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7"/>
      <c r="AE467" s="9"/>
      <c r="AF467" s="1"/>
      <c r="AG467" s="1"/>
      <c r="AH467" s="1"/>
      <c r="AI467" s="9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7"/>
      <c r="AE468" s="9"/>
      <c r="AF468" s="1"/>
      <c r="AG468" s="1"/>
      <c r="AH468" s="1"/>
      <c r="AI468" s="9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7"/>
      <c r="AE469" s="9"/>
      <c r="AF469" s="1"/>
      <c r="AG469" s="1"/>
      <c r="AH469" s="1"/>
      <c r="AI469" s="9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7"/>
      <c r="AE470" s="9"/>
      <c r="AF470" s="1"/>
      <c r="AG470" s="1"/>
      <c r="AH470" s="1"/>
      <c r="AI470" s="9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7"/>
      <c r="AE471" s="9"/>
      <c r="AF471" s="1"/>
      <c r="AG471" s="1"/>
      <c r="AH471" s="1"/>
      <c r="AI471" s="9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7"/>
      <c r="AE472" s="9"/>
      <c r="AF472" s="1"/>
      <c r="AG472" s="1"/>
      <c r="AH472" s="1"/>
      <c r="AI472" s="9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7"/>
      <c r="AE473" s="9"/>
      <c r="AF473" s="1"/>
      <c r="AG473" s="1"/>
      <c r="AH473" s="1"/>
      <c r="AI473" s="9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7"/>
      <c r="AE474" s="9"/>
      <c r="AF474" s="1"/>
      <c r="AG474" s="1"/>
      <c r="AH474" s="1"/>
      <c r="AI474" s="9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7"/>
      <c r="AE475" s="9"/>
      <c r="AF475" s="1"/>
      <c r="AG475" s="1"/>
      <c r="AH475" s="1"/>
      <c r="AI475" s="9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7"/>
      <c r="AE476" s="9"/>
      <c r="AF476" s="1"/>
      <c r="AG476" s="1"/>
      <c r="AH476" s="1"/>
      <c r="AI476" s="9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7"/>
      <c r="AE477" s="9"/>
      <c r="AF477" s="1"/>
      <c r="AG477" s="1"/>
      <c r="AH477" s="1"/>
      <c r="AI477" s="9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7"/>
      <c r="AE478" s="9"/>
      <c r="AF478" s="1"/>
      <c r="AG478" s="1"/>
      <c r="AH478" s="1"/>
      <c r="AI478" s="9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7"/>
      <c r="AE479" s="9"/>
      <c r="AF479" s="1"/>
      <c r="AG479" s="1"/>
      <c r="AH479" s="1"/>
      <c r="AI479" s="9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7"/>
      <c r="AE480" s="9"/>
      <c r="AF480" s="1"/>
      <c r="AG480" s="1"/>
      <c r="AH480" s="1"/>
      <c r="AI480" s="9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7"/>
      <c r="AE481" s="9"/>
      <c r="AF481" s="1"/>
      <c r="AG481" s="1"/>
      <c r="AH481" s="1"/>
      <c r="AI481" s="9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7"/>
      <c r="AE482" s="9"/>
      <c r="AF482" s="1"/>
      <c r="AG482" s="1"/>
      <c r="AH482" s="1"/>
      <c r="AI482" s="9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7"/>
      <c r="AE483" s="9"/>
      <c r="AF483" s="1"/>
      <c r="AG483" s="1"/>
      <c r="AH483" s="1"/>
      <c r="AI483" s="9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7"/>
      <c r="AE484" s="9"/>
      <c r="AF484" s="1"/>
      <c r="AG484" s="1"/>
      <c r="AH484" s="1"/>
      <c r="AI484" s="9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7"/>
      <c r="AE485" s="9"/>
      <c r="AF485" s="1"/>
      <c r="AG485" s="1"/>
      <c r="AH485" s="1"/>
      <c r="AI485" s="9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7"/>
      <c r="AE486" s="9"/>
      <c r="AF486" s="1"/>
      <c r="AG486" s="1"/>
      <c r="AH486" s="1"/>
      <c r="AI486" s="9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7"/>
      <c r="AE487" s="9"/>
      <c r="AF487" s="1"/>
      <c r="AG487" s="1"/>
      <c r="AH487" s="1"/>
      <c r="AI487" s="9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7"/>
      <c r="AE488" s="9"/>
      <c r="AF488" s="1"/>
      <c r="AG488" s="1"/>
      <c r="AH488" s="1"/>
      <c r="AI488" s="9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7"/>
      <c r="AE489" s="9"/>
      <c r="AF489" s="1"/>
      <c r="AG489" s="1"/>
      <c r="AH489" s="1"/>
      <c r="AI489" s="9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7"/>
      <c r="AE490" s="9"/>
      <c r="AF490" s="1"/>
      <c r="AG490" s="1"/>
      <c r="AH490" s="1"/>
      <c r="AI490" s="9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7"/>
      <c r="AE491" s="9"/>
      <c r="AF491" s="1"/>
      <c r="AG491" s="1"/>
      <c r="AH491" s="1"/>
      <c r="AI491" s="9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7"/>
      <c r="AE492" s="9"/>
      <c r="AF492" s="1"/>
      <c r="AG492" s="1"/>
      <c r="AH492" s="1"/>
      <c r="AI492" s="9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7"/>
      <c r="AE493" s="9"/>
      <c r="AF493" s="1"/>
      <c r="AG493" s="1"/>
      <c r="AH493" s="1"/>
      <c r="AI493" s="9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7"/>
      <c r="AE494" s="9"/>
      <c r="AF494" s="1"/>
      <c r="AG494" s="1"/>
      <c r="AH494" s="1"/>
      <c r="AI494" s="9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7"/>
      <c r="AE495" s="9"/>
      <c r="AF495" s="1"/>
      <c r="AG495" s="1"/>
      <c r="AH495" s="1"/>
      <c r="AI495" s="9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7"/>
      <c r="AE496" s="9"/>
      <c r="AF496" s="1"/>
      <c r="AG496" s="1"/>
      <c r="AH496" s="1"/>
      <c r="AI496" s="9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7"/>
      <c r="AE497" s="9"/>
      <c r="AF497" s="1"/>
      <c r="AG497" s="1"/>
      <c r="AH497" s="1"/>
      <c r="AI497" s="9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7"/>
      <c r="AE498" s="9"/>
      <c r="AF498" s="1"/>
      <c r="AG498" s="1"/>
      <c r="AH498" s="1"/>
      <c r="AI498" s="9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7"/>
      <c r="AE499" s="9"/>
      <c r="AF499" s="1"/>
      <c r="AG499" s="1"/>
      <c r="AH499" s="1"/>
      <c r="AI499" s="9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7"/>
      <c r="AE500" s="9"/>
      <c r="AF500" s="1"/>
      <c r="AG500" s="1"/>
      <c r="AH500" s="1"/>
      <c r="AI500" s="9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2026-07-02T08:43:58Z</dcterms:created>
  <dcterms:modified xsi:type="dcterms:W3CDTF">2026-07-03T10:17:47Z</dcterms:modified>
</cp:coreProperties>
</file>