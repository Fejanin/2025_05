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D0EED926-DF18-4978-A117-A5D3B8074D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" i="1" l="1"/>
  <c r="AH6" i="1"/>
  <c r="AG7" i="1"/>
  <c r="AG6" i="1"/>
  <c r="AD7" i="1"/>
  <c r="AD6" i="1"/>
  <c r="I7" i="1"/>
  <c r="I6" i="1"/>
  <c r="H6" i="1"/>
  <c r="H7" i="1"/>
  <c r="G6" i="1"/>
  <c r="G7" i="1"/>
  <c r="P7" i="1" l="1"/>
  <c r="Q7" i="1" s="1"/>
  <c r="L7" i="1"/>
  <c r="F6" i="1"/>
  <c r="E6" i="1"/>
  <c r="L6" i="1" s="1"/>
  <c r="AA5" i="1"/>
  <c r="Z5" i="1"/>
  <c r="Y5" i="1"/>
  <c r="X5" i="1"/>
  <c r="W5" i="1"/>
  <c r="V5" i="1"/>
  <c r="O5" i="1"/>
  <c r="N5" i="1"/>
  <c r="M5" i="1"/>
  <c r="K5" i="1"/>
  <c r="E5" i="1" l="1"/>
  <c r="L5" i="1"/>
  <c r="U7" i="1"/>
  <c r="P6" i="1"/>
  <c r="Q6" i="1" s="1"/>
  <c r="F5" i="1"/>
  <c r="AC6" i="1" l="1"/>
  <c r="AE6" i="1"/>
  <c r="AC7" i="1"/>
  <c r="AE7" i="1"/>
  <c r="U6" i="1"/>
  <c r="P5" i="1"/>
  <c r="Q5" i="1" l="1"/>
  <c r="AF7" i="1"/>
  <c r="R7" i="1"/>
  <c r="T7" i="1" s="1"/>
  <c r="AI7" i="1"/>
  <c r="AI6" i="1"/>
  <c r="R6" i="1"/>
  <c r="T6" i="1" s="1"/>
  <c r="AF6" i="1"/>
  <c r="AE5" i="1"/>
  <c r="AC5" i="1" l="1"/>
  <c r="AF5" i="1" l="1"/>
  <c r="AI5" i="1"/>
  <c r="R5" i="1"/>
</calcChain>
</file>

<file path=xl/sharedStrings.xml><?xml version="1.0" encoding="utf-8"?>
<sst xmlns="http://schemas.openxmlformats.org/spreadsheetml/2006/main" count="48" uniqueCount="42">
  <si>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</si>
  <si>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</si>
  <si>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</si>
  <si>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</si>
  <si>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</si>
  <si>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</si>
  <si>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</si>
  <si>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</si>
  <si>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</si>
  <si>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</si>
  <si>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</si>
  <si>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</si>
  <si>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</si>
  <si>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</si>
  <si>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</si>
  <si>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</si>
  <si>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</si>
  <si>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</si>
  <si>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</si>
  <si>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</si>
  <si>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</si>
  <si>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</si>
  <si>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</si>
  <si>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</si>
  <si>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</si>
  <si>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</si>
  <si>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</si>
  <si>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</si>
  <si>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</si>
  <si>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29,06,</t>
  </si>
  <si>
    <t>02,07,</t>
  </si>
  <si>
    <t>25,06,</t>
  </si>
  <si>
    <t>18,06,</t>
  </si>
  <si>
    <t>11,06,</t>
  </si>
  <si>
    <t>04,05,</t>
  </si>
  <si>
    <t>28,05,</t>
  </si>
  <si>
    <t>21,05,</t>
  </si>
  <si>
    <t>шт</t>
  </si>
  <si>
    <t>Готовые чебупели сочные с мясом ТМ Горячая штучка флоу-пак 0,24 кг  ПОКОМ</t>
  </si>
  <si>
    <t>Пельмени Бигбули #МЕГАВКУСИЩЕ с сочной грудинкой  ТМ Горячая штучка  флоу-пак сфера 0,7 кг.  Поком</t>
  </si>
  <si>
    <t xml:space="preserve">  плюс 1000 , вместе 1720 шт промо ютл нужно </t>
  </si>
  <si>
    <t xml:space="preserve">плюс 1000 шт акция ютл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</si>
</sst>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0" fontId="0" fillId="5" borderId="0" xfId="0" applyFill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2,07,26%20&#1073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 (потребность)</v>
          </cell>
          <cell r="S3" t="str">
            <v>расчет (отгрузит завод)</v>
          </cell>
          <cell r="T3" t="str">
            <v>заказ филиала</v>
          </cell>
          <cell r="U3" t="str">
            <v>Комментарии филиала</v>
          </cell>
          <cell r="V3" t="str">
            <v>кон ост</v>
          </cell>
          <cell r="W3" t="str">
            <v>факт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комментарии</v>
          </cell>
          <cell r="AE3" t="str">
            <v>вес</v>
          </cell>
          <cell r="AF3" t="str">
            <v>крат кор</v>
          </cell>
          <cell r="AG3" t="str">
            <v>заказ кор.</v>
          </cell>
          <cell r="AH3" t="str">
            <v>ВЕС</v>
          </cell>
          <cell r="AI3" t="str">
            <v>ряд</v>
          </cell>
          <cell r="AJ3" t="str">
            <v>паллет</v>
          </cell>
        </row>
        <row r="4">
          <cell r="O4" t="str">
            <v>22,06,</v>
          </cell>
          <cell r="P4" t="str">
            <v>29,06,</v>
          </cell>
          <cell r="Q4" t="str">
            <v>02,07,</v>
          </cell>
          <cell r="X4" t="str">
            <v>25,06,</v>
          </cell>
          <cell r="Y4" t="str">
            <v>18,06,</v>
          </cell>
          <cell r="Z4" t="str">
            <v>11,06,</v>
          </cell>
          <cell r="AA4" t="str">
            <v>04,06,</v>
          </cell>
          <cell r="AB4" t="str">
            <v>28,05,</v>
          </cell>
          <cell r="AC4" t="str">
            <v>21,05,</v>
          </cell>
        </row>
        <row r="5">
          <cell r="E5">
            <v>11365</v>
          </cell>
          <cell r="F5">
            <v>5060.6000000000004</v>
          </cell>
          <cell r="K5">
            <v>11053.6</v>
          </cell>
          <cell r="L5">
            <v>311.39999999999998</v>
          </cell>
          <cell r="M5">
            <v>0</v>
          </cell>
          <cell r="N5">
            <v>0</v>
          </cell>
          <cell r="O5">
            <v>15801.2</v>
          </cell>
          <cell r="P5">
            <v>14001.8</v>
          </cell>
          <cell r="Q5">
            <v>2273.0000000000005</v>
          </cell>
          <cell r="R5">
            <v>7305.34</v>
          </cell>
          <cell r="S5">
            <v>7335.8</v>
          </cell>
          <cell r="T5">
            <v>0</v>
          </cell>
          <cell r="X5">
            <v>2385.1799999999998</v>
          </cell>
          <cell r="Y5">
            <v>2426.4199999999996</v>
          </cell>
          <cell r="Z5">
            <v>2159.9659999999994</v>
          </cell>
          <cell r="AA5">
            <v>2317.7799999999997</v>
          </cell>
          <cell r="AB5">
            <v>2162.94</v>
          </cell>
          <cell r="AC5">
            <v>2675.66</v>
          </cell>
          <cell r="AE5">
            <v>2749.1819999999998</v>
          </cell>
          <cell r="AG5">
            <v>762</v>
          </cell>
          <cell r="AH5">
            <v>2774.6000000000004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-70</v>
          </cell>
          <cell r="E6">
            <v>21</v>
          </cell>
          <cell r="F6">
            <v>-82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27</v>
          </cell>
          <cell r="L6">
            <v>-6</v>
          </cell>
          <cell r="O6">
            <v>0</v>
          </cell>
          <cell r="Q6">
            <v>4.2</v>
          </cell>
          <cell r="V6">
            <v>-19.523809523809522</v>
          </cell>
          <cell r="W6">
            <v>-19.523809523809522</v>
          </cell>
          <cell r="X6">
            <v>9</v>
          </cell>
          <cell r="Y6">
            <v>11.2</v>
          </cell>
          <cell r="Z6">
            <v>6</v>
          </cell>
          <cell r="AA6">
            <v>10.199999999999999</v>
          </cell>
          <cell r="AB6">
            <v>9.6</v>
          </cell>
          <cell r="AC6">
            <v>37.6</v>
          </cell>
        </row>
        <row r="7">
          <cell r="A7" t="str">
            <v>БОНУС_Пельмени Бульмени со сливочным маслом ТМ Горячая штучка флоу-пак сфера 0,7 кг .  Поком</v>
          </cell>
          <cell r="B7" t="str">
            <v>шт</v>
          </cell>
          <cell r="C7">
            <v>40</v>
          </cell>
          <cell r="D7">
            <v>1</v>
          </cell>
          <cell r="E7">
            <v>63</v>
          </cell>
          <cell r="F7">
            <v>-11</v>
          </cell>
          <cell r="G7">
            <v>0</v>
          </cell>
          <cell r="I7" t="str">
            <v>бонус</v>
          </cell>
          <cell r="J7" t="str">
            <v>Пельмени Бульмени со сливочным маслом ТМ Горячая штучка флоу-пак сфера 0,7 кг .  Поком</v>
          </cell>
          <cell r="K7">
            <v>55</v>
          </cell>
          <cell r="L7">
            <v>8</v>
          </cell>
          <cell r="O7">
            <v>0</v>
          </cell>
          <cell r="Q7">
            <v>12.6</v>
          </cell>
          <cell r="V7">
            <v>-0.87301587301587302</v>
          </cell>
          <cell r="W7">
            <v>-0.87301587301587302</v>
          </cell>
          <cell r="X7">
            <v>13.8</v>
          </cell>
          <cell r="Y7">
            <v>12.6</v>
          </cell>
          <cell r="Z7">
            <v>9</v>
          </cell>
          <cell r="AA7">
            <v>10</v>
          </cell>
          <cell r="AB7">
            <v>17</v>
          </cell>
          <cell r="AC7">
            <v>36.6</v>
          </cell>
        </row>
        <row r="8">
          <cell r="A8" t="str">
            <v>БОНУС_Пирожки с мясом 3,7кг ВЕС ТМ Зареченские  ПОКОМ</v>
          </cell>
          <cell r="B8" t="str">
            <v>кг</v>
          </cell>
          <cell r="E8">
            <v>7.4</v>
          </cell>
          <cell r="F8">
            <v>-7.4</v>
          </cell>
          <cell r="G8">
            <v>0</v>
          </cell>
          <cell r="I8" t="str">
            <v>бонус</v>
          </cell>
          <cell r="J8" t="str">
            <v>Пирожки с мясом 3,7кг ВЕС ТМ Зареченские  ПОКОМ</v>
          </cell>
          <cell r="K8">
            <v>14.8</v>
          </cell>
          <cell r="L8">
            <v>-7.4</v>
          </cell>
          <cell r="Q8">
            <v>1.48</v>
          </cell>
          <cell r="V8">
            <v>-5</v>
          </cell>
          <cell r="W8">
            <v>-5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</row>
        <row r="9">
          <cell r="A9" t="str">
            <v>БОНУС_Чебупицца курочка по-итальянски Горячая штучка 0,25 кг зам  ПОКОМ</v>
          </cell>
          <cell r="B9" t="str">
            <v>шт</v>
          </cell>
          <cell r="C9">
            <v>32</v>
          </cell>
          <cell r="E9">
            <v>2</v>
          </cell>
          <cell r="F9">
            <v>32</v>
          </cell>
          <cell r="G9">
            <v>0</v>
          </cell>
          <cell r="I9" t="str">
            <v>бонус</v>
          </cell>
          <cell r="J9" t="str">
            <v>Чебупицца курочка по-итальянски Горячая штучка 0,25 кг зам  ПОКОМ</v>
          </cell>
          <cell r="K9">
            <v>15</v>
          </cell>
          <cell r="L9">
            <v>-13</v>
          </cell>
          <cell r="O9">
            <v>0</v>
          </cell>
          <cell r="Q9">
            <v>0.4</v>
          </cell>
          <cell r="V9">
            <v>80</v>
          </cell>
          <cell r="W9">
            <v>80</v>
          </cell>
          <cell r="X9">
            <v>5.2</v>
          </cell>
          <cell r="Y9">
            <v>8.4</v>
          </cell>
          <cell r="Z9">
            <v>0.2</v>
          </cell>
          <cell r="AA9">
            <v>0.8</v>
          </cell>
          <cell r="AB9">
            <v>2.6</v>
          </cell>
          <cell r="AC9">
            <v>10.4</v>
          </cell>
        </row>
        <row r="10">
          <cell r="A10" t="str">
            <v>Бульмени хрустящие с мясом ТМ Горячая штучка ТС Бульмени ГШ сфера 0,22 кг  Поком</v>
          </cell>
          <cell r="B10" t="str">
            <v>шт</v>
          </cell>
          <cell r="C10">
            <v>31</v>
          </cell>
          <cell r="E10">
            <v>26</v>
          </cell>
          <cell r="F10">
            <v>4</v>
          </cell>
          <cell r="G10">
            <v>0.22</v>
          </cell>
          <cell r="H10">
            <v>180</v>
          </cell>
          <cell r="I10" t="str">
            <v>P005065</v>
          </cell>
          <cell r="K10">
            <v>25</v>
          </cell>
          <cell r="L10">
            <v>1</v>
          </cell>
          <cell r="O10">
            <v>168</v>
          </cell>
          <cell r="P10">
            <v>168</v>
          </cell>
          <cell r="Q10">
            <v>5.2</v>
          </cell>
          <cell r="S10">
            <v>0</v>
          </cell>
          <cell r="V10">
            <v>65.384615384615387</v>
          </cell>
          <cell r="W10">
            <v>65.384615384615387</v>
          </cell>
          <cell r="X10">
            <v>11</v>
          </cell>
          <cell r="Y10">
            <v>7.6</v>
          </cell>
          <cell r="Z10">
            <v>7.6</v>
          </cell>
          <cell r="AA10">
            <v>7.6</v>
          </cell>
          <cell r="AB10">
            <v>11.2</v>
          </cell>
          <cell r="AC10">
            <v>6.2</v>
          </cell>
          <cell r="AE10">
            <v>0</v>
          </cell>
          <cell r="AF10">
            <v>12</v>
          </cell>
          <cell r="AG10">
            <v>0</v>
          </cell>
          <cell r="AH10">
            <v>0</v>
          </cell>
          <cell r="AI10">
            <v>14</v>
          </cell>
          <cell r="AJ10">
            <v>70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274</v>
          </cell>
          <cell r="E11">
            <v>219</v>
          </cell>
          <cell r="F11">
            <v>78</v>
          </cell>
          <cell r="G11">
            <v>0.3</v>
          </cell>
          <cell r="H11">
            <v>180</v>
          </cell>
          <cell r="I11" t="str">
            <v>P004598</v>
          </cell>
          <cell r="K11">
            <v>194</v>
          </cell>
          <cell r="L11">
            <v>25</v>
          </cell>
          <cell r="O11">
            <v>168</v>
          </cell>
          <cell r="P11">
            <v>168</v>
          </cell>
          <cell r="Q11">
            <v>43.8</v>
          </cell>
          <cell r="R11">
            <v>199.19999999999993</v>
          </cell>
          <cell r="S11">
            <v>168</v>
          </cell>
          <cell r="V11">
            <v>13.287671232876713</v>
          </cell>
          <cell r="W11">
            <v>9.4520547945205493</v>
          </cell>
          <cell r="X11">
            <v>20.2</v>
          </cell>
          <cell r="Y11">
            <v>29.8</v>
          </cell>
          <cell r="Z11">
            <v>30.6</v>
          </cell>
          <cell r="AA11">
            <v>22.2</v>
          </cell>
          <cell r="AB11">
            <v>27</v>
          </cell>
          <cell r="AC11">
            <v>27.4</v>
          </cell>
          <cell r="AE11">
            <v>59.759999999999977</v>
          </cell>
          <cell r="AF11">
            <v>12</v>
          </cell>
          <cell r="AG11">
            <v>14</v>
          </cell>
          <cell r="AH11">
            <v>50.4</v>
          </cell>
          <cell r="AI11">
            <v>14</v>
          </cell>
          <cell r="AJ11">
            <v>70</v>
          </cell>
        </row>
        <row r="12">
          <cell r="A12" t="str">
            <v>Готовые чебуманы с говядиной ТМ горячая штучка 0,28 кг.  Поком</v>
          </cell>
          <cell r="B12" t="str">
            <v>шт</v>
          </cell>
          <cell r="C12">
            <v>146</v>
          </cell>
          <cell r="D12">
            <v>8</v>
          </cell>
          <cell r="E12">
            <v>159</v>
          </cell>
          <cell r="G12">
            <v>0.28000000000000003</v>
          </cell>
          <cell r="H12">
            <v>180</v>
          </cell>
          <cell r="I12" t="str">
            <v>P004597</v>
          </cell>
          <cell r="K12">
            <v>180</v>
          </cell>
          <cell r="L12">
            <v>-21</v>
          </cell>
          <cell r="O12">
            <v>84</v>
          </cell>
          <cell r="P12">
            <v>504</v>
          </cell>
          <cell r="Q12">
            <v>31.8</v>
          </cell>
          <cell r="S12">
            <v>0</v>
          </cell>
          <cell r="V12">
            <v>18.490566037735849</v>
          </cell>
          <cell r="W12">
            <v>18.490566037735849</v>
          </cell>
          <cell r="X12">
            <v>72</v>
          </cell>
          <cell r="Y12">
            <v>50.4</v>
          </cell>
          <cell r="Z12">
            <v>4.8</v>
          </cell>
          <cell r="AA12">
            <v>46.2</v>
          </cell>
          <cell r="AB12">
            <v>53</v>
          </cell>
          <cell r="AC12">
            <v>89.2</v>
          </cell>
          <cell r="AE12">
            <v>0</v>
          </cell>
          <cell r="AF12">
            <v>6</v>
          </cell>
          <cell r="AG12">
            <v>0</v>
          </cell>
          <cell r="AH12">
            <v>0</v>
          </cell>
          <cell r="AI12">
            <v>14</v>
          </cell>
          <cell r="AJ12">
            <v>140</v>
          </cell>
        </row>
        <row r="13">
          <cell r="A13" t="str">
            <v>Готовые чебупели острые с мясом ТМ Горячая штучка флоу-пак 0,24 кг  Поком</v>
          </cell>
          <cell r="B13" t="str">
            <v>шт</v>
          </cell>
          <cell r="C13">
            <v>485</v>
          </cell>
          <cell r="E13">
            <v>501</v>
          </cell>
          <cell r="F13">
            <v>15</v>
          </cell>
          <cell r="G13">
            <v>0.24</v>
          </cell>
          <cell r="H13">
            <v>180</v>
          </cell>
          <cell r="I13" t="str">
            <v>P004969</v>
          </cell>
          <cell r="K13">
            <v>468</v>
          </cell>
          <cell r="L13">
            <v>33</v>
          </cell>
          <cell r="O13">
            <v>672</v>
          </cell>
          <cell r="P13">
            <v>168</v>
          </cell>
          <cell r="Q13">
            <v>100.2</v>
          </cell>
          <cell r="R13">
            <v>547.79999999999995</v>
          </cell>
          <cell r="S13">
            <v>504</v>
          </cell>
          <cell r="V13">
            <v>13.562874251497005</v>
          </cell>
          <cell r="W13">
            <v>8.5329341317365266</v>
          </cell>
          <cell r="X13">
            <v>39</v>
          </cell>
          <cell r="Y13">
            <v>70</v>
          </cell>
          <cell r="Z13">
            <v>68.599999999999994</v>
          </cell>
          <cell r="AA13">
            <v>57</v>
          </cell>
          <cell r="AB13">
            <v>68</v>
          </cell>
          <cell r="AC13">
            <v>76.2</v>
          </cell>
          <cell r="AE13">
            <v>131.47199999999998</v>
          </cell>
          <cell r="AF13">
            <v>12</v>
          </cell>
          <cell r="AG13">
            <v>42</v>
          </cell>
          <cell r="AH13">
            <v>120.96</v>
          </cell>
          <cell r="AI13">
            <v>14</v>
          </cell>
          <cell r="AJ13">
            <v>70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314</v>
          </cell>
          <cell r="D14">
            <v>7</v>
          </cell>
          <cell r="E14">
            <v>414</v>
          </cell>
          <cell r="F14">
            <v>-22</v>
          </cell>
          <cell r="G14">
            <v>0.24</v>
          </cell>
          <cell r="H14">
            <v>180</v>
          </cell>
          <cell r="I14" t="str">
            <v>P004971</v>
          </cell>
          <cell r="K14">
            <v>343</v>
          </cell>
          <cell r="L14">
            <v>71</v>
          </cell>
          <cell r="O14">
            <v>168</v>
          </cell>
          <cell r="P14">
            <v>336</v>
          </cell>
          <cell r="Q14">
            <v>82.8</v>
          </cell>
          <cell r="R14">
            <v>677.2</v>
          </cell>
          <cell r="S14">
            <v>672</v>
          </cell>
          <cell r="V14">
            <v>13.937198067632851</v>
          </cell>
          <cell r="W14">
            <v>5.8212560386473431</v>
          </cell>
          <cell r="X14">
            <v>80.599999999999994</v>
          </cell>
          <cell r="Y14">
            <v>94.6</v>
          </cell>
          <cell r="Z14">
            <v>67.8</v>
          </cell>
          <cell r="AA14">
            <v>77.599999999999994</v>
          </cell>
          <cell r="AB14">
            <v>50.4</v>
          </cell>
          <cell r="AC14">
            <v>75.2</v>
          </cell>
          <cell r="AE14">
            <v>162.52799999999999</v>
          </cell>
          <cell r="AF14">
            <v>12</v>
          </cell>
          <cell r="AG14">
            <v>56</v>
          </cell>
          <cell r="AH14">
            <v>161.28</v>
          </cell>
          <cell r="AI14">
            <v>14</v>
          </cell>
          <cell r="AJ14">
            <v>70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176</v>
          </cell>
          <cell r="D15">
            <v>7</v>
          </cell>
          <cell r="E15">
            <v>243</v>
          </cell>
          <cell r="F15">
            <v>2</v>
          </cell>
          <cell r="G15">
            <v>0.24</v>
          </cell>
          <cell r="H15">
            <v>180</v>
          </cell>
          <cell r="I15" t="str">
            <v>P004974</v>
          </cell>
          <cell r="K15">
            <v>197</v>
          </cell>
          <cell r="L15">
            <v>46</v>
          </cell>
          <cell r="O15">
            <v>336</v>
          </cell>
          <cell r="P15">
            <v>336</v>
          </cell>
          <cell r="Q15">
            <v>48.6</v>
          </cell>
          <cell r="S15">
            <v>0</v>
          </cell>
          <cell r="V15">
            <v>13.868312757201645</v>
          </cell>
          <cell r="W15">
            <v>13.868312757201645</v>
          </cell>
          <cell r="X15">
            <v>46.6</v>
          </cell>
          <cell r="Y15">
            <v>47.8</v>
          </cell>
          <cell r="Z15">
            <v>38.6</v>
          </cell>
          <cell r="AA15">
            <v>20.8</v>
          </cell>
          <cell r="AB15">
            <v>47.6</v>
          </cell>
          <cell r="AC15">
            <v>42</v>
          </cell>
          <cell r="AE15">
            <v>0</v>
          </cell>
          <cell r="AF15">
            <v>12</v>
          </cell>
          <cell r="AG15">
            <v>0</v>
          </cell>
          <cell r="AH15">
            <v>0</v>
          </cell>
          <cell r="AI15">
            <v>14</v>
          </cell>
          <cell r="AJ15">
            <v>70</v>
          </cell>
        </row>
        <row r="16">
          <cell r="A16" t="str">
            <v>Готовые чебупели сочные с мясом ТМ Горячая штучка флоу-пак 0,24 кг  ПОКОМ</v>
          </cell>
          <cell r="B16" t="str">
            <v>шт</v>
          </cell>
          <cell r="C16">
            <v>492</v>
          </cell>
          <cell r="D16">
            <v>2</v>
          </cell>
          <cell r="E16">
            <v>446</v>
          </cell>
          <cell r="F16">
            <v>19</v>
          </cell>
          <cell r="G16">
            <v>0.24</v>
          </cell>
          <cell r="H16">
            <v>180</v>
          </cell>
          <cell r="I16" t="str">
            <v>P004966</v>
          </cell>
          <cell r="K16">
            <v>434</v>
          </cell>
          <cell r="L16">
            <v>12</v>
          </cell>
          <cell r="O16">
            <v>336</v>
          </cell>
          <cell r="P16">
            <v>336</v>
          </cell>
          <cell r="Q16">
            <v>89.2</v>
          </cell>
          <cell r="R16">
            <v>557.79999999999995</v>
          </cell>
          <cell r="S16">
            <v>504</v>
          </cell>
          <cell r="V16">
            <v>13.396860986547084</v>
          </cell>
          <cell r="W16">
            <v>7.746636771300448</v>
          </cell>
          <cell r="X16">
            <v>81.599999999999994</v>
          </cell>
          <cell r="Y16">
            <v>46.6</v>
          </cell>
          <cell r="Z16">
            <v>53.2</v>
          </cell>
          <cell r="AA16">
            <v>82.6</v>
          </cell>
          <cell r="AB16">
            <v>50.4</v>
          </cell>
          <cell r="AC16">
            <v>78</v>
          </cell>
          <cell r="AE16">
            <v>133.87199999999999</v>
          </cell>
          <cell r="AF16">
            <v>12</v>
          </cell>
          <cell r="AG16">
            <v>42</v>
          </cell>
          <cell r="AH16">
            <v>120.96</v>
          </cell>
          <cell r="AI16">
            <v>14</v>
          </cell>
          <cell r="AJ16">
            <v>70</v>
          </cell>
        </row>
        <row r="17">
          <cell r="A17" t="str">
            <v>Готовые чебупели сочные с мясом ТМ Горячая штучка флоу-пак 0,48 кг XXL  Поком</v>
          </cell>
          <cell r="B17" t="str">
            <v>шт</v>
          </cell>
          <cell r="E17">
            <v>3</v>
          </cell>
          <cell r="G17">
            <v>0.48</v>
          </cell>
          <cell r="H17">
            <v>180</v>
          </cell>
          <cell r="I17" t="str">
            <v>P004595</v>
          </cell>
          <cell r="K17">
            <v>16</v>
          </cell>
          <cell r="L17">
            <v>-13</v>
          </cell>
          <cell r="O17">
            <v>336</v>
          </cell>
          <cell r="P17">
            <v>112</v>
          </cell>
          <cell r="Q17">
            <v>0.6</v>
          </cell>
          <cell r="S17">
            <v>0</v>
          </cell>
          <cell r="V17">
            <v>746.66666666666674</v>
          </cell>
          <cell r="W17">
            <v>746.66666666666674</v>
          </cell>
          <cell r="X17">
            <v>3.8</v>
          </cell>
          <cell r="Y17">
            <v>20.2</v>
          </cell>
          <cell r="Z17">
            <v>0</v>
          </cell>
          <cell r="AA17">
            <v>10</v>
          </cell>
          <cell r="AB17">
            <v>16.399999999999999</v>
          </cell>
          <cell r="AC17">
            <v>23.2</v>
          </cell>
          <cell r="AE17">
            <v>0</v>
          </cell>
          <cell r="AF17">
            <v>8</v>
          </cell>
          <cell r="AG17">
            <v>0</v>
          </cell>
          <cell r="AH17">
            <v>0</v>
          </cell>
          <cell r="AI17">
            <v>14</v>
          </cell>
          <cell r="AJ17">
            <v>70</v>
          </cell>
        </row>
        <row r="18">
          <cell r="A18" t="str">
            <v>Готовые чебуреки с мясом ТМ Горячая штучка 0,09 кг флоу-пак ПОКОМ</v>
          </cell>
          <cell r="B18" t="str">
            <v>шт</v>
          </cell>
          <cell r="C18">
            <v>2</v>
          </cell>
          <cell r="F18">
            <v>2</v>
          </cell>
          <cell r="G18">
            <v>0.09</v>
          </cell>
          <cell r="H18">
            <v>180</v>
          </cell>
          <cell r="I18" t="str">
            <v>P004138</v>
          </cell>
          <cell r="K18">
            <v>16</v>
          </cell>
          <cell r="L18">
            <v>-16</v>
          </cell>
          <cell r="O18">
            <v>0</v>
          </cell>
          <cell r="P18">
            <v>336</v>
          </cell>
          <cell r="Q18">
            <v>0</v>
          </cell>
          <cell r="S18">
            <v>0</v>
          </cell>
          <cell r="V18" t="e">
            <v>#DIV/0!</v>
          </cell>
          <cell r="W18" t="e">
            <v>#DIV/0!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42.2</v>
          </cell>
          <cell r="AE18">
            <v>0</v>
          </cell>
          <cell r="AF18">
            <v>24</v>
          </cell>
          <cell r="AG18">
            <v>0</v>
          </cell>
          <cell r="AH18">
            <v>0</v>
          </cell>
          <cell r="AI18">
            <v>14</v>
          </cell>
          <cell r="AJ18">
            <v>126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322</v>
          </cell>
          <cell r="E19">
            <v>225</v>
          </cell>
          <cell r="F19">
            <v>106</v>
          </cell>
          <cell r="G19">
            <v>0.36</v>
          </cell>
          <cell r="H19">
            <v>180</v>
          </cell>
          <cell r="I19" t="str">
            <v>P004583</v>
          </cell>
          <cell r="K19">
            <v>216</v>
          </cell>
          <cell r="L19">
            <v>9</v>
          </cell>
          <cell r="O19">
            <v>140</v>
          </cell>
          <cell r="P19">
            <v>0</v>
          </cell>
          <cell r="Q19">
            <v>45</v>
          </cell>
          <cell r="R19">
            <v>384</v>
          </cell>
          <cell r="S19">
            <v>420</v>
          </cell>
          <cell r="V19">
            <v>14.8</v>
          </cell>
          <cell r="W19">
            <v>5.4666666666666668</v>
          </cell>
          <cell r="X19">
            <v>17.2</v>
          </cell>
          <cell r="Y19">
            <v>24</v>
          </cell>
          <cell r="Z19">
            <v>36</v>
          </cell>
          <cell r="AA19">
            <v>33.4</v>
          </cell>
          <cell r="AB19">
            <v>27.2</v>
          </cell>
          <cell r="AC19">
            <v>30.8</v>
          </cell>
          <cell r="AE19">
            <v>138.24</v>
          </cell>
          <cell r="AF19">
            <v>10</v>
          </cell>
          <cell r="AG19">
            <v>42</v>
          </cell>
          <cell r="AH19">
            <v>151.19999999999999</v>
          </cell>
          <cell r="AI19">
            <v>14</v>
          </cell>
          <cell r="AJ19">
            <v>70</v>
          </cell>
        </row>
        <row r="20">
          <cell r="A20" t="str">
            <v>ЖАР-ладушки с клубникой и вишней ТМ Стародворье 0,2 кг.  Поком</v>
          </cell>
          <cell r="B20" t="str">
            <v>шт</v>
          </cell>
          <cell r="C20">
            <v>56</v>
          </cell>
          <cell r="F20">
            <v>56</v>
          </cell>
          <cell r="G20">
            <v>0</v>
          </cell>
          <cell r="I20" t="str">
            <v>завод вывел</v>
          </cell>
          <cell r="K20">
            <v>16</v>
          </cell>
          <cell r="L20">
            <v>-16</v>
          </cell>
          <cell r="O20">
            <v>0</v>
          </cell>
          <cell r="P20">
            <v>0</v>
          </cell>
          <cell r="Q20">
            <v>0</v>
          </cell>
          <cell r="V20" t="e">
            <v>#DIV/0!</v>
          </cell>
          <cell r="W20" t="e">
            <v>#DIV/0!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 t="str">
            <v>нужно увеличить продажи!!! / НЕТ В БЛАНКЕ</v>
          </cell>
        </row>
        <row r="21">
          <cell r="A21" t="str">
            <v>Жареные вареники с картофелем и беконом ТМ Стародворье 0,2 кг  ПОКОМ</v>
          </cell>
          <cell r="B21" t="str">
            <v>шт</v>
          </cell>
          <cell r="G21">
            <v>0.2</v>
          </cell>
          <cell r="H21">
            <v>180</v>
          </cell>
          <cell r="I21" t="str">
            <v>P005129</v>
          </cell>
          <cell r="K21">
            <v>16</v>
          </cell>
          <cell r="L21">
            <v>-16</v>
          </cell>
          <cell r="O21">
            <v>336</v>
          </cell>
          <cell r="P21">
            <v>168</v>
          </cell>
          <cell r="Q21">
            <v>0</v>
          </cell>
          <cell r="S21">
            <v>0</v>
          </cell>
          <cell r="V21" t="e">
            <v>#DIV/0!</v>
          </cell>
          <cell r="W21" t="e">
            <v>#DIV/0!</v>
          </cell>
          <cell r="X21">
            <v>1.6</v>
          </cell>
          <cell r="Y21">
            <v>22.8</v>
          </cell>
          <cell r="Z21">
            <v>9.1999999999999993</v>
          </cell>
          <cell r="AA21">
            <v>4.2</v>
          </cell>
          <cell r="AB21">
            <v>9</v>
          </cell>
          <cell r="AC21">
            <v>12.8</v>
          </cell>
          <cell r="AE21">
            <v>0</v>
          </cell>
          <cell r="AF21">
            <v>12</v>
          </cell>
          <cell r="AG21">
            <v>0</v>
          </cell>
          <cell r="AH21">
            <v>0</v>
          </cell>
          <cell r="AI21">
            <v>14</v>
          </cell>
          <cell r="AJ21">
            <v>70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351</v>
          </cell>
          <cell r="E22">
            <v>399</v>
          </cell>
          <cell r="F22">
            <v>-5</v>
          </cell>
          <cell r="G22">
            <v>0.2</v>
          </cell>
          <cell r="H22">
            <v>180</v>
          </cell>
          <cell r="I22" t="str">
            <v>P004956</v>
          </cell>
          <cell r="K22">
            <v>356</v>
          </cell>
          <cell r="L22">
            <v>43</v>
          </cell>
          <cell r="O22">
            <v>336</v>
          </cell>
          <cell r="P22">
            <v>168</v>
          </cell>
          <cell r="Q22">
            <v>79.8</v>
          </cell>
          <cell r="R22">
            <v>618.20000000000005</v>
          </cell>
          <cell r="S22">
            <v>672</v>
          </cell>
          <cell r="V22">
            <v>14.674185463659148</v>
          </cell>
          <cell r="W22">
            <v>6.2531328320802011</v>
          </cell>
          <cell r="X22">
            <v>28.6</v>
          </cell>
          <cell r="Y22">
            <v>48</v>
          </cell>
          <cell r="Z22">
            <v>53.4</v>
          </cell>
          <cell r="AA22">
            <v>39.4</v>
          </cell>
          <cell r="AB22">
            <v>34.200000000000003</v>
          </cell>
          <cell r="AC22">
            <v>47.2</v>
          </cell>
          <cell r="AE22">
            <v>123.64000000000001</v>
          </cell>
          <cell r="AF22">
            <v>12</v>
          </cell>
          <cell r="AG22">
            <v>56</v>
          </cell>
          <cell r="AH22">
            <v>134.4</v>
          </cell>
          <cell r="AI22">
            <v>14</v>
          </cell>
          <cell r="AJ22">
            <v>70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209</v>
          </cell>
          <cell r="D23">
            <v>1</v>
          </cell>
          <cell r="E23">
            <v>206</v>
          </cell>
          <cell r="F23">
            <v>15</v>
          </cell>
          <cell r="G23">
            <v>0.2</v>
          </cell>
          <cell r="H23">
            <v>180</v>
          </cell>
          <cell r="I23" t="str">
            <v>P004953</v>
          </cell>
          <cell r="K23">
            <v>192</v>
          </cell>
          <cell r="L23">
            <v>14</v>
          </cell>
          <cell r="O23">
            <v>336</v>
          </cell>
          <cell r="P23">
            <v>168</v>
          </cell>
          <cell r="Q23">
            <v>41.2</v>
          </cell>
          <cell r="R23">
            <v>140.20000000000005</v>
          </cell>
          <cell r="S23">
            <v>168</v>
          </cell>
          <cell r="V23">
            <v>16.674757281553397</v>
          </cell>
          <cell r="W23">
            <v>12.597087378640776</v>
          </cell>
          <cell r="X23">
            <v>26</v>
          </cell>
          <cell r="Y23">
            <v>11.6</v>
          </cell>
          <cell r="Z23">
            <v>21</v>
          </cell>
          <cell r="AA23">
            <v>11.4</v>
          </cell>
          <cell r="AB23">
            <v>19.8</v>
          </cell>
          <cell r="AC23">
            <v>25.2</v>
          </cell>
          <cell r="AE23">
            <v>28.04000000000001</v>
          </cell>
          <cell r="AF23">
            <v>12</v>
          </cell>
          <cell r="AG23">
            <v>14</v>
          </cell>
          <cell r="AH23">
            <v>33.6</v>
          </cell>
          <cell r="AI23">
            <v>14</v>
          </cell>
          <cell r="AJ23">
            <v>70</v>
          </cell>
        </row>
        <row r="24">
          <cell r="A24" t="str">
            <v>Мини-сосиски в тесте 5кг ВЕС ТМ Зареченские  ПОКОМ</v>
          </cell>
          <cell r="B24" t="str">
            <v>кг</v>
          </cell>
          <cell r="C24">
            <v>5</v>
          </cell>
          <cell r="F24">
            <v>5</v>
          </cell>
          <cell r="G24">
            <v>1</v>
          </cell>
          <cell r="H24">
            <v>180</v>
          </cell>
          <cell r="I24" t="str">
            <v>P005235</v>
          </cell>
          <cell r="K24">
            <v>60</v>
          </cell>
          <cell r="L24">
            <v>-60</v>
          </cell>
          <cell r="O24">
            <v>0</v>
          </cell>
          <cell r="P24">
            <v>60</v>
          </cell>
          <cell r="Q24">
            <v>0</v>
          </cell>
          <cell r="S24">
            <v>0</v>
          </cell>
          <cell r="V24" t="e">
            <v>#DIV/0!</v>
          </cell>
          <cell r="W24" t="e">
            <v>#DIV/0!</v>
          </cell>
          <cell r="X24">
            <v>0</v>
          </cell>
          <cell r="Y24">
            <v>10</v>
          </cell>
          <cell r="Z24">
            <v>20</v>
          </cell>
          <cell r="AA24">
            <v>20</v>
          </cell>
          <cell r="AB24">
            <v>18</v>
          </cell>
          <cell r="AC24">
            <v>15</v>
          </cell>
          <cell r="AE24">
            <v>0</v>
          </cell>
          <cell r="AF24">
            <v>5</v>
          </cell>
          <cell r="AG24">
            <v>0</v>
          </cell>
          <cell r="AH24">
            <v>0</v>
          </cell>
          <cell r="AI24">
            <v>12</v>
          </cell>
          <cell r="AJ24">
            <v>84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111</v>
          </cell>
          <cell r="E25">
            <v>42</v>
          </cell>
          <cell r="F25">
            <v>66</v>
          </cell>
          <cell r="G25">
            <v>1</v>
          </cell>
          <cell r="H25">
            <v>180</v>
          </cell>
          <cell r="I25" t="str">
            <v>P004394</v>
          </cell>
          <cell r="K25">
            <v>41.8</v>
          </cell>
          <cell r="L25">
            <v>0.20000000000000284</v>
          </cell>
          <cell r="O25">
            <v>210</v>
          </cell>
          <cell r="P25">
            <v>210</v>
          </cell>
          <cell r="Q25">
            <v>8.4</v>
          </cell>
          <cell r="S25">
            <v>0</v>
          </cell>
          <cell r="V25">
            <v>57.857142857142854</v>
          </cell>
          <cell r="W25">
            <v>57.857142857142854</v>
          </cell>
          <cell r="X25">
            <v>14.4</v>
          </cell>
          <cell r="Y25">
            <v>7.2</v>
          </cell>
          <cell r="Z25">
            <v>12.6</v>
          </cell>
          <cell r="AA25">
            <v>11.4</v>
          </cell>
          <cell r="AB25">
            <v>10.74</v>
          </cell>
          <cell r="AC25">
            <v>12.6</v>
          </cell>
          <cell r="AE25">
            <v>0</v>
          </cell>
          <cell r="AF25">
            <v>3</v>
          </cell>
          <cell r="AG25">
            <v>0</v>
          </cell>
          <cell r="AH25">
            <v>0</v>
          </cell>
          <cell r="AI25">
            <v>14</v>
          </cell>
          <cell r="AJ25">
            <v>126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139</v>
          </cell>
          <cell r="D26">
            <v>8</v>
          </cell>
          <cell r="E26">
            <v>257</v>
          </cell>
          <cell r="F26">
            <v>-76</v>
          </cell>
          <cell r="G26">
            <v>0.25</v>
          </cell>
          <cell r="H26">
            <v>365</v>
          </cell>
          <cell r="I26" t="str">
            <v>P004602</v>
          </cell>
          <cell r="K26">
            <v>217</v>
          </cell>
          <cell r="L26">
            <v>40</v>
          </cell>
          <cell r="O26">
            <v>840</v>
          </cell>
          <cell r="P26">
            <v>336</v>
          </cell>
          <cell r="Q26">
            <v>51.4</v>
          </cell>
          <cell r="S26">
            <v>0</v>
          </cell>
          <cell r="V26">
            <v>21.400778210116734</v>
          </cell>
          <cell r="W26">
            <v>21.400778210116734</v>
          </cell>
          <cell r="X26">
            <v>75</v>
          </cell>
          <cell r="Y26">
            <v>81.2</v>
          </cell>
          <cell r="Z26">
            <v>69.599999999999994</v>
          </cell>
          <cell r="AA26">
            <v>60.6</v>
          </cell>
          <cell r="AB26">
            <v>69.8</v>
          </cell>
          <cell r="AC26">
            <v>72.8</v>
          </cell>
          <cell r="AE26">
            <v>0</v>
          </cell>
          <cell r="AF26">
            <v>6</v>
          </cell>
          <cell r="AG26">
            <v>0</v>
          </cell>
          <cell r="AH26">
            <v>0</v>
          </cell>
          <cell r="AI26">
            <v>14</v>
          </cell>
          <cell r="AJ26">
            <v>140</v>
          </cell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180</v>
          </cell>
          <cell r="D27">
            <v>4</v>
          </cell>
          <cell r="E27">
            <v>207</v>
          </cell>
          <cell r="G27">
            <v>0.25</v>
          </cell>
          <cell r="H27">
            <v>365</v>
          </cell>
          <cell r="I27" t="str">
            <v>P004600</v>
          </cell>
          <cell r="K27">
            <v>185</v>
          </cell>
          <cell r="L27">
            <v>22</v>
          </cell>
          <cell r="O27">
            <v>0</v>
          </cell>
          <cell r="P27">
            <v>84</v>
          </cell>
          <cell r="Q27">
            <v>41.4</v>
          </cell>
          <cell r="R27">
            <v>495.6</v>
          </cell>
          <cell r="S27">
            <v>504</v>
          </cell>
          <cell r="V27">
            <v>14.202898550724639</v>
          </cell>
          <cell r="W27">
            <v>2.0289855072463769</v>
          </cell>
          <cell r="X27">
            <v>14.4</v>
          </cell>
          <cell r="Y27">
            <v>14.4</v>
          </cell>
          <cell r="Z27">
            <v>19.2</v>
          </cell>
          <cell r="AA27">
            <v>13.6</v>
          </cell>
          <cell r="AB27">
            <v>20.8</v>
          </cell>
          <cell r="AC27">
            <v>33.4</v>
          </cell>
          <cell r="AE27">
            <v>123.9</v>
          </cell>
          <cell r="AF27">
            <v>6</v>
          </cell>
          <cell r="AG27">
            <v>84</v>
          </cell>
          <cell r="AH27">
            <v>126</v>
          </cell>
          <cell r="AI27">
            <v>14</v>
          </cell>
          <cell r="AJ27">
            <v>140</v>
          </cell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G28">
            <v>1</v>
          </cell>
          <cell r="H28">
            <v>180</v>
          </cell>
          <cell r="I28" t="str">
            <v>P003486</v>
          </cell>
          <cell r="K28">
            <v>11</v>
          </cell>
          <cell r="L28">
            <v>-11</v>
          </cell>
          <cell r="O28">
            <v>0</v>
          </cell>
          <cell r="P28">
            <v>468</v>
          </cell>
          <cell r="Q28">
            <v>0</v>
          </cell>
          <cell r="S28">
            <v>0</v>
          </cell>
          <cell r="V28" t="e">
            <v>#DIV/0!</v>
          </cell>
          <cell r="W28" t="e">
            <v>#DIV/0!</v>
          </cell>
          <cell r="X28">
            <v>0</v>
          </cell>
          <cell r="Y28">
            <v>14.4</v>
          </cell>
          <cell r="Z28">
            <v>32.4</v>
          </cell>
          <cell r="AA28">
            <v>0</v>
          </cell>
          <cell r="AB28">
            <v>0</v>
          </cell>
          <cell r="AC28">
            <v>39.6</v>
          </cell>
          <cell r="AE28">
            <v>0</v>
          </cell>
          <cell r="AF28">
            <v>6</v>
          </cell>
          <cell r="AG28">
            <v>0</v>
          </cell>
          <cell r="AH28">
            <v>0</v>
          </cell>
          <cell r="AI28">
            <v>12</v>
          </cell>
          <cell r="AJ28">
            <v>84</v>
          </cell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13</v>
          </cell>
          <cell r="E29">
            <v>32</v>
          </cell>
          <cell r="G29">
            <v>0.23</v>
          </cell>
          <cell r="H29">
            <v>180</v>
          </cell>
          <cell r="I29" t="str">
            <v>P005043</v>
          </cell>
          <cell r="K29">
            <v>72</v>
          </cell>
          <cell r="L29">
            <v>-40</v>
          </cell>
          <cell r="O29">
            <v>168</v>
          </cell>
          <cell r="P29">
            <v>336</v>
          </cell>
          <cell r="Q29">
            <v>6.4</v>
          </cell>
          <cell r="S29">
            <v>0</v>
          </cell>
          <cell r="V29">
            <v>78.75</v>
          </cell>
          <cell r="W29">
            <v>78.75</v>
          </cell>
          <cell r="X29">
            <v>20.399999999999999</v>
          </cell>
          <cell r="Y29">
            <v>12.6</v>
          </cell>
          <cell r="Z29">
            <v>7.6</v>
          </cell>
          <cell r="AA29">
            <v>20.2</v>
          </cell>
          <cell r="AB29">
            <v>12.6</v>
          </cell>
          <cell r="AC29">
            <v>17.8</v>
          </cell>
          <cell r="AE29">
            <v>0</v>
          </cell>
          <cell r="AF29">
            <v>12</v>
          </cell>
          <cell r="AG29">
            <v>0</v>
          </cell>
          <cell r="AH29">
            <v>0</v>
          </cell>
          <cell r="AI29">
            <v>14</v>
          </cell>
          <cell r="AJ29">
            <v>70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172</v>
          </cell>
          <cell r="D30">
            <v>3</v>
          </cell>
          <cell r="E30">
            <v>197</v>
          </cell>
          <cell r="F30">
            <v>-2</v>
          </cell>
          <cell r="G30">
            <v>0.25</v>
          </cell>
          <cell r="H30">
            <v>365</v>
          </cell>
          <cell r="I30" t="str">
            <v>P004497</v>
          </cell>
          <cell r="K30">
            <v>200</v>
          </cell>
          <cell r="L30">
            <v>-3</v>
          </cell>
          <cell r="O30">
            <v>840</v>
          </cell>
          <cell r="P30">
            <v>168</v>
          </cell>
          <cell r="Q30">
            <v>39.4</v>
          </cell>
          <cell r="S30">
            <v>0</v>
          </cell>
          <cell r="V30">
            <v>25.532994923857871</v>
          </cell>
          <cell r="W30">
            <v>25.532994923857871</v>
          </cell>
          <cell r="X30">
            <v>58.6</v>
          </cell>
          <cell r="Y30">
            <v>86.2</v>
          </cell>
          <cell r="Z30">
            <v>60.2</v>
          </cell>
          <cell r="AA30">
            <v>80</v>
          </cell>
          <cell r="AB30">
            <v>40.799999999999997</v>
          </cell>
          <cell r="AC30">
            <v>47.8</v>
          </cell>
          <cell r="AE30">
            <v>0</v>
          </cell>
          <cell r="AF30">
            <v>12</v>
          </cell>
          <cell r="AG30">
            <v>0</v>
          </cell>
          <cell r="AH30">
            <v>0</v>
          </cell>
          <cell r="AI30">
            <v>14</v>
          </cell>
          <cell r="AJ30">
            <v>70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454</v>
          </cell>
          <cell r="D31">
            <v>15</v>
          </cell>
          <cell r="E31">
            <v>400</v>
          </cell>
          <cell r="F31">
            <v>97</v>
          </cell>
          <cell r="G31">
            <v>0.25</v>
          </cell>
          <cell r="H31">
            <v>365</v>
          </cell>
          <cell r="I31" t="str">
            <v>P004496</v>
          </cell>
          <cell r="K31">
            <v>358</v>
          </cell>
          <cell r="L31">
            <v>42</v>
          </cell>
          <cell r="O31">
            <v>504</v>
          </cell>
          <cell r="P31">
            <v>0</v>
          </cell>
          <cell r="Q31">
            <v>80</v>
          </cell>
          <cell r="R31">
            <v>519</v>
          </cell>
          <cell r="S31">
            <v>504</v>
          </cell>
          <cell r="V31">
            <v>13.8125</v>
          </cell>
          <cell r="W31">
            <v>7.5125000000000002</v>
          </cell>
          <cell r="X31">
            <v>62.4</v>
          </cell>
          <cell r="Y31">
            <v>38.4</v>
          </cell>
          <cell r="Z31">
            <v>48.4</v>
          </cell>
          <cell r="AA31">
            <v>47.4</v>
          </cell>
          <cell r="AB31">
            <v>42.6</v>
          </cell>
          <cell r="AC31">
            <v>62</v>
          </cell>
          <cell r="AE31">
            <v>129.75</v>
          </cell>
          <cell r="AF31">
            <v>12</v>
          </cell>
          <cell r="AG31">
            <v>42</v>
          </cell>
          <cell r="AH31">
            <v>126</v>
          </cell>
          <cell r="AI31">
            <v>14</v>
          </cell>
          <cell r="AJ31">
            <v>70</v>
          </cell>
        </row>
        <row r="32">
          <cell r="A32" t="str">
            <v>Наггетсы с индейкой 0,25кг ТМ Вязанка ТС Няняггетсы Сливушки НД2 замор.  ПОКОМ</v>
          </cell>
          <cell r="B32" t="str">
            <v>шт</v>
          </cell>
          <cell r="C32">
            <v>-1</v>
          </cell>
          <cell r="F32">
            <v>-1</v>
          </cell>
          <cell r="G32">
            <v>0</v>
          </cell>
          <cell r="I32" t="str">
            <v>дубль</v>
          </cell>
          <cell r="J32" t="str">
            <v>Наггетсы с индейкой 0,25кг ТМ Вязанка ТС Из печи Сливушки ПОКОМ</v>
          </cell>
          <cell r="L32">
            <v>0</v>
          </cell>
          <cell r="Q32">
            <v>0</v>
          </cell>
          <cell r="V32" t="e">
            <v>#DIV/0!</v>
          </cell>
          <cell r="W32" t="e">
            <v>#DIV/0!</v>
          </cell>
          <cell r="X32">
            <v>0.2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>
            <v>164</v>
          </cell>
          <cell r="D33">
            <v>6</v>
          </cell>
          <cell r="E33">
            <v>193</v>
          </cell>
          <cell r="F33">
            <v>-8</v>
          </cell>
          <cell r="G33">
            <v>0.25</v>
          </cell>
          <cell r="H33">
            <v>180</v>
          </cell>
          <cell r="I33" t="str">
            <v>P004535</v>
          </cell>
          <cell r="K33">
            <v>178</v>
          </cell>
          <cell r="L33">
            <v>15</v>
          </cell>
          <cell r="O33">
            <v>336</v>
          </cell>
          <cell r="P33">
            <v>336</v>
          </cell>
          <cell r="Q33">
            <v>38.6</v>
          </cell>
          <cell r="S33">
            <v>0</v>
          </cell>
          <cell r="V33">
            <v>17.202072538860104</v>
          </cell>
          <cell r="W33">
            <v>17.202072538860104</v>
          </cell>
          <cell r="X33">
            <v>41.8</v>
          </cell>
          <cell r="Y33">
            <v>52.6</v>
          </cell>
          <cell r="Z33">
            <v>34.4</v>
          </cell>
          <cell r="AA33">
            <v>49.4</v>
          </cell>
          <cell r="AB33">
            <v>31.4</v>
          </cell>
          <cell r="AC33">
            <v>44.8</v>
          </cell>
          <cell r="AE33">
            <v>0</v>
          </cell>
          <cell r="AF33">
            <v>12</v>
          </cell>
          <cell r="AG33">
            <v>0</v>
          </cell>
          <cell r="AH33">
            <v>0</v>
          </cell>
          <cell r="AI33">
            <v>14</v>
          </cell>
          <cell r="AJ33">
            <v>70</v>
          </cell>
        </row>
        <row r="34">
          <cell r="A34" t="str">
            <v>Пекерсы с индейкой в сливочном соусе ТМ Горячая штучка 0,25 кг зам  ПОКОМ</v>
          </cell>
          <cell r="B34" t="str">
            <v>шт</v>
          </cell>
          <cell r="C34">
            <v>-4</v>
          </cell>
          <cell r="F34">
            <v>-4</v>
          </cell>
          <cell r="G34">
            <v>0.25</v>
          </cell>
          <cell r="H34">
            <v>180</v>
          </cell>
          <cell r="I34" t="str">
            <v>P004594</v>
          </cell>
          <cell r="K34">
            <v>13</v>
          </cell>
          <cell r="L34">
            <v>-13</v>
          </cell>
          <cell r="O34">
            <v>336</v>
          </cell>
          <cell r="P34">
            <v>0</v>
          </cell>
          <cell r="Q34">
            <v>0</v>
          </cell>
          <cell r="S34">
            <v>0</v>
          </cell>
          <cell r="V34" t="e">
            <v>#DIV/0!</v>
          </cell>
          <cell r="W34" t="e">
            <v>#DIV/0!</v>
          </cell>
          <cell r="X34">
            <v>4.4000000000000004</v>
          </cell>
          <cell r="Y34">
            <v>17.600000000000001</v>
          </cell>
          <cell r="Z34">
            <v>10.4</v>
          </cell>
          <cell r="AA34">
            <v>10.8</v>
          </cell>
          <cell r="AB34">
            <v>11.2</v>
          </cell>
          <cell r="AC34">
            <v>13.6</v>
          </cell>
          <cell r="AE34">
            <v>0</v>
          </cell>
          <cell r="AF34">
            <v>12</v>
          </cell>
          <cell r="AG34">
            <v>0</v>
          </cell>
          <cell r="AH34">
            <v>0</v>
          </cell>
          <cell r="AI34">
            <v>14</v>
          </cell>
          <cell r="AJ34">
            <v>70</v>
          </cell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>
            <v>65</v>
          </cell>
          <cell r="E35">
            <v>65</v>
          </cell>
          <cell r="F35">
            <v>25</v>
          </cell>
          <cell r="G35">
            <v>0.7</v>
          </cell>
          <cell r="H35">
            <v>180</v>
          </cell>
          <cell r="I35" t="str">
            <v>P004887</v>
          </cell>
          <cell r="K35">
            <v>40</v>
          </cell>
          <cell r="L35">
            <v>25</v>
          </cell>
          <cell r="O35">
            <v>192</v>
          </cell>
          <cell r="P35">
            <v>96</v>
          </cell>
          <cell r="Q35">
            <v>13</v>
          </cell>
          <cell r="S35">
            <v>0</v>
          </cell>
          <cell r="V35">
            <v>24.076923076923077</v>
          </cell>
          <cell r="W35">
            <v>24.076923076923077</v>
          </cell>
          <cell r="X35">
            <v>17.2</v>
          </cell>
          <cell r="Y35">
            <v>16.600000000000001</v>
          </cell>
          <cell r="Z35">
            <v>11.6</v>
          </cell>
          <cell r="AA35">
            <v>14</v>
          </cell>
          <cell r="AB35">
            <v>15.4</v>
          </cell>
          <cell r="AC35">
            <v>18.600000000000001</v>
          </cell>
          <cell r="AE35">
            <v>0</v>
          </cell>
          <cell r="AF35">
            <v>8</v>
          </cell>
          <cell r="AG35">
            <v>0</v>
          </cell>
          <cell r="AH35">
            <v>0</v>
          </cell>
          <cell r="AI35">
            <v>12</v>
          </cell>
          <cell r="AJ35">
            <v>84</v>
          </cell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>
            <v>155</v>
          </cell>
          <cell r="D36">
            <v>3</v>
          </cell>
          <cell r="E36">
            <v>110</v>
          </cell>
          <cell r="F36">
            <v>60</v>
          </cell>
          <cell r="G36">
            <v>0.7</v>
          </cell>
          <cell r="H36">
            <v>180</v>
          </cell>
          <cell r="I36" t="str">
            <v>P004889</v>
          </cell>
          <cell r="K36">
            <v>98</v>
          </cell>
          <cell r="L36">
            <v>12</v>
          </cell>
          <cell r="O36">
            <v>192</v>
          </cell>
          <cell r="P36">
            <v>96</v>
          </cell>
          <cell r="Q36">
            <v>22</v>
          </cell>
          <cell r="S36">
            <v>0</v>
          </cell>
          <cell r="V36">
            <v>15.818181818181818</v>
          </cell>
          <cell r="W36">
            <v>15.818181818181818</v>
          </cell>
          <cell r="X36">
            <v>8.4</v>
          </cell>
          <cell r="Y36">
            <v>18.399999999999999</v>
          </cell>
          <cell r="Z36">
            <v>19</v>
          </cell>
          <cell r="AA36">
            <v>5.6</v>
          </cell>
          <cell r="AB36">
            <v>14</v>
          </cell>
          <cell r="AC36">
            <v>19.600000000000001</v>
          </cell>
          <cell r="AE36">
            <v>0</v>
          </cell>
          <cell r="AF36">
            <v>8</v>
          </cell>
          <cell r="AG36">
            <v>0</v>
          </cell>
          <cell r="AH36">
            <v>0</v>
          </cell>
          <cell r="AI36">
            <v>12</v>
          </cell>
          <cell r="AJ36">
            <v>84</v>
          </cell>
        </row>
        <row r="37">
          <cell r="A37" t="str">
            <v>Пельмени Grandmeni со сливочным маслом  ТМ Горячая штучка флоу-пак сфера 0,7 кг.  Поком</v>
          </cell>
          <cell r="B37" t="str">
            <v>шт</v>
          </cell>
          <cell r="C37">
            <v>159</v>
          </cell>
          <cell r="E37">
            <v>106</v>
          </cell>
          <cell r="F37">
            <v>56</v>
          </cell>
          <cell r="G37">
            <v>0.7</v>
          </cell>
          <cell r="H37">
            <v>180</v>
          </cell>
          <cell r="I37" t="str">
            <v>P004888</v>
          </cell>
          <cell r="K37">
            <v>103</v>
          </cell>
          <cell r="L37">
            <v>3</v>
          </cell>
          <cell r="O37">
            <v>96</v>
          </cell>
          <cell r="P37">
            <v>96</v>
          </cell>
          <cell r="Q37">
            <v>21.2</v>
          </cell>
          <cell r="R37">
            <v>48.800000000000011</v>
          </cell>
          <cell r="S37">
            <v>96</v>
          </cell>
          <cell r="V37">
            <v>16.226415094339622</v>
          </cell>
          <cell r="W37">
            <v>11.69811320754717</v>
          </cell>
          <cell r="X37">
            <v>17</v>
          </cell>
          <cell r="Y37">
            <v>18.399999999999999</v>
          </cell>
          <cell r="Z37">
            <v>15.2</v>
          </cell>
          <cell r="AA37">
            <v>22.4</v>
          </cell>
          <cell r="AB37">
            <v>18.600000000000001</v>
          </cell>
          <cell r="AC37">
            <v>17.600000000000001</v>
          </cell>
          <cell r="AE37">
            <v>34.160000000000004</v>
          </cell>
          <cell r="AF37">
            <v>8</v>
          </cell>
          <cell r="AG37">
            <v>12</v>
          </cell>
          <cell r="AH37">
            <v>67.199999999999989</v>
          </cell>
          <cell r="AI37">
            <v>12</v>
          </cell>
          <cell r="AJ37">
            <v>84</v>
          </cell>
        </row>
        <row r="38">
          <cell r="A38" t="str">
            <v>Пельмени Бигбули #МЕГАВКУСИЩЕ с сочной грудинкой  ТМ Горячая штучка  флоу-пак сфера 0,7 кг.  Поком</v>
          </cell>
          <cell r="B38" t="str">
            <v>шт</v>
          </cell>
          <cell r="C38">
            <v>546</v>
          </cell>
          <cell r="E38">
            <v>332</v>
          </cell>
          <cell r="F38">
            <v>290</v>
          </cell>
          <cell r="G38">
            <v>0.7</v>
          </cell>
          <cell r="H38">
            <v>180</v>
          </cell>
          <cell r="I38" t="str">
            <v>P004440</v>
          </cell>
          <cell r="K38">
            <v>274</v>
          </cell>
          <cell r="L38">
            <v>58</v>
          </cell>
          <cell r="O38">
            <v>120</v>
          </cell>
          <cell r="P38">
            <v>360</v>
          </cell>
          <cell r="Q38">
            <v>66.400000000000006</v>
          </cell>
          <cell r="R38">
            <v>159.60000000000014</v>
          </cell>
          <cell r="S38">
            <v>120</v>
          </cell>
          <cell r="V38">
            <v>13.403614457831324</v>
          </cell>
          <cell r="W38">
            <v>11.596385542168674</v>
          </cell>
          <cell r="X38">
            <v>55.6</v>
          </cell>
          <cell r="Y38">
            <v>27</v>
          </cell>
          <cell r="Z38">
            <v>23.8</v>
          </cell>
          <cell r="AA38">
            <v>34.6</v>
          </cell>
          <cell r="AB38">
            <v>29.8</v>
          </cell>
          <cell r="AC38">
            <v>35.6</v>
          </cell>
          <cell r="AE38">
            <v>111.72000000000008</v>
          </cell>
          <cell r="AF38">
            <v>10</v>
          </cell>
          <cell r="AG38">
            <v>12</v>
          </cell>
          <cell r="AH38">
            <v>84</v>
          </cell>
          <cell r="AI38">
            <v>12</v>
          </cell>
          <cell r="AJ38">
            <v>84</v>
          </cell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C39">
            <v>56</v>
          </cell>
          <cell r="D39">
            <v>3</v>
          </cell>
          <cell r="E39">
            <v>75</v>
          </cell>
          <cell r="F39">
            <v>-1</v>
          </cell>
          <cell r="G39">
            <v>0.7</v>
          </cell>
          <cell r="H39">
            <v>180</v>
          </cell>
          <cell r="I39" t="str">
            <v>P004442</v>
          </cell>
          <cell r="K39">
            <v>60</v>
          </cell>
          <cell r="L39">
            <v>15</v>
          </cell>
          <cell r="O39">
            <v>360</v>
          </cell>
          <cell r="P39">
            <v>0</v>
          </cell>
          <cell r="Q39">
            <v>15</v>
          </cell>
          <cell r="S39">
            <v>0</v>
          </cell>
          <cell r="V39">
            <v>23.933333333333334</v>
          </cell>
          <cell r="W39">
            <v>23.933333333333334</v>
          </cell>
          <cell r="X39">
            <v>10.8</v>
          </cell>
          <cell r="Y39">
            <v>24</v>
          </cell>
          <cell r="Z39">
            <v>23.8</v>
          </cell>
          <cell r="AA39">
            <v>24.6</v>
          </cell>
          <cell r="AB39">
            <v>31.4</v>
          </cell>
          <cell r="AC39">
            <v>31.2</v>
          </cell>
          <cell r="AE39">
            <v>0</v>
          </cell>
          <cell r="AF39">
            <v>10</v>
          </cell>
          <cell r="AG39">
            <v>0</v>
          </cell>
          <cell r="AH39">
            <v>0</v>
          </cell>
          <cell r="AI39">
            <v>12</v>
          </cell>
          <cell r="AJ39">
            <v>84</v>
          </cell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55</v>
          </cell>
          <cell r="D40">
            <v>4</v>
          </cell>
          <cell r="E40">
            <v>66</v>
          </cell>
          <cell r="F40">
            <v>8</v>
          </cell>
          <cell r="G40">
            <v>0.7</v>
          </cell>
          <cell r="H40">
            <v>180</v>
          </cell>
          <cell r="I40" t="str">
            <v>P004203</v>
          </cell>
          <cell r="K40">
            <v>156</v>
          </cell>
          <cell r="L40">
            <v>-90</v>
          </cell>
          <cell r="O40">
            <v>600</v>
          </cell>
          <cell r="P40">
            <v>0</v>
          </cell>
          <cell r="Q40">
            <v>13.2</v>
          </cell>
          <cell r="S40">
            <v>0</v>
          </cell>
          <cell r="V40">
            <v>46.060606060606062</v>
          </cell>
          <cell r="W40">
            <v>46.060606060606062</v>
          </cell>
          <cell r="X40">
            <v>37.4</v>
          </cell>
          <cell r="Y40">
            <v>64.8</v>
          </cell>
          <cell r="Z40">
            <v>45</v>
          </cell>
          <cell r="AA40">
            <v>42.2</v>
          </cell>
          <cell r="AB40">
            <v>59.6</v>
          </cell>
          <cell r="AC40">
            <v>50</v>
          </cell>
          <cell r="AE40">
            <v>0</v>
          </cell>
          <cell r="AF40">
            <v>10</v>
          </cell>
          <cell r="AG40">
            <v>0</v>
          </cell>
          <cell r="AH40">
            <v>0</v>
          </cell>
          <cell r="AI40">
            <v>12</v>
          </cell>
          <cell r="AJ40">
            <v>84</v>
          </cell>
        </row>
        <row r="41">
          <cell r="A41" t="str">
            <v>Пельмени Бульмени мини с мясом и оливковым маслом  ТС Бульмени ГШ флоу-пак сфера 0,7кг  Поком</v>
          </cell>
          <cell r="B41" t="str">
            <v>шт</v>
          </cell>
          <cell r="C41">
            <v>346</v>
          </cell>
          <cell r="E41">
            <v>165</v>
          </cell>
          <cell r="F41">
            <v>187</v>
          </cell>
          <cell r="G41">
            <v>0.7</v>
          </cell>
          <cell r="H41">
            <v>180</v>
          </cell>
          <cell r="I41" t="str">
            <v>P004819</v>
          </cell>
          <cell r="K41">
            <v>259</v>
          </cell>
          <cell r="L41">
            <v>-94</v>
          </cell>
          <cell r="O41">
            <v>0</v>
          </cell>
          <cell r="P41">
            <v>120</v>
          </cell>
          <cell r="Q41">
            <v>33</v>
          </cell>
          <cell r="R41">
            <v>155</v>
          </cell>
          <cell r="S41">
            <v>120</v>
          </cell>
          <cell r="V41">
            <v>12.939393939393939</v>
          </cell>
          <cell r="W41">
            <v>9.3030303030303028</v>
          </cell>
          <cell r="X41">
            <v>18.8</v>
          </cell>
          <cell r="Y41">
            <v>15.4</v>
          </cell>
          <cell r="Z41">
            <v>18.8</v>
          </cell>
          <cell r="AA41">
            <v>27.4</v>
          </cell>
          <cell r="AB41">
            <v>12</v>
          </cell>
          <cell r="AC41">
            <v>12.4</v>
          </cell>
          <cell r="AE41">
            <v>108.5</v>
          </cell>
          <cell r="AF41">
            <v>10</v>
          </cell>
          <cell r="AG41">
            <v>12</v>
          </cell>
          <cell r="AH41">
            <v>84</v>
          </cell>
          <cell r="AI41">
            <v>12</v>
          </cell>
          <cell r="AJ41">
            <v>84</v>
          </cell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455</v>
          </cell>
          <cell r="D42">
            <v>15</v>
          </cell>
          <cell r="E42">
            <v>350</v>
          </cell>
          <cell r="F42">
            <v>100</v>
          </cell>
          <cell r="G42">
            <v>1</v>
          </cell>
          <cell r="H42">
            <v>180</v>
          </cell>
          <cell r="I42" t="str">
            <v>P003697</v>
          </cell>
          <cell r="K42">
            <v>350</v>
          </cell>
          <cell r="L42">
            <v>0</v>
          </cell>
          <cell r="O42">
            <v>0</v>
          </cell>
          <cell r="P42">
            <v>660</v>
          </cell>
          <cell r="Q42">
            <v>70</v>
          </cell>
          <cell r="R42">
            <v>220</v>
          </cell>
          <cell r="S42">
            <v>240</v>
          </cell>
          <cell r="V42">
            <v>14.285714285714286</v>
          </cell>
          <cell r="W42">
            <v>10.857142857142858</v>
          </cell>
          <cell r="X42">
            <v>84</v>
          </cell>
          <cell r="Y42">
            <v>62</v>
          </cell>
          <cell r="Z42">
            <v>77</v>
          </cell>
          <cell r="AA42">
            <v>89</v>
          </cell>
          <cell r="AB42">
            <v>77</v>
          </cell>
          <cell r="AC42">
            <v>73</v>
          </cell>
          <cell r="AE42">
            <v>220</v>
          </cell>
          <cell r="AF42">
            <v>5</v>
          </cell>
          <cell r="AG42">
            <v>48</v>
          </cell>
          <cell r="AH42">
            <v>240</v>
          </cell>
          <cell r="AI42">
            <v>12</v>
          </cell>
          <cell r="AJ42">
            <v>144</v>
          </cell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1113</v>
          </cell>
          <cell r="E43">
            <v>209</v>
          </cell>
          <cell r="F43">
            <v>894</v>
          </cell>
          <cell r="G43">
            <v>0.4</v>
          </cell>
          <cell r="H43">
            <v>180</v>
          </cell>
          <cell r="I43" t="str">
            <v>P004474</v>
          </cell>
          <cell r="K43">
            <v>214</v>
          </cell>
          <cell r="L43">
            <v>-5</v>
          </cell>
          <cell r="O43">
            <v>0</v>
          </cell>
          <cell r="P43">
            <v>0</v>
          </cell>
          <cell r="Q43">
            <v>41.8</v>
          </cell>
          <cell r="S43">
            <v>0</v>
          </cell>
          <cell r="V43">
            <v>21.387559808612441</v>
          </cell>
          <cell r="W43">
            <v>21.387559808612441</v>
          </cell>
          <cell r="X43">
            <v>51</v>
          </cell>
          <cell r="Y43">
            <v>41</v>
          </cell>
          <cell r="Z43">
            <v>0</v>
          </cell>
          <cell r="AA43">
            <v>63.8</v>
          </cell>
          <cell r="AB43">
            <v>19.600000000000001</v>
          </cell>
          <cell r="AC43">
            <v>52.8</v>
          </cell>
          <cell r="AE43">
            <v>0</v>
          </cell>
          <cell r="AF43">
            <v>16</v>
          </cell>
          <cell r="AG43">
            <v>0</v>
          </cell>
          <cell r="AH43">
            <v>0</v>
          </cell>
          <cell r="AI43">
            <v>12</v>
          </cell>
          <cell r="AJ43">
            <v>84</v>
          </cell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1247</v>
          </cell>
          <cell r="D44">
            <v>20</v>
          </cell>
          <cell r="E44">
            <v>463</v>
          </cell>
          <cell r="F44">
            <v>794</v>
          </cell>
          <cell r="G44">
            <v>0.7</v>
          </cell>
          <cell r="H44">
            <v>180</v>
          </cell>
          <cell r="I44" t="str">
            <v>P004345</v>
          </cell>
          <cell r="K44">
            <v>466</v>
          </cell>
          <cell r="L44">
            <v>-3</v>
          </cell>
          <cell r="O44">
            <v>0</v>
          </cell>
          <cell r="P44">
            <v>720</v>
          </cell>
          <cell r="Q44">
            <v>92.6</v>
          </cell>
          <cell r="S44">
            <v>0</v>
          </cell>
          <cell r="V44">
            <v>16.349892008639308</v>
          </cell>
          <cell r="W44">
            <v>16.349892008639308</v>
          </cell>
          <cell r="X44">
            <v>136.80000000000001</v>
          </cell>
          <cell r="Y44">
            <v>79</v>
          </cell>
          <cell r="Z44">
            <v>89.8</v>
          </cell>
          <cell r="AA44">
            <v>129.6</v>
          </cell>
          <cell r="AB44">
            <v>82.8</v>
          </cell>
          <cell r="AC44">
            <v>110.8</v>
          </cell>
          <cell r="AD44" t="str">
            <v>Мера</v>
          </cell>
          <cell r="AE44">
            <v>0</v>
          </cell>
          <cell r="AF44">
            <v>10</v>
          </cell>
          <cell r="AG44">
            <v>0</v>
          </cell>
          <cell r="AH44">
            <v>0</v>
          </cell>
          <cell r="AI44">
            <v>12</v>
          </cell>
          <cell r="AJ44">
            <v>84</v>
          </cell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990</v>
          </cell>
          <cell r="D45">
            <v>15</v>
          </cell>
          <cell r="E45">
            <v>216</v>
          </cell>
          <cell r="F45">
            <v>757</v>
          </cell>
          <cell r="G45">
            <v>0.4</v>
          </cell>
          <cell r="H45">
            <v>180</v>
          </cell>
          <cell r="I45" t="str">
            <v>P004444</v>
          </cell>
          <cell r="K45">
            <v>244</v>
          </cell>
          <cell r="L45">
            <v>-28</v>
          </cell>
          <cell r="O45">
            <v>0</v>
          </cell>
          <cell r="P45">
            <v>0</v>
          </cell>
          <cell r="Q45">
            <v>43.2</v>
          </cell>
          <cell r="S45">
            <v>0</v>
          </cell>
          <cell r="V45">
            <v>17.523148148148145</v>
          </cell>
          <cell r="W45">
            <v>17.523148148148145</v>
          </cell>
          <cell r="X45">
            <v>53.2</v>
          </cell>
          <cell r="Y45">
            <v>53.8</v>
          </cell>
          <cell r="Z45">
            <v>51.6</v>
          </cell>
          <cell r="AA45">
            <v>75.599999999999994</v>
          </cell>
          <cell r="AB45">
            <v>52.6</v>
          </cell>
          <cell r="AC45">
            <v>50.4</v>
          </cell>
          <cell r="AE45">
            <v>0</v>
          </cell>
          <cell r="AF45">
            <v>16</v>
          </cell>
          <cell r="AG45">
            <v>0</v>
          </cell>
          <cell r="AH45">
            <v>0</v>
          </cell>
          <cell r="AI45">
            <v>12</v>
          </cell>
          <cell r="AJ45">
            <v>84</v>
          </cell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803</v>
          </cell>
          <cell r="D46">
            <v>18</v>
          </cell>
          <cell r="E46">
            <v>847</v>
          </cell>
          <cell r="F46">
            <v>67</v>
          </cell>
          <cell r="G46">
            <v>0.7</v>
          </cell>
          <cell r="H46">
            <v>180</v>
          </cell>
          <cell r="I46" t="str">
            <v>P004346</v>
          </cell>
          <cell r="K46">
            <v>728</v>
          </cell>
          <cell r="L46">
            <v>119</v>
          </cell>
          <cell r="O46">
            <v>720</v>
          </cell>
          <cell r="P46">
            <v>960</v>
          </cell>
          <cell r="Q46">
            <v>169.4</v>
          </cell>
          <cell r="R46">
            <v>624.59999999999991</v>
          </cell>
          <cell r="S46">
            <v>600</v>
          </cell>
          <cell r="V46">
            <v>13.85478158205431</v>
          </cell>
          <cell r="W46">
            <v>10.312868949232586</v>
          </cell>
          <cell r="X46">
            <v>179.4</v>
          </cell>
          <cell r="Y46">
            <v>161.80000000000001</v>
          </cell>
          <cell r="Z46">
            <v>176.4</v>
          </cell>
          <cell r="AA46">
            <v>190.8</v>
          </cell>
          <cell r="AB46">
            <v>129.19999999999999</v>
          </cell>
          <cell r="AC46">
            <v>167</v>
          </cell>
          <cell r="AE46">
            <v>437.21999999999991</v>
          </cell>
          <cell r="AF46">
            <v>10</v>
          </cell>
          <cell r="AG46">
            <v>60</v>
          </cell>
          <cell r="AH46">
            <v>420</v>
          </cell>
          <cell r="AI46">
            <v>12</v>
          </cell>
          <cell r="AJ46">
            <v>84</v>
          </cell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370</v>
          </cell>
          <cell r="D47">
            <v>6</v>
          </cell>
          <cell r="E47">
            <v>325</v>
          </cell>
          <cell r="F47">
            <v>85</v>
          </cell>
          <cell r="G47">
            <v>0.7</v>
          </cell>
          <cell r="H47">
            <v>180</v>
          </cell>
          <cell r="I47" t="str">
            <v>P004060</v>
          </cell>
          <cell r="K47">
            <v>291</v>
          </cell>
          <cell r="L47">
            <v>34</v>
          </cell>
          <cell r="O47">
            <v>360</v>
          </cell>
          <cell r="P47">
            <v>240</v>
          </cell>
          <cell r="Q47">
            <v>65</v>
          </cell>
          <cell r="R47">
            <v>225</v>
          </cell>
          <cell r="S47">
            <v>240</v>
          </cell>
          <cell r="V47">
            <v>14.23076923076923</v>
          </cell>
          <cell r="W47">
            <v>10.538461538461538</v>
          </cell>
          <cell r="X47">
            <v>31.4</v>
          </cell>
          <cell r="Y47">
            <v>62.6</v>
          </cell>
          <cell r="Z47">
            <v>49.6</v>
          </cell>
          <cell r="AA47">
            <v>37.799999999999997</v>
          </cell>
          <cell r="AB47">
            <v>67.8</v>
          </cell>
          <cell r="AC47">
            <v>108.8</v>
          </cell>
          <cell r="AE47">
            <v>157.5</v>
          </cell>
          <cell r="AF47">
            <v>10</v>
          </cell>
          <cell r="AG47">
            <v>24</v>
          </cell>
          <cell r="AH47">
            <v>168</v>
          </cell>
          <cell r="AI47">
            <v>12</v>
          </cell>
          <cell r="AJ47">
            <v>84</v>
          </cell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</v>
          </cell>
          <cell r="E48">
            <v>17</v>
          </cell>
          <cell r="F48">
            <v>3</v>
          </cell>
          <cell r="G48">
            <v>1</v>
          </cell>
          <cell r="H48">
            <v>180</v>
          </cell>
          <cell r="I48" t="str">
            <v>P005048</v>
          </cell>
          <cell r="K48">
            <v>94</v>
          </cell>
          <cell r="L48">
            <v>-77</v>
          </cell>
          <cell r="O48">
            <v>720</v>
          </cell>
          <cell r="P48">
            <v>180</v>
          </cell>
          <cell r="Q48">
            <v>3.4</v>
          </cell>
          <cell r="S48">
            <v>0</v>
          </cell>
          <cell r="V48">
            <v>265.58823529411768</v>
          </cell>
          <cell r="W48">
            <v>265.58823529411768</v>
          </cell>
          <cell r="X48">
            <v>37.6</v>
          </cell>
          <cell r="Y48">
            <v>65.2</v>
          </cell>
          <cell r="Z48">
            <v>31.2</v>
          </cell>
          <cell r="AA48">
            <v>38.799999999999997</v>
          </cell>
          <cell r="AB48">
            <v>30.8</v>
          </cell>
          <cell r="AC48">
            <v>42</v>
          </cell>
          <cell r="AE48">
            <v>0</v>
          </cell>
          <cell r="AF48">
            <v>5</v>
          </cell>
          <cell r="AG48">
            <v>0</v>
          </cell>
          <cell r="AH48">
            <v>0</v>
          </cell>
          <cell r="AI48">
            <v>12</v>
          </cell>
          <cell r="AJ48">
            <v>84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32</v>
          </cell>
          <cell r="D49">
            <v>1</v>
          </cell>
          <cell r="E49">
            <v>41</v>
          </cell>
          <cell r="F49">
            <v>1</v>
          </cell>
          <cell r="G49">
            <v>0.9</v>
          </cell>
          <cell r="H49">
            <v>180</v>
          </cell>
          <cell r="I49" t="str">
            <v>P005107</v>
          </cell>
          <cell r="K49">
            <v>46</v>
          </cell>
          <cell r="L49">
            <v>-5</v>
          </cell>
          <cell r="O49">
            <v>288</v>
          </cell>
          <cell r="P49">
            <v>288</v>
          </cell>
          <cell r="Q49">
            <v>8.1999999999999993</v>
          </cell>
          <cell r="S49">
            <v>0</v>
          </cell>
          <cell r="V49">
            <v>70.365853658536594</v>
          </cell>
          <cell r="W49">
            <v>70.365853658536594</v>
          </cell>
          <cell r="X49">
            <v>33.4</v>
          </cell>
          <cell r="Y49">
            <v>21.2</v>
          </cell>
          <cell r="Z49">
            <v>22.6</v>
          </cell>
          <cell r="AA49">
            <v>19</v>
          </cell>
          <cell r="AB49">
            <v>23</v>
          </cell>
          <cell r="AC49">
            <v>12.2</v>
          </cell>
          <cell r="AE49">
            <v>0</v>
          </cell>
          <cell r="AF49">
            <v>8</v>
          </cell>
          <cell r="AG49">
            <v>0</v>
          </cell>
          <cell r="AH49">
            <v>0</v>
          </cell>
          <cell r="AI49">
            <v>12</v>
          </cell>
          <cell r="AJ49">
            <v>84</v>
          </cell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28</v>
          </cell>
          <cell r="E50">
            <v>31</v>
          </cell>
          <cell r="F50">
            <v>-1</v>
          </cell>
          <cell r="G50">
            <v>0.9</v>
          </cell>
          <cell r="H50">
            <v>180</v>
          </cell>
          <cell r="I50" t="str">
            <v>P005105</v>
          </cell>
          <cell r="K50">
            <v>36</v>
          </cell>
          <cell r="L50">
            <v>-5</v>
          </cell>
          <cell r="O50">
            <v>288</v>
          </cell>
          <cell r="P50">
            <v>192</v>
          </cell>
          <cell r="Q50">
            <v>6.2</v>
          </cell>
          <cell r="S50">
            <v>0</v>
          </cell>
          <cell r="V50">
            <v>77.258064516129025</v>
          </cell>
          <cell r="W50">
            <v>77.258064516129025</v>
          </cell>
          <cell r="X50">
            <v>13.6</v>
          </cell>
          <cell r="Y50">
            <v>13.6</v>
          </cell>
          <cell r="Z50">
            <v>5.8</v>
          </cell>
          <cell r="AA50">
            <v>16</v>
          </cell>
          <cell r="AB50">
            <v>12</v>
          </cell>
          <cell r="AC50">
            <v>11.8</v>
          </cell>
          <cell r="AE50">
            <v>0</v>
          </cell>
          <cell r="AF50">
            <v>8</v>
          </cell>
          <cell r="AG50">
            <v>0</v>
          </cell>
          <cell r="AH50">
            <v>0</v>
          </cell>
          <cell r="AI50">
            <v>12</v>
          </cell>
          <cell r="AJ50">
            <v>84</v>
          </cell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950</v>
          </cell>
          <cell r="D51">
            <v>25</v>
          </cell>
          <cell r="E51">
            <v>600</v>
          </cell>
          <cell r="F51">
            <v>365</v>
          </cell>
          <cell r="G51">
            <v>1</v>
          </cell>
          <cell r="H51">
            <v>180</v>
          </cell>
          <cell r="I51" t="str">
            <v>P004472</v>
          </cell>
          <cell r="K51">
            <v>565</v>
          </cell>
          <cell r="L51">
            <v>35</v>
          </cell>
          <cell r="O51">
            <v>1020</v>
          </cell>
          <cell r="P51">
            <v>180</v>
          </cell>
          <cell r="Q51">
            <v>120</v>
          </cell>
          <cell r="R51">
            <v>115</v>
          </cell>
          <cell r="S51">
            <v>120</v>
          </cell>
          <cell r="V51">
            <v>14.041666666666666</v>
          </cell>
          <cell r="W51">
            <v>13.041666666666666</v>
          </cell>
          <cell r="X51">
            <v>88</v>
          </cell>
          <cell r="Y51">
            <v>53</v>
          </cell>
          <cell r="Z51">
            <v>150</v>
          </cell>
          <cell r="AA51">
            <v>9</v>
          </cell>
          <cell r="AB51">
            <v>99</v>
          </cell>
          <cell r="AC51">
            <v>116</v>
          </cell>
          <cell r="AE51">
            <v>115</v>
          </cell>
          <cell r="AF51">
            <v>5</v>
          </cell>
          <cell r="AG51">
            <v>24</v>
          </cell>
          <cell r="AH51">
            <v>120</v>
          </cell>
          <cell r="AI51">
            <v>12</v>
          </cell>
          <cell r="AJ51">
            <v>144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326</v>
          </cell>
          <cell r="E52">
            <v>139</v>
          </cell>
          <cell r="F52">
            <v>188</v>
          </cell>
          <cell r="G52">
            <v>1</v>
          </cell>
          <cell r="H52">
            <v>180</v>
          </cell>
          <cell r="I52" t="str">
            <v>P004081</v>
          </cell>
          <cell r="K52">
            <v>138</v>
          </cell>
          <cell r="L52">
            <v>1</v>
          </cell>
          <cell r="O52">
            <v>0</v>
          </cell>
          <cell r="P52">
            <v>120</v>
          </cell>
          <cell r="Q52">
            <v>27.8</v>
          </cell>
          <cell r="R52">
            <v>81.199999999999989</v>
          </cell>
          <cell r="S52">
            <v>60</v>
          </cell>
          <cell r="V52">
            <v>13.237410071942445</v>
          </cell>
          <cell r="W52">
            <v>11.079136690647482</v>
          </cell>
          <cell r="X52">
            <v>27.2</v>
          </cell>
          <cell r="Y52">
            <v>31.4</v>
          </cell>
          <cell r="Z52">
            <v>41.2</v>
          </cell>
          <cell r="AA52">
            <v>33.200000000000003</v>
          </cell>
          <cell r="AB52">
            <v>35.4</v>
          </cell>
          <cell r="AC52">
            <v>26.6</v>
          </cell>
          <cell r="AE52">
            <v>81.199999999999989</v>
          </cell>
          <cell r="AF52">
            <v>5</v>
          </cell>
          <cell r="AG52">
            <v>12</v>
          </cell>
          <cell r="AH52">
            <v>60</v>
          </cell>
          <cell r="AI52">
            <v>12</v>
          </cell>
          <cell r="AJ52">
            <v>84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26.6</v>
          </cell>
          <cell r="E53">
            <v>25.9</v>
          </cell>
          <cell r="F53">
            <v>0.69999999999999929</v>
          </cell>
          <cell r="G53">
            <v>1</v>
          </cell>
          <cell r="H53">
            <v>180</v>
          </cell>
          <cell r="I53" t="str">
            <v>P004359</v>
          </cell>
          <cell r="K53">
            <v>18.5</v>
          </cell>
          <cell r="L53">
            <v>7.3999999999999986</v>
          </cell>
          <cell r="O53">
            <v>0</v>
          </cell>
          <cell r="P53">
            <v>51.8</v>
          </cell>
          <cell r="Q53">
            <v>5.18</v>
          </cell>
          <cell r="R53">
            <v>30.38</v>
          </cell>
          <cell r="S53">
            <v>51.800000000000004</v>
          </cell>
          <cell r="V53">
            <v>20.135135135135137</v>
          </cell>
          <cell r="W53">
            <v>10.135135135135135</v>
          </cell>
          <cell r="X53">
            <v>5.18</v>
          </cell>
          <cell r="Y53">
            <v>0</v>
          </cell>
          <cell r="Z53">
            <v>0</v>
          </cell>
          <cell r="AA53">
            <v>1.48</v>
          </cell>
          <cell r="AB53">
            <v>5.2</v>
          </cell>
          <cell r="AC53">
            <v>2.2200000000000002</v>
          </cell>
          <cell r="AE53">
            <v>30.38</v>
          </cell>
          <cell r="AF53">
            <v>3.7</v>
          </cell>
          <cell r="AG53">
            <v>14</v>
          </cell>
          <cell r="AH53">
            <v>51.800000000000004</v>
          </cell>
          <cell r="AI53">
            <v>14</v>
          </cell>
          <cell r="AJ53">
            <v>126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88</v>
          </cell>
          <cell r="E54">
            <v>95</v>
          </cell>
          <cell r="G54">
            <v>0.23</v>
          </cell>
          <cell r="H54">
            <v>180</v>
          </cell>
          <cell r="I54" t="str">
            <v>P005182</v>
          </cell>
          <cell r="K54">
            <v>111</v>
          </cell>
          <cell r="L54">
            <v>-16</v>
          </cell>
          <cell r="O54">
            <v>168</v>
          </cell>
          <cell r="P54">
            <v>420</v>
          </cell>
          <cell r="Q54">
            <v>19</v>
          </cell>
          <cell r="S54">
            <v>0</v>
          </cell>
          <cell r="V54">
            <v>30.94736842105263</v>
          </cell>
          <cell r="W54">
            <v>30.94736842105263</v>
          </cell>
          <cell r="X54">
            <v>30.2</v>
          </cell>
          <cell r="Y54">
            <v>28.8</v>
          </cell>
          <cell r="Z54">
            <v>21</v>
          </cell>
          <cell r="AA54">
            <v>21.4</v>
          </cell>
          <cell r="AB54">
            <v>15.2</v>
          </cell>
          <cell r="AC54">
            <v>16.399999999999999</v>
          </cell>
          <cell r="AE54">
            <v>0</v>
          </cell>
          <cell r="AF54">
            <v>6</v>
          </cell>
          <cell r="AG54">
            <v>0</v>
          </cell>
          <cell r="AH54">
            <v>0</v>
          </cell>
          <cell r="AI54">
            <v>14</v>
          </cell>
          <cell r="AJ54">
            <v>140</v>
          </cell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147</v>
          </cell>
          <cell r="D55">
            <v>2</v>
          </cell>
          <cell r="E55">
            <v>169</v>
          </cell>
          <cell r="F55">
            <v>3</v>
          </cell>
          <cell r="G55">
            <v>0.25</v>
          </cell>
          <cell r="H55">
            <v>180</v>
          </cell>
          <cell r="I55" t="str">
            <v>P004489</v>
          </cell>
          <cell r="K55">
            <v>203</v>
          </cell>
          <cell r="L55">
            <v>-34</v>
          </cell>
          <cell r="O55">
            <v>336</v>
          </cell>
          <cell r="P55">
            <v>672</v>
          </cell>
          <cell r="Q55">
            <v>33.799999999999997</v>
          </cell>
          <cell r="S55">
            <v>0</v>
          </cell>
          <cell r="V55">
            <v>29.911242603550299</v>
          </cell>
          <cell r="W55">
            <v>29.911242603550299</v>
          </cell>
          <cell r="X55">
            <v>72.400000000000006</v>
          </cell>
          <cell r="Y55">
            <v>97</v>
          </cell>
          <cell r="Z55">
            <v>62</v>
          </cell>
          <cell r="AA55">
            <v>79.8</v>
          </cell>
          <cell r="AB55">
            <v>65.400000000000006</v>
          </cell>
          <cell r="AC55">
            <v>85.6</v>
          </cell>
          <cell r="AE55">
            <v>0</v>
          </cell>
          <cell r="AF55">
            <v>12</v>
          </cell>
          <cell r="AG55">
            <v>0</v>
          </cell>
          <cell r="AH55">
            <v>0</v>
          </cell>
          <cell r="AI55">
            <v>14</v>
          </cell>
          <cell r="AJ55">
            <v>70</v>
          </cell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255</v>
          </cell>
          <cell r="D56">
            <v>4</v>
          </cell>
          <cell r="E56">
            <v>262</v>
          </cell>
          <cell r="F56">
            <v>15</v>
          </cell>
          <cell r="G56">
            <v>0.25</v>
          </cell>
          <cell r="H56">
            <v>180</v>
          </cell>
          <cell r="I56" t="str">
            <v>P005058</v>
          </cell>
          <cell r="K56">
            <v>272</v>
          </cell>
          <cell r="L56">
            <v>-10</v>
          </cell>
          <cell r="O56">
            <v>336</v>
          </cell>
          <cell r="P56">
            <v>168</v>
          </cell>
          <cell r="Q56">
            <v>52.4</v>
          </cell>
          <cell r="R56">
            <v>214.60000000000002</v>
          </cell>
          <cell r="S56">
            <v>168</v>
          </cell>
          <cell r="V56">
            <v>13.110687022900764</v>
          </cell>
          <cell r="W56">
            <v>9.9045801526717554</v>
          </cell>
          <cell r="X56">
            <v>23</v>
          </cell>
          <cell r="Y56">
            <v>38.4</v>
          </cell>
          <cell r="Z56">
            <v>23.4</v>
          </cell>
          <cell r="AA56">
            <v>10.199999999999999</v>
          </cell>
          <cell r="AB56">
            <v>31.4</v>
          </cell>
          <cell r="AC56">
            <v>39.799999999999997</v>
          </cell>
          <cell r="AE56">
            <v>53.650000000000006</v>
          </cell>
          <cell r="AF56">
            <v>12</v>
          </cell>
          <cell r="AG56">
            <v>14</v>
          </cell>
          <cell r="AH56">
            <v>42</v>
          </cell>
          <cell r="AI56">
            <v>14</v>
          </cell>
          <cell r="AJ56">
            <v>70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84</v>
          </cell>
          <cell r="E57">
            <v>21</v>
          </cell>
          <cell r="F57">
            <v>63</v>
          </cell>
          <cell r="G57">
            <v>0.18</v>
          </cell>
          <cell r="H57">
            <v>180</v>
          </cell>
          <cell r="I57" t="str">
            <v>P005201</v>
          </cell>
          <cell r="K57">
            <v>21</v>
          </cell>
          <cell r="L57">
            <v>0</v>
          </cell>
          <cell r="O57">
            <v>0</v>
          </cell>
          <cell r="P57">
            <v>0</v>
          </cell>
          <cell r="Q57">
            <v>4.2</v>
          </cell>
          <cell r="S57">
            <v>0</v>
          </cell>
          <cell r="V57">
            <v>15</v>
          </cell>
          <cell r="W57">
            <v>15</v>
          </cell>
          <cell r="X57">
            <v>0</v>
          </cell>
          <cell r="Y57">
            <v>0</v>
          </cell>
          <cell r="Z57">
            <v>0</v>
          </cell>
          <cell r="AA57">
            <v>1.4</v>
          </cell>
          <cell r="AB57">
            <v>2.6</v>
          </cell>
          <cell r="AC57">
            <v>7.8</v>
          </cell>
          <cell r="AE57">
            <v>0</v>
          </cell>
          <cell r="AF57">
            <v>6</v>
          </cell>
          <cell r="AG57">
            <v>0</v>
          </cell>
          <cell r="AH57">
            <v>0</v>
          </cell>
          <cell r="AI57">
            <v>14</v>
          </cell>
          <cell r="AJ57">
            <v>140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43</v>
          </cell>
          <cell r="E58">
            <v>14</v>
          </cell>
          <cell r="F58">
            <v>29</v>
          </cell>
          <cell r="G58">
            <v>0.18</v>
          </cell>
          <cell r="H58">
            <v>180</v>
          </cell>
          <cell r="I58" t="str">
            <v>P005199</v>
          </cell>
          <cell r="K58">
            <v>14</v>
          </cell>
          <cell r="L58">
            <v>0</v>
          </cell>
          <cell r="O58">
            <v>0</v>
          </cell>
          <cell r="P58">
            <v>0</v>
          </cell>
          <cell r="Q58">
            <v>2.8</v>
          </cell>
          <cell r="S58">
            <v>0</v>
          </cell>
          <cell r="V58">
            <v>10.357142857142858</v>
          </cell>
          <cell r="W58">
            <v>10.357142857142858</v>
          </cell>
          <cell r="X58">
            <v>2.2000000000000002</v>
          </cell>
          <cell r="Y58">
            <v>5.2</v>
          </cell>
          <cell r="Z58">
            <v>1.8</v>
          </cell>
          <cell r="AA58">
            <v>2.4</v>
          </cell>
          <cell r="AB58">
            <v>6</v>
          </cell>
          <cell r="AC58">
            <v>17.399999999999999</v>
          </cell>
          <cell r="AE58">
            <v>0</v>
          </cell>
          <cell r="AF58">
            <v>6</v>
          </cell>
          <cell r="AG58">
            <v>0</v>
          </cell>
          <cell r="AH58">
            <v>0</v>
          </cell>
          <cell r="AI58">
            <v>14</v>
          </cell>
          <cell r="AJ58">
            <v>140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76</v>
          </cell>
          <cell r="E59">
            <v>1</v>
          </cell>
          <cell r="F59">
            <v>75</v>
          </cell>
          <cell r="G59">
            <v>0.18</v>
          </cell>
          <cell r="H59">
            <v>180</v>
          </cell>
          <cell r="I59" t="str">
            <v>P005200</v>
          </cell>
          <cell r="K59">
            <v>1</v>
          </cell>
          <cell r="L59">
            <v>0</v>
          </cell>
          <cell r="O59">
            <v>0</v>
          </cell>
          <cell r="P59">
            <v>0</v>
          </cell>
          <cell r="Q59">
            <v>0.2</v>
          </cell>
          <cell r="S59">
            <v>0</v>
          </cell>
          <cell r="V59">
            <v>375</v>
          </cell>
          <cell r="W59">
            <v>375</v>
          </cell>
          <cell r="X59">
            <v>0.2</v>
          </cell>
          <cell r="Y59">
            <v>0.8</v>
          </cell>
          <cell r="Z59">
            <v>0.2</v>
          </cell>
          <cell r="AA59">
            <v>0.8</v>
          </cell>
          <cell r="AB59">
            <v>3.8</v>
          </cell>
          <cell r="AC59">
            <v>4.5999999999999996</v>
          </cell>
          <cell r="AD59" t="str">
            <v>нужно увеличить продажи!!!</v>
          </cell>
          <cell r="AE59">
            <v>0</v>
          </cell>
          <cell r="AF59">
            <v>6</v>
          </cell>
          <cell r="AG59">
            <v>0</v>
          </cell>
          <cell r="AH59">
            <v>0</v>
          </cell>
          <cell r="AI59">
            <v>14</v>
          </cell>
          <cell r="AJ59">
            <v>140</v>
          </cell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253</v>
          </cell>
          <cell r="D60">
            <v>6</v>
          </cell>
          <cell r="E60">
            <v>348</v>
          </cell>
          <cell r="F60">
            <v>-1</v>
          </cell>
          <cell r="G60">
            <v>0.3</v>
          </cell>
          <cell r="H60">
            <v>180</v>
          </cell>
          <cell r="I60" t="str">
            <v>P004588</v>
          </cell>
          <cell r="K60">
            <v>307</v>
          </cell>
          <cell r="L60">
            <v>41</v>
          </cell>
          <cell r="O60">
            <v>336</v>
          </cell>
          <cell r="P60">
            <v>504</v>
          </cell>
          <cell r="Q60">
            <v>69.599999999999994</v>
          </cell>
          <cell r="R60">
            <v>135.39999999999986</v>
          </cell>
          <cell r="S60">
            <v>168</v>
          </cell>
          <cell r="V60">
            <v>14.468390804597702</v>
          </cell>
          <cell r="W60">
            <v>12.054597701149426</v>
          </cell>
          <cell r="X60">
            <v>71.599999999999994</v>
          </cell>
          <cell r="Y60">
            <v>103.8</v>
          </cell>
          <cell r="Z60">
            <v>62.6</v>
          </cell>
          <cell r="AA60">
            <v>81</v>
          </cell>
          <cell r="AB60">
            <v>73.599999999999994</v>
          </cell>
          <cell r="AC60">
            <v>76.2</v>
          </cell>
          <cell r="AE60">
            <v>40.619999999999955</v>
          </cell>
          <cell r="AF60">
            <v>12</v>
          </cell>
          <cell r="AG60">
            <v>14</v>
          </cell>
          <cell r="AH60">
            <v>50.4</v>
          </cell>
          <cell r="AI60">
            <v>14</v>
          </cell>
          <cell r="AJ60">
            <v>70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449</v>
          </cell>
          <cell r="D61">
            <v>3</v>
          </cell>
          <cell r="E61">
            <v>426</v>
          </cell>
          <cell r="F61">
            <v>75</v>
          </cell>
          <cell r="G61">
            <v>0.3</v>
          </cell>
          <cell r="H61">
            <v>180</v>
          </cell>
          <cell r="I61" t="str">
            <v>P004589</v>
          </cell>
          <cell r="K61">
            <v>371</v>
          </cell>
          <cell r="L61">
            <v>55</v>
          </cell>
          <cell r="O61">
            <v>168</v>
          </cell>
          <cell r="P61">
            <v>672</v>
          </cell>
          <cell r="Q61">
            <v>85.2</v>
          </cell>
          <cell r="R61">
            <v>277.79999999999995</v>
          </cell>
          <cell r="S61">
            <v>336</v>
          </cell>
          <cell r="V61">
            <v>14.683098591549296</v>
          </cell>
          <cell r="W61">
            <v>10.73943661971831</v>
          </cell>
          <cell r="X61">
            <v>81.8</v>
          </cell>
          <cell r="Y61">
            <v>90.2</v>
          </cell>
          <cell r="Z61">
            <v>74.2</v>
          </cell>
          <cell r="AA61">
            <v>95</v>
          </cell>
          <cell r="AB61">
            <v>82.8</v>
          </cell>
          <cell r="AC61">
            <v>82</v>
          </cell>
          <cell r="AE61">
            <v>83.339999999999989</v>
          </cell>
          <cell r="AF61">
            <v>12</v>
          </cell>
          <cell r="AG61">
            <v>28</v>
          </cell>
          <cell r="AH61">
            <v>100.8</v>
          </cell>
          <cell r="AI61">
            <v>14</v>
          </cell>
          <cell r="AJ61">
            <v>70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-2</v>
          </cell>
          <cell r="F62">
            <v>-2</v>
          </cell>
          <cell r="G62">
            <v>0.3</v>
          </cell>
          <cell r="H62">
            <v>180</v>
          </cell>
          <cell r="I62" t="str">
            <v>P004113</v>
          </cell>
          <cell r="K62">
            <v>36</v>
          </cell>
          <cell r="L62">
            <v>-36</v>
          </cell>
          <cell r="O62">
            <v>0</v>
          </cell>
          <cell r="P62">
            <v>392</v>
          </cell>
          <cell r="Q62">
            <v>0</v>
          </cell>
          <cell r="S62">
            <v>0</v>
          </cell>
          <cell r="V62" t="e">
            <v>#DIV/0!</v>
          </cell>
          <cell r="W62" t="e">
            <v>#DIV/0!</v>
          </cell>
          <cell r="X62">
            <v>15.8</v>
          </cell>
          <cell r="Y62">
            <v>24.8</v>
          </cell>
          <cell r="Z62">
            <v>12</v>
          </cell>
          <cell r="AA62">
            <v>22.6</v>
          </cell>
          <cell r="AB62">
            <v>6.8</v>
          </cell>
          <cell r="AC62">
            <v>13.6</v>
          </cell>
          <cell r="AE62">
            <v>0</v>
          </cell>
          <cell r="AF62">
            <v>14</v>
          </cell>
          <cell r="AG62">
            <v>0</v>
          </cell>
          <cell r="AH62">
            <v>0</v>
          </cell>
          <cell r="AI62">
            <v>14</v>
          </cell>
          <cell r="AJ62">
            <v>70</v>
          </cell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979</v>
          </cell>
          <cell r="D63">
            <v>17</v>
          </cell>
          <cell r="E63">
            <v>672</v>
          </cell>
          <cell r="F63">
            <v>367</v>
          </cell>
          <cell r="G63">
            <v>0.25</v>
          </cell>
          <cell r="H63">
            <v>180</v>
          </cell>
          <cell r="I63" t="str">
            <v>P004486</v>
          </cell>
          <cell r="K63">
            <v>623</v>
          </cell>
          <cell r="L63">
            <v>49</v>
          </cell>
          <cell r="O63">
            <v>336</v>
          </cell>
          <cell r="P63">
            <v>504</v>
          </cell>
          <cell r="Q63">
            <v>134.4</v>
          </cell>
          <cell r="R63">
            <v>674.60000000000014</v>
          </cell>
          <cell r="S63">
            <v>672</v>
          </cell>
          <cell r="V63">
            <v>13.980654761904761</v>
          </cell>
          <cell r="W63">
            <v>8.980654761904761</v>
          </cell>
          <cell r="X63">
            <v>129.19999999999999</v>
          </cell>
          <cell r="Y63">
            <v>79.400000000000006</v>
          </cell>
          <cell r="Z63">
            <v>80</v>
          </cell>
          <cell r="AA63">
            <v>108</v>
          </cell>
          <cell r="AB63">
            <v>105.2</v>
          </cell>
          <cell r="AC63">
            <v>110.4</v>
          </cell>
          <cell r="AE63">
            <v>168.65000000000003</v>
          </cell>
          <cell r="AF63">
            <v>12</v>
          </cell>
          <cell r="AG63">
            <v>56</v>
          </cell>
          <cell r="AH63">
            <v>168</v>
          </cell>
          <cell r="AI63">
            <v>14</v>
          </cell>
          <cell r="AJ63">
            <v>70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124</v>
          </cell>
          <cell r="E64">
            <v>239</v>
          </cell>
          <cell r="F64">
            <v>5</v>
          </cell>
          <cell r="G64">
            <v>0.25</v>
          </cell>
          <cell r="H64">
            <v>180</v>
          </cell>
          <cell r="I64" t="str">
            <v>P004484</v>
          </cell>
          <cell r="K64">
            <v>295</v>
          </cell>
          <cell r="L64">
            <v>-56</v>
          </cell>
          <cell r="O64">
            <v>1512</v>
          </cell>
          <cell r="P64">
            <v>504</v>
          </cell>
          <cell r="Q64">
            <v>47.8</v>
          </cell>
          <cell r="S64">
            <v>0</v>
          </cell>
          <cell r="V64">
            <v>42.280334728033473</v>
          </cell>
          <cell r="W64">
            <v>42.280334728033473</v>
          </cell>
          <cell r="X64">
            <v>136.4</v>
          </cell>
          <cell r="Y64">
            <v>140.19999999999999</v>
          </cell>
          <cell r="Z64">
            <v>113.8</v>
          </cell>
          <cell r="AA64">
            <v>115.8</v>
          </cell>
          <cell r="AB64">
            <v>111.6</v>
          </cell>
          <cell r="AC64">
            <v>117.6</v>
          </cell>
          <cell r="AE64">
            <v>0</v>
          </cell>
          <cell r="AF64">
            <v>12</v>
          </cell>
          <cell r="AG64">
            <v>0</v>
          </cell>
          <cell r="AH64">
            <v>0</v>
          </cell>
          <cell r="AI64">
            <v>14</v>
          </cell>
          <cell r="AJ64">
            <v>70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122</v>
          </cell>
          <cell r="D65">
            <v>3</v>
          </cell>
          <cell r="E65">
            <v>148</v>
          </cell>
          <cell r="F65">
            <v>2</v>
          </cell>
          <cell r="G65">
            <v>0.2</v>
          </cell>
          <cell r="H65">
            <v>365</v>
          </cell>
          <cell r="I65" t="str">
            <v>P004818</v>
          </cell>
          <cell r="K65">
            <v>132</v>
          </cell>
          <cell r="L65">
            <v>16</v>
          </cell>
          <cell r="O65">
            <v>0</v>
          </cell>
          <cell r="P65">
            <v>252</v>
          </cell>
          <cell r="Q65">
            <v>29.6</v>
          </cell>
          <cell r="R65">
            <v>160.40000000000003</v>
          </cell>
          <cell r="S65">
            <v>168</v>
          </cell>
          <cell r="V65">
            <v>14.256756756756756</v>
          </cell>
          <cell r="W65">
            <v>8.5810810810810807</v>
          </cell>
          <cell r="X65">
            <v>25.2</v>
          </cell>
          <cell r="Y65">
            <v>17.2</v>
          </cell>
          <cell r="Z65">
            <v>1.6</v>
          </cell>
          <cell r="AA65">
            <v>19.600000000000001</v>
          </cell>
          <cell r="AB65">
            <v>20</v>
          </cell>
          <cell r="AC65">
            <v>27.8</v>
          </cell>
          <cell r="AE65">
            <v>32.080000000000005</v>
          </cell>
          <cell r="AF65">
            <v>6</v>
          </cell>
          <cell r="AG65">
            <v>28</v>
          </cell>
          <cell r="AH65">
            <v>33.6</v>
          </cell>
          <cell r="AI65">
            <v>14</v>
          </cell>
          <cell r="AJ65">
            <v>140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42</v>
          </cell>
          <cell r="D66">
            <v>1</v>
          </cell>
          <cell r="E66">
            <v>63</v>
          </cell>
          <cell r="G66">
            <v>0.23</v>
          </cell>
          <cell r="H66">
            <v>180</v>
          </cell>
          <cell r="I66" t="str">
            <v>P005180</v>
          </cell>
          <cell r="K66">
            <v>80</v>
          </cell>
          <cell r="L66">
            <v>-17</v>
          </cell>
          <cell r="O66">
            <v>672</v>
          </cell>
          <cell r="P66">
            <v>168</v>
          </cell>
          <cell r="Q66">
            <v>12.6</v>
          </cell>
          <cell r="S66">
            <v>0</v>
          </cell>
          <cell r="V66">
            <v>66.666666666666671</v>
          </cell>
          <cell r="W66">
            <v>66.666666666666671</v>
          </cell>
          <cell r="X66">
            <v>46.6</v>
          </cell>
          <cell r="Y66">
            <v>66.2</v>
          </cell>
          <cell r="Z66">
            <v>45.6</v>
          </cell>
          <cell r="AA66">
            <v>46.4</v>
          </cell>
          <cell r="AB66">
            <v>30.2</v>
          </cell>
          <cell r="AC66">
            <v>23.6</v>
          </cell>
          <cell r="AE66">
            <v>0</v>
          </cell>
          <cell r="AF66">
            <v>6</v>
          </cell>
          <cell r="AG66">
            <v>0</v>
          </cell>
          <cell r="AH66">
            <v>0</v>
          </cell>
          <cell r="AI66">
            <v>14</v>
          </cell>
          <cell r="AJ66">
            <v>140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32.4</v>
          </cell>
          <cell r="D67">
            <v>2.7</v>
          </cell>
          <cell r="E67">
            <v>51.3</v>
          </cell>
          <cell r="F67">
            <v>5.4</v>
          </cell>
          <cell r="G67">
            <v>1</v>
          </cell>
          <cell r="H67">
            <v>180</v>
          </cell>
          <cell r="I67" t="str">
            <v>P003478</v>
          </cell>
          <cell r="K67">
            <v>45.1</v>
          </cell>
          <cell r="L67">
            <v>6.1999999999999957</v>
          </cell>
          <cell r="O67">
            <v>151.19999999999999</v>
          </cell>
          <cell r="P67">
            <v>0</v>
          </cell>
          <cell r="Q67">
            <v>10.26</v>
          </cell>
          <cell r="S67">
            <v>0</v>
          </cell>
          <cell r="V67">
            <v>15.263157894736842</v>
          </cell>
          <cell r="W67">
            <v>15.263157894736842</v>
          </cell>
          <cell r="X67">
            <v>9.7200000000000006</v>
          </cell>
          <cell r="Y67">
            <v>6.48</v>
          </cell>
          <cell r="Z67">
            <v>7.5659999999999998</v>
          </cell>
          <cell r="AA67">
            <v>2.16</v>
          </cell>
          <cell r="AB67">
            <v>10.8</v>
          </cell>
          <cell r="AC67">
            <v>8.64</v>
          </cell>
          <cell r="AE67">
            <v>0</v>
          </cell>
          <cell r="AF67">
            <v>2.7</v>
          </cell>
          <cell r="AG67">
            <v>0</v>
          </cell>
          <cell r="AH67">
            <v>0</v>
          </cell>
          <cell r="AI67">
            <v>14</v>
          </cell>
          <cell r="AJ67">
            <v>126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82.3</v>
          </cell>
          <cell r="E68">
            <v>272.7</v>
          </cell>
          <cell r="F68">
            <v>119.60000000000001</v>
          </cell>
          <cell r="G68">
            <v>1</v>
          </cell>
          <cell r="H68">
            <v>180</v>
          </cell>
          <cell r="I68" t="str">
            <v>P003476</v>
          </cell>
          <cell r="K68">
            <v>115</v>
          </cell>
          <cell r="L68">
            <v>157.69999999999999</v>
          </cell>
          <cell r="O68">
            <v>180</v>
          </cell>
          <cell r="P68">
            <v>420</v>
          </cell>
          <cell r="Q68">
            <v>54.54</v>
          </cell>
          <cell r="R68">
            <v>43.959999999999937</v>
          </cell>
          <cell r="S68">
            <v>60</v>
          </cell>
          <cell r="V68">
            <v>14.294096076274295</v>
          </cell>
          <cell r="W68">
            <v>13.193986065273194</v>
          </cell>
          <cell r="X68">
            <v>84.539999999999992</v>
          </cell>
          <cell r="Y68">
            <v>57.54</v>
          </cell>
          <cell r="Z68">
            <v>81</v>
          </cell>
          <cell r="AA68">
            <v>89.539999999999992</v>
          </cell>
          <cell r="AB68">
            <v>81</v>
          </cell>
          <cell r="AC68">
            <v>66</v>
          </cell>
          <cell r="AE68">
            <v>43.959999999999937</v>
          </cell>
          <cell r="AF68">
            <v>5</v>
          </cell>
          <cell r="AG68">
            <v>12</v>
          </cell>
          <cell r="AH68">
            <v>60</v>
          </cell>
          <cell r="AI68">
            <v>12</v>
          </cell>
          <cell r="AJ68">
            <v>84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282.3</v>
          </cell>
          <cell r="D69">
            <v>5</v>
          </cell>
          <cell r="E69">
            <v>137.69999999999999</v>
          </cell>
          <cell r="F69">
            <v>147.30000000000001</v>
          </cell>
          <cell r="G69">
            <v>0</v>
          </cell>
          <cell r="I69" t="str">
            <v>дубль</v>
          </cell>
          <cell r="J69" t="str">
            <v>Чебуреки сочные ТМ Зареченские ТС Зареченские продукты.  Поком</v>
          </cell>
          <cell r="K69">
            <v>130.4</v>
          </cell>
          <cell r="L69">
            <v>7.2999999999999829</v>
          </cell>
          <cell r="O69">
            <v>0</v>
          </cell>
          <cell r="Q69">
            <v>27.54</v>
          </cell>
          <cell r="V69">
            <v>5.3485838779956429</v>
          </cell>
          <cell r="W69">
            <v>5.3485838779956429</v>
          </cell>
          <cell r="X69">
            <v>2.54</v>
          </cell>
          <cell r="Y69">
            <v>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3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21" sqref="R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19" width="33.5703125" style="19" customWidth="1"/>
    <col min="20" max="21" width="5" customWidth="1"/>
    <col min="22" max="27" width="6" customWidth="1"/>
    <col min="28" max="28" width="31.140625" customWidth="1"/>
    <col min="29" max="29" width="7.140625" customWidth="1"/>
    <col min="30" max="30" width="6" style="5" customWidth="1"/>
    <col min="31" max="31" width="7" style="11" customWidth="1"/>
    <col min="32" max="32" width="7.140625" customWidth="1"/>
    <col min="33" max="34" width="5" customWidth="1"/>
    <col min="35" max="35" width="6" style="11" customWidth="1"/>
    <col min="36" max="50" width="8" customWidth="1"/>
  </cols>
  <sheetData>
    <row r="1" spans="1:50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6"/>
      <c r="AE1" s="8"/>
      <c r="AF1" s="1"/>
      <c r="AG1" s="1"/>
      <c r="AH1" s="1"/>
      <c r="AI1" s="8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6"/>
      <c r="AE2" s="8"/>
      <c r="AF2" s="1"/>
      <c r="AG2" s="1"/>
      <c r="AH2" s="1"/>
      <c r="AI2" s="8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21</v>
      </c>
      <c r="AC3" s="2" t="s">
        <v>22</v>
      </c>
      <c r="AD3" s="7" t="s">
        <v>23</v>
      </c>
      <c r="AE3" s="9" t="s">
        <v>24</v>
      </c>
      <c r="AF3" s="2" t="s">
        <v>25</v>
      </c>
      <c r="AG3" s="2" t="s">
        <v>26</v>
      </c>
      <c r="AH3" s="2" t="s">
        <v>27</v>
      </c>
      <c r="AI3" s="9" t="s">
        <v>28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/>
      <c r="AC4" s="1"/>
      <c r="AD4" s="6"/>
      <c r="AE4" s="8"/>
      <c r="AF4" s="1"/>
      <c r="AG4" s="1"/>
      <c r="AH4" s="1"/>
      <c r="AI4" s="8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 t="e">
        <f>SUM(E6:E438)</f>
        <v>#REF!</v>
      </c>
      <c r="F5" s="4" t="e">
        <f>SUM(F6:F438)</f>
        <v>#REF!</v>
      </c>
      <c r="G5" s="6"/>
      <c r="H5" s="1"/>
      <c r="I5" s="1"/>
      <c r="J5" s="1"/>
      <c r="K5" s="4">
        <f t="shared" ref="K5:R5" si="0">SUM(K6:K438)</f>
        <v>1103</v>
      </c>
      <c r="L5" s="4" t="e">
        <f t="shared" si="0"/>
        <v>#REF!</v>
      </c>
      <c r="M5" s="4">
        <f t="shared" si="0"/>
        <v>0</v>
      </c>
      <c r="N5" s="4">
        <f t="shared" si="0"/>
        <v>0</v>
      </c>
      <c r="O5" s="4">
        <f t="shared" si="0"/>
        <v>792</v>
      </c>
      <c r="P5" s="4" t="e">
        <f t="shared" si="0"/>
        <v>#REF!</v>
      </c>
      <c r="Q5" s="4" t="e">
        <f t="shared" si="0"/>
        <v>#REF!</v>
      </c>
      <c r="R5" s="4" t="e">
        <f t="shared" si="0"/>
        <v>#REF!</v>
      </c>
      <c r="S5" s="4"/>
      <c r="T5" s="1"/>
      <c r="U5" s="1"/>
      <c r="V5" s="4">
        <f t="shared" ref="V5:AA5" si="1">SUM(V6:V438)</f>
        <v>189.4</v>
      </c>
      <c r="W5" s="4">
        <f t="shared" si="1"/>
        <v>176.60000000000002</v>
      </c>
      <c r="X5" s="4">
        <f t="shared" si="1"/>
        <v>155.4</v>
      </c>
      <c r="Y5" s="4">
        <f t="shared" si="1"/>
        <v>167</v>
      </c>
      <c r="Z5" s="4">
        <f t="shared" si="1"/>
        <v>145.19999999999999</v>
      </c>
      <c r="AA5" s="4">
        <f t="shared" si="1"/>
        <v>243.60000000000002</v>
      </c>
      <c r="AB5" s="1"/>
      <c r="AC5" s="4" t="e">
        <f>SUM(AC6:AC438)</f>
        <v>#REF!</v>
      </c>
      <c r="AD5" s="6"/>
      <c r="AE5" s="10" t="e">
        <f>SUM(AE6:AE438)</f>
        <v>#REF!</v>
      </c>
      <c r="AF5" s="4" t="e">
        <f>SUM(AF6:AF438)</f>
        <v>#REF!</v>
      </c>
      <c r="AG5" s="1"/>
      <c r="AH5" s="1"/>
      <c r="AI5" s="10" t="e">
        <f>SUM(AI6:AI438)</f>
        <v>#REF!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s="17" customFormat="1" x14ac:dyDescent="0.25">
      <c r="A6" s="13" t="s">
        <v>38</v>
      </c>
      <c r="B6" s="13" t="s">
        <v>37</v>
      </c>
      <c r="C6" s="13">
        <v>1427</v>
      </c>
      <c r="D6" s="13">
        <v>328</v>
      </c>
      <c r="E6" s="12" t="e">
        <f>660+#REF!</f>
        <v>#REF!</v>
      </c>
      <c r="F6" s="12" t="e">
        <f>313+#REF!</f>
        <v>#REF!</v>
      </c>
      <c r="G6" s="14">
        <f>VLOOKUP(A6,[1]Sheet!$A:$G,7,0)</f>
        <v>0.24</v>
      </c>
      <c r="H6" s="13">
        <f>VLOOKUP(A6,[1]Sheet!$A:$H,8,0)</f>
        <v>180</v>
      </c>
      <c r="I6" s="13" t="str">
        <f>VLOOKUP(A6,[1]Sheet!$A:$I,9,0)</f>
        <v>P004966</v>
      </c>
      <c r="J6" s="13"/>
      <c r="K6" s="13">
        <v>717</v>
      </c>
      <c r="L6" s="13" t="e">
        <f t="shared" ref="L6" si="2">E6-K6</f>
        <v>#REF!</v>
      </c>
      <c r="M6" s="13"/>
      <c r="N6" s="13"/>
      <c r="O6" s="13">
        <v>672</v>
      </c>
      <c r="P6" s="13" t="e">
        <f t="shared" ref="P6" si="3">E6/5</f>
        <v>#REF!</v>
      </c>
      <c r="Q6" s="15" t="e">
        <f t="shared" ref="Q6" si="4">14*P6-O6-F6</f>
        <v>#REF!</v>
      </c>
      <c r="R6" s="15" t="e">
        <f t="shared" ref="R6" si="5">AD6*AE6</f>
        <v>#REF!</v>
      </c>
      <c r="S6" s="18" t="s">
        <v>41</v>
      </c>
      <c r="T6" s="13" t="e">
        <f t="shared" ref="T6" si="6">(F6+O6+R6)/P6</f>
        <v>#REF!</v>
      </c>
      <c r="U6" s="13" t="e">
        <f t="shared" ref="U6" si="7">(F6+O6)/P6</f>
        <v>#REF!</v>
      </c>
      <c r="V6" s="13">
        <v>152</v>
      </c>
      <c r="W6" s="13">
        <v>135.4</v>
      </c>
      <c r="X6" s="13">
        <v>98.2</v>
      </c>
      <c r="Y6" s="13">
        <v>128</v>
      </c>
      <c r="Z6" s="13">
        <v>99.2</v>
      </c>
      <c r="AA6" s="13">
        <v>113.8</v>
      </c>
      <c r="AB6" s="13"/>
      <c r="AC6" s="13" t="e">
        <f t="shared" ref="AC6" si="8">G6*Q6</f>
        <v>#REF!</v>
      </c>
      <c r="AD6" s="14">
        <f>VLOOKUP(A6,[1]Sheet!$A:$AF,32,0)</f>
        <v>12</v>
      </c>
      <c r="AE6" s="16" t="e">
        <f t="shared" ref="AE6" si="9">MROUND(Q6, AD6*AG6)/AD6</f>
        <v>#REF!</v>
      </c>
      <c r="AF6" s="13" t="e">
        <f t="shared" ref="AF6" si="10">AE6*AD6*G6</f>
        <v>#REF!</v>
      </c>
      <c r="AG6" s="13">
        <f>VLOOKUP(A6,[1]Sheet!$A:$AJ,35,0)</f>
        <v>14</v>
      </c>
      <c r="AH6" s="13">
        <f>VLOOKUP(A6,[1]Sheet!$A:$AJ,36,0)</f>
        <v>70</v>
      </c>
      <c r="AI6" s="16" t="e">
        <f t="shared" ref="AI6" si="11">AE6/AH6</f>
        <v>#REF!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 spans="1:50" s="17" customFormat="1" x14ac:dyDescent="0.25">
      <c r="A7" s="13" t="s">
        <v>39</v>
      </c>
      <c r="B7" s="13" t="s">
        <v>37</v>
      </c>
      <c r="C7" s="13">
        <v>426</v>
      </c>
      <c r="D7" s="13">
        <v>1501</v>
      </c>
      <c r="E7" s="13">
        <v>365</v>
      </c>
      <c r="F7" s="13">
        <v>11</v>
      </c>
      <c r="G7" s="14">
        <f>VLOOKUP(A7,[1]Sheet!$A:$G,7,0)</f>
        <v>0.7</v>
      </c>
      <c r="H7" s="13">
        <f>VLOOKUP(A7,[1]Sheet!$A:$H,8,0)</f>
        <v>180</v>
      </c>
      <c r="I7" s="13" t="str">
        <f>VLOOKUP(A7,[1]Sheet!$A:$I,9,0)</f>
        <v>P004440</v>
      </c>
      <c r="J7" s="13"/>
      <c r="K7" s="13">
        <v>386</v>
      </c>
      <c r="L7" s="13">
        <f t="shared" ref="L7" si="12">E7-K7</f>
        <v>-21</v>
      </c>
      <c r="M7" s="13"/>
      <c r="N7" s="13"/>
      <c r="O7" s="13">
        <v>120</v>
      </c>
      <c r="P7" s="13">
        <f t="shared" ref="P7" si="13">E7/5</f>
        <v>73</v>
      </c>
      <c r="Q7" s="15">
        <f>12*P7-O7-F7</f>
        <v>745</v>
      </c>
      <c r="R7" s="15">
        <f t="shared" ref="R7" si="14">AD7*AE7</f>
        <v>720</v>
      </c>
      <c r="S7" s="18" t="s">
        <v>40</v>
      </c>
      <c r="T7" s="13">
        <f t="shared" ref="T7" si="15">(F7+O7+R7)/P7</f>
        <v>11.657534246575343</v>
      </c>
      <c r="U7" s="13">
        <f t="shared" ref="U7" si="16">(F7+O7)/P7</f>
        <v>1.7945205479452055</v>
      </c>
      <c r="V7" s="13">
        <v>37.4</v>
      </c>
      <c r="W7" s="13">
        <v>41.2</v>
      </c>
      <c r="X7" s="13">
        <v>57.2</v>
      </c>
      <c r="Y7" s="13">
        <v>39</v>
      </c>
      <c r="Z7" s="13">
        <v>46</v>
      </c>
      <c r="AA7" s="13">
        <v>129.80000000000001</v>
      </c>
      <c r="AB7" s="13"/>
      <c r="AC7" s="13">
        <f t="shared" ref="AC7" si="17">G7*Q7</f>
        <v>521.5</v>
      </c>
      <c r="AD7" s="14">
        <f>VLOOKUP(A7,[1]Sheet!$A:$AF,32,0)</f>
        <v>10</v>
      </c>
      <c r="AE7" s="16">
        <f t="shared" ref="AE7" si="18">MROUND(Q7, AD7*AG7)/AD7</f>
        <v>72</v>
      </c>
      <c r="AF7" s="13">
        <f t="shared" ref="AF7" si="19">AE7*AD7*G7</f>
        <v>503.99999999999994</v>
      </c>
      <c r="AG7" s="13">
        <f>VLOOKUP(A7,[1]Sheet!$A:$AJ,35,0)</f>
        <v>12</v>
      </c>
      <c r="AH7" s="13">
        <f>VLOOKUP(A7,[1]Sheet!$A:$AJ,36,0)</f>
        <v>84</v>
      </c>
      <c r="AI7" s="16">
        <f t="shared" ref="AI7" si="20">AE7/AH7</f>
        <v>0.8571428571428571</v>
      </c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 spans="1:50" x14ac:dyDescent="0.25">
      <c r="A8" s="1"/>
      <c r="B8" s="1"/>
      <c r="C8" s="1"/>
      <c r="D8" s="1"/>
      <c r="E8" s="1"/>
      <c r="F8" s="1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8"/>
      <c r="AF8" s="1"/>
      <c r="AG8" s="1"/>
      <c r="AH8" s="1"/>
      <c r="AI8" s="8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/>
      <c r="B9" s="1"/>
      <c r="C9" s="1"/>
      <c r="D9" s="1"/>
      <c r="E9" s="1"/>
      <c r="F9" s="1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8"/>
      <c r="AF9" s="1"/>
      <c r="AG9" s="1"/>
      <c r="AH9" s="1"/>
      <c r="AI9" s="8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/>
      <c r="B10" s="1"/>
      <c r="C10" s="1"/>
      <c r="D10" s="1"/>
      <c r="E10" s="1"/>
      <c r="F10" s="1"/>
      <c r="G10" s="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8"/>
      <c r="AF10" s="1"/>
      <c r="AG10" s="1"/>
      <c r="AH10" s="1"/>
      <c r="AI10" s="8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/>
      <c r="B11" s="1"/>
      <c r="C11" s="1"/>
      <c r="D11" s="1"/>
      <c r="E11" s="1"/>
      <c r="F11" s="1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8"/>
      <c r="AF11" s="1"/>
      <c r="AG11" s="1"/>
      <c r="AH11" s="1"/>
      <c r="AI11" s="8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/>
      <c r="B12" s="1"/>
      <c r="C12" s="1"/>
      <c r="D12" s="1"/>
      <c r="E12" s="1"/>
      <c r="F12" s="1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8"/>
      <c r="AF12" s="1"/>
      <c r="AG12" s="1"/>
      <c r="AH12" s="1"/>
      <c r="AI12" s="8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/>
      <c r="B13" s="1"/>
      <c r="C13" s="1"/>
      <c r="D13" s="1"/>
      <c r="E13" s="1"/>
      <c r="F13" s="1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8"/>
      <c r="AF13" s="1"/>
      <c r="AG13" s="1"/>
      <c r="AH13" s="1"/>
      <c r="AI13" s="8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/>
      <c r="B14" s="1"/>
      <c r="C14" s="1"/>
      <c r="D14" s="1"/>
      <c r="E14" s="1"/>
      <c r="F14" s="1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6"/>
      <c r="AE14" s="8"/>
      <c r="AF14" s="1"/>
      <c r="AG14" s="1"/>
      <c r="AH14" s="1"/>
      <c r="AI14" s="8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/>
      <c r="B15" s="1"/>
      <c r="C15" s="1"/>
      <c r="D15" s="1"/>
      <c r="E15" s="1"/>
      <c r="F15" s="1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6"/>
      <c r="AE15" s="8"/>
      <c r="AF15" s="1"/>
      <c r="AG15" s="1"/>
      <c r="AH15" s="1"/>
      <c r="AI15" s="8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/>
      <c r="B16" s="1"/>
      <c r="C16" s="1"/>
      <c r="D16" s="1"/>
      <c r="E16" s="1"/>
      <c r="F16" s="1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6"/>
      <c r="AE16" s="8"/>
      <c r="AF16" s="1"/>
      <c r="AG16" s="1"/>
      <c r="AH16" s="1"/>
      <c r="AI16" s="8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6"/>
      <c r="AE17" s="8"/>
      <c r="AF17" s="1"/>
      <c r="AG17" s="1"/>
      <c r="AH17" s="1"/>
      <c r="AI17" s="8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6"/>
      <c r="AE18" s="8"/>
      <c r="AF18" s="1"/>
      <c r="AG18" s="1"/>
      <c r="AH18" s="1"/>
      <c r="AI18" s="8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6"/>
      <c r="AE19" s="8"/>
      <c r="AF19" s="1"/>
      <c r="AG19" s="1"/>
      <c r="AH19" s="1"/>
      <c r="AI19" s="8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6"/>
      <c r="AE20" s="8"/>
      <c r="AF20" s="1"/>
      <c r="AG20" s="1"/>
      <c r="AH20" s="1"/>
      <c r="AI20" s="8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6"/>
      <c r="AE21" s="8"/>
      <c r="AF21" s="1"/>
      <c r="AG21" s="1"/>
      <c r="AH21" s="1"/>
      <c r="AI21" s="8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6"/>
      <c r="AE22" s="8"/>
      <c r="AF22" s="1"/>
      <c r="AG22" s="1"/>
      <c r="AH22" s="1"/>
      <c r="AI22" s="8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6"/>
      <c r="AE23" s="8"/>
      <c r="AF23" s="1"/>
      <c r="AG23" s="1"/>
      <c r="AH23" s="1"/>
      <c r="AI23" s="8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6"/>
      <c r="AE24" s="8"/>
      <c r="AF24" s="1"/>
      <c r="AG24" s="1"/>
      <c r="AH24" s="1"/>
      <c r="AI24" s="8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6"/>
      <c r="AE25" s="8"/>
      <c r="AF25" s="1"/>
      <c r="AG25" s="1"/>
      <c r="AH25" s="1"/>
      <c r="AI25" s="8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6"/>
      <c r="AE26" s="8"/>
      <c r="AF26" s="1"/>
      <c r="AG26" s="1"/>
      <c r="AH26" s="1"/>
      <c r="AI26" s="8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6"/>
      <c r="AE27" s="8"/>
      <c r="AF27" s="1"/>
      <c r="AG27" s="1"/>
      <c r="AH27" s="1"/>
      <c r="AI27" s="8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6"/>
      <c r="AE28" s="8"/>
      <c r="AF28" s="1"/>
      <c r="AG28" s="1"/>
      <c r="AH28" s="1"/>
      <c r="AI28" s="8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6"/>
      <c r="AE29" s="8"/>
      <c r="AF29" s="1"/>
      <c r="AG29" s="1"/>
      <c r="AH29" s="1"/>
      <c r="AI29" s="8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6"/>
      <c r="AE30" s="8"/>
      <c r="AF30" s="1"/>
      <c r="AG30" s="1"/>
      <c r="AH30" s="1"/>
      <c r="AI30" s="8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6"/>
      <c r="AE31" s="8"/>
      <c r="AF31" s="1"/>
      <c r="AG31" s="1"/>
      <c r="AH31" s="1"/>
      <c r="AI31" s="8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6"/>
      <c r="AE32" s="8"/>
      <c r="AF32" s="1"/>
      <c r="AG32" s="1"/>
      <c r="AH32" s="1"/>
      <c r="AI32" s="8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6"/>
      <c r="AE33" s="8"/>
      <c r="AF33" s="1"/>
      <c r="AG33" s="1"/>
      <c r="AH33" s="1"/>
      <c r="AI33" s="8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6"/>
      <c r="AE34" s="8"/>
      <c r="AF34" s="1"/>
      <c r="AG34" s="1"/>
      <c r="AH34" s="1"/>
      <c r="AI34" s="8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6"/>
      <c r="AE35" s="8"/>
      <c r="AF35" s="1"/>
      <c r="AG35" s="1"/>
      <c r="AH35" s="1"/>
      <c r="AI35" s="8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6"/>
      <c r="AE36" s="8"/>
      <c r="AF36" s="1"/>
      <c r="AG36" s="1"/>
      <c r="AH36" s="1"/>
      <c r="AI36" s="8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6"/>
      <c r="AE37" s="8"/>
      <c r="AF37" s="1"/>
      <c r="AG37" s="1"/>
      <c r="AH37" s="1"/>
      <c r="AI37" s="8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6"/>
      <c r="AE38" s="8"/>
      <c r="AF38" s="1"/>
      <c r="AG38" s="1"/>
      <c r="AH38" s="1"/>
      <c r="AI38" s="8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6"/>
      <c r="AE39" s="8"/>
      <c r="AF39" s="1"/>
      <c r="AG39" s="1"/>
      <c r="AH39" s="1"/>
      <c r="AI39" s="8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6"/>
      <c r="AE40" s="8"/>
      <c r="AF40" s="1"/>
      <c r="AG40" s="1"/>
      <c r="AH40" s="1"/>
      <c r="AI40" s="8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6"/>
      <c r="AE41" s="8"/>
      <c r="AF41" s="1"/>
      <c r="AG41" s="1"/>
      <c r="AH41" s="1"/>
      <c r="AI41" s="8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6"/>
      <c r="AE42" s="8"/>
      <c r="AF42" s="1"/>
      <c r="AG42" s="1"/>
      <c r="AH42" s="1"/>
      <c r="AI42" s="8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6"/>
      <c r="AE43" s="8"/>
      <c r="AF43" s="1"/>
      <c r="AG43" s="1"/>
      <c r="AH43" s="1"/>
      <c r="AI43" s="8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6"/>
      <c r="AE44" s="8"/>
      <c r="AF44" s="1"/>
      <c r="AG44" s="1"/>
      <c r="AH44" s="1"/>
      <c r="AI44" s="8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6"/>
      <c r="AE45" s="8"/>
      <c r="AF45" s="1"/>
      <c r="AG45" s="1"/>
      <c r="AH45" s="1"/>
      <c r="AI45" s="8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6"/>
      <c r="AE46" s="8"/>
      <c r="AF46" s="1"/>
      <c r="AG46" s="1"/>
      <c r="AH46" s="1"/>
      <c r="AI46" s="8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6"/>
      <c r="AE47" s="8"/>
      <c r="AF47" s="1"/>
      <c r="AG47" s="1"/>
      <c r="AH47" s="1"/>
      <c r="AI47" s="8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6"/>
      <c r="AE48" s="8"/>
      <c r="AF48" s="1"/>
      <c r="AG48" s="1"/>
      <c r="AH48" s="1"/>
      <c r="AI48" s="8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6"/>
      <c r="AE49" s="8"/>
      <c r="AF49" s="1"/>
      <c r="AG49" s="1"/>
      <c r="AH49" s="1"/>
      <c r="AI49" s="8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6"/>
      <c r="AE50" s="8"/>
      <c r="AF50" s="1"/>
      <c r="AG50" s="1"/>
      <c r="AH50" s="1"/>
      <c r="AI50" s="8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6"/>
      <c r="AE51" s="8"/>
      <c r="AF51" s="1"/>
      <c r="AG51" s="1"/>
      <c r="AH51" s="1"/>
      <c r="AI51" s="8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6"/>
      <c r="AE52" s="8"/>
      <c r="AF52" s="1"/>
      <c r="AG52" s="1"/>
      <c r="AH52" s="1"/>
      <c r="AI52" s="8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6"/>
      <c r="AE53" s="8"/>
      <c r="AF53" s="1"/>
      <c r="AG53" s="1"/>
      <c r="AH53" s="1"/>
      <c r="AI53" s="8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6"/>
      <c r="AE54" s="8"/>
      <c r="AF54" s="1"/>
      <c r="AG54" s="1"/>
      <c r="AH54" s="1"/>
      <c r="AI54" s="8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6"/>
      <c r="AE55" s="8"/>
      <c r="AF55" s="1"/>
      <c r="AG55" s="1"/>
      <c r="AH55" s="1"/>
      <c r="AI55" s="8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6"/>
      <c r="AE56" s="8"/>
      <c r="AF56" s="1"/>
      <c r="AG56" s="1"/>
      <c r="AH56" s="1"/>
      <c r="AI56" s="8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6"/>
      <c r="AE57" s="8"/>
      <c r="AF57" s="1"/>
      <c r="AG57" s="1"/>
      <c r="AH57" s="1"/>
      <c r="AI57" s="8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6"/>
      <c r="AE58" s="8"/>
      <c r="AF58" s="1"/>
      <c r="AG58" s="1"/>
      <c r="AH58" s="1"/>
      <c r="AI58" s="8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6"/>
      <c r="AE59" s="8"/>
      <c r="AF59" s="1"/>
      <c r="AG59" s="1"/>
      <c r="AH59" s="1"/>
      <c r="AI59" s="8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6"/>
      <c r="AE60" s="8"/>
      <c r="AF60" s="1"/>
      <c r="AG60" s="1"/>
      <c r="AH60" s="1"/>
      <c r="AI60" s="8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6"/>
      <c r="AE61" s="8"/>
      <c r="AF61" s="1"/>
      <c r="AG61" s="1"/>
      <c r="AH61" s="1"/>
      <c r="AI61" s="8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6"/>
      <c r="AE62" s="8"/>
      <c r="AF62" s="1"/>
      <c r="AG62" s="1"/>
      <c r="AH62" s="1"/>
      <c r="AI62" s="8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6"/>
      <c r="AE63" s="8"/>
      <c r="AF63" s="1"/>
      <c r="AG63" s="1"/>
      <c r="AH63" s="1"/>
      <c r="AI63" s="8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6"/>
      <c r="AE64" s="8"/>
      <c r="AF64" s="1"/>
      <c r="AG64" s="1"/>
      <c r="AH64" s="1"/>
      <c r="AI64" s="8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6"/>
      <c r="AE65" s="8"/>
      <c r="AF65" s="1"/>
      <c r="AG65" s="1"/>
      <c r="AH65" s="1"/>
      <c r="AI65" s="8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6"/>
      <c r="AE66" s="8"/>
      <c r="AF66" s="1"/>
      <c r="AG66" s="1"/>
      <c r="AH66" s="1"/>
      <c r="AI66" s="8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6"/>
      <c r="AE67" s="8"/>
      <c r="AF67" s="1"/>
      <c r="AG67" s="1"/>
      <c r="AH67" s="1"/>
      <c r="AI67" s="8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6"/>
      <c r="AE68" s="8"/>
      <c r="AF68" s="1"/>
      <c r="AG68" s="1"/>
      <c r="AH68" s="1"/>
      <c r="AI68" s="8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6"/>
      <c r="AE69" s="8"/>
      <c r="AF69" s="1"/>
      <c r="AG69" s="1"/>
      <c r="AH69" s="1"/>
      <c r="AI69" s="8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6"/>
      <c r="AE70" s="8"/>
      <c r="AF70" s="1"/>
      <c r="AG70" s="1"/>
      <c r="AH70" s="1"/>
      <c r="AI70" s="8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6"/>
      <c r="AE71" s="8"/>
      <c r="AF71" s="1"/>
      <c r="AG71" s="1"/>
      <c r="AH71" s="1"/>
      <c r="AI71" s="8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6"/>
      <c r="AE72" s="8"/>
      <c r="AF72" s="1"/>
      <c r="AG72" s="1"/>
      <c r="AH72" s="1"/>
      <c r="AI72" s="8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6"/>
      <c r="AE73" s="8"/>
      <c r="AF73" s="1"/>
      <c r="AG73" s="1"/>
      <c r="AH73" s="1"/>
      <c r="AI73" s="8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6"/>
      <c r="AE74" s="8"/>
      <c r="AF74" s="1"/>
      <c r="AG74" s="1"/>
      <c r="AH74" s="1"/>
      <c r="AI74" s="8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6"/>
      <c r="AE75" s="8"/>
      <c r="AF75" s="1"/>
      <c r="AG75" s="1"/>
      <c r="AH75" s="1"/>
      <c r="AI75" s="8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6"/>
      <c r="AE76" s="8"/>
      <c r="AF76" s="1"/>
      <c r="AG76" s="1"/>
      <c r="AH76" s="1"/>
      <c r="AI76" s="8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6"/>
      <c r="AE77" s="8"/>
      <c r="AF77" s="1"/>
      <c r="AG77" s="1"/>
      <c r="AH77" s="1"/>
      <c r="AI77" s="8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6"/>
      <c r="AE78" s="8"/>
      <c r="AF78" s="1"/>
      <c r="AG78" s="1"/>
      <c r="AH78" s="1"/>
      <c r="AI78" s="8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6"/>
      <c r="AE79" s="8"/>
      <c r="AF79" s="1"/>
      <c r="AG79" s="1"/>
      <c r="AH79" s="1"/>
      <c r="AI79" s="8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6"/>
      <c r="AE80" s="8"/>
      <c r="AF80" s="1"/>
      <c r="AG80" s="1"/>
      <c r="AH80" s="1"/>
      <c r="AI80" s="8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6"/>
      <c r="AE81" s="8"/>
      <c r="AF81" s="1"/>
      <c r="AG81" s="1"/>
      <c r="AH81" s="1"/>
      <c r="AI81" s="8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6"/>
      <c r="AE82" s="8"/>
      <c r="AF82" s="1"/>
      <c r="AG82" s="1"/>
      <c r="AH82" s="1"/>
      <c r="AI82" s="8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6"/>
      <c r="AE83" s="8"/>
      <c r="AF83" s="1"/>
      <c r="AG83" s="1"/>
      <c r="AH83" s="1"/>
      <c r="AI83" s="8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6"/>
      <c r="AE84" s="8"/>
      <c r="AF84" s="1"/>
      <c r="AG84" s="1"/>
      <c r="AH84" s="1"/>
      <c r="AI84" s="8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6"/>
      <c r="AE85" s="8"/>
      <c r="AF85" s="1"/>
      <c r="AG85" s="1"/>
      <c r="AH85" s="1"/>
      <c r="AI85" s="8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6"/>
      <c r="AE86" s="8"/>
      <c r="AF86" s="1"/>
      <c r="AG86" s="1"/>
      <c r="AH86" s="1"/>
      <c r="AI86" s="8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6"/>
      <c r="AE87" s="8"/>
      <c r="AF87" s="1"/>
      <c r="AG87" s="1"/>
      <c r="AH87" s="1"/>
      <c r="AI87" s="8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6"/>
      <c r="AE88" s="8"/>
      <c r="AF88" s="1"/>
      <c r="AG88" s="1"/>
      <c r="AH88" s="1"/>
      <c r="AI88" s="8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6"/>
      <c r="AE89" s="8"/>
      <c r="AF89" s="1"/>
      <c r="AG89" s="1"/>
      <c r="AH89" s="1"/>
      <c r="AI89" s="8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6"/>
      <c r="AE90" s="8"/>
      <c r="AF90" s="1"/>
      <c r="AG90" s="1"/>
      <c r="AH90" s="1"/>
      <c r="AI90" s="8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6"/>
      <c r="AE91" s="8"/>
      <c r="AF91" s="1"/>
      <c r="AG91" s="1"/>
      <c r="AH91" s="1"/>
      <c r="AI91" s="8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6"/>
      <c r="AE92" s="8"/>
      <c r="AF92" s="1"/>
      <c r="AG92" s="1"/>
      <c r="AH92" s="1"/>
      <c r="AI92" s="8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6"/>
      <c r="AE93" s="8"/>
      <c r="AF93" s="1"/>
      <c r="AG93" s="1"/>
      <c r="AH93" s="1"/>
      <c r="AI93" s="8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6"/>
      <c r="AE94" s="8"/>
      <c r="AF94" s="1"/>
      <c r="AG94" s="1"/>
      <c r="AH94" s="1"/>
      <c r="AI94" s="8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6"/>
      <c r="AE95" s="8"/>
      <c r="AF95" s="1"/>
      <c r="AG95" s="1"/>
      <c r="AH95" s="1"/>
      <c r="AI95" s="8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6"/>
      <c r="AE96" s="8"/>
      <c r="AF96" s="1"/>
      <c r="AG96" s="1"/>
      <c r="AH96" s="1"/>
      <c r="AI96" s="8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6"/>
      <c r="AE97" s="8"/>
      <c r="AF97" s="1"/>
      <c r="AG97" s="1"/>
      <c r="AH97" s="1"/>
      <c r="AI97" s="8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6"/>
      <c r="AE98" s="8"/>
      <c r="AF98" s="1"/>
      <c r="AG98" s="1"/>
      <c r="AH98" s="1"/>
      <c r="AI98" s="8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6"/>
      <c r="AE99" s="8"/>
      <c r="AF99" s="1"/>
      <c r="AG99" s="1"/>
      <c r="AH99" s="1"/>
      <c r="AI99" s="8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6"/>
      <c r="AE100" s="8"/>
      <c r="AF100" s="1"/>
      <c r="AG100" s="1"/>
      <c r="AH100" s="1"/>
      <c r="AI100" s="8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6"/>
      <c r="AE101" s="8"/>
      <c r="AF101" s="1"/>
      <c r="AG101" s="1"/>
      <c r="AH101" s="1"/>
      <c r="AI101" s="8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6"/>
      <c r="AE102" s="8"/>
      <c r="AF102" s="1"/>
      <c r="AG102" s="1"/>
      <c r="AH102" s="1"/>
      <c r="AI102" s="8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6"/>
      <c r="AE103" s="8"/>
      <c r="AF103" s="1"/>
      <c r="AG103" s="1"/>
      <c r="AH103" s="1"/>
      <c r="AI103" s="8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6"/>
      <c r="AE104" s="8"/>
      <c r="AF104" s="1"/>
      <c r="AG104" s="1"/>
      <c r="AH104" s="1"/>
      <c r="AI104" s="8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6"/>
      <c r="AE105" s="8"/>
      <c r="AF105" s="1"/>
      <c r="AG105" s="1"/>
      <c r="AH105" s="1"/>
      <c r="AI105" s="8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6"/>
      <c r="AE106" s="8"/>
      <c r="AF106" s="1"/>
      <c r="AG106" s="1"/>
      <c r="AH106" s="1"/>
      <c r="AI106" s="8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6"/>
      <c r="AE107" s="8"/>
      <c r="AF107" s="1"/>
      <c r="AG107" s="1"/>
      <c r="AH107" s="1"/>
      <c r="AI107" s="8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6"/>
      <c r="AE108" s="8"/>
      <c r="AF108" s="1"/>
      <c r="AG108" s="1"/>
      <c r="AH108" s="1"/>
      <c r="AI108" s="8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6"/>
      <c r="AE109" s="8"/>
      <c r="AF109" s="1"/>
      <c r="AG109" s="1"/>
      <c r="AH109" s="1"/>
      <c r="AI109" s="8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6"/>
      <c r="AE110" s="8"/>
      <c r="AF110" s="1"/>
      <c r="AG110" s="1"/>
      <c r="AH110" s="1"/>
      <c r="AI110" s="8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6"/>
      <c r="AE111" s="8"/>
      <c r="AF111" s="1"/>
      <c r="AG111" s="1"/>
      <c r="AH111" s="1"/>
      <c r="AI111" s="8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6"/>
      <c r="AE112" s="8"/>
      <c r="AF112" s="1"/>
      <c r="AG112" s="1"/>
      <c r="AH112" s="1"/>
      <c r="AI112" s="8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6"/>
      <c r="AE113" s="8"/>
      <c r="AF113" s="1"/>
      <c r="AG113" s="1"/>
      <c r="AH113" s="1"/>
      <c r="AI113" s="8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6"/>
      <c r="AE114" s="8"/>
      <c r="AF114" s="1"/>
      <c r="AG114" s="1"/>
      <c r="AH114" s="1"/>
      <c r="AI114" s="8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6"/>
      <c r="AE115" s="8"/>
      <c r="AF115" s="1"/>
      <c r="AG115" s="1"/>
      <c r="AH115" s="1"/>
      <c r="AI115" s="8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6"/>
      <c r="AE116" s="8"/>
      <c r="AF116" s="1"/>
      <c r="AG116" s="1"/>
      <c r="AH116" s="1"/>
      <c r="AI116" s="8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6"/>
      <c r="AE117" s="8"/>
      <c r="AF117" s="1"/>
      <c r="AG117" s="1"/>
      <c r="AH117" s="1"/>
      <c r="AI117" s="8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6"/>
      <c r="AE118" s="8"/>
      <c r="AF118" s="1"/>
      <c r="AG118" s="1"/>
      <c r="AH118" s="1"/>
      <c r="AI118" s="8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6"/>
      <c r="AE119" s="8"/>
      <c r="AF119" s="1"/>
      <c r="AG119" s="1"/>
      <c r="AH119" s="1"/>
      <c r="AI119" s="8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6"/>
      <c r="AE120" s="8"/>
      <c r="AF120" s="1"/>
      <c r="AG120" s="1"/>
      <c r="AH120" s="1"/>
      <c r="AI120" s="8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6"/>
      <c r="AE121" s="8"/>
      <c r="AF121" s="1"/>
      <c r="AG121" s="1"/>
      <c r="AH121" s="1"/>
      <c r="AI121" s="8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6"/>
      <c r="AE122" s="8"/>
      <c r="AF122" s="1"/>
      <c r="AG122" s="1"/>
      <c r="AH122" s="1"/>
      <c r="AI122" s="8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6"/>
      <c r="AE123" s="8"/>
      <c r="AF123" s="1"/>
      <c r="AG123" s="1"/>
      <c r="AH123" s="1"/>
      <c r="AI123" s="8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6"/>
      <c r="AE124" s="8"/>
      <c r="AF124" s="1"/>
      <c r="AG124" s="1"/>
      <c r="AH124" s="1"/>
      <c r="AI124" s="8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6"/>
      <c r="AE125" s="8"/>
      <c r="AF125" s="1"/>
      <c r="AG125" s="1"/>
      <c r="AH125" s="1"/>
      <c r="AI125" s="8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6"/>
      <c r="AE126" s="8"/>
      <c r="AF126" s="1"/>
      <c r="AG126" s="1"/>
      <c r="AH126" s="1"/>
      <c r="AI126" s="8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6"/>
      <c r="AE127" s="8"/>
      <c r="AF127" s="1"/>
      <c r="AG127" s="1"/>
      <c r="AH127" s="1"/>
      <c r="AI127" s="8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6"/>
      <c r="AE128" s="8"/>
      <c r="AF128" s="1"/>
      <c r="AG128" s="1"/>
      <c r="AH128" s="1"/>
      <c r="AI128" s="8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6"/>
      <c r="AE129" s="8"/>
      <c r="AF129" s="1"/>
      <c r="AG129" s="1"/>
      <c r="AH129" s="1"/>
      <c r="AI129" s="8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6"/>
      <c r="AE130" s="8"/>
      <c r="AF130" s="1"/>
      <c r="AG130" s="1"/>
      <c r="AH130" s="1"/>
      <c r="AI130" s="8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6"/>
      <c r="AE131" s="8"/>
      <c r="AF131" s="1"/>
      <c r="AG131" s="1"/>
      <c r="AH131" s="1"/>
      <c r="AI131" s="8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6"/>
      <c r="AE132" s="8"/>
      <c r="AF132" s="1"/>
      <c r="AG132" s="1"/>
      <c r="AH132" s="1"/>
      <c r="AI132" s="8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6"/>
      <c r="AE133" s="8"/>
      <c r="AF133" s="1"/>
      <c r="AG133" s="1"/>
      <c r="AH133" s="1"/>
      <c r="AI133" s="8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6"/>
      <c r="AE134" s="8"/>
      <c r="AF134" s="1"/>
      <c r="AG134" s="1"/>
      <c r="AH134" s="1"/>
      <c r="AI134" s="8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6"/>
      <c r="AE135" s="8"/>
      <c r="AF135" s="1"/>
      <c r="AG135" s="1"/>
      <c r="AH135" s="1"/>
      <c r="AI135" s="8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6"/>
      <c r="AE136" s="8"/>
      <c r="AF136" s="1"/>
      <c r="AG136" s="1"/>
      <c r="AH136" s="1"/>
      <c r="AI136" s="8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6"/>
      <c r="AE137" s="8"/>
      <c r="AF137" s="1"/>
      <c r="AG137" s="1"/>
      <c r="AH137" s="1"/>
      <c r="AI137" s="8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6"/>
      <c r="AE138" s="8"/>
      <c r="AF138" s="1"/>
      <c r="AG138" s="1"/>
      <c r="AH138" s="1"/>
      <c r="AI138" s="8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6"/>
      <c r="AE139" s="8"/>
      <c r="AF139" s="1"/>
      <c r="AG139" s="1"/>
      <c r="AH139" s="1"/>
      <c r="AI139" s="8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6"/>
      <c r="AE140" s="8"/>
      <c r="AF140" s="1"/>
      <c r="AG140" s="1"/>
      <c r="AH140" s="1"/>
      <c r="AI140" s="8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6"/>
      <c r="AE141" s="8"/>
      <c r="AF141" s="1"/>
      <c r="AG141" s="1"/>
      <c r="AH141" s="1"/>
      <c r="AI141" s="8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6"/>
      <c r="AE142" s="8"/>
      <c r="AF142" s="1"/>
      <c r="AG142" s="1"/>
      <c r="AH142" s="1"/>
      <c r="AI142" s="8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6"/>
      <c r="AE143" s="8"/>
      <c r="AF143" s="1"/>
      <c r="AG143" s="1"/>
      <c r="AH143" s="1"/>
      <c r="AI143" s="8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6"/>
      <c r="AE144" s="8"/>
      <c r="AF144" s="1"/>
      <c r="AG144" s="1"/>
      <c r="AH144" s="1"/>
      <c r="AI144" s="8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6"/>
      <c r="AE145" s="8"/>
      <c r="AF145" s="1"/>
      <c r="AG145" s="1"/>
      <c r="AH145" s="1"/>
      <c r="AI145" s="8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6"/>
      <c r="AE146" s="8"/>
      <c r="AF146" s="1"/>
      <c r="AG146" s="1"/>
      <c r="AH146" s="1"/>
      <c r="AI146" s="8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6"/>
      <c r="AE147" s="8"/>
      <c r="AF147" s="1"/>
      <c r="AG147" s="1"/>
      <c r="AH147" s="1"/>
      <c r="AI147" s="8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6"/>
      <c r="AE148" s="8"/>
      <c r="AF148" s="1"/>
      <c r="AG148" s="1"/>
      <c r="AH148" s="1"/>
      <c r="AI148" s="8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6"/>
      <c r="AE149" s="8"/>
      <c r="AF149" s="1"/>
      <c r="AG149" s="1"/>
      <c r="AH149" s="1"/>
      <c r="AI149" s="8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6"/>
      <c r="AE150" s="8"/>
      <c r="AF150" s="1"/>
      <c r="AG150" s="1"/>
      <c r="AH150" s="1"/>
      <c r="AI150" s="8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6"/>
      <c r="AE151" s="8"/>
      <c r="AF151" s="1"/>
      <c r="AG151" s="1"/>
      <c r="AH151" s="1"/>
      <c r="AI151" s="8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6"/>
      <c r="AE152" s="8"/>
      <c r="AF152" s="1"/>
      <c r="AG152" s="1"/>
      <c r="AH152" s="1"/>
      <c r="AI152" s="8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6"/>
      <c r="AE153" s="8"/>
      <c r="AF153" s="1"/>
      <c r="AG153" s="1"/>
      <c r="AH153" s="1"/>
      <c r="AI153" s="8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6"/>
      <c r="AE154" s="8"/>
      <c r="AF154" s="1"/>
      <c r="AG154" s="1"/>
      <c r="AH154" s="1"/>
      <c r="AI154" s="8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6"/>
      <c r="AE155" s="8"/>
      <c r="AF155" s="1"/>
      <c r="AG155" s="1"/>
      <c r="AH155" s="1"/>
      <c r="AI155" s="8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6"/>
      <c r="AE156" s="8"/>
      <c r="AF156" s="1"/>
      <c r="AG156" s="1"/>
      <c r="AH156" s="1"/>
      <c r="AI156" s="8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6"/>
      <c r="AE157" s="8"/>
      <c r="AF157" s="1"/>
      <c r="AG157" s="1"/>
      <c r="AH157" s="1"/>
      <c r="AI157" s="8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6"/>
      <c r="AE158" s="8"/>
      <c r="AF158" s="1"/>
      <c r="AG158" s="1"/>
      <c r="AH158" s="1"/>
      <c r="AI158" s="8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6"/>
      <c r="AE159" s="8"/>
      <c r="AF159" s="1"/>
      <c r="AG159" s="1"/>
      <c r="AH159" s="1"/>
      <c r="AI159" s="8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6"/>
      <c r="AE160" s="8"/>
      <c r="AF160" s="1"/>
      <c r="AG160" s="1"/>
      <c r="AH160" s="1"/>
      <c r="AI160" s="8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6"/>
      <c r="AE161" s="8"/>
      <c r="AF161" s="1"/>
      <c r="AG161" s="1"/>
      <c r="AH161" s="1"/>
      <c r="AI161" s="8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6"/>
      <c r="AE162" s="8"/>
      <c r="AF162" s="1"/>
      <c r="AG162" s="1"/>
      <c r="AH162" s="1"/>
      <c r="AI162" s="8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6"/>
      <c r="AE163" s="8"/>
      <c r="AF163" s="1"/>
      <c r="AG163" s="1"/>
      <c r="AH163" s="1"/>
      <c r="AI163" s="8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6"/>
      <c r="AE164" s="8"/>
      <c r="AF164" s="1"/>
      <c r="AG164" s="1"/>
      <c r="AH164" s="1"/>
      <c r="AI164" s="8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6"/>
      <c r="AE165" s="8"/>
      <c r="AF165" s="1"/>
      <c r="AG165" s="1"/>
      <c r="AH165" s="1"/>
      <c r="AI165" s="8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6"/>
      <c r="AE166" s="8"/>
      <c r="AF166" s="1"/>
      <c r="AG166" s="1"/>
      <c r="AH166" s="1"/>
      <c r="AI166" s="8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6"/>
      <c r="AE167" s="8"/>
      <c r="AF167" s="1"/>
      <c r="AG167" s="1"/>
      <c r="AH167" s="1"/>
      <c r="AI167" s="8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6"/>
      <c r="AE168" s="8"/>
      <c r="AF168" s="1"/>
      <c r="AG168" s="1"/>
      <c r="AH168" s="1"/>
      <c r="AI168" s="8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6"/>
      <c r="AE169" s="8"/>
      <c r="AF169" s="1"/>
      <c r="AG169" s="1"/>
      <c r="AH169" s="1"/>
      <c r="AI169" s="8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6"/>
      <c r="AE170" s="8"/>
      <c r="AF170" s="1"/>
      <c r="AG170" s="1"/>
      <c r="AH170" s="1"/>
      <c r="AI170" s="8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6"/>
      <c r="AE171" s="8"/>
      <c r="AF171" s="1"/>
      <c r="AG171" s="1"/>
      <c r="AH171" s="1"/>
      <c r="AI171" s="8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6"/>
      <c r="AE172" s="8"/>
      <c r="AF172" s="1"/>
      <c r="AG172" s="1"/>
      <c r="AH172" s="1"/>
      <c r="AI172" s="8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6"/>
      <c r="AE173" s="8"/>
      <c r="AF173" s="1"/>
      <c r="AG173" s="1"/>
      <c r="AH173" s="1"/>
      <c r="AI173" s="8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6"/>
      <c r="AE174" s="8"/>
      <c r="AF174" s="1"/>
      <c r="AG174" s="1"/>
      <c r="AH174" s="1"/>
      <c r="AI174" s="8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6"/>
      <c r="AE175" s="8"/>
      <c r="AF175" s="1"/>
      <c r="AG175" s="1"/>
      <c r="AH175" s="1"/>
      <c r="AI175" s="8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6"/>
      <c r="AE176" s="8"/>
      <c r="AF176" s="1"/>
      <c r="AG176" s="1"/>
      <c r="AH176" s="1"/>
      <c r="AI176" s="8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6"/>
      <c r="AE177" s="8"/>
      <c r="AF177" s="1"/>
      <c r="AG177" s="1"/>
      <c r="AH177" s="1"/>
      <c r="AI177" s="8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6"/>
      <c r="AE178" s="8"/>
      <c r="AF178" s="1"/>
      <c r="AG178" s="1"/>
      <c r="AH178" s="1"/>
      <c r="AI178" s="8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6"/>
      <c r="AE179" s="8"/>
      <c r="AF179" s="1"/>
      <c r="AG179" s="1"/>
      <c r="AH179" s="1"/>
      <c r="AI179" s="8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6"/>
      <c r="AE180" s="8"/>
      <c r="AF180" s="1"/>
      <c r="AG180" s="1"/>
      <c r="AH180" s="1"/>
      <c r="AI180" s="8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6"/>
      <c r="AE181" s="8"/>
      <c r="AF181" s="1"/>
      <c r="AG181" s="1"/>
      <c r="AH181" s="1"/>
      <c r="AI181" s="8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6"/>
      <c r="AE182" s="8"/>
      <c r="AF182" s="1"/>
      <c r="AG182" s="1"/>
      <c r="AH182" s="1"/>
      <c r="AI182" s="8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6"/>
      <c r="AE183" s="8"/>
      <c r="AF183" s="1"/>
      <c r="AG183" s="1"/>
      <c r="AH183" s="1"/>
      <c r="AI183" s="8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6"/>
      <c r="AE184" s="8"/>
      <c r="AF184" s="1"/>
      <c r="AG184" s="1"/>
      <c r="AH184" s="1"/>
      <c r="AI184" s="8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6"/>
      <c r="AE185" s="8"/>
      <c r="AF185" s="1"/>
      <c r="AG185" s="1"/>
      <c r="AH185" s="1"/>
      <c r="AI185" s="8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6"/>
      <c r="AE186" s="8"/>
      <c r="AF186" s="1"/>
      <c r="AG186" s="1"/>
      <c r="AH186" s="1"/>
      <c r="AI186" s="8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6"/>
      <c r="AE187" s="8"/>
      <c r="AF187" s="1"/>
      <c r="AG187" s="1"/>
      <c r="AH187" s="1"/>
      <c r="AI187" s="8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6"/>
      <c r="AE188" s="8"/>
      <c r="AF188" s="1"/>
      <c r="AG188" s="1"/>
      <c r="AH188" s="1"/>
      <c r="AI188" s="8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6"/>
      <c r="AE189" s="8"/>
      <c r="AF189" s="1"/>
      <c r="AG189" s="1"/>
      <c r="AH189" s="1"/>
      <c r="AI189" s="8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6"/>
      <c r="AE190" s="8"/>
      <c r="AF190" s="1"/>
      <c r="AG190" s="1"/>
      <c r="AH190" s="1"/>
      <c r="AI190" s="8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6"/>
      <c r="AE191" s="8"/>
      <c r="AF191" s="1"/>
      <c r="AG191" s="1"/>
      <c r="AH191" s="1"/>
      <c r="AI191" s="8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6"/>
      <c r="AE192" s="8"/>
      <c r="AF192" s="1"/>
      <c r="AG192" s="1"/>
      <c r="AH192" s="1"/>
      <c r="AI192" s="8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6"/>
      <c r="AE193" s="8"/>
      <c r="AF193" s="1"/>
      <c r="AG193" s="1"/>
      <c r="AH193" s="1"/>
      <c r="AI193" s="8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6"/>
      <c r="AE194" s="8"/>
      <c r="AF194" s="1"/>
      <c r="AG194" s="1"/>
      <c r="AH194" s="1"/>
      <c r="AI194" s="8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6"/>
      <c r="AE195" s="8"/>
      <c r="AF195" s="1"/>
      <c r="AG195" s="1"/>
      <c r="AH195" s="1"/>
      <c r="AI195" s="8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6"/>
      <c r="AE196" s="8"/>
      <c r="AF196" s="1"/>
      <c r="AG196" s="1"/>
      <c r="AH196" s="1"/>
      <c r="AI196" s="8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6"/>
      <c r="AE197" s="8"/>
      <c r="AF197" s="1"/>
      <c r="AG197" s="1"/>
      <c r="AH197" s="1"/>
      <c r="AI197" s="8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6"/>
      <c r="AE198" s="8"/>
      <c r="AF198" s="1"/>
      <c r="AG198" s="1"/>
      <c r="AH198" s="1"/>
      <c r="AI198" s="8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6"/>
      <c r="AE199" s="8"/>
      <c r="AF199" s="1"/>
      <c r="AG199" s="1"/>
      <c r="AH199" s="1"/>
      <c r="AI199" s="8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6"/>
      <c r="AE200" s="8"/>
      <c r="AF200" s="1"/>
      <c r="AG200" s="1"/>
      <c r="AH200" s="1"/>
      <c r="AI200" s="8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6"/>
      <c r="AE201" s="8"/>
      <c r="AF201" s="1"/>
      <c r="AG201" s="1"/>
      <c r="AH201" s="1"/>
      <c r="AI201" s="8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6"/>
      <c r="AE202" s="8"/>
      <c r="AF202" s="1"/>
      <c r="AG202" s="1"/>
      <c r="AH202" s="1"/>
      <c r="AI202" s="8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6"/>
      <c r="AE203" s="8"/>
      <c r="AF203" s="1"/>
      <c r="AG203" s="1"/>
      <c r="AH203" s="1"/>
      <c r="AI203" s="8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6"/>
      <c r="AE204" s="8"/>
      <c r="AF204" s="1"/>
      <c r="AG204" s="1"/>
      <c r="AH204" s="1"/>
      <c r="AI204" s="8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6"/>
      <c r="AE205" s="8"/>
      <c r="AF205" s="1"/>
      <c r="AG205" s="1"/>
      <c r="AH205" s="1"/>
      <c r="AI205" s="8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6"/>
      <c r="AE206" s="8"/>
      <c r="AF206" s="1"/>
      <c r="AG206" s="1"/>
      <c r="AH206" s="1"/>
      <c r="AI206" s="8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6"/>
      <c r="AE207" s="8"/>
      <c r="AF207" s="1"/>
      <c r="AG207" s="1"/>
      <c r="AH207" s="1"/>
      <c r="AI207" s="8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6"/>
      <c r="AE208" s="8"/>
      <c r="AF208" s="1"/>
      <c r="AG208" s="1"/>
      <c r="AH208" s="1"/>
      <c r="AI208" s="8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6"/>
      <c r="AE209" s="8"/>
      <c r="AF209" s="1"/>
      <c r="AG209" s="1"/>
      <c r="AH209" s="1"/>
      <c r="AI209" s="8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6"/>
      <c r="AE210" s="8"/>
      <c r="AF210" s="1"/>
      <c r="AG210" s="1"/>
      <c r="AH210" s="1"/>
      <c r="AI210" s="8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6"/>
      <c r="AE211" s="8"/>
      <c r="AF211" s="1"/>
      <c r="AG211" s="1"/>
      <c r="AH211" s="1"/>
      <c r="AI211" s="8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6"/>
      <c r="AE212" s="8"/>
      <c r="AF212" s="1"/>
      <c r="AG212" s="1"/>
      <c r="AH212" s="1"/>
      <c r="AI212" s="8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6"/>
      <c r="AE213" s="8"/>
      <c r="AF213" s="1"/>
      <c r="AG213" s="1"/>
      <c r="AH213" s="1"/>
      <c r="AI213" s="8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6"/>
      <c r="AE214" s="8"/>
      <c r="AF214" s="1"/>
      <c r="AG214" s="1"/>
      <c r="AH214" s="1"/>
      <c r="AI214" s="8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6"/>
      <c r="AE215" s="8"/>
      <c r="AF215" s="1"/>
      <c r="AG215" s="1"/>
      <c r="AH215" s="1"/>
      <c r="AI215" s="8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6"/>
      <c r="AE216" s="8"/>
      <c r="AF216" s="1"/>
      <c r="AG216" s="1"/>
      <c r="AH216" s="1"/>
      <c r="AI216" s="8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6"/>
      <c r="AE217" s="8"/>
      <c r="AF217" s="1"/>
      <c r="AG217" s="1"/>
      <c r="AH217" s="1"/>
      <c r="AI217" s="8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6"/>
      <c r="AE218" s="8"/>
      <c r="AF218" s="1"/>
      <c r="AG218" s="1"/>
      <c r="AH218" s="1"/>
      <c r="AI218" s="8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6"/>
      <c r="AE219" s="8"/>
      <c r="AF219" s="1"/>
      <c r="AG219" s="1"/>
      <c r="AH219" s="1"/>
      <c r="AI219" s="8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6"/>
      <c r="AE220" s="8"/>
      <c r="AF220" s="1"/>
      <c r="AG220" s="1"/>
      <c r="AH220" s="1"/>
      <c r="AI220" s="8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6"/>
      <c r="AE221" s="8"/>
      <c r="AF221" s="1"/>
      <c r="AG221" s="1"/>
      <c r="AH221" s="1"/>
      <c r="AI221" s="8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6"/>
      <c r="AE222" s="8"/>
      <c r="AF222" s="1"/>
      <c r="AG222" s="1"/>
      <c r="AH222" s="1"/>
      <c r="AI222" s="8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6"/>
      <c r="AE223" s="8"/>
      <c r="AF223" s="1"/>
      <c r="AG223" s="1"/>
      <c r="AH223" s="1"/>
      <c r="AI223" s="8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6"/>
      <c r="AE224" s="8"/>
      <c r="AF224" s="1"/>
      <c r="AG224" s="1"/>
      <c r="AH224" s="1"/>
      <c r="AI224" s="8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6"/>
      <c r="AE225" s="8"/>
      <c r="AF225" s="1"/>
      <c r="AG225" s="1"/>
      <c r="AH225" s="1"/>
      <c r="AI225" s="8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6"/>
      <c r="AE226" s="8"/>
      <c r="AF226" s="1"/>
      <c r="AG226" s="1"/>
      <c r="AH226" s="1"/>
      <c r="AI226" s="8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6"/>
      <c r="AE227" s="8"/>
      <c r="AF227" s="1"/>
      <c r="AG227" s="1"/>
      <c r="AH227" s="1"/>
      <c r="AI227" s="8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6"/>
      <c r="AE228" s="8"/>
      <c r="AF228" s="1"/>
      <c r="AG228" s="1"/>
      <c r="AH228" s="1"/>
      <c r="AI228" s="8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6"/>
      <c r="AE229" s="8"/>
      <c r="AF229" s="1"/>
      <c r="AG229" s="1"/>
      <c r="AH229" s="1"/>
      <c r="AI229" s="8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6"/>
      <c r="AE230" s="8"/>
      <c r="AF230" s="1"/>
      <c r="AG230" s="1"/>
      <c r="AH230" s="1"/>
      <c r="AI230" s="8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6"/>
      <c r="AE231" s="8"/>
      <c r="AF231" s="1"/>
      <c r="AG231" s="1"/>
      <c r="AH231" s="1"/>
      <c r="AI231" s="8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6"/>
      <c r="AE232" s="8"/>
      <c r="AF232" s="1"/>
      <c r="AG232" s="1"/>
      <c r="AH232" s="1"/>
      <c r="AI232" s="8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6"/>
      <c r="AE233" s="8"/>
      <c r="AF233" s="1"/>
      <c r="AG233" s="1"/>
      <c r="AH233" s="1"/>
      <c r="AI233" s="8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6"/>
      <c r="AE234" s="8"/>
      <c r="AF234" s="1"/>
      <c r="AG234" s="1"/>
      <c r="AH234" s="1"/>
      <c r="AI234" s="8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6"/>
      <c r="AE235" s="8"/>
      <c r="AF235" s="1"/>
      <c r="AG235" s="1"/>
      <c r="AH235" s="1"/>
      <c r="AI235" s="8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6"/>
      <c r="AE236" s="8"/>
      <c r="AF236" s="1"/>
      <c r="AG236" s="1"/>
      <c r="AH236" s="1"/>
      <c r="AI236" s="8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6"/>
      <c r="AE237" s="8"/>
      <c r="AF237" s="1"/>
      <c r="AG237" s="1"/>
      <c r="AH237" s="1"/>
      <c r="AI237" s="8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6"/>
      <c r="AE238" s="8"/>
      <c r="AF238" s="1"/>
      <c r="AG238" s="1"/>
      <c r="AH238" s="1"/>
      <c r="AI238" s="8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6"/>
      <c r="AE239" s="8"/>
      <c r="AF239" s="1"/>
      <c r="AG239" s="1"/>
      <c r="AH239" s="1"/>
      <c r="AI239" s="8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6"/>
      <c r="AE240" s="8"/>
      <c r="AF240" s="1"/>
      <c r="AG240" s="1"/>
      <c r="AH240" s="1"/>
      <c r="AI240" s="8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6"/>
      <c r="AE241" s="8"/>
      <c r="AF241" s="1"/>
      <c r="AG241" s="1"/>
      <c r="AH241" s="1"/>
      <c r="AI241" s="8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6"/>
      <c r="AE242" s="8"/>
      <c r="AF242" s="1"/>
      <c r="AG242" s="1"/>
      <c r="AH242" s="1"/>
      <c r="AI242" s="8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6"/>
      <c r="AE243" s="8"/>
      <c r="AF243" s="1"/>
      <c r="AG243" s="1"/>
      <c r="AH243" s="1"/>
      <c r="AI243" s="8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6"/>
      <c r="AE244" s="8"/>
      <c r="AF244" s="1"/>
      <c r="AG244" s="1"/>
      <c r="AH244" s="1"/>
      <c r="AI244" s="8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6"/>
      <c r="AE245" s="8"/>
      <c r="AF245" s="1"/>
      <c r="AG245" s="1"/>
      <c r="AH245" s="1"/>
      <c r="AI245" s="8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6"/>
      <c r="AE246" s="8"/>
      <c r="AF246" s="1"/>
      <c r="AG246" s="1"/>
      <c r="AH246" s="1"/>
      <c r="AI246" s="8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6"/>
      <c r="AE247" s="8"/>
      <c r="AF247" s="1"/>
      <c r="AG247" s="1"/>
      <c r="AH247" s="1"/>
      <c r="AI247" s="8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6"/>
      <c r="AE248" s="8"/>
      <c r="AF248" s="1"/>
      <c r="AG248" s="1"/>
      <c r="AH248" s="1"/>
      <c r="AI248" s="8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6"/>
      <c r="AE249" s="8"/>
      <c r="AF249" s="1"/>
      <c r="AG249" s="1"/>
      <c r="AH249" s="1"/>
      <c r="AI249" s="8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6"/>
      <c r="AE250" s="8"/>
      <c r="AF250" s="1"/>
      <c r="AG250" s="1"/>
      <c r="AH250" s="1"/>
      <c r="AI250" s="8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6"/>
      <c r="AE251" s="8"/>
      <c r="AF251" s="1"/>
      <c r="AG251" s="1"/>
      <c r="AH251" s="1"/>
      <c r="AI251" s="8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6"/>
      <c r="AE252" s="8"/>
      <c r="AF252" s="1"/>
      <c r="AG252" s="1"/>
      <c r="AH252" s="1"/>
      <c r="AI252" s="8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6"/>
      <c r="AE253" s="8"/>
      <c r="AF253" s="1"/>
      <c r="AG253" s="1"/>
      <c r="AH253" s="1"/>
      <c r="AI253" s="8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6"/>
      <c r="AE254" s="8"/>
      <c r="AF254" s="1"/>
      <c r="AG254" s="1"/>
      <c r="AH254" s="1"/>
      <c r="AI254" s="8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6"/>
      <c r="AE255" s="8"/>
      <c r="AF255" s="1"/>
      <c r="AG255" s="1"/>
      <c r="AH255" s="1"/>
      <c r="AI255" s="8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6"/>
      <c r="AE256" s="8"/>
      <c r="AF256" s="1"/>
      <c r="AG256" s="1"/>
      <c r="AH256" s="1"/>
      <c r="AI256" s="8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6"/>
      <c r="AE257" s="8"/>
      <c r="AF257" s="1"/>
      <c r="AG257" s="1"/>
      <c r="AH257" s="1"/>
      <c r="AI257" s="8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6"/>
      <c r="AE258" s="8"/>
      <c r="AF258" s="1"/>
      <c r="AG258" s="1"/>
      <c r="AH258" s="1"/>
      <c r="AI258" s="8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6"/>
      <c r="AE259" s="8"/>
      <c r="AF259" s="1"/>
      <c r="AG259" s="1"/>
      <c r="AH259" s="1"/>
      <c r="AI259" s="8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6"/>
      <c r="AE260" s="8"/>
      <c r="AF260" s="1"/>
      <c r="AG260" s="1"/>
      <c r="AH260" s="1"/>
      <c r="AI260" s="8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6"/>
      <c r="AE261" s="8"/>
      <c r="AF261" s="1"/>
      <c r="AG261" s="1"/>
      <c r="AH261" s="1"/>
      <c r="AI261" s="8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6"/>
      <c r="AE262" s="8"/>
      <c r="AF262" s="1"/>
      <c r="AG262" s="1"/>
      <c r="AH262" s="1"/>
      <c r="AI262" s="8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6"/>
      <c r="AE263" s="8"/>
      <c r="AF263" s="1"/>
      <c r="AG263" s="1"/>
      <c r="AH263" s="1"/>
      <c r="AI263" s="8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6"/>
      <c r="AE264" s="8"/>
      <c r="AF264" s="1"/>
      <c r="AG264" s="1"/>
      <c r="AH264" s="1"/>
      <c r="AI264" s="8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6"/>
      <c r="AE265" s="8"/>
      <c r="AF265" s="1"/>
      <c r="AG265" s="1"/>
      <c r="AH265" s="1"/>
      <c r="AI265" s="8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6"/>
      <c r="AE266" s="8"/>
      <c r="AF266" s="1"/>
      <c r="AG266" s="1"/>
      <c r="AH266" s="1"/>
      <c r="AI266" s="8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6"/>
      <c r="AE267" s="8"/>
      <c r="AF267" s="1"/>
      <c r="AG267" s="1"/>
      <c r="AH267" s="1"/>
      <c r="AI267" s="8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6"/>
      <c r="AE268" s="8"/>
      <c r="AF268" s="1"/>
      <c r="AG268" s="1"/>
      <c r="AH268" s="1"/>
      <c r="AI268" s="8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6"/>
      <c r="AE269" s="8"/>
      <c r="AF269" s="1"/>
      <c r="AG269" s="1"/>
      <c r="AH269" s="1"/>
      <c r="AI269" s="8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6"/>
      <c r="AE270" s="8"/>
      <c r="AF270" s="1"/>
      <c r="AG270" s="1"/>
      <c r="AH270" s="1"/>
      <c r="AI270" s="8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6"/>
      <c r="AE271" s="8"/>
      <c r="AF271" s="1"/>
      <c r="AG271" s="1"/>
      <c r="AH271" s="1"/>
      <c r="AI271" s="8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6"/>
      <c r="AE272" s="8"/>
      <c r="AF272" s="1"/>
      <c r="AG272" s="1"/>
      <c r="AH272" s="1"/>
      <c r="AI272" s="8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6"/>
      <c r="AE273" s="8"/>
      <c r="AF273" s="1"/>
      <c r="AG273" s="1"/>
      <c r="AH273" s="1"/>
      <c r="AI273" s="8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6"/>
      <c r="AE274" s="8"/>
      <c r="AF274" s="1"/>
      <c r="AG274" s="1"/>
      <c r="AH274" s="1"/>
      <c r="AI274" s="8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6"/>
      <c r="AE275" s="8"/>
      <c r="AF275" s="1"/>
      <c r="AG275" s="1"/>
      <c r="AH275" s="1"/>
      <c r="AI275" s="8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6"/>
      <c r="AE276" s="8"/>
      <c r="AF276" s="1"/>
      <c r="AG276" s="1"/>
      <c r="AH276" s="1"/>
      <c r="AI276" s="8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6"/>
      <c r="AE277" s="8"/>
      <c r="AF277" s="1"/>
      <c r="AG277" s="1"/>
      <c r="AH277" s="1"/>
      <c r="AI277" s="8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6"/>
      <c r="AE278" s="8"/>
      <c r="AF278" s="1"/>
      <c r="AG278" s="1"/>
      <c r="AH278" s="1"/>
      <c r="AI278" s="8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6"/>
      <c r="AE279" s="8"/>
      <c r="AF279" s="1"/>
      <c r="AG279" s="1"/>
      <c r="AH279" s="1"/>
      <c r="AI279" s="8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6"/>
      <c r="AE280" s="8"/>
      <c r="AF280" s="1"/>
      <c r="AG280" s="1"/>
      <c r="AH280" s="1"/>
      <c r="AI280" s="8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6"/>
      <c r="AE281" s="8"/>
      <c r="AF281" s="1"/>
      <c r="AG281" s="1"/>
      <c r="AH281" s="1"/>
      <c r="AI281" s="8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6"/>
      <c r="AE282" s="8"/>
      <c r="AF282" s="1"/>
      <c r="AG282" s="1"/>
      <c r="AH282" s="1"/>
      <c r="AI282" s="8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6"/>
      <c r="AE283" s="8"/>
      <c r="AF283" s="1"/>
      <c r="AG283" s="1"/>
      <c r="AH283" s="1"/>
      <c r="AI283" s="8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6"/>
      <c r="AE284" s="8"/>
      <c r="AF284" s="1"/>
      <c r="AG284" s="1"/>
      <c r="AH284" s="1"/>
      <c r="AI284" s="8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6"/>
      <c r="AE285" s="8"/>
      <c r="AF285" s="1"/>
      <c r="AG285" s="1"/>
      <c r="AH285" s="1"/>
      <c r="AI285" s="8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6"/>
      <c r="AE286" s="8"/>
      <c r="AF286" s="1"/>
      <c r="AG286" s="1"/>
      <c r="AH286" s="1"/>
      <c r="AI286" s="8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6"/>
      <c r="AE287" s="8"/>
      <c r="AF287" s="1"/>
      <c r="AG287" s="1"/>
      <c r="AH287" s="1"/>
      <c r="AI287" s="8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6"/>
      <c r="AE288" s="8"/>
      <c r="AF288" s="1"/>
      <c r="AG288" s="1"/>
      <c r="AH288" s="1"/>
      <c r="AI288" s="8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6"/>
      <c r="AE289" s="8"/>
      <c r="AF289" s="1"/>
      <c r="AG289" s="1"/>
      <c r="AH289" s="1"/>
      <c r="AI289" s="8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6"/>
      <c r="AE290" s="8"/>
      <c r="AF290" s="1"/>
      <c r="AG290" s="1"/>
      <c r="AH290" s="1"/>
      <c r="AI290" s="8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6"/>
      <c r="AE291" s="8"/>
      <c r="AF291" s="1"/>
      <c r="AG291" s="1"/>
      <c r="AH291" s="1"/>
      <c r="AI291" s="8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6"/>
      <c r="AE292" s="8"/>
      <c r="AF292" s="1"/>
      <c r="AG292" s="1"/>
      <c r="AH292" s="1"/>
      <c r="AI292" s="8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6"/>
      <c r="AE293" s="8"/>
      <c r="AF293" s="1"/>
      <c r="AG293" s="1"/>
      <c r="AH293" s="1"/>
      <c r="AI293" s="8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6"/>
      <c r="AE294" s="8"/>
      <c r="AF294" s="1"/>
      <c r="AG294" s="1"/>
      <c r="AH294" s="1"/>
      <c r="AI294" s="8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6"/>
      <c r="AE295" s="8"/>
      <c r="AF295" s="1"/>
      <c r="AG295" s="1"/>
      <c r="AH295" s="1"/>
      <c r="AI295" s="8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6"/>
      <c r="AE296" s="8"/>
      <c r="AF296" s="1"/>
      <c r="AG296" s="1"/>
      <c r="AH296" s="1"/>
      <c r="AI296" s="8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6"/>
      <c r="AE297" s="8"/>
      <c r="AF297" s="1"/>
      <c r="AG297" s="1"/>
      <c r="AH297" s="1"/>
      <c r="AI297" s="8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6"/>
      <c r="AE298" s="8"/>
      <c r="AF298" s="1"/>
      <c r="AG298" s="1"/>
      <c r="AH298" s="1"/>
      <c r="AI298" s="8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6"/>
      <c r="AE299" s="8"/>
      <c r="AF299" s="1"/>
      <c r="AG299" s="1"/>
      <c r="AH299" s="1"/>
      <c r="AI299" s="8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6"/>
      <c r="AE300" s="8"/>
      <c r="AF300" s="1"/>
      <c r="AG300" s="1"/>
      <c r="AH300" s="1"/>
      <c r="AI300" s="8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6"/>
      <c r="AE301" s="8"/>
      <c r="AF301" s="1"/>
      <c r="AG301" s="1"/>
      <c r="AH301" s="1"/>
      <c r="AI301" s="8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6"/>
      <c r="AE302" s="8"/>
      <c r="AF302" s="1"/>
      <c r="AG302" s="1"/>
      <c r="AH302" s="1"/>
      <c r="AI302" s="8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6"/>
      <c r="AE303" s="8"/>
      <c r="AF303" s="1"/>
      <c r="AG303" s="1"/>
      <c r="AH303" s="1"/>
      <c r="AI303" s="8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6"/>
      <c r="AE304" s="8"/>
      <c r="AF304" s="1"/>
      <c r="AG304" s="1"/>
      <c r="AH304" s="1"/>
      <c r="AI304" s="8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6"/>
      <c r="AE305" s="8"/>
      <c r="AF305" s="1"/>
      <c r="AG305" s="1"/>
      <c r="AH305" s="1"/>
      <c r="AI305" s="8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6"/>
      <c r="AE306" s="8"/>
      <c r="AF306" s="1"/>
      <c r="AG306" s="1"/>
      <c r="AH306" s="1"/>
      <c r="AI306" s="8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6"/>
      <c r="AE307" s="8"/>
      <c r="AF307" s="1"/>
      <c r="AG307" s="1"/>
      <c r="AH307" s="1"/>
      <c r="AI307" s="8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6"/>
      <c r="AE308" s="8"/>
      <c r="AF308" s="1"/>
      <c r="AG308" s="1"/>
      <c r="AH308" s="1"/>
      <c r="AI308" s="8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6"/>
      <c r="AE309" s="8"/>
      <c r="AF309" s="1"/>
      <c r="AG309" s="1"/>
      <c r="AH309" s="1"/>
      <c r="AI309" s="8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6"/>
      <c r="AE310" s="8"/>
      <c r="AF310" s="1"/>
      <c r="AG310" s="1"/>
      <c r="AH310" s="1"/>
      <c r="AI310" s="8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6"/>
      <c r="AE311" s="8"/>
      <c r="AF311" s="1"/>
      <c r="AG311" s="1"/>
      <c r="AH311" s="1"/>
      <c r="AI311" s="8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6"/>
      <c r="AE312" s="8"/>
      <c r="AF312" s="1"/>
      <c r="AG312" s="1"/>
      <c r="AH312" s="1"/>
      <c r="AI312" s="8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6"/>
      <c r="AE313" s="8"/>
      <c r="AF313" s="1"/>
      <c r="AG313" s="1"/>
      <c r="AH313" s="1"/>
      <c r="AI313" s="8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6"/>
      <c r="AE314" s="8"/>
      <c r="AF314" s="1"/>
      <c r="AG314" s="1"/>
      <c r="AH314" s="1"/>
      <c r="AI314" s="8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6"/>
      <c r="AE315" s="8"/>
      <c r="AF315" s="1"/>
      <c r="AG315" s="1"/>
      <c r="AH315" s="1"/>
      <c r="AI315" s="8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6"/>
      <c r="AE316" s="8"/>
      <c r="AF316" s="1"/>
      <c r="AG316" s="1"/>
      <c r="AH316" s="1"/>
      <c r="AI316" s="8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6"/>
      <c r="AE317" s="8"/>
      <c r="AF317" s="1"/>
      <c r="AG317" s="1"/>
      <c r="AH317" s="1"/>
      <c r="AI317" s="8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6"/>
      <c r="AE318" s="8"/>
      <c r="AF318" s="1"/>
      <c r="AG318" s="1"/>
      <c r="AH318" s="1"/>
      <c r="AI318" s="8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6"/>
      <c r="AE319" s="8"/>
      <c r="AF319" s="1"/>
      <c r="AG319" s="1"/>
      <c r="AH319" s="1"/>
      <c r="AI319" s="8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6"/>
      <c r="AE320" s="8"/>
      <c r="AF320" s="1"/>
      <c r="AG320" s="1"/>
      <c r="AH320" s="1"/>
      <c r="AI320" s="8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6"/>
      <c r="AE321" s="8"/>
      <c r="AF321" s="1"/>
      <c r="AG321" s="1"/>
      <c r="AH321" s="1"/>
      <c r="AI321" s="8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6"/>
      <c r="AE322" s="8"/>
      <c r="AF322" s="1"/>
      <c r="AG322" s="1"/>
      <c r="AH322" s="1"/>
      <c r="AI322" s="8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6"/>
      <c r="AE323" s="8"/>
      <c r="AF323" s="1"/>
      <c r="AG323" s="1"/>
      <c r="AH323" s="1"/>
      <c r="AI323" s="8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6"/>
      <c r="AE324" s="8"/>
      <c r="AF324" s="1"/>
      <c r="AG324" s="1"/>
      <c r="AH324" s="1"/>
      <c r="AI324" s="8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6"/>
      <c r="AE325" s="8"/>
      <c r="AF325" s="1"/>
      <c r="AG325" s="1"/>
      <c r="AH325" s="1"/>
      <c r="AI325" s="8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6"/>
      <c r="AE326" s="8"/>
      <c r="AF326" s="1"/>
      <c r="AG326" s="1"/>
      <c r="AH326" s="1"/>
      <c r="AI326" s="8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6"/>
      <c r="AE327" s="8"/>
      <c r="AF327" s="1"/>
      <c r="AG327" s="1"/>
      <c r="AH327" s="1"/>
      <c r="AI327" s="8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6"/>
      <c r="AE328" s="8"/>
      <c r="AF328" s="1"/>
      <c r="AG328" s="1"/>
      <c r="AH328" s="1"/>
      <c r="AI328" s="8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6"/>
      <c r="AE329" s="8"/>
      <c r="AF329" s="1"/>
      <c r="AG329" s="1"/>
      <c r="AH329" s="1"/>
      <c r="AI329" s="8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6"/>
      <c r="AE330" s="8"/>
      <c r="AF330" s="1"/>
      <c r="AG330" s="1"/>
      <c r="AH330" s="1"/>
      <c r="AI330" s="8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6"/>
      <c r="AE331" s="8"/>
      <c r="AF331" s="1"/>
      <c r="AG331" s="1"/>
      <c r="AH331" s="1"/>
      <c r="AI331" s="8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6"/>
      <c r="AE332" s="8"/>
      <c r="AF332" s="1"/>
      <c r="AG332" s="1"/>
      <c r="AH332" s="1"/>
      <c r="AI332" s="8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6"/>
      <c r="AE333" s="8"/>
      <c r="AF333" s="1"/>
      <c r="AG333" s="1"/>
      <c r="AH333" s="1"/>
      <c r="AI333" s="8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6"/>
      <c r="AE334" s="8"/>
      <c r="AF334" s="1"/>
      <c r="AG334" s="1"/>
      <c r="AH334" s="1"/>
      <c r="AI334" s="8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6"/>
      <c r="AE335" s="8"/>
      <c r="AF335" s="1"/>
      <c r="AG335" s="1"/>
      <c r="AH335" s="1"/>
      <c r="AI335" s="8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6"/>
      <c r="AE336" s="8"/>
      <c r="AF336" s="1"/>
      <c r="AG336" s="1"/>
      <c r="AH336" s="1"/>
      <c r="AI336" s="8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6"/>
      <c r="AE337" s="8"/>
      <c r="AF337" s="1"/>
      <c r="AG337" s="1"/>
      <c r="AH337" s="1"/>
      <c r="AI337" s="8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6"/>
      <c r="AE338" s="8"/>
      <c r="AF338" s="1"/>
      <c r="AG338" s="1"/>
      <c r="AH338" s="1"/>
      <c r="AI338" s="8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6"/>
      <c r="AE339" s="8"/>
      <c r="AF339" s="1"/>
      <c r="AG339" s="1"/>
      <c r="AH339" s="1"/>
      <c r="AI339" s="8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6"/>
      <c r="AE340" s="8"/>
      <c r="AF340" s="1"/>
      <c r="AG340" s="1"/>
      <c r="AH340" s="1"/>
      <c r="AI340" s="8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6"/>
      <c r="AE341" s="8"/>
      <c r="AF341" s="1"/>
      <c r="AG341" s="1"/>
      <c r="AH341" s="1"/>
      <c r="AI341" s="8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6"/>
      <c r="AE342" s="8"/>
      <c r="AF342" s="1"/>
      <c r="AG342" s="1"/>
      <c r="AH342" s="1"/>
      <c r="AI342" s="8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6"/>
      <c r="AE343" s="8"/>
      <c r="AF343" s="1"/>
      <c r="AG343" s="1"/>
      <c r="AH343" s="1"/>
      <c r="AI343" s="8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6"/>
      <c r="AE344" s="8"/>
      <c r="AF344" s="1"/>
      <c r="AG344" s="1"/>
      <c r="AH344" s="1"/>
      <c r="AI344" s="8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6"/>
      <c r="AE345" s="8"/>
      <c r="AF345" s="1"/>
      <c r="AG345" s="1"/>
      <c r="AH345" s="1"/>
      <c r="AI345" s="8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6"/>
      <c r="AE346" s="8"/>
      <c r="AF346" s="1"/>
      <c r="AG346" s="1"/>
      <c r="AH346" s="1"/>
      <c r="AI346" s="8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6"/>
      <c r="AE347" s="8"/>
      <c r="AF347" s="1"/>
      <c r="AG347" s="1"/>
      <c r="AH347" s="1"/>
      <c r="AI347" s="8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6"/>
      <c r="AE348" s="8"/>
      <c r="AF348" s="1"/>
      <c r="AG348" s="1"/>
      <c r="AH348" s="1"/>
      <c r="AI348" s="8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6"/>
      <c r="AE349" s="8"/>
      <c r="AF349" s="1"/>
      <c r="AG349" s="1"/>
      <c r="AH349" s="1"/>
      <c r="AI349" s="8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6"/>
      <c r="AE350" s="8"/>
      <c r="AF350" s="1"/>
      <c r="AG350" s="1"/>
      <c r="AH350" s="1"/>
      <c r="AI350" s="8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6"/>
      <c r="AE351" s="8"/>
      <c r="AF351" s="1"/>
      <c r="AG351" s="1"/>
      <c r="AH351" s="1"/>
      <c r="AI351" s="8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6"/>
      <c r="AE352" s="8"/>
      <c r="AF352" s="1"/>
      <c r="AG352" s="1"/>
      <c r="AH352" s="1"/>
      <c r="AI352" s="8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6"/>
      <c r="AE353" s="8"/>
      <c r="AF353" s="1"/>
      <c r="AG353" s="1"/>
      <c r="AH353" s="1"/>
      <c r="AI353" s="8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6"/>
      <c r="AE354" s="8"/>
      <c r="AF354" s="1"/>
      <c r="AG354" s="1"/>
      <c r="AH354" s="1"/>
      <c r="AI354" s="8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6"/>
      <c r="AE355" s="8"/>
      <c r="AF355" s="1"/>
      <c r="AG355" s="1"/>
      <c r="AH355" s="1"/>
      <c r="AI355" s="8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6"/>
      <c r="AE356" s="8"/>
      <c r="AF356" s="1"/>
      <c r="AG356" s="1"/>
      <c r="AH356" s="1"/>
      <c r="AI356" s="8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6"/>
      <c r="AE357" s="8"/>
      <c r="AF357" s="1"/>
      <c r="AG357" s="1"/>
      <c r="AH357" s="1"/>
      <c r="AI357" s="8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6"/>
      <c r="AE358" s="8"/>
      <c r="AF358" s="1"/>
      <c r="AG358" s="1"/>
      <c r="AH358" s="1"/>
      <c r="AI358" s="8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6"/>
      <c r="AE359" s="8"/>
      <c r="AF359" s="1"/>
      <c r="AG359" s="1"/>
      <c r="AH359" s="1"/>
      <c r="AI359" s="8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6"/>
      <c r="AE360" s="8"/>
      <c r="AF360" s="1"/>
      <c r="AG360" s="1"/>
      <c r="AH360" s="1"/>
      <c r="AI360" s="8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6"/>
      <c r="AE361" s="8"/>
      <c r="AF361" s="1"/>
      <c r="AG361" s="1"/>
      <c r="AH361" s="1"/>
      <c r="AI361" s="8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6"/>
      <c r="AE362" s="8"/>
      <c r="AF362" s="1"/>
      <c r="AG362" s="1"/>
      <c r="AH362" s="1"/>
      <c r="AI362" s="8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6"/>
      <c r="AE363" s="8"/>
      <c r="AF363" s="1"/>
      <c r="AG363" s="1"/>
      <c r="AH363" s="1"/>
      <c r="AI363" s="8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6"/>
      <c r="AE364" s="8"/>
      <c r="AF364" s="1"/>
      <c r="AG364" s="1"/>
      <c r="AH364" s="1"/>
      <c r="AI364" s="8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6"/>
      <c r="AE365" s="8"/>
      <c r="AF365" s="1"/>
      <c r="AG365" s="1"/>
      <c r="AH365" s="1"/>
      <c r="AI365" s="8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6"/>
      <c r="AE366" s="8"/>
      <c r="AF366" s="1"/>
      <c r="AG366" s="1"/>
      <c r="AH366" s="1"/>
      <c r="AI366" s="8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6"/>
      <c r="AE367" s="8"/>
      <c r="AF367" s="1"/>
      <c r="AG367" s="1"/>
      <c r="AH367" s="1"/>
      <c r="AI367" s="8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6"/>
      <c r="AE368" s="8"/>
      <c r="AF368" s="1"/>
      <c r="AG368" s="1"/>
      <c r="AH368" s="1"/>
      <c r="AI368" s="8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6"/>
      <c r="AE369" s="8"/>
      <c r="AF369" s="1"/>
      <c r="AG369" s="1"/>
      <c r="AH369" s="1"/>
      <c r="AI369" s="8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6"/>
      <c r="AE370" s="8"/>
      <c r="AF370" s="1"/>
      <c r="AG370" s="1"/>
      <c r="AH370" s="1"/>
      <c r="AI370" s="8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6"/>
      <c r="AE371" s="8"/>
      <c r="AF371" s="1"/>
      <c r="AG371" s="1"/>
      <c r="AH371" s="1"/>
      <c r="AI371" s="8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6"/>
      <c r="AE372" s="8"/>
      <c r="AF372" s="1"/>
      <c r="AG372" s="1"/>
      <c r="AH372" s="1"/>
      <c r="AI372" s="8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6"/>
      <c r="AE373" s="8"/>
      <c r="AF373" s="1"/>
      <c r="AG373" s="1"/>
      <c r="AH373" s="1"/>
      <c r="AI373" s="8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6"/>
      <c r="AE374" s="8"/>
      <c r="AF374" s="1"/>
      <c r="AG374" s="1"/>
      <c r="AH374" s="1"/>
      <c r="AI374" s="8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6"/>
      <c r="AE375" s="8"/>
      <c r="AF375" s="1"/>
      <c r="AG375" s="1"/>
      <c r="AH375" s="1"/>
      <c r="AI375" s="8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6"/>
      <c r="AE376" s="8"/>
      <c r="AF376" s="1"/>
      <c r="AG376" s="1"/>
      <c r="AH376" s="1"/>
      <c r="AI376" s="8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6"/>
      <c r="AE377" s="8"/>
      <c r="AF377" s="1"/>
      <c r="AG377" s="1"/>
      <c r="AH377" s="1"/>
      <c r="AI377" s="8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6"/>
      <c r="AE378" s="8"/>
      <c r="AF378" s="1"/>
      <c r="AG378" s="1"/>
      <c r="AH378" s="1"/>
      <c r="AI378" s="8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6"/>
      <c r="AE379" s="8"/>
      <c r="AF379" s="1"/>
      <c r="AG379" s="1"/>
      <c r="AH379" s="1"/>
      <c r="AI379" s="8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6"/>
      <c r="AE380" s="8"/>
      <c r="AF380" s="1"/>
      <c r="AG380" s="1"/>
      <c r="AH380" s="1"/>
      <c r="AI380" s="8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6"/>
      <c r="AE381" s="8"/>
      <c r="AF381" s="1"/>
      <c r="AG381" s="1"/>
      <c r="AH381" s="1"/>
      <c r="AI381" s="8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6"/>
      <c r="AE382" s="8"/>
      <c r="AF382" s="1"/>
      <c r="AG382" s="1"/>
      <c r="AH382" s="1"/>
      <c r="AI382" s="8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6"/>
      <c r="AE383" s="8"/>
      <c r="AF383" s="1"/>
      <c r="AG383" s="1"/>
      <c r="AH383" s="1"/>
      <c r="AI383" s="8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6"/>
      <c r="AE384" s="8"/>
      <c r="AF384" s="1"/>
      <c r="AG384" s="1"/>
      <c r="AH384" s="1"/>
      <c r="AI384" s="8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6"/>
      <c r="AE385" s="8"/>
      <c r="AF385" s="1"/>
      <c r="AG385" s="1"/>
      <c r="AH385" s="1"/>
      <c r="AI385" s="8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6"/>
      <c r="AE386" s="8"/>
      <c r="AF386" s="1"/>
      <c r="AG386" s="1"/>
      <c r="AH386" s="1"/>
      <c r="AI386" s="8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6"/>
      <c r="AE387" s="8"/>
      <c r="AF387" s="1"/>
      <c r="AG387" s="1"/>
      <c r="AH387" s="1"/>
      <c r="AI387" s="8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6"/>
      <c r="AE388" s="8"/>
      <c r="AF388" s="1"/>
      <c r="AG388" s="1"/>
      <c r="AH388" s="1"/>
      <c r="AI388" s="8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6"/>
      <c r="AE389" s="8"/>
      <c r="AF389" s="1"/>
      <c r="AG389" s="1"/>
      <c r="AH389" s="1"/>
      <c r="AI389" s="8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6"/>
      <c r="AE390" s="8"/>
      <c r="AF390" s="1"/>
      <c r="AG390" s="1"/>
      <c r="AH390" s="1"/>
      <c r="AI390" s="8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6"/>
      <c r="AE391" s="8"/>
      <c r="AF391" s="1"/>
      <c r="AG391" s="1"/>
      <c r="AH391" s="1"/>
      <c r="AI391" s="8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6"/>
      <c r="AE392" s="8"/>
      <c r="AF392" s="1"/>
      <c r="AG392" s="1"/>
      <c r="AH392" s="1"/>
      <c r="AI392" s="8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6"/>
      <c r="AE393" s="8"/>
      <c r="AF393" s="1"/>
      <c r="AG393" s="1"/>
      <c r="AH393" s="1"/>
      <c r="AI393" s="8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6"/>
      <c r="AE394" s="8"/>
      <c r="AF394" s="1"/>
      <c r="AG394" s="1"/>
      <c r="AH394" s="1"/>
      <c r="AI394" s="8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6"/>
      <c r="AE395" s="8"/>
      <c r="AF395" s="1"/>
      <c r="AG395" s="1"/>
      <c r="AH395" s="1"/>
      <c r="AI395" s="8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6"/>
      <c r="AE396" s="8"/>
      <c r="AF396" s="1"/>
      <c r="AG396" s="1"/>
      <c r="AH396" s="1"/>
      <c r="AI396" s="8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6"/>
      <c r="AE397" s="8"/>
      <c r="AF397" s="1"/>
      <c r="AG397" s="1"/>
      <c r="AH397" s="1"/>
      <c r="AI397" s="8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6"/>
      <c r="AE398" s="8"/>
      <c r="AF398" s="1"/>
      <c r="AG398" s="1"/>
      <c r="AH398" s="1"/>
      <c r="AI398" s="8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6"/>
      <c r="AE399" s="8"/>
      <c r="AF399" s="1"/>
      <c r="AG399" s="1"/>
      <c r="AH399" s="1"/>
      <c r="AI399" s="8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6"/>
      <c r="AE400" s="8"/>
      <c r="AF400" s="1"/>
      <c r="AG400" s="1"/>
      <c r="AH400" s="1"/>
      <c r="AI400" s="8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6"/>
      <c r="AE401" s="8"/>
      <c r="AF401" s="1"/>
      <c r="AG401" s="1"/>
      <c r="AH401" s="1"/>
      <c r="AI401" s="8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6"/>
      <c r="AE402" s="8"/>
      <c r="AF402" s="1"/>
      <c r="AG402" s="1"/>
      <c r="AH402" s="1"/>
      <c r="AI402" s="8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6"/>
      <c r="AE403" s="8"/>
      <c r="AF403" s="1"/>
      <c r="AG403" s="1"/>
      <c r="AH403" s="1"/>
      <c r="AI403" s="8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6"/>
      <c r="AE404" s="8"/>
      <c r="AF404" s="1"/>
      <c r="AG404" s="1"/>
      <c r="AH404" s="1"/>
      <c r="AI404" s="8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6"/>
      <c r="AE405" s="8"/>
      <c r="AF405" s="1"/>
      <c r="AG405" s="1"/>
      <c r="AH405" s="1"/>
      <c r="AI405" s="8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6"/>
      <c r="AE406" s="8"/>
      <c r="AF406" s="1"/>
      <c r="AG406" s="1"/>
      <c r="AH406" s="1"/>
      <c r="AI406" s="8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6"/>
      <c r="AE407" s="8"/>
      <c r="AF407" s="1"/>
      <c r="AG407" s="1"/>
      <c r="AH407" s="1"/>
      <c r="AI407" s="8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6"/>
      <c r="AE408" s="8"/>
      <c r="AF408" s="1"/>
      <c r="AG408" s="1"/>
      <c r="AH408" s="1"/>
      <c r="AI408" s="8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6"/>
      <c r="AE409" s="8"/>
      <c r="AF409" s="1"/>
      <c r="AG409" s="1"/>
      <c r="AH409" s="1"/>
      <c r="AI409" s="8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6"/>
      <c r="AE410" s="8"/>
      <c r="AF410" s="1"/>
      <c r="AG410" s="1"/>
      <c r="AH410" s="1"/>
      <c r="AI410" s="8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6"/>
      <c r="AE411" s="8"/>
      <c r="AF411" s="1"/>
      <c r="AG411" s="1"/>
      <c r="AH411" s="1"/>
      <c r="AI411" s="8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6"/>
      <c r="AE412" s="8"/>
      <c r="AF412" s="1"/>
      <c r="AG412" s="1"/>
      <c r="AH412" s="1"/>
      <c r="AI412" s="8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6"/>
      <c r="AE413" s="8"/>
      <c r="AF413" s="1"/>
      <c r="AG413" s="1"/>
      <c r="AH413" s="1"/>
      <c r="AI413" s="8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6"/>
      <c r="AE414" s="8"/>
      <c r="AF414" s="1"/>
      <c r="AG414" s="1"/>
      <c r="AH414" s="1"/>
      <c r="AI414" s="8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6"/>
      <c r="AE415" s="8"/>
      <c r="AF415" s="1"/>
      <c r="AG415" s="1"/>
      <c r="AH415" s="1"/>
      <c r="AI415" s="8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6"/>
      <c r="AE416" s="8"/>
      <c r="AF416" s="1"/>
      <c r="AG416" s="1"/>
      <c r="AH416" s="1"/>
      <c r="AI416" s="8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6"/>
      <c r="AE417" s="8"/>
      <c r="AF417" s="1"/>
      <c r="AG417" s="1"/>
      <c r="AH417" s="1"/>
      <c r="AI417" s="8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6"/>
      <c r="AE418" s="8"/>
      <c r="AF418" s="1"/>
      <c r="AG418" s="1"/>
      <c r="AH418" s="1"/>
      <c r="AI418" s="8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6"/>
      <c r="AE419" s="8"/>
      <c r="AF419" s="1"/>
      <c r="AG419" s="1"/>
      <c r="AH419" s="1"/>
      <c r="AI419" s="8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6"/>
      <c r="AE420" s="8"/>
      <c r="AF420" s="1"/>
      <c r="AG420" s="1"/>
      <c r="AH420" s="1"/>
      <c r="AI420" s="8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6"/>
      <c r="AE421" s="8"/>
      <c r="AF421" s="1"/>
      <c r="AG421" s="1"/>
      <c r="AH421" s="1"/>
      <c r="AI421" s="8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6"/>
      <c r="AE422" s="8"/>
      <c r="AF422" s="1"/>
      <c r="AG422" s="1"/>
      <c r="AH422" s="1"/>
      <c r="AI422" s="8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6"/>
      <c r="AE423" s="8"/>
      <c r="AF423" s="1"/>
      <c r="AG423" s="1"/>
      <c r="AH423" s="1"/>
      <c r="AI423" s="8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6"/>
      <c r="AE424" s="8"/>
      <c r="AF424" s="1"/>
      <c r="AG424" s="1"/>
      <c r="AH424" s="1"/>
      <c r="AI424" s="8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6"/>
      <c r="AE425" s="8"/>
      <c r="AF425" s="1"/>
      <c r="AG425" s="1"/>
      <c r="AH425" s="1"/>
      <c r="AI425" s="8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6"/>
      <c r="AE426" s="8"/>
      <c r="AF426" s="1"/>
      <c r="AG426" s="1"/>
      <c r="AH426" s="1"/>
      <c r="AI426" s="8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6"/>
      <c r="AE427" s="8"/>
      <c r="AF427" s="1"/>
      <c r="AG427" s="1"/>
      <c r="AH427" s="1"/>
      <c r="AI427" s="8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6"/>
      <c r="AE428" s="8"/>
      <c r="AF428" s="1"/>
      <c r="AG428" s="1"/>
      <c r="AH428" s="1"/>
      <c r="AI428" s="8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6"/>
      <c r="AE429" s="8"/>
      <c r="AF429" s="1"/>
      <c r="AG429" s="1"/>
      <c r="AH429" s="1"/>
      <c r="AI429" s="8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6"/>
      <c r="AE430" s="8"/>
      <c r="AF430" s="1"/>
      <c r="AG430" s="1"/>
      <c r="AH430" s="1"/>
      <c r="AI430" s="8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6"/>
      <c r="AE431" s="8"/>
      <c r="AF431" s="1"/>
      <c r="AG431" s="1"/>
      <c r="AH431" s="1"/>
      <c r="AI431" s="8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6"/>
      <c r="AE432" s="8"/>
      <c r="AF432" s="1"/>
      <c r="AG432" s="1"/>
      <c r="AH432" s="1"/>
      <c r="AI432" s="8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6"/>
      <c r="AE433" s="8"/>
      <c r="AF433" s="1"/>
      <c r="AG433" s="1"/>
      <c r="AH433" s="1"/>
      <c r="AI433" s="8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6"/>
      <c r="AE434" s="8"/>
      <c r="AF434" s="1"/>
      <c r="AG434" s="1"/>
      <c r="AH434" s="1"/>
      <c r="AI434" s="8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6"/>
      <c r="AE435" s="8"/>
      <c r="AF435" s="1"/>
      <c r="AG435" s="1"/>
      <c r="AH435" s="1"/>
      <c r="AI435" s="8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6"/>
      <c r="AE436" s="8"/>
      <c r="AF436" s="1"/>
      <c r="AG436" s="1"/>
      <c r="AH436" s="1"/>
      <c r="AI436" s="8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6"/>
      <c r="AE437" s="8"/>
      <c r="AF437" s="1"/>
      <c r="AG437" s="1"/>
      <c r="AH437" s="1"/>
      <c r="AI437" s="8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6"/>
      <c r="AE438" s="8"/>
      <c r="AF438" s="1"/>
      <c r="AG438" s="1"/>
      <c r="AH438" s="1"/>
      <c r="AI438" s="8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</sheetData>
  <autoFilter ref="A3:AI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2026-07-02T08:43:58Z</dcterms:created>
  <dcterms:modified xsi:type="dcterms:W3CDTF">2026-07-03T10:17:20Z</dcterms:modified>
</cp:coreProperties>
</file>