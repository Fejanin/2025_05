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319EB8C7-1999-4A71-A36E-DA1F83809ED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Y282" i="1"/>
  <c r="X282" i="1"/>
  <c r="Z281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Y281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Y269" i="1" s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Z258" i="1" s="1"/>
  <c r="Y256" i="1"/>
  <c r="P256" i="1"/>
  <c r="X252" i="1"/>
  <c r="Z251" i="1"/>
  <c r="X251" i="1"/>
  <c r="BO250" i="1"/>
  <c r="BM250" i="1"/>
  <c r="Z250" i="1"/>
  <c r="Y250" i="1"/>
  <c r="P250" i="1"/>
  <c r="Y246" i="1"/>
  <c r="X246" i="1"/>
  <c r="Z245" i="1"/>
  <c r="X245" i="1"/>
  <c r="BO244" i="1"/>
  <c r="BM244" i="1"/>
  <c r="Z244" i="1"/>
  <c r="Y244" i="1"/>
  <c r="P244" i="1"/>
  <c r="X242" i="1"/>
  <c r="Z241" i="1"/>
  <c r="X241" i="1"/>
  <c r="BO240" i="1"/>
  <c r="BM240" i="1"/>
  <c r="Z240" i="1"/>
  <c r="Y240" i="1"/>
  <c r="P240" i="1"/>
  <c r="Y236" i="1"/>
  <c r="X236" i="1"/>
  <c r="Z235" i="1"/>
  <c r="X235" i="1"/>
  <c r="BO234" i="1"/>
  <c r="BM234" i="1"/>
  <c r="Z234" i="1"/>
  <c r="Y234" i="1"/>
  <c r="P234" i="1"/>
  <c r="X230" i="1"/>
  <c r="Z229" i="1"/>
  <c r="X229" i="1"/>
  <c r="BO228" i="1"/>
  <c r="BM228" i="1"/>
  <c r="Z228" i="1"/>
  <c r="Y228" i="1"/>
  <c r="P228" i="1"/>
  <c r="Y224" i="1"/>
  <c r="X224" i="1"/>
  <c r="Z223" i="1"/>
  <c r="X223" i="1"/>
  <c r="BO222" i="1"/>
  <c r="BM222" i="1"/>
  <c r="Z222" i="1"/>
  <c r="Y222" i="1"/>
  <c r="P222" i="1"/>
  <c r="X219" i="1"/>
  <c r="Z218" i="1"/>
  <c r="X218" i="1"/>
  <c r="BO217" i="1"/>
  <c r="BM217" i="1"/>
  <c r="Z217" i="1"/>
  <c r="Y217" i="1"/>
  <c r="P217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Y213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7" i="1" s="1"/>
  <c r="Y204" i="1"/>
  <c r="Y208" i="1" s="1"/>
  <c r="P204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Z195" i="1" s="1"/>
  <c r="Y191" i="1"/>
  <c r="P191" i="1"/>
  <c r="X187" i="1"/>
  <c r="X186" i="1"/>
  <c r="BO185" i="1"/>
  <c r="BM185" i="1"/>
  <c r="Z185" i="1"/>
  <c r="Y185" i="1"/>
  <c r="P185" i="1"/>
  <c r="BP184" i="1"/>
  <c r="BO184" i="1"/>
  <c r="BN184" i="1"/>
  <c r="BM184" i="1"/>
  <c r="Z184" i="1"/>
  <c r="Z186" i="1" s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P173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X159" i="1"/>
  <c r="BO158" i="1"/>
  <c r="BM158" i="1"/>
  <c r="Z158" i="1"/>
  <c r="Y158" i="1"/>
  <c r="P158" i="1"/>
  <c r="BP157" i="1"/>
  <c r="BO157" i="1"/>
  <c r="BN157" i="1"/>
  <c r="BM157" i="1"/>
  <c r="Z157" i="1"/>
  <c r="Z159" i="1" s="1"/>
  <c r="Y157" i="1"/>
  <c r="P157" i="1"/>
  <c r="X154" i="1"/>
  <c r="X153" i="1"/>
  <c r="BP152" i="1"/>
  <c r="BO152" i="1"/>
  <c r="BN152" i="1"/>
  <c r="BM152" i="1"/>
  <c r="Z152" i="1"/>
  <c r="Y152" i="1"/>
  <c r="P152" i="1"/>
  <c r="BO151" i="1"/>
  <c r="BM151" i="1"/>
  <c r="Z151" i="1"/>
  <c r="Y151" i="1"/>
  <c r="Y154" i="1" s="1"/>
  <c r="P151" i="1"/>
  <c r="X148" i="1"/>
  <c r="X147" i="1"/>
  <c r="BO146" i="1"/>
  <c r="BM146" i="1"/>
  <c r="Z146" i="1"/>
  <c r="Y146" i="1"/>
  <c r="BP146" i="1" s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BP139" i="1" s="1"/>
  <c r="P139" i="1"/>
  <c r="BP138" i="1"/>
  <c r="BO138" i="1"/>
  <c r="BN138" i="1"/>
  <c r="BM138" i="1"/>
  <c r="Z138" i="1"/>
  <c r="Z141" i="1" s="1"/>
  <c r="Y138" i="1"/>
  <c r="Y142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Y133" i="1"/>
  <c r="BP133" i="1" s="1"/>
  <c r="P133" i="1"/>
  <c r="BP132" i="1"/>
  <c r="BO132" i="1"/>
  <c r="BN132" i="1"/>
  <c r="BM132" i="1"/>
  <c r="Z132" i="1"/>
  <c r="Z135" i="1" s="1"/>
  <c r="Y132" i="1"/>
  <c r="Y136" i="1" s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83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5" i="1" s="1"/>
  <c r="BM22" i="1"/>
  <c r="X284" i="1" s="1"/>
  <c r="X286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41" i="1"/>
  <c r="Y48" i="1"/>
  <c r="Y57" i="1"/>
  <c r="Y283" i="1" s="1"/>
  <c r="Y62" i="1"/>
  <c r="Y66" i="1"/>
  <c r="Y70" i="1"/>
  <c r="Y76" i="1"/>
  <c r="Y83" i="1"/>
  <c r="Y88" i="1"/>
  <c r="Y93" i="1"/>
  <c r="Y104" i="1"/>
  <c r="Y109" i="1"/>
  <c r="Y120" i="1"/>
  <c r="Y135" i="1"/>
  <c r="Y141" i="1"/>
  <c r="Y148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F9" i="1"/>
  <c r="J9" i="1"/>
  <c r="BN22" i="1"/>
  <c r="BP22" i="1"/>
  <c r="BN24" i="1"/>
  <c r="BN26" i="1"/>
  <c r="X287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33" i="1"/>
  <c r="BN139" i="1"/>
  <c r="BN146" i="1"/>
  <c r="Z153" i="1"/>
  <c r="Z288" i="1" s="1"/>
  <c r="BN151" i="1"/>
  <c r="BP151" i="1"/>
  <c r="Y159" i="1"/>
  <c r="Y160" i="1"/>
  <c r="Y164" i="1"/>
  <c r="BP163" i="1"/>
  <c r="BN163" i="1"/>
  <c r="Y170" i="1"/>
  <c r="Y174" i="1"/>
  <c r="BP173" i="1"/>
  <c r="BN173" i="1"/>
  <c r="Z181" i="1"/>
  <c r="Y186" i="1"/>
  <c r="Y187" i="1"/>
  <c r="Y196" i="1"/>
  <c r="BP191" i="1"/>
  <c r="BN191" i="1"/>
  <c r="BP193" i="1"/>
  <c r="BN193" i="1"/>
  <c r="Y195" i="1"/>
  <c r="BP205" i="1"/>
  <c r="BN205" i="1"/>
  <c r="Y207" i="1"/>
  <c r="BP212" i="1"/>
  <c r="BN212" i="1"/>
  <c r="Y219" i="1"/>
  <c r="Y223" i="1"/>
  <c r="BP222" i="1"/>
  <c r="BN222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Y284" i="1" l="1"/>
  <c r="Y286" i="1" s="1"/>
  <c r="Y285" i="1"/>
  <c r="Y287" i="1"/>
  <c r="A296" i="1"/>
  <c r="C296" i="1" l="1"/>
  <c r="B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<sst xmlns="http://schemas.openxmlformats.org/spreadsheetml/2006/main" count="1292" uniqueCount="417">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</sst>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topLeftCell="A269" zoomScaleNormal="100" zoomScaleSheetLayoutView="100" workbookViewId="0">
      <selection activeCell="AA289" sqref="AA289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7" t="s">
        <v>0</v>
      </c>
      <c r="E1" s="301"/>
      <c r="F1" s="301"/>
      <c r="G1" s="12" t="s">
        <v>1</v>
      </c>
      <c r="H1" s="327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300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29"/>
      <c r="E5" s="330"/>
      <c r="F5" s="453" t="s">
        <v>8</v>
      </c>
      <c r="G5" s="356"/>
      <c r="H5" s="329" t="s">
        <v>9</v>
      </c>
      <c r="I5" s="428"/>
      <c r="J5" s="428"/>
      <c r="K5" s="428"/>
      <c r="L5" s="428"/>
      <c r="M5" s="330"/>
      <c r="N5" s="61"/>
      <c r="P5" s="24" t="s">
        <v>10</v>
      </c>
      <c r="Q5" s="457">
        <v>46195</v>
      </c>
      <c r="R5" s="352"/>
      <c r="T5" s="381" t="s">
        <v>11</v>
      </c>
      <c r="U5" s="382"/>
      <c r="V5" s="383" t="s">
        <v>12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13</v>
      </c>
      <c r="B6" s="355"/>
      <c r="C6" s="356"/>
      <c r="D6" s="430" t="s">
        <v>14</v>
      </c>
      <c r="E6" s="431"/>
      <c r="F6" s="431"/>
      <c r="G6" s="431"/>
      <c r="H6" s="431"/>
      <c r="I6" s="431"/>
      <c r="J6" s="431"/>
      <c r="K6" s="431"/>
      <c r="L6" s="431"/>
      <c r="M6" s="352"/>
      <c r="N6" s="62"/>
      <c r="P6" s="24" t="s">
        <v>15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7" t="s">
        <v>16</v>
      </c>
      <c r="U6" s="382"/>
      <c r="V6" s="414" t="s">
        <v>17</v>
      </c>
      <c r="W6" s="308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 t="str">
        <f>IFERROR(VLOOKUP(DeliveryAddress,Table,3,0),1)</f>
        <v>3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0"/>
      <c r="U7" s="382"/>
      <c r="V7" s="415"/>
      <c r="W7" s="416"/>
      <c r="AB7" s="51"/>
      <c r="AC7" s="51"/>
      <c r="AD7" s="51"/>
      <c r="AE7" s="51"/>
    </row>
    <row r="8" spans="1:32" s="270" customFormat="1" ht="25.5" customHeight="1" x14ac:dyDescent="0.2">
      <c r="A8" s="467" t="s">
        <v>18</v>
      </c>
      <c r="B8" s="287"/>
      <c r="C8" s="288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2">
        <v>0.58333333333333337</v>
      </c>
      <c r="R8" s="316"/>
      <c r="T8" s="290"/>
      <c r="U8" s="382"/>
      <c r="V8" s="415"/>
      <c r="W8" s="416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5"/>
      <c r="E9" s="292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91" t="str">
        <f>IF(AND($A$9="Тип доверенности/получателя при получении в адресе перегруза:",$D$9="Разовая доверенность"),"Введите ФИО","")</f>
        <v/>
      </c>
      <c r="I9" s="292"/>
      <c r="J9" s="2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2"/>
      <c r="L9" s="292"/>
      <c r="M9" s="292"/>
      <c r="N9" s="268"/>
      <c r="P9" s="26" t="s">
        <v>20</v>
      </c>
      <c r="Q9" s="349"/>
      <c r="R9" s="350"/>
      <c r="T9" s="290"/>
      <c r="U9" s="382"/>
      <c r="V9" s="417"/>
      <c r="W9" s="41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5"/>
      <c r="E10" s="292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6" t="str">
        <f>IFERROR(VLOOKUP($D$10,Proxy,2,FALSE),"")</f>
        <v/>
      </c>
      <c r="I10" s="290"/>
      <c r="J10" s="290"/>
      <c r="K10" s="290"/>
      <c r="L10" s="290"/>
      <c r="M10" s="290"/>
      <c r="N10" s="269"/>
      <c r="P10" s="26" t="s">
        <v>21</v>
      </c>
      <c r="Q10" s="388"/>
      <c r="R10" s="389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1"/>
      <c r="R11" s="352"/>
      <c r="U11" s="24" t="s">
        <v>26</v>
      </c>
      <c r="V11" s="434" t="s">
        <v>27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7" t="s">
        <v>28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29</v>
      </c>
      <c r="Q12" s="362"/>
      <c r="R12" s="316"/>
      <c r="S12" s="23"/>
      <c r="U12" s="24"/>
      <c r="V12" s="301"/>
      <c r="W12" s="290"/>
      <c r="AB12" s="51"/>
      <c r="AC12" s="51"/>
      <c r="AD12" s="51"/>
      <c r="AE12" s="51"/>
    </row>
    <row r="13" spans="1:32" s="270" customFormat="1" ht="23.25" customHeight="1" x14ac:dyDescent="0.2">
      <c r="A13" s="377" t="s">
        <v>30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31</v>
      </c>
      <c r="Q13" s="434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7" t="s">
        <v>32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4" t="s">
        <v>33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0" t="s">
        <v>34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4" t="s">
        <v>37</v>
      </c>
      <c r="D17" s="304" t="s">
        <v>38</v>
      </c>
      <c r="E17" s="342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1"/>
      <c r="R17" s="341"/>
      <c r="S17" s="341"/>
      <c r="T17" s="342"/>
      <c r="U17" s="464" t="s">
        <v>50</v>
      </c>
      <c r="V17" s="356"/>
      <c r="W17" s="304" t="s">
        <v>51</v>
      </c>
      <c r="X17" s="304" t="s">
        <v>52</v>
      </c>
      <c r="Y17" s="465" t="s">
        <v>53</v>
      </c>
      <c r="Z17" s="426" t="s">
        <v>54</v>
      </c>
      <c r="AA17" s="404" t="s">
        <v>55</v>
      </c>
      <c r="AB17" s="404" t="s">
        <v>56</v>
      </c>
      <c r="AC17" s="404" t="s">
        <v>57</v>
      </c>
      <c r="AD17" s="404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3"/>
      <c r="E18" s="34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3"/>
      <c r="Q18" s="344"/>
      <c r="R18" s="344"/>
      <c r="S18" s="344"/>
      <c r="T18" s="345"/>
      <c r="U18" s="70" t="s">
        <v>60</v>
      </c>
      <c r="V18" s="70" t="s">
        <v>61</v>
      </c>
      <c r="W18" s="305"/>
      <c r="X18" s="305"/>
      <c r="Y18" s="466"/>
      <c r="Z18" s="427"/>
      <c r="AA18" s="405"/>
      <c r="AB18" s="405"/>
      <c r="AC18" s="405"/>
      <c r="AD18" s="450"/>
      <c r="AE18" s="451"/>
      <c r="AF18" s="452"/>
      <c r="AG18" s="69"/>
      <c r="BD18" s="68"/>
    </row>
    <row r="19" spans="1:68" ht="27.75" customHeight="1" x14ac:dyDescent="0.2">
      <c r="A19" s="293" t="s">
        <v>62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customHeight="1" x14ac:dyDescent="0.25">
      <c r="A20" s="295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289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customHeight="1" x14ac:dyDescent="0.25">
      <c r="A22" s="54" t="s">
        <v>64</v>
      </c>
      <c r="B22" s="54" t="s">
        <v>65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69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69</v>
      </c>
      <c r="X23" s="276">
        <v>36</v>
      </c>
      <c r="Y23" s="277">
        <f t="shared" si="0"/>
        <v>36</v>
      </c>
      <c r="Z23" s="36">
        <f t="shared" si="1"/>
        <v>0.55800000000000005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customHeight="1" x14ac:dyDescent="0.25">
      <c r="A24" s="54" t="s">
        <v>74</v>
      </c>
      <c r="B24" s="54" t="s">
        <v>75</v>
      </c>
      <c r="C24" s="31">
        <v>4301071108</v>
      </c>
      <c r="D24" s="280">
        <v>4607111035912</v>
      </c>
      <c r="E24" s="281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3"/>
      <c r="R24" s="283"/>
      <c r="S24" s="283"/>
      <c r="T24" s="284"/>
      <c r="U24" s="34"/>
      <c r="V24" s="34"/>
      <c r="W24" s="35" t="s">
        <v>69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76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80">
        <v>4607111035929</v>
      </c>
      <c r="E25" s="281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3"/>
      <c r="R25" s="283"/>
      <c r="S25" s="283"/>
      <c r="T25" s="284"/>
      <c r="U25" s="34"/>
      <c r="V25" s="34"/>
      <c r="W25" s="35" t="s">
        <v>69</v>
      </c>
      <c r="X25" s="276">
        <v>12</v>
      </c>
      <c r="Y25" s="277">
        <f t="shared" si="0"/>
        <v>12</v>
      </c>
      <c r="Z25" s="36">
        <f t="shared" si="1"/>
        <v>0.186</v>
      </c>
      <c r="AA25" s="56"/>
      <c r="AB25" s="57"/>
      <c r="AC25" s="78" t="s">
        <v>76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89.64</v>
      </c>
      <c r="BN25" s="67">
        <f t="shared" si="3"/>
        <v>89.64</v>
      </c>
      <c r="BO25" s="67">
        <f t="shared" si="4"/>
        <v>0.14285714285714285</v>
      </c>
      <c r="BP25" s="67">
        <f t="shared" si="5"/>
        <v>0.14285714285714285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80">
        <v>4607111035882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69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76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80">
        <v>4607111035905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69</v>
      </c>
      <c r="X27" s="276">
        <v>12</v>
      </c>
      <c r="Y27" s="277">
        <f t="shared" si="0"/>
        <v>12</v>
      </c>
      <c r="Z27" s="36">
        <f t="shared" si="1"/>
        <v>0.186</v>
      </c>
      <c r="AA27" s="56"/>
      <c r="AB27" s="57"/>
      <c r="AC27" s="82" t="s">
        <v>76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6" t="s">
        <v>83</v>
      </c>
      <c r="Q28" s="287"/>
      <c r="R28" s="287"/>
      <c r="S28" s="287"/>
      <c r="T28" s="287"/>
      <c r="U28" s="287"/>
      <c r="V28" s="288"/>
      <c r="W28" s="37" t="s">
        <v>69</v>
      </c>
      <c r="X28" s="278">
        <f>IFERROR(SUM(X22:X27),"0")</f>
        <v>60</v>
      </c>
      <c r="Y28" s="278">
        <f>IFERROR(SUM(Y22:Y27),"0")</f>
        <v>60</v>
      </c>
      <c r="Z28" s="278">
        <f>IFERROR(IF(Z22="",0,Z22),"0")+IFERROR(IF(Z23="",0,Z23),"0")+IFERROR(IF(Z24="",0,Z24),"0")+IFERROR(IF(Z25="",0,Z25),"0")+IFERROR(IF(Z26="",0,Z26),"0")+IFERROR(IF(Z27="",0,Z27),"0")</f>
        <v>0.92999999999999994</v>
      </c>
      <c r="AA28" s="279"/>
      <c r="AB28" s="279"/>
      <c r="AC28" s="279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6" t="s">
        <v>83</v>
      </c>
      <c r="Q29" s="287"/>
      <c r="R29" s="287"/>
      <c r="S29" s="287"/>
      <c r="T29" s="287"/>
      <c r="U29" s="287"/>
      <c r="V29" s="288"/>
      <c r="W29" s="37" t="s">
        <v>84</v>
      </c>
      <c r="X29" s="278">
        <f>IFERROR(SUMPRODUCT(X22:X27*H22:H27),"0")</f>
        <v>403.20000000000005</v>
      </c>
      <c r="Y29" s="278">
        <f>IFERROR(SUMPRODUCT(Y22:Y27*H22:H27),"0")</f>
        <v>403.20000000000005</v>
      </c>
      <c r="Z29" s="37"/>
      <c r="AA29" s="279"/>
      <c r="AB29" s="279"/>
      <c r="AC29" s="279"/>
    </row>
    <row r="30" spans="1:68" ht="16.5" customHeight="1" x14ac:dyDescent="0.25">
      <c r="A30" s="295" t="s">
        <v>85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71"/>
      <c r="AB30" s="271"/>
      <c r="AC30" s="271"/>
    </row>
    <row r="31" spans="1:68" ht="14.25" customHeight="1" x14ac:dyDescent="0.25">
      <c r="A31" s="289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72"/>
      <c r="AB31" s="272"/>
      <c r="AC31" s="27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80">
        <v>4607111039019</v>
      </c>
      <c r="E32" s="281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4"/>
      <c r="V32" s="34"/>
      <c r="W32" s="35" t="s">
        <v>69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80">
        <v>4607111038708</v>
      </c>
      <c r="E33" s="281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4"/>
      <c r="V33" s="34"/>
      <c r="W33" s="35" t="s">
        <v>69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6" t="s">
        <v>83</v>
      </c>
      <c r="Q34" s="287"/>
      <c r="R34" s="287"/>
      <c r="S34" s="287"/>
      <c r="T34" s="287"/>
      <c r="U34" s="287"/>
      <c r="V34" s="288"/>
      <c r="W34" s="37" t="s">
        <v>69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6" t="s">
        <v>83</v>
      </c>
      <c r="Q35" s="287"/>
      <c r="R35" s="287"/>
      <c r="S35" s="287"/>
      <c r="T35" s="287"/>
      <c r="U35" s="287"/>
      <c r="V35" s="288"/>
      <c r="W35" s="37" t="s">
        <v>84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customHeight="1" x14ac:dyDescent="0.2">
      <c r="A36" s="293" t="s">
        <v>91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48"/>
      <c r="AB36" s="48"/>
      <c r="AC36" s="48"/>
    </row>
    <row r="37" spans="1:68" ht="16.5" customHeight="1" x14ac:dyDescent="0.25">
      <c r="A37" s="295" t="s">
        <v>92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71"/>
      <c r="AB37" s="271"/>
      <c r="AC37" s="271"/>
    </row>
    <row r="38" spans="1:68" ht="14.25" customHeight="1" x14ac:dyDescent="0.25">
      <c r="A38" s="289" t="s">
        <v>93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72"/>
      <c r="AB38" s="272"/>
      <c r="AC38" s="27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80">
        <v>4607111036537</v>
      </c>
      <c r="E39" s="281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96</v>
      </c>
      <c r="L39" s="32" t="s">
        <v>97</v>
      </c>
      <c r="M39" s="33" t="s">
        <v>68</v>
      </c>
      <c r="N39" s="33"/>
      <c r="O39" s="32">
        <v>365</v>
      </c>
      <c r="P39" s="3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4"/>
      <c r="V39" s="34"/>
      <c r="W39" s="35" t="s">
        <v>69</v>
      </c>
      <c r="X39" s="276">
        <v>14</v>
      </c>
      <c r="Y39" s="277">
        <f>IFERROR(IF(X39="","",X39),"")</f>
        <v>14</v>
      </c>
      <c r="Z39" s="36">
        <f>IFERROR(IF(X39="","",X39*0.00941),"")</f>
        <v>0.13174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26.905200000000001</v>
      </c>
      <c r="BN39" s="67">
        <f>IFERROR(Y39*I39,"0")</f>
        <v>26.905200000000001</v>
      </c>
      <c r="BO39" s="67">
        <f>IFERROR(X39/J39,"0")</f>
        <v>0.1</v>
      </c>
      <c r="BP39" s="67">
        <f>IFERROR(Y39/J39,"0")</f>
        <v>0.1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80">
        <v>4607111036605</v>
      </c>
      <c r="E40" s="281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96</v>
      </c>
      <c r="L40" s="32" t="s">
        <v>97</v>
      </c>
      <c r="M40" s="33" t="s">
        <v>68</v>
      </c>
      <c r="N40" s="33"/>
      <c r="O40" s="32">
        <v>365</v>
      </c>
      <c r="P40" s="42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4"/>
      <c r="V40" s="34"/>
      <c r="W40" s="35" t="s">
        <v>69</v>
      </c>
      <c r="X40" s="276">
        <v>0</v>
      </c>
      <c r="Y40" s="27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6" t="s">
        <v>83</v>
      </c>
      <c r="Q41" s="287"/>
      <c r="R41" s="287"/>
      <c r="S41" s="287"/>
      <c r="T41" s="287"/>
      <c r="U41" s="287"/>
      <c r="V41" s="288"/>
      <c r="W41" s="37" t="s">
        <v>69</v>
      </c>
      <c r="X41" s="278">
        <f>IFERROR(SUM(X39:X40),"0")</f>
        <v>14</v>
      </c>
      <c r="Y41" s="278">
        <f>IFERROR(SUM(Y39:Y40),"0")</f>
        <v>14</v>
      </c>
      <c r="Z41" s="278">
        <f>IFERROR(IF(Z39="",0,Z39),"0")+IFERROR(IF(Z40="",0,Z40),"0")</f>
        <v>0.13174</v>
      </c>
      <c r="AA41" s="279"/>
      <c r="AB41" s="279"/>
      <c r="AC41" s="279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6" t="s">
        <v>83</v>
      </c>
      <c r="Q42" s="287"/>
      <c r="R42" s="287"/>
      <c r="S42" s="287"/>
      <c r="T42" s="287"/>
      <c r="U42" s="287"/>
      <c r="V42" s="288"/>
      <c r="W42" s="37" t="s">
        <v>84</v>
      </c>
      <c r="X42" s="278">
        <f>IFERROR(SUMPRODUCT(X39:X40*H39:H40),"0")</f>
        <v>21</v>
      </c>
      <c r="Y42" s="278">
        <f>IFERROR(SUMPRODUCT(Y39:Y40*H39:H40),"0")</f>
        <v>21</v>
      </c>
      <c r="Z42" s="37"/>
      <c r="AA42" s="279"/>
      <c r="AB42" s="279"/>
      <c r="AC42" s="279"/>
    </row>
    <row r="43" spans="1:68" ht="16.5" customHeight="1" x14ac:dyDescent="0.25">
      <c r="A43" s="295" t="s">
        <v>103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71"/>
      <c r="AB43" s="271"/>
      <c r="AC43" s="271"/>
    </row>
    <row r="44" spans="1:68" ht="14.25" customHeight="1" x14ac:dyDescent="0.25">
      <c r="A44" s="289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72"/>
      <c r="AB44" s="272"/>
      <c r="AC44" s="27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80">
        <v>4620207490075</v>
      </c>
      <c r="E45" s="281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66</v>
      </c>
      <c r="L45" s="32" t="s">
        <v>97</v>
      </c>
      <c r="M45" s="33" t="s">
        <v>68</v>
      </c>
      <c r="N45" s="33"/>
      <c r="O45" s="32">
        <v>180</v>
      </c>
      <c r="P45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4"/>
      <c r="V45" s="34"/>
      <c r="W45" s="35" t="s">
        <v>69</v>
      </c>
      <c r="X45" s="276">
        <v>36</v>
      </c>
      <c r="Y45" s="277">
        <f>IFERROR(IF(X45="","",X45),"")</f>
        <v>36</v>
      </c>
      <c r="Z45" s="36">
        <f>IFERROR(IF(X45="","",X45*0.0155),"")</f>
        <v>0.55800000000000005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211.32</v>
      </c>
      <c r="BN45" s="67">
        <f>IFERROR(Y45*I45,"0")</f>
        <v>211.32</v>
      </c>
      <c r="BO45" s="67">
        <f>IFERROR(X45/J45,"0")</f>
        <v>0.42857142857142855</v>
      </c>
      <c r="BP45" s="67">
        <f>IFERROR(Y45/J45,"0")</f>
        <v>0.42857142857142855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80">
        <v>4620207490174</v>
      </c>
      <c r="E46" s="281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66</v>
      </c>
      <c r="L46" s="32" t="s">
        <v>97</v>
      </c>
      <c r="M46" s="33" t="s">
        <v>68</v>
      </c>
      <c r="N46" s="33"/>
      <c r="O46" s="32">
        <v>180</v>
      </c>
      <c r="P46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4"/>
      <c r="V46" s="34"/>
      <c r="W46" s="35" t="s">
        <v>69</v>
      </c>
      <c r="X46" s="276">
        <v>12</v>
      </c>
      <c r="Y46" s="277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80">
        <v>4620207490044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66</v>
      </c>
      <c r="L47" s="32" t="s">
        <v>97</v>
      </c>
      <c r="M47" s="33" t="s">
        <v>68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69</v>
      </c>
      <c r="X47" s="276">
        <v>0</v>
      </c>
      <c r="Y47" s="27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6" t="s">
        <v>83</v>
      </c>
      <c r="Q48" s="287"/>
      <c r="R48" s="287"/>
      <c r="S48" s="287"/>
      <c r="T48" s="287"/>
      <c r="U48" s="287"/>
      <c r="V48" s="288"/>
      <c r="W48" s="37" t="s">
        <v>69</v>
      </c>
      <c r="X48" s="278">
        <f>IFERROR(SUM(X45:X47),"0")</f>
        <v>48</v>
      </c>
      <c r="Y48" s="278">
        <f>IFERROR(SUM(Y45:Y47),"0")</f>
        <v>48</v>
      </c>
      <c r="Z48" s="278">
        <f>IFERROR(IF(Z45="",0,Z45),"0")+IFERROR(IF(Z46="",0,Z46),"0")+IFERROR(IF(Z47="",0,Z47),"0")</f>
        <v>0.74399999999999999</v>
      </c>
      <c r="AA48" s="279"/>
      <c r="AB48" s="279"/>
      <c r="AC48" s="279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6" t="s">
        <v>83</v>
      </c>
      <c r="Q49" s="287"/>
      <c r="R49" s="287"/>
      <c r="S49" s="287"/>
      <c r="T49" s="287"/>
      <c r="U49" s="287"/>
      <c r="V49" s="288"/>
      <c r="W49" s="37" t="s">
        <v>84</v>
      </c>
      <c r="X49" s="278">
        <f>IFERROR(SUMPRODUCT(X45:X47*H45:H47),"0")</f>
        <v>268.79999999999995</v>
      </c>
      <c r="Y49" s="278">
        <f>IFERROR(SUMPRODUCT(Y45:Y47*H45:H47),"0")</f>
        <v>268.79999999999995</v>
      </c>
      <c r="Z49" s="37"/>
      <c r="AA49" s="279"/>
      <c r="AB49" s="279"/>
      <c r="AC49" s="279"/>
    </row>
    <row r="50" spans="1:68" ht="16.5" customHeight="1" x14ac:dyDescent="0.25">
      <c r="A50" s="295" t="s">
        <v>113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71"/>
      <c r="AB50" s="271"/>
      <c r="AC50" s="271"/>
    </row>
    <row r="51" spans="1:68" ht="14.25" customHeight="1" x14ac:dyDescent="0.25">
      <c r="A51" s="289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2"/>
      <c r="AB51" s="272"/>
      <c r="AC51" s="27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80">
        <v>4607111039385</v>
      </c>
      <c r="E52" s="281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66</v>
      </c>
      <c r="L52" s="32" t="s">
        <v>97</v>
      </c>
      <c r="M52" s="33" t="s">
        <v>68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4"/>
      <c r="V52" s="34"/>
      <c r="W52" s="35" t="s">
        <v>69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80">
        <v>4607111038982</v>
      </c>
      <c r="E53" s="281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66</v>
      </c>
      <c r="L53" s="32" t="s">
        <v>97</v>
      </c>
      <c r="M53" s="33" t="s">
        <v>68</v>
      </c>
      <c r="N53" s="33"/>
      <c r="O53" s="32">
        <v>180</v>
      </c>
      <c r="P53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76">
        <v>12</v>
      </c>
      <c r="Y53" s="27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80">
        <v>4607111039354</v>
      </c>
      <c r="E54" s="281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66</v>
      </c>
      <c r="L54" s="32" t="s">
        <v>97</v>
      </c>
      <c r="M54" s="33" t="s">
        <v>68</v>
      </c>
      <c r="N54" s="33"/>
      <c r="O54" s="32">
        <v>180</v>
      </c>
      <c r="P54" s="4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4"/>
      <c r="V54" s="34"/>
      <c r="W54" s="35" t="s">
        <v>69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80">
        <v>4607111039330</v>
      </c>
      <c r="E55" s="281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66</v>
      </c>
      <c r="L55" s="32" t="s">
        <v>97</v>
      </c>
      <c r="M55" s="33" t="s">
        <v>68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4"/>
      <c r="V55" s="34"/>
      <c r="W55" s="35" t="s">
        <v>69</v>
      </c>
      <c r="X55" s="276">
        <v>12</v>
      </c>
      <c r="Y55" s="277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6" t="s">
        <v>83</v>
      </c>
      <c r="Q56" s="287"/>
      <c r="R56" s="287"/>
      <c r="S56" s="287"/>
      <c r="T56" s="287"/>
      <c r="U56" s="287"/>
      <c r="V56" s="288"/>
      <c r="W56" s="37" t="s">
        <v>69</v>
      </c>
      <c r="X56" s="278">
        <f>IFERROR(SUM(X52:X55),"0")</f>
        <v>24</v>
      </c>
      <c r="Y56" s="278">
        <f>IFERROR(SUM(Y52:Y55),"0")</f>
        <v>24</v>
      </c>
      <c r="Z56" s="278">
        <f>IFERROR(IF(Z52="",0,Z52),"0")+IFERROR(IF(Z53="",0,Z53),"0")+IFERROR(IF(Z54="",0,Z54),"0")+IFERROR(IF(Z55="",0,Z55),"0")</f>
        <v>0.372</v>
      </c>
      <c r="AA56" s="279"/>
      <c r="AB56" s="279"/>
      <c r="AC56" s="279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6" t="s">
        <v>83</v>
      </c>
      <c r="Q57" s="287"/>
      <c r="R57" s="287"/>
      <c r="S57" s="287"/>
      <c r="T57" s="287"/>
      <c r="U57" s="287"/>
      <c r="V57" s="288"/>
      <c r="W57" s="37" t="s">
        <v>84</v>
      </c>
      <c r="X57" s="278">
        <f>IFERROR(SUMPRODUCT(X52:X55*H52:H55),"0")</f>
        <v>168</v>
      </c>
      <c r="Y57" s="278">
        <f>IFERROR(SUMPRODUCT(Y52:Y55*H52:H55),"0")</f>
        <v>168</v>
      </c>
      <c r="Z57" s="37"/>
      <c r="AA57" s="279"/>
      <c r="AB57" s="279"/>
      <c r="AC57" s="279"/>
    </row>
    <row r="58" spans="1:68" ht="16.5" customHeight="1" x14ac:dyDescent="0.25">
      <c r="A58" s="295" t="s">
        <v>124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71"/>
      <c r="AB58" s="271"/>
      <c r="AC58" s="271"/>
    </row>
    <row r="59" spans="1:68" ht="14.25" customHeight="1" x14ac:dyDescent="0.25">
      <c r="A59" s="289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2"/>
      <c r="AB59" s="272"/>
      <c r="AC59" s="27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80">
        <v>4620207490822</v>
      </c>
      <c r="E60" s="281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4"/>
      <c r="V60" s="34"/>
      <c r="W60" s="35" t="s">
        <v>69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6" t="s">
        <v>83</v>
      </c>
      <c r="Q61" s="287"/>
      <c r="R61" s="287"/>
      <c r="S61" s="287"/>
      <c r="T61" s="287"/>
      <c r="U61" s="287"/>
      <c r="V61" s="288"/>
      <c r="W61" s="37" t="s">
        <v>69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6" t="s">
        <v>83</v>
      </c>
      <c r="Q62" s="287"/>
      <c r="R62" s="287"/>
      <c r="S62" s="287"/>
      <c r="T62" s="287"/>
      <c r="U62" s="287"/>
      <c r="V62" s="288"/>
      <c r="W62" s="37" t="s">
        <v>84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customHeight="1" x14ac:dyDescent="0.25">
      <c r="A63" s="289" t="s">
        <v>93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72"/>
      <c r="AB63" s="272"/>
      <c r="AC63" s="27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80">
        <v>4607111039712</v>
      </c>
      <c r="E64" s="281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96</v>
      </c>
      <c r="L64" s="32" t="s">
        <v>67</v>
      </c>
      <c r="M64" s="33" t="s">
        <v>68</v>
      </c>
      <c r="N64" s="33"/>
      <c r="O64" s="32">
        <v>365</v>
      </c>
      <c r="P64" s="44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71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6" t="s">
        <v>83</v>
      </c>
      <c r="Q65" s="287"/>
      <c r="R65" s="287"/>
      <c r="S65" s="287"/>
      <c r="T65" s="287"/>
      <c r="U65" s="287"/>
      <c r="V65" s="288"/>
      <c r="W65" s="37" t="s">
        <v>69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6" t="s">
        <v>83</v>
      </c>
      <c r="Q66" s="287"/>
      <c r="R66" s="287"/>
      <c r="S66" s="287"/>
      <c r="T66" s="287"/>
      <c r="U66" s="287"/>
      <c r="V66" s="288"/>
      <c r="W66" s="37" t="s">
        <v>84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customHeight="1" x14ac:dyDescent="0.25">
      <c r="A67" s="289" t="s">
        <v>131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72"/>
      <c r="AB67" s="272"/>
      <c r="AC67" s="27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80">
        <v>4607111037008</v>
      </c>
      <c r="E68" s="281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96</v>
      </c>
      <c r="L68" s="32" t="s">
        <v>67</v>
      </c>
      <c r="M68" s="33" t="s">
        <v>68</v>
      </c>
      <c r="N68" s="33"/>
      <c r="O68" s="32">
        <v>365</v>
      </c>
      <c r="P68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4"/>
      <c r="V68" s="34"/>
      <c r="W68" s="35" t="s">
        <v>69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71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96</v>
      </c>
      <c r="L69" s="32" t="s">
        <v>67</v>
      </c>
      <c r="M69" s="33" t="s">
        <v>68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69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71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6" t="s">
        <v>83</v>
      </c>
      <c r="Q70" s="287"/>
      <c r="R70" s="287"/>
      <c r="S70" s="287"/>
      <c r="T70" s="287"/>
      <c r="U70" s="287"/>
      <c r="V70" s="288"/>
      <c r="W70" s="37" t="s">
        <v>69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6" t="s">
        <v>83</v>
      </c>
      <c r="Q71" s="287"/>
      <c r="R71" s="287"/>
      <c r="S71" s="287"/>
      <c r="T71" s="287"/>
      <c r="U71" s="287"/>
      <c r="V71" s="288"/>
      <c r="W71" s="37" t="s">
        <v>84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customHeight="1" x14ac:dyDescent="0.25">
      <c r="A72" s="289" t="s">
        <v>137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72"/>
      <c r="AB72" s="272"/>
      <c r="AC72" s="27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80">
        <v>4607111039705</v>
      </c>
      <c r="E73" s="281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96</v>
      </c>
      <c r="L73" s="32" t="s">
        <v>67</v>
      </c>
      <c r="M73" s="33" t="s">
        <v>68</v>
      </c>
      <c r="N73" s="33"/>
      <c r="O73" s="32">
        <v>365</v>
      </c>
      <c r="P73" s="2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4"/>
      <c r="V73" s="34"/>
      <c r="W73" s="35" t="s">
        <v>69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71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80">
        <v>4607111039729</v>
      </c>
      <c r="E74" s="281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96</v>
      </c>
      <c r="L74" s="32" t="s">
        <v>67</v>
      </c>
      <c r="M74" s="33" t="s">
        <v>68</v>
      </c>
      <c r="N74" s="33"/>
      <c r="O74" s="32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69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71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80">
        <v>4620207490228</v>
      </c>
      <c r="E75" s="281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96</v>
      </c>
      <c r="L75" s="32" t="s">
        <v>67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76">
        <v>0</v>
      </c>
      <c r="Y75" s="27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71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6" t="s">
        <v>83</v>
      </c>
      <c r="Q76" s="287"/>
      <c r="R76" s="287"/>
      <c r="S76" s="287"/>
      <c r="T76" s="287"/>
      <c r="U76" s="287"/>
      <c r="V76" s="288"/>
      <c r="W76" s="37" t="s">
        <v>69</v>
      </c>
      <c r="X76" s="278">
        <f>IFERROR(SUM(X73:X75),"0")</f>
        <v>0</v>
      </c>
      <c r="Y76" s="278">
        <f>IFERROR(SUM(Y73:Y75),"0")</f>
        <v>0</v>
      </c>
      <c r="Z76" s="278">
        <f>IFERROR(IF(Z73="",0,Z73),"0")+IFERROR(IF(Z74="",0,Z74),"0")+IFERROR(IF(Z75="",0,Z75),"0")</f>
        <v>0</v>
      </c>
      <c r="AA76" s="279"/>
      <c r="AB76" s="279"/>
      <c r="AC76" s="279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6" t="s">
        <v>83</v>
      </c>
      <c r="Q77" s="287"/>
      <c r="R77" s="287"/>
      <c r="S77" s="287"/>
      <c r="T77" s="287"/>
      <c r="U77" s="287"/>
      <c r="V77" s="288"/>
      <c r="W77" s="37" t="s">
        <v>84</v>
      </c>
      <c r="X77" s="278">
        <f>IFERROR(SUMPRODUCT(X73:X75*H73:H75),"0")</f>
        <v>0</v>
      </c>
      <c r="Y77" s="278">
        <f>IFERROR(SUMPRODUCT(Y73:Y75*H73:H75),"0")</f>
        <v>0</v>
      </c>
      <c r="Z77" s="37"/>
      <c r="AA77" s="279"/>
      <c r="AB77" s="279"/>
      <c r="AC77" s="279"/>
    </row>
    <row r="78" spans="1:68" ht="16.5" customHeight="1" x14ac:dyDescent="0.25">
      <c r="A78" s="295" t="s">
        <v>145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71"/>
      <c r="AB78" s="271"/>
      <c r="AC78" s="271"/>
    </row>
    <row r="79" spans="1:68" ht="14.25" customHeight="1" x14ac:dyDescent="0.25">
      <c r="A79" s="289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72"/>
      <c r="AB79" s="272"/>
      <c r="AC79" s="27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80">
        <v>4607111037411</v>
      </c>
      <c r="E80" s="281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148</v>
      </c>
      <c r="L80" s="32" t="s">
        <v>67</v>
      </c>
      <c r="M80" s="33" t="s">
        <v>68</v>
      </c>
      <c r="N80" s="33"/>
      <c r="O80" s="32">
        <v>180</v>
      </c>
      <c r="P80" s="4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4"/>
      <c r="V80" s="34"/>
      <c r="W80" s="35" t="s">
        <v>69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80">
        <v>4607111036728</v>
      </c>
      <c r="E81" s="281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66</v>
      </c>
      <c r="L81" s="32" t="s">
        <v>97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4"/>
      <c r="V81" s="34"/>
      <c r="W81" s="35" t="s">
        <v>69</v>
      </c>
      <c r="X81" s="276">
        <v>132</v>
      </c>
      <c r="Y81" s="277">
        <f>IFERROR(IF(X81="","",X81),"")</f>
        <v>132</v>
      </c>
      <c r="Z81" s="36">
        <f>IFERROR(IF(X81="","",X81*0.00866),"")</f>
        <v>1.1431199999999999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688.14239999999995</v>
      </c>
      <c r="BN81" s="67">
        <f>IFERROR(Y81*I81,"0")</f>
        <v>688.14239999999995</v>
      </c>
      <c r="BO81" s="67">
        <f>IFERROR(X81/J81,"0")</f>
        <v>0.91666666666666663</v>
      </c>
      <c r="BP81" s="67">
        <f>IFERROR(Y81/J81,"0")</f>
        <v>0.91666666666666663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6" t="s">
        <v>83</v>
      </c>
      <c r="Q82" s="287"/>
      <c r="R82" s="287"/>
      <c r="S82" s="287"/>
      <c r="T82" s="287"/>
      <c r="U82" s="287"/>
      <c r="V82" s="288"/>
      <c r="W82" s="37" t="s">
        <v>69</v>
      </c>
      <c r="X82" s="278">
        <f>IFERROR(SUM(X80:X81),"0")</f>
        <v>132</v>
      </c>
      <c r="Y82" s="278">
        <f>IFERROR(SUM(Y80:Y81),"0")</f>
        <v>132</v>
      </c>
      <c r="Z82" s="278">
        <f>IFERROR(IF(Z80="",0,Z80),"0")+IFERROR(IF(Z81="",0,Z81),"0")</f>
        <v>1.1431199999999999</v>
      </c>
      <c r="AA82" s="279"/>
      <c r="AB82" s="279"/>
      <c r="AC82" s="279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6" t="s">
        <v>83</v>
      </c>
      <c r="Q83" s="287"/>
      <c r="R83" s="287"/>
      <c r="S83" s="287"/>
      <c r="T83" s="287"/>
      <c r="U83" s="287"/>
      <c r="V83" s="288"/>
      <c r="W83" s="37" t="s">
        <v>84</v>
      </c>
      <c r="X83" s="278">
        <f>IFERROR(SUMPRODUCT(X80:X81*H80:H81),"0")</f>
        <v>660</v>
      </c>
      <c r="Y83" s="278">
        <f>IFERROR(SUMPRODUCT(Y80:Y81*H80:H81),"0")</f>
        <v>660</v>
      </c>
      <c r="Z83" s="37"/>
      <c r="AA83" s="279"/>
      <c r="AB83" s="279"/>
      <c r="AC83" s="279"/>
    </row>
    <row r="84" spans="1:68" ht="16.5" customHeight="1" x14ac:dyDescent="0.25">
      <c r="A84" s="295" t="s">
        <v>152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71"/>
      <c r="AB84" s="271"/>
      <c r="AC84" s="271"/>
    </row>
    <row r="85" spans="1:68" ht="14.25" customHeight="1" x14ac:dyDescent="0.25">
      <c r="A85" s="289" t="s">
        <v>137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2"/>
      <c r="AB85" s="272"/>
      <c r="AC85" s="27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80">
        <v>4607111033659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96</v>
      </c>
      <c r="L86" s="32" t="s">
        <v>97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76">
        <v>14</v>
      </c>
      <c r="Y86" s="277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6" t="s">
        <v>83</v>
      </c>
      <c r="Q87" s="287"/>
      <c r="R87" s="287"/>
      <c r="S87" s="287"/>
      <c r="T87" s="287"/>
      <c r="U87" s="287"/>
      <c r="V87" s="288"/>
      <c r="W87" s="37" t="s">
        <v>69</v>
      </c>
      <c r="X87" s="278">
        <f>IFERROR(SUM(X86:X86),"0")</f>
        <v>14</v>
      </c>
      <c r="Y87" s="278">
        <f>IFERROR(SUM(Y86:Y86),"0")</f>
        <v>14</v>
      </c>
      <c r="Z87" s="278">
        <f>IFERROR(IF(Z86="",0,Z86),"0")</f>
        <v>0.25031999999999999</v>
      </c>
      <c r="AA87" s="279"/>
      <c r="AB87" s="279"/>
      <c r="AC87" s="279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6" t="s">
        <v>83</v>
      </c>
      <c r="Q88" s="287"/>
      <c r="R88" s="287"/>
      <c r="S88" s="287"/>
      <c r="T88" s="287"/>
      <c r="U88" s="287"/>
      <c r="V88" s="288"/>
      <c r="W88" s="37" t="s">
        <v>84</v>
      </c>
      <c r="X88" s="278">
        <f>IFERROR(SUMPRODUCT(X86:X86*H86:H86),"0")</f>
        <v>50.4</v>
      </c>
      <c r="Y88" s="278">
        <f>IFERROR(SUMPRODUCT(Y86:Y86*H86:H86),"0")</f>
        <v>50.4</v>
      </c>
      <c r="Z88" s="37"/>
      <c r="AA88" s="279"/>
      <c r="AB88" s="279"/>
      <c r="AC88" s="279"/>
    </row>
    <row r="89" spans="1:68" ht="16.5" customHeight="1" x14ac:dyDescent="0.25">
      <c r="A89" s="295" t="s">
        <v>156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71"/>
      <c r="AB89" s="271"/>
      <c r="AC89" s="271"/>
    </row>
    <row r="90" spans="1:68" ht="14.25" customHeight="1" x14ac:dyDescent="0.25">
      <c r="A90" s="289" t="s">
        <v>157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72"/>
      <c r="AB90" s="272"/>
      <c r="AC90" s="27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80">
        <v>4607111034120</v>
      </c>
      <c r="E91" s="281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96</v>
      </c>
      <c r="L91" s="32" t="s">
        <v>97</v>
      </c>
      <c r="M91" s="33" t="s">
        <v>68</v>
      </c>
      <c r="N91" s="33"/>
      <c r="O91" s="32">
        <v>180</v>
      </c>
      <c r="P91" s="40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4"/>
      <c r="V91" s="34"/>
      <c r="W91" s="35" t="s">
        <v>69</v>
      </c>
      <c r="X91" s="276">
        <v>42</v>
      </c>
      <c r="Y91" s="277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80">
        <v>4607111034137</v>
      </c>
      <c r="E92" s="281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96</v>
      </c>
      <c r="L92" s="32" t="s">
        <v>97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69</v>
      </c>
      <c r="X92" s="276">
        <v>28</v>
      </c>
      <c r="Y92" s="277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6" t="s">
        <v>83</v>
      </c>
      <c r="Q93" s="287"/>
      <c r="R93" s="287"/>
      <c r="S93" s="287"/>
      <c r="T93" s="287"/>
      <c r="U93" s="287"/>
      <c r="V93" s="288"/>
      <c r="W93" s="37" t="s">
        <v>69</v>
      </c>
      <c r="X93" s="278">
        <f>IFERROR(SUM(X91:X92),"0")</f>
        <v>70</v>
      </c>
      <c r="Y93" s="278">
        <f>IFERROR(SUM(Y91:Y92),"0")</f>
        <v>70</v>
      </c>
      <c r="Z93" s="278">
        <f>IFERROR(IF(Z91="",0,Z91),"0")+IFERROR(IF(Z92="",0,Z92),"0")</f>
        <v>1.2515999999999998</v>
      </c>
      <c r="AA93" s="279"/>
      <c r="AB93" s="279"/>
      <c r="AC93" s="279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6" t="s">
        <v>83</v>
      </c>
      <c r="Q94" s="287"/>
      <c r="R94" s="287"/>
      <c r="S94" s="287"/>
      <c r="T94" s="287"/>
      <c r="U94" s="287"/>
      <c r="V94" s="288"/>
      <c r="W94" s="37" t="s">
        <v>84</v>
      </c>
      <c r="X94" s="278">
        <f>IFERROR(SUMPRODUCT(X91:X92*H91:H92),"0")</f>
        <v>252</v>
      </c>
      <c r="Y94" s="278">
        <f>IFERROR(SUMPRODUCT(Y91:Y92*H91:H92),"0")</f>
        <v>252</v>
      </c>
      <c r="Z94" s="37"/>
      <c r="AA94" s="279"/>
      <c r="AB94" s="279"/>
      <c r="AC94" s="279"/>
    </row>
    <row r="95" spans="1:68" ht="16.5" customHeight="1" x14ac:dyDescent="0.25">
      <c r="A95" s="295" t="s">
        <v>164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71"/>
      <c r="AB95" s="271"/>
      <c r="AC95" s="271"/>
    </row>
    <row r="96" spans="1:68" ht="14.25" customHeight="1" x14ac:dyDescent="0.25">
      <c r="A96" s="289" t="s">
        <v>137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72"/>
      <c r="AB96" s="272"/>
      <c r="AC96" s="27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80">
        <v>4620207491027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96</v>
      </c>
      <c r="L97" s="32" t="s">
        <v>97</v>
      </c>
      <c r="M97" s="33" t="s">
        <v>68</v>
      </c>
      <c r="N97" s="33"/>
      <c r="O97" s="32">
        <v>180</v>
      </c>
      <c r="P97" s="33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76">
        <v>28</v>
      </c>
      <c r="Y97" s="277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80">
        <v>4620207491003</v>
      </c>
      <c r="E98" s="281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96</v>
      </c>
      <c r="L98" s="32" t="s">
        <v>97</v>
      </c>
      <c r="M98" s="33" t="s">
        <v>68</v>
      </c>
      <c r="N98" s="33"/>
      <c r="O98" s="32">
        <v>180</v>
      </c>
      <c r="P98" s="4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69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80">
        <v>4620207491034</v>
      </c>
      <c r="E99" s="281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96</v>
      </c>
      <c r="L99" s="32" t="s">
        <v>97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69</v>
      </c>
      <c r="X99" s="276">
        <v>14</v>
      </c>
      <c r="Y99" s="277">
        <f t="shared" si="6"/>
        <v>14</v>
      </c>
      <c r="Z99" s="36">
        <f t="shared" si="7"/>
        <v>0.25031999999999999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80">
        <v>4620207491010</v>
      </c>
      <c r="E100" s="281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96</v>
      </c>
      <c r="L100" s="32" t="s">
        <v>97</v>
      </c>
      <c r="M100" s="33" t="s">
        <v>68</v>
      </c>
      <c r="N100" s="33"/>
      <c r="O100" s="32">
        <v>180</v>
      </c>
      <c r="P100" s="32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69</v>
      </c>
      <c r="X100" s="276">
        <v>98</v>
      </c>
      <c r="Y100" s="277">
        <f t="shared" si="6"/>
        <v>98</v>
      </c>
      <c r="Z100" s="36">
        <f t="shared" si="7"/>
        <v>1.75224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80">
        <v>4607111035028</v>
      </c>
      <c r="E101" s="281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96</v>
      </c>
      <c r="L101" s="32" t="s">
        <v>97</v>
      </c>
      <c r="M101" s="33" t="s">
        <v>68</v>
      </c>
      <c r="N101" s="33"/>
      <c r="O101" s="32">
        <v>180</v>
      </c>
      <c r="P101" s="44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4"/>
      <c r="V101" s="34"/>
      <c r="W101" s="35" t="s">
        <v>69</v>
      </c>
      <c r="X101" s="276">
        <v>0</v>
      </c>
      <c r="Y101" s="277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80">
        <v>4607111036407</v>
      </c>
      <c r="E102" s="281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96</v>
      </c>
      <c r="L102" s="32" t="s">
        <v>67</v>
      </c>
      <c r="M102" s="33" t="s">
        <v>68</v>
      </c>
      <c r="N102" s="33"/>
      <c r="O102" s="32">
        <v>180</v>
      </c>
      <c r="P102" s="4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4"/>
      <c r="V102" s="34"/>
      <c r="W102" s="35" t="s">
        <v>69</v>
      </c>
      <c r="X102" s="276">
        <v>0</v>
      </c>
      <c r="Y102" s="27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71</v>
      </c>
      <c r="AK102" s="71">
        <v>1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6" t="s">
        <v>83</v>
      </c>
      <c r="Q103" s="287"/>
      <c r="R103" s="287"/>
      <c r="S103" s="287"/>
      <c r="T103" s="287"/>
      <c r="U103" s="287"/>
      <c r="V103" s="288"/>
      <c r="W103" s="37" t="s">
        <v>69</v>
      </c>
      <c r="X103" s="278">
        <f>IFERROR(SUM(X97:X102),"0")</f>
        <v>140</v>
      </c>
      <c r="Y103" s="278">
        <f>IFERROR(SUM(Y97:Y102),"0")</f>
        <v>140</v>
      </c>
      <c r="Z103" s="278">
        <f>IFERROR(IF(Z97="",0,Z97),"0")+IFERROR(IF(Z98="",0,Z98),"0")+IFERROR(IF(Z99="",0,Z99),"0")+IFERROR(IF(Z100="",0,Z100),"0")+IFERROR(IF(Z101="",0,Z101),"0")+IFERROR(IF(Z102="",0,Z102),"0")</f>
        <v>2.5032000000000001</v>
      </c>
      <c r="AA103" s="279"/>
      <c r="AB103" s="279"/>
      <c r="AC103" s="279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6" t="s">
        <v>83</v>
      </c>
      <c r="Q104" s="287"/>
      <c r="R104" s="287"/>
      <c r="S104" s="287"/>
      <c r="T104" s="287"/>
      <c r="U104" s="287"/>
      <c r="V104" s="288"/>
      <c r="W104" s="37" t="s">
        <v>84</v>
      </c>
      <c r="X104" s="278">
        <f>IFERROR(SUMPRODUCT(X97:X102*H97:H102),"0")</f>
        <v>403.20000000000005</v>
      </c>
      <c r="Y104" s="278">
        <f>IFERROR(SUMPRODUCT(Y97:Y102*H97:H102),"0")</f>
        <v>403.20000000000005</v>
      </c>
      <c r="Z104" s="37"/>
      <c r="AA104" s="279"/>
      <c r="AB104" s="279"/>
      <c r="AC104" s="279"/>
    </row>
    <row r="105" spans="1:68" ht="16.5" customHeight="1" x14ac:dyDescent="0.25">
      <c r="A105" s="295" t="s">
        <v>179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71"/>
      <c r="AB105" s="271"/>
      <c r="AC105" s="271"/>
    </row>
    <row r="106" spans="1:68" ht="14.25" customHeight="1" x14ac:dyDescent="0.25">
      <c r="A106" s="289" t="s">
        <v>131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72"/>
      <c r="AB106" s="272"/>
      <c r="AC106" s="27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80">
        <v>4607025784012</v>
      </c>
      <c r="E107" s="281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96</v>
      </c>
      <c r="L107" s="32" t="s">
        <v>97</v>
      </c>
      <c r="M107" s="33" t="s">
        <v>68</v>
      </c>
      <c r="N107" s="33"/>
      <c r="O107" s="32">
        <v>180</v>
      </c>
      <c r="P107" s="43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4"/>
      <c r="V107" s="34"/>
      <c r="W107" s="35" t="s">
        <v>69</v>
      </c>
      <c r="X107" s="276">
        <v>42</v>
      </c>
      <c r="Y107" s="277">
        <f>IFERROR(IF(X107="","",X107),"")</f>
        <v>42</v>
      </c>
      <c r="Z107" s="36">
        <f>IFERROR(IF(X107="","",X107*0.00936),"")</f>
        <v>0.39312000000000002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104.63040000000001</v>
      </c>
      <c r="BN107" s="67">
        <f>IFERROR(Y107*I107,"0")</f>
        <v>104.63040000000001</v>
      </c>
      <c r="BO107" s="67">
        <f>IFERROR(X107/J107,"0")</f>
        <v>0.33333333333333331</v>
      </c>
      <c r="BP107" s="67">
        <f>IFERROR(Y107/J107,"0")</f>
        <v>0.33333333333333331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80">
        <v>4607025784319</v>
      </c>
      <c r="E108" s="281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96</v>
      </c>
      <c r="L108" s="32" t="s">
        <v>97</v>
      </c>
      <c r="M108" s="33" t="s">
        <v>68</v>
      </c>
      <c r="N108" s="33"/>
      <c r="O108" s="32">
        <v>180</v>
      </c>
      <c r="P108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76">
        <v>42</v>
      </c>
      <c r="Y108" s="277">
        <f>IFERROR(IF(X108="","",X108),"")</f>
        <v>42</v>
      </c>
      <c r="Z108" s="36">
        <f>IFERROR(IF(X108="","",X108*0.01788),"")</f>
        <v>0.75095999999999996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178.24799999999999</v>
      </c>
      <c r="BN108" s="67">
        <f>IFERROR(Y108*I108,"0")</f>
        <v>178.24799999999999</v>
      </c>
      <c r="BO108" s="67">
        <f>IFERROR(X108/J108,"0")</f>
        <v>0.6</v>
      </c>
      <c r="BP108" s="67">
        <f>IFERROR(Y108/J108,"0")</f>
        <v>0.6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6" t="s">
        <v>83</v>
      </c>
      <c r="Q109" s="287"/>
      <c r="R109" s="287"/>
      <c r="S109" s="287"/>
      <c r="T109" s="287"/>
      <c r="U109" s="287"/>
      <c r="V109" s="288"/>
      <c r="W109" s="37" t="s">
        <v>69</v>
      </c>
      <c r="X109" s="278">
        <f>IFERROR(SUM(X107:X108),"0")</f>
        <v>84</v>
      </c>
      <c r="Y109" s="278">
        <f>IFERROR(SUM(Y107:Y108),"0")</f>
        <v>84</v>
      </c>
      <c r="Z109" s="278">
        <f>IFERROR(IF(Z107="",0,Z107),"0")+IFERROR(IF(Z108="",0,Z108),"0")</f>
        <v>1.14408</v>
      </c>
      <c r="AA109" s="279"/>
      <c r="AB109" s="279"/>
      <c r="AC109" s="279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6" t="s">
        <v>83</v>
      </c>
      <c r="Q110" s="287"/>
      <c r="R110" s="287"/>
      <c r="S110" s="287"/>
      <c r="T110" s="287"/>
      <c r="U110" s="287"/>
      <c r="V110" s="288"/>
      <c r="W110" s="37" t="s">
        <v>84</v>
      </c>
      <c r="X110" s="278">
        <f>IFERROR(SUMPRODUCT(X107:X108*H107:H108),"0")</f>
        <v>241.92000000000002</v>
      </c>
      <c r="Y110" s="278">
        <f>IFERROR(SUMPRODUCT(Y107:Y108*H107:H108),"0")</f>
        <v>241.92000000000002</v>
      </c>
      <c r="Z110" s="37"/>
      <c r="AA110" s="279"/>
      <c r="AB110" s="279"/>
      <c r="AC110" s="279"/>
    </row>
    <row r="111" spans="1:68" ht="16.5" customHeight="1" x14ac:dyDescent="0.25">
      <c r="A111" s="295" t="s">
        <v>185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71"/>
      <c r="AB111" s="271"/>
      <c r="AC111" s="271"/>
    </row>
    <row r="112" spans="1:68" ht="14.25" customHeight="1" x14ac:dyDescent="0.25">
      <c r="A112" s="289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72"/>
      <c r="AB112" s="272"/>
      <c r="AC112" s="27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80">
        <v>4620207491157</v>
      </c>
      <c r="E113" s="281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66</v>
      </c>
      <c r="L113" s="32" t="s">
        <v>97</v>
      </c>
      <c r="M113" s="33" t="s">
        <v>68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3"/>
      <c r="R113" s="283"/>
      <c r="S113" s="283"/>
      <c r="T113" s="284"/>
      <c r="U113" s="34"/>
      <c r="V113" s="34"/>
      <c r="W113" s="35" t="s">
        <v>69</v>
      </c>
      <c r="X113" s="276">
        <v>12</v>
      </c>
      <c r="Y113" s="277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80">
        <v>4620207491393</v>
      </c>
      <c r="E114" s="281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3"/>
      <c r="R114" s="283"/>
      <c r="S114" s="283"/>
      <c r="T114" s="284"/>
      <c r="U114" s="34"/>
      <c r="V114" s="34"/>
      <c r="W114" s="35" t="s">
        <v>69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0">
        <v>4607111039262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66</v>
      </c>
      <c r="L115" s="32" t="s">
        <v>97</v>
      </c>
      <c r="M115" s="33" t="s">
        <v>68</v>
      </c>
      <c r="N115" s="33"/>
      <c r="O115" s="32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4"/>
      <c r="V115" s="34"/>
      <c r="W115" s="35" t="s">
        <v>69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0">
        <v>4607111039248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66</v>
      </c>
      <c r="L116" s="32" t="s">
        <v>97</v>
      </c>
      <c r="M116" s="33" t="s">
        <v>68</v>
      </c>
      <c r="N116" s="33"/>
      <c r="O116" s="32">
        <v>180</v>
      </c>
      <c r="P116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76">
        <v>12</v>
      </c>
      <c r="Y116" s="277">
        <f t="shared" si="12"/>
        <v>12</v>
      </c>
      <c r="Z116" s="36">
        <f t="shared" si="13"/>
        <v>0.186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87.6</v>
      </c>
      <c r="BN116" s="67">
        <f t="shared" si="15"/>
        <v>87.6</v>
      </c>
      <c r="BO116" s="67">
        <f t="shared" si="16"/>
        <v>0.14285714285714285</v>
      </c>
      <c r="BP116" s="67">
        <f t="shared" si="17"/>
        <v>0.14285714285714285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80">
        <v>4607111037145</v>
      </c>
      <c r="E117" s="281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4"/>
      <c r="V117" s="34"/>
      <c r="W117" s="35" t="s">
        <v>69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0">
        <v>4607111039293</v>
      </c>
      <c r="E118" s="281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66</v>
      </c>
      <c r="L118" s="32" t="s">
        <v>97</v>
      </c>
      <c r="M118" s="33" t="s">
        <v>68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4"/>
      <c r="V118" s="34"/>
      <c r="W118" s="35" t="s">
        <v>69</v>
      </c>
      <c r="X118" s="276">
        <v>12</v>
      </c>
      <c r="Y118" s="277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0">
        <v>4607111039279</v>
      </c>
      <c r="E119" s="281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66</v>
      </c>
      <c r="L119" s="32" t="s">
        <v>97</v>
      </c>
      <c r="M119" s="33" t="s">
        <v>68</v>
      </c>
      <c r="N119" s="33"/>
      <c r="O119" s="32">
        <v>180</v>
      </c>
      <c r="P119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4"/>
      <c r="V119" s="34"/>
      <c r="W119" s="35" t="s">
        <v>69</v>
      </c>
      <c r="X119" s="276">
        <v>12</v>
      </c>
      <c r="Y119" s="277">
        <f t="shared" si="12"/>
        <v>12</v>
      </c>
      <c r="Z119" s="36">
        <f t="shared" si="13"/>
        <v>0.186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87.6</v>
      </c>
      <c r="BN119" s="67">
        <f t="shared" si="15"/>
        <v>87.6</v>
      </c>
      <c r="BO119" s="67">
        <f t="shared" si="16"/>
        <v>0.14285714285714285</v>
      </c>
      <c r="BP119" s="67">
        <f t="shared" si="17"/>
        <v>0.14285714285714285</v>
      </c>
    </row>
    <row r="120" spans="1:68" x14ac:dyDescent="0.2">
      <c r="A120" s="296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7"/>
      <c r="P120" s="286" t="s">
        <v>83</v>
      </c>
      <c r="Q120" s="287"/>
      <c r="R120" s="287"/>
      <c r="S120" s="287"/>
      <c r="T120" s="287"/>
      <c r="U120" s="287"/>
      <c r="V120" s="288"/>
      <c r="W120" s="37" t="s">
        <v>69</v>
      </c>
      <c r="X120" s="278">
        <f>IFERROR(SUM(X113:X119),"0")</f>
        <v>48</v>
      </c>
      <c r="Y120" s="278">
        <f>IFERROR(SUM(Y113:Y119),"0")</f>
        <v>48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0.74399999999999999</v>
      </c>
      <c r="AA120" s="279"/>
      <c r="AB120" s="279"/>
      <c r="AC120" s="279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6" t="s">
        <v>83</v>
      </c>
      <c r="Q121" s="287"/>
      <c r="R121" s="287"/>
      <c r="S121" s="287"/>
      <c r="T121" s="287"/>
      <c r="U121" s="287"/>
      <c r="V121" s="288"/>
      <c r="W121" s="37" t="s">
        <v>84</v>
      </c>
      <c r="X121" s="278">
        <f>IFERROR(SUMPRODUCT(X113:X119*H113:H119),"0")</f>
        <v>328.8</v>
      </c>
      <c r="Y121" s="278">
        <f>IFERROR(SUMPRODUCT(Y113:Y119*H113:H119),"0")</f>
        <v>328.8</v>
      </c>
      <c r="Z121" s="37"/>
      <c r="AA121" s="279"/>
      <c r="AB121" s="279"/>
      <c r="AC121" s="279"/>
    </row>
    <row r="122" spans="1:68" ht="14.25" customHeight="1" x14ac:dyDescent="0.25">
      <c r="A122" s="289" t="s">
        <v>137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80">
        <v>4620207490983</v>
      </c>
      <c r="E123" s="281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96</v>
      </c>
      <c r="L123" s="32" t="s">
        <v>67</v>
      </c>
      <c r="M123" s="33" t="s">
        <v>68</v>
      </c>
      <c r="N123" s="33"/>
      <c r="O123" s="32">
        <v>180</v>
      </c>
      <c r="P123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3"/>
      <c r="R123" s="283"/>
      <c r="S123" s="283"/>
      <c r="T123" s="284"/>
      <c r="U123" s="34"/>
      <c r="V123" s="34"/>
      <c r="W123" s="35" t="s">
        <v>69</v>
      </c>
      <c r="X123" s="276">
        <v>14</v>
      </c>
      <c r="Y123" s="277">
        <f>IFERROR(IF(X123="","",X123),"")</f>
        <v>14</v>
      </c>
      <c r="Z123" s="36">
        <f>IFERROR(IF(X123="","",X123*0.01788),"")</f>
        <v>0.25031999999999999</v>
      </c>
      <c r="AA123" s="56"/>
      <c r="AB123" s="57"/>
      <c r="AC123" s="160" t="s">
        <v>205</v>
      </c>
      <c r="AG123" s="67"/>
      <c r="AJ123" s="71" t="s">
        <v>71</v>
      </c>
      <c r="AK123" s="71">
        <v>1</v>
      </c>
      <c r="BB123" s="161" t="s">
        <v>100</v>
      </c>
      <c r="BM123" s="67">
        <f>IFERROR(X123*I123,"0")</f>
        <v>46.810400000000001</v>
      </c>
      <c r="BN123" s="67">
        <f>IFERROR(Y123*I123,"0")</f>
        <v>46.810400000000001</v>
      </c>
      <c r="BO123" s="67">
        <f>IFERROR(X123/J123,"0")</f>
        <v>0.2</v>
      </c>
      <c r="BP123" s="67">
        <f>IFERROR(Y123/J123,"0")</f>
        <v>0.2</v>
      </c>
    </row>
    <row r="124" spans="1:68" x14ac:dyDescent="0.2">
      <c r="A124" s="296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7"/>
      <c r="P124" s="286" t="s">
        <v>83</v>
      </c>
      <c r="Q124" s="287"/>
      <c r="R124" s="287"/>
      <c r="S124" s="287"/>
      <c r="T124" s="287"/>
      <c r="U124" s="287"/>
      <c r="V124" s="288"/>
      <c r="W124" s="37" t="s">
        <v>69</v>
      </c>
      <c r="X124" s="278">
        <f>IFERROR(SUM(X123:X123),"0")</f>
        <v>14</v>
      </c>
      <c r="Y124" s="278">
        <f>IFERROR(SUM(Y123:Y123),"0")</f>
        <v>14</v>
      </c>
      <c r="Z124" s="278">
        <f>IFERROR(IF(Z123="",0,Z123),"0")</f>
        <v>0.25031999999999999</v>
      </c>
      <c r="AA124" s="279"/>
      <c r="AB124" s="279"/>
      <c r="AC124" s="279"/>
    </row>
    <row r="125" spans="1:68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7"/>
      <c r="P125" s="286" t="s">
        <v>83</v>
      </c>
      <c r="Q125" s="287"/>
      <c r="R125" s="287"/>
      <c r="S125" s="287"/>
      <c r="T125" s="287"/>
      <c r="U125" s="287"/>
      <c r="V125" s="288"/>
      <c r="W125" s="37" t="s">
        <v>84</v>
      </c>
      <c r="X125" s="278">
        <f>IFERROR(SUMPRODUCT(X123:X123*H123:H123),"0")</f>
        <v>36.96</v>
      </c>
      <c r="Y125" s="278">
        <f>IFERROR(SUMPRODUCT(Y123:Y123*H123:H123),"0")</f>
        <v>36.96</v>
      </c>
      <c r="Z125" s="37"/>
      <c r="AA125" s="279"/>
      <c r="AB125" s="279"/>
      <c r="AC125" s="279"/>
    </row>
    <row r="126" spans="1:68" ht="14.25" customHeight="1" x14ac:dyDescent="0.25">
      <c r="A126" s="289" t="s">
        <v>206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2"/>
      <c r="AB126" s="272"/>
      <c r="AC126" s="272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80">
        <v>4620207491140</v>
      </c>
      <c r="E127" s="281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66</v>
      </c>
      <c r="L127" s="32" t="s">
        <v>67</v>
      </c>
      <c r="M127" s="33" t="s">
        <v>68</v>
      </c>
      <c r="N127" s="33"/>
      <c r="O127" s="32">
        <v>180</v>
      </c>
      <c r="P127" s="4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3"/>
      <c r="R127" s="283"/>
      <c r="S127" s="283"/>
      <c r="T127" s="284"/>
      <c r="U127" s="34"/>
      <c r="V127" s="34"/>
      <c r="W127" s="35" t="s">
        <v>69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71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96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7"/>
      <c r="P128" s="286" t="s">
        <v>83</v>
      </c>
      <c r="Q128" s="287"/>
      <c r="R128" s="287"/>
      <c r="S128" s="287"/>
      <c r="T128" s="287"/>
      <c r="U128" s="287"/>
      <c r="V128" s="288"/>
      <c r="W128" s="37" t="s">
        <v>69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x14ac:dyDescent="0.2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7"/>
      <c r="P129" s="286" t="s">
        <v>83</v>
      </c>
      <c r="Q129" s="287"/>
      <c r="R129" s="287"/>
      <c r="S129" s="287"/>
      <c r="T129" s="287"/>
      <c r="U129" s="287"/>
      <c r="V129" s="288"/>
      <c r="W129" s="37" t="s">
        <v>84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customHeight="1" x14ac:dyDescent="0.25">
      <c r="A130" s="295" t="s">
        <v>210</v>
      </c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  <c r="AA130" s="271"/>
      <c r="AB130" s="271"/>
      <c r="AC130" s="271"/>
    </row>
    <row r="131" spans="1:68" ht="14.25" customHeight="1" x14ac:dyDescent="0.25">
      <c r="A131" s="289" t="s">
        <v>137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211</v>
      </c>
      <c r="B132" s="54" t="s">
        <v>212</v>
      </c>
      <c r="C132" s="31">
        <v>4301135850</v>
      </c>
      <c r="D132" s="280">
        <v>4620207491492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96</v>
      </c>
      <c r="L132" s="32" t="s">
        <v>67</v>
      </c>
      <c r="M132" s="33" t="s">
        <v>68</v>
      </c>
      <c r="N132" s="33"/>
      <c r="O132" s="32">
        <v>180</v>
      </c>
      <c r="P132" s="36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69</v>
      </c>
      <c r="X132" s="276">
        <v>0</v>
      </c>
      <c r="Y132" s="277">
        <f>IFERROR(IF(X132="","",X132),"")</f>
        <v>0</v>
      </c>
      <c r="Z132" s="36">
        <f>IFERROR(IF(X132="","",X132*0.00941),"")</f>
        <v>0</v>
      </c>
      <c r="AA132" s="56"/>
      <c r="AB132" s="57"/>
      <c r="AC132" s="164" t="s">
        <v>213</v>
      </c>
      <c r="AG132" s="67"/>
      <c r="AJ132" s="71" t="s">
        <v>71</v>
      </c>
      <c r="AK132" s="71">
        <v>1</v>
      </c>
      <c r="BB132" s="165" t="s">
        <v>100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214</v>
      </c>
      <c r="B133" s="54" t="s">
        <v>215</v>
      </c>
      <c r="C133" s="31">
        <v>4301190118</v>
      </c>
      <c r="D133" s="280">
        <v>4620207491461</v>
      </c>
      <c r="E133" s="281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96</v>
      </c>
      <c r="L133" s="32" t="s">
        <v>67</v>
      </c>
      <c r="M133" s="33" t="s">
        <v>68</v>
      </c>
      <c r="N133" s="33"/>
      <c r="O133" s="32">
        <v>180</v>
      </c>
      <c r="P133" s="4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3"/>
      <c r="R133" s="283"/>
      <c r="S133" s="283"/>
      <c r="T133" s="284"/>
      <c r="U133" s="34"/>
      <c r="V133" s="34"/>
      <c r="W133" s="35" t="s">
        <v>69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213</v>
      </c>
      <c r="AG133" s="67"/>
      <c r="AJ133" s="71" t="s">
        <v>71</v>
      </c>
      <c r="AK133" s="71">
        <v>1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216</v>
      </c>
      <c r="B134" s="54" t="s">
        <v>217</v>
      </c>
      <c r="C134" s="31">
        <v>4301135865</v>
      </c>
      <c r="D134" s="280">
        <v>4620207491485</v>
      </c>
      <c r="E134" s="281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96</v>
      </c>
      <c r="L134" s="32" t="s">
        <v>67</v>
      </c>
      <c r="M134" s="33" t="s">
        <v>68</v>
      </c>
      <c r="N134" s="33"/>
      <c r="O134" s="32">
        <v>180</v>
      </c>
      <c r="P134" s="46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76">
        <v>14</v>
      </c>
      <c r="Y134" s="277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213</v>
      </c>
      <c r="AG134" s="67"/>
      <c r="AJ134" s="71" t="s">
        <v>71</v>
      </c>
      <c r="AK134" s="71">
        <v>1</v>
      </c>
      <c r="BB134" s="169" t="s">
        <v>100</v>
      </c>
      <c r="BM134" s="67">
        <f>IFERROR(X134*I134,"0")</f>
        <v>25.2</v>
      </c>
      <c r="BN134" s="67">
        <f>IFERROR(Y134*I134,"0")</f>
        <v>25.2</v>
      </c>
      <c r="BO134" s="67">
        <f>IFERROR(X134/J134,"0")</f>
        <v>0.1</v>
      </c>
      <c r="BP134" s="67">
        <f>IFERROR(Y134/J134,"0")</f>
        <v>0.1</v>
      </c>
    </row>
    <row r="135" spans="1:68" x14ac:dyDescent="0.2">
      <c r="A135" s="296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7"/>
      <c r="P135" s="286" t="s">
        <v>83</v>
      </c>
      <c r="Q135" s="287"/>
      <c r="R135" s="287"/>
      <c r="S135" s="287"/>
      <c r="T135" s="287"/>
      <c r="U135" s="287"/>
      <c r="V135" s="288"/>
      <c r="W135" s="37" t="s">
        <v>69</v>
      </c>
      <c r="X135" s="278">
        <f>IFERROR(SUM(X132:X134),"0")</f>
        <v>14</v>
      </c>
      <c r="Y135" s="278">
        <f>IFERROR(SUM(Y132:Y134),"0")</f>
        <v>14</v>
      </c>
      <c r="Z135" s="278">
        <f>IFERROR(IF(Z132="",0,Z132),"0")+IFERROR(IF(Z133="",0,Z133),"0")+IFERROR(IF(Z134="",0,Z134),"0")</f>
        <v>0.13174</v>
      </c>
      <c r="AA135" s="279"/>
      <c r="AB135" s="279"/>
      <c r="AC135" s="279"/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6" t="s">
        <v>83</v>
      </c>
      <c r="Q136" s="287"/>
      <c r="R136" s="287"/>
      <c r="S136" s="287"/>
      <c r="T136" s="287"/>
      <c r="U136" s="287"/>
      <c r="V136" s="288"/>
      <c r="W136" s="37" t="s">
        <v>84</v>
      </c>
      <c r="X136" s="278">
        <f>IFERROR(SUMPRODUCT(X132:X134*H132:H134),"0")</f>
        <v>19.32</v>
      </c>
      <c r="Y136" s="278">
        <f>IFERROR(SUMPRODUCT(Y132:Y134*H132:H134),"0")</f>
        <v>19.32</v>
      </c>
      <c r="Z136" s="37"/>
      <c r="AA136" s="279"/>
      <c r="AB136" s="279"/>
      <c r="AC136" s="279"/>
    </row>
    <row r="137" spans="1:68" ht="14.25" customHeight="1" x14ac:dyDescent="0.25">
      <c r="A137" s="289" t="s">
        <v>218</v>
      </c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  <c r="AA137" s="272"/>
      <c r="AB137" s="272"/>
      <c r="AC137" s="272"/>
    </row>
    <row r="138" spans="1:68" ht="27" customHeight="1" x14ac:dyDescent="0.25">
      <c r="A138" s="54" t="s">
        <v>219</v>
      </c>
      <c r="B138" s="54" t="s">
        <v>220</v>
      </c>
      <c r="C138" s="31">
        <v>4301190117</v>
      </c>
      <c r="D138" s="280">
        <v>4620207491386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96</v>
      </c>
      <c r="L138" s="32" t="s">
        <v>67</v>
      </c>
      <c r="M138" s="33" t="s">
        <v>68</v>
      </c>
      <c r="N138" s="33"/>
      <c r="O138" s="32">
        <v>180</v>
      </c>
      <c r="P138" s="38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69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221</v>
      </c>
      <c r="AG138" s="67"/>
      <c r="AJ138" s="71" t="s">
        <v>71</v>
      </c>
      <c r="AK138" s="71">
        <v>1</v>
      </c>
      <c r="BB138" s="171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222</v>
      </c>
      <c r="B139" s="54" t="s">
        <v>223</v>
      </c>
      <c r="C139" s="31">
        <v>4301190115</v>
      </c>
      <c r="D139" s="280">
        <v>4620207491362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96</v>
      </c>
      <c r="L139" s="32" t="s">
        <v>67</v>
      </c>
      <c r="M139" s="33" t="s">
        <v>68</v>
      </c>
      <c r="N139" s="33"/>
      <c r="O139" s="32">
        <v>180</v>
      </c>
      <c r="P139" s="43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69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221</v>
      </c>
      <c r="AG139" s="67"/>
      <c r="AJ139" s="71" t="s">
        <v>71</v>
      </c>
      <c r="AK139" s="71">
        <v>1</v>
      </c>
      <c r="BB139" s="173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224</v>
      </c>
      <c r="B140" s="54" t="s">
        <v>225</v>
      </c>
      <c r="C140" s="31">
        <v>4301190116</v>
      </c>
      <c r="D140" s="280">
        <v>4620207491379</v>
      </c>
      <c r="E140" s="281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96</v>
      </c>
      <c r="L140" s="32" t="s">
        <v>67</v>
      </c>
      <c r="M140" s="33" t="s">
        <v>68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69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221</v>
      </c>
      <c r="AG140" s="67"/>
      <c r="AJ140" s="71" t="s">
        <v>71</v>
      </c>
      <c r="AK140" s="71">
        <v>1</v>
      </c>
      <c r="BB140" s="175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6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7"/>
      <c r="P141" s="286" t="s">
        <v>83</v>
      </c>
      <c r="Q141" s="287"/>
      <c r="R141" s="287"/>
      <c r="S141" s="287"/>
      <c r="T141" s="287"/>
      <c r="U141" s="287"/>
      <c r="V141" s="288"/>
      <c r="W141" s="37" t="s">
        <v>69</v>
      </c>
      <c r="X141" s="278">
        <f>IFERROR(SUM(X138:X140),"0")</f>
        <v>0</v>
      </c>
      <c r="Y141" s="278">
        <f>IFERROR(SUM(Y138:Y140),"0")</f>
        <v>0</v>
      </c>
      <c r="Z141" s="278">
        <f>IFERROR(IF(Z138="",0,Z138),"0")+IFERROR(IF(Z139="",0,Z139),"0")+IFERROR(IF(Z140="",0,Z140),"0")</f>
        <v>0</v>
      </c>
      <c r="AA141" s="279"/>
      <c r="AB141" s="279"/>
      <c r="AC141" s="279"/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6" t="s">
        <v>83</v>
      </c>
      <c r="Q142" s="287"/>
      <c r="R142" s="287"/>
      <c r="S142" s="287"/>
      <c r="T142" s="287"/>
      <c r="U142" s="287"/>
      <c r="V142" s="288"/>
      <c r="W142" s="37" t="s">
        <v>84</v>
      </c>
      <c r="X142" s="278">
        <f>IFERROR(SUMPRODUCT(X138:X140*H138:H140),"0")</f>
        <v>0</v>
      </c>
      <c r="Y142" s="278">
        <f>IFERROR(SUMPRODUCT(Y138:Y140*H138:H140),"0")</f>
        <v>0</v>
      </c>
      <c r="Z142" s="37"/>
      <c r="AA142" s="279"/>
      <c r="AB142" s="279"/>
      <c r="AC142" s="279"/>
    </row>
    <row r="143" spans="1:68" ht="16.5" customHeight="1" x14ac:dyDescent="0.25">
      <c r="A143" s="295" t="s">
        <v>226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1"/>
      <c r="AB143" s="271"/>
      <c r="AC143" s="271"/>
    </row>
    <row r="144" spans="1:68" ht="14.25" customHeight="1" x14ac:dyDescent="0.25">
      <c r="A144" s="289" t="s">
        <v>137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2"/>
      <c r="AB144" s="272"/>
      <c r="AC144" s="272"/>
    </row>
    <row r="145" spans="1:68" ht="27" customHeight="1" x14ac:dyDescent="0.25">
      <c r="A145" s="54" t="s">
        <v>227</v>
      </c>
      <c r="B145" s="54" t="s">
        <v>228</v>
      </c>
      <c r="C145" s="31">
        <v>4301135555</v>
      </c>
      <c r="D145" s="280">
        <v>4607111034014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96</v>
      </c>
      <c r="L145" s="32" t="s">
        <v>97</v>
      </c>
      <c r="M145" s="33" t="s">
        <v>68</v>
      </c>
      <c r="N145" s="33"/>
      <c r="O145" s="32">
        <v>180</v>
      </c>
      <c r="P145" s="3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3"/>
      <c r="R145" s="283"/>
      <c r="S145" s="283"/>
      <c r="T145" s="284"/>
      <c r="U145" s="34"/>
      <c r="V145" s="34"/>
      <c r="W145" s="35" t="s">
        <v>69</v>
      </c>
      <c r="X145" s="276">
        <v>98</v>
      </c>
      <c r="Y145" s="277">
        <f>IFERROR(IF(X145="","",X145),"")</f>
        <v>98</v>
      </c>
      <c r="Z145" s="36">
        <f>IFERROR(IF(X145="","",X145*0.01788),"")</f>
        <v>1.75224</v>
      </c>
      <c r="AA145" s="56"/>
      <c r="AB145" s="57"/>
      <c r="AC145" s="176" t="s">
        <v>229</v>
      </c>
      <c r="AG145" s="67"/>
      <c r="AJ145" s="71" t="s">
        <v>99</v>
      </c>
      <c r="AK145" s="71">
        <v>14</v>
      </c>
      <c r="BB145" s="177" t="s">
        <v>100</v>
      </c>
      <c r="BM145" s="67">
        <f>IFERROR(X145*I145,"0")</f>
        <v>362.95279999999997</v>
      </c>
      <c r="BN145" s="67">
        <f>IFERROR(Y145*I145,"0")</f>
        <v>362.95279999999997</v>
      </c>
      <c r="BO145" s="67">
        <f>IFERROR(X145/J145,"0")</f>
        <v>1.4</v>
      </c>
      <c r="BP145" s="67">
        <f>IFERROR(Y145/J145,"0")</f>
        <v>1.4</v>
      </c>
    </row>
    <row r="146" spans="1:68" ht="27" customHeight="1" x14ac:dyDescent="0.25">
      <c r="A146" s="54" t="s">
        <v>230</v>
      </c>
      <c r="B146" s="54" t="s">
        <v>231</v>
      </c>
      <c r="C146" s="31">
        <v>4301135532</v>
      </c>
      <c r="D146" s="280">
        <v>4607111033994</v>
      </c>
      <c r="E146" s="281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96</v>
      </c>
      <c r="L146" s="32" t="s">
        <v>97</v>
      </c>
      <c r="M146" s="33" t="s">
        <v>68</v>
      </c>
      <c r="N146" s="33"/>
      <c r="O146" s="32">
        <v>180</v>
      </c>
      <c r="P146" s="4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3"/>
      <c r="R146" s="283"/>
      <c r="S146" s="283"/>
      <c r="T146" s="284"/>
      <c r="U146" s="34"/>
      <c r="V146" s="34"/>
      <c r="W146" s="35" t="s">
        <v>69</v>
      </c>
      <c r="X146" s="276">
        <v>14</v>
      </c>
      <c r="Y146" s="277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8" t="s">
        <v>155</v>
      </c>
      <c r="AG146" s="67"/>
      <c r="AJ146" s="71" t="s">
        <v>99</v>
      </c>
      <c r="AK146" s="71">
        <v>14</v>
      </c>
      <c r="BB146" s="179" t="s">
        <v>100</v>
      </c>
      <c r="BM146" s="67">
        <f>IFERROR(X146*I146,"0")</f>
        <v>51.850399999999993</v>
      </c>
      <c r="BN146" s="67">
        <f>IFERROR(Y146*I146,"0")</f>
        <v>51.850399999999993</v>
      </c>
      <c r="BO146" s="67">
        <f>IFERROR(X146/J146,"0")</f>
        <v>0.2</v>
      </c>
      <c r="BP146" s="67">
        <f>IFERROR(Y146/J146,"0")</f>
        <v>0.2</v>
      </c>
    </row>
    <row r="147" spans="1:68" x14ac:dyDescent="0.2">
      <c r="A147" s="296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7"/>
      <c r="P147" s="286" t="s">
        <v>83</v>
      </c>
      <c r="Q147" s="287"/>
      <c r="R147" s="287"/>
      <c r="S147" s="287"/>
      <c r="T147" s="287"/>
      <c r="U147" s="287"/>
      <c r="V147" s="288"/>
      <c r="W147" s="37" t="s">
        <v>69</v>
      </c>
      <c r="X147" s="278">
        <f>IFERROR(SUM(X145:X146),"0")</f>
        <v>112</v>
      </c>
      <c r="Y147" s="278">
        <f>IFERROR(SUM(Y145:Y146),"0")</f>
        <v>112</v>
      </c>
      <c r="Z147" s="278">
        <f>IFERROR(IF(Z145="",0,Z145),"0")+IFERROR(IF(Z146="",0,Z146),"0")</f>
        <v>2.0025599999999999</v>
      </c>
      <c r="AA147" s="279"/>
      <c r="AB147" s="279"/>
      <c r="AC147" s="279"/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6" t="s">
        <v>83</v>
      </c>
      <c r="Q148" s="287"/>
      <c r="R148" s="287"/>
      <c r="S148" s="287"/>
      <c r="T148" s="287"/>
      <c r="U148" s="287"/>
      <c r="V148" s="288"/>
      <c r="W148" s="37" t="s">
        <v>84</v>
      </c>
      <c r="X148" s="278">
        <f>IFERROR(SUMPRODUCT(X145:X146*H145:H146),"0")</f>
        <v>336</v>
      </c>
      <c r="Y148" s="278">
        <f>IFERROR(SUMPRODUCT(Y145:Y146*H145:H146),"0")</f>
        <v>336</v>
      </c>
      <c r="Z148" s="37"/>
      <c r="AA148" s="279"/>
      <c r="AB148" s="279"/>
      <c r="AC148" s="279"/>
    </row>
    <row r="149" spans="1:68" ht="16.5" customHeight="1" x14ac:dyDescent="0.25">
      <c r="A149" s="295" t="s">
        <v>232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1"/>
      <c r="AB149" s="271"/>
      <c r="AC149" s="271"/>
    </row>
    <row r="150" spans="1:68" ht="14.25" customHeight="1" x14ac:dyDescent="0.25">
      <c r="A150" s="289" t="s">
        <v>137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2"/>
      <c r="AB150" s="272"/>
      <c r="AC150" s="272"/>
    </row>
    <row r="151" spans="1:68" ht="27" customHeight="1" x14ac:dyDescent="0.25">
      <c r="A151" s="54" t="s">
        <v>233</v>
      </c>
      <c r="B151" s="54" t="s">
        <v>234</v>
      </c>
      <c r="C151" s="31">
        <v>4301135824</v>
      </c>
      <c r="D151" s="280">
        <v>4607111039095</v>
      </c>
      <c r="E151" s="281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96</v>
      </c>
      <c r="L151" s="32" t="s">
        <v>67</v>
      </c>
      <c r="M151" s="33" t="s">
        <v>68</v>
      </c>
      <c r="N151" s="33"/>
      <c r="O151" s="32">
        <v>180</v>
      </c>
      <c r="P151" s="46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69</v>
      </c>
      <c r="X151" s="276">
        <v>42</v>
      </c>
      <c r="Y151" s="277">
        <f>IFERROR(IF(X151="","",X151),"")</f>
        <v>42</v>
      </c>
      <c r="Z151" s="36">
        <f>IFERROR(IF(X151="","",X151*0.01788),"")</f>
        <v>0.75095999999999996</v>
      </c>
      <c r="AA151" s="56"/>
      <c r="AB151" s="57"/>
      <c r="AC151" s="180" t="s">
        <v>235</v>
      </c>
      <c r="AG151" s="67"/>
      <c r="AJ151" s="71" t="s">
        <v>71</v>
      </c>
      <c r="AK151" s="71">
        <v>1</v>
      </c>
      <c r="BB151" s="181" t="s">
        <v>100</v>
      </c>
      <c r="BM151" s="67">
        <f>IFERROR(X151*I151,"0")</f>
        <v>157.416</v>
      </c>
      <c r="BN151" s="67">
        <f>IFERROR(Y151*I151,"0")</f>
        <v>157.416</v>
      </c>
      <c r="BO151" s="67">
        <f>IFERROR(X151/J151,"0")</f>
        <v>0.6</v>
      </c>
      <c r="BP151" s="67">
        <f>IFERROR(Y151/J151,"0")</f>
        <v>0.6</v>
      </c>
    </row>
    <row r="152" spans="1:68" ht="16.5" customHeight="1" x14ac:dyDescent="0.25">
      <c r="A152" s="54" t="s">
        <v>236</v>
      </c>
      <c r="B152" s="54" t="s">
        <v>237</v>
      </c>
      <c r="C152" s="31">
        <v>4301135550</v>
      </c>
      <c r="D152" s="280">
        <v>4607111034199</v>
      </c>
      <c r="E152" s="281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96</v>
      </c>
      <c r="L152" s="32" t="s">
        <v>97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3"/>
      <c r="R152" s="283"/>
      <c r="S152" s="283"/>
      <c r="T152" s="284"/>
      <c r="U152" s="34"/>
      <c r="V152" s="34"/>
      <c r="W152" s="35" t="s">
        <v>69</v>
      </c>
      <c r="X152" s="276">
        <v>28</v>
      </c>
      <c r="Y152" s="277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2" t="s">
        <v>238</v>
      </c>
      <c r="AG152" s="67"/>
      <c r="AJ152" s="71" t="s">
        <v>99</v>
      </c>
      <c r="AK152" s="71">
        <v>14</v>
      </c>
      <c r="BB152" s="183" t="s">
        <v>100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6" t="s">
        <v>83</v>
      </c>
      <c r="Q153" s="287"/>
      <c r="R153" s="287"/>
      <c r="S153" s="287"/>
      <c r="T153" s="287"/>
      <c r="U153" s="287"/>
      <c r="V153" s="288"/>
      <c r="W153" s="37" t="s">
        <v>69</v>
      </c>
      <c r="X153" s="278">
        <f>IFERROR(SUM(X151:X152),"0")</f>
        <v>70</v>
      </c>
      <c r="Y153" s="278">
        <f>IFERROR(SUM(Y151:Y152),"0")</f>
        <v>70</v>
      </c>
      <c r="Z153" s="278">
        <f>IFERROR(IF(Z151="",0,Z151),"0")+IFERROR(IF(Z152="",0,Z152),"0")</f>
        <v>1.2515999999999998</v>
      </c>
      <c r="AA153" s="279"/>
      <c r="AB153" s="279"/>
      <c r="AC153" s="279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6" t="s">
        <v>83</v>
      </c>
      <c r="Q154" s="287"/>
      <c r="R154" s="287"/>
      <c r="S154" s="287"/>
      <c r="T154" s="287"/>
      <c r="U154" s="287"/>
      <c r="V154" s="288"/>
      <c r="W154" s="37" t="s">
        <v>84</v>
      </c>
      <c r="X154" s="278">
        <f>IFERROR(SUMPRODUCT(X151:X152*H151:H152),"0")</f>
        <v>210</v>
      </c>
      <c r="Y154" s="278">
        <f>IFERROR(SUMPRODUCT(Y151:Y152*H151:H152),"0")</f>
        <v>210</v>
      </c>
      <c r="Z154" s="37"/>
      <c r="AA154" s="279"/>
      <c r="AB154" s="279"/>
      <c r="AC154" s="279"/>
    </row>
    <row r="155" spans="1:68" ht="16.5" customHeight="1" x14ac:dyDescent="0.25">
      <c r="A155" s="295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1"/>
      <c r="AB155" s="271"/>
      <c r="AC155" s="271"/>
    </row>
    <row r="156" spans="1:68" ht="14.25" customHeight="1" x14ac:dyDescent="0.25">
      <c r="A156" s="289" t="s">
        <v>137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2"/>
      <c r="AB156" s="272"/>
      <c r="AC156" s="272"/>
    </row>
    <row r="157" spans="1:68" ht="27" customHeight="1" x14ac:dyDescent="0.25">
      <c r="A157" s="54" t="s">
        <v>240</v>
      </c>
      <c r="B157" s="54" t="s">
        <v>241</v>
      </c>
      <c r="C157" s="31">
        <v>4301135753</v>
      </c>
      <c r="D157" s="280">
        <v>4620207490914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96</v>
      </c>
      <c r="L157" s="32" t="s">
        <v>67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69</v>
      </c>
      <c r="X157" s="276">
        <v>42</v>
      </c>
      <c r="Y157" s="277">
        <f>IFERROR(IF(X157="","",X157),"")</f>
        <v>42</v>
      </c>
      <c r="Z157" s="36">
        <f>IFERROR(IF(X157="","",X157*0.01788),"")</f>
        <v>0.75095999999999996</v>
      </c>
      <c r="AA157" s="56"/>
      <c r="AB157" s="57"/>
      <c r="AC157" s="184" t="s">
        <v>229</v>
      </c>
      <c r="AG157" s="67"/>
      <c r="AJ157" s="71" t="s">
        <v>71</v>
      </c>
      <c r="AK157" s="71">
        <v>1</v>
      </c>
      <c r="BB157" s="185" t="s">
        <v>100</v>
      </c>
      <c r="BM157" s="67">
        <f>IFERROR(X157*I157,"0")</f>
        <v>112.56</v>
      </c>
      <c r="BN157" s="67">
        <f>IFERROR(Y157*I157,"0")</f>
        <v>112.56</v>
      </c>
      <c r="BO157" s="67">
        <f>IFERROR(X157/J157,"0")</f>
        <v>0.6</v>
      </c>
      <c r="BP157" s="67">
        <f>IFERROR(Y157/J157,"0")</f>
        <v>0.6</v>
      </c>
    </row>
    <row r="158" spans="1:68" ht="27" customHeight="1" x14ac:dyDescent="0.25">
      <c r="A158" s="54" t="s">
        <v>242</v>
      </c>
      <c r="B158" s="54" t="s">
        <v>243</v>
      </c>
      <c r="C158" s="31">
        <v>4301135778</v>
      </c>
      <c r="D158" s="280">
        <v>4620207490853</v>
      </c>
      <c r="E158" s="281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96</v>
      </c>
      <c r="L158" s="32" t="s">
        <v>97</v>
      </c>
      <c r="M158" s="33" t="s">
        <v>68</v>
      </c>
      <c r="N158" s="33"/>
      <c r="O158" s="32">
        <v>180</v>
      </c>
      <c r="P158" s="3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3"/>
      <c r="R158" s="283"/>
      <c r="S158" s="283"/>
      <c r="T158" s="284"/>
      <c r="U158" s="34"/>
      <c r="V158" s="34"/>
      <c r="W158" s="35" t="s">
        <v>69</v>
      </c>
      <c r="X158" s="276">
        <v>28</v>
      </c>
      <c r="Y158" s="277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229</v>
      </c>
      <c r="AG158" s="67"/>
      <c r="AJ158" s="71" t="s">
        <v>99</v>
      </c>
      <c r="AK158" s="71">
        <v>14</v>
      </c>
      <c r="BB158" s="187" t="s">
        <v>100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x14ac:dyDescent="0.2">
      <c r="A159" s="296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6" t="s">
        <v>83</v>
      </c>
      <c r="Q159" s="287"/>
      <c r="R159" s="287"/>
      <c r="S159" s="287"/>
      <c r="T159" s="287"/>
      <c r="U159" s="287"/>
      <c r="V159" s="288"/>
      <c r="W159" s="37" t="s">
        <v>69</v>
      </c>
      <c r="X159" s="278">
        <f>IFERROR(SUM(X157:X158),"0")</f>
        <v>70</v>
      </c>
      <c r="Y159" s="278">
        <f>IFERROR(SUM(Y157:Y158),"0")</f>
        <v>70</v>
      </c>
      <c r="Z159" s="278">
        <f>IFERROR(IF(Z157="",0,Z157),"0")+IFERROR(IF(Z158="",0,Z158),"0")</f>
        <v>1.2515999999999998</v>
      </c>
      <c r="AA159" s="279"/>
      <c r="AB159" s="279"/>
      <c r="AC159" s="279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7"/>
      <c r="P160" s="286" t="s">
        <v>83</v>
      </c>
      <c r="Q160" s="287"/>
      <c r="R160" s="287"/>
      <c r="S160" s="287"/>
      <c r="T160" s="287"/>
      <c r="U160" s="287"/>
      <c r="V160" s="288"/>
      <c r="W160" s="37" t="s">
        <v>84</v>
      </c>
      <c r="X160" s="278">
        <f>IFERROR(SUMPRODUCT(X157:X158*H157:H158),"0")</f>
        <v>168</v>
      </c>
      <c r="Y160" s="278">
        <f>IFERROR(SUMPRODUCT(Y157:Y158*H157:H158),"0")</f>
        <v>168</v>
      </c>
      <c r="Z160" s="37"/>
      <c r="AA160" s="279"/>
      <c r="AB160" s="279"/>
      <c r="AC160" s="279"/>
    </row>
    <row r="161" spans="1:68" ht="16.5" customHeight="1" x14ac:dyDescent="0.25">
      <c r="A161" s="295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1"/>
      <c r="AB161" s="271"/>
      <c r="AC161" s="271"/>
    </row>
    <row r="162" spans="1:68" ht="14.25" customHeight="1" x14ac:dyDescent="0.25">
      <c r="A162" s="289" t="s">
        <v>137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2"/>
      <c r="AB162" s="272"/>
      <c r="AC162" s="272"/>
    </row>
    <row r="163" spans="1:68" ht="27" customHeight="1" x14ac:dyDescent="0.25">
      <c r="A163" s="54" t="s">
        <v>245</v>
      </c>
      <c r="B163" s="54" t="s">
        <v>246</v>
      </c>
      <c r="C163" s="31">
        <v>4301135570</v>
      </c>
      <c r="D163" s="280">
        <v>4607111035806</v>
      </c>
      <c r="E163" s="281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96</v>
      </c>
      <c r="L163" s="32" t="s">
        <v>97</v>
      </c>
      <c r="M163" s="33" t="s">
        <v>68</v>
      </c>
      <c r="N163" s="33"/>
      <c r="O163" s="32">
        <v>180</v>
      </c>
      <c r="P163" s="37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3"/>
      <c r="R163" s="283"/>
      <c r="S163" s="283"/>
      <c r="T163" s="284"/>
      <c r="U163" s="34"/>
      <c r="V163" s="34"/>
      <c r="W163" s="35" t="s">
        <v>69</v>
      </c>
      <c r="X163" s="276">
        <v>0</v>
      </c>
      <c r="Y163" s="277">
        <f>IFERROR(IF(X163="","",X163),"")</f>
        <v>0</v>
      </c>
      <c r="Z163" s="36">
        <f>IFERROR(IF(X163="","",X163*0.01788),"")</f>
        <v>0</v>
      </c>
      <c r="AA163" s="56"/>
      <c r="AB163" s="57"/>
      <c r="AC163" s="188" t="s">
        <v>247</v>
      </c>
      <c r="AG163" s="67"/>
      <c r="AJ163" s="71" t="s">
        <v>99</v>
      </c>
      <c r="AK163" s="71">
        <v>14</v>
      </c>
      <c r="BB163" s="189" t="s">
        <v>100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x14ac:dyDescent="0.2">
      <c r="A164" s="296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6" t="s">
        <v>83</v>
      </c>
      <c r="Q164" s="287"/>
      <c r="R164" s="287"/>
      <c r="S164" s="287"/>
      <c r="T164" s="287"/>
      <c r="U164" s="287"/>
      <c r="V164" s="288"/>
      <c r="W164" s="37" t="s">
        <v>69</v>
      </c>
      <c r="X164" s="278">
        <f>IFERROR(SUM(X163:X163),"0")</f>
        <v>0</v>
      </c>
      <c r="Y164" s="278">
        <f>IFERROR(SUM(Y163:Y163),"0")</f>
        <v>0</v>
      </c>
      <c r="Z164" s="278">
        <f>IFERROR(IF(Z163="",0,Z163),"0")</f>
        <v>0</v>
      </c>
      <c r="AA164" s="279"/>
      <c r="AB164" s="279"/>
      <c r="AC164" s="279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7"/>
      <c r="P165" s="286" t="s">
        <v>83</v>
      </c>
      <c r="Q165" s="287"/>
      <c r="R165" s="287"/>
      <c r="S165" s="287"/>
      <c r="T165" s="287"/>
      <c r="U165" s="287"/>
      <c r="V165" s="288"/>
      <c r="W165" s="37" t="s">
        <v>84</v>
      </c>
      <c r="X165" s="278">
        <f>IFERROR(SUMPRODUCT(X163:X163*H163:H163),"0")</f>
        <v>0</v>
      </c>
      <c r="Y165" s="278">
        <f>IFERROR(SUMPRODUCT(Y163:Y163*H163:H163),"0")</f>
        <v>0</v>
      </c>
      <c r="Z165" s="37"/>
      <c r="AA165" s="279"/>
      <c r="AB165" s="279"/>
      <c r="AC165" s="279"/>
    </row>
    <row r="166" spans="1:68" ht="16.5" customHeight="1" x14ac:dyDescent="0.25">
      <c r="A166" s="295" t="s">
        <v>248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1"/>
      <c r="AB166" s="271"/>
      <c r="AC166" s="271"/>
    </row>
    <row r="167" spans="1:68" ht="14.25" customHeight="1" x14ac:dyDescent="0.25">
      <c r="A167" s="289" t="s">
        <v>137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2"/>
      <c r="AB167" s="272"/>
      <c r="AC167" s="272"/>
    </row>
    <row r="168" spans="1:68" ht="16.5" customHeight="1" x14ac:dyDescent="0.25">
      <c r="A168" s="54" t="s">
        <v>249</v>
      </c>
      <c r="B168" s="54" t="s">
        <v>250</v>
      </c>
      <c r="C168" s="31">
        <v>4301135607</v>
      </c>
      <c r="D168" s="280">
        <v>4607111039613</v>
      </c>
      <c r="E168" s="281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96</v>
      </c>
      <c r="L168" s="32" t="s">
        <v>97</v>
      </c>
      <c r="M168" s="33" t="s">
        <v>68</v>
      </c>
      <c r="N168" s="33"/>
      <c r="O168" s="32">
        <v>180</v>
      </c>
      <c r="P168" s="33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3"/>
      <c r="R168" s="283"/>
      <c r="S168" s="283"/>
      <c r="T168" s="284"/>
      <c r="U168" s="34"/>
      <c r="V168" s="34"/>
      <c r="W168" s="35" t="s">
        <v>69</v>
      </c>
      <c r="X168" s="276">
        <v>42</v>
      </c>
      <c r="Y168" s="277">
        <f>IFERROR(IF(X168="","",X168),"")</f>
        <v>42</v>
      </c>
      <c r="Z168" s="36">
        <f>IFERROR(IF(X168="","",X168*0.00936),"")</f>
        <v>0.39312000000000002</v>
      </c>
      <c r="AA168" s="56"/>
      <c r="AB168" s="57"/>
      <c r="AC168" s="190" t="s">
        <v>235</v>
      </c>
      <c r="AG168" s="67"/>
      <c r="AJ168" s="71" t="s">
        <v>99</v>
      </c>
      <c r="AK168" s="71">
        <v>14</v>
      </c>
      <c r="BB168" s="191" t="s">
        <v>100</v>
      </c>
      <c r="BM168" s="67">
        <f>IFERROR(X168*I168,"0")</f>
        <v>129.78</v>
      </c>
      <c r="BN168" s="67">
        <f>IFERROR(Y168*I168,"0")</f>
        <v>129.78</v>
      </c>
      <c r="BO168" s="67">
        <f>IFERROR(X168/J168,"0")</f>
        <v>0.33333333333333331</v>
      </c>
      <c r="BP168" s="67">
        <f>IFERROR(Y168/J168,"0")</f>
        <v>0.33333333333333331</v>
      </c>
    </row>
    <row r="169" spans="1:68" x14ac:dyDescent="0.2">
      <c r="A169" s="296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6" t="s">
        <v>83</v>
      </c>
      <c r="Q169" s="287"/>
      <c r="R169" s="287"/>
      <c r="S169" s="287"/>
      <c r="T169" s="287"/>
      <c r="U169" s="287"/>
      <c r="V169" s="288"/>
      <c r="W169" s="37" t="s">
        <v>69</v>
      </c>
      <c r="X169" s="278">
        <f>IFERROR(SUM(X168:X168),"0")</f>
        <v>42</v>
      </c>
      <c r="Y169" s="278">
        <f>IFERROR(SUM(Y168:Y168),"0")</f>
        <v>42</v>
      </c>
      <c r="Z169" s="278">
        <f>IFERROR(IF(Z168="",0,Z168),"0")</f>
        <v>0.39312000000000002</v>
      </c>
      <c r="AA169" s="279"/>
      <c r="AB169" s="279"/>
      <c r="AC169" s="279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7"/>
      <c r="P170" s="286" t="s">
        <v>83</v>
      </c>
      <c r="Q170" s="287"/>
      <c r="R170" s="287"/>
      <c r="S170" s="287"/>
      <c r="T170" s="287"/>
      <c r="U170" s="287"/>
      <c r="V170" s="288"/>
      <c r="W170" s="37" t="s">
        <v>84</v>
      </c>
      <c r="X170" s="278">
        <f>IFERROR(SUMPRODUCT(X168:X168*H168:H168),"0")</f>
        <v>113.4</v>
      </c>
      <c r="Y170" s="278">
        <f>IFERROR(SUMPRODUCT(Y168:Y168*H168:H168),"0")</f>
        <v>113.4</v>
      </c>
      <c r="Z170" s="37"/>
      <c r="AA170" s="279"/>
      <c r="AB170" s="279"/>
      <c r="AC170" s="279"/>
    </row>
    <row r="171" spans="1:68" ht="16.5" customHeight="1" x14ac:dyDescent="0.25">
      <c r="A171" s="295" t="s">
        <v>251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1"/>
      <c r="AB171" s="271"/>
      <c r="AC171" s="271"/>
    </row>
    <row r="172" spans="1:68" ht="14.25" customHeight="1" x14ac:dyDescent="0.25">
      <c r="A172" s="289" t="s">
        <v>137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2"/>
      <c r="AB172" s="272"/>
      <c r="AC172" s="272"/>
    </row>
    <row r="173" spans="1:68" ht="27" customHeight="1" x14ac:dyDescent="0.25">
      <c r="A173" s="54" t="s">
        <v>252</v>
      </c>
      <c r="B173" s="54" t="s">
        <v>253</v>
      </c>
      <c r="C173" s="31">
        <v>4301135591</v>
      </c>
      <c r="D173" s="280">
        <v>4607111036568</v>
      </c>
      <c r="E173" s="281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96</v>
      </c>
      <c r="L173" s="32" t="s">
        <v>97</v>
      </c>
      <c r="M173" s="33" t="s">
        <v>68</v>
      </c>
      <c r="N173" s="33"/>
      <c r="O173" s="32">
        <v>180</v>
      </c>
      <c r="P173" s="3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3"/>
      <c r="R173" s="283"/>
      <c r="S173" s="283"/>
      <c r="T173" s="284"/>
      <c r="U173" s="34"/>
      <c r="V173" s="34"/>
      <c r="W173" s="35" t="s">
        <v>69</v>
      </c>
      <c r="X173" s="276">
        <v>126</v>
      </c>
      <c r="Y173" s="277">
        <f>IFERROR(IF(X173="","",X173),"")</f>
        <v>126</v>
      </c>
      <c r="Z173" s="36">
        <f>IFERROR(IF(X173="","",X173*0.00941),"")</f>
        <v>1.1856599999999999</v>
      </c>
      <c r="AA173" s="56"/>
      <c r="AB173" s="57"/>
      <c r="AC173" s="192" t="s">
        <v>254</v>
      </c>
      <c r="AG173" s="67"/>
      <c r="AJ173" s="71" t="s">
        <v>99</v>
      </c>
      <c r="AK173" s="71">
        <v>14</v>
      </c>
      <c r="BB173" s="193" t="s">
        <v>100</v>
      </c>
      <c r="BM173" s="67">
        <f>IFERROR(X173*I173,"0")</f>
        <v>264.82679999999999</v>
      </c>
      <c r="BN173" s="67">
        <f>IFERROR(Y173*I173,"0")</f>
        <v>264.82679999999999</v>
      </c>
      <c r="BO173" s="67">
        <f>IFERROR(X173/J173,"0")</f>
        <v>0.9</v>
      </c>
      <c r="BP173" s="67">
        <f>IFERROR(Y173/J173,"0")</f>
        <v>0.9</v>
      </c>
    </row>
    <row r="174" spans="1:68" x14ac:dyDescent="0.2">
      <c r="A174" s="296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7"/>
      <c r="P174" s="286" t="s">
        <v>83</v>
      </c>
      <c r="Q174" s="287"/>
      <c r="R174" s="287"/>
      <c r="S174" s="287"/>
      <c r="T174" s="287"/>
      <c r="U174" s="287"/>
      <c r="V174" s="288"/>
      <c r="W174" s="37" t="s">
        <v>69</v>
      </c>
      <c r="X174" s="278">
        <f>IFERROR(SUM(X173:X173),"0")</f>
        <v>126</v>
      </c>
      <c r="Y174" s="278">
        <f>IFERROR(SUM(Y173:Y173),"0")</f>
        <v>126</v>
      </c>
      <c r="Z174" s="278">
        <f>IFERROR(IF(Z173="",0,Z173),"0")</f>
        <v>1.1856599999999999</v>
      </c>
      <c r="AA174" s="279"/>
      <c r="AB174" s="279"/>
      <c r="AC174" s="279"/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6" t="s">
        <v>83</v>
      </c>
      <c r="Q175" s="287"/>
      <c r="R175" s="287"/>
      <c r="S175" s="287"/>
      <c r="T175" s="287"/>
      <c r="U175" s="287"/>
      <c r="V175" s="288"/>
      <c r="W175" s="37" t="s">
        <v>84</v>
      </c>
      <c r="X175" s="278">
        <f>IFERROR(SUMPRODUCT(X173:X173*H173:H173),"0")</f>
        <v>211.67999999999998</v>
      </c>
      <c r="Y175" s="278">
        <f>IFERROR(SUMPRODUCT(Y173:Y173*H173:H173),"0")</f>
        <v>211.67999999999998</v>
      </c>
      <c r="Z175" s="37"/>
      <c r="AA175" s="279"/>
      <c r="AB175" s="279"/>
      <c r="AC175" s="279"/>
    </row>
    <row r="176" spans="1:68" ht="27.75" customHeight="1" x14ac:dyDescent="0.2">
      <c r="A176" s="293" t="s">
        <v>255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48"/>
      <c r="AB176" s="48"/>
      <c r="AC176" s="48"/>
    </row>
    <row r="177" spans="1:68" ht="16.5" customHeight="1" x14ac:dyDescent="0.25">
      <c r="A177" s="295" t="s">
        <v>256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1"/>
      <c r="AB177" s="271"/>
      <c r="AC177" s="271"/>
    </row>
    <row r="178" spans="1:68" ht="14.25" customHeight="1" x14ac:dyDescent="0.25">
      <c r="A178" s="289" t="s">
        <v>63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2"/>
      <c r="AB178" s="272"/>
      <c r="AC178" s="272"/>
    </row>
    <row r="179" spans="1:68" ht="16.5" customHeight="1" x14ac:dyDescent="0.25">
      <c r="A179" s="54" t="s">
        <v>257</v>
      </c>
      <c r="B179" s="54" t="s">
        <v>258</v>
      </c>
      <c r="C179" s="31">
        <v>4301071062</v>
      </c>
      <c r="D179" s="280">
        <v>4607111036384</v>
      </c>
      <c r="E179" s="281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180</v>
      </c>
      <c r="P179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3"/>
      <c r="R179" s="283"/>
      <c r="S179" s="283"/>
      <c r="T179" s="284"/>
      <c r="U179" s="34"/>
      <c r="V179" s="34"/>
      <c r="W179" s="35" t="s">
        <v>69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259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260</v>
      </c>
      <c r="B180" s="54" t="s">
        <v>261</v>
      </c>
      <c r="C180" s="31">
        <v>4301071050</v>
      </c>
      <c r="D180" s="280">
        <v>4607111036216</v>
      </c>
      <c r="E180" s="281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66</v>
      </c>
      <c r="L180" s="32" t="s">
        <v>97</v>
      </c>
      <c r="M180" s="33" t="s">
        <v>68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3"/>
      <c r="R180" s="283"/>
      <c r="S180" s="283"/>
      <c r="T180" s="284"/>
      <c r="U180" s="34"/>
      <c r="V180" s="34"/>
      <c r="W180" s="35" t="s">
        <v>69</v>
      </c>
      <c r="X180" s="276">
        <v>48</v>
      </c>
      <c r="Y180" s="277">
        <f>IFERROR(IF(X180="","",X180),"")</f>
        <v>48</v>
      </c>
      <c r="Z180" s="36">
        <f>IFERROR(IF(X180="","",X180*0.00866),"")</f>
        <v>0.41567999999999994</v>
      </c>
      <c r="AA180" s="56"/>
      <c r="AB180" s="57"/>
      <c r="AC180" s="196" t="s">
        <v>262</v>
      </c>
      <c r="AG180" s="67"/>
      <c r="AJ180" s="71" t="s">
        <v>99</v>
      </c>
      <c r="AK180" s="71">
        <v>12</v>
      </c>
      <c r="BB180" s="197" t="s">
        <v>1</v>
      </c>
      <c r="BM180" s="67">
        <f>IFERROR(X180*I180,"0")</f>
        <v>250.23359999999997</v>
      </c>
      <c r="BN180" s="67">
        <f>IFERROR(Y180*I180,"0")</f>
        <v>250.23359999999997</v>
      </c>
      <c r="BO180" s="67">
        <f>IFERROR(X180/J180,"0")</f>
        <v>0.33333333333333331</v>
      </c>
      <c r="BP180" s="67">
        <f>IFERROR(Y180/J180,"0")</f>
        <v>0.33333333333333331</v>
      </c>
    </row>
    <row r="181" spans="1:68" x14ac:dyDescent="0.2">
      <c r="A181" s="296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7"/>
      <c r="P181" s="286" t="s">
        <v>83</v>
      </c>
      <c r="Q181" s="287"/>
      <c r="R181" s="287"/>
      <c r="S181" s="287"/>
      <c r="T181" s="287"/>
      <c r="U181" s="287"/>
      <c r="V181" s="288"/>
      <c r="W181" s="37" t="s">
        <v>69</v>
      </c>
      <c r="X181" s="278">
        <f>IFERROR(SUM(X179:X180),"0")</f>
        <v>48</v>
      </c>
      <c r="Y181" s="278">
        <f>IFERROR(SUM(Y179:Y180),"0")</f>
        <v>48</v>
      </c>
      <c r="Z181" s="278">
        <f>IFERROR(IF(Z179="",0,Z179),"0")+IFERROR(IF(Z180="",0,Z180),"0")</f>
        <v>0.41567999999999994</v>
      </c>
      <c r="AA181" s="279"/>
      <c r="AB181" s="279"/>
      <c r="AC181" s="279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7"/>
      <c r="P182" s="286" t="s">
        <v>83</v>
      </c>
      <c r="Q182" s="287"/>
      <c r="R182" s="287"/>
      <c r="S182" s="287"/>
      <c r="T182" s="287"/>
      <c r="U182" s="287"/>
      <c r="V182" s="288"/>
      <c r="W182" s="37" t="s">
        <v>84</v>
      </c>
      <c r="X182" s="278">
        <f>IFERROR(SUMPRODUCT(X179:X180*H179:H180),"0")</f>
        <v>240</v>
      </c>
      <c r="Y182" s="278">
        <f>IFERROR(SUMPRODUCT(Y179:Y180*H179:H180),"0")</f>
        <v>240</v>
      </c>
      <c r="Z182" s="37"/>
      <c r="AA182" s="279"/>
      <c r="AB182" s="279"/>
      <c r="AC182" s="279"/>
    </row>
    <row r="183" spans="1:68" ht="14.25" customHeight="1" x14ac:dyDescent="0.25">
      <c r="A183" s="289" t="s">
        <v>263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customHeight="1" x14ac:dyDescent="0.25">
      <c r="A184" s="54" t="s">
        <v>264</v>
      </c>
      <c r="B184" s="54" t="s">
        <v>265</v>
      </c>
      <c r="C184" s="31">
        <v>4301080153</v>
      </c>
      <c r="D184" s="280">
        <v>4607111036827</v>
      </c>
      <c r="E184" s="281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66</v>
      </c>
      <c r="L184" s="32" t="s">
        <v>67</v>
      </c>
      <c r="M184" s="33" t="s">
        <v>68</v>
      </c>
      <c r="N184" s="33"/>
      <c r="O184" s="32">
        <v>90</v>
      </c>
      <c r="P184" s="3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3"/>
      <c r="R184" s="283"/>
      <c r="S184" s="283"/>
      <c r="T184" s="284"/>
      <c r="U184" s="34"/>
      <c r="V184" s="34"/>
      <c r="W184" s="35" t="s">
        <v>69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266</v>
      </c>
      <c r="AG184" s="67"/>
      <c r="AJ184" s="71" t="s">
        <v>71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4301080154</v>
      </c>
      <c r="D185" s="280">
        <v>4607111036834</v>
      </c>
      <c r="E185" s="281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66</v>
      </c>
      <c r="L185" s="32" t="s">
        <v>67</v>
      </c>
      <c r="M185" s="33" t="s">
        <v>68</v>
      </c>
      <c r="N185" s="33"/>
      <c r="O185" s="32">
        <v>90</v>
      </c>
      <c r="P185" s="37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3"/>
      <c r="R185" s="283"/>
      <c r="S185" s="283"/>
      <c r="T185" s="284"/>
      <c r="U185" s="34"/>
      <c r="V185" s="34"/>
      <c r="W185" s="35" t="s">
        <v>69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266</v>
      </c>
      <c r="AG185" s="67"/>
      <c r="AJ185" s="71" t="s">
        <v>71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96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7"/>
      <c r="P186" s="286" t="s">
        <v>83</v>
      </c>
      <c r="Q186" s="287"/>
      <c r="R186" s="287"/>
      <c r="S186" s="287"/>
      <c r="T186" s="287"/>
      <c r="U186" s="287"/>
      <c r="V186" s="288"/>
      <c r="W186" s="37" t="s">
        <v>69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x14ac:dyDescent="0.2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6" t="s">
        <v>83</v>
      </c>
      <c r="Q187" s="287"/>
      <c r="R187" s="287"/>
      <c r="S187" s="287"/>
      <c r="T187" s="287"/>
      <c r="U187" s="287"/>
      <c r="V187" s="288"/>
      <c r="W187" s="37" t="s">
        <v>84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customHeight="1" x14ac:dyDescent="0.2">
      <c r="A188" s="293" t="s">
        <v>269</v>
      </c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48"/>
      <c r="AB188" s="48"/>
      <c r="AC188" s="48"/>
    </row>
    <row r="189" spans="1:68" ht="16.5" customHeight="1" x14ac:dyDescent="0.25">
      <c r="A189" s="295" t="s">
        <v>270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1"/>
      <c r="AB189" s="271"/>
      <c r="AC189" s="271"/>
    </row>
    <row r="190" spans="1:68" ht="14.25" customHeight="1" x14ac:dyDescent="0.25">
      <c r="A190" s="289" t="s">
        <v>93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72"/>
      <c r="AB190" s="272"/>
      <c r="AC190" s="272"/>
    </row>
    <row r="191" spans="1:68" ht="16.5" customHeight="1" x14ac:dyDescent="0.25">
      <c r="A191" s="54" t="s">
        <v>271</v>
      </c>
      <c r="B191" s="54" t="s">
        <v>272</v>
      </c>
      <c r="C191" s="31">
        <v>4301132179</v>
      </c>
      <c r="D191" s="280">
        <v>4607111035691</v>
      </c>
      <c r="E191" s="281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96</v>
      </c>
      <c r="L191" s="32" t="s">
        <v>97</v>
      </c>
      <c r="M191" s="33" t="s">
        <v>68</v>
      </c>
      <c r="N191" s="33"/>
      <c r="O191" s="32">
        <v>365</v>
      </c>
      <c r="P19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3"/>
      <c r="R191" s="283"/>
      <c r="S191" s="283"/>
      <c r="T191" s="284"/>
      <c r="U191" s="34"/>
      <c r="V191" s="34"/>
      <c r="W191" s="35" t="s">
        <v>69</v>
      </c>
      <c r="X191" s="276">
        <v>28</v>
      </c>
      <c r="Y191" s="277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202" t="s">
        <v>273</v>
      </c>
      <c r="AG191" s="67"/>
      <c r="AJ191" s="71" t="s">
        <v>99</v>
      </c>
      <c r="AK191" s="71">
        <v>14</v>
      </c>
      <c r="BB191" s="203" t="s">
        <v>100</v>
      </c>
      <c r="BM191" s="67">
        <f>IFERROR(X191*I191,"0")</f>
        <v>94.864000000000004</v>
      </c>
      <c r="BN191" s="67">
        <f>IFERROR(Y191*I191,"0")</f>
        <v>94.864000000000004</v>
      </c>
      <c r="BO191" s="67">
        <f>IFERROR(X191/J191,"0")</f>
        <v>0.4</v>
      </c>
      <c r="BP191" s="67">
        <f>IFERROR(Y191/J191,"0")</f>
        <v>0.4</v>
      </c>
    </row>
    <row r="192" spans="1:68" ht="27" customHeight="1" x14ac:dyDescent="0.25">
      <c r="A192" s="54" t="s">
        <v>274</v>
      </c>
      <c r="B192" s="54" t="s">
        <v>275</v>
      </c>
      <c r="C192" s="31">
        <v>4301132182</v>
      </c>
      <c r="D192" s="280">
        <v>4607111035721</v>
      </c>
      <c r="E192" s="281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96</v>
      </c>
      <c r="L192" s="32" t="s">
        <v>97</v>
      </c>
      <c r="M192" s="33" t="s">
        <v>68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3"/>
      <c r="R192" s="283"/>
      <c r="S192" s="283"/>
      <c r="T192" s="284"/>
      <c r="U192" s="34"/>
      <c r="V192" s="34"/>
      <c r="W192" s="35" t="s">
        <v>69</v>
      </c>
      <c r="X192" s="276">
        <v>14</v>
      </c>
      <c r="Y192" s="277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4" t="s">
        <v>276</v>
      </c>
      <c r="AG192" s="67"/>
      <c r="AJ192" s="71" t="s">
        <v>99</v>
      </c>
      <c r="AK192" s="71">
        <v>14</v>
      </c>
      <c r="BB192" s="205" t="s">
        <v>100</v>
      </c>
      <c r="BM192" s="67">
        <f>IFERROR(X192*I192,"0")</f>
        <v>47.432000000000002</v>
      </c>
      <c r="BN192" s="67">
        <f>IFERROR(Y192*I192,"0")</f>
        <v>47.432000000000002</v>
      </c>
      <c r="BO192" s="67">
        <f>IFERROR(X192/J192,"0")</f>
        <v>0.2</v>
      </c>
      <c r="BP192" s="67">
        <f>IFERROR(Y192/J192,"0")</f>
        <v>0.2</v>
      </c>
    </row>
    <row r="193" spans="1:68" ht="27" customHeight="1" x14ac:dyDescent="0.25">
      <c r="A193" s="54" t="s">
        <v>277</v>
      </c>
      <c r="B193" s="54" t="s">
        <v>278</v>
      </c>
      <c r="C193" s="31">
        <v>4301132170</v>
      </c>
      <c r="D193" s="280">
        <v>4607111038487</v>
      </c>
      <c r="E193" s="281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96</v>
      </c>
      <c r="L193" s="32" t="s">
        <v>97</v>
      </c>
      <c r="M193" s="33" t="s">
        <v>68</v>
      </c>
      <c r="N193" s="33"/>
      <c r="O193" s="32">
        <v>180</v>
      </c>
      <c r="P193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3"/>
      <c r="R193" s="283"/>
      <c r="S193" s="283"/>
      <c r="T193" s="284"/>
      <c r="U193" s="34"/>
      <c r="V193" s="34"/>
      <c r="W193" s="35" t="s">
        <v>69</v>
      </c>
      <c r="X193" s="276">
        <v>56</v>
      </c>
      <c r="Y193" s="277">
        <f>IFERROR(IF(X193="","",X193),"")</f>
        <v>56</v>
      </c>
      <c r="Z193" s="36">
        <f>IFERROR(IF(X193="","",X193*0.01788),"")</f>
        <v>1.0012799999999999</v>
      </c>
      <c r="AA193" s="56"/>
      <c r="AB193" s="57"/>
      <c r="AC193" s="206" t="s">
        <v>279</v>
      </c>
      <c r="AG193" s="67"/>
      <c r="AJ193" s="71" t="s">
        <v>99</v>
      </c>
      <c r="AK193" s="71">
        <v>14</v>
      </c>
      <c r="BB193" s="207" t="s">
        <v>100</v>
      </c>
      <c r="BM193" s="67">
        <f>IFERROR(X193*I193,"0")</f>
        <v>209.21600000000001</v>
      </c>
      <c r="BN193" s="67">
        <f>IFERROR(Y193*I193,"0")</f>
        <v>209.21600000000001</v>
      </c>
      <c r="BO193" s="67">
        <f>IFERROR(X193/J193,"0")</f>
        <v>0.8</v>
      </c>
      <c r="BP193" s="67">
        <f>IFERROR(Y193/J193,"0")</f>
        <v>0.8</v>
      </c>
    </row>
    <row r="194" spans="1:68" ht="27" customHeight="1" x14ac:dyDescent="0.25">
      <c r="A194" s="54" t="s">
        <v>280</v>
      </c>
      <c r="B194" s="54" t="s">
        <v>281</v>
      </c>
      <c r="C194" s="31">
        <v>4301132243</v>
      </c>
      <c r="D194" s="280">
        <v>4620207491195</v>
      </c>
      <c r="E194" s="281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96</v>
      </c>
      <c r="L194" s="32" t="s">
        <v>67</v>
      </c>
      <c r="M194" s="33" t="s">
        <v>68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3"/>
      <c r="R194" s="283"/>
      <c r="S194" s="283"/>
      <c r="T194" s="284"/>
      <c r="U194" s="34"/>
      <c r="V194" s="34"/>
      <c r="W194" s="35" t="s">
        <v>69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282</v>
      </c>
      <c r="AG194" s="67"/>
      <c r="AJ194" s="71" t="s">
        <v>71</v>
      </c>
      <c r="AK194" s="71">
        <v>1</v>
      </c>
      <c r="BB194" s="209" t="s">
        <v>100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96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7"/>
      <c r="P195" s="286" t="s">
        <v>83</v>
      </c>
      <c r="Q195" s="287"/>
      <c r="R195" s="287"/>
      <c r="S195" s="287"/>
      <c r="T195" s="287"/>
      <c r="U195" s="287"/>
      <c r="V195" s="288"/>
      <c r="W195" s="37" t="s">
        <v>69</v>
      </c>
      <c r="X195" s="278">
        <f>IFERROR(SUM(X191:X194),"0")</f>
        <v>98</v>
      </c>
      <c r="Y195" s="278">
        <f>IFERROR(SUM(Y191:Y194),"0")</f>
        <v>98</v>
      </c>
      <c r="Z195" s="278">
        <f>IFERROR(IF(Z191="",0,Z191),"0")+IFERROR(IF(Z192="",0,Z192),"0")+IFERROR(IF(Z193="",0,Z193),"0")+IFERROR(IF(Z194="",0,Z194),"0")</f>
        <v>1.75224</v>
      </c>
      <c r="AA195" s="279"/>
      <c r="AB195" s="279"/>
      <c r="AC195" s="279"/>
    </row>
    <row r="196" spans="1:68" x14ac:dyDescent="0.2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7"/>
      <c r="P196" s="286" t="s">
        <v>83</v>
      </c>
      <c r="Q196" s="287"/>
      <c r="R196" s="287"/>
      <c r="S196" s="287"/>
      <c r="T196" s="287"/>
      <c r="U196" s="287"/>
      <c r="V196" s="288"/>
      <c r="W196" s="37" t="s">
        <v>84</v>
      </c>
      <c r="X196" s="278">
        <f>IFERROR(SUMPRODUCT(X191:X194*H191:H194),"0")</f>
        <v>294</v>
      </c>
      <c r="Y196" s="278">
        <f>IFERROR(SUMPRODUCT(Y191:Y194*H191:H194),"0")</f>
        <v>294</v>
      </c>
      <c r="Z196" s="37"/>
      <c r="AA196" s="279"/>
      <c r="AB196" s="279"/>
      <c r="AC196" s="279"/>
    </row>
    <row r="197" spans="1:68" ht="27.75" customHeight="1" x14ac:dyDescent="0.2">
      <c r="A197" s="293" t="s">
        <v>283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48"/>
      <c r="AB197" s="48"/>
      <c r="AC197" s="48"/>
    </row>
    <row r="198" spans="1:68" ht="16.5" customHeight="1" x14ac:dyDescent="0.25">
      <c r="A198" s="295" t="s">
        <v>284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1"/>
      <c r="AB198" s="271"/>
      <c r="AC198" s="271"/>
    </row>
    <row r="199" spans="1:68" ht="14.25" customHeight="1" x14ac:dyDescent="0.25">
      <c r="A199" s="289" t="s">
        <v>93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2"/>
      <c r="AB199" s="272"/>
      <c r="AC199" s="272"/>
    </row>
    <row r="200" spans="1:68" ht="27" customHeight="1" x14ac:dyDescent="0.25">
      <c r="A200" s="54" t="s">
        <v>285</v>
      </c>
      <c r="B200" s="54" t="s">
        <v>286</v>
      </c>
      <c r="C200" s="31">
        <v>4301132227</v>
      </c>
      <c r="D200" s="280">
        <v>4620207491133</v>
      </c>
      <c r="E200" s="281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96</v>
      </c>
      <c r="L200" s="32" t="s">
        <v>97</v>
      </c>
      <c r="M200" s="33" t="s">
        <v>68</v>
      </c>
      <c r="N200" s="33"/>
      <c r="O200" s="32">
        <v>180</v>
      </c>
      <c r="P200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3"/>
      <c r="R200" s="283"/>
      <c r="S200" s="283"/>
      <c r="T200" s="284"/>
      <c r="U200" s="34"/>
      <c r="V200" s="34"/>
      <c r="W200" s="35" t="s">
        <v>69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6" t="s">
        <v>83</v>
      </c>
      <c r="Q201" s="287"/>
      <c r="R201" s="287"/>
      <c r="S201" s="287"/>
      <c r="T201" s="287"/>
      <c r="U201" s="287"/>
      <c r="V201" s="288"/>
      <c r="W201" s="37" t="s">
        <v>69</v>
      </c>
      <c r="X201" s="278">
        <f>IFERROR(SUM(X200:X200),"0")</f>
        <v>0</v>
      </c>
      <c r="Y201" s="278">
        <f>IFERROR(SUM(Y200:Y200),"0")</f>
        <v>0</v>
      </c>
      <c r="Z201" s="278">
        <f>IFERROR(IF(Z200="",0,Z200),"0")</f>
        <v>0</v>
      </c>
      <c r="AA201" s="279"/>
      <c r="AB201" s="279"/>
      <c r="AC201" s="279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6" t="s">
        <v>83</v>
      </c>
      <c r="Q202" s="287"/>
      <c r="R202" s="287"/>
      <c r="S202" s="287"/>
      <c r="T202" s="287"/>
      <c r="U202" s="287"/>
      <c r="V202" s="288"/>
      <c r="W202" s="37" t="s">
        <v>84</v>
      </c>
      <c r="X202" s="278">
        <f>IFERROR(SUMPRODUCT(X200:X200*H200:H200),"0")</f>
        <v>0</v>
      </c>
      <c r="Y202" s="278">
        <f>IFERROR(SUMPRODUCT(Y200:Y200*H200:H200),"0")</f>
        <v>0</v>
      </c>
      <c r="Z202" s="37"/>
      <c r="AA202" s="279"/>
      <c r="AB202" s="279"/>
      <c r="AC202" s="279"/>
    </row>
    <row r="203" spans="1:68" ht="14.25" customHeight="1" x14ac:dyDescent="0.25">
      <c r="A203" s="289" t="s">
        <v>137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72"/>
      <c r="AB203" s="272"/>
      <c r="AC203" s="272"/>
    </row>
    <row r="204" spans="1:68" ht="27" customHeight="1" x14ac:dyDescent="0.25">
      <c r="A204" s="54" t="s">
        <v>288</v>
      </c>
      <c r="B204" s="54" t="s">
        <v>289</v>
      </c>
      <c r="C204" s="31">
        <v>4301135834</v>
      </c>
      <c r="D204" s="280">
        <v>4620207491188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96</v>
      </c>
      <c r="L204" s="32" t="s">
        <v>67</v>
      </c>
      <c r="M204" s="33" t="s">
        <v>68</v>
      </c>
      <c r="N204" s="33"/>
      <c r="O204" s="32">
        <v>180</v>
      </c>
      <c r="P204" s="39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69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290</v>
      </c>
      <c r="AG204" s="67"/>
      <c r="AJ204" s="71" t="s">
        <v>71</v>
      </c>
      <c r="AK204" s="71">
        <v>1</v>
      </c>
      <c r="BB204" s="213" t="s">
        <v>100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291</v>
      </c>
      <c r="B205" s="54" t="s">
        <v>292</v>
      </c>
      <c r="C205" s="31">
        <v>4301135829</v>
      </c>
      <c r="D205" s="280">
        <v>4620207490235</v>
      </c>
      <c r="E205" s="281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96</v>
      </c>
      <c r="L205" s="32" t="s">
        <v>67</v>
      </c>
      <c r="M205" s="33" t="s">
        <v>68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3"/>
      <c r="R205" s="283"/>
      <c r="S205" s="283"/>
      <c r="T205" s="284"/>
      <c r="U205" s="34"/>
      <c r="V205" s="34"/>
      <c r="W205" s="35" t="s">
        <v>69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293</v>
      </c>
      <c r="AG205" s="67"/>
      <c r="AJ205" s="71" t="s">
        <v>71</v>
      </c>
      <c r="AK205" s="71">
        <v>1</v>
      </c>
      <c r="BB205" s="215" t="s">
        <v>100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294</v>
      </c>
      <c r="B206" s="54" t="s">
        <v>295</v>
      </c>
      <c r="C206" s="31">
        <v>4301135697</v>
      </c>
      <c r="D206" s="280">
        <v>4620207490259</v>
      </c>
      <c r="E206" s="281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96</v>
      </c>
      <c r="L206" s="32" t="s">
        <v>97</v>
      </c>
      <c r="M206" s="33" t="s">
        <v>68</v>
      </c>
      <c r="N206" s="33"/>
      <c r="O206" s="32">
        <v>180</v>
      </c>
      <c r="P206" s="3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3"/>
      <c r="R206" s="283"/>
      <c r="S206" s="283"/>
      <c r="T206" s="284"/>
      <c r="U206" s="34"/>
      <c r="V206" s="34"/>
      <c r="W206" s="35" t="s">
        <v>69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296</v>
      </c>
      <c r="AG206" s="67"/>
      <c r="AJ206" s="71" t="s">
        <v>99</v>
      </c>
      <c r="AK206" s="71">
        <v>14</v>
      </c>
      <c r="BB206" s="217" t="s">
        <v>100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6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6" t="s">
        <v>83</v>
      </c>
      <c r="Q207" s="287"/>
      <c r="R207" s="287"/>
      <c r="S207" s="287"/>
      <c r="T207" s="287"/>
      <c r="U207" s="287"/>
      <c r="V207" s="288"/>
      <c r="W207" s="37" t="s">
        <v>69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7"/>
      <c r="P208" s="286" t="s">
        <v>83</v>
      </c>
      <c r="Q208" s="287"/>
      <c r="R208" s="287"/>
      <c r="S208" s="287"/>
      <c r="T208" s="287"/>
      <c r="U208" s="287"/>
      <c r="V208" s="288"/>
      <c r="W208" s="37" t="s">
        <v>84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customHeight="1" x14ac:dyDescent="0.25">
      <c r="A209" s="295" t="s">
        <v>297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1"/>
      <c r="AB209" s="271"/>
      <c r="AC209" s="271"/>
    </row>
    <row r="210" spans="1:68" ht="14.25" customHeight="1" x14ac:dyDescent="0.25">
      <c r="A210" s="289" t="s">
        <v>137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72"/>
      <c r="AB210" s="272"/>
      <c r="AC210" s="272"/>
    </row>
    <row r="211" spans="1:68" ht="27" customHeight="1" x14ac:dyDescent="0.25">
      <c r="A211" s="54" t="s">
        <v>298</v>
      </c>
      <c r="B211" s="54" t="s">
        <v>299</v>
      </c>
      <c r="C211" s="31">
        <v>4301135854</v>
      </c>
      <c r="D211" s="280">
        <v>4620207491706</v>
      </c>
      <c r="E211" s="281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96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69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300</v>
      </c>
      <c r="AG211" s="67"/>
      <c r="AJ211" s="71" t="s">
        <v>71</v>
      </c>
      <c r="AK211" s="71">
        <v>1</v>
      </c>
      <c r="BB211" s="219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4301135895</v>
      </c>
      <c r="D212" s="280">
        <v>4620207491522</v>
      </c>
      <c r="E212" s="281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96</v>
      </c>
      <c r="L212" s="32" t="s">
        <v>67</v>
      </c>
      <c r="M212" s="33" t="s">
        <v>68</v>
      </c>
      <c r="N212" s="33"/>
      <c r="O212" s="32">
        <v>180</v>
      </c>
      <c r="P212" s="40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3"/>
      <c r="R212" s="283"/>
      <c r="S212" s="283"/>
      <c r="T212" s="284"/>
      <c r="U212" s="34"/>
      <c r="V212" s="34"/>
      <c r="W212" s="35" t="s">
        <v>69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303</v>
      </c>
      <c r="AG212" s="67"/>
      <c r="AJ212" s="71" t="s">
        <v>71</v>
      </c>
      <c r="AK212" s="71">
        <v>1</v>
      </c>
      <c r="BB212" s="221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6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7"/>
      <c r="P213" s="286" t="s">
        <v>83</v>
      </c>
      <c r="Q213" s="287"/>
      <c r="R213" s="287"/>
      <c r="S213" s="287"/>
      <c r="T213" s="287"/>
      <c r="U213" s="287"/>
      <c r="V213" s="288"/>
      <c r="W213" s="37" t="s">
        <v>69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x14ac:dyDescent="0.2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7"/>
      <c r="P214" s="286" t="s">
        <v>83</v>
      </c>
      <c r="Q214" s="287"/>
      <c r="R214" s="287"/>
      <c r="S214" s="287"/>
      <c r="T214" s="287"/>
      <c r="U214" s="287"/>
      <c r="V214" s="288"/>
      <c r="W214" s="37" t="s">
        <v>84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customHeight="1" x14ac:dyDescent="0.25">
      <c r="A215" s="295" t="s">
        <v>304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1"/>
      <c r="AB215" s="271"/>
      <c r="AC215" s="271"/>
    </row>
    <row r="216" spans="1:68" ht="14.25" customHeight="1" x14ac:dyDescent="0.25">
      <c r="A216" s="289" t="s">
        <v>63</v>
      </c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  <c r="AA216" s="272"/>
      <c r="AB216" s="272"/>
      <c r="AC216" s="272"/>
    </row>
    <row r="217" spans="1:68" ht="27" customHeight="1" x14ac:dyDescent="0.25">
      <c r="A217" s="54" t="s">
        <v>305</v>
      </c>
      <c r="B217" s="54" t="s">
        <v>306</v>
      </c>
      <c r="C217" s="31">
        <v>4301071097</v>
      </c>
      <c r="D217" s="280">
        <v>4620207491096</v>
      </c>
      <c r="E217" s="281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66</v>
      </c>
      <c r="L217" s="32" t="s">
        <v>97</v>
      </c>
      <c r="M217" s="33" t="s">
        <v>68</v>
      </c>
      <c r="N217" s="33"/>
      <c r="O217" s="32">
        <v>180</v>
      </c>
      <c r="P217" s="40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3"/>
      <c r="R217" s="283"/>
      <c r="S217" s="283"/>
      <c r="T217" s="284"/>
      <c r="U217" s="34"/>
      <c r="V217" s="34"/>
      <c r="W217" s="35" t="s">
        <v>69</v>
      </c>
      <c r="X217" s="276">
        <v>168</v>
      </c>
      <c r="Y217" s="277">
        <f>IFERROR(IF(X217="","",X217),"")</f>
        <v>168</v>
      </c>
      <c r="Z217" s="36">
        <f>IFERROR(IF(X217="","",X217*0.0155),"")</f>
        <v>2.6040000000000001</v>
      </c>
      <c r="AA217" s="56"/>
      <c r="AB217" s="57"/>
      <c r="AC217" s="222" t="s">
        <v>307</v>
      </c>
      <c r="AG217" s="67"/>
      <c r="AJ217" s="71" t="s">
        <v>99</v>
      </c>
      <c r="AK217" s="71">
        <v>12</v>
      </c>
      <c r="BB217" s="223" t="s">
        <v>1</v>
      </c>
      <c r="BM217" s="67">
        <f>IFERROR(X217*I217,"0")</f>
        <v>878.6400000000001</v>
      </c>
      <c r="BN217" s="67">
        <f>IFERROR(Y217*I217,"0")</f>
        <v>878.6400000000001</v>
      </c>
      <c r="BO217" s="67">
        <f>IFERROR(X217/J217,"0")</f>
        <v>2</v>
      </c>
      <c r="BP217" s="67">
        <f>IFERROR(Y217/J217,"0")</f>
        <v>2</v>
      </c>
    </row>
    <row r="218" spans="1:68" x14ac:dyDescent="0.2">
      <c r="A218" s="296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7"/>
      <c r="P218" s="286" t="s">
        <v>83</v>
      </c>
      <c r="Q218" s="287"/>
      <c r="R218" s="287"/>
      <c r="S218" s="287"/>
      <c r="T218" s="287"/>
      <c r="U218" s="287"/>
      <c r="V218" s="288"/>
      <c r="W218" s="37" t="s">
        <v>69</v>
      </c>
      <c r="X218" s="278">
        <f>IFERROR(SUM(X217:X217),"0")</f>
        <v>168</v>
      </c>
      <c r="Y218" s="278">
        <f>IFERROR(SUM(Y217:Y217),"0")</f>
        <v>168</v>
      </c>
      <c r="Z218" s="278">
        <f>IFERROR(IF(Z217="",0,Z217),"0")</f>
        <v>2.6040000000000001</v>
      </c>
      <c r="AA218" s="279"/>
      <c r="AB218" s="279"/>
      <c r="AC218" s="279"/>
    </row>
    <row r="219" spans="1:68" x14ac:dyDescent="0.2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7"/>
      <c r="P219" s="286" t="s">
        <v>83</v>
      </c>
      <c r="Q219" s="287"/>
      <c r="R219" s="287"/>
      <c r="S219" s="287"/>
      <c r="T219" s="287"/>
      <c r="U219" s="287"/>
      <c r="V219" s="288"/>
      <c r="W219" s="37" t="s">
        <v>84</v>
      </c>
      <c r="X219" s="278">
        <f>IFERROR(SUMPRODUCT(X217:X217*H217:H217),"0")</f>
        <v>840</v>
      </c>
      <c r="Y219" s="278">
        <f>IFERROR(SUMPRODUCT(Y217:Y217*H217:H217),"0")</f>
        <v>840</v>
      </c>
      <c r="Z219" s="37"/>
      <c r="AA219" s="279"/>
      <c r="AB219" s="279"/>
      <c r="AC219" s="279"/>
    </row>
    <row r="220" spans="1:68" ht="16.5" customHeight="1" x14ac:dyDescent="0.25">
      <c r="A220" s="295" t="s">
        <v>308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1"/>
      <c r="AB220" s="271"/>
      <c r="AC220" s="271"/>
    </row>
    <row r="221" spans="1:68" ht="14.25" customHeight="1" x14ac:dyDescent="0.25">
      <c r="A221" s="289" t="s">
        <v>137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72"/>
      <c r="AB221" s="272"/>
      <c r="AC221" s="272"/>
    </row>
    <row r="222" spans="1:68" ht="27" customHeight="1" x14ac:dyDescent="0.25">
      <c r="A222" s="54" t="s">
        <v>309</v>
      </c>
      <c r="B222" s="54" t="s">
        <v>310</v>
      </c>
      <c r="C222" s="31">
        <v>4301135694</v>
      </c>
      <c r="D222" s="280">
        <v>4620207490501</v>
      </c>
      <c r="E222" s="281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96</v>
      </c>
      <c r="L222" s="32" t="s">
        <v>67</v>
      </c>
      <c r="M222" s="33" t="s">
        <v>68</v>
      </c>
      <c r="N222" s="33"/>
      <c r="O222" s="32">
        <v>180</v>
      </c>
      <c r="P222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3"/>
      <c r="R222" s="283"/>
      <c r="S222" s="283"/>
      <c r="T222" s="284"/>
      <c r="U222" s="34"/>
      <c r="V222" s="34"/>
      <c r="W222" s="35" t="s">
        <v>69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311</v>
      </c>
      <c r="AG222" s="67"/>
      <c r="AJ222" s="71" t="s">
        <v>71</v>
      </c>
      <c r="AK222" s="71">
        <v>1</v>
      </c>
      <c r="BB222" s="225" t="s">
        <v>100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6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7"/>
      <c r="P223" s="286" t="s">
        <v>83</v>
      </c>
      <c r="Q223" s="287"/>
      <c r="R223" s="287"/>
      <c r="S223" s="287"/>
      <c r="T223" s="287"/>
      <c r="U223" s="287"/>
      <c r="V223" s="288"/>
      <c r="W223" s="37" t="s">
        <v>69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7"/>
      <c r="P224" s="286" t="s">
        <v>83</v>
      </c>
      <c r="Q224" s="287"/>
      <c r="R224" s="287"/>
      <c r="S224" s="287"/>
      <c r="T224" s="287"/>
      <c r="U224" s="287"/>
      <c r="V224" s="288"/>
      <c r="W224" s="37" t="s">
        <v>84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customHeight="1" x14ac:dyDescent="0.2">
      <c r="A225" s="293" t="s">
        <v>312</v>
      </c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48"/>
      <c r="AB225" s="48"/>
      <c r="AC225" s="48"/>
    </row>
    <row r="226" spans="1:68" ht="16.5" customHeight="1" x14ac:dyDescent="0.25">
      <c r="A226" s="295" t="s">
        <v>313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1"/>
      <c r="AB226" s="271"/>
      <c r="AC226" s="271"/>
    </row>
    <row r="227" spans="1:68" ht="14.25" customHeight="1" x14ac:dyDescent="0.25">
      <c r="A227" s="289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72"/>
      <c r="AB227" s="272"/>
      <c r="AC227" s="272"/>
    </row>
    <row r="228" spans="1:68" ht="27" customHeight="1" x14ac:dyDescent="0.25">
      <c r="A228" s="54" t="s">
        <v>314</v>
      </c>
      <c r="B228" s="54" t="s">
        <v>315</v>
      </c>
      <c r="C228" s="31">
        <v>4301071036</v>
      </c>
      <c r="D228" s="280">
        <v>4607111036162</v>
      </c>
      <c r="E228" s="281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90</v>
      </c>
      <c r="P228" s="45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3"/>
      <c r="R228" s="283"/>
      <c r="S228" s="283"/>
      <c r="T228" s="284"/>
      <c r="U228" s="34"/>
      <c r="V228" s="34"/>
      <c r="W228" s="35" t="s">
        <v>69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316</v>
      </c>
      <c r="AG228" s="67"/>
      <c r="AJ228" s="71" t="s">
        <v>71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6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7"/>
      <c r="P229" s="286" t="s">
        <v>83</v>
      </c>
      <c r="Q229" s="287"/>
      <c r="R229" s="287"/>
      <c r="S229" s="287"/>
      <c r="T229" s="287"/>
      <c r="U229" s="287"/>
      <c r="V229" s="288"/>
      <c r="W229" s="37" t="s">
        <v>69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7"/>
      <c r="P230" s="286" t="s">
        <v>83</v>
      </c>
      <c r="Q230" s="287"/>
      <c r="R230" s="287"/>
      <c r="S230" s="287"/>
      <c r="T230" s="287"/>
      <c r="U230" s="287"/>
      <c r="V230" s="288"/>
      <c r="W230" s="37" t="s">
        <v>84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customHeight="1" x14ac:dyDescent="0.2">
      <c r="A231" s="293" t="s">
        <v>317</v>
      </c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48"/>
      <c r="AB231" s="48"/>
      <c r="AC231" s="48"/>
    </row>
    <row r="232" spans="1:68" ht="16.5" customHeight="1" x14ac:dyDescent="0.25">
      <c r="A232" s="295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1"/>
      <c r="AB232" s="271"/>
      <c r="AC232" s="271"/>
    </row>
    <row r="233" spans="1:68" ht="14.25" customHeight="1" x14ac:dyDescent="0.25">
      <c r="A233" s="289" t="s">
        <v>63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72"/>
      <c r="AB233" s="272"/>
      <c r="AC233" s="272"/>
    </row>
    <row r="234" spans="1:68" ht="27" customHeight="1" x14ac:dyDescent="0.25">
      <c r="A234" s="54" t="s">
        <v>319</v>
      </c>
      <c r="B234" s="54" t="s">
        <v>320</v>
      </c>
      <c r="C234" s="31">
        <v>4301071029</v>
      </c>
      <c r="D234" s="280">
        <v>4607111035899</v>
      </c>
      <c r="E234" s="281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66</v>
      </c>
      <c r="L234" s="32" t="s">
        <v>97</v>
      </c>
      <c r="M234" s="33" t="s">
        <v>68</v>
      </c>
      <c r="N234" s="33"/>
      <c r="O234" s="32">
        <v>180</v>
      </c>
      <c r="P234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3"/>
      <c r="R234" s="283"/>
      <c r="S234" s="283"/>
      <c r="T234" s="284"/>
      <c r="U234" s="34"/>
      <c r="V234" s="34"/>
      <c r="W234" s="35" t="s">
        <v>69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262</v>
      </c>
      <c r="AG234" s="67"/>
      <c r="AJ234" s="71" t="s">
        <v>99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6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7"/>
      <c r="P235" s="286" t="s">
        <v>83</v>
      </c>
      <c r="Q235" s="287"/>
      <c r="R235" s="287"/>
      <c r="S235" s="287"/>
      <c r="T235" s="287"/>
      <c r="U235" s="287"/>
      <c r="V235" s="288"/>
      <c r="W235" s="37" t="s">
        <v>69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7"/>
      <c r="P236" s="286" t="s">
        <v>83</v>
      </c>
      <c r="Q236" s="287"/>
      <c r="R236" s="287"/>
      <c r="S236" s="287"/>
      <c r="T236" s="287"/>
      <c r="U236" s="287"/>
      <c r="V236" s="288"/>
      <c r="W236" s="37" t="s">
        <v>84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customHeight="1" x14ac:dyDescent="0.2">
      <c r="A237" s="293" t="s">
        <v>321</v>
      </c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48"/>
      <c r="AB237" s="48"/>
      <c r="AC237" s="48"/>
    </row>
    <row r="238" spans="1:68" ht="16.5" customHeight="1" x14ac:dyDescent="0.25">
      <c r="A238" s="295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1"/>
      <c r="AB238" s="271"/>
      <c r="AC238" s="271"/>
    </row>
    <row r="239" spans="1:68" ht="14.25" customHeight="1" x14ac:dyDescent="0.25">
      <c r="A239" s="289" t="s">
        <v>323</v>
      </c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90"/>
      <c r="Q239" s="290"/>
      <c r="R239" s="290"/>
      <c r="S239" s="290"/>
      <c r="T239" s="290"/>
      <c r="U239" s="290"/>
      <c r="V239" s="290"/>
      <c r="W239" s="290"/>
      <c r="X239" s="290"/>
      <c r="Y239" s="290"/>
      <c r="Z239" s="290"/>
      <c r="AA239" s="272"/>
      <c r="AB239" s="272"/>
      <c r="AC239" s="272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80">
        <v>4607111039774</v>
      </c>
      <c r="E240" s="281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96</v>
      </c>
      <c r="L240" s="32" t="s">
        <v>67</v>
      </c>
      <c r="M240" s="33" t="s">
        <v>68</v>
      </c>
      <c r="N240" s="33"/>
      <c r="O240" s="32">
        <v>180</v>
      </c>
      <c r="P240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69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71</v>
      </c>
      <c r="AK240" s="71">
        <v>1</v>
      </c>
      <c r="BB240" s="231" t="s">
        <v>100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6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7"/>
      <c r="P241" s="286" t="s">
        <v>83</v>
      </c>
      <c r="Q241" s="287"/>
      <c r="R241" s="287"/>
      <c r="S241" s="287"/>
      <c r="T241" s="287"/>
      <c r="U241" s="287"/>
      <c r="V241" s="288"/>
      <c r="W241" s="37" t="s">
        <v>69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x14ac:dyDescent="0.2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7"/>
      <c r="P242" s="286" t="s">
        <v>83</v>
      </c>
      <c r="Q242" s="287"/>
      <c r="R242" s="287"/>
      <c r="S242" s="287"/>
      <c r="T242" s="287"/>
      <c r="U242" s="287"/>
      <c r="V242" s="288"/>
      <c r="W242" s="37" t="s">
        <v>84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customHeight="1" x14ac:dyDescent="0.25">
      <c r="A243" s="289" t="s">
        <v>137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72"/>
      <c r="AB243" s="272"/>
      <c r="AC243" s="272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80">
        <v>4607111039361</v>
      </c>
      <c r="E244" s="281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96</v>
      </c>
      <c r="L244" s="32" t="s">
        <v>67</v>
      </c>
      <c r="M244" s="33" t="s">
        <v>68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69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326</v>
      </c>
      <c r="AG244" s="67"/>
      <c r="AJ244" s="71" t="s">
        <v>71</v>
      </c>
      <c r="AK244" s="71">
        <v>1</v>
      </c>
      <c r="BB244" s="233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6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7"/>
      <c r="P245" s="286" t="s">
        <v>83</v>
      </c>
      <c r="Q245" s="287"/>
      <c r="R245" s="287"/>
      <c r="S245" s="287"/>
      <c r="T245" s="287"/>
      <c r="U245" s="287"/>
      <c r="V245" s="288"/>
      <c r="W245" s="37" t="s">
        <v>69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7"/>
      <c r="P246" s="286" t="s">
        <v>83</v>
      </c>
      <c r="Q246" s="287"/>
      <c r="R246" s="287"/>
      <c r="S246" s="287"/>
      <c r="T246" s="287"/>
      <c r="U246" s="287"/>
      <c r="V246" s="288"/>
      <c r="W246" s="37" t="s">
        <v>84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customHeight="1" x14ac:dyDescent="0.2">
      <c r="A247" s="293" t="s">
        <v>329</v>
      </c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48"/>
      <c r="AB247" s="48"/>
      <c r="AC247" s="48"/>
    </row>
    <row r="248" spans="1:68" ht="16.5" customHeight="1" x14ac:dyDescent="0.25">
      <c r="A248" s="295" t="s">
        <v>329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1"/>
      <c r="AB248" s="271"/>
      <c r="AC248" s="271"/>
    </row>
    <row r="249" spans="1:68" ht="14.25" customHeight="1" x14ac:dyDescent="0.25">
      <c r="A249" s="289" t="s">
        <v>93</v>
      </c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90"/>
      <c r="Q249" s="290"/>
      <c r="R249" s="290"/>
      <c r="S249" s="290"/>
      <c r="T249" s="290"/>
      <c r="U249" s="290"/>
      <c r="V249" s="290"/>
      <c r="W249" s="290"/>
      <c r="X249" s="290"/>
      <c r="Y249" s="290"/>
      <c r="Z249" s="290"/>
      <c r="AA249" s="272"/>
      <c r="AB249" s="272"/>
      <c r="AC249" s="272"/>
    </row>
    <row r="250" spans="1:68" ht="27" customHeight="1" x14ac:dyDescent="0.25">
      <c r="A250" s="54" t="s">
        <v>330</v>
      </c>
      <c r="B250" s="54" t="s">
        <v>331</v>
      </c>
      <c r="C250" s="31">
        <v>4301132228</v>
      </c>
      <c r="D250" s="280">
        <v>4640242181950</v>
      </c>
      <c r="E250" s="281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96</v>
      </c>
      <c r="L250" s="32" t="s">
        <v>67</v>
      </c>
      <c r="M250" s="33" t="s">
        <v>68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3"/>
      <c r="R250" s="283"/>
      <c r="S250" s="283"/>
      <c r="T250" s="284"/>
      <c r="U250" s="34"/>
      <c r="V250" s="34"/>
      <c r="W250" s="35" t="s">
        <v>69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332</v>
      </c>
      <c r="AG250" s="67"/>
      <c r="AJ250" s="71" t="s">
        <v>71</v>
      </c>
      <c r="AK250" s="71">
        <v>1</v>
      </c>
      <c r="BB250" s="235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6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6" t="s">
        <v>83</v>
      </c>
      <c r="Q251" s="287"/>
      <c r="R251" s="287"/>
      <c r="S251" s="287"/>
      <c r="T251" s="287"/>
      <c r="U251" s="287"/>
      <c r="V251" s="288"/>
      <c r="W251" s="37" t="s">
        <v>69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7"/>
      <c r="P252" s="286" t="s">
        <v>83</v>
      </c>
      <c r="Q252" s="287"/>
      <c r="R252" s="287"/>
      <c r="S252" s="287"/>
      <c r="T252" s="287"/>
      <c r="U252" s="287"/>
      <c r="V252" s="288"/>
      <c r="W252" s="37" t="s">
        <v>84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customHeight="1" x14ac:dyDescent="0.2">
      <c r="A253" s="293" t="s">
        <v>333</v>
      </c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48"/>
      <c r="AB253" s="48"/>
      <c r="AC253" s="48"/>
    </row>
    <row r="254" spans="1:68" ht="16.5" customHeight="1" x14ac:dyDescent="0.25">
      <c r="A254" s="295" t="s">
        <v>333</v>
      </c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90"/>
      <c r="Q254" s="290"/>
      <c r="R254" s="290"/>
      <c r="S254" s="290"/>
      <c r="T254" s="290"/>
      <c r="U254" s="290"/>
      <c r="V254" s="290"/>
      <c r="W254" s="290"/>
      <c r="X254" s="290"/>
      <c r="Y254" s="290"/>
      <c r="Z254" s="290"/>
      <c r="AA254" s="271"/>
      <c r="AB254" s="271"/>
      <c r="AC254" s="271"/>
    </row>
    <row r="255" spans="1:68" ht="14.25" customHeight="1" x14ac:dyDescent="0.25">
      <c r="A255" s="289" t="s">
        <v>63</v>
      </c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90"/>
      <c r="Q255" s="290"/>
      <c r="R255" s="290"/>
      <c r="S255" s="290"/>
      <c r="T255" s="290"/>
      <c r="U255" s="290"/>
      <c r="V255" s="290"/>
      <c r="W255" s="290"/>
      <c r="X255" s="290"/>
      <c r="Y255" s="290"/>
      <c r="Z255" s="290"/>
      <c r="AA255" s="272"/>
      <c r="AB255" s="272"/>
      <c r="AC255" s="272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66</v>
      </c>
      <c r="L256" s="32" t="s">
        <v>67</v>
      </c>
      <c r="M256" s="33" t="s">
        <v>68</v>
      </c>
      <c r="N256" s="33"/>
      <c r="O256" s="32">
        <v>180</v>
      </c>
      <c r="P256" s="4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69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336</v>
      </c>
      <c r="AG256" s="67"/>
      <c r="AJ256" s="71" t="s">
        <v>71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0">
        <v>4640242181325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66</v>
      </c>
      <c r="L257" s="32" t="s">
        <v>97</v>
      </c>
      <c r="M257" s="33" t="s">
        <v>68</v>
      </c>
      <c r="N257" s="33"/>
      <c r="O257" s="32">
        <v>180</v>
      </c>
      <c r="P25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69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38" t="s">
        <v>336</v>
      </c>
      <c r="AG257" s="67"/>
      <c r="AJ257" s="71" t="s">
        <v>99</v>
      </c>
      <c r="AK257" s="71">
        <v>12</v>
      </c>
      <c r="BB257" s="239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96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7"/>
      <c r="P258" s="286" t="s">
        <v>83</v>
      </c>
      <c r="Q258" s="287"/>
      <c r="R258" s="287"/>
      <c r="S258" s="287"/>
      <c r="T258" s="287"/>
      <c r="U258" s="287"/>
      <c r="V258" s="288"/>
      <c r="W258" s="37" t="s">
        <v>69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7"/>
      <c r="P259" s="286" t="s">
        <v>83</v>
      </c>
      <c r="Q259" s="287"/>
      <c r="R259" s="287"/>
      <c r="S259" s="287"/>
      <c r="T259" s="287"/>
      <c r="U259" s="287"/>
      <c r="V259" s="288"/>
      <c r="W259" s="37" t="s">
        <v>84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customHeight="1" x14ac:dyDescent="0.25">
      <c r="A260" s="289" t="s">
        <v>93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2"/>
      <c r="AB260" s="272"/>
      <c r="AC260" s="272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0">
        <v>4640242180397</v>
      </c>
      <c r="E261" s="281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66</v>
      </c>
      <c r="L261" s="32" t="s">
        <v>97</v>
      </c>
      <c r="M261" s="33" t="s">
        <v>68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69</v>
      </c>
      <c r="X261" s="276">
        <v>36</v>
      </c>
      <c r="Y261" s="277">
        <f>IFERROR(IF(X261="","",X261),"")</f>
        <v>36</v>
      </c>
      <c r="Z261" s="36">
        <f>IFERROR(IF(X261="","",X261*0.0155),"")</f>
        <v>0.55800000000000005</v>
      </c>
      <c r="AA261" s="56"/>
      <c r="AB261" s="57"/>
      <c r="AC261" s="240" t="s">
        <v>341</v>
      </c>
      <c r="AG261" s="67"/>
      <c r="AJ261" s="71" t="s">
        <v>99</v>
      </c>
      <c r="AK261" s="71">
        <v>12</v>
      </c>
      <c r="BB261" s="241" t="s">
        <v>100</v>
      </c>
      <c r="BM261" s="67">
        <f>IFERROR(X261*I261,"0")</f>
        <v>225.35999999999999</v>
      </c>
      <c r="BN261" s="67">
        <f>IFERROR(Y261*I261,"0")</f>
        <v>225.35999999999999</v>
      </c>
      <c r="BO261" s="67">
        <f>IFERROR(X261/J261,"0")</f>
        <v>0.42857142857142855</v>
      </c>
      <c r="BP261" s="67">
        <f>IFERROR(Y261/J261,"0")</f>
        <v>0.42857142857142855</v>
      </c>
    </row>
    <row r="262" spans="1:68" x14ac:dyDescent="0.2">
      <c r="A262" s="296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6" t="s">
        <v>83</v>
      </c>
      <c r="Q262" s="287"/>
      <c r="R262" s="287"/>
      <c r="S262" s="287"/>
      <c r="T262" s="287"/>
      <c r="U262" s="287"/>
      <c r="V262" s="288"/>
      <c r="W262" s="37" t="s">
        <v>69</v>
      </c>
      <c r="X262" s="278">
        <f>IFERROR(SUM(X261:X261),"0")</f>
        <v>36</v>
      </c>
      <c r="Y262" s="278">
        <f>IFERROR(SUM(Y261:Y261),"0")</f>
        <v>36</v>
      </c>
      <c r="Z262" s="278">
        <f>IFERROR(IF(Z261="",0,Z261),"0")</f>
        <v>0.55800000000000005</v>
      </c>
      <c r="AA262" s="279"/>
      <c r="AB262" s="279"/>
      <c r="AC262" s="279"/>
    </row>
    <row r="263" spans="1:68" x14ac:dyDescent="0.2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7"/>
      <c r="P263" s="286" t="s">
        <v>83</v>
      </c>
      <c r="Q263" s="287"/>
      <c r="R263" s="287"/>
      <c r="S263" s="287"/>
      <c r="T263" s="287"/>
      <c r="U263" s="287"/>
      <c r="V263" s="288"/>
      <c r="W263" s="37" t="s">
        <v>84</v>
      </c>
      <c r="X263" s="278">
        <f>IFERROR(SUMPRODUCT(X261:X261*H261:H261),"0")</f>
        <v>216</v>
      </c>
      <c r="Y263" s="278">
        <f>IFERROR(SUMPRODUCT(Y261:Y261*H261:H261),"0")</f>
        <v>216</v>
      </c>
      <c r="Z263" s="37"/>
      <c r="AA263" s="279"/>
      <c r="AB263" s="279"/>
      <c r="AC263" s="279"/>
    </row>
    <row r="264" spans="1:68" ht="14.25" customHeight="1" x14ac:dyDescent="0.25">
      <c r="A264" s="289" t="s">
        <v>131</v>
      </c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0"/>
      <c r="S264" s="290"/>
      <c r="T264" s="290"/>
      <c r="U264" s="290"/>
      <c r="V264" s="290"/>
      <c r="W264" s="290"/>
      <c r="X264" s="290"/>
      <c r="Y264" s="290"/>
      <c r="Z264" s="290"/>
      <c r="AA264" s="272"/>
      <c r="AB264" s="272"/>
      <c r="AC264" s="272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80">
        <v>4640242180304</v>
      </c>
      <c r="E265" s="281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96</v>
      </c>
      <c r="L265" s="32" t="s">
        <v>97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69</v>
      </c>
      <c r="X265" s="276">
        <v>0</v>
      </c>
      <c r="Y265" s="277">
        <f>IFERROR(IF(X265="","",X265),"")</f>
        <v>0</v>
      </c>
      <c r="Z265" s="36">
        <f>IFERROR(IF(X265="","",X265*0.00936),"")</f>
        <v>0</v>
      </c>
      <c r="AA265" s="56"/>
      <c r="AB265" s="57"/>
      <c r="AC265" s="242" t="s">
        <v>344</v>
      </c>
      <c r="AG265" s="67"/>
      <c r="AJ265" s="71" t="s">
        <v>99</v>
      </c>
      <c r="AK265" s="71">
        <v>14</v>
      </c>
      <c r="BB265" s="243" t="s">
        <v>100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0">
        <v>4640242180236</v>
      </c>
      <c r="E266" s="281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66</v>
      </c>
      <c r="L266" s="32" t="s">
        <v>97</v>
      </c>
      <c r="M266" s="33" t="s">
        <v>68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69</v>
      </c>
      <c r="X266" s="276">
        <v>24</v>
      </c>
      <c r="Y266" s="277">
        <f>IFERROR(IF(X266="","",X266),"")</f>
        <v>24</v>
      </c>
      <c r="Z266" s="36">
        <f>IFERROR(IF(X266="","",X266*0.0155),"")</f>
        <v>0.372</v>
      </c>
      <c r="AA266" s="56"/>
      <c r="AB266" s="57"/>
      <c r="AC266" s="244" t="s">
        <v>344</v>
      </c>
      <c r="AG266" s="67"/>
      <c r="AJ266" s="71" t="s">
        <v>99</v>
      </c>
      <c r="AK266" s="71">
        <v>12</v>
      </c>
      <c r="BB266" s="245" t="s">
        <v>100</v>
      </c>
      <c r="BM266" s="67">
        <f>IFERROR(X266*I266,"0")</f>
        <v>125.64000000000001</v>
      </c>
      <c r="BN266" s="67">
        <f>IFERROR(Y266*I266,"0")</f>
        <v>125.64000000000001</v>
      </c>
      <c r="BO266" s="67">
        <f>IFERROR(X266/J266,"0")</f>
        <v>0.2857142857142857</v>
      </c>
      <c r="BP266" s="67">
        <f>IFERROR(Y266/J266,"0")</f>
        <v>0.2857142857142857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80">
        <v>4640242180410</v>
      </c>
      <c r="E267" s="281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96</v>
      </c>
      <c r="L267" s="32" t="s">
        <v>67</v>
      </c>
      <c r="M267" s="33" t="s">
        <v>68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69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344</v>
      </c>
      <c r="AG267" s="67"/>
      <c r="AJ267" s="71" t="s">
        <v>71</v>
      </c>
      <c r="AK267" s="71">
        <v>1</v>
      </c>
      <c r="BB267" s="247" t="s">
        <v>100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6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7"/>
      <c r="P268" s="286" t="s">
        <v>83</v>
      </c>
      <c r="Q268" s="287"/>
      <c r="R268" s="287"/>
      <c r="S268" s="287"/>
      <c r="T268" s="287"/>
      <c r="U268" s="287"/>
      <c r="V268" s="288"/>
      <c r="W268" s="37" t="s">
        <v>69</v>
      </c>
      <c r="X268" s="278">
        <f>IFERROR(SUM(X265:X267),"0")</f>
        <v>24</v>
      </c>
      <c r="Y268" s="278">
        <f>IFERROR(SUM(Y265:Y267),"0")</f>
        <v>24</v>
      </c>
      <c r="Z268" s="278">
        <f>IFERROR(IF(Z265="",0,Z265),"0")+IFERROR(IF(Z266="",0,Z266),"0")+IFERROR(IF(Z267="",0,Z267),"0")</f>
        <v>0.372</v>
      </c>
      <c r="AA268" s="279"/>
      <c r="AB268" s="279"/>
      <c r="AC268" s="279"/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7"/>
      <c r="P269" s="286" t="s">
        <v>83</v>
      </c>
      <c r="Q269" s="287"/>
      <c r="R269" s="287"/>
      <c r="S269" s="287"/>
      <c r="T269" s="287"/>
      <c r="U269" s="287"/>
      <c r="V269" s="288"/>
      <c r="W269" s="37" t="s">
        <v>84</v>
      </c>
      <c r="X269" s="278">
        <f>IFERROR(SUMPRODUCT(X265:X267*H265:H267),"0")</f>
        <v>120</v>
      </c>
      <c r="Y269" s="278">
        <f>IFERROR(SUMPRODUCT(Y265:Y267*H265:H267),"0")</f>
        <v>120</v>
      </c>
      <c r="Z269" s="37"/>
      <c r="AA269" s="279"/>
      <c r="AB269" s="279"/>
      <c r="AC269" s="279"/>
    </row>
    <row r="270" spans="1:68" ht="14.25" customHeight="1" x14ac:dyDescent="0.25">
      <c r="A270" s="289" t="s">
        <v>137</v>
      </c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90"/>
      <c r="Q270" s="290"/>
      <c r="R270" s="290"/>
      <c r="S270" s="290"/>
      <c r="T270" s="290"/>
      <c r="U270" s="290"/>
      <c r="V270" s="290"/>
      <c r="W270" s="290"/>
      <c r="X270" s="290"/>
      <c r="Y270" s="290"/>
      <c r="Z270" s="290"/>
      <c r="AA270" s="272"/>
      <c r="AB270" s="272"/>
      <c r="AC270" s="272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80">
        <v>4640242181554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96</v>
      </c>
      <c r="L271" s="32" t="s">
        <v>97</v>
      </c>
      <c r="M271" s="33" t="s">
        <v>68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69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351</v>
      </c>
      <c r="AG271" s="67"/>
      <c r="AJ271" s="71" t="s">
        <v>99</v>
      </c>
      <c r="AK271" s="71">
        <v>14</v>
      </c>
      <c r="BB271" s="249" t="s">
        <v>100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0">
        <v>4640242182087</v>
      </c>
      <c r="E272" s="281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66</v>
      </c>
      <c r="L272" s="32" t="s">
        <v>67</v>
      </c>
      <c r="M272" s="33" t="s">
        <v>68</v>
      </c>
      <c r="N272" s="33"/>
      <c r="O272" s="32">
        <v>180</v>
      </c>
      <c r="P272" s="37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69</v>
      </c>
      <c r="X272" s="276">
        <v>72</v>
      </c>
      <c r="Y272" s="277">
        <f t="shared" si="18"/>
        <v>72</v>
      </c>
      <c r="Z272" s="36">
        <f>IFERROR(IF(X272="","",X272*0.0155),"")</f>
        <v>1.1160000000000001</v>
      </c>
      <c r="AA272" s="56"/>
      <c r="AB272" s="57"/>
      <c r="AC272" s="250" t="s">
        <v>354</v>
      </c>
      <c r="AG272" s="67"/>
      <c r="AJ272" s="71" t="s">
        <v>71</v>
      </c>
      <c r="AK272" s="71">
        <v>1</v>
      </c>
      <c r="BB272" s="251" t="s">
        <v>100</v>
      </c>
      <c r="BM272" s="67">
        <f t="shared" si="19"/>
        <v>376.56000000000006</v>
      </c>
      <c r="BN272" s="67">
        <f t="shared" si="20"/>
        <v>376.56000000000006</v>
      </c>
      <c r="BO272" s="67">
        <f t="shared" si="21"/>
        <v>0.8571428571428571</v>
      </c>
      <c r="BP272" s="67">
        <f t="shared" si="22"/>
        <v>0.8571428571428571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80">
        <v>4640242181424</v>
      </c>
      <c r="E273" s="281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66</v>
      </c>
      <c r="L273" s="32" t="s">
        <v>97</v>
      </c>
      <c r="M273" s="33" t="s">
        <v>68</v>
      </c>
      <c r="N273" s="33"/>
      <c r="O273" s="32">
        <v>180</v>
      </c>
      <c r="P273" s="33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69</v>
      </c>
      <c r="X273" s="276">
        <v>12</v>
      </c>
      <c r="Y273" s="277">
        <f t="shared" si="18"/>
        <v>12</v>
      </c>
      <c r="Z273" s="36">
        <f>IFERROR(IF(X273="","",X273*0.0155),"")</f>
        <v>0.186</v>
      </c>
      <c r="AA273" s="56"/>
      <c r="AB273" s="57"/>
      <c r="AC273" s="252" t="s">
        <v>351</v>
      </c>
      <c r="AG273" s="67"/>
      <c r="AJ273" s="71" t="s">
        <v>99</v>
      </c>
      <c r="AK273" s="71">
        <v>12</v>
      </c>
      <c r="BB273" s="253" t="s">
        <v>100</v>
      </c>
      <c r="BM273" s="67">
        <f t="shared" si="19"/>
        <v>68.820000000000007</v>
      </c>
      <c r="BN273" s="67">
        <f t="shared" si="20"/>
        <v>68.820000000000007</v>
      </c>
      <c r="BO273" s="67">
        <f t="shared" si="21"/>
        <v>0.14285714285714285</v>
      </c>
      <c r="BP273" s="67">
        <f t="shared" si="22"/>
        <v>0.14285714285714285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80">
        <v>4640242181523</v>
      </c>
      <c r="E274" s="281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96</v>
      </c>
      <c r="L274" s="32" t="s">
        <v>97</v>
      </c>
      <c r="M274" s="33" t="s">
        <v>68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69</v>
      </c>
      <c r="X274" s="276">
        <v>0</v>
      </c>
      <c r="Y274" s="277">
        <f t="shared" si="18"/>
        <v>0</v>
      </c>
      <c r="Z274" s="36">
        <f t="shared" ref="Z274:Z279" si="23">IFERROR(IF(X274="","",X274*0.00936),"")</f>
        <v>0</v>
      </c>
      <c r="AA274" s="56"/>
      <c r="AB274" s="57"/>
      <c r="AC274" s="254" t="s">
        <v>354</v>
      </c>
      <c r="AG274" s="67"/>
      <c r="AJ274" s="71" t="s">
        <v>99</v>
      </c>
      <c r="AK274" s="71">
        <v>14</v>
      </c>
      <c r="BB274" s="255" t="s">
        <v>100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80">
        <v>4640242181486</v>
      </c>
      <c r="E275" s="281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96</v>
      </c>
      <c r="L275" s="32" t="s">
        <v>97</v>
      </c>
      <c r="M275" s="33" t="s">
        <v>68</v>
      </c>
      <c r="N275" s="33"/>
      <c r="O275" s="32">
        <v>180</v>
      </c>
      <c r="P275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69</v>
      </c>
      <c r="X275" s="276">
        <v>42</v>
      </c>
      <c r="Y275" s="277">
        <f t="shared" si="18"/>
        <v>42</v>
      </c>
      <c r="Z275" s="36">
        <f t="shared" si="23"/>
        <v>0.39312000000000002</v>
      </c>
      <c r="AA275" s="56"/>
      <c r="AB275" s="57"/>
      <c r="AC275" s="256" t="s">
        <v>351</v>
      </c>
      <c r="AG275" s="67"/>
      <c r="AJ275" s="71" t="s">
        <v>99</v>
      </c>
      <c r="AK275" s="71">
        <v>14</v>
      </c>
      <c r="BB275" s="257" t="s">
        <v>100</v>
      </c>
      <c r="BM275" s="67">
        <f t="shared" si="19"/>
        <v>163.464</v>
      </c>
      <c r="BN275" s="67">
        <f t="shared" si="20"/>
        <v>163.464</v>
      </c>
      <c r="BO275" s="67">
        <f t="shared" si="21"/>
        <v>0.33333333333333331</v>
      </c>
      <c r="BP275" s="67">
        <f t="shared" si="22"/>
        <v>0.33333333333333331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80">
        <v>4640242181493</v>
      </c>
      <c r="E276" s="281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96</v>
      </c>
      <c r="L276" s="32" t="s">
        <v>97</v>
      </c>
      <c r="M276" s="33" t="s">
        <v>68</v>
      </c>
      <c r="N276" s="33"/>
      <c r="O276" s="32">
        <v>180</v>
      </c>
      <c r="P276" s="4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69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351</v>
      </c>
      <c r="AG276" s="67"/>
      <c r="AJ276" s="71" t="s">
        <v>99</v>
      </c>
      <c r="AK276" s="71">
        <v>14</v>
      </c>
      <c r="BB276" s="259" t="s">
        <v>100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80">
        <v>4640242181509</v>
      </c>
      <c r="E277" s="281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96</v>
      </c>
      <c r="L277" s="32" t="s">
        <v>67</v>
      </c>
      <c r="M277" s="33" t="s">
        <v>68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69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351</v>
      </c>
      <c r="AG277" s="67"/>
      <c r="AJ277" s="71" t="s">
        <v>71</v>
      </c>
      <c r="AK277" s="71">
        <v>1</v>
      </c>
      <c r="BB277" s="261" t="s">
        <v>100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80">
        <v>4640242181240</v>
      </c>
      <c r="E278" s="281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96</v>
      </c>
      <c r="L278" s="32" t="s">
        <v>97</v>
      </c>
      <c r="M278" s="33" t="s">
        <v>68</v>
      </c>
      <c r="N278" s="33"/>
      <c r="O278" s="32">
        <v>180</v>
      </c>
      <c r="P278" s="43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69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351</v>
      </c>
      <c r="AG278" s="67"/>
      <c r="AJ278" s="71" t="s">
        <v>99</v>
      </c>
      <c r="AK278" s="71">
        <v>14</v>
      </c>
      <c r="BB278" s="263" t="s">
        <v>100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80">
        <v>4640242181318</v>
      </c>
      <c r="E279" s="281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96</v>
      </c>
      <c r="L279" s="32" t="s">
        <v>97</v>
      </c>
      <c r="M279" s="33" t="s">
        <v>68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69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354</v>
      </c>
      <c r="AG279" s="67"/>
      <c r="AJ279" s="71" t="s">
        <v>99</v>
      </c>
      <c r="AK279" s="71">
        <v>14</v>
      </c>
      <c r="BB279" s="265" t="s">
        <v>100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80">
        <v>4640242181387</v>
      </c>
      <c r="E280" s="281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148</v>
      </c>
      <c r="L280" s="32" t="s">
        <v>97</v>
      </c>
      <c r="M280" s="33" t="s">
        <v>68</v>
      </c>
      <c r="N280" s="33"/>
      <c r="O280" s="32">
        <v>180</v>
      </c>
      <c r="P280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69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351</v>
      </c>
      <c r="AG280" s="67"/>
      <c r="AJ280" s="71" t="s">
        <v>99</v>
      </c>
      <c r="AK280" s="71">
        <v>18</v>
      </c>
      <c r="BB280" s="267" t="s">
        <v>100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6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7"/>
      <c r="P281" s="286" t="s">
        <v>83</v>
      </c>
      <c r="Q281" s="287"/>
      <c r="R281" s="287"/>
      <c r="S281" s="287"/>
      <c r="T281" s="287"/>
      <c r="U281" s="287"/>
      <c r="V281" s="288"/>
      <c r="W281" s="37" t="s">
        <v>69</v>
      </c>
      <c r="X281" s="278">
        <f>IFERROR(SUM(X271:X280),"0")</f>
        <v>126</v>
      </c>
      <c r="Y281" s="278">
        <f>IFERROR(SUM(Y271:Y280),"0")</f>
        <v>126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1.6951200000000002</v>
      </c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7"/>
      <c r="P282" s="286" t="s">
        <v>83</v>
      </c>
      <c r="Q282" s="287"/>
      <c r="R282" s="287"/>
      <c r="S282" s="287"/>
      <c r="T282" s="287"/>
      <c r="U282" s="287"/>
      <c r="V282" s="288"/>
      <c r="W282" s="37" t="s">
        <v>84</v>
      </c>
      <c r="X282" s="278">
        <f>IFERROR(SUMPRODUCT(X271:X280*H271:H280),"0")</f>
        <v>581.4</v>
      </c>
      <c r="Y282" s="278">
        <f>IFERROR(SUMPRODUCT(Y271:Y280*H271:H280),"0")</f>
        <v>581.4</v>
      </c>
      <c r="Z282" s="37"/>
      <c r="AA282" s="279"/>
      <c r="AB282" s="279"/>
      <c r="AC282" s="279"/>
    </row>
    <row r="283" spans="1:68" ht="15" customHeight="1" x14ac:dyDescent="0.2">
      <c r="A283" s="469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2"/>
      <c r="P283" s="376" t="s">
        <v>371</v>
      </c>
      <c r="Q283" s="355"/>
      <c r="R283" s="355"/>
      <c r="S283" s="355"/>
      <c r="T283" s="355"/>
      <c r="U283" s="355"/>
      <c r="V283" s="356"/>
      <c r="W283" s="37" t="s">
        <v>84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6184.08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6184.08</v>
      </c>
      <c r="Z283" s="37"/>
      <c r="AA283" s="279"/>
      <c r="AB283" s="279"/>
      <c r="AC283" s="279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2"/>
      <c r="P284" s="376" t="s">
        <v>372</v>
      </c>
      <c r="Q284" s="355"/>
      <c r="R284" s="355"/>
      <c r="S284" s="355"/>
      <c r="T284" s="355"/>
      <c r="U284" s="355"/>
      <c r="V284" s="356"/>
      <c r="W284" s="37" t="s">
        <v>84</v>
      </c>
      <c r="X284" s="278">
        <f>IFERROR(SUM(BM22:BM280),"0")</f>
        <v>6849.4463999999989</v>
      </c>
      <c r="Y284" s="278">
        <f>IFERROR(SUM(BN22:BN280),"0")</f>
        <v>6849.4463999999989</v>
      </c>
      <c r="Z284" s="37"/>
      <c r="AA284" s="279"/>
      <c r="AB284" s="279"/>
      <c r="AC284" s="279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2"/>
      <c r="P285" s="376" t="s">
        <v>373</v>
      </c>
      <c r="Q285" s="355"/>
      <c r="R285" s="355"/>
      <c r="S285" s="355"/>
      <c r="T285" s="355"/>
      <c r="U285" s="355"/>
      <c r="V285" s="356"/>
      <c r="W285" s="37" t="s">
        <v>374</v>
      </c>
      <c r="X285" s="38">
        <f>ROUNDUP(SUM(BO22:BO280),0)</f>
        <v>19</v>
      </c>
      <c r="Y285" s="38">
        <f>ROUNDUP(SUM(BP22:BP280),0)</f>
        <v>19</v>
      </c>
      <c r="Z285" s="37"/>
      <c r="AA285" s="279"/>
      <c r="AB285" s="279"/>
      <c r="AC285" s="279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382"/>
      <c r="P286" s="376" t="s">
        <v>375</v>
      </c>
      <c r="Q286" s="355"/>
      <c r="R286" s="355"/>
      <c r="S286" s="355"/>
      <c r="T286" s="355"/>
      <c r="U286" s="355"/>
      <c r="V286" s="356"/>
      <c r="W286" s="37" t="s">
        <v>84</v>
      </c>
      <c r="X286" s="278">
        <f>GrossWeightTotal+PalletQtyTotal*25</f>
        <v>7324.4463999999989</v>
      </c>
      <c r="Y286" s="278">
        <f>GrossWeightTotalR+PalletQtyTotalR*25</f>
        <v>7324.4463999999989</v>
      </c>
      <c r="Z286" s="37"/>
      <c r="AA286" s="279"/>
      <c r="AB286" s="279"/>
      <c r="AC286" s="279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382"/>
      <c r="P287" s="376" t="s">
        <v>376</v>
      </c>
      <c r="Q287" s="355"/>
      <c r="R287" s="355"/>
      <c r="S287" s="355"/>
      <c r="T287" s="355"/>
      <c r="U287" s="355"/>
      <c r="V287" s="356"/>
      <c r="W287" s="37" t="s">
        <v>374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1582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1582</v>
      </c>
      <c r="Z287" s="37"/>
      <c r="AA287" s="279"/>
      <c r="AB287" s="279"/>
      <c r="AC287" s="279"/>
    </row>
    <row r="288" spans="1:68" ht="14.25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382"/>
      <c r="P288" s="376" t="s">
        <v>377</v>
      </c>
      <c r="Q288" s="355"/>
      <c r="R288" s="355"/>
      <c r="S288" s="355"/>
      <c r="T288" s="355"/>
      <c r="U288" s="355"/>
      <c r="V288" s="356"/>
      <c r="W288" s="39" t="s">
        <v>378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23.0777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1" t="s">
        <v>62</v>
      </c>
      <c r="C290" s="395"/>
      <c r="D290" s="311" t="s">
        <v>91</v>
      </c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395"/>
      <c r="V290" s="273" t="s">
        <v>255</v>
      </c>
      <c r="W290" s="273" t="s">
        <v>269</v>
      </c>
      <c r="X290" s="311" t="s">
        <v>283</v>
      </c>
      <c r="Y290" s="412"/>
      <c r="Z290" s="412"/>
      <c r="AA290" s="395"/>
      <c r="AB290" s="273" t="s">
        <v>312</v>
      </c>
      <c r="AC290" s="273" t="s">
        <v>317</v>
      </c>
      <c r="AD290" s="273" t="s">
        <v>321</v>
      </c>
      <c r="AE290" s="273" t="s">
        <v>329</v>
      </c>
      <c r="AF290" s="273" t="s">
        <v>333</v>
      </c>
    </row>
    <row r="291" spans="1:32" ht="14.25" customHeight="1" thickTop="1" x14ac:dyDescent="0.2">
      <c r="A291" s="409" t="s">
        <v>380</v>
      </c>
      <c r="B291" s="311" t="s">
        <v>62</v>
      </c>
      <c r="C291" s="311" t="s">
        <v>85</v>
      </c>
      <c r="D291" s="311" t="s">
        <v>92</v>
      </c>
      <c r="E291" s="311" t="s">
        <v>103</v>
      </c>
      <c r="F291" s="311" t="s">
        <v>113</v>
      </c>
      <c r="G291" s="311" t="s">
        <v>124</v>
      </c>
      <c r="H291" s="311" t="s">
        <v>145</v>
      </c>
      <c r="I291" s="311" t="s">
        <v>152</v>
      </c>
      <c r="J291" s="311" t="s">
        <v>156</v>
      </c>
      <c r="K291" s="311" t="s">
        <v>164</v>
      </c>
      <c r="L291" s="311" t="s">
        <v>179</v>
      </c>
      <c r="M291" s="311" t="s">
        <v>185</v>
      </c>
      <c r="N291" s="274"/>
      <c r="O291" s="311" t="s">
        <v>210</v>
      </c>
      <c r="P291" s="311" t="s">
        <v>226</v>
      </c>
      <c r="Q291" s="311" t="s">
        <v>232</v>
      </c>
      <c r="R291" s="311" t="s">
        <v>239</v>
      </c>
      <c r="S291" s="311" t="s">
        <v>244</v>
      </c>
      <c r="T291" s="311" t="s">
        <v>248</v>
      </c>
      <c r="U291" s="311" t="s">
        <v>251</v>
      </c>
      <c r="V291" s="311" t="s">
        <v>256</v>
      </c>
      <c r="W291" s="311" t="s">
        <v>270</v>
      </c>
      <c r="X291" s="311" t="s">
        <v>284</v>
      </c>
      <c r="Y291" s="311" t="s">
        <v>297</v>
      </c>
      <c r="Z291" s="311" t="s">
        <v>304</v>
      </c>
      <c r="AA291" s="311" t="s">
        <v>308</v>
      </c>
      <c r="AB291" s="311" t="s">
        <v>313</v>
      </c>
      <c r="AC291" s="311" t="s">
        <v>318</v>
      </c>
      <c r="AD291" s="311" t="s">
        <v>322</v>
      </c>
      <c r="AE291" s="311" t="s">
        <v>329</v>
      </c>
      <c r="AF291" s="311" t="s">
        <v>333</v>
      </c>
    </row>
    <row r="292" spans="1:32" ht="13.5" customHeight="1" thickBot="1" x14ac:dyDescent="0.25">
      <c r="A292" s="410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4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</f>
        <v>403.20000000000005</v>
      </c>
      <c r="C293" s="46">
        <f>IFERROR(X32*H32,"0")+IFERROR(X33*H33,"0")</f>
        <v>0</v>
      </c>
      <c r="D293" s="46">
        <f>IFERROR(X39*H39,"0")+IFERROR(X40*H40,"0")</f>
        <v>21</v>
      </c>
      <c r="E293" s="46">
        <f>IFERROR(X45*H45,"0")+IFERROR(X46*H46,"0")+IFERROR(X47*H47,"0")</f>
        <v>268.79999999999995</v>
      </c>
      <c r="F293" s="46">
        <f>IFERROR(X52*H52,"0")+IFERROR(X53*H53,"0")+IFERROR(X54*H54,"0")+IFERROR(X55*H55,"0")</f>
        <v>168</v>
      </c>
      <c r="G293" s="46">
        <f>IFERROR(X60*H60,"0")+IFERROR(X64*H64,"0")+IFERROR(X68*H68,"0")+IFERROR(X69*H69,"0")+IFERROR(X73*H73,"0")+IFERROR(X74*H74,"0")+IFERROR(X75*H75,"0")</f>
        <v>0</v>
      </c>
      <c r="H293" s="46">
        <f>IFERROR(X80*H80,"0")+IFERROR(X81*H81,"0")</f>
        <v>660</v>
      </c>
      <c r="I293" s="46">
        <f>IFERROR(X86*H86,"0")</f>
        <v>50.4</v>
      </c>
      <c r="J293" s="46">
        <f>IFERROR(X91*H91,"0")+IFERROR(X92*H92,"0")</f>
        <v>252</v>
      </c>
      <c r="K293" s="46">
        <f>IFERROR(X97*H97,"0")+IFERROR(X98*H98,"0")+IFERROR(X99*H99,"0")+IFERROR(X100*H100,"0")+IFERROR(X101*H101,"0")+IFERROR(X102*H102,"0")</f>
        <v>403.20000000000005</v>
      </c>
      <c r="L293" s="46">
        <f>IFERROR(X107*H107,"0")+IFERROR(X108*H108,"0")</f>
        <v>241.92000000000002</v>
      </c>
      <c r="M293" s="46">
        <f>IFERROR(X113*H113,"0")+IFERROR(X114*H114,"0")+IFERROR(X115*H115,"0")+IFERROR(X116*H116,"0")+IFERROR(X117*H117,"0")+IFERROR(X118*H118,"0")+IFERROR(X119*H119,"0")+IFERROR(X123*H123,"0")+IFERROR(X127*H127,"0")</f>
        <v>365.76</v>
      </c>
      <c r="N293" s="274"/>
      <c r="O293" s="46">
        <f>IFERROR(X132*H132,"0")+IFERROR(X133*H133,"0")+IFERROR(X134*H134,"0")+IFERROR(X138*H138,"0")+IFERROR(X139*H139,"0")+IFERROR(X140*H140,"0")</f>
        <v>19.32</v>
      </c>
      <c r="P293" s="46">
        <f>IFERROR(X145*H145,"0")+IFERROR(X146*H146,"0")</f>
        <v>336</v>
      </c>
      <c r="Q293" s="46">
        <f>IFERROR(X151*H151,"0")+IFERROR(X152*H152,"0")</f>
        <v>210</v>
      </c>
      <c r="R293" s="46">
        <f>IFERROR(X157*H157,"0")+IFERROR(X158*H158,"0")</f>
        <v>168</v>
      </c>
      <c r="S293" s="46">
        <f>IFERROR(X163*H163,"0")</f>
        <v>0</v>
      </c>
      <c r="T293" s="46">
        <f>IFERROR(X168*H168,"0")</f>
        <v>113.4</v>
      </c>
      <c r="U293" s="46">
        <f>IFERROR(X173*H173,"0")</f>
        <v>211.67999999999998</v>
      </c>
      <c r="V293" s="46">
        <f>IFERROR(X179*H179,"0")+IFERROR(X180*H180,"0")+IFERROR(X184*H184,"0")+IFERROR(X185*H185,"0")</f>
        <v>240</v>
      </c>
      <c r="W293" s="46">
        <f>IFERROR(X191*H191,"0")+IFERROR(X192*H192,"0")+IFERROR(X193*H193,"0")+IFERROR(X194*H194,"0")</f>
        <v>294</v>
      </c>
      <c r="X293" s="46">
        <f>IFERROR(X200*H200,"0")+IFERROR(X204*H204,"0")+IFERROR(X205*H205,"0")+IFERROR(X206*H206,"0")</f>
        <v>0</v>
      </c>
      <c r="Y293" s="46">
        <f>IFERROR(X211*H211,"0")+IFERROR(X212*H212,"0")</f>
        <v>0</v>
      </c>
      <c r="Z293" s="46">
        <f>IFERROR(X217*H217,"0")</f>
        <v>840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917.4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2908.8</v>
      </c>
      <c r="B296" s="60">
        <f>SUMPRODUCT(--(BB:BB="ПГП"),--(W:W="кор"),H:H,Y:Y)+SUMPRODUCT(--(BB:BB="ПГП"),--(W:W="кг"),Y:Y)</f>
        <v>3275.28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H5:M5"/>
    <mergeCell ref="P98:T98"/>
    <mergeCell ref="D212:E212"/>
    <mergeCell ref="D146:E146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Q13:R13"/>
    <mergeCell ref="A220:Z220"/>
    <mergeCell ref="P139:T139"/>
    <mergeCell ref="P114:T114"/>
    <mergeCell ref="D267:E267"/>
    <mergeCell ref="H17:H18"/>
    <mergeCell ref="P261:T261"/>
    <mergeCell ref="D204:E204"/>
    <mergeCell ref="P217:T217"/>
    <mergeCell ref="A207:O208"/>
    <mergeCell ref="P104:V104"/>
    <mergeCell ref="P27:T27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D39:E39"/>
    <mergeCell ref="P212:T212"/>
    <mergeCell ref="S291:S292"/>
    <mergeCell ref="D22:E22"/>
    <mergeCell ref="U291:U292"/>
    <mergeCell ref="P276:T276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12:M12"/>
    <mergeCell ref="P74:T74"/>
    <mergeCell ref="A190:Z190"/>
    <mergeCell ref="A19:Z19"/>
    <mergeCell ref="A14:M14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P24:T24"/>
    <mergeCell ref="D132:E132"/>
    <mergeCell ref="P211:T211"/>
    <mergeCell ref="A141:O142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A149:Z149"/>
    <mergeCell ref="A50:Z50"/>
    <mergeCell ref="O291:O292"/>
    <mergeCell ref="W17:W18"/>
    <mergeCell ref="Q291:Q292"/>
    <mergeCell ref="P234:T234"/>
    <mergeCell ref="P154:V154"/>
    <mergeCell ref="A150:Z150"/>
    <mergeCell ref="A144:Z144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A87:O88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P230:V230"/>
    <mergeCell ref="P275:T275"/>
    <mergeCell ref="B17:B18"/>
    <mergeCell ref="A260:Z260"/>
    <mergeCell ref="P235:V235"/>
    <mergeCell ref="P207:V207"/>
    <mergeCell ref="P81:T81"/>
    <mergeCell ref="A197:Z197"/>
    <mergeCell ref="V10:W10"/>
    <mergeCell ref="A229:O230"/>
    <mergeCell ref="D60:E60"/>
    <mergeCell ref="P244:T244"/>
    <mergeCell ref="P73:T73"/>
    <mergeCell ref="P87:V87"/>
    <mergeCell ref="A270:Z270"/>
    <mergeCell ref="P245:V245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D53:E53"/>
    <mergeCell ref="D47:E47"/>
    <mergeCell ref="A84:Z84"/>
    <mergeCell ref="P159:V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14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388</v>
      </c>
      <c r="D12" s="47"/>
      <c r="E12" s="47"/>
    </row>
    <row r="14" spans="2:8" x14ac:dyDescent="0.2">
      <c r="B14" s="47" t="s">
        <v>402</v>
      </c>
      <c r="C14" s="47" t="s">
        <v>391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2026-07-03T10:06:28Z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