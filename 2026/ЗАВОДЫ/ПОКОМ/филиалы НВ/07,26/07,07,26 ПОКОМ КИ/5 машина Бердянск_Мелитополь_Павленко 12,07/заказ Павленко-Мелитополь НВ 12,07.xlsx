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9E6F0FA-E2CE-4B91-B9EF-BCA75CA2DC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2" l="1"/>
  <c r="X527" i="2"/>
  <c r="BO526" i="2"/>
  <c r="BM526" i="2"/>
  <c r="Y526" i="2"/>
  <c r="AB539" i="2" s="1"/>
  <c r="P526" i="2"/>
  <c r="X523" i="2"/>
  <c r="X522" i="2"/>
  <c r="BO521" i="2"/>
  <c r="BM521" i="2"/>
  <c r="Y521" i="2"/>
  <c r="BP521" i="2" s="1"/>
  <c r="P521" i="2"/>
  <c r="BO520" i="2"/>
  <c r="BM520" i="2"/>
  <c r="Y520" i="2"/>
  <c r="Y522" i="2" s="1"/>
  <c r="P520" i="2"/>
  <c r="X518" i="2"/>
  <c r="X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Z508" i="2" s="1"/>
  <c r="P507" i="2"/>
  <c r="X505" i="2"/>
  <c r="X504" i="2"/>
  <c r="BO503" i="2"/>
  <c r="BM503" i="2"/>
  <c r="Y503" i="2"/>
  <c r="AA539" i="2" s="1"/>
  <c r="P503" i="2"/>
  <c r="X499" i="2"/>
  <c r="X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N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Z485" i="2" s="1"/>
  <c r="P485" i="2"/>
  <c r="X483" i="2"/>
  <c r="X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P476" i="2"/>
  <c r="BO475" i="2"/>
  <c r="BM475" i="2"/>
  <c r="Y475" i="2"/>
  <c r="Z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X463" i="2"/>
  <c r="X462" i="2"/>
  <c r="BO461" i="2"/>
  <c r="BM461" i="2"/>
  <c r="Y461" i="2"/>
  <c r="Z461" i="2" s="1"/>
  <c r="Z462" i="2" s="1"/>
  <c r="P461" i="2"/>
  <c r="X458" i="2"/>
  <c r="X457" i="2"/>
  <c r="BO456" i="2"/>
  <c r="BM456" i="2"/>
  <c r="Y456" i="2"/>
  <c r="P456" i="2"/>
  <c r="BO455" i="2"/>
  <c r="BM455" i="2"/>
  <c r="Y455" i="2"/>
  <c r="BP455" i="2" s="1"/>
  <c r="P455" i="2"/>
  <c r="X453" i="2"/>
  <c r="X452" i="2"/>
  <c r="BO451" i="2"/>
  <c r="BM451" i="2"/>
  <c r="Y451" i="2"/>
  <c r="P451" i="2"/>
  <c r="BO450" i="2"/>
  <c r="BM450" i="2"/>
  <c r="Y450" i="2"/>
  <c r="Z450" i="2" s="1"/>
  <c r="P450" i="2"/>
  <c r="BO449" i="2"/>
  <c r="BM449" i="2"/>
  <c r="Y449" i="2"/>
  <c r="BN449" i="2" s="1"/>
  <c r="P449" i="2"/>
  <c r="BO448" i="2"/>
  <c r="BM448" i="2"/>
  <c r="Y448" i="2"/>
  <c r="BN448" i="2" s="1"/>
  <c r="P448" i="2"/>
  <c r="BO447" i="2"/>
  <c r="BM447" i="2"/>
  <c r="Y447" i="2"/>
  <c r="BP447" i="2" s="1"/>
  <c r="P447" i="2"/>
  <c r="BO446" i="2"/>
  <c r="BM446" i="2"/>
  <c r="Y446" i="2"/>
  <c r="Z446" i="2" s="1"/>
  <c r="P446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Z438" i="2" s="1"/>
  <c r="P438" i="2"/>
  <c r="X436" i="2"/>
  <c r="X435" i="2"/>
  <c r="BO434" i="2"/>
  <c r="BM434" i="2"/>
  <c r="Y434" i="2"/>
  <c r="P434" i="2"/>
  <c r="X432" i="2"/>
  <c r="X431" i="2"/>
  <c r="BO430" i="2"/>
  <c r="BM430" i="2"/>
  <c r="Y430" i="2"/>
  <c r="BP430" i="2" s="1"/>
  <c r="P430" i="2"/>
  <c r="BO429" i="2"/>
  <c r="BM429" i="2"/>
  <c r="Y429" i="2"/>
  <c r="Y432" i="2" s="1"/>
  <c r="P429" i="2"/>
  <c r="X426" i="2"/>
  <c r="X425" i="2"/>
  <c r="BO424" i="2"/>
  <c r="BM424" i="2"/>
  <c r="Y424" i="2"/>
  <c r="Y425" i="2" s="1"/>
  <c r="P424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7" i="2"/>
  <c r="X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Z413" i="2" s="1"/>
  <c r="P413" i="2"/>
  <c r="X411" i="2"/>
  <c r="X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Z403" i="2" s="1"/>
  <c r="P403" i="2"/>
  <c r="BO402" i="2"/>
  <c r="BM402" i="2"/>
  <c r="Y402" i="2"/>
  <c r="P402" i="2"/>
  <c r="X398" i="2"/>
  <c r="X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BN389" i="2" s="1"/>
  <c r="P389" i="2"/>
  <c r="BO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Z357" i="2" s="1"/>
  <c r="P357" i="2"/>
  <c r="X355" i="2"/>
  <c r="X354" i="2"/>
  <c r="BO353" i="2"/>
  <c r="BM353" i="2"/>
  <c r="Y353" i="2"/>
  <c r="Z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BN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X334" i="2"/>
  <c r="X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Z321" i="2" s="1"/>
  <c r="Z324" i="2" s="1"/>
  <c r="P321" i="2"/>
  <c r="X318" i="2"/>
  <c r="X317" i="2"/>
  <c r="BO316" i="2"/>
  <c r="BM316" i="2"/>
  <c r="Y316" i="2"/>
  <c r="BP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P312" i="2"/>
  <c r="X309" i="2"/>
  <c r="X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Z297" i="2" s="1"/>
  <c r="Z298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Y295" i="2" s="1"/>
  <c r="P287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Z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Z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BP260" i="2" s="1"/>
  <c r="P260" i="2"/>
  <c r="BO259" i="2"/>
  <c r="BM259" i="2"/>
  <c r="Y259" i="2"/>
  <c r="P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BP256" i="2" s="1"/>
  <c r="P256" i="2"/>
  <c r="BO255" i="2"/>
  <c r="BM255" i="2"/>
  <c r="Y255" i="2"/>
  <c r="Y264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N245" i="2" s="1"/>
  <c r="P245" i="2"/>
  <c r="X242" i="2"/>
  <c r="X241" i="2"/>
  <c r="BO240" i="2"/>
  <c r="BM240" i="2"/>
  <c r="Y240" i="2"/>
  <c r="Y242" i="2" s="1"/>
  <c r="P240" i="2"/>
  <c r="X238" i="2"/>
  <c r="X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Z234" i="2" s="1"/>
  <c r="P234" i="2"/>
  <c r="X232" i="2"/>
  <c r="X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BO227" i="2"/>
  <c r="BM227" i="2"/>
  <c r="Y227" i="2"/>
  <c r="BP227" i="2" s="1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BN201" i="2" s="1"/>
  <c r="P201" i="2"/>
  <c r="BO200" i="2"/>
  <c r="BM200" i="2"/>
  <c r="Y200" i="2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BP188" i="2" s="1"/>
  <c r="P188" i="2"/>
  <c r="BO187" i="2"/>
  <c r="BM187" i="2"/>
  <c r="Y187" i="2"/>
  <c r="Z187" i="2" s="1"/>
  <c r="P187" i="2"/>
  <c r="X185" i="2"/>
  <c r="X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Y154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Z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Z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P87" i="2" s="1"/>
  <c r="P87" i="2"/>
  <c r="X84" i="2"/>
  <c r="X83" i="2"/>
  <c r="BO82" i="2"/>
  <c r="BM82" i="2"/>
  <c r="Y82" i="2"/>
  <c r="Z82" i="2" s="1"/>
  <c r="P82" i="2"/>
  <c r="BO81" i="2"/>
  <c r="BM81" i="2"/>
  <c r="Y81" i="2"/>
  <c r="Z81" i="2" s="1"/>
  <c r="P81" i="2"/>
  <c r="X79" i="2"/>
  <c r="X78" i="2"/>
  <c r="BO77" i="2"/>
  <c r="BM77" i="2"/>
  <c r="Y77" i="2"/>
  <c r="BP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BO69" i="2"/>
  <c r="BM69" i="2"/>
  <c r="Y69" i="2"/>
  <c r="BN69" i="2" s="1"/>
  <c r="P69" i="2"/>
  <c r="X67" i="2"/>
  <c r="X66" i="2"/>
  <c r="BO65" i="2"/>
  <c r="BM65" i="2"/>
  <c r="Y65" i="2"/>
  <c r="BN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Y47" i="2" s="1"/>
  <c r="P42" i="2"/>
  <c r="X38" i="2"/>
  <c r="X37" i="2"/>
  <c r="BO36" i="2"/>
  <c r="BM36" i="2"/>
  <c r="Y36" i="2"/>
  <c r="BP36" i="2" s="1"/>
  <c r="P36" i="2"/>
  <c r="X34" i="2"/>
  <c r="X33" i="2"/>
  <c r="BO32" i="2"/>
  <c r="BM32" i="2"/>
  <c r="Y32" i="2"/>
  <c r="BP32" i="2" s="1"/>
  <c r="P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277" i="2" l="1"/>
  <c r="Z409" i="2"/>
  <c r="Z69" i="2"/>
  <c r="Z215" i="2"/>
  <c r="Z331" i="2"/>
  <c r="BN331" i="2"/>
  <c r="Z477" i="2"/>
  <c r="BP29" i="2"/>
  <c r="Z107" i="2"/>
  <c r="BN107" i="2"/>
  <c r="Z174" i="2"/>
  <c r="BN174" i="2"/>
  <c r="Z188" i="2"/>
  <c r="Z246" i="2"/>
  <c r="BN246" i="2"/>
  <c r="Z315" i="2"/>
  <c r="Z376" i="2"/>
  <c r="BP494" i="2"/>
  <c r="Y66" i="2"/>
  <c r="Z53" i="2"/>
  <c r="BN53" i="2"/>
  <c r="Z96" i="2"/>
  <c r="BN96" i="2"/>
  <c r="Z117" i="2"/>
  <c r="BN117" i="2"/>
  <c r="Z168" i="2"/>
  <c r="Z201" i="2"/>
  <c r="Z220" i="2"/>
  <c r="BN220" i="2"/>
  <c r="Z271" i="2"/>
  <c r="BN271" i="2"/>
  <c r="Z272" i="2"/>
  <c r="BN272" i="2"/>
  <c r="BP301" i="2"/>
  <c r="Z328" i="2"/>
  <c r="Z362" i="2"/>
  <c r="BN362" i="2"/>
  <c r="Z363" i="2"/>
  <c r="BN363" i="2"/>
  <c r="BP389" i="2"/>
  <c r="Z430" i="2"/>
  <c r="BN430" i="2"/>
  <c r="Z455" i="2"/>
  <c r="BN455" i="2"/>
  <c r="Y458" i="2"/>
  <c r="Z487" i="2"/>
  <c r="Z512" i="2"/>
  <c r="Z183" i="2"/>
  <c r="Z198" i="2"/>
  <c r="BN198" i="2"/>
  <c r="Z210" i="2"/>
  <c r="Z211" i="2"/>
  <c r="BN211" i="2"/>
  <c r="BP217" i="2"/>
  <c r="Z223" i="2"/>
  <c r="BN223" i="2"/>
  <c r="Z227" i="2"/>
  <c r="BN227" i="2"/>
  <c r="Z229" i="2"/>
  <c r="BN229" i="2"/>
  <c r="Z276" i="2"/>
  <c r="Z282" i="2"/>
  <c r="BN282" i="2"/>
  <c r="Z287" i="2"/>
  <c r="BN287" i="2"/>
  <c r="Y346" i="2"/>
  <c r="Z382" i="2"/>
  <c r="Y390" i="2"/>
  <c r="BP424" i="2"/>
  <c r="Z440" i="2"/>
  <c r="BP448" i="2"/>
  <c r="Z466" i="2"/>
  <c r="BN466" i="2"/>
  <c r="Z516" i="2"/>
  <c r="Z517" i="2" s="1"/>
  <c r="Y517" i="2"/>
  <c r="X530" i="2"/>
  <c r="BP22" i="2"/>
  <c r="BP45" i="2"/>
  <c r="Z62" i="2"/>
  <c r="BN62" i="2"/>
  <c r="Z63" i="2"/>
  <c r="BN63" i="2"/>
  <c r="Z103" i="2"/>
  <c r="BN103" i="2"/>
  <c r="Z105" i="2"/>
  <c r="Z115" i="2"/>
  <c r="BP159" i="2"/>
  <c r="Z172" i="2"/>
  <c r="BP176" i="2"/>
  <c r="Z262" i="2"/>
  <c r="BN262" i="2"/>
  <c r="Z329" i="2"/>
  <c r="BN329" i="2"/>
  <c r="Y334" i="2"/>
  <c r="Z352" i="2"/>
  <c r="BN352" i="2"/>
  <c r="BN512" i="2"/>
  <c r="H9" i="2"/>
  <c r="A10" i="2"/>
  <c r="Z24" i="2"/>
  <c r="X531" i="2"/>
  <c r="Z36" i="2"/>
  <c r="Z37" i="2" s="1"/>
  <c r="BN36" i="2"/>
  <c r="BP44" i="2"/>
  <c r="Z52" i="2"/>
  <c r="BN52" i="2"/>
  <c r="Z61" i="2"/>
  <c r="Z64" i="2"/>
  <c r="BN64" i="2"/>
  <c r="Z83" i="2"/>
  <c r="BN81" i="2"/>
  <c r="BP81" i="2"/>
  <c r="Z87" i="2"/>
  <c r="BN87" i="2"/>
  <c r="BN90" i="2"/>
  <c r="BP90" i="2"/>
  <c r="Z95" i="2"/>
  <c r="Z97" i="2"/>
  <c r="BN97" i="2"/>
  <c r="BP105" i="2"/>
  <c r="Z108" i="2"/>
  <c r="BN108" i="2"/>
  <c r="BN113" i="2"/>
  <c r="BP113" i="2"/>
  <c r="Z118" i="2"/>
  <c r="BN118" i="2"/>
  <c r="Z125" i="2"/>
  <c r="BN129" i="2"/>
  <c r="BP129" i="2"/>
  <c r="Y130" i="2"/>
  <c r="Y131" i="2"/>
  <c r="BP135" i="2"/>
  <c r="Z140" i="2"/>
  <c r="Z141" i="2" s="1"/>
  <c r="BN140" i="2"/>
  <c r="Z151" i="2"/>
  <c r="BN151" i="2"/>
  <c r="Z152" i="2"/>
  <c r="BN152" i="2"/>
  <c r="BP167" i="2"/>
  <c r="BP170" i="2"/>
  <c r="Z173" i="2"/>
  <c r="Z175" i="2"/>
  <c r="BN175" i="2"/>
  <c r="Z177" i="2"/>
  <c r="Y179" i="2"/>
  <c r="BP187" i="2"/>
  <c r="Y194" i="2"/>
  <c r="Z199" i="2"/>
  <c r="BN199" i="2"/>
  <c r="Y202" i="2"/>
  <c r="BP201" i="2"/>
  <c r="BP215" i="2"/>
  <c r="Z219" i="2"/>
  <c r="BN219" i="2"/>
  <c r="Z221" i="2"/>
  <c r="Z222" i="2"/>
  <c r="BN222" i="2"/>
  <c r="BN230" i="2"/>
  <c r="Z240" i="2"/>
  <c r="Z241" i="2" s="1"/>
  <c r="BN240" i="2"/>
  <c r="BP240" i="2"/>
  <c r="Y241" i="2"/>
  <c r="Z255" i="2"/>
  <c r="BN255" i="2"/>
  <c r="BP255" i="2"/>
  <c r="BN257" i="2"/>
  <c r="BP257" i="2"/>
  <c r="BN258" i="2"/>
  <c r="BP258" i="2"/>
  <c r="BN260" i="2"/>
  <c r="Z261" i="2"/>
  <c r="BP276" i="2"/>
  <c r="Z281" i="2"/>
  <c r="BN288" i="2"/>
  <c r="BP288" i="2"/>
  <c r="BN289" i="2"/>
  <c r="BP289" i="2"/>
  <c r="BN291" i="2"/>
  <c r="Z293" i="2"/>
  <c r="BN293" i="2"/>
  <c r="F9" i="2"/>
  <c r="J9" i="2"/>
  <c r="Y37" i="2"/>
  <c r="Y38" i="2"/>
  <c r="Y46" i="2"/>
  <c r="BN116" i="2"/>
  <c r="BN153" i="2"/>
  <c r="BP153" i="2"/>
  <c r="BP177" i="2"/>
  <c r="BN192" i="2"/>
  <c r="BP192" i="2"/>
  <c r="Y193" i="2"/>
  <c r="BP221" i="2"/>
  <c r="BN234" i="2"/>
  <c r="BP234" i="2"/>
  <c r="BN235" i="2"/>
  <c r="BP235" i="2"/>
  <c r="BN250" i="2"/>
  <c r="Y253" i="2"/>
  <c r="BN267" i="2"/>
  <c r="BP267" i="2"/>
  <c r="BN268" i="2"/>
  <c r="BP268" i="2"/>
  <c r="BN270" i="2"/>
  <c r="Y294" i="2"/>
  <c r="BP305" i="2"/>
  <c r="BN305" i="2"/>
  <c r="Z305" i="2"/>
  <c r="Z312" i="2"/>
  <c r="Y318" i="2"/>
  <c r="Y317" i="2"/>
  <c r="BN312" i="2"/>
  <c r="BP312" i="2"/>
  <c r="BN314" i="2"/>
  <c r="Z316" i="2"/>
  <c r="BN316" i="2"/>
  <c r="BN322" i="2"/>
  <c r="BP322" i="2"/>
  <c r="BN323" i="2"/>
  <c r="BP323" i="2"/>
  <c r="BP328" i="2"/>
  <c r="BP330" i="2"/>
  <c r="Z343" i="2"/>
  <c r="BN357" i="2"/>
  <c r="BP357" i="2"/>
  <c r="BN358" i="2"/>
  <c r="BP358" i="2"/>
  <c r="Z375" i="2"/>
  <c r="BN375" i="2"/>
  <c r="Z383" i="2"/>
  <c r="BN383" i="2"/>
  <c r="Z388" i="2"/>
  <c r="Z395" i="2"/>
  <c r="BN395" i="2"/>
  <c r="Z396" i="2"/>
  <c r="BN396" i="2"/>
  <c r="Y411" i="2"/>
  <c r="BN402" i="2"/>
  <c r="BP402" i="2"/>
  <c r="BN403" i="2"/>
  <c r="BP403" i="2"/>
  <c r="Z407" i="2"/>
  <c r="BN407" i="2"/>
  <c r="Z408" i="2"/>
  <c r="BN408" i="2"/>
  <c r="BN420" i="2"/>
  <c r="BP420" i="2"/>
  <c r="Y421" i="2"/>
  <c r="Y422" i="2"/>
  <c r="Y426" i="2"/>
  <c r="BN438" i="2"/>
  <c r="BP438" i="2"/>
  <c r="Y442" i="2"/>
  <c r="X539" i="2"/>
  <c r="Z447" i="2"/>
  <c r="BP449" i="2"/>
  <c r="BN450" i="2"/>
  <c r="BP450" i="2"/>
  <c r="Z456" i="2"/>
  <c r="Z457" i="2" s="1"/>
  <c r="BN461" i="2"/>
  <c r="BP461" i="2"/>
  <c r="Y462" i="2"/>
  <c r="Z465" i="2"/>
  <c r="Y469" i="2"/>
  <c r="BP474" i="2"/>
  <c r="BN475" i="2"/>
  <c r="BP475" i="2"/>
  <c r="Z478" i="2"/>
  <c r="BN478" i="2"/>
  <c r="BN480" i="2"/>
  <c r="BP480" i="2"/>
  <c r="BN485" i="2"/>
  <c r="BP485" i="2"/>
  <c r="Y489" i="2"/>
  <c r="Y498" i="2"/>
  <c r="BP493" i="2"/>
  <c r="Z497" i="2"/>
  <c r="Z503" i="2"/>
  <c r="Z504" i="2" s="1"/>
  <c r="BN507" i="2"/>
  <c r="BP507" i="2"/>
  <c r="Y508" i="2"/>
  <c r="Z511" i="2"/>
  <c r="Y518" i="2"/>
  <c r="BN350" i="2"/>
  <c r="BN367" i="2"/>
  <c r="BP367" i="2"/>
  <c r="BN368" i="2"/>
  <c r="BP368" i="2"/>
  <c r="Y371" i="2"/>
  <c r="BN413" i="2"/>
  <c r="BP413" i="2"/>
  <c r="Y416" i="2"/>
  <c r="BN495" i="2"/>
  <c r="BP495" i="2"/>
  <c r="Y499" i="2"/>
  <c r="Y513" i="2"/>
  <c r="BP307" i="2"/>
  <c r="BN307" i="2"/>
  <c r="Z342" i="2"/>
  <c r="S539" i="2"/>
  <c r="BP102" i="2"/>
  <c r="G539" i="2"/>
  <c r="Z102" i="2"/>
  <c r="Y110" i="2"/>
  <c r="Y141" i="2"/>
  <c r="BP139" i="2"/>
  <c r="Z144" i="2"/>
  <c r="Z182" i="2"/>
  <c r="Y208" i="2"/>
  <c r="BP206" i="2"/>
  <c r="BN206" i="2"/>
  <c r="Z206" i="2"/>
  <c r="Z207" i="2" s="1"/>
  <c r="L539" i="2"/>
  <c r="Z307" i="2"/>
  <c r="Z308" i="2" s="1"/>
  <c r="Z59" i="2"/>
  <c r="BP70" i="2"/>
  <c r="BN70" i="2"/>
  <c r="Z70" i="2"/>
  <c r="BP23" i="2"/>
  <c r="BN23" i="2"/>
  <c r="BN28" i="2"/>
  <c r="BN43" i="2"/>
  <c r="BN59" i="2"/>
  <c r="BN102" i="2"/>
  <c r="BP122" i="2"/>
  <c r="Z122" i="2"/>
  <c r="BN144" i="2"/>
  <c r="BP171" i="2"/>
  <c r="BN171" i="2"/>
  <c r="Z171" i="2"/>
  <c r="Z200" i="2"/>
  <c r="Z266" i="2"/>
  <c r="BP349" i="2"/>
  <c r="T539" i="2"/>
  <c r="BN349" i="2"/>
  <c r="Y355" i="2"/>
  <c r="Z349" i="2"/>
  <c r="Y354" i="2"/>
  <c r="BP406" i="2"/>
  <c r="BN406" i="2"/>
  <c r="BN76" i="2"/>
  <c r="Y92" i="2"/>
  <c r="Y91" i="2"/>
  <c r="BN88" i="2"/>
  <c r="H539" i="2"/>
  <c r="Y136" i="2"/>
  <c r="BN139" i="2"/>
  <c r="BP182" i="2"/>
  <c r="BN281" i="2"/>
  <c r="Y325" i="2"/>
  <c r="BP321" i="2"/>
  <c r="Q539" i="2"/>
  <c r="Y324" i="2"/>
  <c r="BN336" i="2"/>
  <c r="Y339" i="2"/>
  <c r="Y338" i="2"/>
  <c r="BP342" i="2"/>
  <c r="BN376" i="2"/>
  <c r="BN388" i="2"/>
  <c r="BP43" i="2"/>
  <c r="BP114" i="2"/>
  <c r="BN114" i="2"/>
  <c r="Z114" i="2"/>
  <c r="BP125" i="2"/>
  <c r="Y164" i="2"/>
  <c r="BP163" i="2"/>
  <c r="Y308" i="2"/>
  <c r="Y207" i="2"/>
  <c r="BP31" i="2"/>
  <c r="Z51" i="2"/>
  <c r="BP76" i="2"/>
  <c r="Y83" i="2"/>
  <c r="BP82" i="2"/>
  <c r="BN82" i="2"/>
  <c r="Z106" i="2"/>
  <c r="BP145" i="2"/>
  <c r="Z145" i="2"/>
  <c r="Y155" i="2"/>
  <c r="Z163" i="2"/>
  <c r="Z164" i="2" s="1"/>
  <c r="BN168" i="2"/>
  <c r="BN188" i="2"/>
  <c r="BP200" i="2"/>
  <c r="BN212" i="2"/>
  <c r="Y247" i="2"/>
  <c r="Y299" i="2"/>
  <c r="Y298" i="2"/>
  <c r="BP297" i="2"/>
  <c r="BP343" i="2"/>
  <c r="BN343" i="2"/>
  <c r="BP388" i="2"/>
  <c r="Z539" i="2"/>
  <c r="Y483" i="2"/>
  <c r="Y482" i="2"/>
  <c r="BP476" i="2"/>
  <c r="BN476" i="2"/>
  <c r="Z476" i="2"/>
  <c r="BP59" i="2"/>
  <c r="BP60" i="2"/>
  <c r="BN60" i="2"/>
  <c r="Z60" i="2"/>
  <c r="BN94" i="2"/>
  <c r="Y99" i="2"/>
  <c r="Y109" i="2"/>
  <c r="Y126" i="2"/>
  <c r="BN134" i="2"/>
  <c r="BN261" i="2"/>
  <c r="BN273" i="2"/>
  <c r="Y309" i="2"/>
  <c r="BN321" i="2"/>
  <c r="BN353" i="2"/>
  <c r="Y378" i="2"/>
  <c r="Z473" i="2"/>
  <c r="Y67" i="2"/>
  <c r="E539" i="2"/>
  <c r="Z65" i="2"/>
  <c r="BP269" i="2"/>
  <c r="BN269" i="2"/>
  <c r="Z269" i="2"/>
  <c r="Z29" i="2"/>
  <c r="Z44" i="2"/>
  <c r="BP71" i="2"/>
  <c r="Y160" i="2"/>
  <c r="J539" i="2"/>
  <c r="BP212" i="2"/>
  <c r="BP336" i="2"/>
  <c r="BP359" i="2"/>
  <c r="BN359" i="2"/>
  <c r="Z359" i="2"/>
  <c r="Y364" i="2"/>
  <c r="Y441" i="2"/>
  <c r="BP439" i="2"/>
  <c r="BN439" i="2"/>
  <c r="Z439" i="2"/>
  <c r="BP28" i="2"/>
  <c r="Z54" i="2"/>
  <c r="Z32" i="2"/>
  <c r="Z77" i="2"/>
  <c r="Z78" i="2" s="1"/>
  <c r="Z123" i="2"/>
  <c r="BP134" i="2"/>
  <c r="Z158" i="2"/>
  <c r="BP169" i="2"/>
  <c r="Z169" i="2"/>
  <c r="Y178" i="2"/>
  <c r="BN183" i="2"/>
  <c r="Y189" i="2"/>
  <c r="Y225" i="2"/>
  <c r="Y224" i="2"/>
  <c r="BP210" i="2"/>
  <c r="BP273" i="2"/>
  <c r="Z292" i="2"/>
  <c r="BN297" i="2"/>
  <c r="BN315" i="2"/>
  <c r="BP353" i="2"/>
  <c r="BN380" i="2"/>
  <c r="Z380" i="2"/>
  <c r="Y385" i="2"/>
  <c r="Y384" i="2"/>
  <c r="BN473" i="2"/>
  <c r="D539" i="2"/>
  <c r="BP51" i="2"/>
  <c r="BP65" i="2"/>
  <c r="X533" i="2"/>
  <c r="Y24" i="2"/>
  <c r="BP88" i="2"/>
  <c r="BN106" i="2"/>
  <c r="BN163" i="2"/>
  <c r="X529" i="2"/>
  <c r="Y127" i="2"/>
  <c r="BP216" i="2"/>
  <c r="BN216" i="2"/>
  <c r="Z216" i="2"/>
  <c r="BP230" i="2"/>
  <c r="BP337" i="2"/>
  <c r="BN337" i="2"/>
  <c r="Y488" i="2"/>
  <c r="BP486" i="2"/>
  <c r="BN486" i="2"/>
  <c r="Z486" i="2"/>
  <c r="Z488" i="2" s="1"/>
  <c r="Z71" i="2"/>
  <c r="Z88" i="2"/>
  <c r="BN32" i="2"/>
  <c r="BP54" i="2"/>
  <c r="Y73" i="2"/>
  <c r="Z72" i="2"/>
  <c r="BN77" i="2"/>
  <c r="Z89" i="2"/>
  <c r="BP94" i="2"/>
  <c r="BP112" i="2"/>
  <c r="Z112" i="2"/>
  <c r="Y120" i="2"/>
  <c r="BN123" i="2"/>
  <c r="Y146" i="2"/>
  <c r="BN158" i="2"/>
  <c r="BN169" i="2"/>
  <c r="BP172" i="2"/>
  <c r="Y190" i="2"/>
  <c r="Z213" i="2"/>
  <c r="Y237" i="2"/>
  <c r="BP236" i="2"/>
  <c r="BN236" i="2"/>
  <c r="Z236" i="2"/>
  <c r="Z237" i="2" s="1"/>
  <c r="BP274" i="2"/>
  <c r="BN274" i="2"/>
  <c r="BN292" i="2"/>
  <c r="Z337" i="2"/>
  <c r="Z338" i="2" s="1"/>
  <c r="BP344" i="2"/>
  <c r="Z344" i="2"/>
  <c r="BP473" i="2"/>
  <c r="Z43" i="2"/>
  <c r="Y436" i="2"/>
  <c r="Y435" i="2"/>
  <c r="BP434" i="2"/>
  <c r="BN31" i="2"/>
  <c r="C539" i="2"/>
  <c r="BN42" i="2"/>
  <c r="Z42" i="2"/>
  <c r="Y55" i="2"/>
  <c r="BN72" i="2"/>
  <c r="Y84" i="2"/>
  <c r="BP104" i="2"/>
  <c r="BN104" i="2"/>
  <c r="Z104" i="2"/>
  <c r="BN112" i="2"/>
  <c r="BP115" i="2"/>
  <c r="BP158" i="2"/>
  <c r="Y165" i="2"/>
  <c r="BN213" i="2"/>
  <c r="Z228" i="2"/>
  <c r="Z256" i="2"/>
  <c r="BP259" i="2"/>
  <c r="BN259" i="2"/>
  <c r="Z259" i="2"/>
  <c r="Y283" i="2"/>
  <c r="BN344" i="2"/>
  <c r="BP369" i="2"/>
  <c r="BN369" i="2"/>
  <c r="Z369" i="2"/>
  <c r="Y372" i="2"/>
  <c r="Y410" i="2"/>
  <c r="BP404" i="2"/>
  <c r="BN404" i="2"/>
  <c r="Z404" i="2"/>
  <c r="Z434" i="2"/>
  <c r="Z435" i="2" s="1"/>
  <c r="BP451" i="2"/>
  <c r="BN451" i="2"/>
  <c r="Z451" i="2"/>
  <c r="Y74" i="2"/>
  <c r="Y279" i="2"/>
  <c r="BP266" i="2"/>
  <c r="Y34" i="2"/>
  <c r="Y231" i="2"/>
  <c r="BP351" i="2"/>
  <c r="BN351" i="2"/>
  <c r="BN301" i="2"/>
  <c r="Y303" i="2"/>
  <c r="BN306" i="2"/>
  <c r="BP381" i="2"/>
  <c r="BN381" i="2"/>
  <c r="Z381" i="2"/>
  <c r="Y391" i="2"/>
  <c r="Z448" i="2"/>
  <c r="BP496" i="2"/>
  <c r="BN496" i="2"/>
  <c r="Z496" i="2"/>
  <c r="BP520" i="2"/>
  <c r="BN520" i="2"/>
  <c r="Z520" i="2"/>
  <c r="Y523" i="2"/>
  <c r="BP245" i="2"/>
  <c r="Z245" i="2"/>
  <c r="Z247" i="2" s="1"/>
  <c r="Y248" i="2"/>
  <c r="M539" i="2"/>
  <c r="Y78" i="2"/>
  <c r="BP89" i="2"/>
  <c r="Y147" i="2"/>
  <c r="Y185" i="2"/>
  <c r="BP181" i="2"/>
  <c r="Y184" i="2"/>
  <c r="BN181" i="2"/>
  <c r="Z181" i="2"/>
  <c r="BN27" i="2"/>
  <c r="Z30" i="2"/>
  <c r="Y33" i="2"/>
  <c r="BP61" i="2"/>
  <c r="F539" i="2"/>
  <c r="Y98" i="2"/>
  <c r="BP124" i="2"/>
  <c r="BN124" i="2"/>
  <c r="Z124" i="2"/>
  <c r="Z170" i="2"/>
  <c r="Z189" i="2"/>
  <c r="Z217" i="2"/>
  <c r="BN228" i="2"/>
  <c r="Y232" i="2"/>
  <c r="Z251" i="2"/>
  <c r="BN256" i="2"/>
  <c r="Y278" i="2"/>
  <c r="Y284" i="2"/>
  <c r="Z301" i="2"/>
  <c r="Z302" i="2" s="1"/>
  <c r="BP313" i="2"/>
  <c r="BN313" i="2"/>
  <c r="Z313" i="2"/>
  <c r="P539" i="2"/>
  <c r="Z332" i="2"/>
  <c r="Y431" i="2"/>
  <c r="W539" i="2"/>
  <c r="BP429" i="2"/>
  <c r="BN429" i="2"/>
  <c r="BN434" i="2"/>
  <c r="Z481" i="2"/>
  <c r="Z493" i="2"/>
  <c r="BP218" i="2"/>
  <c r="BN218" i="2"/>
  <c r="Y56" i="2"/>
  <c r="BP69" i="2"/>
  <c r="Y79" i="2"/>
  <c r="BN95" i="2"/>
  <c r="Z116" i="2"/>
  <c r="Y142" i="2"/>
  <c r="I539" i="2"/>
  <c r="BP150" i="2"/>
  <c r="BN150" i="2"/>
  <c r="BN173" i="2"/>
  <c r="Z176" i="2"/>
  <c r="BP214" i="2"/>
  <c r="Z214" i="2"/>
  <c r="Y238" i="2"/>
  <c r="Y263" i="2"/>
  <c r="BP275" i="2"/>
  <c r="Z275" i="2"/>
  <c r="BP306" i="2"/>
  <c r="Y345" i="2"/>
  <c r="BP361" i="2"/>
  <c r="BN361" i="2"/>
  <c r="U539" i="2"/>
  <c r="Y398" i="2"/>
  <c r="BP394" i="2"/>
  <c r="Y397" i="2"/>
  <c r="BN394" i="2"/>
  <c r="BP414" i="2"/>
  <c r="BN414" i="2"/>
  <c r="Z414" i="2"/>
  <c r="Y417" i="2"/>
  <c r="Z429" i="2"/>
  <c r="BN200" i="2"/>
  <c r="K539" i="2"/>
  <c r="Y25" i="2"/>
  <c r="B539" i="2"/>
  <c r="BP42" i="2"/>
  <c r="BN22" i="2"/>
  <c r="BP27" i="2"/>
  <c r="BN30" i="2"/>
  <c r="Y119" i="2"/>
  <c r="Y137" i="2"/>
  <c r="Z150" i="2"/>
  <c r="BN167" i="2"/>
  <c r="BN187" i="2"/>
  <c r="Y203" i="2"/>
  <c r="BN251" i="2"/>
  <c r="BP287" i="2"/>
  <c r="O539" i="2"/>
  <c r="BP290" i="2"/>
  <c r="BN290" i="2"/>
  <c r="Z290" i="2"/>
  <c r="BN332" i="2"/>
  <c r="Z361" i="2"/>
  <c r="Z394" i="2"/>
  <c r="BN481" i="2"/>
  <c r="Z330" i="2"/>
  <c r="Y365" i="2"/>
  <c r="Z374" i="2"/>
  <c r="BN409" i="2"/>
  <c r="Z419" i="2"/>
  <c r="Z421" i="2" s="1"/>
  <c r="BN446" i="2"/>
  <c r="BN456" i="2"/>
  <c r="Z467" i="2"/>
  <c r="Z479" i="2"/>
  <c r="BN491" i="2"/>
  <c r="BN503" i="2"/>
  <c r="Z526" i="2"/>
  <c r="Z527" i="2" s="1"/>
  <c r="R539" i="2"/>
  <c r="Y252" i="2"/>
  <c r="Z277" i="2"/>
  <c r="Z389" i="2"/>
  <c r="Z424" i="2"/>
  <c r="Z425" i="2" s="1"/>
  <c r="Z449" i="2"/>
  <c r="Y463" i="2"/>
  <c r="Z474" i="2"/>
  <c r="Z494" i="2"/>
  <c r="Y509" i="2"/>
  <c r="BN330" i="2"/>
  <c r="Y333" i="2"/>
  <c r="BN374" i="2"/>
  <c r="Y377" i="2"/>
  <c r="BN419" i="2"/>
  <c r="BP446" i="2"/>
  <c r="BP456" i="2"/>
  <c r="BN467" i="2"/>
  <c r="BN479" i="2"/>
  <c r="BP491" i="2"/>
  <c r="BP503" i="2"/>
  <c r="Y514" i="2"/>
  <c r="BN526" i="2"/>
  <c r="Z45" i="2"/>
  <c r="Z135" i="2"/>
  <c r="Z136" i="2" s="1"/>
  <c r="Z159" i="2"/>
  <c r="Z402" i="2"/>
  <c r="BN424" i="2"/>
  <c r="Y452" i="2"/>
  <c r="Y457" i="2"/>
  <c r="Y504" i="2"/>
  <c r="BP526" i="2"/>
  <c r="V539" i="2"/>
  <c r="Z387" i="2"/>
  <c r="Z492" i="2"/>
  <c r="Z250" i="2"/>
  <c r="Z260" i="2"/>
  <c r="Z270" i="2"/>
  <c r="Z291" i="2"/>
  <c r="Z314" i="2"/>
  <c r="Z350" i="2"/>
  <c r="Z360" i="2"/>
  <c r="Z370" i="2"/>
  <c r="BN382" i="2"/>
  <c r="Z405" i="2"/>
  <c r="Z415" i="2"/>
  <c r="BN440" i="2"/>
  <c r="Y453" i="2"/>
  <c r="BN465" i="2"/>
  <c r="Y468" i="2"/>
  <c r="BN477" i="2"/>
  <c r="BN487" i="2"/>
  <c r="BN497" i="2"/>
  <c r="BN511" i="2"/>
  <c r="Z521" i="2"/>
  <c r="Y527" i="2"/>
  <c r="BN447" i="2"/>
  <c r="BN492" i="2"/>
  <c r="Y505" i="2"/>
  <c r="BN516" i="2"/>
  <c r="Y539" i="2"/>
  <c r="BN360" i="2"/>
  <c r="BN370" i="2"/>
  <c r="BN405" i="2"/>
  <c r="BN415" i="2"/>
  <c r="BN521" i="2"/>
  <c r="BP387" i="2"/>
  <c r="Y528" i="2"/>
  <c r="Z377" i="2" l="1"/>
  <c r="Z333" i="2"/>
  <c r="Z441" i="2"/>
  <c r="Z33" i="2"/>
  <c r="Z317" i="2"/>
  <c r="Z431" i="2"/>
  <c r="Z231" i="2"/>
  <c r="Z513" i="2"/>
  <c r="Z371" i="2"/>
  <c r="Z468" i="2"/>
  <c r="Z294" i="2"/>
  <c r="Z224" i="2"/>
  <c r="Z202" i="2"/>
  <c r="Z283" i="2"/>
  <c r="Z98" i="2"/>
  <c r="X532" i="2"/>
  <c r="Z416" i="2"/>
  <c r="Z452" i="2"/>
  <c r="Z119" i="2"/>
  <c r="Z73" i="2"/>
  <c r="Z263" i="2"/>
  <c r="Z397" i="2"/>
  <c r="Z154" i="2"/>
  <c r="Y531" i="2"/>
  <c r="Z178" i="2"/>
  <c r="Z184" i="2"/>
  <c r="Z91" i="2"/>
  <c r="Z160" i="2"/>
  <c r="Z364" i="2"/>
  <c r="Z55" i="2"/>
  <c r="Z354" i="2"/>
  <c r="Z384" i="2"/>
  <c r="Z345" i="2"/>
  <c r="Y529" i="2"/>
  <c r="Z66" i="2"/>
  <c r="Z278" i="2"/>
  <c r="Z252" i="2"/>
  <c r="Z498" i="2"/>
  <c r="Z46" i="2"/>
  <c r="Z482" i="2"/>
  <c r="Z390" i="2"/>
  <c r="Y533" i="2"/>
  <c r="Z126" i="2"/>
  <c r="Z146" i="2"/>
  <c r="Z522" i="2"/>
  <c r="Y530" i="2"/>
  <c r="Y532" i="2" s="1"/>
  <c r="Z410" i="2"/>
  <c r="Z109" i="2"/>
  <c r="Z534" i="2" l="1"/>
</calcChain>
</file>

<file path=xl/sharedStrings.xml><?xml version="1.0" encoding="utf-8"?>
<sst xmlns="http://schemas.openxmlformats.org/spreadsheetml/2006/main" count="4015" uniqueCount="864">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</sst>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topLeftCell="A507" zoomScaleNormal="100" zoomScaleSheetLayoutView="100" workbookViewId="0">
      <selection activeCell="X535" sqref="X5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6" t="s">
        <v>26</v>
      </c>
      <c r="E1" s="606"/>
      <c r="F1" s="606"/>
      <c r="G1" s="14" t="s">
        <v>67</v>
      </c>
      <c r="H1" s="606" t="s">
        <v>47</v>
      </c>
      <c r="I1" s="606"/>
      <c r="J1" s="606"/>
      <c r="K1" s="606"/>
      <c r="L1" s="606"/>
      <c r="M1" s="606"/>
      <c r="N1" s="606"/>
      <c r="O1" s="606"/>
      <c r="P1" s="606"/>
      <c r="Q1" s="606"/>
      <c r="R1" s="607" t="s">
        <v>68</v>
      </c>
      <c r="S1" s="608"/>
      <c r="T1" s="60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9"/>
      <c r="Q3" s="609"/>
      <c r="R3" s="609"/>
      <c r="S3" s="609"/>
      <c r="T3" s="609"/>
      <c r="U3" s="609"/>
      <c r="V3" s="609"/>
      <c r="W3" s="60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0" t="s">
        <v>8</v>
      </c>
      <c r="B5" s="610"/>
      <c r="C5" s="610"/>
      <c r="D5" s="611"/>
      <c r="E5" s="611"/>
      <c r="F5" s="612" t="s">
        <v>14</v>
      </c>
      <c r="G5" s="612"/>
      <c r="H5" s="611"/>
      <c r="I5" s="611"/>
      <c r="J5" s="611"/>
      <c r="K5" s="611"/>
      <c r="L5" s="611"/>
      <c r="M5" s="611"/>
      <c r="N5" s="72"/>
      <c r="P5" s="27" t="s">
        <v>4</v>
      </c>
      <c r="Q5" s="613">
        <v>46209</v>
      </c>
      <c r="R5" s="613"/>
      <c r="T5" s="614" t="s">
        <v>3</v>
      </c>
      <c r="U5" s="615"/>
      <c r="V5" s="616" t="s">
        <v>824</v>
      </c>
      <c r="W5" s="617"/>
      <c r="AB5" s="59"/>
      <c r="AC5" s="59"/>
      <c r="AD5" s="59"/>
      <c r="AE5" s="59"/>
    </row>
    <row r="6" spans="1:32" s="17" customFormat="1" ht="24" customHeight="1" x14ac:dyDescent="0.2">
      <c r="A6" s="610" t="s">
        <v>1</v>
      </c>
      <c r="B6" s="610"/>
      <c r="C6" s="610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73"/>
      <c r="P6" s="27" t="s">
        <v>27</v>
      </c>
      <c r="Q6" s="619" t="str">
        <f>IF(Q5=0," ",CHOOSE(WEEKDAY(Q5,2),"Понедельник","Вторник","Среда","Четверг","Пятница","Суббота","Воскресенье"))</f>
        <v>Понедельник</v>
      </c>
      <c r="R6" s="619"/>
      <c r="T6" s="620" t="s">
        <v>5</v>
      </c>
      <c r="U6" s="621"/>
      <c r="V6" s="622" t="s">
        <v>70</v>
      </c>
      <c r="W6" s="62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8">
        <f>IFERROR(VLOOKUP(DeliveryAddress,Table,3,0),1)</f>
        <v>1</v>
      </c>
      <c r="E7" s="629"/>
      <c r="F7" s="629"/>
      <c r="G7" s="629"/>
      <c r="H7" s="629"/>
      <c r="I7" s="629"/>
      <c r="J7" s="629"/>
      <c r="K7" s="629"/>
      <c r="L7" s="629"/>
      <c r="M7" s="630"/>
      <c r="N7" s="74"/>
      <c r="P7" s="29"/>
      <c r="Q7" s="48"/>
      <c r="R7" s="48"/>
      <c r="T7" s="620"/>
      <c r="U7" s="621"/>
      <c r="V7" s="624"/>
      <c r="W7" s="625"/>
      <c r="AB7" s="59"/>
      <c r="AC7" s="59"/>
      <c r="AD7" s="59"/>
      <c r="AE7" s="59"/>
    </row>
    <row r="8" spans="1:32" s="17" customFormat="1" ht="25.5" customHeight="1" x14ac:dyDescent="0.2">
      <c r="A8" s="631" t="s">
        <v>58</v>
      </c>
      <c r="B8" s="631"/>
      <c r="C8" s="631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75"/>
      <c r="P8" s="27" t="s">
        <v>11</v>
      </c>
      <c r="Q8" s="633">
        <v>0.41666666666666669</v>
      </c>
      <c r="R8" s="633"/>
      <c r="T8" s="620"/>
      <c r="U8" s="621"/>
      <c r="V8" s="624"/>
      <c r="W8" s="625"/>
      <c r="AB8" s="59"/>
      <c r="AC8" s="59"/>
      <c r="AD8" s="59"/>
      <c r="AE8" s="59"/>
    </row>
    <row r="9" spans="1:32" s="17" customFormat="1" ht="39.950000000000003" customHeight="1" x14ac:dyDescent="0.2">
      <c r="A9" s="6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4"/>
      <c r="C9" s="634"/>
      <c r="D9" s="635" t="s">
        <v>46</v>
      </c>
      <c r="E9" s="636"/>
      <c r="F9" s="6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70"/>
      <c r="P9" s="31" t="s">
        <v>15</v>
      </c>
      <c r="Q9" s="638"/>
      <c r="R9" s="638"/>
      <c r="T9" s="620"/>
      <c r="U9" s="621"/>
      <c r="V9" s="626"/>
      <c r="W9" s="62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4"/>
      <c r="C10" s="634"/>
      <c r="D10" s="635"/>
      <c r="E10" s="636"/>
      <c r="F10" s="6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4"/>
      <c r="H10" s="639" t="str">
        <f>IFERROR(VLOOKUP($D$10,Proxy,2,FALSE),"")</f>
        <v/>
      </c>
      <c r="I10" s="639"/>
      <c r="J10" s="639"/>
      <c r="K10" s="639"/>
      <c r="L10" s="639"/>
      <c r="M10" s="639"/>
      <c r="N10" s="71"/>
      <c r="P10" s="31" t="s">
        <v>32</v>
      </c>
      <c r="Q10" s="640"/>
      <c r="R10" s="640"/>
      <c r="U10" s="29" t="s">
        <v>12</v>
      </c>
      <c r="V10" s="641" t="s">
        <v>71</v>
      </c>
      <c r="W10" s="6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3"/>
      <c r="R11" s="643"/>
      <c r="U11" s="29" t="s">
        <v>28</v>
      </c>
      <c r="V11" s="644" t="s">
        <v>55</v>
      </c>
      <c r="W11" s="64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5" t="s">
        <v>72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5"/>
      <c r="N12" s="76"/>
      <c r="P12" s="27" t="s">
        <v>30</v>
      </c>
      <c r="Q12" s="633"/>
      <c r="R12" s="633"/>
      <c r="S12" s="28"/>
      <c r="T12"/>
      <c r="U12" s="29" t="s">
        <v>46</v>
      </c>
      <c r="V12" s="646"/>
      <c r="W12" s="646"/>
      <c r="X12"/>
      <c r="AB12" s="59"/>
      <c r="AC12" s="59"/>
      <c r="AD12" s="59"/>
      <c r="AE12" s="59"/>
    </row>
    <row r="13" spans="1:32" s="17" customFormat="1" ht="23.25" customHeight="1" x14ac:dyDescent="0.2">
      <c r="A13" s="645" t="s">
        <v>73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5"/>
      <c r="N13" s="76"/>
      <c r="O13" s="31"/>
      <c r="P13" s="31" t="s">
        <v>31</v>
      </c>
      <c r="Q13" s="644"/>
      <c r="R13" s="64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5" t="s">
        <v>74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7" t="s">
        <v>75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77"/>
      <c r="O15"/>
      <c r="P15" s="648" t="s">
        <v>61</v>
      </c>
      <c r="Q15" s="648"/>
      <c r="R15" s="648"/>
      <c r="S15" s="648"/>
      <c r="T15" s="64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9"/>
      <c r="Q16" s="649"/>
      <c r="R16" s="649"/>
      <c r="S16" s="649"/>
      <c r="T16" s="64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2" t="s">
        <v>59</v>
      </c>
      <c r="B17" s="652" t="s">
        <v>49</v>
      </c>
      <c r="C17" s="654" t="s">
        <v>48</v>
      </c>
      <c r="D17" s="656" t="s">
        <v>50</v>
      </c>
      <c r="E17" s="657"/>
      <c r="F17" s="652" t="s">
        <v>21</v>
      </c>
      <c r="G17" s="652" t="s">
        <v>24</v>
      </c>
      <c r="H17" s="652" t="s">
        <v>22</v>
      </c>
      <c r="I17" s="652" t="s">
        <v>23</v>
      </c>
      <c r="J17" s="652" t="s">
        <v>16</v>
      </c>
      <c r="K17" s="652" t="s">
        <v>66</v>
      </c>
      <c r="L17" s="652" t="s">
        <v>64</v>
      </c>
      <c r="M17" s="652" t="s">
        <v>2</v>
      </c>
      <c r="N17" s="652" t="s">
        <v>63</v>
      </c>
      <c r="O17" s="652" t="s">
        <v>25</v>
      </c>
      <c r="P17" s="656" t="s">
        <v>17</v>
      </c>
      <c r="Q17" s="660"/>
      <c r="R17" s="660"/>
      <c r="S17" s="660"/>
      <c r="T17" s="657"/>
      <c r="U17" s="650" t="s">
        <v>56</v>
      </c>
      <c r="V17" s="651"/>
      <c r="W17" s="652" t="s">
        <v>6</v>
      </c>
      <c r="X17" s="652" t="s">
        <v>41</v>
      </c>
      <c r="Y17" s="662" t="s">
        <v>54</v>
      </c>
      <c r="Z17" s="664" t="s">
        <v>18</v>
      </c>
      <c r="AA17" s="666" t="s">
        <v>60</v>
      </c>
      <c r="AB17" s="666" t="s">
        <v>19</v>
      </c>
      <c r="AC17" s="666" t="s">
        <v>65</v>
      </c>
      <c r="AD17" s="668" t="s">
        <v>57</v>
      </c>
      <c r="AE17" s="669"/>
      <c r="AF17" s="670"/>
      <c r="AG17" s="82"/>
      <c r="BD17" s="81" t="s">
        <v>62</v>
      </c>
    </row>
    <row r="18" spans="1:68" ht="14.25" customHeight="1" x14ac:dyDescent="0.2">
      <c r="A18" s="653"/>
      <c r="B18" s="653"/>
      <c r="C18" s="655"/>
      <c r="D18" s="658"/>
      <c r="E18" s="659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658"/>
      <c r="Q18" s="661"/>
      <c r="R18" s="661"/>
      <c r="S18" s="661"/>
      <c r="T18" s="659"/>
      <c r="U18" s="83" t="s">
        <v>44</v>
      </c>
      <c r="V18" s="83" t="s">
        <v>43</v>
      </c>
      <c r="W18" s="653"/>
      <c r="X18" s="653"/>
      <c r="Y18" s="663"/>
      <c r="Z18" s="665"/>
      <c r="AA18" s="667"/>
      <c r="AB18" s="667"/>
      <c r="AC18" s="667"/>
      <c r="AD18" s="671"/>
      <c r="AE18" s="672"/>
      <c r="AF18" s="673"/>
      <c r="AG18" s="82"/>
      <c r="BD18" s="81"/>
    </row>
    <row r="19" spans="1:68" ht="27.75" customHeight="1" x14ac:dyDescent="0.2">
      <c r="A19" s="674" t="s">
        <v>76</v>
      </c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674"/>
      <c r="U19" s="674"/>
      <c r="V19" s="674"/>
      <c r="W19" s="674"/>
      <c r="X19" s="674"/>
      <c r="Y19" s="674"/>
      <c r="Z19" s="674"/>
      <c r="AA19" s="54"/>
      <c r="AB19" s="54"/>
      <c r="AC19" s="54"/>
    </row>
    <row r="20" spans="1:68" ht="16.5" customHeight="1" x14ac:dyDescent="0.25">
      <c r="A20" s="675" t="s">
        <v>76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"/>
      <c r="AB20" s="65"/>
      <c r="AC20" s="79"/>
    </row>
    <row r="21" spans="1:68" ht="14.25" customHeight="1" x14ac:dyDescent="0.25">
      <c r="A21" s="676" t="s">
        <v>77</v>
      </c>
      <c r="B21" s="676"/>
      <c r="C21" s="676"/>
      <c r="D21" s="676"/>
      <c r="E21" s="676"/>
      <c r="F21" s="676"/>
      <c r="G21" s="676"/>
      <c r="H21" s="676"/>
      <c r="I21" s="676"/>
      <c r="J21" s="676"/>
      <c r="K21" s="676"/>
      <c r="L21" s="676"/>
      <c r="M21" s="676"/>
      <c r="N21" s="676"/>
      <c r="O21" s="676"/>
      <c r="P21" s="676"/>
      <c r="Q21" s="676"/>
      <c r="R21" s="676"/>
      <c r="S21" s="676"/>
      <c r="T21" s="676"/>
      <c r="U21" s="676"/>
      <c r="V21" s="676"/>
      <c r="W21" s="676"/>
      <c r="X21" s="676"/>
      <c r="Y21" s="676"/>
      <c r="Z21" s="67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7">
        <v>4680115886643</v>
      </c>
      <c r="E22" s="67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9"/>
      <c r="R22" s="679"/>
      <c r="S22" s="679"/>
      <c r="T22" s="68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7">
        <v>4680115889071</v>
      </c>
      <c r="E23" s="67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9"/>
      <c r="R23" s="679"/>
      <c r="S23" s="679"/>
      <c r="T23" s="68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5"/>
      <c r="B24" s="685"/>
      <c r="C24" s="685"/>
      <c r="D24" s="685"/>
      <c r="E24" s="685"/>
      <c r="F24" s="685"/>
      <c r="G24" s="685"/>
      <c r="H24" s="685"/>
      <c r="I24" s="685"/>
      <c r="J24" s="685"/>
      <c r="K24" s="685"/>
      <c r="L24" s="685"/>
      <c r="M24" s="685"/>
      <c r="N24" s="685"/>
      <c r="O24" s="686"/>
      <c r="P24" s="682" t="s">
        <v>40</v>
      </c>
      <c r="Q24" s="683"/>
      <c r="R24" s="683"/>
      <c r="S24" s="683"/>
      <c r="T24" s="683"/>
      <c r="U24" s="683"/>
      <c r="V24" s="68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5"/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685"/>
      <c r="N25" s="685"/>
      <c r="O25" s="686"/>
      <c r="P25" s="682" t="s">
        <v>40</v>
      </c>
      <c r="Q25" s="683"/>
      <c r="R25" s="683"/>
      <c r="S25" s="683"/>
      <c r="T25" s="683"/>
      <c r="U25" s="683"/>
      <c r="V25" s="68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6" t="s">
        <v>86</v>
      </c>
      <c r="B26" s="676"/>
      <c r="C26" s="676"/>
      <c r="D26" s="676"/>
      <c r="E26" s="676"/>
      <c r="F26" s="676"/>
      <c r="G26" s="676"/>
      <c r="H26" s="676"/>
      <c r="I26" s="676"/>
      <c r="J26" s="676"/>
      <c r="K26" s="676"/>
      <c r="L26" s="676"/>
      <c r="M26" s="676"/>
      <c r="N26" s="676"/>
      <c r="O26" s="676"/>
      <c r="P26" s="676"/>
      <c r="Q26" s="676"/>
      <c r="R26" s="676"/>
      <c r="S26" s="676"/>
      <c r="T26" s="676"/>
      <c r="U26" s="676"/>
      <c r="V26" s="676"/>
      <c r="W26" s="676"/>
      <c r="X26" s="676"/>
      <c r="Y26" s="676"/>
      <c r="Z26" s="67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7">
        <v>4680115885912</v>
      </c>
      <c r="E27" s="67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9"/>
      <c r="R27" s="679"/>
      <c r="S27" s="679"/>
      <c r="T27" s="68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7">
        <v>4607091388237</v>
      </c>
      <c r="E28" s="67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9"/>
      <c r="R28" s="679"/>
      <c r="S28" s="679"/>
      <c r="T28" s="68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7">
        <v>4680115887350</v>
      </c>
      <c r="E29" s="67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9"/>
      <c r="R29" s="679"/>
      <c r="S29" s="679"/>
      <c r="T29" s="68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7">
        <v>4680115885905</v>
      </c>
      <c r="E30" s="67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9"/>
      <c r="R30" s="679"/>
      <c r="S30" s="679"/>
      <c r="T30" s="68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7">
        <v>4680115887657</v>
      </c>
      <c r="E31" s="67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9"/>
      <c r="R31" s="679"/>
      <c r="S31" s="679"/>
      <c r="T31" s="68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7">
        <v>4680115887619</v>
      </c>
      <c r="E32" s="67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9"/>
      <c r="R32" s="679"/>
      <c r="S32" s="679"/>
      <c r="T32" s="68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682" t="s">
        <v>40</v>
      </c>
      <c r="Q33" s="683"/>
      <c r="R33" s="683"/>
      <c r="S33" s="683"/>
      <c r="T33" s="683"/>
      <c r="U33" s="683"/>
      <c r="V33" s="68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5"/>
      <c r="B34" s="685"/>
      <c r="C34" s="685"/>
      <c r="D34" s="685"/>
      <c r="E34" s="685"/>
      <c r="F34" s="685"/>
      <c r="G34" s="685"/>
      <c r="H34" s="685"/>
      <c r="I34" s="685"/>
      <c r="J34" s="685"/>
      <c r="K34" s="685"/>
      <c r="L34" s="685"/>
      <c r="M34" s="685"/>
      <c r="N34" s="685"/>
      <c r="O34" s="686"/>
      <c r="P34" s="682" t="s">
        <v>40</v>
      </c>
      <c r="Q34" s="683"/>
      <c r="R34" s="683"/>
      <c r="S34" s="683"/>
      <c r="T34" s="683"/>
      <c r="U34" s="683"/>
      <c r="V34" s="68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6" t="s">
        <v>107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7">
        <v>4607091388503</v>
      </c>
      <c r="E36" s="67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9"/>
      <c r="R36" s="679"/>
      <c r="S36" s="679"/>
      <c r="T36" s="680"/>
      <c r="U36" s="39" t="s">
        <v>46</v>
      </c>
      <c r="V36" s="39" t="s">
        <v>46</v>
      </c>
      <c r="W36" s="40" t="s">
        <v>0</v>
      </c>
      <c r="X36" s="58">
        <v>10</v>
      </c>
      <c r="Y36" s="55">
        <f>IFERROR(IF(X36="",0,CEILING((X36/$H36),1)*$H36),"")</f>
        <v>10.199999999999999</v>
      </c>
      <c r="Z36" s="41">
        <f>IFERROR(IF(Y36=0,"",ROUNDUP(Y36/H36,0)*0.00651),"")</f>
        <v>0.11067</v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13.7</v>
      </c>
      <c r="BN36" s="78">
        <f>IFERROR(Y36*I36/H36,"0")</f>
        <v>13.974</v>
      </c>
      <c r="BO36" s="78">
        <f>IFERROR(1/J36*(X36/H36),"0")</f>
        <v>9.1575091575091583E-2</v>
      </c>
      <c r="BP36" s="78">
        <f>IFERROR(1/J36*(Y36/H36),"0")</f>
        <v>9.3406593406593408E-2</v>
      </c>
    </row>
    <row r="37" spans="1:68" x14ac:dyDescent="0.2">
      <c r="A37" s="685"/>
      <c r="B37" s="685"/>
      <c r="C37" s="685"/>
      <c r="D37" s="685"/>
      <c r="E37" s="685"/>
      <c r="F37" s="685"/>
      <c r="G37" s="685"/>
      <c r="H37" s="685"/>
      <c r="I37" s="685"/>
      <c r="J37" s="685"/>
      <c r="K37" s="685"/>
      <c r="L37" s="685"/>
      <c r="M37" s="685"/>
      <c r="N37" s="685"/>
      <c r="O37" s="686"/>
      <c r="P37" s="682" t="s">
        <v>40</v>
      </c>
      <c r="Q37" s="683"/>
      <c r="R37" s="683"/>
      <c r="S37" s="683"/>
      <c r="T37" s="683"/>
      <c r="U37" s="683"/>
      <c r="V37" s="684"/>
      <c r="W37" s="42" t="s">
        <v>39</v>
      </c>
      <c r="X37" s="43">
        <f>IFERROR(X36/H36,"0")</f>
        <v>16.666666666666668</v>
      </c>
      <c r="Y37" s="43">
        <f>IFERROR(Y36/H36,"0")</f>
        <v>17</v>
      </c>
      <c r="Z37" s="43">
        <f>IFERROR(IF(Z36="",0,Z36),"0")</f>
        <v>0.11067</v>
      </c>
      <c r="AA37" s="67"/>
      <c r="AB37" s="67"/>
      <c r="AC37" s="67"/>
    </row>
    <row r="38" spans="1:68" x14ac:dyDescent="0.2">
      <c r="A38" s="685"/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6"/>
      <c r="P38" s="682" t="s">
        <v>40</v>
      </c>
      <c r="Q38" s="683"/>
      <c r="R38" s="683"/>
      <c r="S38" s="683"/>
      <c r="T38" s="683"/>
      <c r="U38" s="683"/>
      <c r="V38" s="684"/>
      <c r="W38" s="42" t="s">
        <v>0</v>
      </c>
      <c r="X38" s="43">
        <f>IFERROR(SUM(X36:X36),"0")</f>
        <v>10</v>
      </c>
      <c r="Y38" s="43">
        <f>IFERROR(SUM(Y36:Y36),"0")</f>
        <v>10.199999999999999</v>
      </c>
      <c r="Z38" s="42"/>
      <c r="AA38" s="67"/>
      <c r="AB38" s="67"/>
      <c r="AC38" s="67"/>
    </row>
    <row r="39" spans="1:68" ht="27.75" customHeight="1" x14ac:dyDescent="0.2">
      <c r="A39" s="674" t="s">
        <v>45</v>
      </c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674"/>
      <c r="R39" s="674"/>
      <c r="S39" s="674"/>
      <c r="T39" s="674"/>
      <c r="U39" s="674"/>
      <c r="V39" s="674"/>
      <c r="W39" s="674"/>
      <c r="X39" s="674"/>
      <c r="Y39" s="674"/>
      <c r="Z39" s="674"/>
      <c r="AA39" s="54"/>
      <c r="AB39" s="54"/>
      <c r="AC39" s="54"/>
    </row>
    <row r="40" spans="1:68" ht="16.5" customHeight="1" x14ac:dyDescent="0.25">
      <c r="A40" s="675" t="s">
        <v>113</v>
      </c>
      <c r="B40" s="675"/>
      <c r="C40" s="675"/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  <c r="AA40" s="65"/>
      <c r="AB40" s="65"/>
      <c r="AC40" s="79"/>
    </row>
    <row r="41" spans="1:68" ht="14.25" customHeight="1" x14ac:dyDescent="0.25">
      <c r="A41" s="676" t="s">
        <v>86</v>
      </c>
      <c r="B41" s="676"/>
      <c r="C41" s="676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76"/>
      <c r="P41" s="676"/>
      <c r="Q41" s="676"/>
      <c r="R41" s="676"/>
      <c r="S41" s="676"/>
      <c r="T41" s="676"/>
      <c r="U41" s="676"/>
      <c r="V41" s="676"/>
      <c r="W41" s="676"/>
      <c r="X41" s="676"/>
      <c r="Y41" s="676"/>
      <c r="Z41" s="67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7">
        <v>4680115888463</v>
      </c>
      <c r="E42" s="67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9"/>
      <c r="R42" s="679"/>
      <c r="S42" s="679"/>
      <c r="T42" s="68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7">
        <v>4680115888494</v>
      </c>
      <c r="E43" s="67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9"/>
      <c r="R43" s="679"/>
      <c r="S43" s="679"/>
      <c r="T43" s="68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7">
        <v>4680115888272</v>
      </c>
      <c r="E44" s="67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9"/>
      <c r="R44" s="679"/>
      <c r="S44" s="679"/>
      <c r="T44" s="68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7">
        <v>4680115888364</v>
      </c>
      <c r="E45" s="67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9"/>
      <c r="R45" s="679"/>
      <c r="S45" s="679"/>
      <c r="T45" s="68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5"/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6"/>
      <c r="P46" s="682" t="s">
        <v>40</v>
      </c>
      <c r="Q46" s="683"/>
      <c r="R46" s="683"/>
      <c r="S46" s="683"/>
      <c r="T46" s="683"/>
      <c r="U46" s="683"/>
      <c r="V46" s="684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5"/>
      <c r="B47" s="685"/>
      <c r="C47" s="685"/>
      <c r="D47" s="685"/>
      <c r="E47" s="685"/>
      <c r="F47" s="685"/>
      <c r="G47" s="685"/>
      <c r="H47" s="685"/>
      <c r="I47" s="685"/>
      <c r="J47" s="685"/>
      <c r="K47" s="685"/>
      <c r="L47" s="685"/>
      <c r="M47" s="685"/>
      <c r="N47" s="685"/>
      <c r="O47" s="686"/>
      <c r="P47" s="682" t="s">
        <v>40</v>
      </c>
      <c r="Q47" s="683"/>
      <c r="R47" s="683"/>
      <c r="S47" s="683"/>
      <c r="T47" s="683"/>
      <c r="U47" s="683"/>
      <c r="V47" s="684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4" t="s">
        <v>126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54"/>
      <c r="AB48" s="54"/>
      <c r="AC48" s="54"/>
    </row>
    <row r="49" spans="1:68" ht="16.5" customHeight="1" x14ac:dyDescent="0.25">
      <c r="A49" s="675" t="s">
        <v>127</v>
      </c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  <c r="AA49" s="65"/>
      <c r="AB49" s="65"/>
      <c r="AC49" s="79"/>
    </row>
    <row r="50" spans="1:68" ht="14.25" customHeight="1" x14ac:dyDescent="0.25">
      <c r="A50" s="676" t="s">
        <v>128</v>
      </c>
      <c r="B50" s="676"/>
      <c r="C50" s="676"/>
      <c r="D50" s="676"/>
      <c r="E50" s="676"/>
      <c r="F50" s="676"/>
      <c r="G50" s="676"/>
      <c r="H50" s="676"/>
      <c r="I50" s="676"/>
      <c r="J50" s="676"/>
      <c r="K50" s="676"/>
      <c r="L50" s="676"/>
      <c r="M50" s="676"/>
      <c r="N50" s="676"/>
      <c r="O50" s="676"/>
      <c r="P50" s="676"/>
      <c r="Q50" s="676"/>
      <c r="R50" s="676"/>
      <c r="S50" s="676"/>
      <c r="T50" s="676"/>
      <c r="U50" s="676"/>
      <c r="V50" s="676"/>
      <c r="W50" s="676"/>
      <c r="X50" s="676"/>
      <c r="Y50" s="676"/>
      <c r="Z50" s="67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7">
        <v>4607091385670</v>
      </c>
      <c r="E51" s="67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9"/>
      <c r="R51" s="679"/>
      <c r="S51" s="679"/>
      <c r="T51" s="68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7">
        <v>4680115887725</v>
      </c>
      <c r="E52" s="67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9"/>
      <c r="R52" s="679"/>
      <c r="S52" s="679"/>
      <c r="T52" s="68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7">
        <v>4607091385687</v>
      </c>
      <c r="E53" s="67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9"/>
      <c r="R53" s="679"/>
      <c r="S53" s="679"/>
      <c r="T53" s="68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7">
        <v>4680115882539</v>
      </c>
      <c r="E54" s="67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9"/>
      <c r="R54" s="679"/>
      <c r="S54" s="679"/>
      <c r="T54" s="68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6"/>
      <c r="P55" s="682" t="s">
        <v>40</v>
      </c>
      <c r="Q55" s="683"/>
      <c r="R55" s="683"/>
      <c r="S55" s="683"/>
      <c r="T55" s="683"/>
      <c r="U55" s="683"/>
      <c r="V55" s="68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6"/>
      <c r="P56" s="682" t="s">
        <v>40</v>
      </c>
      <c r="Q56" s="683"/>
      <c r="R56" s="683"/>
      <c r="S56" s="683"/>
      <c r="T56" s="683"/>
      <c r="U56" s="683"/>
      <c r="V56" s="68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75" t="s">
        <v>143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"/>
      <c r="AB57" s="65"/>
      <c r="AC57" s="79"/>
    </row>
    <row r="58" spans="1:68" ht="14.25" customHeight="1" x14ac:dyDescent="0.25">
      <c r="A58" s="676" t="s">
        <v>128</v>
      </c>
      <c r="B58" s="676"/>
      <c r="C58" s="676"/>
      <c r="D58" s="676"/>
      <c r="E58" s="676"/>
      <c r="F58" s="676"/>
      <c r="G58" s="676"/>
      <c r="H58" s="676"/>
      <c r="I58" s="676"/>
      <c r="J58" s="676"/>
      <c r="K58" s="676"/>
      <c r="L58" s="676"/>
      <c r="M58" s="676"/>
      <c r="N58" s="676"/>
      <c r="O58" s="676"/>
      <c r="P58" s="676"/>
      <c r="Q58" s="676"/>
      <c r="R58" s="676"/>
      <c r="S58" s="676"/>
      <c r="T58" s="676"/>
      <c r="U58" s="676"/>
      <c r="V58" s="676"/>
      <c r="W58" s="676"/>
      <c r="X58" s="676"/>
      <c r="Y58" s="676"/>
      <c r="Z58" s="67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7">
        <v>4680115885882</v>
      </c>
      <c r="E59" s="67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9"/>
      <c r="R59" s="679"/>
      <c r="S59" s="679"/>
      <c r="T59" s="68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7">
        <v>4680115885882</v>
      </c>
      <c r="E60" s="67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9"/>
      <c r="R60" s="679"/>
      <c r="S60" s="679"/>
      <c r="T60" s="68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7">
        <v>4680115881426</v>
      </c>
      <c r="E61" s="67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9"/>
      <c r="R61" s="679"/>
      <c r="S61" s="679"/>
      <c r="T61" s="680"/>
      <c r="U61" s="39" t="s">
        <v>46</v>
      </c>
      <c r="V61" s="39" t="s">
        <v>46</v>
      </c>
      <c r="W61" s="40" t="s">
        <v>0</v>
      </c>
      <c r="X61" s="58">
        <v>600</v>
      </c>
      <c r="Y61" s="55">
        <f t="shared" si="6"/>
        <v>604.80000000000007</v>
      </c>
      <c r="Z61" s="41">
        <f>IFERROR(IF(Y61=0,"",ROUNDUP(Y61/H61,0)*0.01898),"")</f>
        <v>1.06288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622.77777777777783</v>
      </c>
      <c r="BN61" s="78">
        <f t="shared" si="8"/>
        <v>627.76</v>
      </c>
      <c r="BO61" s="78">
        <f t="shared" si="9"/>
        <v>0.86805555555555547</v>
      </c>
      <c r="BP61" s="78">
        <f t="shared" si="10"/>
        <v>0.875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7">
        <v>4680115880283</v>
      </c>
      <c r="E62" s="67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9"/>
      <c r="R62" s="679"/>
      <c r="S62" s="679"/>
      <c r="T62" s="68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7">
        <v>4680115881525</v>
      </c>
      <c r="E63" s="677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9"/>
      <c r="R63" s="679"/>
      <c r="S63" s="679"/>
      <c r="T63" s="68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7">
        <v>4680115885899</v>
      </c>
      <c r="E64" s="677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9"/>
      <c r="R64" s="679"/>
      <c r="S64" s="679"/>
      <c r="T64" s="68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7">
        <v>4680115881419</v>
      </c>
      <c r="E65" s="677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9"/>
      <c r="R65" s="679"/>
      <c r="S65" s="679"/>
      <c r="T65" s="68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85"/>
      <c r="B66" s="685"/>
      <c r="C66" s="685"/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6"/>
      <c r="P66" s="682" t="s">
        <v>40</v>
      </c>
      <c r="Q66" s="683"/>
      <c r="R66" s="683"/>
      <c r="S66" s="683"/>
      <c r="T66" s="683"/>
      <c r="U66" s="683"/>
      <c r="V66" s="684"/>
      <c r="W66" s="42" t="s">
        <v>39</v>
      </c>
      <c r="X66" s="43">
        <f>IFERROR(X59/H59,"0")+IFERROR(X60/H60,"0")+IFERROR(X61/H61,"0")+IFERROR(X62/H62,"0")+IFERROR(X63/H63,"0")+IFERROR(X64/H64,"0")+IFERROR(X65/H65,"0")</f>
        <v>55.55555555555555</v>
      </c>
      <c r="Y66" s="43">
        <f>IFERROR(Y59/H59,"0")+IFERROR(Y60/H60,"0")+IFERROR(Y61/H61,"0")+IFERROR(Y62/H62,"0")+IFERROR(Y63/H63,"0")+IFERROR(Y64/H64,"0")+IFERROR(Y65/H65,"0")</f>
        <v>56</v>
      </c>
      <c r="Z66" s="43">
        <f>IFERROR(IF(Z59="",0,Z59),"0")+IFERROR(IF(Z60="",0,Z60),"0")+IFERROR(IF(Z61="",0,Z61),"0")+IFERROR(IF(Z62="",0,Z62),"0")+IFERROR(IF(Z63="",0,Z63),"0")+IFERROR(IF(Z64="",0,Z64),"0")+IFERROR(IF(Z65="",0,Z65),"0")</f>
        <v>1.06288</v>
      </c>
      <c r="AA66" s="67"/>
      <c r="AB66" s="67"/>
      <c r="AC66" s="67"/>
    </row>
    <row r="67" spans="1:68" x14ac:dyDescent="0.2">
      <c r="A67" s="685"/>
      <c r="B67" s="685"/>
      <c r="C67" s="685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6"/>
      <c r="P67" s="682" t="s">
        <v>40</v>
      </c>
      <c r="Q67" s="683"/>
      <c r="R67" s="683"/>
      <c r="S67" s="683"/>
      <c r="T67" s="683"/>
      <c r="U67" s="683"/>
      <c r="V67" s="684"/>
      <c r="W67" s="42" t="s">
        <v>0</v>
      </c>
      <c r="X67" s="43">
        <f>IFERROR(SUM(X59:X65),"0")</f>
        <v>600</v>
      </c>
      <c r="Y67" s="43">
        <f>IFERROR(SUM(Y59:Y65),"0")</f>
        <v>604.80000000000007</v>
      </c>
      <c r="Z67" s="42"/>
      <c r="AA67" s="67"/>
      <c r="AB67" s="67"/>
      <c r="AC67" s="67"/>
    </row>
    <row r="68" spans="1:68" ht="14.25" customHeight="1" x14ac:dyDescent="0.25">
      <c r="A68" s="676" t="s">
        <v>163</v>
      </c>
      <c r="B68" s="676"/>
      <c r="C68" s="676"/>
      <c r="D68" s="676"/>
      <c r="E68" s="676"/>
      <c r="F68" s="676"/>
      <c r="G68" s="676"/>
      <c r="H68" s="676"/>
      <c r="I68" s="676"/>
      <c r="J68" s="676"/>
      <c r="K68" s="676"/>
      <c r="L68" s="676"/>
      <c r="M68" s="676"/>
      <c r="N68" s="676"/>
      <c r="O68" s="676"/>
      <c r="P68" s="676"/>
      <c r="Q68" s="676"/>
      <c r="R68" s="676"/>
      <c r="S68" s="676"/>
      <c r="T68" s="676"/>
      <c r="U68" s="676"/>
      <c r="V68" s="676"/>
      <c r="W68" s="676"/>
      <c r="X68" s="676"/>
      <c r="Y68" s="676"/>
      <c r="Z68" s="676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7">
        <v>4680115881440</v>
      </c>
      <c r="E69" s="677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9"/>
      <c r="R69" s="679"/>
      <c r="S69" s="679"/>
      <c r="T69" s="68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7">
        <v>4680115885950</v>
      </c>
      <c r="E70" s="677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9"/>
      <c r="R70" s="679"/>
      <c r="S70" s="679"/>
      <c r="T70" s="68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7">
        <v>4680115887688</v>
      </c>
      <c r="E71" s="677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9"/>
      <c r="R71" s="679"/>
      <c r="S71" s="679"/>
      <c r="T71" s="68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7">
        <v>4680115881433</v>
      </c>
      <c r="E72" s="677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9"/>
      <c r="R72" s="679"/>
      <c r="S72" s="679"/>
      <c r="T72" s="68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85"/>
      <c r="B73" s="685"/>
      <c r="C73" s="685"/>
      <c r="D73" s="685"/>
      <c r="E73" s="685"/>
      <c r="F73" s="685"/>
      <c r="G73" s="685"/>
      <c r="H73" s="685"/>
      <c r="I73" s="685"/>
      <c r="J73" s="685"/>
      <c r="K73" s="685"/>
      <c r="L73" s="685"/>
      <c r="M73" s="685"/>
      <c r="N73" s="685"/>
      <c r="O73" s="686"/>
      <c r="P73" s="682" t="s">
        <v>40</v>
      </c>
      <c r="Q73" s="683"/>
      <c r="R73" s="683"/>
      <c r="S73" s="683"/>
      <c r="T73" s="683"/>
      <c r="U73" s="683"/>
      <c r="V73" s="684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685"/>
      <c r="B74" s="685"/>
      <c r="C74" s="685"/>
      <c r="D74" s="685"/>
      <c r="E74" s="685"/>
      <c r="F74" s="685"/>
      <c r="G74" s="685"/>
      <c r="H74" s="685"/>
      <c r="I74" s="685"/>
      <c r="J74" s="685"/>
      <c r="K74" s="685"/>
      <c r="L74" s="685"/>
      <c r="M74" s="685"/>
      <c r="N74" s="685"/>
      <c r="O74" s="686"/>
      <c r="P74" s="682" t="s">
        <v>40</v>
      </c>
      <c r="Q74" s="683"/>
      <c r="R74" s="683"/>
      <c r="S74" s="683"/>
      <c r="T74" s="683"/>
      <c r="U74" s="683"/>
      <c r="V74" s="684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76" t="s">
        <v>86</v>
      </c>
      <c r="B75" s="676"/>
      <c r="C75" s="676"/>
      <c r="D75" s="676"/>
      <c r="E75" s="676"/>
      <c r="F75" s="676"/>
      <c r="G75" s="676"/>
      <c r="H75" s="676"/>
      <c r="I75" s="676"/>
      <c r="J75" s="676"/>
      <c r="K75" s="676"/>
      <c r="L75" s="676"/>
      <c r="M75" s="676"/>
      <c r="N75" s="676"/>
      <c r="O75" s="676"/>
      <c r="P75" s="676"/>
      <c r="Q75" s="676"/>
      <c r="R75" s="676"/>
      <c r="S75" s="676"/>
      <c r="T75" s="676"/>
      <c r="U75" s="676"/>
      <c r="V75" s="676"/>
      <c r="W75" s="676"/>
      <c r="X75" s="676"/>
      <c r="Y75" s="676"/>
      <c r="Z75" s="676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7">
        <v>4680115884311</v>
      </c>
      <c r="E76" s="677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9"/>
      <c r="R76" s="679"/>
      <c r="S76" s="679"/>
      <c r="T76" s="68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7">
        <v>4680115884403</v>
      </c>
      <c r="E77" s="677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9"/>
      <c r="R77" s="679"/>
      <c r="S77" s="679"/>
      <c r="T77" s="68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5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6"/>
      <c r="P78" s="682" t="s">
        <v>40</v>
      </c>
      <c r="Q78" s="683"/>
      <c r="R78" s="683"/>
      <c r="S78" s="683"/>
      <c r="T78" s="683"/>
      <c r="U78" s="683"/>
      <c r="V78" s="684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5"/>
      <c r="B79" s="685"/>
      <c r="C79" s="685"/>
      <c r="D79" s="685"/>
      <c r="E79" s="685"/>
      <c r="F79" s="685"/>
      <c r="G79" s="685"/>
      <c r="H79" s="685"/>
      <c r="I79" s="685"/>
      <c r="J79" s="685"/>
      <c r="K79" s="685"/>
      <c r="L79" s="685"/>
      <c r="M79" s="685"/>
      <c r="N79" s="685"/>
      <c r="O79" s="686"/>
      <c r="P79" s="682" t="s">
        <v>40</v>
      </c>
      <c r="Q79" s="683"/>
      <c r="R79" s="683"/>
      <c r="S79" s="683"/>
      <c r="T79" s="683"/>
      <c r="U79" s="683"/>
      <c r="V79" s="684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6" t="s">
        <v>180</v>
      </c>
      <c r="B80" s="676"/>
      <c r="C80" s="676"/>
      <c r="D80" s="676"/>
      <c r="E80" s="676"/>
      <c r="F80" s="676"/>
      <c r="G80" s="676"/>
      <c r="H80" s="676"/>
      <c r="I80" s="676"/>
      <c r="J80" s="676"/>
      <c r="K80" s="676"/>
      <c r="L80" s="676"/>
      <c r="M80" s="676"/>
      <c r="N80" s="676"/>
      <c r="O80" s="676"/>
      <c r="P80" s="676"/>
      <c r="Q80" s="676"/>
      <c r="R80" s="676"/>
      <c r="S80" s="676"/>
      <c r="T80" s="676"/>
      <c r="U80" s="676"/>
      <c r="V80" s="676"/>
      <c r="W80" s="676"/>
      <c r="X80" s="676"/>
      <c r="Y80" s="676"/>
      <c r="Z80" s="676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7">
        <v>4680115881532</v>
      </c>
      <c r="E81" s="67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9"/>
      <c r="R81" s="679"/>
      <c r="S81" s="679"/>
      <c r="T81" s="68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7">
        <v>4680115881464</v>
      </c>
      <c r="E82" s="67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5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6"/>
      <c r="P83" s="682" t="s">
        <v>40</v>
      </c>
      <c r="Q83" s="683"/>
      <c r="R83" s="683"/>
      <c r="S83" s="683"/>
      <c r="T83" s="683"/>
      <c r="U83" s="683"/>
      <c r="V83" s="684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5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6"/>
      <c r="P84" s="682" t="s">
        <v>40</v>
      </c>
      <c r="Q84" s="683"/>
      <c r="R84" s="683"/>
      <c r="S84" s="683"/>
      <c r="T84" s="683"/>
      <c r="U84" s="683"/>
      <c r="V84" s="684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5" t="s">
        <v>187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"/>
      <c r="AB85" s="65"/>
      <c r="AC85" s="79"/>
    </row>
    <row r="86" spans="1:68" ht="14.25" customHeight="1" x14ac:dyDescent="0.25">
      <c r="A86" s="676" t="s">
        <v>128</v>
      </c>
      <c r="B86" s="676"/>
      <c r="C86" s="676"/>
      <c r="D86" s="676"/>
      <c r="E86" s="676"/>
      <c r="F86" s="676"/>
      <c r="G86" s="676"/>
      <c r="H86" s="676"/>
      <c r="I86" s="676"/>
      <c r="J86" s="676"/>
      <c r="K86" s="676"/>
      <c r="L86" s="676"/>
      <c r="M86" s="676"/>
      <c r="N86" s="676"/>
      <c r="O86" s="676"/>
      <c r="P86" s="676"/>
      <c r="Q86" s="676"/>
      <c r="R86" s="676"/>
      <c r="S86" s="676"/>
      <c r="T86" s="676"/>
      <c r="U86" s="676"/>
      <c r="V86" s="676"/>
      <c r="W86" s="676"/>
      <c r="X86" s="676"/>
      <c r="Y86" s="676"/>
      <c r="Z86" s="676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7">
        <v>4680115881327</v>
      </c>
      <c r="E87" s="67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9" t="s">
        <v>46</v>
      </c>
      <c r="V87" s="39" t="s">
        <v>46</v>
      </c>
      <c r="W87" s="40" t="s">
        <v>0</v>
      </c>
      <c r="X87" s="58">
        <v>400</v>
      </c>
      <c r="Y87" s="55">
        <f>IFERROR(IF(X87="",0,CEILING((X87/$H87),1)*$H87),"")</f>
        <v>410.40000000000003</v>
      </c>
      <c r="Z87" s="41">
        <f>IFERROR(IF(Y87=0,"",ROUNDUP(Y87/H87,0)*0.01898),"")</f>
        <v>0.72123999999999999</v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415.18518518518516</v>
      </c>
      <c r="BN87" s="78">
        <f>IFERROR(Y87*I87/H87,"0")</f>
        <v>425.98</v>
      </c>
      <c r="BO87" s="78">
        <f>IFERROR(1/J87*(X87/H87),"0")</f>
        <v>0.57870370370370372</v>
      </c>
      <c r="BP87" s="78">
        <f>IFERROR(1/J87*(Y87/H87),"0")</f>
        <v>0.59375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7">
        <v>4680115887732</v>
      </c>
      <c r="E88" s="677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9"/>
      <c r="R88" s="679"/>
      <c r="S88" s="679"/>
      <c r="T88" s="68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7">
        <v>4680115881518</v>
      </c>
      <c r="E89" s="67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9"/>
      <c r="R89" s="679"/>
      <c r="S89" s="679"/>
      <c r="T89" s="68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7">
        <v>4680115881303</v>
      </c>
      <c r="E90" s="677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9"/>
      <c r="R90" s="679"/>
      <c r="S90" s="679"/>
      <c r="T90" s="68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6"/>
      <c r="P91" s="682" t="s">
        <v>40</v>
      </c>
      <c r="Q91" s="683"/>
      <c r="R91" s="683"/>
      <c r="S91" s="683"/>
      <c r="T91" s="683"/>
      <c r="U91" s="683"/>
      <c r="V91" s="684"/>
      <c r="W91" s="42" t="s">
        <v>39</v>
      </c>
      <c r="X91" s="43">
        <f>IFERROR(X87/H87,"0")+IFERROR(X88/H88,"0")+IFERROR(X89/H89,"0")+IFERROR(X90/H90,"0")</f>
        <v>37.037037037037038</v>
      </c>
      <c r="Y91" s="43">
        <f>IFERROR(Y87/H87,"0")+IFERROR(Y88/H88,"0")+IFERROR(Y89/H89,"0")+IFERROR(Y90/H90,"0")</f>
        <v>38</v>
      </c>
      <c r="Z91" s="43">
        <f>IFERROR(IF(Z87="",0,Z87),"0")+IFERROR(IF(Z88="",0,Z88),"0")+IFERROR(IF(Z89="",0,Z89),"0")+IFERROR(IF(Z90="",0,Z90),"0")</f>
        <v>0.72123999999999999</v>
      </c>
      <c r="AA91" s="67"/>
      <c r="AB91" s="67"/>
      <c r="AC91" s="67"/>
    </row>
    <row r="92" spans="1:68" x14ac:dyDescent="0.2">
      <c r="A92" s="685"/>
      <c r="B92" s="685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6"/>
      <c r="P92" s="682" t="s">
        <v>40</v>
      </c>
      <c r="Q92" s="683"/>
      <c r="R92" s="683"/>
      <c r="S92" s="683"/>
      <c r="T92" s="683"/>
      <c r="U92" s="683"/>
      <c r="V92" s="684"/>
      <c r="W92" s="42" t="s">
        <v>0</v>
      </c>
      <c r="X92" s="43">
        <f>IFERROR(SUM(X87:X90),"0")</f>
        <v>400</v>
      </c>
      <c r="Y92" s="43">
        <f>IFERROR(SUM(Y87:Y90),"0")</f>
        <v>410.40000000000003</v>
      </c>
      <c r="Z92" s="42"/>
      <c r="AA92" s="67"/>
      <c r="AB92" s="67"/>
      <c r="AC92" s="67"/>
    </row>
    <row r="93" spans="1:68" ht="14.25" customHeight="1" x14ac:dyDescent="0.25">
      <c r="A93" s="676" t="s">
        <v>86</v>
      </c>
      <c r="B93" s="676"/>
      <c r="C93" s="676"/>
      <c r="D93" s="676"/>
      <c r="E93" s="676"/>
      <c r="F93" s="676"/>
      <c r="G93" s="676"/>
      <c r="H93" s="676"/>
      <c r="I93" s="676"/>
      <c r="J93" s="676"/>
      <c r="K93" s="676"/>
      <c r="L93" s="676"/>
      <c r="M93" s="676"/>
      <c r="N93" s="676"/>
      <c r="O93" s="676"/>
      <c r="P93" s="676"/>
      <c r="Q93" s="676"/>
      <c r="R93" s="676"/>
      <c r="S93" s="676"/>
      <c r="T93" s="676"/>
      <c r="U93" s="676"/>
      <c r="V93" s="676"/>
      <c r="W93" s="676"/>
      <c r="X93" s="676"/>
      <c r="Y93" s="676"/>
      <c r="Z93" s="676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7">
        <v>4607091386967</v>
      </c>
      <c r="E94" s="677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9"/>
      <c r="R94" s="679"/>
      <c r="S94" s="679"/>
      <c r="T94" s="68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7">
        <v>4680115884953</v>
      </c>
      <c r="E95" s="677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9"/>
      <c r="R95" s="679"/>
      <c r="S95" s="679"/>
      <c r="T95" s="68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7">
        <v>4607091385731</v>
      </c>
      <c r="E96" s="677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9"/>
      <c r="R96" s="679"/>
      <c r="S96" s="679"/>
      <c r="T96" s="68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7">
        <v>4680115880894</v>
      </c>
      <c r="E97" s="677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9"/>
      <c r="R97" s="679"/>
      <c r="S97" s="679"/>
      <c r="T97" s="68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5"/>
      <c r="B98" s="685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6"/>
      <c r="P98" s="682" t="s">
        <v>40</v>
      </c>
      <c r="Q98" s="683"/>
      <c r="R98" s="683"/>
      <c r="S98" s="683"/>
      <c r="T98" s="683"/>
      <c r="U98" s="683"/>
      <c r="V98" s="684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85"/>
      <c r="B99" s="685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6"/>
      <c r="P99" s="682" t="s">
        <v>40</v>
      </c>
      <c r="Q99" s="683"/>
      <c r="R99" s="683"/>
      <c r="S99" s="683"/>
      <c r="T99" s="683"/>
      <c r="U99" s="683"/>
      <c r="V99" s="684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75" t="s">
        <v>208</v>
      </c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  <c r="AA100" s="65"/>
      <c r="AB100" s="65"/>
      <c r="AC100" s="79"/>
    </row>
    <row r="101" spans="1:68" ht="14.25" customHeight="1" x14ac:dyDescent="0.25">
      <c r="A101" s="676" t="s">
        <v>128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7">
        <v>4680115882133</v>
      </c>
      <c r="E102" s="67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9"/>
      <c r="R102" s="679"/>
      <c r="S102" s="679"/>
      <c r="T102" s="680"/>
      <c r="U102" s="39" t="s">
        <v>46</v>
      </c>
      <c r="V102" s="39" t="s">
        <v>46</v>
      </c>
      <c r="W102" s="40" t="s">
        <v>0</v>
      </c>
      <c r="X102" s="58">
        <v>200</v>
      </c>
      <c r="Y102" s="55">
        <f t="shared" ref="Y102:Y108" si="11">IFERROR(IF(X102="",0,CEILING((X102/$H102),1)*$H102),"")</f>
        <v>205.20000000000002</v>
      </c>
      <c r="Z102" s="41">
        <f>IFERROR(IF(Y102=0,"",ROUNDUP(Y102/H102,0)*0.01898),"")</f>
        <v>0.36062</v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207.59259259259258</v>
      </c>
      <c r="BN102" s="78">
        <f t="shared" ref="BN102:BN108" si="13">IFERROR(Y102*I102/H102,"0")</f>
        <v>212.99</v>
      </c>
      <c r="BO102" s="78">
        <f t="shared" ref="BO102:BO108" si="14">IFERROR(1/J102*(X102/H102),"0")</f>
        <v>0.28935185185185186</v>
      </c>
      <c r="BP102" s="78">
        <f t="shared" ref="BP102:BP108" si="15">IFERROR(1/J102*(Y102/H102),"0")</f>
        <v>0.296875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7">
        <v>4680115887718</v>
      </c>
      <c r="E103" s="677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9"/>
      <c r="R103" s="679"/>
      <c r="S103" s="679"/>
      <c r="T103" s="68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7">
        <v>4680115887718</v>
      </c>
      <c r="E104" s="677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9"/>
      <c r="R104" s="679"/>
      <c r="S104" s="679"/>
      <c r="T104" s="68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7">
        <v>4680115887749</v>
      </c>
      <c r="E105" s="677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9"/>
      <c r="R105" s="679"/>
      <c r="S105" s="679"/>
      <c r="T105" s="68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7">
        <v>4680115880269</v>
      </c>
      <c r="E106" s="67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9"/>
      <c r="R106" s="679"/>
      <c r="S106" s="679"/>
      <c r="T106" s="68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7">
        <v>4680115880429</v>
      </c>
      <c r="E107" s="67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9"/>
      <c r="R107" s="679"/>
      <c r="S107" s="679"/>
      <c r="T107" s="68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7">
        <v>4680115881457</v>
      </c>
      <c r="E108" s="67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9"/>
      <c r="R108" s="679"/>
      <c r="S108" s="679"/>
      <c r="T108" s="68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5"/>
      <c r="B109" s="685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6"/>
      <c r="P109" s="682" t="s">
        <v>40</v>
      </c>
      <c r="Q109" s="683"/>
      <c r="R109" s="683"/>
      <c r="S109" s="683"/>
      <c r="T109" s="683"/>
      <c r="U109" s="683"/>
      <c r="V109" s="684"/>
      <c r="W109" s="42" t="s">
        <v>39</v>
      </c>
      <c r="X109" s="43">
        <f>IFERROR(X102/H102,"0")+IFERROR(X103/H103,"0")+IFERROR(X104/H104,"0")+IFERROR(X105/H105,"0")+IFERROR(X106/H106,"0")+IFERROR(X107/H107,"0")+IFERROR(X108/H108,"0")</f>
        <v>18.518518518518519</v>
      </c>
      <c r="Y109" s="43">
        <f>IFERROR(Y102/H102,"0")+IFERROR(Y103/H103,"0")+IFERROR(Y104/H104,"0")+IFERROR(Y105/H105,"0")+IFERROR(Y106/H106,"0")+IFERROR(Y107/H107,"0")+IFERROR(Y108/H108,"0")</f>
        <v>19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0.36062</v>
      </c>
      <c r="AA109" s="67"/>
      <c r="AB109" s="67"/>
      <c r="AC109" s="67"/>
    </row>
    <row r="110" spans="1:68" x14ac:dyDescent="0.2">
      <c r="A110" s="685"/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6"/>
      <c r="P110" s="682" t="s">
        <v>40</v>
      </c>
      <c r="Q110" s="683"/>
      <c r="R110" s="683"/>
      <c r="S110" s="683"/>
      <c r="T110" s="683"/>
      <c r="U110" s="683"/>
      <c r="V110" s="684"/>
      <c r="W110" s="42" t="s">
        <v>0</v>
      </c>
      <c r="X110" s="43">
        <f>IFERROR(SUM(X102:X108),"0")</f>
        <v>200</v>
      </c>
      <c r="Y110" s="43">
        <f>IFERROR(SUM(Y102:Y108),"0")</f>
        <v>205.20000000000002</v>
      </c>
      <c r="Z110" s="42"/>
      <c r="AA110" s="67"/>
      <c r="AB110" s="67"/>
      <c r="AC110" s="67"/>
    </row>
    <row r="111" spans="1:68" ht="14.25" customHeight="1" x14ac:dyDescent="0.25">
      <c r="A111" s="676" t="s">
        <v>163</v>
      </c>
      <c r="B111" s="676"/>
      <c r="C111" s="676"/>
      <c r="D111" s="676"/>
      <c r="E111" s="676"/>
      <c r="F111" s="676"/>
      <c r="G111" s="676"/>
      <c r="H111" s="676"/>
      <c r="I111" s="676"/>
      <c r="J111" s="676"/>
      <c r="K111" s="676"/>
      <c r="L111" s="676"/>
      <c r="M111" s="676"/>
      <c r="N111" s="676"/>
      <c r="O111" s="676"/>
      <c r="P111" s="676"/>
      <c r="Q111" s="676"/>
      <c r="R111" s="676"/>
      <c r="S111" s="676"/>
      <c r="T111" s="676"/>
      <c r="U111" s="676"/>
      <c r="V111" s="676"/>
      <c r="W111" s="676"/>
      <c r="X111" s="676"/>
      <c r="Y111" s="676"/>
      <c r="Z111" s="676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7">
        <v>4680115881488</v>
      </c>
      <c r="E112" s="67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9"/>
      <c r="R112" s="679"/>
      <c r="S112" s="679"/>
      <c r="T112" s="68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7">
        <v>4680115881488</v>
      </c>
      <c r="E113" s="67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9"/>
      <c r="R113" s="679"/>
      <c r="S113" s="679"/>
      <c r="T113" s="68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7">
        <v>4680115887664</v>
      </c>
      <c r="E114" s="67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9"/>
      <c r="R114" s="679"/>
      <c r="S114" s="679"/>
      <c r="T114" s="68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7">
        <v>4680115887664</v>
      </c>
      <c r="E115" s="67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9"/>
      <c r="R115" s="679"/>
      <c r="S115" s="679"/>
      <c r="T115" s="68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7">
        <v>4680115882775</v>
      </c>
      <c r="E116" s="67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9"/>
      <c r="R116" s="679"/>
      <c r="S116" s="679"/>
      <c r="T116" s="68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7">
        <v>4680115880658</v>
      </c>
      <c r="E117" s="67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9"/>
      <c r="R117" s="679"/>
      <c r="S117" s="679"/>
      <c r="T117" s="68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77">
        <v>4680115880658</v>
      </c>
      <c r="E118" s="67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9"/>
      <c r="R118" s="679"/>
      <c r="S118" s="679"/>
      <c r="T118" s="68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">
      <c r="A119" s="685"/>
      <c r="B119" s="685"/>
      <c r="C119" s="685"/>
      <c r="D119" s="685"/>
      <c r="E119" s="685"/>
      <c r="F119" s="685"/>
      <c r="G119" s="685"/>
      <c r="H119" s="685"/>
      <c r="I119" s="685"/>
      <c r="J119" s="685"/>
      <c r="K119" s="685"/>
      <c r="L119" s="685"/>
      <c r="M119" s="685"/>
      <c r="N119" s="685"/>
      <c r="O119" s="686"/>
      <c r="P119" s="682" t="s">
        <v>40</v>
      </c>
      <c r="Q119" s="683"/>
      <c r="R119" s="683"/>
      <c r="S119" s="683"/>
      <c r="T119" s="683"/>
      <c r="U119" s="683"/>
      <c r="V119" s="68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85"/>
      <c r="B120" s="685"/>
      <c r="C120" s="685"/>
      <c r="D120" s="685"/>
      <c r="E120" s="685"/>
      <c r="F120" s="685"/>
      <c r="G120" s="685"/>
      <c r="H120" s="685"/>
      <c r="I120" s="685"/>
      <c r="J120" s="685"/>
      <c r="K120" s="685"/>
      <c r="L120" s="685"/>
      <c r="M120" s="685"/>
      <c r="N120" s="685"/>
      <c r="O120" s="686"/>
      <c r="P120" s="682" t="s">
        <v>40</v>
      </c>
      <c r="Q120" s="683"/>
      <c r="R120" s="683"/>
      <c r="S120" s="683"/>
      <c r="T120" s="683"/>
      <c r="U120" s="683"/>
      <c r="V120" s="68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76" t="s">
        <v>86</v>
      </c>
      <c r="B121" s="676"/>
      <c r="C121" s="676"/>
      <c r="D121" s="676"/>
      <c r="E121" s="676"/>
      <c r="F121" s="676"/>
      <c r="G121" s="676"/>
      <c r="H121" s="676"/>
      <c r="I121" s="676"/>
      <c r="J121" s="676"/>
      <c r="K121" s="676"/>
      <c r="L121" s="676"/>
      <c r="M121" s="676"/>
      <c r="N121" s="676"/>
      <c r="O121" s="676"/>
      <c r="P121" s="676"/>
      <c r="Q121" s="676"/>
      <c r="R121" s="676"/>
      <c r="S121" s="676"/>
      <c r="T121" s="676"/>
      <c r="U121" s="676"/>
      <c r="V121" s="676"/>
      <c r="W121" s="676"/>
      <c r="X121" s="676"/>
      <c r="Y121" s="676"/>
      <c r="Z121" s="676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7">
        <v>4607091385168</v>
      </c>
      <c r="E122" s="67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9"/>
      <c r="R122" s="679"/>
      <c r="S122" s="679"/>
      <c r="T122" s="68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77">
        <v>4607091383256</v>
      </c>
      <c r="E123" s="67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9"/>
      <c r="R123" s="679"/>
      <c r="S123" s="679"/>
      <c r="T123" s="68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77">
        <v>4607091385748</v>
      </c>
      <c r="E124" s="67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9"/>
      <c r="R124" s="679"/>
      <c r="S124" s="679"/>
      <c r="T124" s="68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77">
        <v>4680115884533</v>
      </c>
      <c r="E125" s="67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9"/>
      <c r="R125" s="679"/>
      <c r="S125" s="679"/>
      <c r="T125" s="68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85"/>
      <c r="B126" s="685"/>
      <c r="C126" s="685"/>
      <c r="D126" s="685"/>
      <c r="E126" s="685"/>
      <c r="F126" s="685"/>
      <c r="G126" s="685"/>
      <c r="H126" s="685"/>
      <c r="I126" s="685"/>
      <c r="J126" s="685"/>
      <c r="K126" s="685"/>
      <c r="L126" s="685"/>
      <c r="M126" s="685"/>
      <c r="N126" s="685"/>
      <c r="O126" s="686"/>
      <c r="P126" s="682" t="s">
        <v>40</v>
      </c>
      <c r="Q126" s="683"/>
      <c r="R126" s="683"/>
      <c r="S126" s="683"/>
      <c r="T126" s="683"/>
      <c r="U126" s="683"/>
      <c r="V126" s="68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85"/>
      <c r="B127" s="685"/>
      <c r="C127" s="685"/>
      <c r="D127" s="685"/>
      <c r="E127" s="685"/>
      <c r="F127" s="685"/>
      <c r="G127" s="685"/>
      <c r="H127" s="685"/>
      <c r="I127" s="685"/>
      <c r="J127" s="685"/>
      <c r="K127" s="685"/>
      <c r="L127" s="685"/>
      <c r="M127" s="685"/>
      <c r="N127" s="685"/>
      <c r="O127" s="686"/>
      <c r="P127" s="682" t="s">
        <v>40</v>
      </c>
      <c r="Q127" s="683"/>
      <c r="R127" s="683"/>
      <c r="S127" s="683"/>
      <c r="T127" s="683"/>
      <c r="U127" s="683"/>
      <c r="V127" s="68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76" t="s">
        <v>180</v>
      </c>
      <c r="B128" s="676"/>
      <c r="C128" s="676"/>
      <c r="D128" s="676"/>
      <c r="E128" s="676"/>
      <c r="F128" s="676"/>
      <c r="G128" s="676"/>
      <c r="H128" s="676"/>
      <c r="I128" s="676"/>
      <c r="J128" s="676"/>
      <c r="K128" s="676"/>
      <c r="L128" s="676"/>
      <c r="M128" s="676"/>
      <c r="N128" s="676"/>
      <c r="O128" s="676"/>
      <c r="P128" s="676"/>
      <c r="Q128" s="676"/>
      <c r="R128" s="676"/>
      <c r="S128" s="676"/>
      <c r="T128" s="676"/>
      <c r="U128" s="676"/>
      <c r="V128" s="676"/>
      <c r="W128" s="676"/>
      <c r="X128" s="676"/>
      <c r="Y128" s="676"/>
      <c r="Z128" s="676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77">
        <v>4680115880238</v>
      </c>
      <c r="E129" s="67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9"/>
      <c r="R129" s="679"/>
      <c r="S129" s="679"/>
      <c r="T129" s="68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85"/>
      <c r="B130" s="685"/>
      <c r="C130" s="685"/>
      <c r="D130" s="685"/>
      <c r="E130" s="685"/>
      <c r="F130" s="685"/>
      <c r="G130" s="685"/>
      <c r="H130" s="685"/>
      <c r="I130" s="685"/>
      <c r="J130" s="685"/>
      <c r="K130" s="685"/>
      <c r="L130" s="685"/>
      <c r="M130" s="685"/>
      <c r="N130" s="685"/>
      <c r="O130" s="686"/>
      <c r="P130" s="682" t="s">
        <v>40</v>
      </c>
      <c r="Q130" s="683"/>
      <c r="R130" s="683"/>
      <c r="S130" s="683"/>
      <c r="T130" s="683"/>
      <c r="U130" s="683"/>
      <c r="V130" s="68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85"/>
      <c r="B131" s="685"/>
      <c r="C131" s="685"/>
      <c r="D131" s="685"/>
      <c r="E131" s="685"/>
      <c r="F131" s="685"/>
      <c r="G131" s="685"/>
      <c r="H131" s="685"/>
      <c r="I131" s="685"/>
      <c r="J131" s="685"/>
      <c r="K131" s="685"/>
      <c r="L131" s="685"/>
      <c r="M131" s="685"/>
      <c r="N131" s="685"/>
      <c r="O131" s="686"/>
      <c r="P131" s="682" t="s">
        <v>40</v>
      </c>
      <c r="Q131" s="683"/>
      <c r="R131" s="683"/>
      <c r="S131" s="683"/>
      <c r="T131" s="683"/>
      <c r="U131" s="683"/>
      <c r="V131" s="68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75" t="s">
        <v>252</v>
      </c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5"/>
      <c r="AB132" s="65"/>
      <c r="AC132" s="79"/>
    </row>
    <row r="133" spans="1:68" ht="14.25" customHeight="1" x14ac:dyDescent="0.25">
      <c r="A133" s="676" t="s">
        <v>128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77">
        <v>4680115882577</v>
      </c>
      <c r="E134" s="67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79"/>
      <c r="R134" s="679"/>
      <c r="S134" s="679"/>
      <c r="T134" s="68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77">
        <v>4680115882577</v>
      </c>
      <c r="E135" s="67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85"/>
      <c r="B136" s="685"/>
      <c r="C136" s="685"/>
      <c r="D136" s="685"/>
      <c r="E136" s="685"/>
      <c r="F136" s="685"/>
      <c r="G136" s="685"/>
      <c r="H136" s="685"/>
      <c r="I136" s="685"/>
      <c r="J136" s="685"/>
      <c r="K136" s="685"/>
      <c r="L136" s="685"/>
      <c r="M136" s="685"/>
      <c r="N136" s="685"/>
      <c r="O136" s="686"/>
      <c r="P136" s="682" t="s">
        <v>40</v>
      </c>
      <c r="Q136" s="683"/>
      <c r="R136" s="683"/>
      <c r="S136" s="683"/>
      <c r="T136" s="683"/>
      <c r="U136" s="683"/>
      <c r="V136" s="68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85"/>
      <c r="B137" s="685"/>
      <c r="C137" s="685"/>
      <c r="D137" s="685"/>
      <c r="E137" s="685"/>
      <c r="F137" s="685"/>
      <c r="G137" s="685"/>
      <c r="H137" s="685"/>
      <c r="I137" s="685"/>
      <c r="J137" s="685"/>
      <c r="K137" s="685"/>
      <c r="L137" s="685"/>
      <c r="M137" s="685"/>
      <c r="N137" s="685"/>
      <c r="O137" s="686"/>
      <c r="P137" s="682" t="s">
        <v>40</v>
      </c>
      <c r="Q137" s="683"/>
      <c r="R137" s="683"/>
      <c r="S137" s="683"/>
      <c r="T137" s="683"/>
      <c r="U137" s="683"/>
      <c r="V137" s="68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6" t="s">
        <v>77</v>
      </c>
      <c r="B138" s="676"/>
      <c r="C138" s="676"/>
      <c r="D138" s="676"/>
      <c r="E138" s="676"/>
      <c r="F138" s="676"/>
      <c r="G138" s="676"/>
      <c r="H138" s="676"/>
      <c r="I138" s="676"/>
      <c r="J138" s="676"/>
      <c r="K138" s="676"/>
      <c r="L138" s="676"/>
      <c r="M138" s="676"/>
      <c r="N138" s="676"/>
      <c r="O138" s="676"/>
      <c r="P138" s="676"/>
      <c r="Q138" s="676"/>
      <c r="R138" s="676"/>
      <c r="S138" s="676"/>
      <c r="T138" s="676"/>
      <c r="U138" s="676"/>
      <c r="V138" s="676"/>
      <c r="W138" s="676"/>
      <c r="X138" s="676"/>
      <c r="Y138" s="676"/>
      <c r="Z138" s="676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77">
        <v>4680115883444</v>
      </c>
      <c r="E139" s="67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79"/>
      <c r="R139" s="679"/>
      <c r="S139" s="679"/>
      <c r="T139" s="68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77">
        <v>4680115883444</v>
      </c>
      <c r="E140" s="67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85"/>
      <c r="B141" s="685"/>
      <c r="C141" s="685"/>
      <c r="D141" s="685"/>
      <c r="E141" s="685"/>
      <c r="F141" s="685"/>
      <c r="G141" s="685"/>
      <c r="H141" s="685"/>
      <c r="I141" s="685"/>
      <c r="J141" s="685"/>
      <c r="K141" s="685"/>
      <c r="L141" s="685"/>
      <c r="M141" s="685"/>
      <c r="N141" s="685"/>
      <c r="O141" s="686"/>
      <c r="P141" s="682" t="s">
        <v>40</v>
      </c>
      <c r="Q141" s="683"/>
      <c r="R141" s="683"/>
      <c r="S141" s="683"/>
      <c r="T141" s="683"/>
      <c r="U141" s="683"/>
      <c r="V141" s="68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85"/>
      <c r="B142" s="685"/>
      <c r="C142" s="685"/>
      <c r="D142" s="685"/>
      <c r="E142" s="685"/>
      <c r="F142" s="685"/>
      <c r="G142" s="685"/>
      <c r="H142" s="685"/>
      <c r="I142" s="685"/>
      <c r="J142" s="685"/>
      <c r="K142" s="685"/>
      <c r="L142" s="685"/>
      <c r="M142" s="685"/>
      <c r="N142" s="685"/>
      <c r="O142" s="686"/>
      <c r="P142" s="682" t="s">
        <v>40</v>
      </c>
      <c r="Q142" s="683"/>
      <c r="R142" s="683"/>
      <c r="S142" s="683"/>
      <c r="T142" s="683"/>
      <c r="U142" s="683"/>
      <c r="V142" s="68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6" t="s">
        <v>86</v>
      </c>
      <c r="B143" s="676"/>
      <c r="C143" s="676"/>
      <c r="D143" s="676"/>
      <c r="E143" s="676"/>
      <c r="F143" s="676"/>
      <c r="G143" s="676"/>
      <c r="H143" s="676"/>
      <c r="I143" s="676"/>
      <c r="J143" s="676"/>
      <c r="K143" s="676"/>
      <c r="L143" s="676"/>
      <c r="M143" s="676"/>
      <c r="N143" s="676"/>
      <c r="O143" s="676"/>
      <c r="P143" s="676"/>
      <c r="Q143" s="676"/>
      <c r="R143" s="676"/>
      <c r="S143" s="676"/>
      <c r="T143" s="676"/>
      <c r="U143" s="676"/>
      <c r="V143" s="676"/>
      <c r="W143" s="676"/>
      <c r="X143" s="676"/>
      <c r="Y143" s="676"/>
      <c r="Z143" s="676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77">
        <v>4680115882584</v>
      </c>
      <c r="E144" s="67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79"/>
      <c r="R144" s="679"/>
      <c r="S144" s="679"/>
      <c r="T144" s="68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77">
        <v>4680115882584</v>
      </c>
      <c r="E145" s="67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85"/>
      <c r="B146" s="685"/>
      <c r="C146" s="685"/>
      <c r="D146" s="685"/>
      <c r="E146" s="685"/>
      <c r="F146" s="685"/>
      <c r="G146" s="685"/>
      <c r="H146" s="685"/>
      <c r="I146" s="685"/>
      <c r="J146" s="685"/>
      <c r="K146" s="685"/>
      <c r="L146" s="685"/>
      <c r="M146" s="685"/>
      <c r="N146" s="685"/>
      <c r="O146" s="686"/>
      <c r="P146" s="682" t="s">
        <v>40</v>
      </c>
      <c r="Q146" s="683"/>
      <c r="R146" s="683"/>
      <c r="S146" s="683"/>
      <c r="T146" s="683"/>
      <c r="U146" s="683"/>
      <c r="V146" s="68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85"/>
      <c r="B147" s="685"/>
      <c r="C147" s="685"/>
      <c r="D147" s="685"/>
      <c r="E147" s="685"/>
      <c r="F147" s="685"/>
      <c r="G147" s="685"/>
      <c r="H147" s="685"/>
      <c r="I147" s="685"/>
      <c r="J147" s="685"/>
      <c r="K147" s="685"/>
      <c r="L147" s="685"/>
      <c r="M147" s="685"/>
      <c r="N147" s="685"/>
      <c r="O147" s="686"/>
      <c r="P147" s="682" t="s">
        <v>40</v>
      </c>
      <c r="Q147" s="683"/>
      <c r="R147" s="683"/>
      <c r="S147" s="683"/>
      <c r="T147" s="683"/>
      <c r="U147" s="683"/>
      <c r="V147" s="68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75" t="s">
        <v>264</v>
      </c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  <c r="AA148" s="65"/>
      <c r="AB148" s="65"/>
      <c r="AC148" s="79"/>
    </row>
    <row r="149" spans="1:68" ht="14.25" customHeight="1" x14ac:dyDescent="0.25">
      <c r="A149" s="676" t="s">
        <v>86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77">
        <v>4680115888203</v>
      </c>
      <c r="E150" s="67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79"/>
      <c r="R150" s="679"/>
      <c r="S150" s="679"/>
      <c r="T150" s="68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77">
        <v>4680115888180</v>
      </c>
      <c r="E151" s="67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79"/>
      <c r="R151" s="679"/>
      <c r="S151" s="679"/>
      <c r="T151" s="68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77">
        <v>4680115888197</v>
      </c>
      <c r="E152" s="67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79"/>
      <c r="R152" s="679"/>
      <c r="S152" s="679"/>
      <c r="T152" s="68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77">
        <v>4680115888210</v>
      </c>
      <c r="E153" s="67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79"/>
      <c r="R153" s="679"/>
      <c r="S153" s="679"/>
      <c r="T153" s="68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85"/>
      <c r="B154" s="685"/>
      <c r="C154" s="685"/>
      <c r="D154" s="685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86"/>
      <c r="P154" s="682" t="s">
        <v>40</v>
      </c>
      <c r="Q154" s="683"/>
      <c r="R154" s="683"/>
      <c r="S154" s="683"/>
      <c r="T154" s="683"/>
      <c r="U154" s="683"/>
      <c r="V154" s="68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85"/>
      <c r="B155" s="685"/>
      <c r="C155" s="685"/>
      <c r="D155" s="685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86"/>
      <c r="P155" s="682" t="s">
        <v>40</v>
      </c>
      <c r="Q155" s="683"/>
      <c r="R155" s="683"/>
      <c r="S155" s="683"/>
      <c r="T155" s="683"/>
      <c r="U155" s="683"/>
      <c r="V155" s="68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75" t="s">
        <v>126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"/>
      <c r="AB156" s="65"/>
      <c r="AC156" s="79"/>
    </row>
    <row r="157" spans="1:68" ht="14.25" customHeight="1" x14ac:dyDescent="0.25">
      <c r="A157" s="676" t="s">
        <v>128</v>
      </c>
      <c r="B157" s="676"/>
      <c r="C157" s="676"/>
      <c r="D157" s="676"/>
      <c r="E157" s="676"/>
      <c r="F157" s="676"/>
      <c r="G157" s="676"/>
      <c r="H157" s="676"/>
      <c r="I157" s="676"/>
      <c r="J157" s="676"/>
      <c r="K157" s="676"/>
      <c r="L157" s="676"/>
      <c r="M157" s="676"/>
      <c r="N157" s="676"/>
      <c r="O157" s="676"/>
      <c r="P157" s="676"/>
      <c r="Q157" s="676"/>
      <c r="R157" s="676"/>
      <c r="S157" s="676"/>
      <c r="T157" s="676"/>
      <c r="U157" s="676"/>
      <c r="V157" s="676"/>
      <c r="W157" s="676"/>
      <c r="X157" s="676"/>
      <c r="Y157" s="676"/>
      <c r="Z157" s="676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77">
        <v>4680115887374</v>
      </c>
      <c r="E158" s="67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79"/>
      <c r="R158" s="679"/>
      <c r="S158" s="679"/>
      <c r="T158" s="68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77">
        <v>4607091384604</v>
      </c>
      <c r="E159" s="67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79"/>
      <c r="R159" s="679"/>
      <c r="S159" s="679"/>
      <c r="T159" s="68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85"/>
      <c r="B160" s="685"/>
      <c r="C160" s="685"/>
      <c r="D160" s="685"/>
      <c r="E160" s="685"/>
      <c r="F160" s="685"/>
      <c r="G160" s="685"/>
      <c r="H160" s="685"/>
      <c r="I160" s="685"/>
      <c r="J160" s="685"/>
      <c r="K160" s="685"/>
      <c r="L160" s="685"/>
      <c r="M160" s="685"/>
      <c r="N160" s="685"/>
      <c r="O160" s="686"/>
      <c r="P160" s="682" t="s">
        <v>40</v>
      </c>
      <c r="Q160" s="683"/>
      <c r="R160" s="683"/>
      <c r="S160" s="683"/>
      <c r="T160" s="683"/>
      <c r="U160" s="683"/>
      <c r="V160" s="68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85"/>
      <c r="B161" s="685"/>
      <c r="C161" s="685"/>
      <c r="D161" s="685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86"/>
      <c r="P161" s="682" t="s">
        <v>40</v>
      </c>
      <c r="Q161" s="683"/>
      <c r="R161" s="683"/>
      <c r="S161" s="683"/>
      <c r="T161" s="683"/>
      <c r="U161" s="683"/>
      <c r="V161" s="68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76" t="s">
        <v>163</v>
      </c>
      <c r="B162" s="676"/>
      <c r="C162" s="676"/>
      <c r="D162" s="676"/>
      <c r="E162" s="676"/>
      <c r="F162" s="676"/>
      <c r="G162" s="676"/>
      <c r="H162" s="676"/>
      <c r="I162" s="676"/>
      <c r="J162" s="676"/>
      <c r="K162" s="676"/>
      <c r="L162" s="676"/>
      <c r="M162" s="676"/>
      <c r="N162" s="676"/>
      <c r="O162" s="676"/>
      <c r="P162" s="676"/>
      <c r="Q162" s="676"/>
      <c r="R162" s="676"/>
      <c r="S162" s="676"/>
      <c r="T162" s="676"/>
      <c r="U162" s="676"/>
      <c r="V162" s="676"/>
      <c r="W162" s="676"/>
      <c r="X162" s="676"/>
      <c r="Y162" s="676"/>
      <c r="Z162" s="676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77">
        <v>4680115887695</v>
      </c>
      <c r="E163" s="67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79"/>
      <c r="R163" s="679"/>
      <c r="S163" s="679"/>
      <c r="T163" s="68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85"/>
      <c r="B164" s="685"/>
      <c r="C164" s="685"/>
      <c r="D164" s="685"/>
      <c r="E164" s="685"/>
      <c r="F164" s="685"/>
      <c r="G164" s="685"/>
      <c r="H164" s="685"/>
      <c r="I164" s="685"/>
      <c r="J164" s="685"/>
      <c r="K164" s="685"/>
      <c r="L164" s="685"/>
      <c r="M164" s="685"/>
      <c r="N164" s="685"/>
      <c r="O164" s="686"/>
      <c r="P164" s="682" t="s">
        <v>40</v>
      </c>
      <c r="Q164" s="683"/>
      <c r="R164" s="683"/>
      <c r="S164" s="683"/>
      <c r="T164" s="683"/>
      <c r="U164" s="683"/>
      <c r="V164" s="68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85"/>
      <c r="B165" s="685"/>
      <c r="C165" s="685"/>
      <c r="D165" s="685"/>
      <c r="E165" s="685"/>
      <c r="F165" s="685"/>
      <c r="G165" s="685"/>
      <c r="H165" s="685"/>
      <c r="I165" s="685"/>
      <c r="J165" s="685"/>
      <c r="K165" s="685"/>
      <c r="L165" s="685"/>
      <c r="M165" s="685"/>
      <c r="N165" s="685"/>
      <c r="O165" s="686"/>
      <c r="P165" s="682" t="s">
        <v>40</v>
      </c>
      <c r="Q165" s="683"/>
      <c r="R165" s="683"/>
      <c r="S165" s="683"/>
      <c r="T165" s="683"/>
      <c r="U165" s="683"/>
      <c r="V165" s="68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76" t="s">
        <v>77</v>
      </c>
      <c r="B166" s="676"/>
      <c r="C166" s="676"/>
      <c r="D166" s="676"/>
      <c r="E166" s="676"/>
      <c r="F166" s="676"/>
      <c r="G166" s="676"/>
      <c r="H166" s="676"/>
      <c r="I166" s="676"/>
      <c r="J166" s="676"/>
      <c r="K166" s="676"/>
      <c r="L166" s="676"/>
      <c r="M166" s="676"/>
      <c r="N166" s="676"/>
      <c r="O166" s="676"/>
      <c r="P166" s="676"/>
      <c r="Q166" s="676"/>
      <c r="R166" s="676"/>
      <c r="S166" s="676"/>
      <c r="T166" s="676"/>
      <c r="U166" s="676"/>
      <c r="V166" s="676"/>
      <c r="W166" s="676"/>
      <c r="X166" s="676"/>
      <c r="Y166" s="676"/>
      <c r="Z166" s="676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7">
        <v>4680115887428</v>
      </c>
      <c r="E167" s="67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79"/>
      <c r="R167" s="679"/>
      <c r="S167" s="679"/>
      <c r="T167" s="68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77">
        <v>4607091382426</v>
      </c>
      <c r="E168" s="67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79"/>
      <c r="R168" s="679"/>
      <c r="S168" s="679"/>
      <c r="T168" s="68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7">
        <v>4680115887398</v>
      </c>
      <c r="E169" s="67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79"/>
      <c r="R169" s="679"/>
      <c r="S169" s="679"/>
      <c r="T169" s="68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7">
        <v>4680115887336</v>
      </c>
      <c r="E170" s="67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79"/>
      <c r="R170" s="679"/>
      <c r="S170" s="679"/>
      <c r="T170" s="68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77">
        <v>4680115887787</v>
      </c>
      <c r="E171" s="67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79"/>
      <c r="R171" s="679"/>
      <c r="S171" s="679"/>
      <c r="T171" s="68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77">
        <v>4680115887503</v>
      </c>
      <c r="E172" s="67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79"/>
      <c r="R172" s="679"/>
      <c r="S172" s="679"/>
      <c r="T172" s="68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77">
        <v>4680115887763</v>
      </c>
      <c r="E173" s="67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79"/>
      <c r="R173" s="679"/>
      <c r="S173" s="679"/>
      <c r="T173" s="68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77">
        <v>4680115887763</v>
      </c>
      <c r="E174" s="67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79"/>
      <c r="R174" s="679"/>
      <c r="S174" s="679"/>
      <c r="T174" s="68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77">
        <v>4680115887480</v>
      </c>
      <c r="E175" s="67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79"/>
      <c r="R175" s="679"/>
      <c r="S175" s="679"/>
      <c r="T175" s="68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77">
        <v>4680115888067</v>
      </c>
      <c r="E176" s="67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79"/>
      <c r="R176" s="679"/>
      <c r="S176" s="679"/>
      <c r="T176" s="68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77">
        <v>4680115887435</v>
      </c>
      <c r="E177" s="67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79"/>
      <c r="R177" s="679"/>
      <c r="S177" s="679"/>
      <c r="T177" s="68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5"/>
      <c r="B178" s="685"/>
      <c r="C178" s="685"/>
      <c r="D178" s="685"/>
      <c r="E178" s="685"/>
      <c r="F178" s="685"/>
      <c r="G178" s="685"/>
      <c r="H178" s="685"/>
      <c r="I178" s="685"/>
      <c r="J178" s="685"/>
      <c r="K178" s="685"/>
      <c r="L178" s="685"/>
      <c r="M178" s="685"/>
      <c r="N178" s="685"/>
      <c r="O178" s="686"/>
      <c r="P178" s="682" t="s">
        <v>40</v>
      </c>
      <c r="Q178" s="683"/>
      <c r="R178" s="683"/>
      <c r="S178" s="683"/>
      <c r="T178" s="683"/>
      <c r="U178" s="683"/>
      <c r="V178" s="68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85"/>
      <c r="B179" s="685"/>
      <c r="C179" s="685"/>
      <c r="D179" s="685"/>
      <c r="E179" s="685"/>
      <c r="F179" s="685"/>
      <c r="G179" s="685"/>
      <c r="H179" s="685"/>
      <c r="I179" s="685"/>
      <c r="J179" s="685"/>
      <c r="K179" s="685"/>
      <c r="L179" s="685"/>
      <c r="M179" s="685"/>
      <c r="N179" s="685"/>
      <c r="O179" s="686"/>
      <c r="P179" s="682" t="s">
        <v>40</v>
      </c>
      <c r="Q179" s="683"/>
      <c r="R179" s="683"/>
      <c r="S179" s="683"/>
      <c r="T179" s="683"/>
      <c r="U179" s="683"/>
      <c r="V179" s="68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76" t="s">
        <v>86</v>
      </c>
      <c r="B180" s="676"/>
      <c r="C180" s="676"/>
      <c r="D180" s="676"/>
      <c r="E180" s="676"/>
      <c r="F180" s="676"/>
      <c r="G180" s="676"/>
      <c r="H180" s="676"/>
      <c r="I180" s="676"/>
      <c r="J180" s="676"/>
      <c r="K180" s="676"/>
      <c r="L180" s="676"/>
      <c r="M180" s="676"/>
      <c r="N180" s="676"/>
      <c r="O180" s="676"/>
      <c r="P180" s="676"/>
      <c r="Q180" s="676"/>
      <c r="R180" s="676"/>
      <c r="S180" s="676"/>
      <c r="T180" s="676"/>
      <c r="U180" s="676"/>
      <c r="V180" s="676"/>
      <c r="W180" s="676"/>
      <c r="X180" s="676"/>
      <c r="Y180" s="676"/>
      <c r="Z180" s="676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77">
        <v>4680115888395</v>
      </c>
      <c r="E181" s="67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79"/>
      <c r="R181" s="679"/>
      <c r="S181" s="679"/>
      <c r="T181" s="68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77">
        <v>4680115888371</v>
      </c>
      <c r="E182" s="67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79"/>
      <c r="R182" s="679"/>
      <c r="S182" s="679"/>
      <c r="T182" s="68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77">
        <v>4680115887459</v>
      </c>
      <c r="E183" s="67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79"/>
      <c r="R183" s="679"/>
      <c r="S183" s="679"/>
      <c r="T183" s="68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85"/>
      <c r="B184" s="685"/>
      <c r="C184" s="685"/>
      <c r="D184" s="685"/>
      <c r="E184" s="685"/>
      <c r="F184" s="685"/>
      <c r="G184" s="685"/>
      <c r="H184" s="685"/>
      <c r="I184" s="685"/>
      <c r="J184" s="685"/>
      <c r="K184" s="685"/>
      <c r="L184" s="685"/>
      <c r="M184" s="685"/>
      <c r="N184" s="685"/>
      <c r="O184" s="686"/>
      <c r="P184" s="682" t="s">
        <v>40</v>
      </c>
      <c r="Q184" s="683"/>
      <c r="R184" s="683"/>
      <c r="S184" s="683"/>
      <c r="T184" s="683"/>
      <c r="U184" s="683"/>
      <c r="V184" s="68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85"/>
      <c r="B185" s="685"/>
      <c r="C185" s="685"/>
      <c r="D185" s="685"/>
      <c r="E185" s="685"/>
      <c r="F185" s="685"/>
      <c r="G185" s="685"/>
      <c r="H185" s="685"/>
      <c r="I185" s="685"/>
      <c r="J185" s="685"/>
      <c r="K185" s="685"/>
      <c r="L185" s="685"/>
      <c r="M185" s="685"/>
      <c r="N185" s="685"/>
      <c r="O185" s="686"/>
      <c r="P185" s="682" t="s">
        <v>40</v>
      </c>
      <c r="Q185" s="683"/>
      <c r="R185" s="683"/>
      <c r="S185" s="683"/>
      <c r="T185" s="683"/>
      <c r="U185" s="683"/>
      <c r="V185" s="68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76" t="s">
        <v>107</v>
      </c>
      <c r="B186" s="676"/>
      <c r="C186" s="676"/>
      <c r="D186" s="676"/>
      <c r="E186" s="676"/>
      <c r="F186" s="676"/>
      <c r="G186" s="676"/>
      <c r="H186" s="676"/>
      <c r="I186" s="676"/>
      <c r="J186" s="676"/>
      <c r="K186" s="676"/>
      <c r="L186" s="676"/>
      <c r="M186" s="676"/>
      <c r="N186" s="676"/>
      <c r="O186" s="676"/>
      <c r="P186" s="676"/>
      <c r="Q186" s="676"/>
      <c r="R186" s="676"/>
      <c r="S186" s="676"/>
      <c r="T186" s="676"/>
      <c r="U186" s="676"/>
      <c r="V186" s="676"/>
      <c r="W186" s="676"/>
      <c r="X186" s="676"/>
      <c r="Y186" s="676"/>
      <c r="Z186" s="676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77">
        <v>4680115889026</v>
      </c>
      <c r="E187" s="67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79"/>
      <c r="R187" s="679"/>
      <c r="S187" s="679"/>
      <c r="T187" s="68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77">
        <v>4680115889088</v>
      </c>
      <c r="E188" s="67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79"/>
      <c r="R188" s="679"/>
      <c r="S188" s="679"/>
      <c r="T188" s="68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85"/>
      <c r="B189" s="685"/>
      <c r="C189" s="685"/>
      <c r="D189" s="685"/>
      <c r="E189" s="685"/>
      <c r="F189" s="685"/>
      <c r="G189" s="685"/>
      <c r="H189" s="685"/>
      <c r="I189" s="685"/>
      <c r="J189" s="685"/>
      <c r="K189" s="685"/>
      <c r="L189" s="685"/>
      <c r="M189" s="685"/>
      <c r="N189" s="685"/>
      <c r="O189" s="686"/>
      <c r="P189" s="682" t="s">
        <v>40</v>
      </c>
      <c r="Q189" s="683"/>
      <c r="R189" s="683"/>
      <c r="S189" s="683"/>
      <c r="T189" s="683"/>
      <c r="U189" s="683"/>
      <c r="V189" s="68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85"/>
      <c r="B190" s="685"/>
      <c r="C190" s="685"/>
      <c r="D190" s="685"/>
      <c r="E190" s="685"/>
      <c r="F190" s="685"/>
      <c r="G190" s="685"/>
      <c r="H190" s="685"/>
      <c r="I190" s="685"/>
      <c r="J190" s="685"/>
      <c r="K190" s="685"/>
      <c r="L190" s="685"/>
      <c r="M190" s="685"/>
      <c r="N190" s="685"/>
      <c r="O190" s="686"/>
      <c r="P190" s="682" t="s">
        <v>40</v>
      </c>
      <c r="Q190" s="683"/>
      <c r="R190" s="683"/>
      <c r="S190" s="683"/>
      <c r="T190" s="683"/>
      <c r="U190" s="683"/>
      <c r="V190" s="68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76" t="s">
        <v>331</v>
      </c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6"/>
      <c r="P191" s="676"/>
      <c r="Q191" s="676"/>
      <c r="R191" s="676"/>
      <c r="S191" s="676"/>
      <c r="T191" s="676"/>
      <c r="U191" s="676"/>
      <c r="V191" s="676"/>
      <c r="W191" s="676"/>
      <c r="X191" s="676"/>
      <c r="Y191" s="676"/>
      <c r="Z191" s="676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77">
        <v>4680115889033</v>
      </c>
      <c r="E192" s="67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79"/>
      <c r="R192" s="679"/>
      <c r="S192" s="679"/>
      <c r="T192" s="68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85"/>
      <c r="B193" s="685"/>
      <c r="C193" s="685"/>
      <c r="D193" s="685"/>
      <c r="E193" s="685"/>
      <c r="F193" s="685"/>
      <c r="G193" s="685"/>
      <c r="H193" s="685"/>
      <c r="I193" s="685"/>
      <c r="J193" s="685"/>
      <c r="K193" s="685"/>
      <c r="L193" s="685"/>
      <c r="M193" s="685"/>
      <c r="N193" s="685"/>
      <c r="O193" s="686"/>
      <c r="P193" s="682" t="s">
        <v>40</v>
      </c>
      <c r="Q193" s="683"/>
      <c r="R193" s="683"/>
      <c r="S193" s="683"/>
      <c r="T193" s="683"/>
      <c r="U193" s="683"/>
      <c r="V193" s="68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85"/>
      <c r="B194" s="685"/>
      <c r="C194" s="685"/>
      <c r="D194" s="685"/>
      <c r="E194" s="685"/>
      <c r="F194" s="685"/>
      <c r="G194" s="685"/>
      <c r="H194" s="685"/>
      <c r="I194" s="685"/>
      <c r="J194" s="685"/>
      <c r="K194" s="685"/>
      <c r="L194" s="685"/>
      <c r="M194" s="685"/>
      <c r="N194" s="685"/>
      <c r="O194" s="686"/>
      <c r="P194" s="682" t="s">
        <v>40</v>
      </c>
      <c r="Q194" s="683"/>
      <c r="R194" s="683"/>
      <c r="S194" s="683"/>
      <c r="T194" s="683"/>
      <c r="U194" s="683"/>
      <c r="V194" s="68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74" t="s">
        <v>335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54"/>
      <c r="AB195" s="54"/>
      <c r="AC195" s="54"/>
    </row>
    <row r="196" spans="1:68" ht="16.5" customHeight="1" x14ac:dyDescent="0.25">
      <c r="A196" s="675" t="s">
        <v>336</v>
      </c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  <c r="AA196" s="65"/>
      <c r="AB196" s="65"/>
      <c r="AC196" s="79"/>
    </row>
    <row r="197" spans="1:68" ht="14.25" customHeight="1" x14ac:dyDescent="0.25">
      <c r="A197" s="676" t="s">
        <v>128</v>
      </c>
      <c r="B197" s="676"/>
      <c r="C197" s="676"/>
      <c r="D197" s="676"/>
      <c r="E197" s="676"/>
      <c r="F197" s="676"/>
      <c r="G197" s="676"/>
      <c r="H197" s="676"/>
      <c r="I197" s="676"/>
      <c r="J197" s="676"/>
      <c r="K197" s="676"/>
      <c r="L197" s="676"/>
      <c r="M197" s="676"/>
      <c r="N197" s="676"/>
      <c r="O197" s="676"/>
      <c r="P197" s="676"/>
      <c r="Q197" s="676"/>
      <c r="R197" s="676"/>
      <c r="S197" s="676"/>
      <c r="T197" s="676"/>
      <c r="U197" s="676"/>
      <c r="V197" s="676"/>
      <c r="W197" s="676"/>
      <c r="X197" s="676"/>
      <c r="Y197" s="676"/>
      <c r="Z197" s="676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77">
        <v>4607091383423</v>
      </c>
      <c r="E198" s="67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79"/>
      <c r="R198" s="679"/>
      <c r="S198" s="679"/>
      <c r="T198" s="68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77">
        <v>4680115886957</v>
      </c>
      <c r="E199" s="677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5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79"/>
      <c r="R199" s="679"/>
      <c r="S199" s="679"/>
      <c r="T199" s="680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77">
        <v>4680115885660</v>
      </c>
      <c r="E200" s="677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79"/>
      <c r="R200" s="679"/>
      <c r="S200" s="679"/>
      <c r="T200" s="68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77">
        <v>4680115886773</v>
      </c>
      <c r="E201" s="677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79"/>
      <c r="R201" s="679"/>
      <c r="S201" s="679"/>
      <c r="T201" s="680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85"/>
      <c r="B202" s="685"/>
      <c r="C202" s="685"/>
      <c r="D202" s="685"/>
      <c r="E202" s="685"/>
      <c r="F202" s="685"/>
      <c r="G202" s="685"/>
      <c r="H202" s="685"/>
      <c r="I202" s="685"/>
      <c r="J202" s="685"/>
      <c r="K202" s="685"/>
      <c r="L202" s="685"/>
      <c r="M202" s="685"/>
      <c r="N202" s="685"/>
      <c r="O202" s="686"/>
      <c r="P202" s="682" t="s">
        <v>40</v>
      </c>
      <c r="Q202" s="683"/>
      <c r="R202" s="683"/>
      <c r="S202" s="683"/>
      <c r="T202" s="683"/>
      <c r="U202" s="683"/>
      <c r="V202" s="684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85"/>
      <c r="B203" s="685"/>
      <c r="C203" s="685"/>
      <c r="D203" s="685"/>
      <c r="E203" s="685"/>
      <c r="F203" s="685"/>
      <c r="G203" s="685"/>
      <c r="H203" s="685"/>
      <c r="I203" s="685"/>
      <c r="J203" s="685"/>
      <c r="K203" s="685"/>
      <c r="L203" s="685"/>
      <c r="M203" s="685"/>
      <c r="N203" s="685"/>
      <c r="O203" s="686"/>
      <c r="P203" s="682" t="s">
        <v>40</v>
      </c>
      <c r="Q203" s="683"/>
      <c r="R203" s="683"/>
      <c r="S203" s="683"/>
      <c r="T203" s="683"/>
      <c r="U203" s="683"/>
      <c r="V203" s="684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75" t="s">
        <v>348</v>
      </c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  <c r="AA204" s="65"/>
      <c r="AB204" s="65"/>
      <c r="AC204" s="79"/>
    </row>
    <row r="205" spans="1:68" ht="14.25" customHeight="1" x14ac:dyDescent="0.25">
      <c r="A205" s="676" t="s">
        <v>163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77">
        <v>4680115886223</v>
      </c>
      <c r="E206" s="677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79"/>
      <c r="R206" s="679"/>
      <c r="S206" s="679"/>
      <c r="T206" s="680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">
      <c r="A207" s="685"/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6"/>
      <c r="P207" s="682" t="s">
        <v>40</v>
      </c>
      <c r="Q207" s="683"/>
      <c r="R207" s="683"/>
      <c r="S207" s="683"/>
      <c r="T207" s="683"/>
      <c r="U207" s="683"/>
      <c r="V207" s="684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685"/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6"/>
      <c r="P208" s="682" t="s">
        <v>40</v>
      </c>
      <c r="Q208" s="683"/>
      <c r="R208" s="683"/>
      <c r="S208" s="683"/>
      <c r="T208" s="683"/>
      <c r="U208" s="683"/>
      <c r="V208" s="684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76" t="s">
        <v>77</v>
      </c>
      <c r="B209" s="676"/>
      <c r="C209" s="676"/>
      <c r="D209" s="676"/>
      <c r="E209" s="676"/>
      <c r="F209" s="676"/>
      <c r="G209" s="676"/>
      <c r="H209" s="676"/>
      <c r="I209" s="676"/>
      <c r="J209" s="676"/>
      <c r="K209" s="676"/>
      <c r="L209" s="676"/>
      <c r="M209" s="676"/>
      <c r="N209" s="676"/>
      <c r="O209" s="676"/>
      <c r="P209" s="676"/>
      <c r="Q209" s="676"/>
      <c r="R209" s="676"/>
      <c r="S209" s="676"/>
      <c r="T209" s="676"/>
      <c r="U209" s="676"/>
      <c r="V209" s="676"/>
      <c r="W209" s="676"/>
      <c r="X209" s="676"/>
      <c r="Y209" s="676"/>
      <c r="Z209" s="676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77">
        <v>4680115880993</v>
      </c>
      <c r="E210" s="677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79"/>
      <c r="R210" s="679"/>
      <c r="S210" s="679"/>
      <c r="T210" s="68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77">
        <v>4680115881761</v>
      </c>
      <c r="E211" s="677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79"/>
      <c r="R211" s="679"/>
      <c r="S211" s="679"/>
      <c r="T211" s="68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77">
        <v>4680115881563</v>
      </c>
      <c r="E212" s="677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79"/>
      <c r="R212" s="679"/>
      <c r="S212" s="679"/>
      <c r="T212" s="68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77">
        <v>4680115887565</v>
      </c>
      <c r="E213" s="677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79"/>
      <c r="R213" s="679"/>
      <c r="S213" s="679"/>
      <c r="T213" s="68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77">
        <v>4680115880986</v>
      </c>
      <c r="E214" s="677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79"/>
      <c r="R214" s="679"/>
      <c r="S214" s="679"/>
      <c r="T214" s="68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77">
        <v>4680115887213</v>
      </c>
      <c r="E215" s="677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79"/>
      <c r="R215" s="679"/>
      <c r="S215" s="679"/>
      <c r="T215" s="68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77">
        <v>4680115881785</v>
      </c>
      <c r="E216" s="677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79"/>
      <c r="R216" s="679"/>
      <c r="S216" s="679"/>
      <c r="T216" s="68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77">
        <v>4680115888432</v>
      </c>
      <c r="E217" s="677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79"/>
      <c r="R217" s="679"/>
      <c r="S217" s="679"/>
      <c r="T217" s="68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77">
        <v>4680115888104</v>
      </c>
      <c r="E218" s="677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79"/>
      <c r="R218" s="679"/>
      <c r="S218" s="679"/>
      <c r="T218" s="68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77">
        <v>4680115886537</v>
      </c>
      <c r="E219" s="677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79"/>
      <c r="R219" s="679"/>
      <c r="S219" s="679"/>
      <c r="T219" s="68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77">
        <v>4680115887596</v>
      </c>
      <c r="E220" s="677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79"/>
      <c r="R220" s="679"/>
      <c r="S220" s="679"/>
      <c r="T220" s="68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77">
        <v>4680115881679</v>
      </c>
      <c r="E221" s="67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79"/>
      <c r="R221" s="679"/>
      <c r="S221" s="679"/>
      <c r="T221" s="68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77">
        <v>4680115880191</v>
      </c>
      <c r="E222" s="677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79"/>
      <c r="R222" s="679"/>
      <c r="S222" s="679"/>
      <c r="T222" s="68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77">
        <v>4680115883963</v>
      </c>
      <c r="E223" s="677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79"/>
      <c r="R223" s="679"/>
      <c r="S223" s="679"/>
      <c r="T223" s="68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">
      <c r="A224" s="685"/>
      <c r="B224" s="685"/>
      <c r="C224" s="685"/>
      <c r="D224" s="685"/>
      <c r="E224" s="685"/>
      <c r="F224" s="685"/>
      <c r="G224" s="685"/>
      <c r="H224" s="685"/>
      <c r="I224" s="685"/>
      <c r="J224" s="685"/>
      <c r="K224" s="685"/>
      <c r="L224" s="685"/>
      <c r="M224" s="685"/>
      <c r="N224" s="685"/>
      <c r="O224" s="686"/>
      <c r="P224" s="682" t="s">
        <v>40</v>
      </c>
      <c r="Q224" s="683"/>
      <c r="R224" s="683"/>
      <c r="S224" s="683"/>
      <c r="T224" s="683"/>
      <c r="U224" s="683"/>
      <c r="V224" s="684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85"/>
      <c r="B225" s="685"/>
      <c r="C225" s="685"/>
      <c r="D225" s="685"/>
      <c r="E225" s="685"/>
      <c r="F225" s="685"/>
      <c r="G225" s="685"/>
      <c r="H225" s="685"/>
      <c r="I225" s="685"/>
      <c r="J225" s="685"/>
      <c r="K225" s="685"/>
      <c r="L225" s="685"/>
      <c r="M225" s="685"/>
      <c r="N225" s="685"/>
      <c r="O225" s="686"/>
      <c r="P225" s="682" t="s">
        <v>40</v>
      </c>
      <c r="Q225" s="683"/>
      <c r="R225" s="683"/>
      <c r="S225" s="683"/>
      <c r="T225" s="683"/>
      <c r="U225" s="683"/>
      <c r="V225" s="684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customHeight="1" x14ac:dyDescent="0.25">
      <c r="A226" s="676" t="s">
        <v>86</v>
      </c>
      <c r="B226" s="676"/>
      <c r="C226" s="676"/>
      <c r="D226" s="676"/>
      <c r="E226" s="676"/>
      <c r="F226" s="676"/>
      <c r="G226" s="676"/>
      <c r="H226" s="676"/>
      <c r="I226" s="676"/>
      <c r="J226" s="676"/>
      <c r="K226" s="676"/>
      <c r="L226" s="676"/>
      <c r="M226" s="676"/>
      <c r="N226" s="676"/>
      <c r="O226" s="676"/>
      <c r="P226" s="676"/>
      <c r="Q226" s="676"/>
      <c r="R226" s="676"/>
      <c r="S226" s="676"/>
      <c r="T226" s="676"/>
      <c r="U226" s="676"/>
      <c r="V226" s="676"/>
      <c r="W226" s="676"/>
      <c r="X226" s="676"/>
      <c r="Y226" s="676"/>
      <c r="Z226" s="676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77">
        <v>4680115888692</v>
      </c>
      <c r="E227" s="677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3" t="s">
        <v>392</v>
      </c>
      <c r="Q227" s="679"/>
      <c r="R227" s="679"/>
      <c r="S227" s="679"/>
      <c r="T227" s="680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77">
        <v>4680115888722</v>
      </c>
      <c r="E228" s="677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4" t="s">
        <v>397</v>
      </c>
      <c r="Q228" s="679"/>
      <c r="R228" s="679"/>
      <c r="S228" s="679"/>
      <c r="T228" s="680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77">
        <v>4680115888951</v>
      </c>
      <c r="E229" s="677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79"/>
      <c r="R229" s="679"/>
      <c r="S229" s="679"/>
      <c r="T229" s="680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77">
        <v>4680115888982</v>
      </c>
      <c r="E230" s="677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79"/>
      <c r="R230" s="679"/>
      <c r="S230" s="679"/>
      <c r="T230" s="68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85"/>
      <c r="B231" s="685"/>
      <c r="C231" s="685"/>
      <c r="D231" s="685"/>
      <c r="E231" s="685"/>
      <c r="F231" s="685"/>
      <c r="G231" s="685"/>
      <c r="H231" s="685"/>
      <c r="I231" s="685"/>
      <c r="J231" s="685"/>
      <c r="K231" s="685"/>
      <c r="L231" s="685"/>
      <c r="M231" s="685"/>
      <c r="N231" s="685"/>
      <c r="O231" s="686"/>
      <c r="P231" s="682" t="s">
        <v>40</v>
      </c>
      <c r="Q231" s="683"/>
      <c r="R231" s="683"/>
      <c r="S231" s="683"/>
      <c r="T231" s="683"/>
      <c r="U231" s="683"/>
      <c r="V231" s="684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">
      <c r="A232" s="685"/>
      <c r="B232" s="685"/>
      <c r="C232" s="685"/>
      <c r="D232" s="685"/>
      <c r="E232" s="685"/>
      <c r="F232" s="685"/>
      <c r="G232" s="685"/>
      <c r="H232" s="685"/>
      <c r="I232" s="685"/>
      <c r="J232" s="685"/>
      <c r="K232" s="685"/>
      <c r="L232" s="685"/>
      <c r="M232" s="685"/>
      <c r="N232" s="685"/>
      <c r="O232" s="686"/>
      <c r="P232" s="682" t="s">
        <v>40</v>
      </c>
      <c r="Q232" s="683"/>
      <c r="R232" s="683"/>
      <c r="S232" s="683"/>
      <c r="T232" s="683"/>
      <c r="U232" s="683"/>
      <c r="V232" s="684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76" t="s">
        <v>107</v>
      </c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6"/>
      <c r="P233" s="676"/>
      <c r="Q233" s="676"/>
      <c r="R233" s="676"/>
      <c r="S233" s="676"/>
      <c r="T233" s="676"/>
      <c r="U233" s="676"/>
      <c r="V233" s="676"/>
      <c r="W233" s="676"/>
      <c r="X233" s="676"/>
      <c r="Y233" s="676"/>
      <c r="Z233" s="676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77">
        <v>4680115886780</v>
      </c>
      <c r="E234" s="677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79"/>
      <c r="R234" s="679"/>
      <c r="S234" s="679"/>
      <c r="T234" s="68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77">
        <v>4680115886742</v>
      </c>
      <c r="E235" s="677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79"/>
      <c r="R235" s="679"/>
      <c r="S235" s="679"/>
      <c r="T235" s="680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77">
        <v>4680115886766</v>
      </c>
      <c r="E236" s="677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9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79"/>
      <c r="R236" s="679"/>
      <c r="S236" s="679"/>
      <c r="T236" s="680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5"/>
      <c r="B237" s="685"/>
      <c r="C237" s="685"/>
      <c r="D237" s="685"/>
      <c r="E237" s="685"/>
      <c r="F237" s="685"/>
      <c r="G237" s="685"/>
      <c r="H237" s="685"/>
      <c r="I237" s="685"/>
      <c r="J237" s="685"/>
      <c r="K237" s="685"/>
      <c r="L237" s="685"/>
      <c r="M237" s="685"/>
      <c r="N237" s="685"/>
      <c r="O237" s="686"/>
      <c r="P237" s="682" t="s">
        <v>40</v>
      </c>
      <c r="Q237" s="683"/>
      <c r="R237" s="683"/>
      <c r="S237" s="683"/>
      <c r="T237" s="683"/>
      <c r="U237" s="683"/>
      <c r="V237" s="684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85"/>
      <c r="B238" s="685"/>
      <c r="C238" s="685"/>
      <c r="D238" s="685"/>
      <c r="E238" s="685"/>
      <c r="F238" s="685"/>
      <c r="G238" s="685"/>
      <c r="H238" s="685"/>
      <c r="I238" s="685"/>
      <c r="J238" s="685"/>
      <c r="K238" s="685"/>
      <c r="L238" s="685"/>
      <c r="M238" s="685"/>
      <c r="N238" s="685"/>
      <c r="O238" s="686"/>
      <c r="P238" s="682" t="s">
        <v>40</v>
      </c>
      <c r="Q238" s="683"/>
      <c r="R238" s="683"/>
      <c r="S238" s="683"/>
      <c r="T238" s="683"/>
      <c r="U238" s="683"/>
      <c r="V238" s="684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76" t="s">
        <v>412</v>
      </c>
      <c r="B239" s="676"/>
      <c r="C239" s="676"/>
      <c r="D239" s="676"/>
      <c r="E239" s="676"/>
      <c r="F239" s="676"/>
      <c r="G239" s="676"/>
      <c r="H239" s="676"/>
      <c r="I239" s="676"/>
      <c r="J239" s="676"/>
      <c r="K239" s="676"/>
      <c r="L239" s="676"/>
      <c r="M239" s="676"/>
      <c r="N239" s="676"/>
      <c r="O239" s="676"/>
      <c r="P239" s="676"/>
      <c r="Q239" s="676"/>
      <c r="R239" s="676"/>
      <c r="S239" s="676"/>
      <c r="T239" s="676"/>
      <c r="U239" s="676"/>
      <c r="V239" s="676"/>
      <c r="W239" s="676"/>
      <c r="X239" s="676"/>
      <c r="Y239" s="676"/>
      <c r="Z239" s="676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77">
        <v>4680115886797</v>
      </c>
      <c r="E240" s="67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79"/>
      <c r="R240" s="679"/>
      <c r="S240" s="679"/>
      <c r="T240" s="68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85"/>
      <c r="B241" s="685"/>
      <c r="C241" s="685"/>
      <c r="D241" s="685"/>
      <c r="E241" s="685"/>
      <c r="F241" s="685"/>
      <c r="G241" s="685"/>
      <c r="H241" s="685"/>
      <c r="I241" s="685"/>
      <c r="J241" s="685"/>
      <c r="K241" s="685"/>
      <c r="L241" s="685"/>
      <c r="M241" s="685"/>
      <c r="N241" s="685"/>
      <c r="O241" s="686"/>
      <c r="P241" s="682" t="s">
        <v>40</v>
      </c>
      <c r="Q241" s="683"/>
      <c r="R241" s="683"/>
      <c r="S241" s="683"/>
      <c r="T241" s="683"/>
      <c r="U241" s="683"/>
      <c r="V241" s="684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685"/>
      <c r="B242" s="685"/>
      <c r="C242" s="685"/>
      <c r="D242" s="685"/>
      <c r="E242" s="685"/>
      <c r="F242" s="685"/>
      <c r="G242" s="685"/>
      <c r="H242" s="685"/>
      <c r="I242" s="685"/>
      <c r="J242" s="685"/>
      <c r="K242" s="685"/>
      <c r="L242" s="685"/>
      <c r="M242" s="685"/>
      <c r="N242" s="685"/>
      <c r="O242" s="686"/>
      <c r="P242" s="682" t="s">
        <v>40</v>
      </c>
      <c r="Q242" s="683"/>
      <c r="R242" s="683"/>
      <c r="S242" s="683"/>
      <c r="T242" s="683"/>
      <c r="U242" s="683"/>
      <c r="V242" s="684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75" t="s">
        <v>415</v>
      </c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  <c r="AA243" s="65"/>
      <c r="AB243" s="65"/>
      <c r="AC243" s="79"/>
    </row>
    <row r="244" spans="1:68" ht="14.25" customHeight="1" x14ac:dyDescent="0.25">
      <c r="A244" s="676" t="s">
        <v>128</v>
      </c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6"/>
      <c r="P244" s="676"/>
      <c r="Q244" s="676"/>
      <c r="R244" s="676"/>
      <c r="S244" s="676"/>
      <c r="T244" s="676"/>
      <c r="U244" s="676"/>
      <c r="V244" s="676"/>
      <c r="W244" s="676"/>
      <c r="X244" s="676"/>
      <c r="Y244" s="676"/>
      <c r="Z244" s="676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77">
        <v>4680115881402</v>
      </c>
      <c r="E245" s="677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79"/>
      <c r="R245" s="679"/>
      <c r="S245" s="679"/>
      <c r="T245" s="680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77">
        <v>4680115881396</v>
      </c>
      <c r="E246" s="677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79"/>
      <c r="R246" s="679"/>
      <c r="S246" s="679"/>
      <c r="T246" s="68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85"/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6"/>
      <c r="P247" s="682" t="s">
        <v>40</v>
      </c>
      <c r="Q247" s="683"/>
      <c r="R247" s="683"/>
      <c r="S247" s="683"/>
      <c r="T247" s="683"/>
      <c r="U247" s="683"/>
      <c r="V247" s="684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685"/>
      <c r="B248" s="685"/>
      <c r="C248" s="685"/>
      <c r="D248" s="685"/>
      <c r="E248" s="685"/>
      <c r="F248" s="685"/>
      <c r="G248" s="685"/>
      <c r="H248" s="685"/>
      <c r="I248" s="685"/>
      <c r="J248" s="685"/>
      <c r="K248" s="685"/>
      <c r="L248" s="685"/>
      <c r="M248" s="685"/>
      <c r="N248" s="685"/>
      <c r="O248" s="686"/>
      <c r="P248" s="682" t="s">
        <v>40</v>
      </c>
      <c r="Q248" s="683"/>
      <c r="R248" s="683"/>
      <c r="S248" s="683"/>
      <c r="T248" s="683"/>
      <c r="U248" s="683"/>
      <c r="V248" s="684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76" t="s">
        <v>163</v>
      </c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6"/>
      <c r="P249" s="676"/>
      <c r="Q249" s="676"/>
      <c r="R249" s="676"/>
      <c r="S249" s="676"/>
      <c r="T249" s="676"/>
      <c r="U249" s="676"/>
      <c r="V249" s="676"/>
      <c r="W249" s="676"/>
      <c r="X249" s="676"/>
      <c r="Y249" s="676"/>
      <c r="Z249" s="676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77">
        <v>4680115882935</v>
      </c>
      <c r="E250" s="677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79"/>
      <c r="R250" s="679"/>
      <c r="S250" s="679"/>
      <c r="T250" s="68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77">
        <v>4680115880764</v>
      </c>
      <c r="E251" s="677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79"/>
      <c r="R251" s="679"/>
      <c r="S251" s="679"/>
      <c r="T251" s="68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85"/>
      <c r="B252" s="685"/>
      <c r="C252" s="685"/>
      <c r="D252" s="685"/>
      <c r="E252" s="685"/>
      <c r="F252" s="685"/>
      <c r="G252" s="685"/>
      <c r="H252" s="685"/>
      <c r="I252" s="685"/>
      <c r="J252" s="685"/>
      <c r="K252" s="685"/>
      <c r="L252" s="685"/>
      <c r="M252" s="685"/>
      <c r="N252" s="685"/>
      <c r="O252" s="686"/>
      <c r="P252" s="682" t="s">
        <v>40</v>
      </c>
      <c r="Q252" s="683"/>
      <c r="R252" s="683"/>
      <c r="S252" s="683"/>
      <c r="T252" s="683"/>
      <c r="U252" s="683"/>
      <c r="V252" s="684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685"/>
      <c r="B253" s="685"/>
      <c r="C253" s="685"/>
      <c r="D253" s="685"/>
      <c r="E253" s="685"/>
      <c r="F253" s="685"/>
      <c r="G253" s="685"/>
      <c r="H253" s="685"/>
      <c r="I253" s="685"/>
      <c r="J253" s="685"/>
      <c r="K253" s="685"/>
      <c r="L253" s="685"/>
      <c r="M253" s="685"/>
      <c r="N253" s="685"/>
      <c r="O253" s="686"/>
      <c r="P253" s="682" t="s">
        <v>40</v>
      </c>
      <c r="Q253" s="683"/>
      <c r="R253" s="683"/>
      <c r="S253" s="683"/>
      <c r="T253" s="683"/>
      <c r="U253" s="683"/>
      <c r="V253" s="684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76" t="s">
        <v>77</v>
      </c>
      <c r="B254" s="676"/>
      <c r="C254" s="676"/>
      <c r="D254" s="676"/>
      <c r="E254" s="676"/>
      <c r="F254" s="676"/>
      <c r="G254" s="676"/>
      <c r="H254" s="676"/>
      <c r="I254" s="676"/>
      <c r="J254" s="676"/>
      <c r="K254" s="676"/>
      <c r="L254" s="676"/>
      <c r="M254" s="676"/>
      <c r="N254" s="676"/>
      <c r="O254" s="676"/>
      <c r="P254" s="676"/>
      <c r="Q254" s="676"/>
      <c r="R254" s="676"/>
      <c r="S254" s="676"/>
      <c r="T254" s="676"/>
      <c r="U254" s="676"/>
      <c r="V254" s="676"/>
      <c r="W254" s="676"/>
      <c r="X254" s="676"/>
      <c r="Y254" s="676"/>
      <c r="Z254" s="676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7">
        <v>4680115882683</v>
      </c>
      <c r="E255" s="677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79"/>
      <c r="R255" s="679"/>
      <c r="S255" s="679"/>
      <c r="T255" s="680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77">
        <v>4680115882690</v>
      </c>
      <c r="E256" s="677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79"/>
      <c r="R256" s="679"/>
      <c r="S256" s="679"/>
      <c r="T256" s="680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77">
        <v>4680115882669</v>
      </c>
      <c r="E257" s="677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79"/>
      <c r="R257" s="679"/>
      <c r="S257" s="679"/>
      <c r="T257" s="680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7">
        <v>4680115882676</v>
      </c>
      <c r="E258" s="677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79"/>
      <c r="R258" s="679"/>
      <c r="S258" s="679"/>
      <c r="T258" s="680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77">
        <v>4680115884014</v>
      </c>
      <c r="E259" s="677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79"/>
      <c r="R259" s="679"/>
      <c r="S259" s="679"/>
      <c r="T259" s="68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77">
        <v>4680115884007</v>
      </c>
      <c r="E260" s="677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79"/>
      <c r="R260" s="679"/>
      <c r="S260" s="679"/>
      <c r="T260" s="68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77">
        <v>4680115884038</v>
      </c>
      <c r="E261" s="677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79"/>
      <c r="R261" s="679"/>
      <c r="S261" s="679"/>
      <c r="T261" s="68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77">
        <v>4680115884021</v>
      </c>
      <c r="E262" s="677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79"/>
      <c r="R262" s="679"/>
      <c r="S262" s="679"/>
      <c r="T262" s="68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85"/>
      <c r="B263" s="685"/>
      <c r="C263" s="685"/>
      <c r="D263" s="685"/>
      <c r="E263" s="685"/>
      <c r="F263" s="685"/>
      <c r="G263" s="685"/>
      <c r="H263" s="685"/>
      <c r="I263" s="685"/>
      <c r="J263" s="685"/>
      <c r="K263" s="685"/>
      <c r="L263" s="685"/>
      <c r="M263" s="685"/>
      <c r="N263" s="685"/>
      <c r="O263" s="686"/>
      <c r="P263" s="682" t="s">
        <v>40</v>
      </c>
      <c r="Q263" s="683"/>
      <c r="R263" s="683"/>
      <c r="S263" s="683"/>
      <c r="T263" s="683"/>
      <c r="U263" s="683"/>
      <c r="V263" s="684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x14ac:dyDescent="0.2">
      <c r="A264" s="685"/>
      <c r="B264" s="685"/>
      <c r="C264" s="685"/>
      <c r="D264" s="685"/>
      <c r="E264" s="685"/>
      <c r="F264" s="685"/>
      <c r="G264" s="685"/>
      <c r="H264" s="685"/>
      <c r="I264" s="685"/>
      <c r="J264" s="685"/>
      <c r="K264" s="685"/>
      <c r="L264" s="685"/>
      <c r="M264" s="685"/>
      <c r="N264" s="685"/>
      <c r="O264" s="686"/>
      <c r="P264" s="682" t="s">
        <v>40</v>
      </c>
      <c r="Q264" s="683"/>
      <c r="R264" s="683"/>
      <c r="S264" s="683"/>
      <c r="T264" s="683"/>
      <c r="U264" s="683"/>
      <c r="V264" s="684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customHeight="1" x14ac:dyDescent="0.25">
      <c r="A265" s="676" t="s">
        <v>86</v>
      </c>
      <c r="B265" s="676"/>
      <c r="C265" s="676"/>
      <c r="D265" s="676"/>
      <c r="E265" s="676"/>
      <c r="F265" s="676"/>
      <c r="G265" s="676"/>
      <c r="H265" s="676"/>
      <c r="I265" s="676"/>
      <c r="J265" s="676"/>
      <c r="K265" s="676"/>
      <c r="L265" s="676"/>
      <c r="M265" s="676"/>
      <c r="N265" s="676"/>
      <c r="O265" s="676"/>
      <c r="P265" s="676"/>
      <c r="Q265" s="676"/>
      <c r="R265" s="676"/>
      <c r="S265" s="676"/>
      <c r="T265" s="676"/>
      <c r="U265" s="676"/>
      <c r="V265" s="676"/>
      <c r="W265" s="676"/>
      <c r="X265" s="676"/>
      <c r="Y265" s="676"/>
      <c r="Z265" s="676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77">
        <v>4680115881594</v>
      </c>
      <c r="E266" s="677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79"/>
      <c r="R266" s="679"/>
      <c r="S266" s="679"/>
      <c r="T266" s="68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77">
        <v>4680115881617</v>
      </c>
      <c r="E267" s="677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79"/>
      <c r="R267" s="679"/>
      <c r="S267" s="679"/>
      <c r="T267" s="68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7">
        <v>4680115880573</v>
      </c>
      <c r="E268" s="677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79"/>
      <c r="R268" s="679"/>
      <c r="S268" s="679"/>
      <c r="T268" s="68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77">
        <v>4680115882195</v>
      </c>
      <c r="E269" s="677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79"/>
      <c r="R269" s="679"/>
      <c r="S269" s="679"/>
      <c r="T269" s="68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77">
        <v>4680115882607</v>
      </c>
      <c r="E270" s="677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79"/>
      <c r="R270" s="679"/>
      <c r="S270" s="679"/>
      <c r="T270" s="68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77">
        <v>4680115882607</v>
      </c>
      <c r="E271" s="677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1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79"/>
      <c r="R271" s="679"/>
      <c r="S271" s="679"/>
      <c r="T271" s="68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77">
        <v>4680115880092</v>
      </c>
      <c r="E272" s="677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79"/>
      <c r="R272" s="679"/>
      <c r="S272" s="679"/>
      <c r="T272" s="68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77">
        <v>4680115889064</v>
      </c>
      <c r="E273" s="677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79"/>
      <c r="R273" s="679"/>
      <c r="S273" s="679"/>
      <c r="T273" s="68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77">
        <v>4680115880221</v>
      </c>
      <c r="E274" s="677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79"/>
      <c r="R274" s="679"/>
      <c r="S274" s="679"/>
      <c r="T274" s="68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77">
        <v>4680115880504</v>
      </c>
      <c r="E275" s="677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79"/>
      <c r="R275" s="679"/>
      <c r="S275" s="679"/>
      <c r="T275" s="68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77">
        <v>4680115882164</v>
      </c>
      <c r="E276" s="677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79"/>
      <c r="R276" s="679"/>
      <c r="S276" s="679"/>
      <c r="T276" s="68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77">
        <v>4680115888340</v>
      </c>
      <c r="E277" s="67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79"/>
      <c r="R277" s="679"/>
      <c r="S277" s="679"/>
      <c r="T277" s="68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5"/>
      <c r="B278" s="685"/>
      <c r="C278" s="685"/>
      <c r="D278" s="685"/>
      <c r="E278" s="685"/>
      <c r="F278" s="685"/>
      <c r="G278" s="685"/>
      <c r="H278" s="685"/>
      <c r="I278" s="685"/>
      <c r="J278" s="685"/>
      <c r="K278" s="685"/>
      <c r="L278" s="685"/>
      <c r="M278" s="685"/>
      <c r="N278" s="685"/>
      <c r="O278" s="686"/>
      <c r="P278" s="682" t="s">
        <v>40</v>
      </c>
      <c r="Q278" s="683"/>
      <c r="R278" s="683"/>
      <c r="S278" s="683"/>
      <c r="T278" s="683"/>
      <c r="U278" s="683"/>
      <c r="V278" s="684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685"/>
      <c r="B279" s="685"/>
      <c r="C279" s="685"/>
      <c r="D279" s="685"/>
      <c r="E279" s="685"/>
      <c r="F279" s="685"/>
      <c r="G279" s="685"/>
      <c r="H279" s="685"/>
      <c r="I279" s="685"/>
      <c r="J279" s="685"/>
      <c r="K279" s="685"/>
      <c r="L279" s="685"/>
      <c r="M279" s="685"/>
      <c r="N279" s="685"/>
      <c r="O279" s="686"/>
      <c r="P279" s="682" t="s">
        <v>40</v>
      </c>
      <c r="Q279" s="683"/>
      <c r="R279" s="683"/>
      <c r="S279" s="683"/>
      <c r="T279" s="683"/>
      <c r="U279" s="683"/>
      <c r="V279" s="684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customHeight="1" x14ac:dyDescent="0.25">
      <c r="A280" s="676" t="s">
        <v>180</v>
      </c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6"/>
      <c r="P280" s="676"/>
      <c r="Q280" s="676"/>
      <c r="R280" s="676"/>
      <c r="S280" s="676"/>
      <c r="T280" s="676"/>
      <c r="U280" s="676"/>
      <c r="V280" s="676"/>
      <c r="W280" s="676"/>
      <c r="X280" s="676"/>
      <c r="Y280" s="676"/>
      <c r="Z280" s="676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7">
        <v>4680115880818</v>
      </c>
      <c r="E281" s="67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79"/>
      <c r="R281" s="679"/>
      <c r="S281" s="679"/>
      <c r="T281" s="680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77">
        <v>4680115880801</v>
      </c>
      <c r="E282" s="677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79"/>
      <c r="R282" s="679"/>
      <c r="S282" s="679"/>
      <c r="T282" s="680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85"/>
      <c r="B283" s="685"/>
      <c r="C283" s="685"/>
      <c r="D283" s="685"/>
      <c r="E283" s="685"/>
      <c r="F283" s="685"/>
      <c r="G283" s="685"/>
      <c r="H283" s="685"/>
      <c r="I283" s="685"/>
      <c r="J283" s="685"/>
      <c r="K283" s="685"/>
      <c r="L283" s="685"/>
      <c r="M283" s="685"/>
      <c r="N283" s="685"/>
      <c r="O283" s="686"/>
      <c r="P283" s="682" t="s">
        <v>40</v>
      </c>
      <c r="Q283" s="683"/>
      <c r="R283" s="683"/>
      <c r="S283" s="683"/>
      <c r="T283" s="683"/>
      <c r="U283" s="683"/>
      <c r="V283" s="684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">
      <c r="A284" s="685"/>
      <c r="B284" s="685"/>
      <c r="C284" s="685"/>
      <c r="D284" s="685"/>
      <c r="E284" s="685"/>
      <c r="F284" s="685"/>
      <c r="G284" s="685"/>
      <c r="H284" s="685"/>
      <c r="I284" s="685"/>
      <c r="J284" s="685"/>
      <c r="K284" s="685"/>
      <c r="L284" s="685"/>
      <c r="M284" s="685"/>
      <c r="N284" s="685"/>
      <c r="O284" s="686"/>
      <c r="P284" s="682" t="s">
        <v>40</v>
      </c>
      <c r="Q284" s="683"/>
      <c r="R284" s="683"/>
      <c r="S284" s="683"/>
      <c r="T284" s="683"/>
      <c r="U284" s="683"/>
      <c r="V284" s="684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75" t="s">
        <v>483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"/>
      <c r="AB285" s="65"/>
      <c r="AC285" s="79"/>
    </row>
    <row r="286" spans="1:68" ht="14.25" customHeight="1" x14ac:dyDescent="0.25">
      <c r="A286" s="676" t="s">
        <v>128</v>
      </c>
      <c r="B286" s="676"/>
      <c r="C286" s="676"/>
      <c r="D286" s="676"/>
      <c r="E286" s="676"/>
      <c r="F286" s="676"/>
      <c r="G286" s="676"/>
      <c r="H286" s="676"/>
      <c r="I286" s="676"/>
      <c r="J286" s="676"/>
      <c r="K286" s="676"/>
      <c r="L286" s="676"/>
      <c r="M286" s="676"/>
      <c r="N286" s="676"/>
      <c r="O286" s="676"/>
      <c r="P286" s="676"/>
      <c r="Q286" s="676"/>
      <c r="R286" s="676"/>
      <c r="S286" s="676"/>
      <c r="T286" s="676"/>
      <c r="U286" s="676"/>
      <c r="V286" s="676"/>
      <c r="W286" s="676"/>
      <c r="X286" s="676"/>
      <c r="Y286" s="676"/>
      <c r="Z286" s="676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77">
        <v>4680115884137</v>
      </c>
      <c r="E287" s="677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79"/>
      <c r="R287" s="679"/>
      <c r="S287" s="679"/>
      <c r="T287" s="68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77">
        <v>4680115884236</v>
      </c>
      <c r="E288" s="677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79"/>
      <c r="R288" s="679"/>
      <c r="S288" s="679"/>
      <c r="T288" s="68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77">
        <v>4680115884175</v>
      </c>
      <c r="E289" s="677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79"/>
      <c r="R289" s="679"/>
      <c r="S289" s="679"/>
      <c r="T289" s="68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77">
        <v>4680115884144</v>
      </c>
      <c r="E290" s="677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79"/>
      <c r="R290" s="679"/>
      <c r="S290" s="679"/>
      <c r="T290" s="68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77">
        <v>4680115886551</v>
      </c>
      <c r="E291" s="677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79"/>
      <c r="R291" s="679"/>
      <c r="S291" s="679"/>
      <c r="T291" s="68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77">
        <v>4680115887282</v>
      </c>
      <c r="E292" s="677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79"/>
      <c r="R292" s="679"/>
      <c r="S292" s="679"/>
      <c r="T292" s="68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77">
        <v>4680115884205</v>
      </c>
      <c r="E293" s="677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79"/>
      <c r="R293" s="679"/>
      <c r="S293" s="679"/>
      <c r="T293" s="68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">
      <c r="A294" s="685"/>
      <c r="B294" s="685"/>
      <c r="C294" s="685"/>
      <c r="D294" s="685"/>
      <c r="E294" s="685"/>
      <c r="F294" s="685"/>
      <c r="G294" s="685"/>
      <c r="H294" s="685"/>
      <c r="I294" s="685"/>
      <c r="J294" s="685"/>
      <c r="K294" s="685"/>
      <c r="L294" s="685"/>
      <c r="M294" s="685"/>
      <c r="N294" s="685"/>
      <c r="O294" s="686"/>
      <c r="P294" s="682" t="s">
        <v>40</v>
      </c>
      <c r="Q294" s="683"/>
      <c r="R294" s="683"/>
      <c r="S294" s="683"/>
      <c r="T294" s="683"/>
      <c r="U294" s="683"/>
      <c r="V294" s="684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85"/>
      <c r="B295" s="685"/>
      <c r="C295" s="685"/>
      <c r="D295" s="685"/>
      <c r="E295" s="685"/>
      <c r="F295" s="685"/>
      <c r="G295" s="685"/>
      <c r="H295" s="685"/>
      <c r="I295" s="685"/>
      <c r="J295" s="685"/>
      <c r="K295" s="685"/>
      <c r="L295" s="685"/>
      <c r="M295" s="685"/>
      <c r="N295" s="685"/>
      <c r="O295" s="686"/>
      <c r="P295" s="682" t="s">
        <v>40</v>
      </c>
      <c r="Q295" s="683"/>
      <c r="R295" s="683"/>
      <c r="S295" s="683"/>
      <c r="T295" s="683"/>
      <c r="U295" s="683"/>
      <c r="V295" s="684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76" t="s">
        <v>163</v>
      </c>
      <c r="B296" s="676"/>
      <c r="C296" s="676"/>
      <c r="D296" s="676"/>
      <c r="E296" s="676"/>
      <c r="F296" s="676"/>
      <c r="G296" s="676"/>
      <c r="H296" s="676"/>
      <c r="I296" s="676"/>
      <c r="J296" s="676"/>
      <c r="K296" s="676"/>
      <c r="L296" s="676"/>
      <c r="M296" s="676"/>
      <c r="N296" s="676"/>
      <c r="O296" s="676"/>
      <c r="P296" s="676"/>
      <c r="Q296" s="676"/>
      <c r="R296" s="676"/>
      <c r="S296" s="676"/>
      <c r="T296" s="676"/>
      <c r="U296" s="676"/>
      <c r="V296" s="676"/>
      <c r="W296" s="676"/>
      <c r="X296" s="676"/>
      <c r="Y296" s="676"/>
      <c r="Z296" s="676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77">
        <v>4680115885981</v>
      </c>
      <c r="E297" s="677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79"/>
      <c r="R297" s="679"/>
      <c r="S297" s="679"/>
      <c r="T297" s="680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5"/>
      <c r="B298" s="685"/>
      <c r="C298" s="685"/>
      <c r="D298" s="685"/>
      <c r="E298" s="685"/>
      <c r="F298" s="685"/>
      <c r="G298" s="685"/>
      <c r="H298" s="685"/>
      <c r="I298" s="685"/>
      <c r="J298" s="685"/>
      <c r="K298" s="685"/>
      <c r="L298" s="685"/>
      <c r="M298" s="685"/>
      <c r="N298" s="685"/>
      <c r="O298" s="686"/>
      <c r="P298" s="682" t="s">
        <v>40</v>
      </c>
      <c r="Q298" s="683"/>
      <c r="R298" s="683"/>
      <c r="S298" s="683"/>
      <c r="T298" s="683"/>
      <c r="U298" s="683"/>
      <c r="V298" s="684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5"/>
      <c r="B299" s="685"/>
      <c r="C299" s="685"/>
      <c r="D299" s="685"/>
      <c r="E299" s="685"/>
      <c r="F299" s="685"/>
      <c r="G299" s="685"/>
      <c r="H299" s="685"/>
      <c r="I299" s="685"/>
      <c r="J299" s="685"/>
      <c r="K299" s="685"/>
      <c r="L299" s="685"/>
      <c r="M299" s="685"/>
      <c r="N299" s="685"/>
      <c r="O299" s="686"/>
      <c r="P299" s="682" t="s">
        <v>40</v>
      </c>
      <c r="Q299" s="683"/>
      <c r="R299" s="683"/>
      <c r="S299" s="683"/>
      <c r="T299" s="683"/>
      <c r="U299" s="683"/>
      <c r="V299" s="684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6" t="s">
        <v>505</v>
      </c>
      <c r="B300" s="676"/>
      <c r="C300" s="676"/>
      <c r="D300" s="676"/>
      <c r="E300" s="676"/>
      <c r="F300" s="676"/>
      <c r="G300" s="676"/>
      <c r="H300" s="676"/>
      <c r="I300" s="676"/>
      <c r="J300" s="676"/>
      <c r="K300" s="676"/>
      <c r="L300" s="676"/>
      <c r="M300" s="676"/>
      <c r="N300" s="676"/>
      <c r="O300" s="676"/>
      <c r="P300" s="676"/>
      <c r="Q300" s="676"/>
      <c r="R300" s="676"/>
      <c r="S300" s="676"/>
      <c r="T300" s="676"/>
      <c r="U300" s="676"/>
      <c r="V300" s="676"/>
      <c r="W300" s="676"/>
      <c r="X300" s="676"/>
      <c r="Y300" s="676"/>
      <c r="Z300" s="676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77">
        <v>4680115886803</v>
      </c>
      <c r="E301" s="677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79"/>
      <c r="R301" s="679"/>
      <c r="S301" s="679"/>
      <c r="T301" s="68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85"/>
      <c r="B302" s="685"/>
      <c r="C302" s="685"/>
      <c r="D302" s="685"/>
      <c r="E302" s="685"/>
      <c r="F302" s="685"/>
      <c r="G302" s="685"/>
      <c r="H302" s="685"/>
      <c r="I302" s="685"/>
      <c r="J302" s="685"/>
      <c r="K302" s="685"/>
      <c r="L302" s="685"/>
      <c r="M302" s="685"/>
      <c r="N302" s="685"/>
      <c r="O302" s="686"/>
      <c r="P302" s="682" t="s">
        <v>40</v>
      </c>
      <c r="Q302" s="683"/>
      <c r="R302" s="683"/>
      <c r="S302" s="683"/>
      <c r="T302" s="683"/>
      <c r="U302" s="683"/>
      <c r="V302" s="68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85"/>
      <c r="B303" s="685"/>
      <c r="C303" s="685"/>
      <c r="D303" s="685"/>
      <c r="E303" s="685"/>
      <c r="F303" s="685"/>
      <c r="G303" s="685"/>
      <c r="H303" s="685"/>
      <c r="I303" s="685"/>
      <c r="J303" s="685"/>
      <c r="K303" s="685"/>
      <c r="L303" s="685"/>
      <c r="M303" s="685"/>
      <c r="N303" s="685"/>
      <c r="O303" s="686"/>
      <c r="P303" s="682" t="s">
        <v>40</v>
      </c>
      <c r="Q303" s="683"/>
      <c r="R303" s="683"/>
      <c r="S303" s="683"/>
      <c r="T303" s="683"/>
      <c r="U303" s="683"/>
      <c r="V303" s="68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76" t="s">
        <v>331</v>
      </c>
      <c r="B304" s="676"/>
      <c r="C304" s="676"/>
      <c r="D304" s="676"/>
      <c r="E304" s="676"/>
      <c r="F304" s="676"/>
      <c r="G304" s="676"/>
      <c r="H304" s="676"/>
      <c r="I304" s="676"/>
      <c r="J304" s="676"/>
      <c r="K304" s="676"/>
      <c r="L304" s="676"/>
      <c r="M304" s="676"/>
      <c r="N304" s="676"/>
      <c r="O304" s="676"/>
      <c r="P304" s="676"/>
      <c r="Q304" s="676"/>
      <c r="R304" s="676"/>
      <c r="S304" s="676"/>
      <c r="T304" s="676"/>
      <c r="U304" s="676"/>
      <c r="V304" s="676"/>
      <c r="W304" s="676"/>
      <c r="X304" s="676"/>
      <c r="Y304" s="676"/>
      <c r="Z304" s="676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77">
        <v>4680115886704</v>
      </c>
      <c r="E305" s="677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79"/>
      <c r="R305" s="679"/>
      <c r="S305" s="679"/>
      <c r="T305" s="68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77">
        <v>4680115886681</v>
      </c>
      <c r="E306" s="677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79"/>
      <c r="R306" s="679"/>
      <c r="S306" s="679"/>
      <c r="T306" s="680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77">
        <v>4680115886735</v>
      </c>
      <c r="E307" s="677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79"/>
      <c r="R307" s="679"/>
      <c r="S307" s="679"/>
      <c r="T307" s="680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85"/>
      <c r="B308" s="685"/>
      <c r="C308" s="685"/>
      <c r="D308" s="685"/>
      <c r="E308" s="685"/>
      <c r="F308" s="685"/>
      <c r="G308" s="685"/>
      <c r="H308" s="685"/>
      <c r="I308" s="685"/>
      <c r="J308" s="685"/>
      <c r="K308" s="685"/>
      <c r="L308" s="685"/>
      <c r="M308" s="685"/>
      <c r="N308" s="685"/>
      <c r="O308" s="686"/>
      <c r="P308" s="682" t="s">
        <v>40</v>
      </c>
      <c r="Q308" s="683"/>
      <c r="R308" s="683"/>
      <c r="S308" s="683"/>
      <c r="T308" s="683"/>
      <c r="U308" s="683"/>
      <c r="V308" s="684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85"/>
      <c r="B309" s="685"/>
      <c r="C309" s="685"/>
      <c r="D309" s="685"/>
      <c r="E309" s="685"/>
      <c r="F309" s="685"/>
      <c r="G309" s="685"/>
      <c r="H309" s="685"/>
      <c r="I309" s="685"/>
      <c r="J309" s="685"/>
      <c r="K309" s="685"/>
      <c r="L309" s="685"/>
      <c r="M309" s="685"/>
      <c r="N309" s="685"/>
      <c r="O309" s="686"/>
      <c r="P309" s="682" t="s">
        <v>40</v>
      </c>
      <c r="Q309" s="683"/>
      <c r="R309" s="683"/>
      <c r="S309" s="683"/>
      <c r="T309" s="683"/>
      <c r="U309" s="683"/>
      <c r="V309" s="684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75" t="s">
        <v>516</v>
      </c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  <c r="V310" s="675"/>
      <c r="W310" s="675"/>
      <c r="X310" s="675"/>
      <c r="Y310" s="675"/>
      <c r="Z310" s="675"/>
      <c r="AA310" s="65"/>
      <c r="AB310" s="65"/>
      <c r="AC310" s="79"/>
    </row>
    <row r="311" spans="1:68" ht="14.25" customHeight="1" x14ac:dyDescent="0.25">
      <c r="A311" s="676" t="s">
        <v>128</v>
      </c>
      <c r="B311" s="676"/>
      <c r="C311" s="676"/>
      <c r="D311" s="676"/>
      <c r="E311" s="676"/>
      <c r="F311" s="676"/>
      <c r="G311" s="676"/>
      <c r="H311" s="676"/>
      <c r="I311" s="676"/>
      <c r="J311" s="676"/>
      <c r="K311" s="676"/>
      <c r="L311" s="676"/>
      <c r="M311" s="676"/>
      <c r="N311" s="676"/>
      <c r="O311" s="676"/>
      <c r="P311" s="676"/>
      <c r="Q311" s="676"/>
      <c r="R311" s="676"/>
      <c r="S311" s="676"/>
      <c r="T311" s="676"/>
      <c r="U311" s="676"/>
      <c r="V311" s="676"/>
      <c r="W311" s="676"/>
      <c r="X311" s="676"/>
      <c r="Y311" s="676"/>
      <c r="Z311" s="676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77">
        <v>4680115885837</v>
      </c>
      <c r="E312" s="677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3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79"/>
      <c r="R312" s="679"/>
      <c r="S312" s="679"/>
      <c r="T312" s="680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77">
        <v>4680115887237</v>
      </c>
      <c r="E313" s="677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79"/>
      <c r="R313" s="679"/>
      <c r="S313" s="679"/>
      <c r="T313" s="68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77">
        <v>4680115885806</v>
      </c>
      <c r="E314" s="677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79"/>
      <c r="R314" s="679"/>
      <c r="S314" s="679"/>
      <c r="T314" s="68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77">
        <v>4680115885844</v>
      </c>
      <c r="E315" s="677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79"/>
      <c r="R315" s="679"/>
      <c r="S315" s="679"/>
      <c r="T315" s="68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77">
        <v>4680115885820</v>
      </c>
      <c r="E316" s="677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79"/>
      <c r="R316" s="679"/>
      <c r="S316" s="679"/>
      <c r="T316" s="68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85"/>
      <c r="B317" s="685"/>
      <c r="C317" s="685"/>
      <c r="D317" s="685"/>
      <c r="E317" s="685"/>
      <c r="F317" s="685"/>
      <c r="G317" s="685"/>
      <c r="H317" s="685"/>
      <c r="I317" s="685"/>
      <c r="J317" s="685"/>
      <c r="K317" s="685"/>
      <c r="L317" s="685"/>
      <c r="M317" s="685"/>
      <c r="N317" s="685"/>
      <c r="O317" s="686"/>
      <c r="P317" s="682" t="s">
        <v>40</v>
      </c>
      <c r="Q317" s="683"/>
      <c r="R317" s="683"/>
      <c r="S317" s="683"/>
      <c r="T317" s="683"/>
      <c r="U317" s="683"/>
      <c r="V317" s="684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85"/>
      <c r="B318" s="685"/>
      <c r="C318" s="685"/>
      <c r="D318" s="685"/>
      <c r="E318" s="685"/>
      <c r="F318" s="685"/>
      <c r="G318" s="685"/>
      <c r="H318" s="685"/>
      <c r="I318" s="685"/>
      <c r="J318" s="685"/>
      <c r="K318" s="685"/>
      <c r="L318" s="685"/>
      <c r="M318" s="685"/>
      <c r="N318" s="685"/>
      <c r="O318" s="686"/>
      <c r="P318" s="682" t="s">
        <v>40</v>
      </c>
      <c r="Q318" s="683"/>
      <c r="R318" s="683"/>
      <c r="S318" s="683"/>
      <c r="T318" s="683"/>
      <c r="U318" s="683"/>
      <c r="V318" s="684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75" t="s">
        <v>532</v>
      </c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  <c r="V319" s="675"/>
      <c r="W319" s="675"/>
      <c r="X319" s="675"/>
      <c r="Y319" s="675"/>
      <c r="Z319" s="675"/>
      <c r="AA319" s="65"/>
      <c r="AB319" s="65"/>
      <c r="AC319" s="79"/>
    </row>
    <row r="320" spans="1:68" ht="14.25" customHeight="1" x14ac:dyDescent="0.25">
      <c r="A320" s="676" t="s">
        <v>86</v>
      </c>
      <c r="B320" s="676"/>
      <c r="C320" s="676"/>
      <c r="D320" s="676"/>
      <c r="E320" s="676"/>
      <c r="F320" s="676"/>
      <c r="G320" s="676"/>
      <c r="H320" s="676"/>
      <c r="I320" s="676"/>
      <c r="J320" s="676"/>
      <c r="K320" s="676"/>
      <c r="L320" s="676"/>
      <c r="M320" s="676"/>
      <c r="N320" s="676"/>
      <c r="O320" s="676"/>
      <c r="P320" s="676"/>
      <c r="Q320" s="676"/>
      <c r="R320" s="676"/>
      <c r="S320" s="676"/>
      <c r="T320" s="676"/>
      <c r="U320" s="676"/>
      <c r="V320" s="676"/>
      <c r="W320" s="676"/>
      <c r="X320" s="676"/>
      <c r="Y320" s="676"/>
      <c r="Z320" s="676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77">
        <v>4680115886186</v>
      </c>
      <c r="E321" s="677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79"/>
      <c r="R321" s="679"/>
      <c r="S321" s="679"/>
      <c r="T321" s="68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77">
        <v>4680115881228</v>
      </c>
      <c r="E322" s="677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79"/>
      <c r="R322" s="679"/>
      <c r="S322" s="679"/>
      <c r="T322" s="68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77">
        <v>4680115881211</v>
      </c>
      <c r="E323" s="677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79"/>
      <c r="R323" s="679"/>
      <c r="S323" s="679"/>
      <c r="T323" s="68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85"/>
      <c r="B324" s="685"/>
      <c r="C324" s="685"/>
      <c r="D324" s="685"/>
      <c r="E324" s="685"/>
      <c r="F324" s="685"/>
      <c r="G324" s="685"/>
      <c r="H324" s="685"/>
      <c r="I324" s="685"/>
      <c r="J324" s="685"/>
      <c r="K324" s="685"/>
      <c r="L324" s="685"/>
      <c r="M324" s="685"/>
      <c r="N324" s="685"/>
      <c r="O324" s="686"/>
      <c r="P324" s="682" t="s">
        <v>40</v>
      </c>
      <c r="Q324" s="683"/>
      <c r="R324" s="683"/>
      <c r="S324" s="683"/>
      <c r="T324" s="683"/>
      <c r="U324" s="683"/>
      <c r="V324" s="684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85"/>
      <c r="B325" s="685"/>
      <c r="C325" s="685"/>
      <c r="D325" s="685"/>
      <c r="E325" s="685"/>
      <c r="F325" s="685"/>
      <c r="G325" s="685"/>
      <c r="H325" s="685"/>
      <c r="I325" s="685"/>
      <c r="J325" s="685"/>
      <c r="K325" s="685"/>
      <c r="L325" s="685"/>
      <c r="M325" s="685"/>
      <c r="N325" s="685"/>
      <c r="O325" s="686"/>
      <c r="P325" s="682" t="s">
        <v>40</v>
      </c>
      <c r="Q325" s="683"/>
      <c r="R325" s="683"/>
      <c r="S325" s="683"/>
      <c r="T325" s="683"/>
      <c r="U325" s="683"/>
      <c r="V325" s="684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75" t="s">
        <v>541</v>
      </c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  <c r="V326" s="675"/>
      <c r="W326" s="675"/>
      <c r="X326" s="675"/>
      <c r="Y326" s="675"/>
      <c r="Z326" s="675"/>
      <c r="AA326" s="65"/>
      <c r="AB326" s="65"/>
      <c r="AC326" s="79"/>
    </row>
    <row r="327" spans="1:68" ht="14.25" customHeight="1" x14ac:dyDescent="0.25">
      <c r="A327" s="676" t="s">
        <v>77</v>
      </c>
      <c r="B327" s="676"/>
      <c r="C327" s="676"/>
      <c r="D327" s="676"/>
      <c r="E327" s="676"/>
      <c r="F327" s="676"/>
      <c r="G327" s="676"/>
      <c r="H327" s="676"/>
      <c r="I327" s="676"/>
      <c r="J327" s="676"/>
      <c r="K327" s="676"/>
      <c r="L327" s="676"/>
      <c r="M327" s="676"/>
      <c r="N327" s="676"/>
      <c r="O327" s="676"/>
      <c r="P327" s="676"/>
      <c r="Q327" s="676"/>
      <c r="R327" s="676"/>
      <c r="S327" s="676"/>
      <c r="T327" s="676"/>
      <c r="U327" s="676"/>
      <c r="V327" s="676"/>
      <c r="W327" s="676"/>
      <c r="X327" s="676"/>
      <c r="Y327" s="676"/>
      <c r="Z327" s="676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77">
        <v>4680115888319</v>
      </c>
      <c r="E328" s="677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79"/>
      <c r="R328" s="679"/>
      <c r="S328" s="679"/>
      <c r="T328" s="68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77">
        <v>4680115884700</v>
      </c>
      <c r="E329" s="677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79"/>
      <c r="R329" s="679"/>
      <c r="S329" s="679"/>
      <c r="T329" s="68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77">
        <v>4680115880344</v>
      </c>
      <c r="E330" s="677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79"/>
      <c r="R330" s="679"/>
      <c r="S330" s="679"/>
      <c r="T330" s="68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77">
        <v>4680115886919</v>
      </c>
      <c r="E331" s="677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79"/>
      <c r="R331" s="679"/>
      <c r="S331" s="679"/>
      <c r="T331" s="680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77">
        <v>4680115883970</v>
      </c>
      <c r="E332" s="677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79"/>
      <c r="R332" s="679"/>
      <c r="S332" s="679"/>
      <c r="T332" s="68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85"/>
      <c r="B333" s="685"/>
      <c r="C333" s="685"/>
      <c r="D333" s="685"/>
      <c r="E333" s="685"/>
      <c r="F333" s="685"/>
      <c r="G333" s="685"/>
      <c r="H333" s="685"/>
      <c r="I333" s="685"/>
      <c r="J333" s="685"/>
      <c r="K333" s="685"/>
      <c r="L333" s="685"/>
      <c r="M333" s="685"/>
      <c r="N333" s="685"/>
      <c r="O333" s="686"/>
      <c r="P333" s="682" t="s">
        <v>40</v>
      </c>
      <c r="Q333" s="683"/>
      <c r="R333" s="683"/>
      <c r="S333" s="683"/>
      <c r="T333" s="683"/>
      <c r="U333" s="683"/>
      <c r="V333" s="684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85"/>
      <c r="B334" s="685"/>
      <c r="C334" s="685"/>
      <c r="D334" s="685"/>
      <c r="E334" s="685"/>
      <c r="F334" s="685"/>
      <c r="G334" s="685"/>
      <c r="H334" s="685"/>
      <c r="I334" s="685"/>
      <c r="J334" s="685"/>
      <c r="K334" s="685"/>
      <c r="L334" s="685"/>
      <c r="M334" s="685"/>
      <c r="N334" s="685"/>
      <c r="O334" s="686"/>
      <c r="P334" s="682" t="s">
        <v>40</v>
      </c>
      <c r="Q334" s="683"/>
      <c r="R334" s="683"/>
      <c r="S334" s="683"/>
      <c r="T334" s="683"/>
      <c r="U334" s="683"/>
      <c r="V334" s="684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76" t="s">
        <v>86</v>
      </c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6"/>
      <c r="P335" s="676"/>
      <c r="Q335" s="676"/>
      <c r="R335" s="676"/>
      <c r="S335" s="676"/>
      <c r="T335" s="676"/>
      <c r="U335" s="676"/>
      <c r="V335" s="676"/>
      <c r="W335" s="676"/>
      <c r="X335" s="676"/>
      <c r="Y335" s="676"/>
      <c r="Z335" s="676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77">
        <v>4680115884618</v>
      </c>
      <c r="E336" s="677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79"/>
      <c r="R336" s="679"/>
      <c r="S336" s="679"/>
      <c r="T336" s="68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77">
        <v>4680115887114</v>
      </c>
      <c r="E337" s="677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79"/>
      <c r="R337" s="679"/>
      <c r="S337" s="679"/>
      <c r="T337" s="68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85"/>
      <c r="B338" s="685"/>
      <c r="C338" s="685"/>
      <c r="D338" s="685"/>
      <c r="E338" s="685"/>
      <c r="F338" s="685"/>
      <c r="G338" s="685"/>
      <c r="H338" s="685"/>
      <c r="I338" s="685"/>
      <c r="J338" s="685"/>
      <c r="K338" s="685"/>
      <c r="L338" s="685"/>
      <c r="M338" s="685"/>
      <c r="N338" s="685"/>
      <c r="O338" s="686"/>
      <c r="P338" s="682" t="s">
        <v>40</v>
      </c>
      <c r="Q338" s="683"/>
      <c r="R338" s="683"/>
      <c r="S338" s="683"/>
      <c r="T338" s="683"/>
      <c r="U338" s="683"/>
      <c r="V338" s="684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">
      <c r="A339" s="685"/>
      <c r="B339" s="685"/>
      <c r="C339" s="685"/>
      <c r="D339" s="685"/>
      <c r="E339" s="685"/>
      <c r="F339" s="685"/>
      <c r="G339" s="685"/>
      <c r="H339" s="685"/>
      <c r="I339" s="685"/>
      <c r="J339" s="685"/>
      <c r="K339" s="685"/>
      <c r="L339" s="685"/>
      <c r="M339" s="685"/>
      <c r="N339" s="685"/>
      <c r="O339" s="686"/>
      <c r="P339" s="682" t="s">
        <v>40</v>
      </c>
      <c r="Q339" s="683"/>
      <c r="R339" s="683"/>
      <c r="S339" s="683"/>
      <c r="T339" s="683"/>
      <c r="U339" s="683"/>
      <c r="V339" s="684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75" t="s">
        <v>562</v>
      </c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  <c r="V340" s="675"/>
      <c r="W340" s="675"/>
      <c r="X340" s="675"/>
      <c r="Y340" s="675"/>
      <c r="Z340" s="675"/>
      <c r="AA340" s="65"/>
      <c r="AB340" s="65"/>
      <c r="AC340" s="79"/>
    </row>
    <row r="341" spans="1:68" ht="14.25" customHeight="1" x14ac:dyDescent="0.25">
      <c r="A341" s="676" t="s">
        <v>128</v>
      </c>
      <c r="B341" s="676"/>
      <c r="C341" s="676"/>
      <c r="D341" s="676"/>
      <c r="E341" s="676"/>
      <c r="F341" s="676"/>
      <c r="G341" s="676"/>
      <c r="H341" s="676"/>
      <c r="I341" s="676"/>
      <c r="J341" s="676"/>
      <c r="K341" s="676"/>
      <c r="L341" s="676"/>
      <c r="M341" s="676"/>
      <c r="N341" s="676"/>
      <c r="O341" s="676"/>
      <c r="P341" s="676"/>
      <c r="Q341" s="676"/>
      <c r="R341" s="676"/>
      <c r="S341" s="676"/>
      <c r="T341" s="676"/>
      <c r="U341" s="676"/>
      <c r="V341" s="676"/>
      <c r="W341" s="676"/>
      <c r="X341" s="676"/>
      <c r="Y341" s="676"/>
      <c r="Z341" s="676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77">
        <v>4680115887947</v>
      </c>
      <c r="E342" s="677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79"/>
      <c r="R342" s="679"/>
      <c r="S342" s="679"/>
      <c r="T342" s="68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77">
        <v>4680115887978</v>
      </c>
      <c r="E343" s="677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79"/>
      <c r="R343" s="679"/>
      <c r="S343" s="679"/>
      <c r="T343" s="68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77">
        <v>4680115887992</v>
      </c>
      <c r="E344" s="677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79"/>
      <c r="R344" s="679"/>
      <c r="S344" s="679"/>
      <c r="T344" s="68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85"/>
      <c r="B345" s="685"/>
      <c r="C345" s="685"/>
      <c r="D345" s="685"/>
      <c r="E345" s="685"/>
      <c r="F345" s="685"/>
      <c r="G345" s="685"/>
      <c r="H345" s="685"/>
      <c r="I345" s="685"/>
      <c r="J345" s="685"/>
      <c r="K345" s="685"/>
      <c r="L345" s="685"/>
      <c r="M345" s="685"/>
      <c r="N345" s="685"/>
      <c r="O345" s="686"/>
      <c r="P345" s="682" t="s">
        <v>40</v>
      </c>
      <c r="Q345" s="683"/>
      <c r="R345" s="683"/>
      <c r="S345" s="683"/>
      <c r="T345" s="683"/>
      <c r="U345" s="683"/>
      <c r="V345" s="68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85"/>
      <c r="B346" s="685"/>
      <c r="C346" s="685"/>
      <c r="D346" s="685"/>
      <c r="E346" s="685"/>
      <c r="F346" s="685"/>
      <c r="G346" s="685"/>
      <c r="H346" s="685"/>
      <c r="I346" s="685"/>
      <c r="J346" s="685"/>
      <c r="K346" s="685"/>
      <c r="L346" s="685"/>
      <c r="M346" s="685"/>
      <c r="N346" s="685"/>
      <c r="O346" s="686"/>
      <c r="P346" s="682" t="s">
        <v>40</v>
      </c>
      <c r="Q346" s="683"/>
      <c r="R346" s="683"/>
      <c r="S346" s="683"/>
      <c r="T346" s="683"/>
      <c r="U346" s="683"/>
      <c r="V346" s="68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5" t="s">
        <v>572</v>
      </c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  <c r="V347" s="675"/>
      <c r="W347" s="675"/>
      <c r="X347" s="675"/>
      <c r="Y347" s="675"/>
      <c r="Z347" s="675"/>
      <c r="AA347" s="65"/>
      <c r="AB347" s="65"/>
      <c r="AC347" s="79"/>
    </row>
    <row r="348" spans="1:68" ht="14.25" customHeight="1" x14ac:dyDescent="0.25">
      <c r="A348" s="676" t="s">
        <v>128</v>
      </c>
      <c r="B348" s="676"/>
      <c r="C348" s="676"/>
      <c r="D348" s="676"/>
      <c r="E348" s="676"/>
      <c r="F348" s="676"/>
      <c r="G348" s="676"/>
      <c r="H348" s="676"/>
      <c r="I348" s="676"/>
      <c r="J348" s="676"/>
      <c r="K348" s="676"/>
      <c r="L348" s="676"/>
      <c r="M348" s="676"/>
      <c r="N348" s="676"/>
      <c r="O348" s="676"/>
      <c r="P348" s="676"/>
      <c r="Q348" s="676"/>
      <c r="R348" s="676"/>
      <c r="S348" s="676"/>
      <c r="T348" s="676"/>
      <c r="U348" s="676"/>
      <c r="V348" s="676"/>
      <c r="W348" s="676"/>
      <c r="X348" s="676"/>
      <c r="Y348" s="676"/>
      <c r="Z348" s="676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4301012235</v>
      </c>
      <c r="D349" s="677">
        <v>4680115887190</v>
      </c>
      <c r="E349" s="677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79"/>
      <c r="R349" s="679"/>
      <c r="S349" s="679"/>
      <c r="T349" s="68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customHeight="1" x14ac:dyDescent="0.25">
      <c r="A350" s="63" t="s">
        <v>576</v>
      </c>
      <c r="B350" s="63" t="s">
        <v>577</v>
      </c>
      <c r="C350" s="36">
        <v>4301012233</v>
      </c>
      <c r="D350" s="677">
        <v>4680115887138</v>
      </c>
      <c r="E350" s="677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79"/>
      <c r="R350" s="679"/>
      <c r="S350" s="679"/>
      <c r="T350" s="68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4301012016</v>
      </c>
      <c r="D351" s="677">
        <v>4680115885554</v>
      </c>
      <c r="E351" s="677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90</v>
      </c>
      <c r="N351" s="38"/>
      <c r="O351" s="37">
        <v>55</v>
      </c>
      <c r="P351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79"/>
      <c r="R351" s="679"/>
      <c r="S351" s="679"/>
      <c r="T351" s="68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4301012236</v>
      </c>
      <c r="D352" s="677">
        <v>4680115887220</v>
      </c>
      <c r="E352" s="67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140</v>
      </c>
      <c r="L352" s="37" t="s">
        <v>46</v>
      </c>
      <c r="M352" s="38" t="s">
        <v>132</v>
      </c>
      <c r="N352" s="38"/>
      <c r="O352" s="37">
        <v>55</v>
      </c>
      <c r="P352" s="8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79"/>
      <c r="R352" s="679"/>
      <c r="S352" s="679"/>
      <c r="T352" s="680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36" t="s">
        <v>575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584</v>
      </c>
      <c r="B353" s="63" t="s">
        <v>585</v>
      </c>
      <c r="C353" s="36">
        <v>4301011859</v>
      </c>
      <c r="D353" s="677">
        <v>4680115885608</v>
      </c>
      <c r="E353" s="677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79"/>
      <c r="R353" s="679"/>
      <c r="S353" s="679"/>
      <c r="T353" s="68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85"/>
      <c r="B354" s="685"/>
      <c r="C354" s="685"/>
      <c r="D354" s="685"/>
      <c r="E354" s="685"/>
      <c r="F354" s="685"/>
      <c r="G354" s="685"/>
      <c r="H354" s="685"/>
      <c r="I354" s="685"/>
      <c r="J354" s="685"/>
      <c r="K354" s="685"/>
      <c r="L354" s="685"/>
      <c r="M354" s="685"/>
      <c r="N354" s="685"/>
      <c r="O354" s="686"/>
      <c r="P354" s="682" t="s">
        <v>40</v>
      </c>
      <c r="Q354" s="683"/>
      <c r="R354" s="683"/>
      <c r="S354" s="683"/>
      <c r="T354" s="683"/>
      <c r="U354" s="683"/>
      <c r="V354" s="684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85"/>
      <c r="B355" s="685"/>
      <c r="C355" s="685"/>
      <c r="D355" s="685"/>
      <c r="E355" s="685"/>
      <c r="F355" s="685"/>
      <c r="G355" s="685"/>
      <c r="H355" s="685"/>
      <c r="I355" s="685"/>
      <c r="J355" s="685"/>
      <c r="K355" s="685"/>
      <c r="L355" s="685"/>
      <c r="M355" s="685"/>
      <c r="N355" s="685"/>
      <c r="O355" s="686"/>
      <c r="P355" s="682" t="s">
        <v>40</v>
      </c>
      <c r="Q355" s="683"/>
      <c r="R355" s="683"/>
      <c r="S355" s="683"/>
      <c r="T355" s="683"/>
      <c r="U355" s="683"/>
      <c r="V355" s="684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6" t="s">
        <v>77</v>
      </c>
      <c r="B356" s="676"/>
      <c r="C356" s="676"/>
      <c r="D356" s="676"/>
      <c r="E356" s="676"/>
      <c r="F356" s="676"/>
      <c r="G356" s="676"/>
      <c r="H356" s="676"/>
      <c r="I356" s="676"/>
      <c r="J356" s="676"/>
      <c r="K356" s="676"/>
      <c r="L356" s="676"/>
      <c r="M356" s="676"/>
      <c r="N356" s="676"/>
      <c r="O356" s="676"/>
      <c r="P356" s="676"/>
      <c r="Q356" s="676"/>
      <c r="R356" s="676"/>
      <c r="S356" s="676"/>
      <c r="T356" s="676"/>
      <c r="U356" s="676"/>
      <c r="V356" s="676"/>
      <c r="W356" s="676"/>
      <c r="X356" s="676"/>
      <c r="Y356" s="676"/>
      <c r="Z356" s="676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4301030878</v>
      </c>
      <c r="D357" s="677">
        <v>4607091387193</v>
      </c>
      <c r="E357" s="677"/>
      <c r="F357" s="62">
        <v>0.7</v>
      </c>
      <c r="G357" s="37">
        <v>6</v>
      </c>
      <c r="H357" s="62">
        <v>4.2</v>
      </c>
      <c r="I357" s="62">
        <v>4.45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35</v>
      </c>
      <c r="P357" s="8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79"/>
      <c r="R357" s="679"/>
      <c r="S357" s="679"/>
      <c r="T357" s="68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ref="Y357:Y363" si="47"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589</v>
      </c>
      <c r="AG357" s="78"/>
      <c r="AJ357" s="84" t="s">
        <v>46</v>
      </c>
      <c r="AK357" s="84">
        <v>0</v>
      </c>
      <c r="BB357" s="441" t="s">
        <v>67</v>
      </c>
      <c r="BM357" s="78">
        <f t="shared" ref="BM357:BM363" si="48">IFERROR(X357*I357/H357,"0")</f>
        <v>0</v>
      </c>
      <c r="BN357" s="78">
        <f t="shared" ref="BN357:BN363" si="49">IFERROR(Y357*I357/H357,"0")</f>
        <v>0</v>
      </c>
      <c r="BO357" s="78">
        <f t="shared" ref="BO357:BO363" si="50">IFERROR(1/J357*(X357/H357),"0")</f>
        <v>0</v>
      </c>
      <c r="BP357" s="78">
        <f t="shared" ref="BP357:BP363" si="51">IFERROR(1/J357*(Y357/H357),"0")</f>
        <v>0</v>
      </c>
    </row>
    <row r="358" spans="1:68" ht="27" customHeight="1" x14ac:dyDescent="0.25">
      <c r="A358" s="63" t="s">
        <v>590</v>
      </c>
      <c r="B358" s="63" t="s">
        <v>591</v>
      </c>
      <c r="C358" s="36">
        <v>4301031153</v>
      </c>
      <c r="D358" s="677">
        <v>4607091387230</v>
      </c>
      <c r="E358" s="677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40</v>
      </c>
      <c r="P358" s="8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79"/>
      <c r="R358" s="679"/>
      <c r="S358" s="679"/>
      <c r="T358" s="68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4301031154</v>
      </c>
      <c r="D359" s="677">
        <v>4607091387292</v>
      </c>
      <c r="E359" s="677"/>
      <c r="F359" s="62">
        <v>0.73</v>
      </c>
      <c r="G359" s="37">
        <v>6</v>
      </c>
      <c r="H359" s="62">
        <v>4.38</v>
      </c>
      <c r="I359" s="62">
        <v>4.63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45</v>
      </c>
      <c r="P359" s="8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79"/>
      <c r="R359" s="679"/>
      <c r="S359" s="679"/>
      <c r="T359" s="68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7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48"/>
        <v>0</v>
      </c>
      <c r="BN359" s="78">
        <f t="shared" si="49"/>
        <v>0</v>
      </c>
      <c r="BO359" s="78">
        <f t="shared" si="50"/>
        <v>0</v>
      </c>
      <c r="BP359" s="78">
        <f t="shared" si="51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4301031152</v>
      </c>
      <c r="D360" s="677">
        <v>4607091387285</v>
      </c>
      <c r="E360" s="677"/>
      <c r="F360" s="62">
        <v>0.35</v>
      </c>
      <c r="G360" s="37">
        <v>6</v>
      </c>
      <c r="H360" s="62">
        <v>2.1</v>
      </c>
      <c r="I360" s="62">
        <v>2.23</v>
      </c>
      <c r="J360" s="37">
        <v>234</v>
      </c>
      <c r="K360" s="37" t="s">
        <v>82</v>
      </c>
      <c r="L360" s="37" t="s">
        <v>46</v>
      </c>
      <c r="M360" s="38" t="s">
        <v>81</v>
      </c>
      <c r="N360" s="38"/>
      <c r="O360" s="37">
        <v>40</v>
      </c>
      <c r="P360" s="8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79"/>
      <c r="R360" s="679"/>
      <c r="S360" s="679"/>
      <c r="T360" s="680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IFERROR(IF(Y360=0,"",ROUNDUP(Y360/H360,0)*0.00502),"")</f>
        <v/>
      </c>
      <c r="AA360" s="68" t="s">
        <v>46</v>
      </c>
      <c r="AB360" s="69" t="s">
        <v>46</v>
      </c>
      <c r="AC360" s="446" t="s">
        <v>592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598</v>
      </c>
      <c r="B361" s="63" t="s">
        <v>599</v>
      </c>
      <c r="C361" s="36">
        <v>4301031305</v>
      </c>
      <c r="D361" s="677">
        <v>4607091389845</v>
      </c>
      <c r="E361" s="677"/>
      <c r="F361" s="62">
        <v>0.35</v>
      </c>
      <c r="G361" s="37">
        <v>6</v>
      </c>
      <c r="H361" s="62">
        <v>2.1</v>
      </c>
      <c r="I361" s="62">
        <v>2.2000000000000002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79"/>
      <c r="R361" s="679"/>
      <c r="S361" s="679"/>
      <c r="T361" s="68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4301031460</v>
      </c>
      <c r="D362" s="677">
        <v>4680115887442</v>
      </c>
      <c r="E362" s="677"/>
      <c r="F362" s="62">
        <v>0.73</v>
      </c>
      <c r="G362" s="37">
        <v>6</v>
      </c>
      <c r="H362" s="62">
        <v>4.38</v>
      </c>
      <c r="I362" s="62">
        <v>4.63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45</v>
      </c>
      <c r="P362" s="86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79"/>
      <c r="R362" s="679"/>
      <c r="S362" s="679"/>
      <c r="T362" s="68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595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603</v>
      </c>
      <c r="B363" s="63" t="s">
        <v>604</v>
      </c>
      <c r="C363" s="36">
        <v>4301031066</v>
      </c>
      <c r="D363" s="677">
        <v>4607091383836</v>
      </c>
      <c r="E363" s="677"/>
      <c r="F363" s="62">
        <v>0.3</v>
      </c>
      <c r="G363" s="37">
        <v>6</v>
      </c>
      <c r="H363" s="62">
        <v>1.8</v>
      </c>
      <c r="I363" s="62">
        <v>2.028</v>
      </c>
      <c r="J363" s="37">
        <v>182</v>
      </c>
      <c r="K363" s="37" t="s">
        <v>91</v>
      </c>
      <c r="L363" s="37" t="s">
        <v>46</v>
      </c>
      <c r="M363" s="38" t="s">
        <v>81</v>
      </c>
      <c r="N363" s="38"/>
      <c r="O363" s="37">
        <v>40</v>
      </c>
      <c r="P363" s="8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9"/>
      <c r="R363" s="679"/>
      <c r="S363" s="679"/>
      <c r="T363" s="68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IFERROR(IF(Y363=0,"",ROUNDUP(Y363/H363,0)*0.00651),"")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x14ac:dyDescent="0.2">
      <c r="A364" s="685"/>
      <c r="B364" s="685"/>
      <c r="C364" s="685"/>
      <c r="D364" s="685"/>
      <c r="E364" s="685"/>
      <c r="F364" s="685"/>
      <c r="G364" s="685"/>
      <c r="H364" s="685"/>
      <c r="I364" s="685"/>
      <c r="J364" s="685"/>
      <c r="K364" s="685"/>
      <c r="L364" s="685"/>
      <c r="M364" s="685"/>
      <c r="N364" s="685"/>
      <c r="O364" s="686"/>
      <c r="P364" s="682" t="s">
        <v>40</v>
      </c>
      <c r="Q364" s="683"/>
      <c r="R364" s="683"/>
      <c r="S364" s="683"/>
      <c r="T364" s="683"/>
      <c r="U364" s="683"/>
      <c r="V364" s="684"/>
      <c r="W364" s="42" t="s">
        <v>39</v>
      </c>
      <c r="X364" s="43">
        <f>IFERROR(X357/H357,"0")+IFERROR(X358/H358,"0")+IFERROR(X359/H359,"0")+IFERROR(X360/H360,"0")+IFERROR(X361/H361,"0")+IFERROR(X362/H362,"0")+IFERROR(X363/H363,"0")</f>
        <v>0</v>
      </c>
      <c r="Y364" s="43">
        <f>IFERROR(Y357/H357,"0")+IFERROR(Y358/H358,"0")+IFERROR(Y359/H359,"0")+IFERROR(Y360/H360,"0")+IFERROR(Y361/H361,"0")+IFERROR(Y362/H362,"0")+IFERROR(Y363/H363,"0")</f>
        <v>0</v>
      </c>
      <c r="Z364" s="43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685"/>
      <c r="B365" s="685"/>
      <c r="C365" s="685"/>
      <c r="D365" s="685"/>
      <c r="E365" s="685"/>
      <c r="F365" s="685"/>
      <c r="G365" s="685"/>
      <c r="H365" s="685"/>
      <c r="I365" s="685"/>
      <c r="J365" s="685"/>
      <c r="K365" s="685"/>
      <c r="L365" s="685"/>
      <c r="M365" s="685"/>
      <c r="N365" s="685"/>
      <c r="O365" s="686"/>
      <c r="P365" s="682" t="s">
        <v>40</v>
      </c>
      <c r="Q365" s="683"/>
      <c r="R365" s="683"/>
      <c r="S365" s="683"/>
      <c r="T365" s="683"/>
      <c r="U365" s="683"/>
      <c r="V365" s="684"/>
      <c r="W365" s="42" t="s">
        <v>0</v>
      </c>
      <c r="X365" s="43">
        <f>IFERROR(SUM(X357:X363),"0")</f>
        <v>0</v>
      </c>
      <c r="Y365" s="43">
        <f>IFERROR(SUM(Y357:Y363),"0")</f>
        <v>0</v>
      </c>
      <c r="Z365" s="42"/>
      <c r="AA365" s="67"/>
      <c r="AB365" s="67"/>
      <c r="AC365" s="67"/>
    </row>
    <row r="366" spans="1:68" ht="14.25" customHeight="1" x14ac:dyDescent="0.25">
      <c r="A366" s="676" t="s">
        <v>86</v>
      </c>
      <c r="B366" s="676"/>
      <c r="C366" s="676"/>
      <c r="D366" s="676"/>
      <c r="E366" s="676"/>
      <c r="F366" s="676"/>
      <c r="G366" s="676"/>
      <c r="H366" s="676"/>
      <c r="I366" s="676"/>
      <c r="J366" s="676"/>
      <c r="K366" s="676"/>
      <c r="L366" s="676"/>
      <c r="M366" s="676"/>
      <c r="N366" s="676"/>
      <c r="O366" s="676"/>
      <c r="P366" s="676"/>
      <c r="Q366" s="676"/>
      <c r="R366" s="676"/>
      <c r="S366" s="676"/>
      <c r="T366" s="676"/>
      <c r="U366" s="676"/>
      <c r="V366" s="676"/>
      <c r="W366" s="676"/>
      <c r="X366" s="676"/>
      <c r="Y366" s="676"/>
      <c r="Z366" s="676"/>
      <c r="AA366" s="66"/>
      <c r="AB366" s="66"/>
      <c r="AC366" s="80"/>
    </row>
    <row r="367" spans="1:68" ht="27" customHeight="1" x14ac:dyDescent="0.25">
      <c r="A367" s="63" t="s">
        <v>606</v>
      </c>
      <c r="B367" s="63" t="s">
        <v>607</v>
      </c>
      <c r="C367" s="36">
        <v>4301051100</v>
      </c>
      <c r="D367" s="677">
        <v>4607091387766</v>
      </c>
      <c r="E367" s="677"/>
      <c r="F367" s="62">
        <v>1.3</v>
      </c>
      <c r="G367" s="37">
        <v>6</v>
      </c>
      <c r="H367" s="62">
        <v>7.8</v>
      </c>
      <c r="I367" s="62">
        <v>8.2880000000000003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79"/>
      <c r="R367" s="679"/>
      <c r="S367" s="679"/>
      <c r="T367" s="68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608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4301051818</v>
      </c>
      <c r="D368" s="677">
        <v>4607091387957</v>
      </c>
      <c r="E368" s="677"/>
      <c r="F368" s="62">
        <v>1.3</v>
      </c>
      <c r="G368" s="37">
        <v>6</v>
      </c>
      <c r="H368" s="62">
        <v>7.8</v>
      </c>
      <c r="I368" s="62">
        <v>8.2940000000000005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79"/>
      <c r="R368" s="679"/>
      <c r="S368" s="679"/>
      <c r="T368" s="680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4301051819</v>
      </c>
      <c r="D369" s="677">
        <v>4607091387964</v>
      </c>
      <c r="E369" s="677"/>
      <c r="F369" s="62">
        <v>1.35</v>
      </c>
      <c r="G369" s="37">
        <v>6</v>
      </c>
      <c r="H369" s="62">
        <v>8.1</v>
      </c>
      <c r="I369" s="62">
        <v>8.5760000000000005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79"/>
      <c r="R369" s="679"/>
      <c r="S369" s="679"/>
      <c r="T369" s="680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4301051734</v>
      </c>
      <c r="D370" s="677">
        <v>4680115884588</v>
      </c>
      <c r="E370" s="677"/>
      <c r="F370" s="62">
        <v>0.5</v>
      </c>
      <c r="G370" s="37">
        <v>6</v>
      </c>
      <c r="H370" s="62">
        <v>3</v>
      </c>
      <c r="I370" s="62">
        <v>3.246</v>
      </c>
      <c r="J370" s="37">
        <v>182</v>
      </c>
      <c r="K370" s="37" t="s">
        <v>91</v>
      </c>
      <c r="L370" s="37" t="s">
        <v>46</v>
      </c>
      <c r="M370" s="38" t="s">
        <v>90</v>
      </c>
      <c r="N370" s="38"/>
      <c r="O370" s="37">
        <v>40</v>
      </c>
      <c r="P37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79"/>
      <c r="R370" s="679"/>
      <c r="S370" s="679"/>
      <c r="T370" s="680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46</v>
      </c>
      <c r="AB370" s="69" t="s">
        <v>46</v>
      </c>
      <c r="AC370" s="460" t="s">
        <v>608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85"/>
      <c r="B371" s="685"/>
      <c r="C371" s="685"/>
      <c r="D371" s="685"/>
      <c r="E371" s="685"/>
      <c r="F371" s="685"/>
      <c r="G371" s="685"/>
      <c r="H371" s="685"/>
      <c r="I371" s="685"/>
      <c r="J371" s="685"/>
      <c r="K371" s="685"/>
      <c r="L371" s="685"/>
      <c r="M371" s="685"/>
      <c r="N371" s="685"/>
      <c r="O371" s="686"/>
      <c r="P371" s="682" t="s">
        <v>40</v>
      </c>
      <c r="Q371" s="683"/>
      <c r="R371" s="683"/>
      <c r="S371" s="683"/>
      <c r="T371" s="683"/>
      <c r="U371" s="683"/>
      <c r="V371" s="684"/>
      <c r="W371" s="42" t="s">
        <v>39</v>
      </c>
      <c r="X371" s="43">
        <f>IFERROR(X367/H367,"0")+IFERROR(X368/H368,"0")+IFERROR(X369/H369,"0")+IFERROR(X370/H370,"0")</f>
        <v>0</v>
      </c>
      <c r="Y371" s="43">
        <f>IFERROR(Y367/H367,"0")+IFERROR(Y368/H368,"0")+IFERROR(Y369/H369,"0")+IFERROR(Y370/H370,"0")</f>
        <v>0</v>
      </c>
      <c r="Z371" s="43">
        <f>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85"/>
      <c r="B372" s="685"/>
      <c r="C372" s="685"/>
      <c r="D372" s="685"/>
      <c r="E372" s="685"/>
      <c r="F372" s="685"/>
      <c r="G372" s="685"/>
      <c r="H372" s="685"/>
      <c r="I372" s="685"/>
      <c r="J372" s="685"/>
      <c r="K372" s="685"/>
      <c r="L372" s="685"/>
      <c r="M372" s="685"/>
      <c r="N372" s="685"/>
      <c r="O372" s="686"/>
      <c r="P372" s="682" t="s">
        <v>40</v>
      </c>
      <c r="Q372" s="683"/>
      <c r="R372" s="683"/>
      <c r="S372" s="683"/>
      <c r="T372" s="683"/>
      <c r="U372" s="683"/>
      <c r="V372" s="684"/>
      <c r="W372" s="42" t="s">
        <v>0</v>
      </c>
      <c r="X372" s="43">
        <f>IFERROR(SUM(X367:X370),"0")</f>
        <v>0</v>
      </c>
      <c r="Y372" s="43">
        <f>IFERROR(SUM(Y367:Y370),"0")</f>
        <v>0</v>
      </c>
      <c r="Z372" s="42"/>
      <c r="AA372" s="67"/>
      <c r="AB372" s="67"/>
      <c r="AC372" s="67"/>
    </row>
    <row r="373" spans="1:68" ht="14.25" customHeight="1" x14ac:dyDescent="0.25">
      <c r="A373" s="676" t="s">
        <v>180</v>
      </c>
      <c r="B373" s="676"/>
      <c r="C373" s="676"/>
      <c r="D373" s="676"/>
      <c r="E373" s="676"/>
      <c r="F373" s="676"/>
      <c r="G373" s="676"/>
      <c r="H373" s="676"/>
      <c r="I373" s="676"/>
      <c r="J373" s="676"/>
      <c r="K373" s="676"/>
      <c r="L373" s="676"/>
      <c r="M373" s="676"/>
      <c r="N373" s="676"/>
      <c r="O373" s="676"/>
      <c r="P373" s="676"/>
      <c r="Q373" s="676"/>
      <c r="R373" s="676"/>
      <c r="S373" s="676"/>
      <c r="T373" s="676"/>
      <c r="U373" s="676"/>
      <c r="V373" s="676"/>
      <c r="W373" s="676"/>
      <c r="X373" s="676"/>
      <c r="Y373" s="676"/>
      <c r="Z373" s="676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4301060387</v>
      </c>
      <c r="D374" s="677">
        <v>4607091380880</v>
      </c>
      <c r="E374" s="677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30</v>
      </c>
      <c r="P374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79"/>
      <c r="R374" s="679"/>
      <c r="S374" s="679"/>
      <c r="T374" s="68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2" t="s">
        <v>619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4301060406</v>
      </c>
      <c r="D375" s="677">
        <v>4607091384482</v>
      </c>
      <c r="E375" s="677"/>
      <c r="F375" s="62">
        <v>1.3</v>
      </c>
      <c r="G375" s="37">
        <v>6</v>
      </c>
      <c r="H375" s="62">
        <v>7.8</v>
      </c>
      <c r="I375" s="62">
        <v>8.2940000000000005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79"/>
      <c r="R375" s="679"/>
      <c r="S375" s="679"/>
      <c r="T375" s="680"/>
      <c r="U375" s="39" t="s">
        <v>46</v>
      </c>
      <c r="V375" s="39" t="s">
        <v>46</v>
      </c>
      <c r="W375" s="40" t="s">
        <v>0</v>
      </c>
      <c r="X375" s="58">
        <v>200</v>
      </c>
      <c r="Y375" s="55">
        <f>IFERROR(IF(X375="",0,CEILING((X375/$H375),1)*$H375),"")</f>
        <v>202.79999999999998</v>
      </c>
      <c r="Z375" s="41">
        <f>IFERROR(IF(Y375=0,"",ROUNDUP(Y375/H375,0)*0.01898),"")</f>
        <v>0.49348000000000003</v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212.66666666666669</v>
      </c>
      <c r="BN375" s="78">
        <f>IFERROR(Y375*I375/H375,"0")</f>
        <v>215.64399999999998</v>
      </c>
      <c r="BO375" s="78">
        <f>IFERROR(1/J375*(X375/H375),"0")</f>
        <v>0.40064102564102566</v>
      </c>
      <c r="BP375" s="78">
        <f>IFERROR(1/J375*(Y375/H375),"0")</f>
        <v>0.40625</v>
      </c>
    </row>
    <row r="376" spans="1:68" ht="16.5" customHeight="1" x14ac:dyDescent="0.25">
      <c r="A376" s="63" t="s">
        <v>623</v>
      </c>
      <c r="B376" s="63" t="s">
        <v>624</v>
      </c>
      <c r="C376" s="36">
        <v>4301060484</v>
      </c>
      <c r="D376" s="677">
        <v>4607091380897</v>
      </c>
      <c r="E376" s="677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133</v>
      </c>
      <c r="L376" s="37" t="s">
        <v>46</v>
      </c>
      <c r="M376" s="38" t="s">
        <v>97</v>
      </c>
      <c r="N376" s="38"/>
      <c r="O376" s="37">
        <v>30</v>
      </c>
      <c r="P376" s="8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79"/>
      <c r="R376" s="679"/>
      <c r="S376" s="679"/>
      <c r="T376" s="68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85"/>
      <c r="B377" s="685"/>
      <c r="C377" s="685"/>
      <c r="D377" s="685"/>
      <c r="E377" s="685"/>
      <c r="F377" s="685"/>
      <c r="G377" s="685"/>
      <c r="H377" s="685"/>
      <c r="I377" s="685"/>
      <c r="J377" s="685"/>
      <c r="K377" s="685"/>
      <c r="L377" s="685"/>
      <c r="M377" s="685"/>
      <c r="N377" s="685"/>
      <c r="O377" s="686"/>
      <c r="P377" s="682" t="s">
        <v>40</v>
      </c>
      <c r="Q377" s="683"/>
      <c r="R377" s="683"/>
      <c r="S377" s="683"/>
      <c r="T377" s="683"/>
      <c r="U377" s="683"/>
      <c r="V377" s="684"/>
      <c r="W377" s="42" t="s">
        <v>39</v>
      </c>
      <c r="X377" s="43">
        <f>IFERROR(X374/H374,"0")+IFERROR(X375/H375,"0")+IFERROR(X376/H376,"0")</f>
        <v>25.641025641025642</v>
      </c>
      <c r="Y377" s="43">
        <f>IFERROR(Y374/H374,"0")+IFERROR(Y375/H375,"0")+IFERROR(Y376/H376,"0")</f>
        <v>26</v>
      </c>
      <c r="Z377" s="43">
        <f>IFERROR(IF(Z374="",0,Z374),"0")+IFERROR(IF(Z375="",0,Z375),"0")+IFERROR(IF(Z376="",0,Z376),"0")</f>
        <v>0.49348000000000003</v>
      </c>
      <c r="AA377" s="67"/>
      <c r="AB377" s="67"/>
      <c r="AC377" s="67"/>
    </row>
    <row r="378" spans="1:68" x14ac:dyDescent="0.2">
      <c r="A378" s="685"/>
      <c r="B378" s="685"/>
      <c r="C378" s="685"/>
      <c r="D378" s="685"/>
      <c r="E378" s="685"/>
      <c r="F378" s="685"/>
      <c r="G378" s="685"/>
      <c r="H378" s="685"/>
      <c r="I378" s="685"/>
      <c r="J378" s="685"/>
      <c r="K378" s="685"/>
      <c r="L378" s="685"/>
      <c r="M378" s="685"/>
      <c r="N378" s="685"/>
      <c r="O378" s="686"/>
      <c r="P378" s="682" t="s">
        <v>40</v>
      </c>
      <c r="Q378" s="683"/>
      <c r="R378" s="683"/>
      <c r="S378" s="683"/>
      <c r="T378" s="683"/>
      <c r="U378" s="683"/>
      <c r="V378" s="684"/>
      <c r="W378" s="42" t="s">
        <v>0</v>
      </c>
      <c r="X378" s="43">
        <f>IFERROR(SUM(X374:X376),"0")</f>
        <v>200</v>
      </c>
      <c r="Y378" s="43">
        <f>IFERROR(SUM(Y374:Y376),"0")</f>
        <v>202.79999999999998</v>
      </c>
      <c r="Z378" s="42"/>
      <c r="AA378" s="67"/>
      <c r="AB378" s="67"/>
      <c r="AC378" s="67"/>
    </row>
    <row r="379" spans="1:68" ht="14.25" customHeight="1" x14ac:dyDescent="0.25">
      <c r="A379" s="676" t="s">
        <v>107</v>
      </c>
      <c r="B379" s="676"/>
      <c r="C379" s="676"/>
      <c r="D379" s="676"/>
      <c r="E379" s="676"/>
      <c r="F379" s="676"/>
      <c r="G379" s="676"/>
      <c r="H379" s="676"/>
      <c r="I379" s="676"/>
      <c r="J379" s="676"/>
      <c r="K379" s="676"/>
      <c r="L379" s="676"/>
      <c r="M379" s="676"/>
      <c r="N379" s="676"/>
      <c r="O379" s="676"/>
      <c r="P379" s="676"/>
      <c r="Q379" s="676"/>
      <c r="R379" s="676"/>
      <c r="S379" s="676"/>
      <c r="T379" s="676"/>
      <c r="U379" s="676"/>
      <c r="V379" s="676"/>
      <c r="W379" s="676"/>
      <c r="X379" s="676"/>
      <c r="Y379" s="676"/>
      <c r="Z379" s="676"/>
      <c r="AA379" s="66"/>
      <c r="AB379" s="66"/>
      <c r="AC379" s="80"/>
    </row>
    <row r="380" spans="1:68" ht="27" customHeight="1" x14ac:dyDescent="0.25">
      <c r="A380" s="63" t="s">
        <v>626</v>
      </c>
      <c r="B380" s="63" t="s">
        <v>627</v>
      </c>
      <c r="C380" s="36">
        <v>4301030235</v>
      </c>
      <c r="D380" s="677">
        <v>4607091388381</v>
      </c>
      <c r="E380" s="677"/>
      <c r="F380" s="62">
        <v>0.38</v>
      </c>
      <c r="G380" s="37">
        <v>8</v>
      </c>
      <c r="H380" s="62">
        <v>3.04</v>
      </c>
      <c r="I380" s="62">
        <v>3.31</v>
      </c>
      <c r="J380" s="37">
        <v>132</v>
      </c>
      <c r="K380" s="37" t="s">
        <v>140</v>
      </c>
      <c r="L380" s="37" t="s">
        <v>46</v>
      </c>
      <c r="M380" s="38" t="s">
        <v>112</v>
      </c>
      <c r="N380" s="38"/>
      <c r="O380" s="37">
        <v>180</v>
      </c>
      <c r="P380" s="8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79"/>
      <c r="R380" s="679"/>
      <c r="S380" s="679"/>
      <c r="T380" s="68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8" t="s">
        <v>628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4301030232</v>
      </c>
      <c r="D381" s="677">
        <v>4607091388374</v>
      </c>
      <c r="E381" s="677"/>
      <c r="F381" s="62">
        <v>0.38</v>
      </c>
      <c r="G381" s="37">
        <v>8</v>
      </c>
      <c r="H381" s="62">
        <v>3.04</v>
      </c>
      <c r="I381" s="62">
        <v>3.27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79"/>
      <c r="R381" s="679"/>
      <c r="S381" s="679"/>
      <c r="T381" s="68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628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631</v>
      </c>
      <c r="B382" s="63" t="s">
        <v>632</v>
      </c>
      <c r="C382" s="36">
        <v>4301032015</v>
      </c>
      <c r="D382" s="677">
        <v>4607091383102</v>
      </c>
      <c r="E382" s="677"/>
      <c r="F382" s="62">
        <v>0.17</v>
      </c>
      <c r="G382" s="37">
        <v>15</v>
      </c>
      <c r="H382" s="62">
        <v>2.5499999999999998</v>
      </c>
      <c r="I382" s="62">
        <v>2.9550000000000001</v>
      </c>
      <c r="J382" s="37">
        <v>182</v>
      </c>
      <c r="K382" s="37" t="s">
        <v>91</v>
      </c>
      <c r="L382" s="37" t="s">
        <v>46</v>
      </c>
      <c r="M382" s="38" t="s">
        <v>112</v>
      </c>
      <c r="N382" s="38"/>
      <c r="O382" s="37">
        <v>180</v>
      </c>
      <c r="P382" s="8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79"/>
      <c r="R382" s="679"/>
      <c r="S382" s="679"/>
      <c r="T382" s="68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72" t="s">
        <v>628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633</v>
      </c>
      <c r="B383" s="63" t="s">
        <v>634</v>
      </c>
      <c r="C383" s="36">
        <v>4301030233</v>
      </c>
      <c r="D383" s="677">
        <v>4607091388404</v>
      </c>
      <c r="E383" s="677"/>
      <c r="F383" s="62">
        <v>0.17</v>
      </c>
      <c r="G383" s="37">
        <v>15</v>
      </c>
      <c r="H383" s="62">
        <v>2.5499999999999998</v>
      </c>
      <c r="I383" s="62">
        <v>2.88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79"/>
      <c r="R383" s="679"/>
      <c r="S383" s="679"/>
      <c r="T383" s="68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628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85"/>
      <c r="B384" s="685"/>
      <c r="C384" s="685"/>
      <c r="D384" s="685"/>
      <c r="E384" s="685"/>
      <c r="F384" s="685"/>
      <c r="G384" s="685"/>
      <c r="H384" s="685"/>
      <c r="I384" s="685"/>
      <c r="J384" s="685"/>
      <c r="K384" s="685"/>
      <c r="L384" s="685"/>
      <c r="M384" s="685"/>
      <c r="N384" s="685"/>
      <c r="O384" s="686"/>
      <c r="P384" s="682" t="s">
        <v>40</v>
      </c>
      <c r="Q384" s="683"/>
      <c r="R384" s="683"/>
      <c r="S384" s="683"/>
      <c r="T384" s="683"/>
      <c r="U384" s="683"/>
      <c r="V384" s="684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85"/>
      <c r="B385" s="685"/>
      <c r="C385" s="685"/>
      <c r="D385" s="685"/>
      <c r="E385" s="685"/>
      <c r="F385" s="685"/>
      <c r="G385" s="685"/>
      <c r="H385" s="685"/>
      <c r="I385" s="685"/>
      <c r="J385" s="685"/>
      <c r="K385" s="685"/>
      <c r="L385" s="685"/>
      <c r="M385" s="685"/>
      <c r="N385" s="685"/>
      <c r="O385" s="686"/>
      <c r="P385" s="682" t="s">
        <v>40</v>
      </c>
      <c r="Q385" s="683"/>
      <c r="R385" s="683"/>
      <c r="S385" s="683"/>
      <c r="T385" s="683"/>
      <c r="U385" s="683"/>
      <c r="V385" s="684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676" t="s">
        <v>635</v>
      </c>
      <c r="B386" s="676"/>
      <c r="C386" s="676"/>
      <c r="D386" s="676"/>
      <c r="E386" s="676"/>
      <c r="F386" s="676"/>
      <c r="G386" s="676"/>
      <c r="H386" s="676"/>
      <c r="I386" s="676"/>
      <c r="J386" s="676"/>
      <c r="K386" s="676"/>
      <c r="L386" s="676"/>
      <c r="M386" s="676"/>
      <c r="N386" s="676"/>
      <c r="O386" s="676"/>
      <c r="P386" s="676"/>
      <c r="Q386" s="676"/>
      <c r="R386" s="676"/>
      <c r="S386" s="676"/>
      <c r="T386" s="676"/>
      <c r="U386" s="676"/>
      <c r="V386" s="676"/>
      <c r="W386" s="676"/>
      <c r="X386" s="676"/>
      <c r="Y386" s="676"/>
      <c r="Z386" s="676"/>
      <c r="AA386" s="66"/>
      <c r="AB386" s="66"/>
      <c r="AC386" s="80"/>
    </row>
    <row r="387" spans="1:68" ht="16.5" customHeight="1" x14ac:dyDescent="0.25">
      <c r="A387" s="63" t="s">
        <v>636</v>
      </c>
      <c r="B387" s="63" t="s">
        <v>637</v>
      </c>
      <c r="C387" s="36">
        <v>4301180007</v>
      </c>
      <c r="D387" s="677">
        <v>4680115881808</v>
      </c>
      <c r="E387" s="677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639</v>
      </c>
      <c r="N387" s="38"/>
      <c r="O387" s="37">
        <v>731</v>
      </c>
      <c r="P387" s="8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79"/>
      <c r="R387" s="679"/>
      <c r="S387" s="679"/>
      <c r="T387" s="68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638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640</v>
      </c>
      <c r="B388" s="63" t="s">
        <v>641</v>
      </c>
      <c r="C388" s="36">
        <v>4301180006</v>
      </c>
      <c r="D388" s="677">
        <v>4680115881822</v>
      </c>
      <c r="E388" s="677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639</v>
      </c>
      <c r="N388" s="38"/>
      <c r="O388" s="37">
        <v>731</v>
      </c>
      <c r="P388" s="8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79"/>
      <c r="R388" s="679"/>
      <c r="S388" s="679"/>
      <c r="T388" s="68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638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642</v>
      </c>
      <c r="B389" s="63" t="s">
        <v>643</v>
      </c>
      <c r="C389" s="36">
        <v>4301180001</v>
      </c>
      <c r="D389" s="677">
        <v>4680115880016</v>
      </c>
      <c r="E389" s="677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639</v>
      </c>
      <c r="N389" s="38"/>
      <c r="O389" s="37">
        <v>731</v>
      </c>
      <c r="P389" s="88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79"/>
      <c r="R389" s="679"/>
      <c r="S389" s="679"/>
      <c r="T389" s="68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638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85"/>
      <c r="B390" s="685"/>
      <c r="C390" s="685"/>
      <c r="D390" s="685"/>
      <c r="E390" s="685"/>
      <c r="F390" s="685"/>
      <c r="G390" s="685"/>
      <c r="H390" s="685"/>
      <c r="I390" s="685"/>
      <c r="J390" s="685"/>
      <c r="K390" s="685"/>
      <c r="L390" s="685"/>
      <c r="M390" s="685"/>
      <c r="N390" s="685"/>
      <c r="O390" s="686"/>
      <c r="P390" s="682" t="s">
        <v>40</v>
      </c>
      <c r="Q390" s="683"/>
      <c r="R390" s="683"/>
      <c r="S390" s="683"/>
      <c r="T390" s="683"/>
      <c r="U390" s="683"/>
      <c r="V390" s="684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85"/>
      <c r="B391" s="685"/>
      <c r="C391" s="685"/>
      <c r="D391" s="685"/>
      <c r="E391" s="685"/>
      <c r="F391" s="685"/>
      <c r="G391" s="685"/>
      <c r="H391" s="685"/>
      <c r="I391" s="685"/>
      <c r="J391" s="685"/>
      <c r="K391" s="685"/>
      <c r="L391" s="685"/>
      <c r="M391" s="685"/>
      <c r="N391" s="685"/>
      <c r="O391" s="686"/>
      <c r="P391" s="682" t="s">
        <v>40</v>
      </c>
      <c r="Q391" s="683"/>
      <c r="R391" s="683"/>
      <c r="S391" s="683"/>
      <c r="T391" s="683"/>
      <c r="U391" s="683"/>
      <c r="V391" s="684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6.5" customHeight="1" x14ac:dyDescent="0.25">
      <c r="A392" s="675" t="s">
        <v>644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"/>
      <c r="AB392" s="65"/>
      <c r="AC392" s="79"/>
    </row>
    <row r="393" spans="1:68" ht="14.25" customHeight="1" x14ac:dyDescent="0.25">
      <c r="A393" s="676" t="s">
        <v>86</v>
      </c>
      <c r="B393" s="676"/>
      <c r="C393" s="676"/>
      <c r="D393" s="676"/>
      <c r="E393" s="676"/>
      <c r="F393" s="676"/>
      <c r="G393" s="676"/>
      <c r="H393" s="676"/>
      <c r="I393" s="676"/>
      <c r="J393" s="676"/>
      <c r="K393" s="676"/>
      <c r="L393" s="676"/>
      <c r="M393" s="676"/>
      <c r="N393" s="676"/>
      <c r="O393" s="676"/>
      <c r="P393" s="676"/>
      <c r="Q393" s="676"/>
      <c r="R393" s="676"/>
      <c r="S393" s="676"/>
      <c r="T393" s="676"/>
      <c r="U393" s="676"/>
      <c r="V393" s="676"/>
      <c r="W393" s="676"/>
      <c r="X393" s="676"/>
      <c r="Y393" s="676"/>
      <c r="Z393" s="676"/>
      <c r="AA393" s="66"/>
      <c r="AB393" s="66"/>
      <c r="AC393" s="80"/>
    </row>
    <row r="394" spans="1:68" ht="27" customHeight="1" x14ac:dyDescent="0.25">
      <c r="A394" s="63" t="s">
        <v>645</v>
      </c>
      <c r="B394" s="63" t="s">
        <v>646</v>
      </c>
      <c r="C394" s="36">
        <v>4301051489</v>
      </c>
      <c r="D394" s="677">
        <v>4607091387919</v>
      </c>
      <c r="E394" s="677"/>
      <c r="F394" s="62">
        <v>1.35</v>
      </c>
      <c r="G394" s="37">
        <v>6</v>
      </c>
      <c r="H394" s="62">
        <v>8.1</v>
      </c>
      <c r="I394" s="62">
        <v>8.5939999999999994</v>
      </c>
      <c r="J394" s="37">
        <v>64</v>
      </c>
      <c r="K394" s="37" t="s">
        <v>133</v>
      </c>
      <c r="L394" s="37" t="s">
        <v>46</v>
      </c>
      <c r="M394" s="38" t="s">
        <v>97</v>
      </c>
      <c r="N394" s="38"/>
      <c r="O394" s="37">
        <v>45</v>
      </c>
      <c r="P394" s="8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79"/>
      <c r="R394" s="679"/>
      <c r="S394" s="679"/>
      <c r="T394" s="68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2" t="s">
        <v>647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648</v>
      </c>
      <c r="B395" s="63" t="s">
        <v>649</v>
      </c>
      <c r="C395" s="36">
        <v>4301051461</v>
      </c>
      <c r="D395" s="677">
        <v>4680115883604</v>
      </c>
      <c r="E395" s="677"/>
      <c r="F395" s="62">
        <v>0.35</v>
      </c>
      <c r="G395" s="37">
        <v>6</v>
      </c>
      <c r="H395" s="62">
        <v>2.1</v>
      </c>
      <c r="I395" s="62">
        <v>2.3519999999999999</v>
      </c>
      <c r="J395" s="37">
        <v>182</v>
      </c>
      <c r="K395" s="37" t="s">
        <v>91</v>
      </c>
      <c r="L395" s="37" t="s">
        <v>46</v>
      </c>
      <c r="M395" s="38" t="s">
        <v>90</v>
      </c>
      <c r="N395" s="38"/>
      <c r="O395" s="37">
        <v>45</v>
      </c>
      <c r="P395" s="8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79"/>
      <c r="R395" s="679"/>
      <c r="S395" s="679"/>
      <c r="T395" s="68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4301051864</v>
      </c>
      <c r="D396" s="677">
        <v>4680115883567</v>
      </c>
      <c r="E396" s="677"/>
      <c r="F396" s="62">
        <v>0.35</v>
      </c>
      <c r="G396" s="37">
        <v>6</v>
      </c>
      <c r="H396" s="62">
        <v>2.1</v>
      </c>
      <c r="I396" s="62">
        <v>2.34</v>
      </c>
      <c r="J396" s="37">
        <v>182</v>
      </c>
      <c r="K396" s="37" t="s">
        <v>91</v>
      </c>
      <c r="L396" s="37" t="s">
        <v>46</v>
      </c>
      <c r="M396" s="38" t="s">
        <v>97</v>
      </c>
      <c r="N396" s="38"/>
      <c r="O396" s="37">
        <v>40</v>
      </c>
      <c r="P396" s="8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79"/>
      <c r="R396" s="679"/>
      <c r="S396" s="679"/>
      <c r="T396" s="68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85"/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6"/>
      <c r="P397" s="682" t="s">
        <v>40</v>
      </c>
      <c r="Q397" s="683"/>
      <c r="R397" s="683"/>
      <c r="S397" s="683"/>
      <c r="T397" s="683"/>
      <c r="U397" s="683"/>
      <c r="V397" s="684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85"/>
      <c r="B398" s="685"/>
      <c r="C398" s="685"/>
      <c r="D398" s="685"/>
      <c r="E398" s="685"/>
      <c r="F398" s="685"/>
      <c r="G398" s="685"/>
      <c r="H398" s="685"/>
      <c r="I398" s="685"/>
      <c r="J398" s="685"/>
      <c r="K398" s="685"/>
      <c r="L398" s="685"/>
      <c r="M398" s="685"/>
      <c r="N398" s="685"/>
      <c r="O398" s="686"/>
      <c r="P398" s="682" t="s">
        <v>40</v>
      </c>
      <c r="Q398" s="683"/>
      <c r="R398" s="683"/>
      <c r="S398" s="683"/>
      <c r="T398" s="683"/>
      <c r="U398" s="683"/>
      <c r="V398" s="684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27.75" customHeight="1" x14ac:dyDescent="0.2">
      <c r="A399" s="674" t="s">
        <v>654</v>
      </c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4"/>
      <c r="P399" s="674"/>
      <c r="Q399" s="674"/>
      <c r="R399" s="674"/>
      <c r="S399" s="674"/>
      <c r="T399" s="674"/>
      <c r="U399" s="674"/>
      <c r="V399" s="674"/>
      <c r="W399" s="674"/>
      <c r="X399" s="674"/>
      <c r="Y399" s="674"/>
      <c r="Z399" s="674"/>
      <c r="AA399" s="54"/>
      <c r="AB399" s="54"/>
      <c r="AC399" s="54"/>
    </row>
    <row r="400" spans="1:68" ht="16.5" customHeight="1" x14ac:dyDescent="0.25">
      <c r="A400" s="675" t="s">
        <v>655</v>
      </c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  <c r="V400" s="675"/>
      <c r="W400" s="675"/>
      <c r="X400" s="675"/>
      <c r="Y400" s="675"/>
      <c r="Z400" s="675"/>
      <c r="AA400" s="65"/>
      <c r="AB400" s="65"/>
      <c r="AC400" s="79"/>
    </row>
    <row r="401" spans="1:68" ht="14.25" customHeight="1" x14ac:dyDescent="0.25">
      <c r="A401" s="676" t="s">
        <v>128</v>
      </c>
      <c r="B401" s="676"/>
      <c r="C401" s="676"/>
      <c r="D401" s="676"/>
      <c r="E401" s="676"/>
      <c r="F401" s="676"/>
      <c r="G401" s="676"/>
      <c r="H401" s="676"/>
      <c r="I401" s="676"/>
      <c r="J401" s="676"/>
      <c r="K401" s="676"/>
      <c r="L401" s="676"/>
      <c r="M401" s="676"/>
      <c r="N401" s="676"/>
      <c r="O401" s="676"/>
      <c r="P401" s="676"/>
      <c r="Q401" s="676"/>
      <c r="R401" s="676"/>
      <c r="S401" s="676"/>
      <c r="T401" s="676"/>
      <c r="U401" s="676"/>
      <c r="V401" s="676"/>
      <c r="W401" s="676"/>
      <c r="X401" s="676"/>
      <c r="Y401" s="676"/>
      <c r="Z401" s="676"/>
      <c r="AA401" s="66"/>
      <c r="AB401" s="66"/>
      <c r="AC401" s="80"/>
    </row>
    <row r="402" spans="1:68" ht="27" customHeight="1" x14ac:dyDescent="0.25">
      <c r="A402" s="63" t="s">
        <v>656</v>
      </c>
      <c r="B402" s="63" t="s">
        <v>657</v>
      </c>
      <c r="C402" s="36">
        <v>4301012332</v>
      </c>
      <c r="D402" s="677">
        <v>4680115888401</v>
      </c>
      <c r="E402" s="677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97</v>
      </c>
      <c r="N402" s="38"/>
      <c r="O402" s="37">
        <v>60</v>
      </c>
      <c r="P402" s="88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79"/>
      <c r="R402" s="679"/>
      <c r="S402" s="679"/>
      <c r="T402" s="680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ref="Y402:Y409" si="52">IFERROR(IF(X402="",0,CEILING((X402/$H402),1)*$H402),"")</f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658</v>
      </c>
      <c r="AG402" s="78"/>
      <c r="AJ402" s="84" t="s">
        <v>46</v>
      </c>
      <c r="AK402" s="84">
        <v>0</v>
      </c>
      <c r="BB402" s="489" t="s">
        <v>67</v>
      </c>
      <c r="BM402" s="78">
        <f t="shared" ref="BM402:BM409" si="53">IFERROR(X402*I402/H402,"0")</f>
        <v>0</v>
      </c>
      <c r="BN402" s="78">
        <f t="shared" ref="BN402:BN409" si="54">IFERROR(Y402*I402/H402,"0")</f>
        <v>0</v>
      </c>
      <c r="BO402" s="78">
        <f t="shared" ref="BO402:BO409" si="55">IFERROR(1/J402*(X402/H402),"0")</f>
        <v>0</v>
      </c>
      <c r="BP402" s="78">
        <f t="shared" ref="BP402:BP409" si="56">IFERROR(1/J402*(Y402/H402),"0")</f>
        <v>0</v>
      </c>
    </row>
    <row r="403" spans="1:68" ht="37.5" customHeight="1" x14ac:dyDescent="0.25">
      <c r="A403" s="63" t="s">
        <v>659</v>
      </c>
      <c r="B403" s="63" t="s">
        <v>660</v>
      </c>
      <c r="C403" s="36">
        <v>4301011869</v>
      </c>
      <c r="D403" s="677">
        <v>4680115884847</v>
      </c>
      <c r="E403" s="677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79"/>
      <c r="R403" s="679"/>
      <c r="S403" s="679"/>
      <c r="T403" s="680"/>
      <c r="U403" s="39" t="s">
        <v>46</v>
      </c>
      <c r="V403" s="39" t="s">
        <v>46</v>
      </c>
      <c r="W403" s="40" t="s">
        <v>0</v>
      </c>
      <c r="X403" s="58">
        <v>2000</v>
      </c>
      <c r="Y403" s="55">
        <f t="shared" si="52"/>
        <v>2010</v>
      </c>
      <c r="Z403" s="41">
        <f>IFERROR(IF(Y403=0,"",ROUNDUP(Y403/H403,0)*0.02175),"")</f>
        <v>2.9144999999999999</v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si="53"/>
        <v>2062.6666666666665</v>
      </c>
      <c r="BN403" s="78">
        <f t="shared" si="54"/>
        <v>2072.98</v>
      </c>
      <c r="BO403" s="78">
        <f t="shared" si="55"/>
        <v>2.7777777777777777</v>
      </c>
      <c r="BP403" s="78">
        <f t="shared" si="56"/>
        <v>2.7916666666666665</v>
      </c>
    </row>
    <row r="404" spans="1:68" ht="27" customHeight="1" x14ac:dyDescent="0.25">
      <c r="A404" s="63" t="s">
        <v>662</v>
      </c>
      <c r="B404" s="63" t="s">
        <v>663</v>
      </c>
      <c r="C404" s="36">
        <v>4301012083</v>
      </c>
      <c r="D404" s="677">
        <v>4680115884854</v>
      </c>
      <c r="E404" s="677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132</v>
      </c>
      <c r="N404" s="38"/>
      <c r="O404" s="37">
        <v>60</v>
      </c>
      <c r="P404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79"/>
      <c r="R404" s="679"/>
      <c r="S404" s="679"/>
      <c r="T404" s="680"/>
      <c r="U404" s="39" t="s">
        <v>46</v>
      </c>
      <c r="V404" s="39" t="s">
        <v>46</v>
      </c>
      <c r="W404" s="40" t="s">
        <v>0</v>
      </c>
      <c r="X404" s="58">
        <v>1000</v>
      </c>
      <c r="Y404" s="55">
        <f t="shared" si="52"/>
        <v>1005</v>
      </c>
      <c r="Z404" s="41">
        <f>IFERROR(IF(Y404=0,"",ROUNDUP(Y404/H404,0)*0.02175),"")</f>
        <v>1.4572499999999999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3"/>
        <v>1031.3333333333333</v>
      </c>
      <c r="BN404" s="78">
        <f t="shared" si="54"/>
        <v>1036.49</v>
      </c>
      <c r="BO404" s="78">
        <f t="shared" si="55"/>
        <v>1.3888888888888888</v>
      </c>
      <c r="BP404" s="78">
        <f t="shared" si="56"/>
        <v>1.3958333333333333</v>
      </c>
    </row>
    <row r="405" spans="1:68" ht="27" customHeight="1" x14ac:dyDescent="0.25">
      <c r="A405" s="63" t="s">
        <v>665</v>
      </c>
      <c r="B405" s="63" t="s">
        <v>666</v>
      </c>
      <c r="C405" s="36">
        <v>4301011867</v>
      </c>
      <c r="D405" s="677">
        <v>4680115884830</v>
      </c>
      <c r="E405" s="677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81</v>
      </c>
      <c r="N405" s="38"/>
      <c r="O405" s="37">
        <v>60</v>
      </c>
      <c r="P405" s="8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79"/>
      <c r="R405" s="679"/>
      <c r="S405" s="679"/>
      <c r="T405" s="680"/>
      <c r="U405" s="39" t="s">
        <v>46</v>
      </c>
      <c r="V405" s="39" t="s">
        <v>46</v>
      </c>
      <c r="W405" s="40" t="s">
        <v>0</v>
      </c>
      <c r="X405" s="58">
        <v>600</v>
      </c>
      <c r="Y405" s="55">
        <f t="shared" si="52"/>
        <v>600</v>
      </c>
      <c r="Z405" s="41">
        <f>IFERROR(IF(Y405=0,"",ROUNDUP(Y405/H405,0)*0.02175),"")</f>
        <v>0.86999999999999988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618.79999999999995</v>
      </c>
      <c r="BN405" s="78">
        <f t="shared" si="54"/>
        <v>618.79999999999995</v>
      </c>
      <c r="BO405" s="78">
        <f t="shared" si="55"/>
        <v>0.83333333333333326</v>
      </c>
      <c r="BP405" s="78">
        <f t="shared" si="56"/>
        <v>0.83333333333333326</v>
      </c>
    </row>
    <row r="406" spans="1:68" ht="27" customHeight="1" x14ac:dyDescent="0.25">
      <c r="A406" s="63" t="s">
        <v>668</v>
      </c>
      <c r="B406" s="63" t="s">
        <v>669</v>
      </c>
      <c r="C406" s="36">
        <v>4301012356</v>
      </c>
      <c r="D406" s="677">
        <v>4680115889231</v>
      </c>
      <c r="E406" s="677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97</v>
      </c>
      <c r="N406" s="38"/>
      <c r="O406" s="37">
        <v>60</v>
      </c>
      <c r="P406" s="89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79"/>
      <c r="R406" s="679"/>
      <c r="S406" s="679"/>
      <c r="T406" s="680"/>
      <c r="U406" s="39" t="s">
        <v>46</v>
      </c>
      <c r="V406" s="39" t="s">
        <v>46</v>
      </c>
      <c r="W406" s="40" t="s">
        <v>0</v>
      </c>
      <c r="X406" s="58">
        <v>1000</v>
      </c>
      <c r="Y406" s="55">
        <f t="shared" si="52"/>
        <v>1005</v>
      </c>
      <c r="Z406" s="41">
        <f>IFERROR(IF(Y406=0,"",ROUNDUP(Y406/H406,0)*0.02175),"")</f>
        <v>1.4572499999999999</v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1031.3333333333333</v>
      </c>
      <c r="BN406" s="78">
        <f t="shared" si="54"/>
        <v>1036.49</v>
      </c>
      <c r="BO406" s="78">
        <f t="shared" si="55"/>
        <v>1.3888888888888888</v>
      </c>
      <c r="BP406" s="78">
        <f t="shared" si="56"/>
        <v>1.3958333333333333</v>
      </c>
    </row>
    <row r="407" spans="1:68" ht="27" customHeight="1" x14ac:dyDescent="0.25">
      <c r="A407" s="63" t="s">
        <v>671</v>
      </c>
      <c r="B407" s="63" t="s">
        <v>672</v>
      </c>
      <c r="C407" s="36">
        <v>4301011433</v>
      </c>
      <c r="D407" s="677">
        <v>4680115882638</v>
      </c>
      <c r="E407" s="677"/>
      <c r="F407" s="62">
        <v>0.4</v>
      </c>
      <c r="G407" s="37">
        <v>10</v>
      </c>
      <c r="H407" s="62">
        <v>4</v>
      </c>
      <c r="I407" s="62">
        <v>4.1900000000000004</v>
      </c>
      <c r="J407" s="37">
        <v>132</v>
      </c>
      <c r="K407" s="37" t="s">
        <v>140</v>
      </c>
      <c r="L407" s="37" t="s">
        <v>46</v>
      </c>
      <c r="M407" s="38" t="s">
        <v>132</v>
      </c>
      <c r="N407" s="38"/>
      <c r="O407" s="37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79"/>
      <c r="R407" s="679"/>
      <c r="S407" s="679"/>
      <c r="T407" s="68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4301011952</v>
      </c>
      <c r="D408" s="677">
        <v>4680115884922</v>
      </c>
      <c r="E408" s="677"/>
      <c r="F408" s="62">
        <v>0.5</v>
      </c>
      <c r="G408" s="37">
        <v>10</v>
      </c>
      <c r="H408" s="62">
        <v>5</v>
      </c>
      <c r="I408" s="62">
        <v>5.19</v>
      </c>
      <c r="J408" s="37">
        <v>132</v>
      </c>
      <c r="K408" s="37" t="s">
        <v>140</v>
      </c>
      <c r="L408" s="37" t="s">
        <v>46</v>
      </c>
      <c r="M408" s="38" t="s">
        <v>81</v>
      </c>
      <c r="N408" s="38"/>
      <c r="O408" s="37">
        <v>60</v>
      </c>
      <c r="P408" s="8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79"/>
      <c r="R408" s="679"/>
      <c r="S408" s="679"/>
      <c r="T408" s="68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37.5" customHeight="1" x14ac:dyDescent="0.25">
      <c r="A409" s="63" t="s">
        <v>677</v>
      </c>
      <c r="B409" s="63" t="s">
        <v>678</v>
      </c>
      <c r="C409" s="36">
        <v>4301011868</v>
      </c>
      <c r="D409" s="677">
        <v>4680115884861</v>
      </c>
      <c r="E409" s="677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79"/>
      <c r="R409" s="679"/>
      <c r="S409" s="679"/>
      <c r="T409" s="68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x14ac:dyDescent="0.2">
      <c r="A410" s="685"/>
      <c r="B410" s="685"/>
      <c r="C410" s="685"/>
      <c r="D410" s="685"/>
      <c r="E410" s="685"/>
      <c r="F410" s="685"/>
      <c r="G410" s="685"/>
      <c r="H410" s="685"/>
      <c r="I410" s="685"/>
      <c r="J410" s="685"/>
      <c r="K410" s="685"/>
      <c r="L410" s="685"/>
      <c r="M410" s="685"/>
      <c r="N410" s="685"/>
      <c r="O410" s="686"/>
      <c r="P410" s="682" t="s">
        <v>40</v>
      </c>
      <c r="Q410" s="683"/>
      <c r="R410" s="683"/>
      <c r="S410" s="683"/>
      <c r="T410" s="683"/>
      <c r="U410" s="683"/>
      <c r="V410" s="684"/>
      <c r="W410" s="42" t="s">
        <v>39</v>
      </c>
      <c r="X410" s="43">
        <f>IFERROR(X402/H402,"0")+IFERROR(X403/H403,"0")+IFERROR(X404/H404,"0")+IFERROR(X405/H405,"0")+IFERROR(X406/H406,"0")+IFERROR(X407/H407,"0")+IFERROR(X408/H408,"0")+IFERROR(X409/H409,"0")</f>
        <v>306.66666666666669</v>
      </c>
      <c r="Y410" s="43">
        <f>IFERROR(Y402/H402,"0")+IFERROR(Y403/H403,"0")+IFERROR(Y404/H404,"0")+IFERROR(Y405/H405,"0")+IFERROR(Y406/H406,"0")+IFERROR(Y407/H407,"0")+IFERROR(Y408/H408,"0")+IFERROR(Y409/H409,"0")</f>
        <v>308</v>
      </c>
      <c r="Z410" s="43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6.6989999999999998</v>
      </c>
      <c r="AA410" s="67"/>
      <c r="AB410" s="67"/>
      <c r="AC410" s="67"/>
    </row>
    <row r="411" spans="1:68" x14ac:dyDescent="0.2">
      <c r="A411" s="685"/>
      <c r="B411" s="685"/>
      <c r="C411" s="685"/>
      <c r="D411" s="685"/>
      <c r="E411" s="685"/>
      <c r="F411" s="685"/>
      <c r="G411" s="685"/>
      <c r="H411" s="685"/>
      <c r="I411" s="685"/>
      <c r="J411" s="685"/>
      <c r="K411" s="685"/>
      <c r="L411" s="685"/>
      <c r="M411" s="685"/>
      <c r="N411" s="685"/>
      <c r="O411" s="686"/>
      <c r="P411" s="682" t="s">
        <v>40</v>
      </c>
      <c r="Q411" s="683"/>
      <c r="R411" s="683"/>
      <c r="S411" s="683"/>
      <c r="T411" s="683"/>
      <c r="U411" s="683"/>
      <c r="V411" s="684"/>
      <c r="W411" s="42" t="s">
        <v>0</v>
      </c>
      <c r="X411" s="43">
        <f>IFERROR(SUM(X402:X409),"0")</f>
        <v>4600</v>
      </c>
      <c r="Y411" s="43">
        <f>IFERROR(SUM(Y402:Y409),"0")</f>
        <v>4620</v>
      </c>
      <c r="Z411" s="42"/>
      <c r="AA411" s="67"/>
      <c r="AB411" s="67"/>
      <c r="AC411" s="67"/>
    </row>
    <row r="412" spans="1:68" ht="14.25" customHeight="1" x14ac:dyDescent="0.25">
      <c r="A412" s="676" t="s">
        <v>163</v>
      </c>
      <c r="B412" s="676"/>
      <c r="C412" s="676"/>
      <c r="D412" s="676"/>
      <c r="E412" s="676"/>
      <c r="F412" s="676"/>
      <c r="G412" s="676"/>
      <c r="H412" s="676"/>
      <c r="I412" s="676"/>
      <c r="J412" s="676"/>
      <c r="K412" s="676"/>
      <c r="L412" s="676"/>
      <c r="M412" s="676"/>
      <c r="N412" s="676"/>
      <c r="O412" s="676"/>
      <c r="P412" s="676"/>
      <c r="Q412" s="676"/>
      <c r="R412" s="676"/>
      <c r="S412" s="676"/>
      <c r="T412" s="676"/>
      <c r="U412" s="676"/>
      <c r="V412" s="676"/>
      <c r="W412" s="676"/>
      <c r="X412" s="676"/>
      <c r="Y412" s="676"/>
      <c r="Z412" s="676"/>
      <c r="AA412" s="66"/>
      <c r="AB412" s="66"/>
      <c r="AC412" s="80"/>
    </row>
    <row r="413" spans="1:68" ht="27" customHeight="1" x14ac:dyDescent="0.25">
      <c r="A413" s="63" t="s">
        <v>680</v>
      </c>
      <c r="B413" s="63" t="s">
        <v>681</v>
      </c>
      <c r="C413" s="36">
        <v>4301020178</v>
      </c>
      <c r="D413" s="677">
        <v>4607091383980</v>
      </c>
      <c r="E413" s="67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132</v>
      </c>
      <c r="N413" s="38"/>
      <c r="O413" s="37">
        <v>50</v>
      </c>
      <c r="P413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79"/>
      <c r="R413" s="679"/>
      <c r="S413" s="679"/>
      <c r="T413" s="680"/>
      <c r="U413" s="39" t="s">
        <v>46</v>
      </c>
      <c r="V413" s="39" t="s">
        <v>46</v>
      </c>
      <c r="W413" s="40" t="s">
        <v>0</v>
      </c>
      <c r="X413" s="58">
        <v>1000</v>
      </c>
      <c r="Y413" s="55">
        <f>IFERROR(IF(X413="",0,CEILING((X413/$H413),1)*$H413),"")</f>
        <v>1005</v>
      </c>
      <c r="Z413" s="41">
        <f>IFERROR(IF(Y413=0,"",ROUNDUP(Y413/H413,0)*0.02175),"")</f>
        <v>1.4572499999999999</v>
      </c>
      <c r="AA413" s="68" t="s">
        <v>46</v>
      </c>
      <c r="AB413" s="69" t="s">
        <v>46</v>
      </c>
      <c r="AC413" s="504" t="s">
        <v>682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1031.3333333333333</v>
      </c>
      <c r="BN413" s="78">
        <f>IFERROR(Y413*I413/H413,"0")</f>
        <v>1036.49</v>
      </c>
      <c r="BO413" s="78">
        <f>IFERROR(1/J413*(X413/H413),"0")</f>
        <v>1.3888888888888888</v>
      </c>
      <c r="BP413" s="78">
        <f>IFERROR(1/J413*(Y413/H413),"0")</f>
        <v>1.3958333333333333</v>
      </c>
    </row>
    <row r="414" spans="1:68" ht="27" customHeight="1" x14ac:dyDescent="0.25">
      <c r="A414" s="63" t="s">
        <v>683</v>
      </c>
      <c r="B414" s="63" t="s">
        <v>684</v>
      </c>
      <c r="C414" s="36">
        <v>4301020355</v>
      </c>
      <c r="D414" s="677">
        <v>4680115888425</v>
      </c>
      <c r="E414" s="67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79"/>
      <c r="R414" s="679"/>
      <c r="S414" s="679"/>
      <c r="T414" s="68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686</v>
      </c>
      <c r="B415" s="63" t="s">
        <v>687</v>
      </c>
      <c r="C415" s="36">
        <v>4301020179</v>
      </c>
      <c r="D415" s="677">
        <v>4607091384178</v>
      </c>
      <c r="E415" s="677"/>
      <c r="F415" s="62">
        <v>0.4</v>
      </c>
      <c r="G415" s="37">
        <v>10</v>
      </c>
      <c r="H415" s="62">
        <v>4</v>
      </c>
      <c r="I415" s="62">
        <v>4.1900000000000004</v>
      </c>
      <c r="J415" s="37">
        <v>132</v>
      </c>
      <c r="K415" s="37" t="s">
        <v>140</v>
      </c>
      <c r="L415" s="37" t="s">
        <v>46</v>
      </c>
      <c r="M415" s="38" t="s">
        <v>132</v>
      </c>
      <c r="N415" s="38"/>
      <c r="O415" s="37">
        <v>50</v>
      </c>
      <c r="P415" s="8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79"/>
      <c r="R415" s="679"/>
      <c r="S415" s="679"/>
      <c r="T415" s="68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85"/>
      <c r="B416" s="685"/>
      <c r="C416" s="685"/>
      <c r="D416" s="685"/>
      <c r="E416" s="685"/>
      <c r="F416" s="685"/>
      <c r="G416" s="685"/>
      <c r="H416" s="685"/>
      <c r="I416" s="685"/>
      <c r="J416" s="685"/>
      <c r="K416" s="685"/>
      <c r="L416" s="685"/>
      <c r="M416" s="685"/>
      <c r="N416" s="685"/>
      <c r="O416" s="686"/>
      <c r="P416" s="682" t="s">
        <v>40</v>
      </c>
      <c r="Q416" s="683"/>
      <c r="R416" s="683"/>
      <c r="S416" s="683"/>
      <c r="T416" s="683"/>
      <c r="U416" s="683"/>
      <c r="V416" s="684"/>
      <c r="W416" s="42" t="s">
        <v>39</v>
      </c>
      <c r="X416" s="43">
        <f>IFERROR(X413/H413,"0")+IFERROR(X414/H414,"0")+IFERROR(X415/H415,"0")</f>
        <v>66.666666666666671</v>
      </c>
      <c r="Y416" s="43">
        <f>IFERROR(Y413/H413,"0")+IFERROR(Y414/H414,"0")+IFERROR(Y415/H415,"0")</f>
        <v>67</v>
      </c>
      <c r="Z416" s="43">
        <f>IFERROR(IF(Z413="",0,Z413),"0")+IFERROR(IF(Z414="",0,Z414),"0")+IFERROR(IF(Z415="",0,Z415),"0")</f>
        <v>1.4572499999999999</v>
      </c>
      <c r="AA416" s="67"/>
      <c r="AB416" s="67"/>
      <c r="AC416" s="67"/>
    </row>
    <row r="417" spans="1:68" x14ac:dyDescent="0.2">
      <c r="A417" s="685"/>
      <c r="B417" s="685"/>
      <c r="C417" s="685"/>
      <c r="D417" s="685"/>
      <c r="E417" s="685"/>
      <c r="F417" s="685"/>
      <c r="G417" s="685"/>
      <c r="H417" s="685"/>
      <c r="I417" s="685"/>
      <c r="J417" s="685"/>
      <c r="K417" s="685"/>
      <c r="L417" s="685"/>
      <c r="M417" s="685"/>
      <c r="N417" s="685"/>
      <c r="O417" s="686"/>
      <c r="P417" s="682" t="s">
        <v>40</v>
      </c>
      <c r="Q417" s="683"/>
      <c r="R417" s="683"/>
      <c r="S417" s="683"/>
      <c r="T417" s="683"/>
      <c r="U417" s="683"/>
      <c r="V417" s="684"/>
      <c r="W417" s="42" t="s">
        <v>0</v>
      </c>
      <c r="X417" s="43">
        <f>IFERROR(SUM(X413:X415),"0")</f>
        <v>1000</v>
      </c>
      <c r="Y417" s="43">
        <f>IFERROR(SUM(Y413:Y415),"0")</f>
        <v>1005</v>
      </c>
      <c r="Z417" s="42"/>
      <c r="AA417" s="67"/>
      <c r="AB417" s="67"/>
      <c r="AC417" s="67"/>
    </row>
    <row r="418" spans="1:68" ht="14.25" customHeight="1" x14ac:dyDescent="0.25">
      <c r="A418" s="676" t="s">
        <v>86</v>
      </c>
      <c r="B418" s="676"/>
      <c r="C418" s="676"/>
      <c r="D418" s="676"/>
      <c r="E418" s="676"/>
      <c r="F418" s="676"/>
      <c r="G418" s="676"/>
      <c r="H418" s="676"/>
      <c r="I418" s="676"/>
      <c r="J418" s="676"/>
      <c r="K418" s="676"/>
      <c r="L418" s="676"/>
      <c r="M418" s="676"/>
      <c r="N418" s="676"/>
      <c r="O418" s="676"/>
      <c r="P418" s="676"/>
      <c r="Q418" s="676"/>
      <c r="R418" s="676"/>
      <c r="S418" s="676"/>
      <c r="T418" s="676"/>
      <c r="U418" s="676"/>
      <c r="V418" s="676"/>
      <c r="W418" s="676"/>
      <c r="X418" s="676"/>
      <c r="Y418" s="676"/>
      <c r="Z418" s="676"/>
      <c r="AA418" s="66"/>
      <c r="AB418" s="66"/>
      <c r="AC418" s="80"/>
    </row>
    <row r="419" spans="1:68" ht="27" customHeight="1" x14ac:dyDescent="0.25">
      <c r="A419" s="63" t="s">
        <v>689</v>
      </c>
      <c r="B419" s="63" t="s">
        <v>690</v>
      </c>
      <c r="C419" s="36">
        <v>4301051903</v>
      </c>
      <c r="D419" s="677">
        <v>4607091383928</v>
      </c>
      <c r="E419" s="677"/>
      <c r="F419" s="62">
        <v>1.5</v>
      </c>
      <c r="G419" s="37">
        <v>6</v>
      </c>
      <c r="H419" s="62">
        <v>9</v>
      </c>
      <c r="I419" s="62">
        <v>9.5</v>
      </c>
      <c r="J419" s="37">
        <v>64</v>
      </c>
      <c r="K419" s="37" t="s">
        <v>133</v>
      </c>
      <c r="L419" s="37" t="s">
        <v>46</v>
      </c>
      <c r="M419" s="38" t="s">
        <v>90</v>
      </c>
      <c r="N419" s="38"/>
      <c r="O419" s="37">
        <v>40</v>
      </c>
      <c r="P419" s="8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79"/>
      <c r="R419" s="679"/>
      <c r="S419" s="679"/>
      <c r="T419" s="68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0" t="s">
        <v>691</v>
      </c>
      <c r="AG419" s="78"/>
      <c r="AJ419" s="84" t="s">
        <v>46</v>
      </c>
      <c r="AK419" s="84">
        <v>0</v>
      </c>
      <c r="BB419" s="511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692</v>
      </c>
      <c r="B420" s="63" t="s">
        <v>693</v>
      </c>
      <c r="C420" s="36">
        <v>4301051897</v>
      </c>
      <c r="D420" s="677">
        <v>4607091384260</v>
      </c>
      <c r="E420" s="677"/>
      <c r="F420" s="62">
        <v>1.5</v>
      </c>
      <c r="G420" s="37">
        <v>6</v>
      </c>
      <c r="H420" s="62">
        <v>9</v>
      </c>
      <c r="I420" s="62">
        <v>9.4939999999999998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8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79"/>
      <c r="R420" s="679"/>
      <c r="S420" s="679"/>
      <c r="T420" s="68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85"/>
      <c r="B421" s="685"/>
      <c r="C421" s="685"/>
      <c r="D421" s="685"/>
      <c r="E421" s="685"/>
      <c r="F421" s="685"/>
      <c r="G421" s="685"/>
      <c r="H421" s="685"/>
      <c r="I421" s="685"/>
      <c r="J421" s="685"/>
      <c r="K421" s="685"/>
      <c r="L421" s="685"/>
      <c r="M421" s="685"/>
      <c r="N421" s="685"/>
      <c r="O421" s="686"/>
      <c r="P421" s="682" t="s">
        <v>40</v>
      </c>
      <c r="Q421" s="683"/>
      <c r="R421" s="683"/>
      <c r="S421" s="683"/>
      <c r="T421" s="683"/>
      <c r="U421" s="683"/>
      <c r="V421" s="68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2">
      <c r="A422" s="685"/>
      <c r="B422" s="685"/>
      <c r="C422" s="685"/>
      <c r="D422" s="685"/>
      <c r="E422" s="685"/>
      <c r="F422" s="685"/>
      <c r="G422" s="685"/>
      <c r="H422" s="685"/>
      <c r="I422" s="685"/>
      <c r="J422" s="685"/>
      <c r="K422" s="685"/>
      <c r="L422" s="685"/>
      <c r="M422" s="685"/>
      <c r="N422" s="685"/>
      <c r="O422" s="686"/>
      <c r="P422" s="682" t="s">
        <v>40</v>
      </c>
      <c r="Q422" s="683"/>
      <c r="R422" s="683"/>
      <c r="S422" s="683"/>
      <c r="T422" s="683"/>
      <c r="U422" s="683"/>
      <c r="V422" s="68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4.25" customHeight="1" x14ac:dyDescent="0.25">
      <c r="A423" s="676" t="s">
        <v>180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6"/>
      <c r="AB423" s="66"/>
      <c r="AC423" s="80"/>
    </row>
    <row r="424" spans="1:68" ht="16.5" customHeight="1" x14ac:dyDescent="0.25">
      <c r="A424" s="63" t="s">
        <v>695</v>
      </c>
      <c r="B424" s="63" t="s">
        <v>696</v>
      </c>
      <c r="C424" s="36">
        <v>4301060524</v>
      </c>
      <c r="D424" s="677">
        <v>4607091384673</v>
      </c>
      <c r="E424" s="677"/>
      <c r="F424" s="62">
        <v>1.5</v>
      </c>
      <c r="G424" s="37">
        <v>6</v>
      </c>
      <c r="H424" s="62">
        <v>9</v>
      </c>
      <c r="I424" s="62">
        <v>9.4939999999999998</v>
      </c>
      <c r="J424" s="37">
        <v>64</v>
      </c>
      <c r="K424" s="37" t="s">
        <v>133</v>
      </c>
      <c r="L424" s="37" t="s">
        <v>46</v>
      </c>
      <c r="M424" s="38" t="s">
        <v>90</v>
      </c>
      <c r="N424" s="38"/>
      <c r="O424" s="37">
        <v>40</v>
      </c>
      <c r="P424" s="8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79"/>
      <c r="R424" s="679"/>
      <c r="S424" s="679"/>
      <c r="T424" s="680"/>
      <c r="U424" s="39" t="s">
        <v>46</v>
      </c>
      <c r="V424" s="39" t="s">
        <v>46</v>
      </c>
      <c r="W424" s="40" t="s">
        <v>0</v>
      </c>
      <c r="X424" s="58">
        <v>200</v>
      </c>
      <c r="Y424" s="55">
        <f>IFERROR(IF(X424="",0,CEILING((X424/$H424),1)*$H424),"")</f>
        <v>207</v>
      </c>
      <c r="Z424" s="41">
        <f>IFERROR(IF(Y424=0,"",ROUNDUP(Y424/H424,0)*0.01898),"")</f>
        <v>0.43653999999999998</v>
      </c>
      <c r="AA424" s="68" t="s">
        <v>46</v>
      </c>
      <c r="AB424" s="69" t="s">
        <v>46</v>
      </c>
      <c r="AC424" s="514" t="s">
        <v>697</v>
      </c>
      <c r="AG424" s="78"/>
      <c r="AJ424" s="84" t="s">
        <v>46</v>
      </c>
      <c r="AK424" s="84">
        <v>0</v>
      </c>
      <c r="BB424" s="515" t="s">
        <v>67</v>
      </c>
      <c r="BM424" s="78">
        <f>IFERROR(X424*I424/H424,"0")</f>
        <v>210.97777777777776</v>
      </c>
      <c r="BN424" s="78">
        <f>IFERROR(Y424*I424/H424,"0")</f>
        <v>218.36199999999999</v>
      </c>
      <c r="BO424" s="78">
        <f>IFERROR(1/J424*(X424/H424),"0")</f>
        <v>0.34722222222222221</v>
      </c>
      <c r="BP424" s="78">
        <f>IFERROR(1/J424*(Y424/H424),"0")</f>
        <v>0.359375</v>
      </c>
    </row>
    <row r="425" spans="1:68" x14ac:dyDescent="0.2">
      <c r="A425" s="685"/>
      <c r="B425" s="685"/>
      <c r="C425" s="685"/>
      <c r="D425" s="685"/>
      <c r="E425" s="685"/>
      <c r="F425" s="685"/>
      <c r="G425" s="685"/>
      <c r="H425" s="685"/>
      <c r="I425" s="685"/>
      <c r="J425" s="685"/>
      <c r="K425" s="685"/>
      <c r="L425" s="685"/>
      <c r="M425" s="685"/>
      <c r="N425" s="685"/>
      <c r="O425" s="686"/>
      <c r="P425" s="682" t="s">
        <v>40</v>
      </c>
      <c r="Q425" s="683"/>
      <c r="R425" s="683"/>
      <c r="S425" s="683"/>
      <c r="T425" s="683"/>
      <c r="U425" s="683"/>
      <c r="V425" s="684"/>
      <c r="W425" s="42" t="s">
        <v>39</v>
      </c>
      <c r="X425" s="43">
        <f>IFERROR(X424/H424,"0")</f>
        <v>22.222222222222221</v>
      </c>
      <c r="Y425" s="43">
        <f>IFERROR(Y424/H424,"0")</f>
        <v>23</v>
      </c>
      <c r="Z425" s="43">
        <f>IFERROR(IF(Z424="",0,Z424),"0")</f>
        <v>0.43653999999999998</v>
      </c>
      <c r="AA425" s="67"/>
      <c r="AB425" s="67"/>
      <c r="AC425" s="67"/>
    </row>
    <row r="426" spans="1:68" x14ac:dyDescent="0.2">
      <c r="A426" s="685"/>
      <c r="B426" s="685"/>
      <c r="C426" s="685"/>
      <c r="D426" s="685"/>
      <c r="E426" s="685"/>
      <c r="F426" s="685"/>
      <c r="G426" s="685"/>
      <c r="H426" s="685"/>
      <c r="I426" s="685"/>
      <c r="J426" s="685"/>
      <c r="K426" s="685"/>
      <c r="L426" s="685"/>
      <c r="M426" s="685"/>
      <c r="N426" s="685"/>
      <c r="O426" s="686"/>
      <c r="P426" s="682" t="s">
        <v>40</v>
      </c>
      <c r="Q426" s="683"/>
      <c r="R426" s="683"/>
      <c r="S426" s="683"/>
      <c r="T426" s="683"/>
      <c r="U426" s="683"/>
      <c r="V426" s="684"/>
      <c r="W426" s="42" t="s">
        <v>0</v>
      </c>
      <c r="X426" s="43">
        <f>IFERROR(SUM(X424:X424),"0")</f>
        <v>200</v>
      </c>
      <c r="Y426" s="43">
        <f>IFERROR(SUM(Y424:Y424),"0")</f>
        <v>207</v>
      </c>
      <c r="Z426" s="42"/>
      <c r="AA426" s="67"/>
      <c r="AB426" s="67"/>
      <c r="AC426" s="67"/>
    </row>
    <row r="427" spans="1:68" ht="16.5" customHeight="1" x14ac:dyDescent="0.25">
      <c r="A427" s="675" t="s">
        <v>698</v>
      </c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  <c r="AA427" s="65"/>
      <c r="AB427" s="65"/>
      <c r="AC427" s="79"/>
    </row>
    <row r="428" spans="1:68" ht="14.25" customHeight="1" x14ac:dyDescent="0.25">
      <c r="A428" s="676" t="s">
        <v>128</v>
      </c>
      <c r="B428" s="676"/>
      <c r="C428" s="676"/>
      <c r="D428" s="676"/>
      <c r="E428" s="676"/>
      <c r="F428" s="676"/>
      <c r="G428" s="676"/>
      <c r="H428" s="676"/>
      <c r="I428" s="676"/>
      <c r="J428" s="676"/>
      <c r="K428" s="676"/>
      <c r="L428" s="676"/>
      <c r="M428" s="676"/>
      <c r="N428" s="676"/>
      <c r="O428" s="676"/>
      <c r="P428" s="676"/>
      <c r="Q428" s="676"/>
      <c r="R428" s="676"/>
      <c r="S428" s="676"/>
      <c r="T428" s="676"/>
      <c r="U428" s="676"/>
      <c r="V428" s="676"/>
      <c r="W428" s="676"/>
      <c r="X428" s="676"/>
      <c r="Y428" s="676"/>
      <c r="Z428" s="676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4301011875</v>
      </c>
      <c r="D429" s="677">
        <v>4680115884885</v>
      </c>
      <c r="E429" s="677"/>
      <c r="F429" s="62">
        <v>0.8</v>
      </c>
      <c r="G429" s="37">
        <v>15</v>
      </c>
      <c r="H429" s="62">
        <v>12</v>
      </c>
      <c r="I429" s="62">
        <v>12.41</v>
      </c>
      <c r="J429" s="37">
        <v>64</v>
      </c>
      <c r="K429" s="37" t="s">
        <v>133</v>
      </c>
      <c r="L429" s="37" t="s">
        <v>46</v>
      </c>
      <c r="M429" s="38" t="s">
        <v>81</v>
      </c>
      <c r="N429" s="38"/>
      <c r="O429" s="37">
        <v>60</v>
      </c>
      <c r="P429" s="9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79"/>
      <c r="R429" s="679"/>
      <c r="S429" s="679"/>
      <c r="T429" s="68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16" t="s">
        <v>701</v>
      </c>
      <c r="AG429" s="78"/>
      <c r="AJ429" s="84" t="s">
        <v>46</v>
      </c>
      <c r="AK429" s="84">
        <v>0</v>
      </c>
      <c r="BB429" s="517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4301011871</v>
      </c>
      <c r="D430" s="677">
        <v>4680115884908</v>
      </c>
      <c r="E430" s="677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79"/>
      <c r="R430" s="679"/>
      <c r="S430" s="679"/>
      <c r="T430" s="68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18" t="s">
        <v>701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85"/>
      <c r="B431" s="685"/>
      <c r="C431" s="685"/>
      <c r="D431" s="685"/>
      <c r="E431" s="685"/>
      <c r="F431" s="685"/>
      <c r="G431" s="685"/>
      <c r="H431" s="685"/>
      <c r="I431" s="685"/>
      <c r="J431" s="685"/>
      <c r="K431" s="685"/>
      <c r="L431" s="685"/>
      <c r="M431" s="685"/>
      <c r="N431" s="685"/>
      <c r="O431" s="686"/>
      <c r="P431" s="682" t="s">
        <v>40</v>
      </c>
      <c r="Q431" s="683"/>
      <c r="R431" s="683"/>
      <c r="S431" s="683"/>
      <c r="T431" s="683"/>
      <c r="U431" s="683"/>
      <c r="V431" s="684"/>
      <c r="W431" s="42" t="s">
        <v>39</v>
      </c>
      <c r="X431" s="43">
        <f>IFERROR(X429/H429,"0")+IFERROR(X430/H430,"0")</f>
        <v>0</v>
      </c>
      <c r="Y431" s="43">
        <f>IFERROR(Y429/H429,"0")+IFERROR(Y430/H430,"0")</f>
        <v>0</v>
      </c>
      <c r="Z431" s="43">
        <f>IFERROR(IF(Z429="",0,Z429),"0")+IFERROR(IF(Z430="",0,Z430),"0")</f>
        <v>0</v>
      </c>
      <c r="AA431" s="67"/>
      <c r="AB431" s="67"/>
      <c r="AC431" s="67"/>
    </row>
    <row r="432" spans="1:68" x14ac:dyDescent="0.2">
      <c r="A432" s="685"/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6"/>
      <c r="P432" s="682" t="s">
        <v>40</v>
      </c>
      <c r="Q432" s="683"/>
      <c r="R432" s="683"/>
      <c r="S432" s="683"/>
      <c r="T432" s="683"/>
      <c r="U432" s="683"/>
      <c r="V432" s="684"/>
      <c r="W432" s="42" t="s">
        <v>0</v>
      </c>
      <c r="X432" s="43">
        <f>IFERROR(SUM(X429:X430),"0")</f>
        <v>0</v>
      </c>
      <c r="Y432" s="43">
        <f>IFERROR(SUM(Y429:Y430),"0")</f>
        <v>0</v>
      </c>
      <c r="Z432" s="42"/>
      <c r="AA432" s="67"/>
      <c r="AB432" s="67"/>
      <c r="AC432" s="67"/>
    </row>
    <row r="433" spans="1:68" ht="14.25" customHeight="1" x14ac:dyDescent="0.25">
      <c r="A433" s="676" t="s">
        <v>77</v>
      </c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6"/>
      <c r="P433" s="676"/>
      <c r="Q433" s="676"/>
      <c r="R433" s="676"/>
      <c r="S433" s="676"/>
      <c r="T433" s="676"/>
      <c r="U433" s="676"/>
      <c r="V433" s="676"/>
      <c r="W433" s="676"/>
      <c r="X433" s="676"/>
      <c r="Y433" s="676"/>
      <c r="Z433" s="676"/>
      <c r="AA433" s="66"/>
      <c r="AB433" s="66"/>
      <c r="AC433" s="80"/>
    </row>
    <row r="434" spans="1:68" ht="27" customHeight="1" x14ac:dyDescent="0.25">
      <c r="A434" s="63" t="s">
        <v>704</v>
      </c>
      <c r="B434" s="63" t="s">
        <v>705</v>
      </c>
      <c r="C434" s="36">
        <v>4301031457</v>
      </c>
      <c r="D434" s="677">
        <v>4607091384802</v>
      </c>
      <c r="E434" s="677"/>
      <c r="F434" s="62">
        <v>0.7</v>
      </c>
      <c r="G434" s="37">
        <v>6</v>
      </c>
      <c r="H434" s="62">
        <v>4.2</v>
      </c>
      <c r="I434" s="62">
        <v>4.45</v>
      </c>
      <c r="J434" s="37">
        <v>132</v>
      </c>
      <c r="K434" s="37" t="s">
        <v>140</v>
      </c>
      <c r="L434" s="37" t="s">
        <v>46</v>
      </c>
      <c r="M434" s="38" t="s">
        <v>81</v>
      </c>
      <c r="N434" s="38"/>
      <c r="O434" s="37">
        <v>50</v>
      </c>
      <c r="P434" s="9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79"/>
      <c r="R434" s="679"/>
      <c r="S434" s="679"/>
      <c r="T434" s="68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20" t="s">
        <v>706</v>
      </c>
      <c r="AG434" s="78"/>
      <c r="AJ434" s="84" t="s">
        <v>46</v>
      </c>
      <c r="AK434" s="84">
        <v>0</v>
      </c>
      <c r="BB434" s="521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x14ac:dyDescent="0.2">
      <c r="A435" s="685"/>
      <c r="B435" s="685"/>
      <c r="C435" s="685"/>
      <c r="D435" s="685"/>
      <c r="E435" s="685"/>
      <c r="F435" s="685"/>
      <c r="G435" s="685"/>
      <c r="H435" s="685"/>
      <c r="I435" s="685"/>
      <c r="J435" s="685"/>
      <c r="K435" s="685"/>
      <c r="L435" s="685"/>
      <c r="M435" s="685"/>
      <c r="N435" s="685"/>
      <c r="O435" s="686"/>
      <c r="P435" s="682" t="s">
        <v>40</v>
      </c>
      <c r="Q435" s="683"/>
      <c r="R435" s="683"/>
      <c r="S435" s="683"/>
      <c r="T435" s="683"/>
      <c r="U435" s="683"/>
      <c r="V435" s="684"/>
      <c r="W435" s="42" t="s">
        <v>39</v>
      </c>
      <c r="X435" s="43">
        <f>IFERROR(X434/H434,"0")</f>
        <v>0</v>
      </c>
      <c r="Y435" s="43">
        <f>IFERROR(Y434/H434,"0")</f>
        <v>0</v>
      </c>
      <c r="Z435" s="43">
        <f>IFERROR(IF(Z434="",0,Z434),"0")</f>
        <v>0</v>
      </c>
      <c r="AA435" s="67"/>
      <c r="AB435" s="67"/>
      <c r="AC435" s="67"/>
    </row>
    <row r="436" spans="1:68" x14ac:dyDescent="0.2">
      <c r="A436" s="685"/>
      <c r="B436" s="685"/>
      <c r="C436" s="685"/>
      <c r="D436" s="685"/>
      <c r="E436" s="685"/>
      <c r="F436" s="685"/>
      <c r="G436" s="685"/>
      <c r="H436" s="685"/>
      <c r="I436" s="685"/>
      <c r="J436" s="685"/>
      <c r="K436" s="685"/>
      <c r="L436" s="685"/>
      <c r="M436" s="685"/>
      <c r="N436" s="685"/>
      <c r="O436" s="686"/>
      <c r="P436" s="682" t="s">
        <v>40</v>
      </c>
      <c r="Q436" s="683"/>
      <c r="R436" s="683"/>
      <c r="S436" s="683"/>
      <c r="T436" s="683"/>
      <c r="U436" s="683"/>
      <c r="V436" s="684"/>
      <c r="W436" s="42" t="s">
        <v>0</v>
      </c>
      <c r="X436" s="43">
        <f>IFERROR(SUM(X434:X434),"0")</f>
        <v>0</v>
      </c>
      <c r="Y436" s="43">
        <f>IFERROR(SUM(Y434:Y434),"0")</f>
        <v>0</v>
      </c>
      <c r="Z436" s="42"/>
      <c r="AA436" s="67"/>
      <c r="AB436" s="67"/>
      <c r="AC436" s="67"/>
    </row>
    <row r="437" spans="1:68" ht="14.25" customHeight="1" x14ac:dyDescent="0.25">
      <c r="A437" s="676" t="s">
        <v>86</v>
      </c>
      <c r="B437" s="676"/>
      <c r="C437" s="676"/>
      <c r="D437" s="676"/>
      <c r="E437" s="676"/>
      <c r="F437" s="676"/>
      <c r="G437" s="676"/>
      <c r="H437" s="676"/>
      <c r="I437" s="676"/>
      <c r="J437" s="676"/>
      <c r="K437" s="676"/>
      <c r="L437" s="676"/>
      <c r="M437" s="676"/>
      <c r="N437" s="676"/>
      <c r="O437" s="676"/>
      <c r="P437" s="676"/>
      <c r="Q437" s="676"/>
      <c r="R437" s="676"/>
      <c r="S437" s="676"/>
      <c r="T437" s="676"/>
      <c r="U437" s="676"/>
      <c r="V437" s="676"/>
      <c r="W437" s="676"/>
      <c r="X437" s="676"/>
      <c r="Y437" s="676"/>
      <c r="Z437" s="676"/>
      <c r="AA437" s="66"/>
      <c r="AB437" s="66"/>
      <c r="AC437" s="80"/>
    </row>
    <row r="438" spans="1:68" ht="27" customHeight="1" x14ac:dyDescent="0.25">
      <c r="A438" s="63" t="s">
        <v>707</v>
      </c>
      <c r="B438" s="63" t="s">
        <v>708</v>
      </c>
      <c r="C438" s="36">
        <v>4301051899</v>
      </c>
      <c r="D438" s="677">
        <v>4607091384246</v>
      </c>
      <c r="E438" s="67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133</v>
      </c>
      <c r="L438" s="37" t="s">
        <v>46</v>
      </c>
      <c r="M438" s="38" t="s">
        <v>90</v>
      </c>
      <c r="N438" s="38"/>
      <c r="O438" s="37">
        <v>40</v>
      </c>
      <c r="P438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79"/>
      <c r="R438" s="679"/>
      <c r="S438" s="679"/>
      <c r="T438" s="68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710</v>
      </c>
      <c r="B439" s="63" t="s">
        <v>711</v>
      </c>
      <c r="C439" s="36">
        <v>4301051660</v>
      </c>
      <c r="D439" s="677">
        <v>4607091384253</v>
      </c>
      <c r="E439" s="677"/>
      <c r="F439" s="62">
        <v>0.4</v>
      </c>
      <c r="G439" s="37">
        <v>6</v>
      </c>
      <c r="H439" s="62">
        <v>2.4</v>
      </c>
      <c r="I439" s="62">
        <v>2.6640000000000001</v>
      </c>
      <c r="J439" s="37">
        <v>182</v>
      </c>
      <c r="K439" s="37" t="s">
        <v>91</v>
      </c>
      <c r="L439" s="37" t="s">
        <v>46</v>
      </c>
      <c r="M439" s="38" t="s">
        <v>90</v>
      </c>
      <c r="N439" s="38"/>
      <c r="O439" s="37">
        <v>40</v>
      </c>
      <c r="P439" s="9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79"/>
      <c r="R439" s="679"/>
      <c r="S439" s="679"/>
      <c r="T439" s="68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IFERROR(IF(Y439=0,"",ROUNDUP(Y439/H439,0)*0.00651),"")</f>
        <v/>
      </c>
      <c r="AA439" s="68" t="s">
        <v>46</v>
      </c>
      <c r="AB439" s="69" t="s">
        <v>46</v>
      </c>
      <c r="AC439" s="524" t="s">
        <v>709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710</v>
      </c>
      <c r="B440" s="63" t="s">
        <v>712</v>
      </c>
      <c r="C440" s="36">
        <v>4301052069</v>
      </c>
      <c r="D440" s="677">
        <v>4607091384253</v>
      </c>
      <c r="E440" s="677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79"/>
      <c r="R440" s="679"/>
      <c r="S440" s="679"/>
      <c r="T440" s="68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713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85"/>
      <c r="B441" s="685"/>
      <c r="C441" s="685"/>
      <c r="D441" s="685"/>
      <c r="E441" s="685"/>
      <c r="F441" s="685"/>
      <c r="G441" s="685"/>
      <c r="H441" s="685"/>
      <c r="I441" s="685"/>
      <c r="J441" s="685"/>
      <c r="K441" s="685"/>
      <c r="L441" s="685"/>
      <c r="M441" s="685"/>
      <c r="N441" s="685"/>
      <c r="O441" s="686"/>
      <c r="P441" s="682" t="s">
        <v>40</v>
      </c>
      <c r="Q441" s="683"/>
      <c r="R441" s="683"/>
      <c r="S441" s="683"/>
      <c r="T441" s="683"/>
      <c r="U441" s="683"/>
      <c r="V441" s="684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685"/>
      <c r="L442" s="685"/>
      <c r="M442" s="685"/>
      <c r="N442" s="685"/>
      <c r="O442" s="686"/>
      <c r="P442" s="682" t="s">
        <v>40</v>
      </c>
      <c r="Q442" s="683"/>
      <c r="R442" s="683"/>
      <c r="S442" s="683"/>
      <c r="T442" s="683"/>
      <c r="U442" s="683"/>
      <c r="V442" s="684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27.75" customHeight="1" x14ac:dyDescent="0.2">
      <c r="A443" s="674" t="s">
        <v>714</v>
      </c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4"/>
      <c r="P443" s="674"/>
      <c r="Q443" s="674"/>
      <c r="R443" s="674"/>
      <c r="S443" s="674"/>
      <c r="T443" s="674"/>
      <c r="U443" s="674"/>
      <c r="V443" s="674"/>
      <c r="W443" s="674"/>
      <c r="X443" s="674"/>
      <c r="Y443" s="674"/>
      <c r="Z443" s="674"/>
      <c r="AA443" s="54"/>
      <c r="AB443" s="54"/>
      <c r="AC443" s="54"/>
    </row>
    <row r="444" spans="1:68" ht="16.5" customHeight="1" x14ac:dyDescent="0.25">
      <c r="A444" s="675" t="s">
        <v>715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"/>
      <c r="AB444" s="65"/>
      <c r="AC444" s="79"/>
    </row>
    <row r="445" spans="1:68" ht="14.25" customHeight="1" x14ac:dyDescent="0.25">
      <c r="A445" s="676" t="s">
        <v>77</v>
      </c>
      <c r="B445" s="676"/>
      <c r="C445" s="676"/>
      <c r="D445" s="676"/>
      <c r="E445" s="676"/>
      <c r="F445" s="676"/>
      <c r="G445" s="676"/>
      <c r="H445" s="676"/>
      <c r="I445" s="676"/>
      <c r="J445" s="676"/>
      <c r="K445" s="676"/>
      <c r="L445" s="676"/>
      <c r="M445" s="676"/>
      <c r="N445" s="676"/>
      <c r="O445" s="676"/>
      <c r="P445" s="676"/>
      <c r="Q445" s="676"/>
      <c r="R445" s="676"/>
      <c r="S445" s="676"/>
      <c r="T445" s="676"/>
      <c r="U445" s="676"/>
      <c r="V445" s="676"/>
      <c r="W445" s="676"/>
      <c r="X445" s="676"/>
      <c r="Y445" s="676"/>
      <c r="Z445" s="676"/>
      <c r="AA445" s="66"/>
      <c r="AB445" s="66"/>
      <c r="AC445" s="80"/>
    </row>
    <row r="446" spans="1:68" ht="27" customHeight="1" x14ac:dyDescent="0.25">
      <c r="A446" s="63" t="s">
        <v>716</v>
      </c>
      <c r="B446" s="63" t="s">
        <v>717</v>
      </c>
      <c r="C446" s="36">
        <v>4301031405</v>
      </c>
      <c r="D446" s="677">
        <v>4680115886100</v>
      </c>
      <c r="E446" s="677"/>
      <c r="F446" s="62">
        <v>0.9</v>
      </c>
      <c r="G446" s="37">
        <v>6</v>
      </c>
      <c r="H446" s="62">
        <v>5.4</v>
      </c>
      <c r="I446" s="62">
        <v>5.59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79"/>
      <c r="R446" s="679"/>
      <c r="S446" s="679"/>
      <c r="T446" s="680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ref="Y446:Y451" si="57"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28" t="s">
        <v>718</v>
      </c>
      <c r="AG446" s="78"/>
      <c r="AJ446" s="84" t="s">
        <v>46</v>
      </c>
      <c r="AK446" s="84">
        <v>0</v>
      </c>
      <c r="BB446" s="529" t="s">
        <v>67</v>
      </c>
      <c r="BM446" s="78">
        <f t="shared" ref="BM446:BM451" si="58">IFERROR(X446*I446/H446,"0")</f>
        <v>0</v>
      </c>
      <c r="BN446" s="78">
        <f t="shared" ref="BN446:BN451" si="59">IFERROR(Y446*I446/H446,"0")</f>
        <v>0</v>
      </c>
      <c r="BO446" s="78">
        <f t="shared" ref="BO446:BO451" si="60">IFERROR(1/J446*(X446/H446),"0")</f>
        <v>0</v>
      </c>
      <c r="BP446" s="78">
        <f t="shared" ref="BP446:BP451" si="61">IFERROR(1/J446*(Y446/H446),"0")</f>
        <v>0</v>
      </c>
    </row>
    <row r="447" spans="1:68" ht="27" customHeight="1" x14ac:dyDescent="0.25">
      <c r="A447" s="63" t="s">
        <v>719</v>
      </c>
      <c r="B447" s="63" t="s">
        <v>720</v>
      </c>
      <c r="C447" s="36">
        <v>4301031402</v>
      </c>
      <c r="D447" s="677">
        <v>4680115886124</v>
      </c>
      <c r="E447" s="677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79"/>
      <c r="R447" s="679"/>
      <c r="S447" s="679"/>
      <c r="T447" s="680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7"/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si="58"/>
        <v>0</v>
      </c>
      <c r="BN447" s="78">
        <f t="shared" si="59"/>
        <v>0</v>
      </c>
      <c r="BO447" s="78">
        <f t="shared" si="60"/>
        <v>0</v>
      </c>
      <c r="BP447" s="78">
        <f t="shared" si="61"/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4301031362</v>
      </c>
      <c r="D448" s="677">
        <v>4607091384338</v>
      </c>
      <c r="E448" s="677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79"/>
      <c r="R448" s="679"/>
      <c r="S448" s="679"/>
      <c r="T448" s="680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7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718</v>
      </c>
      <c r="AG448" s="78"/>
      <c r="AJ448" s="84" t="s">
        <v>46</v>
      </c>
      <c r="AK448" s="84">
        <v>0</v>
      </c>
      <c r="BB448" s="533" t="s">
        <v>67</v>
      </c>
      <c r="BM448" s="78">
        <f t="shared" si="58"/>
        <v>0</v>
      </c>
      <c r="BN448" s="78">
        <f t="shared" si="59"/>
        <v>0</v>
      </c>
      <c r="BO448" s="78">
        <f t="shared" si="60"/>
        <v>0</v>
      </c>
      <c r="BP448" s="78">
        <f t="shared" si="61"/>
        <v>0</v>
      </c>
    </row>
    <row r="449" spans="1:68" ht="27" customHeight="1" x14ac:dyDescent="0.25">
      <c r="A449" s="63" t="s">
        <v>724</v>
      </c>
      <c r="B449" s="63" t="s">
        <v>725</v>
      </c>
      <c r="C449" s="36">
        <v>4301031364</v>
      </c>
      <c r="D449" s="677">
        <v>4680115883161</v>
      </c>
      <c r="E449" s="677"/>
      <c r="F449" s="62">
        <v>0.28000000000000003</v>
      </c>
      <c r="G449" s="37">
        <v>6</v>
      </c>
      <c r="H449" s="62">
        <v>1.68</v>
      </c>
      <c r="I449" s="62">
        <v>1.81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79"/>
      <c r="R449" s="679"/>
      <c r="S449" s="679"/>
      <c r="T449" s="680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726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4301031358</v>
      </c>
      <c r="D450" s="677">
        <v>4607091389531</v>
      </c>
      <c r="E450" s="677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79"/>
      <c r="R450" s="679"/>
      <c r="S450" s="679"/>
      <c r="T450" s="680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37.5" customHeight="1" x14ac:dyDescent="0.25">
      <c r="A451" s="63" t="s">
        <v>730</v>
      </c>
      <c r="B451" s="63" t="s">
        <v>731</v>
      </c>
      <c r="C451" s="36">
        <v>4301031360</v>
      </c>
      <c r="D451" s="677">
        <v>4607091384345</v>
      </c>
      <c r="E451" s="677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79"/>
      <c r="R451" s="679"/>
      <c r="S451" s="679"/>
      <c r="T451" s="68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726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x14ac:dyDescent="0.2">
      <c r="A452" s="685"/>
      <c r="B452" s="685"/>
      <c r="C452" s="685"/>
      <c r="D452" s="685"/>
      <c r="E452" s="685"/>
      <c r="F452" s="685"/>
      <c r="G452" s="685"/>
      <c r="H452" s="685"/>
      <c r="I452" s="685"/>
      <c r="J452" s="685"/>
      <c r="K452" s="685"/>
      <c r="L452" s="685"/>
      <c r="M452" s="685"/>
      <c r="N452" s="685"/>
      <c r="O452" s="686"/>
      <c r="P452" s="682" t="s">
        <v>40</v>
      </c>
      <c r="Q452" s="683"/>
      <c r="R452" s="683"/>
      <c r="S452" s="683"/>
      <c r="T452" s="683"/>
      <c r="U452" s="683"/>
      <c r="V452" s="684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85"/>
      <c r="B453" s="685"/>
      <c r="C453" s="685"/>
      <c r="D453" s="685"/>
      <c r="E453" s="685"/>
      <c r="F453" s="685"/>
      <c r="G453" s="685"/>
      <c r="H453" s="685"/>
      <c r="I453" s="685"/>
      <c r="J453" s="685"/>
      <c r="K453" s="685"/>
      <c r="L453" s="685"/>
      <c r="M453" s="685"/>
      <c r="N453" s="685"/>
      <c r="O453" s="686"/>
      <c r="P453" s="682" t="s">
        <v>40</v>
      </c>
      <c r="Q453" s="683"/>
      <c r="R453" s="683"/>
      <c r="S453" s="683"/>
      <c r="T453" s="683"/>
      <c r="U453" s="683"/>
      <c r="V453" s="684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76" t="s">
        <v>86</v>
      </c>
      <c r="B454" s="676"/>
      <c r="C454" s="676"/>
      <c r="D454" s="676"/>
      <c r="E454" s="676"/>
      <c r="F454" s="676"/>
      <c r="G454" s="676"/>
      <c r="H454" s="676"/>
      <c r="I454" s="676"/>
      <c r="J454" s="676"/>
      <c r="K454" s="676"/>
      <c r="L454" s="676"/>
      <c r="M454" s="676"/>
      <c r="N454" s="676"/>
      <c r="O454" s="676"/>
      <c r="P454" s="676"/>
      <c r="Q454" s="676"/>
      <c r="R454" s="676"/>
      <c r="S454" s="676"/>
      <c r="T454" s="676"/>
      <c r="U454" s="676"/>
      <c r="V454" s="676"/>
      <c r="W454" s="676"/>
      <c r="X454" s="676"/>
      <c r="Y454" s="676"/>
      <c r="Z454" s="676"/>
      <c r="AA454" s="66"/>
      <c r="AB454" s="66"/>
      <c r="AC454" s="80"/>
    </row>
    <row r="455" spans="1:68" ht="27" customHeight="1" x14ac:dyDescent="0.25">
      <c r="A455" s="63" t="s">
        <v>732</v>
      </c>
      <c r="B455" s="63" t="s">
        <v>733</v>
      </c>
      <c r="C455" s="36">
        <v>4301051284</v>
      </c>
      <c r="D455" s="677">
        <v>4607091384352</v>
      </c>
      <c r="E455" s="677"/>
      <c r="F455" s="62">
        <v>0.6</v>
      </c>
      <c r="G455" s="37">
        <v>4</v>
      </c>
      <c r="H455" s="62">
        <v>2.4</v>
      </c>
      <c r="I455" s="62">
        <v>2.6259999999999999</v>
      </c>
      <c r="J455" s="37">
        <v>132</v>
      </c>
      <c r="K455" s="37" t="s">
        <v>140</v>
      </c>
      <c r="L455" s="37" t="s">
        <v>46</v>
      </c>
      <c r="M455" s="38" t="s">
        <v>90</v>
      </c>
      <c r="N455" s="38"/>
      <c r="O455" s="37">
        <v>45</v>
      </c>
      <c r="P455" s="9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79"/>
      <c r="R455" s="679"/>
      <c r="S455" s="679"/>
      <c r="T455" s="680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40" t="s">
        <v>734</v>
      </c>
      <c r="AG455" s="78"/>
      <c r="AJ455" s="84" t="s">
        <v>46</v>
      </c>
      <c r="AK455" s="84">
        <v>0</v>
      </c>
      <c r="BB455" s="54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735</v>
      </c>
      <c r="B456" s="63" t="s">
        <v>736</v>
      </c>
      <c r="C456" s="36">
        <v>4301051431</v>
      </c>
      <c r="D456" s="677">
        <v>4607091389654</v>
      </c>
      <c r="E456" s="677"/>
      <c r="F456" s="62">
        <v>0.33</v>
      </c>
      <c r="G456" s="37">
        <v>6</v>
      </c>
      <c r="H456" s="62">
        <v>1.98</v>
      </c>
      <c r="I456" s="62">
        <v>2.238</v>
      </c>
      <c r="J456" s="37">
        <v>182</v>
      </c>
      <c r="K456" s="37" t="s">
        <v>91</v>
      </c>
      <c r="L456" s="37" t="s">
        <v>46</v>
      </c>
      <c r="M456" s="38" t="s">
        <v>90</v>
      </c>
      <c r="N456" s="38"/>
      <c r="O456" s="37">
        <v>45</v>
      </c>
      <c r="P456" s="9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79"/>
      <c r="R456" s="679"/>
      <c r="S456" s="679"/>
      <c r="T456" s="68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85"/>
      <c r="B457" s="685"/>
      <c r="C457" s="685"/>
      <c r="D457" s="685"/>
      <c r="E457" s="685"/>
      <c r="F457" s="685"/>
      <c r="G457" s="685"/>
      <c r="H457" s="685"/>
      <c r="I457" s="685"/>
      <c r="J457" s="685"/>
      <c r="K457" s="685"/>
      <c r="L457" s="685"/>
      <c r="M457" s="685"/>
      <c r="N457" s="685"/>
      <c r="O457" s="686"/>
      <c r="P457" s="682" t="s">
        <v>40</v>
      </c>
      <c r="Q457" s="683"/>
      <c r="R457" s="683"/>
      <c r="S457" s="683"/>
      <c r="T457" s="683"/>
      <c r="U457" s="683"/>
      <c r="V457" s="684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85"/>
      <c r="B458" s="685"/>
      <c r="C458" s="685"/>
      <c r="D458" s="685"/>
      <c r="E458" s="685"/>
      <c r="F458" s="685"/>
      <c r="G458" s="685"/>
      <c r="H458" s="685"/>
      <c r="I458" s="685"/>
      <c r="J458" s="685"/>
      <c r="K458" s="685"/>
      <c r="L458" s="685"/>
      <c r="M458" s="685"/>
      <c r="N458" s="685"/>
      <c r="O458" s="686"/>
      <c r="P458" s="682" t="s">
        <v>40</v>
      </c>
      <c r="Q458" s="683"/>
      <c r="R458" s="683"/>
      <c r="S458" s="683"/>
      <c r="T458" s="683"/>
      <c r="U458" s="683"/>
      <c r="V458" s="684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75" t="s">
        <v>738</v>
      </c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  <c r="V459" s="675"/>
      <c r="W459" s="675"/>
      <c r="X459" s="675"/>
      <c r="Y459" s="675"/>
      <c r="Z459" s="675"/>
      <c r="AA459" s="65"/>
      <c r="AB459" s="65"/>
      <c r="AC459" s="79"/>
    </row>
    <row r="460" spans="1:68" ht="14.25" customHeight="1" x14ac:dyDescent="0.25">
      <c r="A460" s="676" t="s">
        <v>163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6"/>
      <c r="AB460" s="66"/>
      <c r="AC460" s="80"/>
    </row>
    <row r="461" spans="1:68" ht="27" customHeight="1" x14ac:dyDescent="0.25">
      <c r="A461" s="63" t="s">
        <v>739</v>
      </c>
      <c r="B461" s="63" t="s">
        <v>740</v>
      </c>
      <c r="C461" s="36">
        <v>4301020416</v>
      </c>
      <c r="D461" s="677">
        <v>4680115885240</v>
      </c>
      <c r="E461" s="677"/>
      <c r="F461" s="62">
        <v>0.35</v>
      </c>
      <c r="G461" s="37">
        <v>6</v>
      </c>
      <c r="H461" s="62">
        <v>2.1</v>
      </c>
      <c r="I461" s="62">
        <v>2.31</v>
      </c>
      <c r="J461" s="37">
        <v>182</v>
      </c>
      <c r="K461" s="37" t="s">
        <v>91</v>
      </c>
      <c r="L461" s="37" t="s">
        <v>46</v>
      </c>
      <c r="M461" s="38" t="s">
        <v>81</v>
      </c>
      <c r="N461" s="38"/>
      <c r="O461" s="37">
        <v>40</v>
      </c>
      <c r="P461" s="9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79"/>
      <c r="R461" s="679"/>
      <c r="S461" s="679"/>
      <c r="T461" s="68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44" t="s">
        <v>741</v>
      </c>
      <c r="AG461" s="78"/>
      <c r="AJ461" s="84" t="s">
        <v>46</v>
      </c>
      <c r="AK461" s="84">
        <v>0</v>
      </c>
      <c r="BB461" s="54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85"/>
      <c r="B462" s="685"/>
      <c r="C462" s="685"/>
      <c r="D462" s="685"/>
      <c r="E462" s="685"/>
      <c r="F462" s="685"/>
      <c r="G462" s="685"/>
      <c r="H462" s="685"/>
      <c r="I462" s="685"/>
      <c r="J462" s="685"/>
      <c r="K462" s="685"/>
      <c r="L462" s="685"/>
      <c r="M462" s="685"/>
      <c r="N462" s="685"/>
      <c r="O462" s="686"/>
      <c r="P462" s="682" t="s">
        <v>40</v>
      </c>
      <c r="Q462" s="683"/>
      <c r="R462" s="683"/>
      <c r="S462" s="683"/>
      <c r="T462" s="683"/>
      <c r="U462" s="683"/>
      <c r="V462" s="684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85"/>
      <c r="B463" s="685"/>
      <c r="C463" s="685"/>
      <c r="D463" s="685"/>
      <c r="E463" s="685"/>
      <c r="F463" s="685"/>
      <c r="G463" s="685"/>
      <c r="H463" s="685"/>
      <c r="I463" s="685"/>
      <c r="J463" s="685"/>
      <c r="K463" s="685"/>
      <c r="L463" s="685"/>
      <c r="M463" s="685"/>
      <c r="N463" s="685"/>
      <c r="O463" s="686"/>
      <c r="P463" s="682" t="s">
        <v>40</v>
      </c>
      <c r="Q463" s="683"/>
      <c r="R463" s="683"/>
      <c r="S463" s="683"/>
      <c r="T463" s="683"/>
      <c r="U463" s="683"/>
      <c r="V463" s="684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76" t="s">
        <v>77</v>
      </c>
      <c r="B464" s="676"/>
      <c r="C464" s="676"/>
      <c r="D464" s="676"/>
      <c r="E464" s="676"/>
      <c r="F464" s="676"/>
      <c r="G464" s="676"/>
      <c r="H464" s="676"/>
      <c r="I464" s="676"/>
      <c r="J464" s="676"/>
      <c r="K464" s="676"/>
      <c r="L464" s="676"/>
      <c r="M464" s="676"/>
      <c r="N464" s="676"/>
      <c r="O464" s="676"/>
      <c r="P464" s="676"/>
      <c r="Q464" s="676"/>
      <c r="R464" s="676"/>
      <c r="S464" s="676"/>
      <c r="T464" s="676"/>
      <c r="U464" s="676"/>
      <c r="V464" s="676"/>
      <c r="W464" s="676"/>
      <c r="X464" s="676"/>
      <c r="Y464" s="676"/>
      <c r="Z464" s="676"/>
      <c r="AA464" s="66"/>
      <c r="AB464" s="66"/>
      <c r="AC464" s="80"/>
    </row>
    <row r="465" spans="1:68" ht="27" customHeight="1" x14ac:dyDescent="0.25">
      <c r="A465" s="63" t="s">
        <v>742</v>
      </c>
      <c r="B465" s="63" t="s">
        <v>743</v>
      </c>
      <c r="C465" s="36">
        <v>4301031407</v>
      </c>
      <c r="D465" s="677">
        <v>4680115886094</v>
      </c>
      <c r="E465" s="677"/>
      <c r="F465" s="62">
        <v>0.9</v>
      </c>
      <c r="G465" s="37">
        <v>6</v>
      </c>
      <c r="H465" s="62">
        <v>5.4</v>
      </c>
      <c r="I465" s="62">
        <v>5.59</v>
      </c>
      <c r="J465" s="37">
        <v>132</v>
      </c>
      <c r="K465" s="37" t="s">
        <v>140</v>
      </c>
      <c r="L465" s="37" t="s">
        <v>46</v>
      </c>
      <c r="M465" s="38" t="s">
        <v>81</v>
      </c>
      <c r="N465" s="38"/>
      <c r="O465" s="37">
        <v>50</v>
      </c>
      <c r="P465" s="9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79"/>
      <c r="R465" s="679"/>
      <c r="S465" s="679"/>
      <c r="T465" s="68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46" t="s">
        <v>744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745</v>
      </c>
      <c r="B466" s="63" t="s">
        <v>746</v>
      </c>
      <c r="C466" s="36">
        <v>4301031373</v>
      </c>
      <c r="D466" s="677">
        <v>4680115880771</v>
      </c>
      <c r="E466" s="677"/>
      <c r="F466" s="62">
        <v>0.28000000000000003</v>
      </c>
      <c r="G466" s="37">
        <v>6</v>
      </c>
      <c r="H466" s="62">
        <v>1.68</v>
      </c>
      <c r="I466" s="62">
        <v>1.81</v>
      </c>
      <c r="J466" s="37">
        <v>234</v>
      </c>
      <c r="K466" s="37" t="s">
        <v>82</v>
      </c>
      <c r="L466" s="37" t="s">
        <v>46</v>
      </c>
      <c r="M466" s="38" t="s">
        <v>81</v>
      </c>
      <c r="N466" s="38"/>
      <c r="O466" s="37">
        <v>50</v>
      </c>
      <c r="P466" s="9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79"/>
      <c r="R466" s="679"/>
      <c r="S466" s="679"/>
      <c r="T466" s="68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IFERROR(IF(Y466=0,"",ROUNDUP(Y466/H466,0)*0.00502),"")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4301031359</v>
      </c>
      <c r="D467" s="677">
        <v>4607091389500</v>
      </c>
      <c r="E467" s="677"/>
      <c r="F467" s="62">
        <v>0.35</v>
      </c>
      <c r="G467" s="37">
        <v>6</v>
      </c>
      <c r="H467" s="62">
        <v>2.1</v>
      </c>
      <c r="I467" s="62">
        <v>2.23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79"/>
      <c r="R467" s="679"/>
      <c r="S467" s="679"/>
      <c r="T467" s="68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747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85"/>
      <c r="B468" s="685"/>
      <c r="C468" s="685"/>
      <c r="D468" s="685"/>
      <c r="E468" s="685"/>
      <c r="F468" s="685"/>
      <c r="G468" s="685"/>
      <c r="H468" s="685"/>
      <c r="I468" s="685"/>
      <c r="J468" s="685"/>
      <c r="K468" s="685"/>
      <c r="L468" s="685"/>
      <c r="M468" s="685"/>
      <c r="N468" s="685"/>
      <c r="O468" s="686"/>
      <c r="P468" s="682" t="s">
        <v>40</v>
      </c>
      <c r="Q468" s="683"/>
      <c r="R468" s="683"/>
      <c r="S468" s="683"/>
      <c r="T468" s="683"/>
      <c r="U468" s="683"/>
      <c r="V468" s="684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85"/>
      <c r="B469" s="685"/>
      <c r="C469" s="685"/>
      <c r="D469" s="685"/>
      <c r="E469" s="685"/>
      <c r="F469" s="685"/>
      <c r="G469" s="685"/>
      <c r="H469" s="685"/>
      <c r="I469" s="685"/>
      <c r="J469" s="685"/>
      <c r="K469" s="685"/>
      <c r="L469" s="685"/>
      <c r="M469" s="685"/>
      <c r="N469" s="685"/>
      <c r="O469" s="686"/>
      <c r="P469" s="682" t="s">
        <v>40</v>
      </c>
      <c r="Q469" s="683"/>
      <c r="R469" s="683"/>
      <c r="S469" s="683"/>
      <c r="T469" s="683"/>
      <c r="U469" s="683"/>
      <c r="V469" s="684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674" t="s">
        <v>750</v>
      </c>
      <c r="B470" s="674"/>
      <c r="C470" s="674"/>
      <c r="D470" s="674"/>
      <c r="E470" s="674"/>
      <c r="F470" s="674"/>
      <c r="G470" s="674"/>
      <c r="H470" s="674"/>
      <c r="I470" s="674"/>
      <c r="J470" s="674"/>
      <c r="K470" s="674"/>
      <c r="L470" s="674"/>
      <c r="M470" s="674"/>
      <c r="N470" s="674"/>
      <c r="O470" s="674"/>
      <c r="P470" s="674"/>
      <c r="Q470" s="674"/>
      <c r="R470" s="674"/>
      <c r="S470" s="674"/>
      <c r="T470" s="674"/>
      <c r="U470" s="674"/>
      <c r="V470" s="674"/>
      <c r="W470" s="674"/>
      <c r="X470" s="674"/>
      <c r="Y470" s="674"/>
      <c r="Z470" s="674"/>
      <c r="AA470" s="54"/>
      <c r="AB470" s="54"/>
      <c r="AC470" s="54"/>
    </row>
    <row r="471" spans="1:68" ht="16.5" customHeight="1" x14ac:dyDescent="0.25">
      <c r="A471" s="675" t="s">
        <v>750</v>
      </c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  <c r="V471" s="675"/>
      <c r="W471" s="675"/>
      <c r="X471" s="675"/>
      <c r="Y471" s="675"/>
      <c r="Z471" s="675"/>
      <c r="AA471" s="65"/>
      <c r="AB471" s="65"/>
      <c r="AC471" s="79"/>
    </row>
    <row r="472" spans="1:68" ht="14.25" customHeight="1" x14ac:dyDescent="0.25">
      <c r="A472" s="676" t="s">
        <v>128</v>
      </c>
      <c r="B472" s="676"/>
      <c r="C472" s="676"/>
      <c r="D472" s="676"/>
      <c r="E472" s="676"/>
      <c r="F472" s="676"/>
      <c r="G472" s="676"/>
      <c r="H472" s="676"/>
      <c r="I472" s="676"/>
      <c r="J472" s="676"/>
      <c r="K472" s="676"/>
      <c r="L472" s="676"/>
      <c r="M472" s="676"/>
      <c r="N472" s="676"/>
      <c r="O472" s="676"/>
      <c r="P472" s="676"/>
      <c r="Q472" s="676"/>
      <c r="R472" s="676"/>
      <c r="S472" s="676"/>
      <c r="T472" s="676"/>
      <c r="U472" s="676"/>
      <c r="V472" s="676"/>
      <c r="W472" s="676"/>
      <c r="X472" s="676"/>
      <c r="Y472" s="676"/>
      <c r="Z472" s="676"/>
      <c r="AA472" s="66"/>
      <c r="AB472" s="66"/>
      <c r="AC472" s="80"/>
    </row>
    <row r="473" spans="1:68" ht="27" customHeight="1" x14ac:dyDescent="0.25">
      <c r="A473" s="63" t="s">
        <v>751</v>
      </c>
      <c r="B473" s="63" t="s">
        <v>752</v>
      </c>
      <c r="C473" s="36">
        <v>4301011769</v>
      </c>
      <c r="D473" s="677">
        <v>4607091389067</v>
      </c>
      <c r="E473" s="677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90</v>
      </c>
      <c r="N473" s="38"/>
      <c r="O473" s="37">
        <v>60</v>
      </c>
      <c r="P473" s="9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79"/>
      <c r="R473" s="679"/>
      <c r="S473" s="679"/>
      <c r="T473" s="68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81" si="62">IFERROR(IF(X473="",0,CEILING((X473/$H473),1)*$H473),"")</f>
        <v>0</v>
      </c>
      <c r="Z473" s="41" t="str">
        <f t="shared" ref="Z473:Z478" si="63">IFERROR(IF(Y473=0,"",ROUNDUP(Y473/H473,0)*0.01196),"")</f>
        <v/>
      </c>
      <c r="AA473" s="68" t="s">
        <v>46</v>
      </c>
      <c r="AB473" s="69" t="s">
        <v>46</v>
      </c>
      <c r="AC473" s="552" t="s">
        <v>131</v>
      </c>
      <c r="AG473" s="78"/>
      <c r="AJ473" s="84" t="s">
        <v>46</v>
      </c>
      <c r="AK473" s="84">
        <v>0</v>
      </c>
      <c r="BB473" s="553" t="s">
        <v>67</v>
      </c>
      <c r="BM473" s="78">
        <f t="shared" ref="BM473:BM481" si="64">IFERROR(X473*I473/H473,"0")</f>
        <v>0</v>
      </c>
      <c r="BN473" s="78">
        <f t="shared" ref="BN473:BN481" si="65">IFERROR(Y473*I473/H473,"0")</f>
        <v>0</v>
      </c>
      <c r="BO473" s="78">
        <f t="shared" ref="BO473:BO481" si="66">IFERROR(1/J473*(X473/H473),"0")</f>
        <v>0</v>
      </c>
      <c r="BP473" s="78">
        <f t="shared" ref="BP473:BP481" si="67">IFERROR(1/J473*(Y473/H473),"0")</f>
        <v>0</v>
      </c>
    </row>
    <row r="474" spans="1:68" ht="27" customHeight="1" x14ac:dyDescent="0.25">
      <c r="A474" s="63" t="s">
        <v>753</v>
      </c>
      <c r="B474" s="63" t="s">
        <v>754</v>
      </c>
      <c r="C474" s="36">
        <v>4301012210</v>
      </c>
      <c r="D474" s="677">
        <v>4607091383522</v>
      </c>
      <c r="E474" s="677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79"/>
      <c r="R474" s="679"/>
      <c r="S474" s="679"/>
      <c r="T474" s="68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2"/>
        <v>0</v>
      </c>
      <c r="Z474" s="41" t="str">
        <f t="shared" si="63"/>
        <v/>
      </c>
      <c r="AA474" s="68" t="s">
        <v>46</v>
      </c>
      <c r="AB474" s="69" t="s">
        <v>46</v>
      </c>
      <c r="AC474" s="554" t="s">
        <v>755</v>
      </c>
      <c r="AG474" s="78"/>
      <c r="AJ474" s="84" t="s">
        <v>46</v>
      </c>
      <c r="AK474" s="84">
        <v>0</v>
      </c>
      <c r="BB474" s="555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756</v>
      </c>
      <c r="B475" s="63" t="s">
        <v>757</v>
      </c>
      <c r="C475" s="36">
        <v>4301011961</v>
      </c>
      <c r="D475" s="677">
        <v>4680115885271</v>
      </c>
      <c r="E475" s="677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79"/>
      <c r="R475" s="679"/>
      <c r="S475" s="679"/>
      <c r="T475" s="68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2"/>
        <v>0</v>
      </c>
      <c r="Z475" s="41" t="str">
        <f t="shared" si="63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4301011369</v>
      </c>
      <c r="D476" s="677">
        <v>4680115885226</v>
      </c>
      <c r="E476" s="677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79"/>
      <c r="R476" s="679"/>
      <c r="S476" s="679"/>
      <c r="T476" s="680"/>
      <c r="U476" s="39" t="s">
        <v>46</v>
      </c>
      <c r="V476" s="39" t="s">
        <v>46</v>
      </c>
      <c r="W476" s="40" t="s">
        <v>0</v>
      </c>
      <c r="X476" s="58">
        <v>200</v>
      </c>
      <c r="Y476" s="55">
        <f t="shared" si="62"/>
        <v>200.64000000000001</v>
      </c>
      <c r="Z476" s="41">
        <f t="shared" si="63"/>
        <v>0.45448</v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213.25757575757575</v>
      </c>
      <c r="BN476" s="78">
        <f t="shared" si="65"/>
        <v>213.94</v>
      </c>
      <c r="BO476" s="78">
        <f t="shared" si="66"/>
        <v>0.36421911421911418</v>
      </c>
      <c r="BP476" s="78">
        <f t="shared" si="67"/>
        <v>0.36538461538461542</v>
      </c>
    </row>
    <row r="477" spans="1:68" ht="16.5" customHeight="1" x14ac:dyDescent="0.25">
      <c r="A477" s="63" t="s">
        <v>762</v>
      </c>
      <c r="B477" s="63" t="s">
        <v>763</v>
      </c>
      <c r="C477" s="36">
        <v>4301011797</v>
      </c>
      <c r="D477" s="677">
        <v>4680115884502</v>
      </c>
      <c r="E477" s="677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90</v>
      </c>
      <c r="N477" s="38"/>
      <c r="O477" s="37">
        <v>60</v>
      </c>
      <c r="P477" s="9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79"/>
      <c r="R477" s="679"/>
      <c r="S477" s="679"/>
      <c r="T477" s="68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765</v>
      </c>
      <c r="B478" s="63" t="s">
        <v>766</v>
      </c>
      <c r="C478" s="36">
        <v>4301011771</v>
      </c>
      <c r="D478" s="677">
        <v>4607091389104</v>
      </c>
      <c r="E478" s="67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132</v>
      </c>
      <c r="N478" s="38"/>
      <c r="O478" s="37">
        <v>60</v>
      </c>
      <c r="P478" s="9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79"/>
      <c r="R478" s="679"/>
      <c r="S478" s="679"/>
      <c r="T478" s="680"/>
      <c r="U478" s="39" t="s">
        <v>46</v>
      </c>
      <c r="V478" s="39" t="s">
        <v>46</v>
      </c>
      <c r="W478" s="40" t="s">
        <v>0</v>
      </c>
      <c r="X478" s="58">
        <v>400</v>
      </c>
      <c r="Y478" s="55">
        <f t="shared" si="62"/>
        <v>401.28000000000003</v>
      </c>
      <c r="Z478" s="41">
        <f t="shared" si="63"/>
        <v>0.90895999999999999</v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426.5151515151515</v>
      </c>
      <c r="BN478" s="78">
        <f t="shared" si="65"/>
        <v>427.88</v>
      </c>
      <c r="BO478" s="78">
        <f t="shared" si="66"/>
        <v>0.72843822843822836</v>
      </c>
      <c r="BP478" s="78">
        <f t="shared" si="67"/>
        <v>0.73076923076923084</v>
      </c>
    </row>
    <row r="479" spans="1:68" ht="27" customHeight="1" x14ac:dyDescent="0.25">
      <c r="A479" s="63" t="s">
        <v>768</v>
      </c>
      <c r="B479" s="63" t="s">
        <v>769</v>
      </c>
      <c r="C479" s="36">
        <v>4301012125</v>
      </c>
      <c r="D479" s="677">
        <v>4680115886391</v>
      </c>
      <c r="E479" s="677"/>
      <c r="F479" s="62">
        <v>0.4</v>
      </c>
      <c r="G479" s="37">
        <v>6</v>
      </c>
      <c r="H479" s="62">
        <v>2.4</v>
      </c>
      <c r="I479" s="62">
        <v>2.58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60</v>
      </c>
      <c r="P479" s="92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79"/>
      <c r="R479" s="679"/>
      <c r="S479" s="679"/>
      <c r="T479" s="68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64" t="s">
        <v>131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770</v>
      </c>
      <c r="B480" s="63" t="s">
        <v>771</v>
      </c>
      <c r="C480" s="36">
        <v>4301012048</v>
      </c>
      <c r="D480" s="677">
        <v>4680115880603</v>
      </c>
      <c r="E480" s="677"/>
      <c r="F480" s="62">
        <v>0.6</v>
      </c>
      <c r="G480" s="37">
        <v>8</v>
      </c>
      <c r="H480" s="62">
        <v>4.8</v>
      </c>
      <c r="I480" s="62">
        <v>6.91</v>
      </c>
      <c r="J480" s="37">
        <v>132</v>
      </c>
      <c r="K480" s="37" t="s">
        <v>140</v>
      </c>
      <c r="L480" s="37" t="s">
        <v>46</v>
      </c>
      <c r="M480" s="38" t="s">
        <v>90</v>
      </c>
      <c r="N480" s="38"/>
      <c r="O480" s="37">
        <v>60</v>
      </c>
      <c r="P480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79"/>
      <c r="R480" s="679"/>
      <c r="S480" s="679"/>
      <c r="T480" s="68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772</v>
      </c>
      <c r="B481" s="63" t="s">
        <v>773</v>
      </c>
      <c r="C481" s="36">
        <v>4301012034</v>
      </c>
      <c r="D481" s="677">
        <v>4607091389982</v>
      </c>
      <c r="E481" s="677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132</v>
      </c>
      <c r="N481" s="38"/>
      <c r="O481" s="37">
        <v>60</v>
      </c>
      <c r="P481" s="9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79"/>
      <c r="R481" s="679"/>
      <c r="S481" s="679"/>
      <c r="T481" s="68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767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x14ac:dyDescent="0.2">
      <c r="A482" s="685"/>
      <c r="B482" s="685"/>
      <c r="C482" s="685"/>
      <c r="D482" s="685"/>
      <c r="E482" s="685"/>
      <c r="F482" s="685"/>
      <c r="G482" s="685"/>
      <c r="H482" s="685"/>
      <c r="I482" s="685"/>
      <c r="J482" s="685"/>
      <c r="K482" s="685"/>
      <c r="L482" s="685"/>
      <c r="M482" s="685"/>
      <c r="N482" s="685"/>
      <c r="O482" s="686"/>
      <c r="P482" s="682" t="s">
        <v>40</v>
      </c>
      <c r="Q482" s="683"/>
      <c r="R482" s="683"/>
      <c r="S482" s="683"/>
      <c r="T482" s="683"/>
      <c r="U482" s="683"/>
      <c r="V482" s="684"/>
      <c r="W482" s="42" t="s">
        <v>39</v>
      </c>
      <c r="X482" s="43">
        <f>IFERROR(X473/H473,"0")+IFERROR(X474/H474,"0")+IFERROR(X475/H475,"0")+IFERROR(X476/H476,"0")+IFERROR(X477/H477,"0")+IFERROR(X478/H478,"0")+IFERROR(X479/H479,"0")+IFERROR(X480/H480,"0")+IFERROR(X481/H481,"0")</f>
        <v>113.63636363636363</v>
      </c>
      <c r="Y482" s="43">
        <f>IFERROR(Y473/H473,"0")+IFERROR(Y474/H474,"0")+IFERROR(Y475/H475,"0")+IFERROR(Y476/H476,"0")+IFERROR(Y477/H477,"0")+IFERROR(Y478/H478,"0")+IFERROR(Y479/H479,"0")+IFERROR(Y480/H480,"0")+IFERROR(Y481/H481,"0")</f>
        <v>114</v>
      </c>
      <c r="Z482" s="43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1.36344</v>
      </c>
      <c r="AA482" s="67"/>
      <c r="AB482" s="67"/>
      <c r="AC482" s="67"/>
    </row>
    <row r="483" spans="1:68" x14ac:dyDescent="0.2">
      <c r="A483" s="685"/>
      <c r="B483" s="685"/>
      <c r="C483" s="685"/>
      <c r="D483" s="685"/>
      <c r="E483" s="685"/>
      <c r="F483" s="685"/>
      <c r="G483" s="685"/>
      <c r="H483" s="685"/>
      <c r="I483" s="685"/>
      <c r="J483" s="685"/>
      <c r="K483" s="685"/>
      <c r="L483" s="685"/>
      <c r="M483" s="685"/>
      <c r="N483" s="685"/>
      <c r="O483" s="686"/>
      <c r="P483" s="682" t="s">
        <v>40</v>
      </c>
      <c r="Q483" s="683"/>
      <c r="R483" s="683"/>
      <c r="S483" s="683"/>
      <c r="T483" s="683"/>
      <c r="U483" s="683"/>
      <c r="V483" s="684"/>
      <c r="W483" s="42" t="s">
        <v>0</v>
      </c>
      <c r="X483" s="43">
        <f>IFERROR(SUM(X473:X481),"0")</f>
        <v>600</v>
      </c>
      <c r="Y483" s="43">
        <f>IFERROR(SUM(Y473:Y481),"0")</f>
        <v>601.92000000000007</v>
      </c>
      <c r="Z483" s="42"/>
      <c r="AA483" s="67"/>
      <c r="AB483" s="67"/>
      <c r="AC483" s="67"/>
    </row>
    <row r="484" spans="1:68" ht="14.25" customHeight="1" x14ac:dyDescent="0.25">
      <c r="A484" s="676" t="s">
        <v>163</v>
      </c>
      <c r="B484" s="676"/>
      <c r="C484" s="676"/>
      <c r="D484" s="676"/>
      <c r="E484" s="676"/>
      <c r="F484" s="676"/>
      <c r="G484" s="676"/>
      <c r="H484" s="676"/>
      <c r="I484" s="676"/>
      <c r="J484" s="676"/>
      <c r="K484" s="676"/>
      <c r="L484" s="676"/>
      <c r="M484" s="676"/>
      <c r="N484" s="676"/>
      <c r="O484" s="676"/>
      <c r="P484" s="676"/>
      <c r="Q484" s="676"/>
      <c r="R484" s="676"/>
      <c r="S484" s="676"/>
      <c r="T484" s="676"/>
      <c r="U484" s="676"/>
      <c r="V484" s="676"/>
      <c r="W484" s="676"/>
      <c r="X484" s="676"/>
      <c r="Y484" s="676"/>
      <c r="Z484" s="676"/>
      <c r="AA484" s="66"/>
      <c r="AB484" s="66"/>
      <c r="AC484" s="80"/>
    </row>
    <row r="485" spans="1:68" ht="16.5" customHeight="1" x14ac:dyDescent="0.25">
      <c r="A485" s="63" t="s">
        <v>774</v>
      </c>
      <c r="B485" s="63" t="s">
        <v>775</v>
      </c>
      <c r="C485" s="36">
        <v>4301020334</v>
      </c>
      <c r="D485" s="677">
        <v>4607091388930</v>
      </c>
      <c r="E485" s="677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70</v>
      </c>
      <c r="P485" s="9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79"/>
      <c r="R485" s="679"/>
      <c r="S485" s="679"/>
      <c r="T485" s="680"/>
      <c r="U485" s="39" t="s">
        <v>46</v>
      </c>
      <c r="V485" s="39" t="s">
        <v>46</v>
      </c>
      <c r="W485" s="40" t="s">
        <v>0</v>
      </c>
      <c r="X485" s="58">
        <v>300</v>
      </c>
      <c r="Y485" s="55">
        <f>IFERROR(IF(X485="",0,CEILING((X485/$H485),1)*$H485),"")</f>
        <v>300.96000000000004</v>
      </c>
      <c r="Z485" s="41">
        <f>IFERROR(IF(Y485=0,"",ROUNDUP(Y485/H485,0)*0.01196),"")</f>
        <v>0.68171999999999999</v>
      </c>
      <c r="AA485" s="68" t="s">
        <v>46</v>
      </c>
      <c r="AB485" s="69" t="s">
        <v>46</v>
      </c>
      <c r="AC485" s="570" t="s">
        <v>776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319.88636363636363</v>
      </c>
      <c r="BN485" s="78">
        <f>IFERROR(Y485*I485/H485,"0")</f>
        <v>320.91000000000003</v>
      </c>
      <c r="BO485" s="78">
        <f>IFERROR(1/J485*(X485/H485),"0")</f>
        <v>0.54632867132867136</v>
      </c>
      <c r="BP485" s="78">
        <f>IFERROR(1/J485*(Y485/H485),"0")</f>
        <v>0.54807692307692313</v>
      </c>
    </row>
    <row r="486" spans="1:68" ht="16.5" customHeight="1" x14ac:dyDescent="0.25">
      <c r="A486" s="63" t="s">
        <v>777</v>
      </c>
      <c r="B486" s="63" t="s">
        <v>778</v>
      </c>
      <c r="C486" s="36">
        <v>4301020374</v>
      </c>
      <c r="D486" s="677">
        <v>4680115886407</v>
      </c>
      <c r="E486" s="677"/>
      <c r="F486" s="62">
        <v>0.4</v>
      </c>
      <c r="G486" s="37">
        <v>6</v>
      </c>
      <c r="H486" s="62">
        <v>2.4</v>
      </c>
      <c r="I486" s="62">
        <v>2.58</v>
      </c>
      <c r="J486" s="37">
        <v>182</v>
      </c>
      <c r="K486" s="37" t="s">
        <v>91</v>
      </c>
      <c r="L486" s="37" t="s">
        <v>46</v>
      </c>
      <c r="M486" s="38" t="s">
        <v>132</v>
      </c>
      <c r="N486" s="38"/>
      <c r="O486" s="37">
        <v>70</v>
      </c>
      <c r="P486" s="9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79"/>
      <c r="R486" s="679"/>
      <c r="S486" s="679"/>
      <c r="T486" s="68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72" t="s">
        <v>776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customHeight="1" x14ac:dyDescent="0.25">
      <c r="A487" s="63" t="s">
        <v>779</v>
      </c>
      <c r="B487" s="63" t="s">
        <v>780</v>
      </c>
      <c r="C487" s="36">
        <v>4301020385</v>
      </c>
      <c r="D487" s="677">
        <v>4680115880054</v>
      </c>
      <c r="E487" s="677"/>
      <c r="F487" s="62">
        <v>0.6</v>
      </c>
      <c r="G487" s="37">
        <v>8</v>
      </c>
      <c r="H487" s="62">
        <v>4.8</v>
      </c>
      <c r="I487" s="62">
        <v>6.91</v>
      </c>
      <c r="J487" s="37">
        <v>132</v>
      </c>
      <c r="K487" s="37" t="s">
        <v>140</v>
      </c>
      <c r="L487" s="37" t="s">
        <v>46</v>
      </c>
      <c r="M487" s="38" t="s">
        <v>132</v>
      </c>
      <c r="N487" s="38"/>
      <c r="O487" s="37">
        <v>70</v>
      </c>
      <c r="P487" s="92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79"/>
      <c r="R487" s="679"/>
      <c r="S487" s="679"/>
      <c r="T487" s="68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4" t="s">
        <v>776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85"/>
      <c r="B488" s="685"/>
      <c r="C488" s="685"/>
      <c r="D488" s="685"/>
      <c r="E488" s="685"/>
      <c r="F488" s="685"/>
      <c r="G488" s="685"/>
      <c r="H488" s="685"/>
      <c r="I488" s="685"/>
      <c r="J488" s="685"/>
      <c r="K488" s="685"/>
      <c r="L488" s="685"/>
      <c r="M488" s="685"/>
      <c r="N488" s="685"/>
      <c r="O488" s="686"/>
      <c r="P488" s="682" t="s">
        <v>40</v>
      </c>
      <c r="Q488" s="683"/>
      <c r="R488" s="683"/>
      <c r="S488" s="683"/>
      <c r="T488" s="683"/>
      <c r="U488" s="683"/>
      <c r="V488" s="684"/>
      <c r="W488" s="42" t="s">
        <v>39</v>
      </c>
      <c r="X488" s="43">
        <f>IFERROR(X485/H485,"0")+IFERROR(X486/H486,"0")+IFERROR(X487/H487,"0")</f>
        <v>56.818181818181813</v>
      </c>
      <c r="Y488" s="43">
        <f>IFERROR(Y485/H485,"0")+IFERROR(Y486/H486,"0")+IFERROR(Y487/H487,"0")</f>
        <v>57.000000000000007</v>
      </c>
      <c r="Z488" s="43">
        <f>IFERROR(IF(Z485="",0,Z485),"0")+IFERROR(IF(Z486="",0,Z486),"0")+IFERROR(IF(Z487="",0,Z487),"0")</f>
        <v>0.68171999999999999</v>
      </c>
      <c r="AA488" s="67"/>
      <c r="AB488" s="67"/>
      <c r="AC488" s="67"/>
    </row>
    <row r="489" spans="1:68" x14ac:dyDescent="0.2">
      <c r="A489" s="685"/>
      <c r="B489" s="685"/>
      <c r="C489" s="685"/>
      <c r="D489" s="685"/>
      <c r="E489" s="685"/>
      <c r="F489" s="685"/>
      <c r="G489" s="685"/>
      <c r="H489" s="685"/>
      <c r="I489" s="685"/>
      <c r="J489" s="685"/>
      <c r="K489" s="685"/>
      <c r="L489" s="685"/>
      <c r="M489" s="685"/>
      <c r="N489" s="685"/>
      <c r="O489" s="686"/>
      <c r="P489" s="682" t="s">
        <v>40</v>
      </c>
      <c r="Q489" s="683"/>
      <c r="R489" s="683"/>
      <c r="S489" s="683"/>
      <c r="T489" s="683"/>
      <c r="U489" s="683"/>
      <c r="V489" s="684"/>
      <c r="W489" s="42" t="s">
        <v>0</v>
      </c>
      <c r="X489" s="43">
        <f>IFERROR(SUM(X485:X487),"0")</f>
        <v>300</v>
      </c>
      <c r="Y489" s="43">
        <f>IFERROR(SUM(Y485:Y487),"0")</f>
        <v>300.96000000000004</v>
      </c>
      <c r="Z489" s="42"/>
      <c r="AA489" s="67"/>
      <c r="AB489" s="67"/>
      <c r="AC489" s="67"/>
    </row>
    <row r="490" spans="1:68" ht="14.25" customHeight="1" x14ac:dyDescent="0.25">
      <c r="A490" s="676" t="s">
        <v>77</v>
      </c>
      <c r="B490" s="676"/>
      <c r="C490" s="676"/>
      <c r="D490" s="676"/>
      <c r="E490" s="676"/>
      <c r="F490" s="676"/>
      <c r="G490" s="676"/>
      <c r="H490" s="676"/>
      <c r="I490" s="676"/>
      <c r="J490" s="676"/>
      <c r="K490" s="676"/>
      <c r="L490" s="676"/>
      <c r="M490" s="676"/>
      <c r="N490" s="676"/>
      <c r="O490" s="676"/>
      <c r="P490" s="676"/>
      <c r="Q490" s="676"/>
      <c r="R490" s="676"/>
      <c r="S490" s="676"/>
      <c r="T490" s="676"/>
      <c r="U490" s="676"/>
      <c r="V490" s="676"/>
      <c r="W490" s="676"/>
      <c r="X490" s="676"/>
      <c r="Y490" s="676"/>
      <c r="Z490" s="676"/>
      <c r="AA490" s="66"/>
      <c r="AB490" s="66"/>
      <c r="AC490" s="80"/>
    </row>
    <row r="491" spans="1:68" ht="27" customHeight="1" x14ac:dyDescent="0.25">
      <c r="A491" s="63" t="s">
        <v>781</v>
      </c>
      <c r="B491" s="63" t="s">
        <v>782</v>
      </c>
      <c r="C491" s="36">
        <v>4301031349</v>
      </c>
      <c r="D491" s="677">
        <v>4680115883116</v>
      </c>
      <c r="E491" s="67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70</v>
      </c>
      <c r="P491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79"/>
      <c r="R491" s="679"/>
      <c r="S491" s="679"/>
      <c r="T491" s="68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ref="Y491:Y497" si="68">IFERROR(IF(X491="",0,CEILING((X491/$H491),1)*$H491),"")</f>
        <v>0</v>
      </c>
      <c r="Z491" s="41" t="str">
        <f>IFERROR(IF(Y491=0,"",ROUNDUP(Y491/H491,0)*0.01196),"")</f>
        <v/>
      </c>
      <c r="AA491" s="68" t="s">
        <v>46</v>
      </c>
      <c r="AB491" s="69" t="s">
        <v>46</v>
      </c>
      <c r="AC491" s="576" t="s">
        <v>783</v>
      </c>
      <c r="AG491" s="78"/>
      <c r="AJ491" s="84" t="s">
        <v>46</v>
      </c>
      <c r="AK491" s="84">
        <v>0</v>
      </c>
      <c r="BB491" s="577" t="s">
        <v>67</v>
      </c>
      <c r="BM491" s="78">
        <f t="shared" ref="BM491:BM497" si="69">IFERROR(X491*I491/H491,"0")</f>
        <v>0</v>
      </c>
      <c r="BN491" s="78">
        <f t="shared" ref="BN491:BN497" si="70">IFERROR(Y491*I491/H491,"0")</f>
        <v>0</v>
      </c>
      <c r="BO491" s="78">
        <f t="shared" ref="BO491:BO497" si="71">IFERROR(1/J491*(X491/H491),"0")</f>
        <v>0</v>
      </c>
      <c r="BP491" s="78">
        <f t="shared" ref="BP491:BP497" si="72">IFERROR(1/J491*(Y491/H491),"0")</f>
        <v>0</v>
      </c>
    </row>
    <row r="492" spans="1:68" ht="27" customHeight="1" x14ac:dyDescent="0.25">
      <c r="A492" s="63" t="s">
        <v>784</v>
      </c>
      <c r="B492" s="63" t="s">
        <v>785</v>
      </c>
      <c r="C492" s="36">
        <v>4301031350</v>
      </c>
      <c r="D492" s="677">
        <v>4680115883093</v>
      </c>
      <c r="E492" s="67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81</v>
      </c>
      <c r="N492" s="38"/>
      <c r="O492" s="37">
        <v>70</v>
      </c>
      <c r="P492" s="9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79"/>
      <c r="R492" s="679"/>
      <c r="S492" s="679"/>
      <c r="T492" s="68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8"/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si="69"/>
        <v>0</v>
      </c>
      <c r="BN492" s="78">
        <f t="shared" si="70"/>
        <v>0</v>
      </c>
      <c r="BO492" s="78">
        <f t="shared" si="71"/>
        <v>0</v>
      </c>
      <c r="BP492" s="78">
        <f t="shared" si="72"/>
        <v>0</v>
      </c>
    </row>
    <row r="493" spans="1:68" ht="27" customHeight="1" x14ac:dyDescent="0.25">
      <c r="A493" s="63" t="s">
        <v>787</v>
      </c>
      <c r="B493" s="63" t="s">
        <v>788</v>
      </c>
      <c r="C493" s="36">
        <v>4301031353</v>
      </c>
      <c r="D493" s="677">
        <v>4680115883109</v>
      </c>
      <c r="E493" s="67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79"/>
      <c r="R493" s="679"/>
      <c r="S493" s="679"/>
      <c r="T493" s="68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8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69"/>
        <v>0</v>
      </c>
      <c r="BN493" s="78">
        <f t="shared" si="70"/>
        <v>0</v>
      </c>
      <c r="BO493" s="78">
        <f t="shared" si="71"/>
        <v>0</v>
      </c>
      <c r="BP493" s="78">
        <f t="shared" si="72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4301031419</v>
      </c>
      <c r="D494" s="677">
        <v>4680115882072</v>
      </c>
      <c r="E494" s="67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70</v>
      </c>
      <c r="P494" s="9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79"/>
      <c r="R494" s="679"/>
      <c r="S494" s="679"/>
      <c r="T494" s="68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783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4301031352</v>
      </c>
      <c r="D495" s="677">
        <v>4680115882102</v>
      </c>
      <c r="E495" s="677"/>
      <c r="F495" s="62">
        <v>0.6</v>
      </c>
      <c r="G495" s="37">
        <v>6</v>
      </c>
      <c r="H495" s="62">
        <v>3.6</v>
      </c>
      <c r="I495" s="62">
        <v>3.79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79"/>
      <c r="R495" s="679"/>
      <c r="S495" s="679"/>
      <c r="T495" s="68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792</v>
      </c>
      <c r="B496" s="63" t="s">
        <v>794</v>
      </c>
      <c r="C496" s="36">
        <v>4301031418</v>
      </c>
      <c r="D496" s="677">
        <v>4680115882102</v>
      </c>
      <c r="E496" s="677"/>
      <c r="F496" s="62">
        <v>0.6</v>
      </c>
      <c r="G496" s="37">
        <v>8</v>
      </c>
      <c r="H496" s="62">
        <v>4.8</v>
      </c>
      <c r="I496" s="62">
        <v>6.67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79"/>
      <c r="R496" s="679"/>
      <c r="S496" s="679"/>
      <c r="T496" s="68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786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795</v>
      </c>
      <c r="B497" s="63" t="s">
        <v>796</v>
      </c>
      <c r="C497" s="36">
        <v>4301031417</v>
      </c>
      <c r="D497" s="677">
        <v>4680115882096</v>
      </c>
      <c r="E497" s="677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79"/>
      <c r="R497" s="679"/>
      <c r="S497" s="679"/>
      <c r="T497" s="68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x14ac:dyDescent="0.2">
      <c r="A498" s="685"/>
      <c r="B498" s="685"/>
      <c r="C498" s="685"/>
      <c r="D498" s="685"/>
      <c r="E498" s="685"/>
      <c r="F498" s="685"/>
      <c r="G498" s="685"/>
      <c r="H498" s="685"/>
      <c r="I498" s="685"/>
      <c r="J498" s="685"/>
      <c r="K498" s="685"/>
      <c r="L498" s="685"/>
      <c r="M498" s="685"/>
      <c r="N498" s="685"/>
      <c r="O498" s="686"/>
      <c r="P498" s="682" t="s">
        <v>40</v>
      </c>
      <c r="Q498" s="683"/>
      <c r="R498" s="683"/>
      <c r="S498" s="683"/>
      <c r="T498" s="683"/>
      <c r="U498" s="683"/>
      <c r="V498" s="684"/>
      <c r="W498" s="42" t="s">
        <v>39</v>
      </c>
      <c r="X498" s="43">
        <f>IFERROR(X491/H491,"0")+IFERROR(X492/H492,"0")+IFERROR(X493/H493,"0")+IFERROR(X494/H494,"0")+IFERROR(X495/H495,"0")+IFERROR(X496/H496,"0")+IFERROR(X497/H497,"0")</f>
        <v>0</v>
      </c>
      <c r="Y498" s="43">
        <f>IFERROR(Y491/H491,"0")+IFERROR(Y492/H492,"0")+IFERROR(Y493/H493,"0")+IFERROR(Y494/H494,"0")+IFERROR(Y495/H495,"0")+IFERROR(Y496/H496,"0")+IFERROR(Y497/H497,"0")</f>
        <v>0</v>
      </c>
      <c r="Z498" s="43">
        <f>IFERROR(IF(Z491="",0,Z491),"0")+IFERROR(IF(Z492="",0,Z492),"0")+IFERROR(IF(Z493="",0,Z493),"0")+IFERROR(IF(Z494="",0,Z494),"0")+IFERROR(IF(Z495="",0,Z495),"0")+IFERROR(IF(Z496="",0,Z496),"0")+IFERROR(IF(Z497="",0,Z497),"0")</f>
        <v>0</v>
      </c>
      <c r="AA498" s="67"/>
      <c r="AB498" s="67"/>
      <c r="AC498" s="67"/>
    </row>
    <row r="499" spans="1:68" x14ac:dyDescent="0.2">
      <c r="A499" s="685"/>
      <c r="B499" s="685"/>
      <c r="C499" s="685"/>
      <c r="D499" s="685"/>
      <c r="E499" s="685"/>
      <c r="F499" s="685"/>
      <c r="G499" s="685"/>
      <c r="H499" s="685"/>
      <c r="I499" s="685"/>
      <c r="J499" s="685"/>
      <c r="K499" s="685"/>
      <c r="L499" s="685"/>
      <c r="M499" s="685"/>
      <c r="N499" s="685"/>
      <c r="O499" s="686"/>
      <c r="P499" s="682" t="s">
        <v>40</v>
      </c>
      <c r="Q499" s="683"/>
      <c r="R499" s="683"/>
      <c r="S499" s="683"/>
      <c r="T499" s="683"/>
      <c r="U499" s="683"/>
      <c r="V499" s="684"/>
      <c r="W499" s="42" t="s">
        <v>0</v>
      </c>
      <c r="X499" s="43">
        <f>IFERROR(SUM(X491:X497),"0")</f>
        <v>0</v>
      </c>
      <c r="Y499" s="43">
        <f>IFERROR(SUM(Y491:Y497),"0")</f>
        <v>0</v>
      </c>
      <c r="Z499" s="42"/>
      <c r="AA499" s="67"/>
      <c r="AB499" s="67"/>
      <c r="AC499" s="67"/>
    </row>
    <row r="500" spans="1:68" ht="27.75" customHeight="1" x14ac:dyDescent="0.2">
      <c r="A500" s="674" t="s">
        <v>797</v>
      </c>
      <c r="B500" s="674"/>
      <c r="C500" s="674"/>
      <c r="D500" s="674"/>
      <c r="E500" s="674"/>
      <c r="F500" s="674"/>
      <c r="G500" s="674"/>
      <c r="H500" s="674"/>
      <c r="I500" s="674"/>
      <c r="J500" s="674"/>
      <c r="K500" s="674"/>
      <c r="L500" s="674"/>
      <c r="M500" s="674"/>
      <c r="N500" s="674"/>
      <c r="O500" s="674"/>
      <c r="P500" s="674"/>
      <c r="Q500" s="674"/>
      <c r="R500" s="674"/>
      <c r="S500" s="674"/>
      <c r="T500" s="674"/>
      <c r="U500" s="674"/>
      <c r="V500" s="674"/>
      <c r="W500" s="674"/>
      <c r="X500" s="674"/>
      <c r="Y500" s="674"/>
      <c r="Z500" s="674"/>
      <c r="AA500" s="54"/>
      <c r="AB500" s="54"/>
      <c r="AC500" s="54"/>
    </row>
    <row r="501" spans="1:68" ht="16.5" customHeight="1" x14ac:dyDescent="0.25">
      <c r="A501" s="675" t="s">
        <v>797</v>
      </c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  <c r="V501" s="675"/>
      <c r="W501" s="675"/>
      <c r="X501" s="675"/>
      <c r="Y501" s="675"/>
      <c r="Z501" s="675"/>
      <c r="AA501" s="65"/>
      <c r="AB501" s="65"/>
      <c r="AC501" s="79"/>
    </row>
    <row r="502" spans="1:68" ht="14.25" customHeight="1" x14ac:dyDescent="0.25">
      <c r="A502" s="676" t="s">
        <v>128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66"/>
      <c r="AB502" s="66"/>
      <c r="AC502" s="80"/>
    </row>
    <row r="503" spans="1:68" ht="27" customHeight="1" x14ac:dyDescent="0.25">
      <c r="A503" s="63" t="s">
        <v>798</v>
      </c>
      <c r="B503" s="63" t="s">
        <v>799</v>
      </c>
      <c r="C503" s="36">
        <v>4301011584</v>
      </c>
      <c r="D503" s="677">
        <v>4640242180564</v>
      </c>
      <c r="E503" s="677"/>
      <c r="F503" s="62">
        <v>1.5</v>
      </c>
      <c r="G503" s="37">
        <v>8</v>
      </c>
      <c r="H503" s="62">
        <v>12</v>
      </c>
      <c r="I503" s="62">
        <v>12.41</v>
      </c>
      <c r="J503" s="37">
        <v>64</v>
      </c>
      <c r="K503" s="37" t="s">
        <v>133</v>
      </c>
      <c r="L503" s="37" t="s">
        <v>46</v>
      </c>
      <c r="M503" s="38" t="s">
        <v>132</v>
      </c>
      <c r="N503" s="38"/>
      <c r="O503" s="37">
        <v>50</v>
      </c>
      <c r="P503" s="93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79"/>
      <c r="R503" s="679"/>
      <c r="S503" s="679"/>
      <c r="T503" s="68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IFERROR(IF(Y503=0,"",ROUNDUP(Y503/H503,0)*0.01898),"")</f>
        <v/>
      </c>
      <c r="AA503" s="68" t="s">
        <v>46</v>
      </c>
      <c r="AB503" s="69" t="s">
        <v>46</v>
      </c>
      <c r="AC503" s="590" t="s">
        <v>800</v>
      </c>
      <c r="AG503" s="78"/>
      <c r="AJ503" s="84" t="s">
        <v>46</v>
      </c>
      <c r="AK503" s="84">
        <v>0</v>
      </c>
      <c r="BB503" s="591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85"/>
      <c r="B504" s="685"/>
      <c r="C504" s="685"/>
      <c r="D504" s="685"/>
      <c r="E504" s="685"/>
      <c r="F504" s="685"/>
      <c r="G504" s="685"/>
      <c r="H504" s="685"/>
      <c r="I504" s="685"/>
      <c r="J504" s="685"/>
      <c r="K504" s="685"/>
      <c r="L504" s="685"/>
      <c r="M504" s="685"/>
      <c r="N504" s="685"/>
      <c r="O504" s="686"/>
      <c r="P504" s="682" t="s">
        <v>40</v>
      </c>
      <c r="Q504" s="683"/>
      <c r="R504" s="683"/>
      <c r="S504" s="683"/>
      <c r="T504" s="683"/>
      <c r="U504" s="683"/>
      <c r="V504" s="684"/>
      <c r="W504" s="42" t="s">
        <v>39</v>
      </c>
      <c r="X504" s="43">
        <f>IFERROR(X503/H503,"0")</f>
        <v>0</v>
      </c>
      <c r="Y504" s="43">
        <f>IFERROR(Y503/H503,"0")</f>
        <v>0</v>
      </c>
      <c r="Z504" s="43">
        <f>IFERROR(IF(Z503="",0,Z503),"0")</f>
        <v>0</v>
      </c>
      <c r="AA504" s="67"/>
      <c r="AB504" s="67"/>
      <c r="AC504" s="67"/>
    </row>
    <row r="505" spans="1:68" x14ac:dyDescent="0.2">
      <c r="A505" s="685"/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6"/>
      <c r="P505" s="682" t="s">
        <v>40</v>
      </c>
      <c r="Q505" s="683"/>
      <c r="R505" s="683"/>
      <c r="S505" s="683"/>
      <c r="T505" s="683"/>
      <c r="U505" s="683"/>
      <c r="V505" s="684"/>
      <c r="W505" s="42" t="s">
        <v>0</v>
      </c>
      <c r="X505" s="43">
        <f>IFERROR(SUM(X503:X503),"0")</f>
        <v>0</v>
      </c>
      <c r="Y505" s="43">
        <f>IFERROR(SUM(Y503:Y503),"0")</f>
        <v>0</v>
      </c>
      <c r="Z505" s="42"/>
      <c r="AA505" s="67"/>
      <c r="AB505" s="67"/>
      <c r="AC505" s="67"/>
    </row>
    <row r="506" spans="1:68" ht="14.25" customHeight="1" x14ac:dyDescent="0.25">
      <c r="A506" s="676" t="s">
        <v>163</v>
      </c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6"/>
      <c r="P506" s="676"/>
      <c r="Q506" s="676"/>
      <c r="R506" s="676"/>
      <c r="S506" s="676"/>
      <c r="T506" s="676"/>
      <c r="U506" s="676"/>
      <c r="V506" s="676"/>
      <c r="W506" s="676"/>
      <c r="X506" s="676"/>
      <c r="Y506" s="676"/>
      <c r="Z506" s="676"/>
      <c r="AA506" s="66"/>
      <c r="AB506" s="66"/>
      <c r="AC506" s="80"/>
    </row>
    <row r="507" spans="1:68" ht="27" customHeight="1" x14ac:dyDescent="0.25">
      <c r="A507" s="63" t="s">
        <v>801</v>
      </c>
      <c r="B507" s="63" t="s">
        <v>802</v>
      </c>
      <c r="C507" s="36">
        <v>4301020400</v>
      </c>
      <c r="D507" s="677">
        <v>4640242180519</v>
      </c>
      <c r="E507" s="677"/>
      <c r="F507" s="62">
        <v>1.5</v>
      </c>
      <c r="G507" s="37">
        <v>8</v>
      </c>
      <c r="H507" s="62">
        <v>12</v>
      </c>
      <c r="I507" s="62">
        <v>12.41</v>
      </c>
      <c r="J507" s="37">
        <v>64</v>
      </c>
      <c r="K507" s="37" t="s">
        <v>133</v>
      </c>
      <c r="L507" s="37" t="s">
        <v>46</v>
      </c>
      <c r="M507" s="38" t="s">
        <v>132</v>
      </c>
      <c r="N507" s="38"/>
      <c r="O507" s="37">
        <v>50</v>
      </c>
      <c r="P507" s="9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79"/>
      <c r="R507" s="679"/>
      <c r="S507" s="679"/>
      <c r="T507" s="68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IFERROR(IF(Y507=0,"",ROUNDUP(Y507/H507,0)*0.01898),"")</f>
        <v/>
      </c>
      <c r="AA507" s="68" t="s">
        <v>46</v>
      </c>
      <c r="AB507" s="69" t="s">
        <v>46</v>
      </c>
      <c r="AC507" s="592" t="s">
        <v>803</v>
      </c>
      <c r="AG507" s="78"/>
      <c r="AJ507" s="84" t="s">
        <v>46</v>
      </c>
      <c r="AK507" s="84">
        <v>0</v>
      </c>
      <c r="BB507" s="59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x14ac:dyDescent="0.2">
      <c r="A508" s="685"/>
      <c r="B508" s="685"/>
      <c r="C508" s="685"/>
      <c r="D508" s="685"/>
      <c r="E508" s="685"/>
      <c r="F508" s="685"/>
      <c r="G508" s="685"/>
      <c r="H508" s="685"/>
      <c r="I508" s="685"/>
      <c r="J508" s="685"/>
      <c r="K508" s="685"/>
      <c r="L508" s="685"/>
      <c r="M508" s="685"/>
      <c r="N508" s="685"/>
      <c r="O508" s="686"/>
      <c r="P508" s="682" t="s">
        <v>40</v>
      </c>
      <c r="Q508" s="683"/>
      <c r="R508" s="683"/>
      <c r="S508" s="683"/>
      <c r="T508" s="683"/>
      <c r="U508" s="683"/>
      <c r="V508" s="684"/>
      <c r="W508" s="42" t="s">
        <v>39</v>
      </c>
      <c r="X508" s="43">
        <f>IFERROR(X507/H507,"0")</f>
        <v>0</v>
      </c>
      <c r="Y508" s="43">
        <f>IFERROR(Y507/H507,"0")</f>
        <v>0</v>
      </c>
      <c r="Z508" s="43">
        <f>IFERROR(IF(Z507="",0,Z507),"0")</f>
        <v>0</v>
      </c>
      <c r="AA508" s="67"/>
      <c r="AB508" s="67"/>
      <c r="AC508" s="67"/>
    </row>
    <row r="509" spans="1:68" x14ac:dyDescent="0.2">
      <c r="A509" s="685"/>
      <c r="B509" s="685"/>
      <c r="C509" s="685"/>
      <c r="D509" s="685"/>
      <c r="E509" s="685"/>
      <c r="F509" s="685"/>
      <c r="G509" s="685"/>
      <c r="H509" s="685"/>
      <c r="I509" s="685"/>
      <c r="J509" s="685"/>
      <c r="K509" s="685"/>
      <c r="L509" s="685"/>
      <c r="M509" s="685"/>
      <c r="N509" s="685"/>
      <c r="O509" s="686"/>
      <c r="P509" s="682" t="s">
        <v>40</v>
      </c>
      <c r="Q509" s="683"/>
      <c r="R509" s="683"/>
      <c r="S509" s="683"/>
      <c r="T509" s="683"/>
      <c r="U509" s="683"/>
      <c r="V509" s="684"/>
      <c r="W509" s="42" t="s">
        <v>0</v>
      </c>
      <c r="X509" s="43">
        <f>IFERROR(SUM(X507:X507),"0")</f>
        <v>0</v>
      </c>
      <c r="Y509" s="43">
        <f>IFERROR(SUM(Y507:Y507),"0")</f>
        <v>0</v>
      </c>
      <c r="Z509" s="42"/>
      <c r="AA509" s="67"/>
      <c r="AB509" s="67"/>
      <c r="AC509" s="67"/>
    </row>
    <row r="510" spans="1:68" ht="14.25" customHeight="1" x14ac:dyDescent="0.25">
      <c r="A510" s="676" t="s">
        <v>77</v>
      </c>
      <c r="B510" s="676"/>
      <c r="C510" s="676"/>
      <c r="D510" s="676"/>
      <c r="E510" s="676"/>
      <c r="F510" s="676"/>
      <c r="G510" s="676"/>
      <c r="H510" s="676"/>
      <c r="I510" s="676"/>
      <c r="J510" s="676"/>
      <c r="K510" s="676"/>
      <c r="L510" s="676"/>
      <c r="M510" s="676"/>
      <c r="N510" s="676"/>
      <c r="O510" s="676"/>
      <c r="P510" s="676"/>
      <c r="Q510" s="676"/>
      <c r="R510" s="676"/>
      <c r="S510" s="676"/>
      <c r="T510" s="676"/>
      <c r="U510" s="676"/>
      <c r="V510" s="676"/>
      <c r="W510" s="676"/>
      <c r="X510" s="676"/>
      <c r="Y510" s="676"/>
      <c r="Z510" s="676"/>
      <c r="AA510" s="66"/>
      <c r="AB510" s="66"/>
      <c r="AC510" s="80"/>
    </row>
    <row r="511" spans="1:68" ht="27" customHeight="1" x14ac:dyDescent="0.25">
      <c r="A511" s="63" t="s">
        <v>804</v>
      </c>
      <c r="B511" s="63" t="s">
        <v>805</v>
      </c>
      <c r="C511" s="36">
        <v>4301031467</v>
      </c>
      <c r="D511" s="677">
        <v>4640242180595</v>
      </c>
      <c r="E511" s="677"/>
      <c r="F511" s="62">
        <v>0.8</v>
      </c>
      <c r="G511" s="37">
        <v>6</v>
      </c>
      <c r="H511" s="62">
        <v>4.8</v>
      </c>
      <c r="I511" s="62">
        <v>5.05</v>
      </c>
      <c r="J511" s="37">
        <v>132</v>
      </c>
      <c r="K511" s="37" t="s">
        <v>140</v>
      </c>
      <c r="L511" s="37" t="s">
        <v>46</v>
      </c>
      <c r="M511" s="38" t="s">
        <v>81</v>
      </c>
      <c r="N511" s="38"/>
      <c r="O511" s="37">
        <v>40</v>
      </c>
      <c r="P511" s="9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79"/>
      <c r="R511" s="679"/>
      <c r="S511" s="679"/>
      <c r="T511" s="680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594" t="s">
        <v>806</v>
      </c>
      <c r="AG511" s="78"/>
      <c r="AJ511" s="84" t="s">
        <v>46</v>
      </c>
      <c r="AK511" s="84">
        <v>0</v>
      </c>
      <c r="BB511" s="59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27" customHeight="1" x14ac:dyDescent="0.25">
      <c r="A512" s="63" t="s">
        <v>804</v>
      </c>
      <c r="B512" s="63" t="s">
        <v>807</v>
      </c>
      <c r="C512" s="36">
        <v>4301031500</v>
      </c>
      <c r="D512" s="677">
        <v>4640242180595</v>
      </c>
      <c r="E512" s="677"/>
      <c r="F512" s="62">
        <v>0.7</v>
      </c>
      <c r="G512" s="37">
        <v>6</v>
      </c>
      <c r="H512" s="62">
        <v>4.2</v>
      </c>
      <c r="I512" s="62">
        <v>4.45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79"/>
      <c r="R512" s="679"/>
      <c r="S512" s="679"/>
      <c r="T512" s="68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808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85"/>
      <c r="B513" s="685"/>
      <c r="C513" s="685"/>
      <c r="D513" s="685"/>
      <c r="E513" s="685"/>
      <c r="F513" s="685"/>
      <c r="G513" s="685"/>
      <c r="H513" s="685"/>
      <c r="I513" s="685"/>
      <c r="J513" s="685"/>
      <c r="K513" s="685"/>
      <c r="L513" s="685"/>
      <c r="M513" s="685"/>
      <c r="N513" s="685"/>
      <c r="O513" s="686"/>
      <c r="P513" s="682" t="s">
        <v>40</v>
      </c>
      <c r="Q513" s="683"/>
      <c r="R513" s="683"/>
      <c r="S513" s="683"/>
      <c r="T513" s="683"/>
      <c r="U513" s="683"/>
      <c r="V513" s="684"/>
      <c r="W513" s="42" t="s">
        <v>39</v>
      </c>
      <c r="X513" s="43">
        <f>IFERROR(X511/H511,"0")+IFERROR(X512/H512,"0")</f>
        <v>0</v>
      </c>
      <c r="Y513" s="43">
        <f>IFERROR(Y511/H511,"0")+IFERROR(Y512/H512,"0")</f>
        <v>0</v>
      </c>
      <c r="Z513" s="43">
        <f>IFERROR(IF(Z511="",0,Z511),"0")+IFERROR(IF(Z512="",0,Z512),"0")</f>
        <v>0</v>
      </c>
      <c r="AA513" s="67"/>
      <c r="AB513" s="67"/>
      <c r="AC513" s="67"/>
    </row>
    <row r="514" spans="1:68" x14ac:dyDescent="0.2">
      <c r="A514" s="685"/>
      <c r="B514" s="685"/>
      <c r="C514" s="685"/>
      <c r="D514" s="685"/>
      <c r="E514" s="685"/>
      <c r="F514" s="685"/>
      <c r="G514" s="685"/>
      <c r="H514" s="685"/>
      <c r="I514" s="685"/>
      <c r="J514" s="685"/>
      <c r="K514" s="685"/>
      <c r="L514" s="685"/>
      <c r="M514" s="685"/>
      <c r="N514" s="685"/>
      <c r="O514" s="686"/>
      <c r="P514" s="682" t="s">
        <v>40</v>
      </c>
      <c r="Q514" s="683"/>
      <c r="R514" s="683"/>
      <c r="S514" s="683"/>
      <c r="T514" s="683"/>
      <c r="U514" s="683"/>
      <c r="V514" s="684"/>
      <c r="W514" s="42" t="s">
        <v>0</v>
      </c>
      <c r="X514" s="43">
        <f>IFERROR(SUM(X511:X512),"0")</f>
        <v>0</v>
      </c>
      <c r="Y514" s="43">
        <f>IFERROR(SUM(Y511:Y512),"0")</f>
        <v>0</v>
      </c>
      <c r="Z514" s="42"/>
      <c r="AA514" s="67"/>
      <c r="AB514" s="67"/>
      <c r="AC514" s="67"/>
    </row>
    <row r="515" spans="1:68" ht="14.25" customHeight="1" x14ac:dyDescent="0.25">
      <c r="A515" s="676" t="s">
        <v>86</v>
      </c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6"/>
      <c r="P515" s="676"/>
      <c r="Q515" s="676"/>
      <c r="R515" s="676"/>
      <c r="S515" s="676"/>
      <c r="T515" s="676"/>
      <c r="U515" s="676"/>
      <c r="V515" s="676"/>
      <c r="W515" s="676"/>
      <c r="X515" s="676"/>
      <c r="Y515" s="676"/>
      <c r="Z515" s="676"/>
      <c r="AA515" s="66"/>
      <c r="AB515" s="66"/>
      <c r="AC515" s="80"/>
    </row>
    <row r="516" spans="1:68" ht="27" customHeight="1" x14ac:dyDescent="0.25">
      <c r="A516" s="63" t="s">
        <v>809</v>
      </c>
      <c r="B516" s="63" t="s">
        <v>810</v>
      </c>
      <c r="C516" s="36">
        <v>4301052043</v>
      </c>
      <c r="D516" s="677">
        <v>4640242180533</v>
      </c>
      <c r="E516" s="677"/>
      <c r="F516" s="62">
        <v>1.5</v>
      </c>
      <c r="G516" s="37">
        <v>6</v>
      </c>
      <c r="H516" s="62">
        <v>9</v>
      </c>
      <c r="I516" s="62">
        <v>9.4939999999999998</v>
      </c>
      <c r="J516" s="37">
        <v>64</v>
      </c>
      <c r="K516" s="37" t="s">
        <v>133</v>
      </c>
      <c r="L516" s="37" t="s">
        <v>46</v>
      </c>
      <c r="M516" s="38" t="s">
        <v>90</v>
      </c>
      <c r="N516" s="38"/>
      <c r="O516" s="37">
        <v>45</v>
      </c>
      <c r="P516" s="94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79"/>
      <c r="R516" s="679"/>
      <c r="S516" s="679"/>
      <c r="T516" s="68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598" t="s">
        <v>811</v>
      </c>
      <c r="AG516" s="78"/>
      <c r="AJ516" s="84" t="s">
        <v>46</v>
      </c>
      <c r="AK516" s="84">
        <v>0</v>
      </c>
      <c r="BB516" s="59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85"/>
      <c r="B517" s="685"/>
      <c r="C517" s="685"/>
      <c r="D517" s="685"/>
      <c r="E517" s="685"/>
      <c r="F517" s="685"/>
      <c r="G517" s="685"/>
      <c r="H517" s="685"/>
      <c r="I517" s="685"/>
      <c r="J517" s="685"/>
      <c r="K517" s="685"/>
      <c r="L517" s="685"/>
      <c r="M517" s="685"/>
      <c r="N517" s="685"/>
      <c r="O517" s="686"/>
      <c r="P517" s="682" t="s">
        <v>40</v>
      </c>
      <c r="Q517" s="683"/>
      <c r="R517" s="683"/>
      <c r="S517" s="683"/>
      <c r="T517" s="683"/>
      <c r="U517" s="683"/>
      <c r="V517" s="68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685"/>
      <c r="B518" s="685"/>
      <c r="C518" s="685"/>
      <c r="D518" s="685"/>
      <c r="E518" s="685"/>
      <c r="F518" s="685"/>
      <c r="G518" s="685"/>
      <c r="H518" s="685"/>
      <c r="I518" s="685"/>
      <c r="J518" s="685"/>
      <c r="K518" s="685"/>
      <c r="L518" s="685"/>
      <c r="M518" s="685"/>
      <c r="N518" s="685"/>
      <c r="O518" s="686"/>
      <c r="P518" s="682" t="s">
        <v>40</v>
      </c>
      <c r="Q518" s="683"/>
      <c r="R518" s="683"/>
      <c r="S518" s="683"/>
      <c r="T518" s="683"/>
      <c r="U518" s="683"/>
      <c r="V518" s="68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76" t="s">
        <v>180</v>
      </c>
      <c r="B519" s="676"/>
      <c r="C519" s="676"/>
      <c r="D519" s="676"/>
      <c r="E519" s="676"/>
      <c r="F519" s="676"/>
      <c r="G519" s="676"/>
      <c r="H519" s="676"/>
      <c r="I519" s="676"/>
      <c r="J519" s="676"/>
      <c r="K519" s="676"/>
      <c r="L519" s="676"/>
      <c r="M519" s="676"/>
      <c r="N519" s="676"/>
      <c r="O519" s="676"/>
      <c r="P519" s="676"/>
      <c r="Q519" s="676"/>
      <c r="R519" s="676"/>
      <c r="S519" s="676"/>
      <c r="T519" s="676"/>
      <c r="U519" s="676"/>
      <c r="V519" s="676"/>
      <c r="W519" s="676"/>
      <c r="X519" s="676"/>
      <c r="Y519" s="676"/>
      <c r="Z519" s="676"/>
      <c r="AA519" s="66"/>
      <c r="AB519" s="66"/>
      <c r="AC519" s="80"/>
    </row>
    <row r="520" spans="1:68" ht="27" customHeight="1" x14ac:dyDescent="0.25">
      <c r="A520" s="63" t="s">
        <v>812</v>
      </c>
      <c r="B520" s="63" t="s">
        <v>813</v>
      </c>
      <c r="C520" s="36">
        <v>4301060535</v>
      </c>
      <c r="D520" s="677">
        <v>4640242180120</v>
      </c>
      <c r="E520" s="677"/>
      <c r="F520" s="62">
        <v>1.5</v>
      </c>
      <c r="G520" s="37">
        <v>6</v>
      </c>
      <c r="H520" s="62">
        <v>9</v>
      </c>
      <c r="I520" s="62">
        <v>9.41</v>
      </c>
      <c r="J520" s="37">
        <v>64</v>
      </c>
      <c r="K520" s="37" t="s">
        <v>133</v>
      </c>
      <c r="L520" s="37" t="s">
        <v>46</v>
      </c>
      <c r="M520" s="38" t="s">
        <v>90</v>
      </c>
      <c r="N520" s="38"/>
      <c r="O520" s="37">
        <v>40</v>
      </c>
      <c r="P520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79"/>
      <c r="R520" s="679"/>
      <c r="S520" s="679"/>
      <c r="T520" s="68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00" t="s">
        <v>814</v>
      </c>
      <c r="AG520" s="78"/>
      <c r="AJ520" s="84" t="s">
        <v>46</v>
      </c>
      <c r="AK520" s="84">
        <v>0</v>
      </c>
      <c r="BB520" s="601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27" customHeight="1" x14ac:dyDescent="0.25">
      <c r="A521" s="63" t="s">
        <v>815</v>
      </c>
      <c r="B521" s="63" t="s">
        <v>816</v>
      </c>
      <c r="C521" s="36">
        <v>4301060536</v>
      </c>
      <c r="D521" s="677">
        <v>4640242180137</v>
      </c>
      <c r="E521" s="677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79"/>
      <c r="R521" s="679"/>
      <c r="S521" s="679"/>
      <c r="T521" s="68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85"/>
      <c r="B522" s="685"/>
      <c r="C522" s="685"/>
      <c r="D522" s="685"/>
      <c r="E522" s="685"/>
      <c r="F522" s="685"/>
      <c r="G522" s="685"/>
      <c r="H522" s="685"/>
      <c r="I522" s="685"/>
      <c r="J522" s="685"/>
      <c r="K522" s="685"/>
      <c r="L522" s="685"/>
      <c r="M522" s="685"/>
      <c r="N522" s="685"/>
      <c r="O522" s="686"/>
      <c r="P522" s="682" t="s">
        <v>40</v>
      </c>
      <c r="Q522" s="683"/>
      <c r="R522" s="683"/>
      <c r="S522" s="683"/>
      <c r="T522" s="683"/>
      <c r="U522" s="683"/>
      <c r="V522" s="684"/>
      <c r="W522" s="42" t="s">
        <v>39</v>
      </c>
      <c r="X522" s="43">
        <f>IFERROR(X520/H520,"0")+IFERROR(X521/H521,"0")</f>
        <v>0</v>
      </c>
      <c r="Y522" s="43">
        <f>IFERROR(Y520/H520,"0")+IFERROR(Y521/H521,"0")</f>
        <v>0</v>
      </c>
      <c r="Z522" s="43">
        <f>IFERROR(IF(Z520="",0,Z520),"0")+IFERROR(IF(Z521="",0,Z521),"0")</f>
        <v>0</v>
      </c>
      <c r="AA522" s="67"/>
      <c r="AB522" s="67"/>
      <c r="AC522" s="67"/>
    </row>
    <row r="523" spans="1:68" x14ac:dyDescent="0.2">
      <c r="A523" s="685"/>
      <c r="B523" s="685"/>
      <c r="C523" s="685"/>
      <c r="D523" s="685"/>
      <c r="E523" s="685"/>
      <c r="F523" s="685"/>
      <c r="G523" s="685"/>
      <c r="H523" s="685"/>
      <c r="I523" s="685"/>
      <c r="J523" s="685"/>
      <c r="K523" s="685"/>
      <c r="L523" s="685"/>
      <c r="M523" s="685"/>
      <c r="N523" s="685"/>
      <c r="O523" s="686"/>
      <c r="P523" s="682" t="s">
        <v>40</v>
      </c>
      <c r="Q523" s="683"/>
      <c r="R523" s="683"/>
      <c r="S523" s="683"/>
      <c r="T523" s="683"/>
      <c r="U523" s="683"/>
      <c r="V523" s="684"/>
      <c r="W523" s="42" t="s">
        <v>0</v>
      </c>
      <c r="X523" s="43">
        <f>IFERROR(SUM(X520:X521),"0")</f>
        <v>0</v>
      </c>
      <c r="Y523" s="43">
        <f>IFERROR(SUM(Y520:Y521),"0")</f>
        <v>0</v>
      </c>
      <c r="Z523" s="42"/>
      <c r="AA523" s="67"/>
      <c r="AB523" s="67"/>
      <c r="AC523" s="67"/>
    </row>
    <row r="524" spans="1:68" ht="16.5" customHeight="1" x14ac:dyDescent="0.25">
      <c r="A524" s="675" t="s">
        <v>818</v>
      </c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  <c r="V524" s="675"/>
      <c r="W524" s="675"/>
      <c r="X524" s="675"/>
      <c r="Y524" s="675"/>
      <c r="Z524" s="675"/>
      <c r="AA524" s="65"/>
      <c r="AB524" s="65"/>
      <c r="AC524" s="79"/>
    </row>
    <row r="525" spans="1:68" ht="14.25" customHeight="1" x14ac:dyDescent="0.25">
      <c r="A525" s="676" t="s">
        <v>163</v>
      </c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6"/>
      <c r="P525" s="676"/>
      <c r="Q525" s="676"/>
      <c r="R525" s="676"/>
      <c r="S525" s="676"/>
      <c r="T525" s="676"/>
      <c r="U525" s="676"/>
      <c r="V525" s="676"/>
      <c r="W525" s="676"/>
      <c r="X525" s="676"/>
      <c r="Y525" s="676"/>
      <c r="Z525" s="676"/>
      <c r="AA525" s="66"/>
      <c r="AB525" s="66"/>
      <c r="AC525" s="80"/>
    </row>
    <row r="526" spans="1:68" ht="27" customHeight="1" x14ac:dyDescent="0.25">
      <c r="A526" s="63" t="s">
        <v>819</v>
      </c>
      <c r="B526" s="63" t="s">
        <v>820</v>
      </c>
      <c r="C526" s="36">
        <v>4301020428</v>
      </c>
      <c r="D526" s="677">
        <v>4640242180090</v>
      </c>
      <c r="E526" s="677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79"/>
      <c r="R526" s="679"/>
      <c r="S526" s="679"/>
      <c r="T526" s="68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04" t="s">
        <v>821</v>
      </c>
      <c r="AG526" s="78"/>
      <c r="AJ526" s="84" t="s">
        <v>46</v>
      </c>
      <c r="AK526" s="84">
        <v>0</v>
      </c>
      <c r="BB526" s="60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85"/>
      <c r="B527" s="685"/>
      <c r="C527" s="685"/>
      <c r="D527" s="685"/>
      <c r="E527" s="685"/>
      <c r="F527" s="685"/>
      <c r="G527" s="685"/>
      <c r="H527" s="685"/>
      <c r="I527" s="685"/>
      <c r="J527" s="685"/>
      <c r="K527" s="685"/>
      <c r="L527" s="685"/>
      <c r="M527" s="685"/>
      <c r="N527" s="685"/>
      <c r="O527" s="686"/>
      <c r="P527" s="682" t="s">
        <v>40</v>
      </c>
      <c r="Q527" s="683"/>
      <c r="R527" s="683"/>
      <c r="S527" s="683"/>
      <c r="T527" s="683"/>
      <c r="U527" s="683"/>
      <c r="V527" s="68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85"/>
      <c r="B528" s="685"/>
      <c r="C528" s="685"/>
      <c r="D528" s="685"/>
      <c r="E528" s="685"/>
      <c r="F528" s="685"/>
      <c r="G528" s="685"/>
      <c r="H528" s="685"/>
      <c r="I528" s="685"/>
      <c r="J528" s="685"/>
      <c r="K528" s="685"/>
      <c r="L528" s="685"/>
      <c r="M528" s="685"/>
      <c r="N528" s="685"/>
      <c r="O528" s="686"/>
      <c r="P528" s="682" t="s">
        <v>40</v>
      </c>
      <c r="Q528" s="683"/>
      <c r="R528" s="683"/>
      <c r="S528" s="683"/>
      <c r="T528" s="683"/>
      <c r="U528" s="683"/>
      <c r="V528" s="68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32" ht="15" customHeight="1" x14ac:dyDescent="0.2">
      <c r="A529" s="685"/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948"/>
      <c r="P529" s="945" t="s">
        <v>33</v>
      </c>
      <c r="Q529" s="946"/>
      <c r="R529" s="946"/>
      <c r="S529" s="946"/>
      <c r="T529" s="946"/>
      <c r="U529" s="946"/>
      <c r="V529" s="947"/>
      <c r="W529" s="42" t="s">
        <v>0</v>
      </c>
      <c r="X529" s="43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8110</v>
      </c>
      <c r="Y529" s="43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8168.28</v>
      </c>
      <c r="Z529" s="42"/>
      <c r="AA529" s="67"/>
      <c r="AB529" s="67"/>
      <c r="AC529" s="67"/>
    </row>
    <row r="530" spans="1:32" x14ac:dyDescent="0.2">
      <c r="A530" s="685"/>
      <c r="B530" s="685"/>
      <c r="C530" s="685"/>
      <c r="D530" s="685"/>
      <c r="E530" s="685"/>
      <c r="F530" s="685"/>
      <c r="G530" s="685"/>
      <c r="H530" s="685"/>
      <c r="I530" s="685"/>
      <c r="J530" s="685"/>
      <c r="K530" s="685"/>
      <c r="L530" s="685"/>
      <c r="M530" s="685"/>
      <c r="N530" s="685"/>
      <c r="O530" s="948"/>
      <c r="P530" s="945" t="s">
        <v>34</v>
      </c>
      <c r="Q530" s="946"/>
      <c r="R530" s="946"/>
      <c r="S530" s="946"/>
      <c r="T530" s="946"/>
      <c r="U530" s="946"/>
      <c r="V530" s="947"/>
      <c r="W530" s="42" t="s">
        <v>0</v>
      </c>
      <c r="X530" s="43">
        <f>IFERROR(SUM(BM22:BM526),"0")</f>
        <v>8418.0257575757587</v>
      </c>
      <c r="Y530" s="43">
        <f>IFERROR(SUM(BN22:BN526),"0")</f>
        <v>8478.69</v>
      </c>
      <c r="Z530" s="42"/>
      <c r="AA530" s="67"/>
      <c r="AB530" s="67"/>
      <c r="AC530" s="67"/>
    </row>
    <row r="531" spans="1:32" x14ac:dyDescent="0.2">
      <c r="A531" s="685"/>
      <c r="B531" s="685"/>
      <c r="C531" s="685"/>
      <c r="D531" s="685"/>
      <c r="E531" s="685"/>
      <c r="F531" s="685"/>
      <c r="G531" s="685"/>
      <c r="H531" s="685"/>
      <c r="I531" s="685"/>
      <c r="J531" s="685"/>
      <c r="K531" s="685"/>
      <c r="L531" s="685"/>
      <c r="M531" s="685"/>
      <c r="N531" s="685"/>
      <c r="O531" s="948"/>
      <c r="P531" s="945" t="s">
        <v>35</v>
      </c>
      <c r="Q531" s="946"/>
      <c r="R531" s="946"/>
      <c r="S531" s="946"/>
      <c r="T531" s="946"/>
      <c r="U531" s="946"/>
      <c r="V531" s="947"/>
      <c r="W531" s="42" t="s">
        <v>20</v>
      </c>
      <c r="X531" s="44">
        <f>ROUNDUP(SUM(BO22:BO526),0)</f>
        <v>12</v>
      </c>
      <c r="Y531" s="44">
        <f>ROUNDUP(SUM(BP22:BP526),0)</f>
        <v>13</v>
      </c>
      <c r="Z531" s="42"/>
      <c r="AA531" s="67"/>
      <c r="AB531" s="67"/>
      <c r="AC531" s="67"/>
    </row>
    <row r="532" spans="1:32" x14ac:dyDescent="0.2">
      <c r="A532" s="685"/>
      <c r="B532" s="685"/>
      <c r="C532" s="685"/>
      <c r="D532" s="685"/>
      <c r="E532" s="685"/>
      <c r="F532" s="685"/>
      <c r="G532" s="685"/>
      <c r="H532" s="685"/>
      <c r="I532" s="685"/>
      <c r="J532" s="685"/>
      <c r="K532" s="685"/>
      <c r="L532" s="685"/>
      <c r="M532" s="685"/>
      <c r="N532" s="685"/>
      <c r="O532" s="948"/>
      <c r="P532" s="945" t="s">
        <v>36</v>
      </c>
      <c r="Q532" s="946"/>
      <c r="R532" s="946"/>
      <c r="S532" s="946"/>
      <c r="T532" s="946"/>
      <c r="U532" s="946"/>
      <c r="V532" s="947"/>
      <c r="W532" s="42" t="s">
        <v>0</v>
      </c>
      <c r="X532" s="43">
        <f>GrossWeightTotal+PalletQtyTotal*25</f>
        <v>8718.0257575757587</v>
      </c>
      <c r="Y532" s="43">
        <f>GrossWeightTotalR+PalletQtyTotalR*25</f>
        <v>8803.69</v>
      </c>
      <c r="Z532" s="42"/>
      <c r="AA532" s="67"/>
      <c r="AB532" s="67"/>
      <c r="AC532" s="67"/>
    </row>
    <row r="533" spans="1:32" x14ac:dyDescent="0.2">
      <c r="A533" s="685"/>
      <c r="B533" s="685"/>
      <c r="C533" s="685"/>
      <c r="D533" s="685"/>
      <c r="E533" s="685"/>
      <c r="F533" s="685"/>
      <c r="G533" s="685"/>
      <c r="H533" s="685"/>
      <c r="I533" s="685"/>
      <c r="J533" s="685"/>
      <c r="K533" s="685"/>
      <c r="L533" s="685"/>
      <c r="M533" s="685"/>
      <c r="N533" s="685"/>
      <c r="O533" s="948"/>
      <c r="P533" s="945" t="s">
        <v>37</v>
      </c>
      <c r="Q533" s="946"/>
      <c r="R533" s="946"/>
      <c r="S533" s="946"/>
      <c r="T533" s="946"/>
      <c r="U533" s="946"/>
      <c r="V533" s="947"/>
      <c r="W533" s="42" t="s">
        <v>20</v>
      </c>
      <c r="X533" s="43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719.42890442890439</v>
      </c>
      <c r="Y533" s="43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725</v>
      </c>
      <c r="Z533" s="42"/>
      <c r="AA533" s="67"/>
      <c r="AB533" s="67"/>
      <c r="AC533" s="67"/>
    </row>
    <row r="534" spans="1:32" ht="14.25" x14ac:dyDescent="0.2">
      <c r="A534" s="685"/>
      <c r="B534" s="685"/>
      <c r="C534" s="685"/>
      <c r="D534" s="685"/>
      <c r="E534" s="685"/>
      <c r="F534" s="685"/>
      <c r="G534" s="685"/>
      <c r="H534" s="685"/>
      <c r="I534" s="685"/>
      <c r="J534" s="685"/>
      <c r="K534" s="685"/>
      <c r="L534" s="685"/>
      <c r="M534" s="685"/>
      <c r="N534" s="685"/>
      <c r="O534" s="948"/>
      <c r="P534" s="945" t="s">
        <v>38</v>
      </c>
      <c r="Q534" s="946"/>
      <c r="R534" s="946"/>
      <c r="S534" s="946"/>
      <c r="T534" s="946"/>
      <c r="U534" s="946"/>
      <c r="V534" s="947"/>
      <c r="W534" s="45" t="s">
        <v>52</v>
      </c>
      <c r="X534" s="42"/>
      <c r="Y534" s="42"/>
      <c r="Z534" s="42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13.386840000000001</v>
      </c>
      <c r="AA534" s="67"/>
      <c r="AB534" s="67"/>
      <c r="AC534" s="67"/>
    </row>
    <row r="535" spans="1:32" ht="13.5" thickBot="1" x14ac:dyDescent="0.25"/>
    <row r="536" spans="1:32" ht="27" thickTop="1" thickBot="1" x14ac:dyDescent="0.25">
      <c r="A536" s="46" t="s">
        <v>9</v>
      </c>
      <c r="B536" s="85" t="s">
        <v>76</v>
      </c>
      <c r="C536" s="85" t="s">
        <v>45</v>
      </c>
      <c r="D536" s="951" t="s">
        <v>126</v>
      </c>
      <c r="E536" s="951" t="s">
        <v>126</v>
      </c>
      <c r="F536" s="951" t="s">
        <v>126</v>
      </c>
      <c r="G536" s="951" t="s">
        <v>126</v>
      </c>
      <c r="H536" s="951" t="s">
        <v>126</v>
      </c>
      <c r="I536" s="951" t="s">
        <v>126</v>
      </c>
      <c r="J536" s="951" t="s">
        <v>126</v>
      </c>
      <c r="K536" s="951" t="s">
        <v>335</v>
      </c>
      <c r="L536" s="951" t="s">
        <v>335</v>
      </c>
      <c r="M536" s="951" t="s">
        <v>335</v>
      </c>
      <c r="N536" s="952"/>
      <c r="O536" s="951" t="s">
        <v>335</v>
      </c>
      <c r="P536" s="951" t="s">
        <v>335</v>
      </c>
      <c r="Q536" s="951" t="s">
        <v>335</v>
      </c>
      <c r="R536" s="951" t="s">
        <v>335</v>
      </c>
      <c r="S536" s="951" t="s">
        <v>335</v>
      </c>
      <c r="T536" s="951" t="s">
        <v>335</v>
      </c>
      <c r="U536" s="951" t="s">
        <v>335</v>
      </c>
      <c r="V536" s="951" t="s">
        <v>654</v>
      </c>
      <c r="W536" s="951" t="s">
        <v>654</v>
      </c>
      <c r="X536" s="951" t="s">
        <v>714</v>
      </c>
      <c r="Y536" s="951" t="s">
        <v>714</v>
      </c>
      <c r="Z536" s="85" t="s">
        <v>750</v>
      </c>
      <c r="AA536" s="951" t="s">
        <v>797</v>
      </c>
      <c r="AB536" s="951" t="s">
        <v>797</v>
      </c>
      <c r="AC536" s="60"/>
      <c r="AF536" s="1"/>
    </row>
    <row r="537" spans="1:32" ht="14.25" customHeight="1" thickTop="1" x14ac:dyDescent="0.2">
      <c r="A537" s="949" t="s">
        <v>10</v>
      </c>
      <c r="B537" s="951" t="s">
        <v>76</v>
      </c>
      <c r="C537" s="951" t="s">
        <v>113</v>
      </c>
      <c r="D537" s="951" t="s">
        <v>127</v>
      </c>
      <c r="E537" s="951" t="s">
        <v>143</v>
      </c>
      <c r="F537" s="951" t="s">
        <v>187</v>
      </c>
      <c r="G537" s="951" t="s">
        <v>208</v>
      </c>
      <c r="H537" s="951" t="s">
        <v>252</v>
      </c>
      <c r="I537" s="951" t="s">
        <v>264</v>
      </c>
      <c r="J537" s="951" t="s">
        <v>126</v>
      </c>
      <c r="K537" s="951" t="s">
        <v>336</v>
      </c>
      <c r="L537" s="951" t="s">
        <v>348</v>
      </c>
      <c r="M537" s="951" t="s">
        <v>415</v>
      </c>
      <c r="N537" s="1"/>
      <c r="O537" s="951" t="s">
        <v>483</v>
      </c>
      <c r="P537" s="951" t="s">
        <v>516</v>
      </c>
      <c r="Q537" s="951" t="s">
        <v>532</v>
      </c>
      <c r="R537" s="951" t="s">
        <v>541</v>
      </c>
      <c r="S537" s="951" t="s">
        <v>562</v>
      </c>
      <c r="T537" s="951" t="s">
        <v>572</v>
      </c>
      <c r="U537" s="951" t="s">
        <v>644</v>
      </c>
      <c r="V537" s="951" t="s">
        <v>655</v>
      </c>
      <c r="W537" s="951" t="s">
        <v>698</v>
      </c>
      <c r="X537" s="951" t="s">
        <v>715</v>
      </c>
      <c r="Y537" s="951" t="s">
        <v>738</v>
      </c>
      <c r="Z537" s="951" t="s">
        <v>750</v>
      </c>
      <c r="AA537" s="951" t="s">
        <v>797</v>
      </c>
      <c r="AB537" s="951" t="s">
        <v>818</v>
      </c>
      <c r="AC537" s="60"/>
      <c r="AF537" s="1"/>
    </row>
    <row r="538" spans="1:32" ht="13.5" thickBot="1" x14ac:dyDescent="0.25">
      <c r="A538" s="950"/>
      <c r="B538" s="951"/>
      <c r="C538" s="951"/>
      <c r="D538" s="951"/>
      <c r="E538" s="951"/>
      <c r="F538" s="951"/>
      <c r="G538" s="951"/>
      <c r="H538" s="951"/>
      <c r="I538" s="951"/>
      <c r="J538" s="951"/>
      <c r="K538" s="951"/>
      <c r="L538" s="951"/>
      <c r="M538" s="951"/>
      <c r="N538" s="1"/>
      <c r="O538" s="951"/>
      <c r="P538" s="951"/>
      <c r="Q538" s="951"/>
      <c r="R538" s="951"/>
      <c r="S538" s="951"/>
      <c r="T538" s="951"/>
      <c r="U538" s="951"/>
      <c r="V538" s="951"/>
      <c r="W538" s="951"/>
      <c r="X538" s="951"/>
      <c r="Y538" s="951"/>
      <c r="Z538" s="951"/>
      <c r="AA538" s="951"/>
      <c r="AB538" s="951"/>
      <c r="AC538" s="60"/>
      <c r="AF538" s="1"/>
    </row>
    <row r="539" spans="1:32" ht="18" thickTop="1" thickBot="1" x14ac:dyDescent="0.25">
      <c r="A539" s="46" t="s">
        <v>13</v>
      </c>
      <c r="B539" s="52">
        <f>IFERROR(Y22*1,"0")+IFERROR(Y23*1,"0")+IFERROR(Y27*1,"0")+IFERROR(Y28*1,"0")+IFERROR(Y29*1,"0")+IFERROR(Y30*1,"0")+IFERROR(Y31*1,"0")+IFERROR(Y32*1,"0")+IFERROR(Y36*1,"0")</f>
        <v>10.199999999999999</v>
      </c>
      <c r="C539" s="52">
        <f>IFERROR(Y42*1,"0")+IFERROR(Y43*1,"0")+IFERROR(Y44*1,"0")+IFERROR(Y45*1,"0")</f>
        <v>0</v>
      </c>
      <c r="D539" s="52">
        <f>IFERROR(Y51*1,"0")+IFERROR(Y52*1,"0")+IFERROR(Y53*1,"0")+IFERROR(Y54*1,"0")</f>
        <v>0</v>
      </c>
      <c r="E539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604.80000000000007</v>
      </c>
      <c r="F539" s="52">
        <f>IFERROR(Y87*1,"0")+IFERROR(Y88*1,"0")+IFERROR(Y89*1,"0")+IFERROR(Y90*1,"0")+IFERROR(Y94*1,"0")+IFERROR(Y95*1,"0")+IFERROR(Y96*1,"0")+IFERROR(Y97*1,"0")</f>
        <v>410.40000000000003</v>
      </c>
      <c r="G539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205.20000000000002</v>
      </c>
      <c r="H539" s="52">
        <f>IFERROR(Y134*1,"0")+IFERROR(Y135*1,"0")+IFERROR(Y139*1,"0")+IFERROR(Y140*1,"0")+IFERROR(Y144*1,"0")+IFERROR(Y145*1,"0")</f>
        <v>0</v>
      </c>
      <c r="I539" s="52">
        <f>IFERROR(Y150*1,"0")+IFERROR(Y151*1,"0")+IFERROR(Y152*1,"0")+IFERROR(Y153*1,"0")</f>
        <v>0</v>
      </c>
      <c r="J539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52">
        <f>IFERROR(Y198*1,"0")+IFERROR(Y199*1,"0")+IFERROR(Y200*1,"0")+IFERROR(Y201*1,"0")</f>
        <v>0</v>
      </c>
      <c r="L539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39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39" s="1"/>
      <c r="O539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52">
        <f>IFERROR(Y312*1,"0")+IFERROR(Y313*1,"0")+IFERROR(Y314*1,"0")+IFERROR(Y315*1,"0")+IFERROR(Y316*1,"0")</f>
        <v>0</v>
      </c>
      <c r="Q539" s="52">
        <f>IFERROR(Y321*1,"0")+IFERROR(Y322*1,"0")+IFERROR(Y323*1,"0")</f>
        <v>0</v>
      </c>
      <c r="R539" s="52">
        <f>IFERROR(Y328*1,"0")+IFERROR(Y329*1,"0")+IFERROR(Y330*1,"0")+IFERROR(Y331*1,"0")+IFERROR(Y332*1,"0")+IFERROR(Y336*1,"0")+IFERROR(Y337*1,"0")</f>
        <v>0</v>
      </c>
      <c r="S539" s="52">
        <f>IFERROR(Y342*1,"0")+IFERROR(Y343*1,"0")+IFERROR(Y344*1,"0")</f>
        <v>0</v>
      </c>
      <c r="T539" s="52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202.79999999999998</v>
      </c>
      <c r="U539" s="52">
        <f>IFERROR(Y394*1,"0")+IFERROR(Y395*1,"0")+IFERROR(Y396*1,"0")</f>
        <v>0</v>
      </c>
      <c r="V539" s="52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5832</v>
      </c>
      <c r="W539" s="52">
        <f>IFERROR(Y429*1,"0")+IFERROR(Y430*1,"0")+IFERROR(Y434*1,"0")+IFERROR(Y438*1,"0")+IFERROR(Y439*1,"0")+IFERROR(Y440*1,"0")</f>
        <v>0</v>
      </c>
      <c r="X539" s="52">
        <f>IFERROR(Y446*1,"0")+IFERROR(Y447*1,"0")+IFERROR(Y448*1,"0")+IFERROR(Y449*1,"0")+IFERROR(Y450*1,"0")+IFERROR(Y451*1,"0")+IFERROR(Y455*1,"0")+IFERROR(Y456*1,"0")</f>
        <v>0</v>
      </c>
      <c r="Y539" s="52">
        <f>IFERROR(Y461*1,"0")+IFERROR(Y465*1,"0")+IFERROR(Y466*1,"0")+IFERROR(Y467*1,"0")</f>
        <v>0</v>
      </c>
      <c r="Z539" s="52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902.88000000000011</v>
      </c>
      <c r="AA539" s="52">
        <f>IFERROR(Y503*1,"0")+IFERROR(Y507*1,"0")+IFERROR(Y511*1,"0")+IFERROR(Y512*1,"0")+IFERROR(Y516*1,"0")+IFERROR(Y520*1,"0")+IFERROR(Y521*1,"0")</f>
        <v>0</v>
      </c>
      <c r="AB539" s="52">
        <f>IFERROR(Y526*1,"0")</f>
        <v>0</v>
      </c>
      <c r="AC539" s="60"/>
      <c r="AF539" s="1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7">
    <mergeCell ref="U537:U538"/>
    <mergeCell ref="V537:V538"/>
    <mergeCell ref="W537:W538"/>
    <mergeCell ref="X537:X538"/>
    <mergeCell ref="Y537:Y538"/>
    <mergeCell ref="Z537:Z538"/>
    <mergeCell ref="AA537:AA538"/>
    <mergeCell ref="AB537:AB538"/>
    <mergeCell ref="D536:J536"/>
    <mergeCell ref="K536:U536"/>
    <mergeCell ref="V536:W536"/>
    <mergeCell ref="X536:Y536"/>
    <mergeCell ref="AA536:AB536"/>
    <mergeCell ref="J537:J538"/>
    <mergeCell ref="K537:K538"/>
    <mergeCell ref="L537:L538"/>
    <mergeCell ref="M537:M538"/>
    <mergeCell ref="O537:O538"/>
    <mergeCell ref="P537:P538"/>
    <mergeCell ref="Q537:Q538"/>
    <mergeCell ref="R537:R538"/>
    <mergeCell ref="S537:S538"/>
    <mergeCell ref="T537:T538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A525:Z525"/>
    <mergeCell ref="D526:E526"/>
    <mergeCell ref="P526:T526"/>
    <mergeCell ref="P527:V527"/>
    <mergeCell ref="A527:O528"/>
    <mergeCell ref="P528:V528"/>
    <mergeCell ref="P529:V529"/>
    <mergeCell ref="A529:O534"/>
    <mergeCell ref="P530:V530"/>
    <mergeCell ref="P531:V531"/>
    <mergeCell ref="P532:V532"/>
    <mergeCell ref="P533:V533"/>
    <mergeCell ref="P534:V534"/>
    <mergeCell ref="A519:Z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P513:V513"/>
    <mergeCell ref="A513:O514"/>
    <mergeCell ref="P514:V514"/>
    <mergeCell ref="A515:Z515"/>
    <mergeCell ref="D516:E516"/>
    <mergeCell ref="P516:T516"/>
    <mergeCell ref="P517:V517"/>
    <mergeCell ref="A517:O518"/>
    <mergeCell ref="P518:V518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A500:Z500"/>
    <mergeCell ref="A501:Z501"/>
    <mergeCell ref="A502:Z502"/>
    <mergeCell ref="D503:E503"/>
    <mergeCell ref="P503:T503"/>
    <mergeCell ref="P504:V504"/>
    <mergeCell ref="A504:O505"/>
    <mergeCell ref="P505:V505"/>
    <mergeCell ref="A506:Z506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D487:E487"/>
    <mergeCell ref="P487:T487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43:Z443"/>
    <mergeCell ref="A444:Z444"/>
    <mergeCell ref="A445:Z445"/>
    <mergeCell ref="D446:E446"/>
    <mergeCell ref="P446:T446"/>
    <mergeCell ref="D447:E447"/>
    <mergeCell ref="P447:T447"/>
    <mergeCell ref="D448:E448"/>
    <mergeCell ref="P448:T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P435:V435"/>
    <mergeCell ref="A435:O436"/>
    <mergeCell ref="P436:V436"/>
    <mergeCell ref="D424:E424"/>
    <mergeCell ref="P424:T424"/>
    <mergeCell ref="P425:V425"/>
    <mergeCell ref="A425:O426"/>
    <mergeCell ref="P426:V426"/>
    <mergeCell ref="A427:Z427"/>
    <mergeCell ref="A428:Z428"/>
    <mergeCell ref="D429:E429"/>
    <mergeCell ref="P429:T429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A400:Z400"/>
    <mergeCell ref="D389:E389"/>
    <mergeCell ref="P389:T389"/>
    <mergeCell ref="P390:V390"/>
    <mergeCell ref="A390:O391"/>
    <mergeCell ref="P391:V391"/>
    <mergeCell ref="A392:Z392"/>
    <mergeCell ref="A393:Z393"/>
    <mergeCell ref="D394:E394"/>
    <mergeCell ref="P394:T394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3" t="s">
        <v>823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825</v>
      </c>
      <c r="C6" s="53" t="s">
        <v>826</v>
      </c>
      <c r="D6" s="53" t="s">
        <v>827</v>
      </c>
      <c r="E6" s="53" t="s">
        <v>46</v>
      </c>
    </row>
    <row r="7" spans="2:8" x14ac:dyDescent="0.2">
      <c r="B7" s="53" t="s">
        <v>828</v>
      </c>
      <c r="C7" s="53" t="s">
        <v>829</v>
      </c>
      <c r="D7" s="53" t="s">
        <v>830</v>
      </c>
      <c r="E7" s="53" t="s">
        <v>46</v>
      </c>
    </row>
    <row r="8" spans="2:8" x14ac:dyDescent="0.2">
      <c r="B8" s="53" t="s">
        <v>831</v>
      </c>
      <c r="C8" s="53" t="s">
        <v>832</v>
      </c>
      <c r="D8" s="53" t="s">
        <v>833</v>
      </c>
      <c r="E8" s="53" t="s">
        <v>46</v>
      </c>
    </row>
    <row r="9" spans="2:8" x14ac:dyDescent="0.2">
      <c r="B9" s="53" t="s">
        <v>834</v>
      </c>
      <c r="C9" s="53" t="s">
        <v>835</v>
      </c>
      <c r="D9" s="53" t="s">
        <v>836</v>
      </c>
      <c r="E9" s="53" t="s">
        <v>46</v>
      </c>
    </row>
    <row r="10" spans="2:8" x14ac:dyDescent="0.2">
      <c r="B10" s="53" t="s">
        <v>837</v>
      </c>
      <c r="C10" s="53" t="s">
        <v>838</v>
      </c>
      <c r="D10" s="53" t="s">
        <v>839</v>
      </c>
      <c r="E10" s="53" t="s">
        <v>46</v>
      </c>
    </row>
    <row r="11" spans="2:8" x14ac:dyDescent="0.2">
      <c r="B11" s="53" t="s">
        <v>840</v>
      </c>
      <c r="C11" s="53" t="s">
        <v>841</v>
      </c>
      <c r="D11" s="53" t="s">
        <v>842</v>
      </c>
      <c r="E11" s="53" t="s">
        <v>46</v>
      </c>
    </row>
    <row r="12" spans="2:8" x14ac:dyDescent="0.2">
      <c r="B12" s="53" t="s">
        <v>843</v>
      </c>
      <c r="C12" s="53" t="s">
        <v>844</v>
      </c>
      <c r="D12" s="53" t="s">
        <v>845</v>
      </c>
      <c r="E12" s="53" t="s">
        <v>46</v>
      </c>
    </row>
    <row r="14" spans="2:8" x14ac:dyDescent="0.2">
      <c r="B14" s="53" t="s">
        <v>846</v>
      </c>
      <c r="C14" s="53" t="s">
        <v>826</v>
      </c>
      <c r="D14" s="53" t="s">
        <v>46</v>
      </c>
      <c r="E14" s="53" t="s">
        <v>46</v>
      </c>
    </row>
    <row r="16" spans="2:8" x14ac:dyDescent="0.2">
      <c r="B16" s="53" t="s">
        <v>847</v>
      </c>
      <c r="C16" s="53" t="s">
        <v>829</v>
      </c>
      <c r="D16" s="53" t="s">
        <v>46</v>
      </c>
      <c r="E16" s="53" t="s">
        <v>46</v>
      </c>
    </row>
    <row r="18" spans="2:5" x14ac:dyDescent="0.2">
      <c r="B18" s="53" t="s">
        <v>848</v>
      </c>
      <c r="C18" s="53" t="s">
        <v>832</v>
      </c>
      <c r="D18" s="53" t="s">
        <v>46</v>
      </c>
      <c r="E18" s="53" t="s">
        <v>46</v>
      </c>
    </row>
    <row r="20" spans="2:5" x14ac:dyDescent="0.2">
      <c r="B20" s="53" t="s">
        <v>849</v>
      </c>
      <c r="C20" s="53" t="s">
        <v>835</v>
      </c>
      <c r="D20" s="53" t="s">
        <v>46</v>
      </c>
      <c r="E20" s="53" t="s">
        <v>46</v>
      </c>
    </row>
    <row r="22" spans="2:5" x14ac:dyDescent="0.2">
      <c r="B22" s="53" t="s">
        <v>850</v>
      </c>
      <c r="C22" s="53" t="s">
        <v>838</v>
      </c>
      <c r="D22" s="53" t="s">
        <v>46</v>
      </c>
      <c r="E22" s="53" t="s">
        <v>46</v>
      </c>
    </row>
    <row r="24" spans="2:5" x14ac:dyDescent="0.2">
      <c r="B24" s="53" t="s">
        <v>851</v>
      </c>
      <c r="C24" s="53" t="s">
        <v>841</v>
      </c>
      <c r="D24" s="53" t="s">
        <v>46</v>
      </c>
      <c r="E24" s="53" t="s">
        <v>46</v>
      </c>
    </row>
    <row r="26" spans="2:5" x14ac:dyDescent="0.2">
      <c r="B26" s="53" t="s">
        <v>852</v>
      </c>
      <c r="C26" s="53" t="s">
        <v>844</v>
      </c>
      <c r="D26" s="53" t="s">
        <v>46</v>
      </c>
      <c r="E26" s="53" t="s">
        <v>46</v>
      </c>
    </row>
    <row r="28" spans="2:5" x14ac:dyDescent="0.2">
      <c r="B28" s="53" t="s">
        <v>853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855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856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857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858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859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863</v>
      </c>
      <c r="C38" s="53" t="s">
        <v>46</v>
      </c>
      <c r="D38" s="53" t="s">
        <v>46</v>
      </c>
      <c r="E38" s="53" t="s">
        <v>46</v>
      </c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2026-07-06T13:54:32Z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