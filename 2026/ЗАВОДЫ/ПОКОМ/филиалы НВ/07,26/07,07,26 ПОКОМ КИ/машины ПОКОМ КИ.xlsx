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07,07,26 ПОКОМ КИ\"/>
    </mc:Choice>
  </mc:AlternateContent>
  <xr:revisionPtr revIDLastSave="0" documentId="13_ncr:1_{4BDBCFC6-54C9-4B20-9BDA-DD65B91FA8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3" i="1"/>
  <c r="M16" i="1"/>
  <c r="L16" i="1"/>
  <c r="K16" i="1"/>
  <c r="S16" i="1" l="1"/>
  <c r="R16" i="1"/>
  <c r="Q16" i="1"/>
  <c r="C16" i="1" l="1"/>
  <c r="D16" i="1"/>
  <c r="E16" i="1" l="1"/>
  <c r="F16" i="1" l="1"/>
  <c r="G16" i="1"/>
  <c r="H16" i="1"/>
  <c r="I16" i="1"/>
  <c r="J16" i="1"/>
  <c r="N16" i="1"/>
  <c r="O16" i="1"/>
  <c r="P16" i="1"/>
  <c r="B16" i="1" l="1"/>
  <c r="B18" i="1" s="1"/>
  <c r="T16" i="1" l="1"/>
</calcChain>
</file>

<file path=xl/sharedStrings.xml><?xml version="1.0" encoding="utf-8"?>
<sst xmlns="http://schemas.openxmlformats.org/spreadsheetml/2006/main" count="44" uniqueCount="30">
  <si>
    <t>ПОЛУЧАТЕЛЬ</t>
  </si>
  <si>
    <t>Остаток</t>
  </si>
  <si>
    <t>ИТОГОВЫЕ ДАННЫЕ</t>
  </si>
  <si>
    <t>нетто</t>
  </si>
  <si>
    <t>брутто</t>
  </si>
  <si>
    <t>паллеты</t>
  </si>
  <si>
    <t>Малахутин</t>
  </si>
  <si>
    <t>ВЕС НЕТТО</t>
  </si>
  <si>
    <t>ВЕС БРУТТО</t>
  </si>
  <si>
    <t>ПАЛЛЕТЫ</t>
  </si>
  <si>
    <t>Горняк НВ Горловка</t>
  </si>
  <si>
    <t>Горняк НВ Луганск</t>
  </si>
  <si>
    <t>Павленко НВ (Мелитополь)</t>
  </si>
  <si>
    <t>Кочевой(1) ЛП (отд. маш.)</t>
  </si>
  <si>
    <t>Кочевой(2) ЛП (Донецк)</t>
  </si>
  <si>
    <t>1 машина на 11,07</t>
  </si>
  <si>
    <t>2 машина на 11,07</t>
  </si>
  <si>
    <t>1 машина на 12,07</t>
  </si>
  <si>
    <t>2 машина на 12,07</t>
  </si>
  <si>
    <t>3 машина на 11,07</t>
  </si>
  <si>
    <t>Пушкарный ЛП</t>
  </si>
  <si>
    <t>Обрыньба ЛП</t>
  </si>
  <si>
    <t>Бердянск НВ</t>
  </si>
  <si>
    <t>Донецк НВ</t>
  </si>
  <si>
    <t>Луганск НВ</t>
  </si>
  <si>
    <t>Мелитополь НВ</t>
  </si>
  <si>
    <t>НВ_ЛП</t>
  </si>
  <si>
    <t>НВ</t>
  </si>
  <si>
    <t>ЛП</t>
  </si>
  <si>
    <t>ПРС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</si>
</sst>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11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6" xfId="0" applyFill="1" applyBorder="1"/>
    <xf numFmtId="0" fontId="0" fillId="5" borderId="6" xfId="0" applyFill="1" applyBorder="1"/>
    <xf numFmtId="0" fontId="0" fillId="5" borderId="18" xfId="0" applyFill="1" applyBorder="1"/>
    <xf numFmtId="0" fontId="0" fillId="4" borderId="18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zoomScale="115" zoomScaleNormal="115" workbookViewId="0">
      <selection activeCell="W15" sqref="W15"/>
    </sheetView>
  </sheetViews>
  <sheetFormatPr defaultRowHeight="15" x14ac:dyDescent="0.25"/>
  <cols>
    <col min="1" max="1" width="26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38" t="s">
        <v>0</v>
      </c>
      <c r="B1" s="40" t="s">
        <v>7</v>
      </c>
      <c r="C1" s="40" t="s">
        <v>8</v>
      </c>
      <c r="D1" s="40" t="s">
        <v>9</v>
      </c>
      <c r="E1" s="38" t="s">
        <v>15</v>
      </c>
      <c r="F1" s="42"/>
      <c r="G1" s="43"/>
      <c r="H1" s="38" t="s">
        <v>16</v>
      </c>
      <c r="I1" s="42"/>
      <c r="J1" s="43"/>
      <c r="K1" s="38" t="s">
        <v>19</v>
      </c>
      <c r="L1" s="42"/>
      <c r="M1" s="43"/>
      <c r="N1" s="38" t="s">
        <v>17</v>
      </c>
      <c r="O1" s="42"/>
      <c r="P1" s="43"/>
      <c r="Q1" s="38" t="s">
        <v>18</v>
      </c>
      <c r="R1" s="42"/>
      <c r="S1" s="43"/>
      <c r="T1" s="36" t="s">
        <v>1</v>
      </c>
    </row>
    <row r="2" spans="1:20" ht="30.75" thickBot="1" x14ac:dyDescent="0.3">
      <c r="A2" s="39"/>
      <c r="B2" s="41"/>
      <c r="C2" s="41"/>
      <c r="D2" s="41"/>
      <c r="E2" s="17" t="s">
        <v>3</v>
      </c>
      <c r="F2" s="18" t="s">
        <v>4</v>
      </c>
      <c r="G2" s="19" t="s">
        <v>5</v>
      </c>
      <c r="H2" s="17" t="s">
        <v>3</v>
      </c>
      <c r="I2" s="18" t="s">
        <v>4</v>
      </c>
      <c r="J2" s="19" t="s">
        <v>5</v>
      </c>
      <c r="K2" s="17" t="s">
        <v>3</v>
      </c>
      <c r="L2" s="18" t="s">
        <v>4</v>
      </c>
      <c r="M2" s="19" t="s">
        <v>5</v>
      </c>
      <c r="N2" s="17" t="s">
        <v>3</v>
      </c>
      <c r="O2" s="18" t="s">
        <v>4</v>
      </c>
      <c r="P2" s="19" t="s">
        <v>5</v>
      </c>
      <c r="Q2" s="17" t="s">
        <v>3</v>
      </c>
      <c r="R2" s="18" t="s">
        <v>4</v>
      </c>
      <c r="S2" s="19" t="s">
        <v>5</v>
      </c>
      <c r="T2" s="37"/>
    </row>
    <row r="3" spans="1:20" x14ac:dyDescent="0.25">
      <c r="A3" s="29" t="s">
        <v>22</v>
      </c>
      <c r="B3" s="20">
        <v>5250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20"/>
      <c r="O3" s="21"/>
      <c r="P3" s="22"/>
      <c r="Q3" s="6">
        <v>5250</v>
      </c>
      <c r="R3" s="3">
        <v>5912</v>
      </c>
      <c r="S3" s="7">
        <v>10</v>
      </c>
      <c r="T3" s="8">
        <f>B3-E3-H3-N3-K3-Q3</f>
        <v>0</v>
      </c>
    </row>
    <row r="4" spans="1:20" x14ac:dyDescent="0.25">
      <c r="A4" s="32" t="s">
        <v>23</v>
      </c>
      <c r="B4" s="23">
        <v>10882</v>
      </c>
      <c r="C4" s="24">
        <v>12381</v>
      </c>
      <c r="D4" s="25">
        <v>22</v>
      </c>
      <c r="E4" s="23">
        <v>10882</v>
      </c>
      <c r="F4" s="24">
        <v>12381</v>
      </c>
      <c r="G4" s="25">
        <v>22</v>
      </c>
      <c r="H4" s="4"/>
      <c r="I4" s="2"/>
      <c r="J4" s="5"/>
      <c r="K4" s="4"/>
      <c r="L4" s="2"/>
      <c r="M4" s="5"/>
      <c r="N4" s="23"/>
      <c r="O4" s="24"/>
      <c r="P4" s="25"/>
      <c r="Q4" s="4"/>
      <c r="R4" s="2"/>
      <c r="S4" s="5"/>
      <c r="T4" s="8">
        <f t="shared" ref="T4:T15" si="0">B4-E4-H4-N4-K4-Q4</f>
        <v>0</v>
      </c>
    </row>
    <row r="5" spans="1:20" x14ac:dyDescent="0.25">
      <c r="A5" s="33" t="s">
        <v>24</v>
      </c>
      <c r="B5" s="23">
        <v>13921</v>
      </c>
      <c r="C5" s="24"/>
      <c r="D5" s="25"/>
      <c r="E5" s="23"/>
      <c r="F5" s="24"/>
      <c r="G5" s="25"/>
      <c r="H5" s="4">
        <v>8598</v>
      </c>
      <c r="I5" s="2">
        <v>9794</v>
      </c>
      <c r="J5" s="5">
        <v>16</v>
      </c>
      <c r="K5" s="4">
        <v>5323</v>
      </c>
      <c r="L5" s="2">
        <v>5897</v>
      </c>
      <c r="M5" s="5">
        <v>10</v>
      </c>
      <c r="N5" s="23"/>
      <c r="O5" s="24"/>
      <c r="P5" s="25"/>
      <c r="Q5" s="4"/>
      <c r="R5" s="2"/>
      <c r="S5" s="5"/>
      <c r="T5" s="8">
        <f t="shared" si="0"/>
        <v>0</v>
      </c>
    </row>
    <row r="6" spans="1:20" x14ac:dyDescent="0.25">
      <c r="A6" s="30" t="s">
        <v>25</v>
      </c>
      <c r="B6" s="23">
        <v>3953</v>
      </c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23"/>
      <c r="O6" s="24"/>
      <c r="P6" s="25"/>
      <c r="Q6" s="4">
        <v>3953</v>
      </c>
      <c r="R6" s="2">
        <v>4336</v>
      </c>
      <c r="S6" s="5">
        <v>7</v>
      </c>
      <c r="T6" s="8">
        <f t="shared" si="0"/>
        <v>0</v>
      </c>
    </row>
    <row r="7" spans="1:20" x14ac:dyDescent="0.25">
      <c r="A7" s="4" t="s">
        <v>13</v>
      </c>
      <c r="B7" s="23">
        <v>17934</v>
      </c>
      <c r="C7" s="24">
        <v>19780</v>
      </c>
      <c r="D7" s="25">
        <v>31</v>
      </c>
      <c r="E7" s="23"/>
      <c r="F7" s="24"/>
      <c r="G7" s="25"/>
      <c r="H7" s="4"/>
      <c r="I7" s="2"/>
      <c r="J7" s="5"/>
      <c r="K7" s="4"/>
      <c r="L7" s="2"/>
      <c r="M7" s="5"/>
      <c r="N7" s="23">
        <v>17934</v>
      </c>
      <c r="O7" s="24">
        <v>19780</v>
      </c>
      <c r="P7" s="25">
        <v>31</v>
      </c>
      <c r="Q7" s="4"/>
      <c r="R7" s="2"/>
      <c r="S7" s="5"/>
      <c r="T7" s="8">
        <f t="shared" si="0"/>
        <v>0</v>
      </c>
    </row>
    <row r="8" spans="1:20" x14ac:dyDescent="0.25">
      <c r="A8" s="32" t="s">
        <v>14</v>
      </c>
      <c r="B8" s="23">
        <v>3900</v>
      </c>
      <c r="C8" s="24">
        <v>4255</v>
      </c>
      <c r="D8" s="25">
        <v>7</v>
      </c>
      <c r="E8" s="23">
        <v>3900</v>
      </c>
      <c r="F8" s="24">
        <v>4255</v>
      </c>
      <c r="G8" s="25">
        <v>7</v>
      </c>
      <c r="H8" s="4"/>
      <c r="I8" s="2"/>
      <c r="J8" s="5"/>
      <c r="K8" s="4"/>
      <c r="L8" s="2"/>
      <c r="M8" s="5"/>
      <c r="N8" s="23"/>
      <c r="O8" s="24"/>
      <c r="P8" s="25"/>
      <c r="Q8" s="4"/>
      <c r="R8" s="2"/>
      <c r="S8" s="5"/>
      <c r="T8" s="8">
        <f t="shared" si="0"/>
        <v>0</v>
      </c>
    </row>
    <row r="9" spans="1:20" x14ac:dyDescent="0.25">
      <c r="A9" s="31" t="s">
        <v>12</v>
      </c>
      <c r="B9" s="26">
        <v>8110</v>
      </c>
      <c r="C9" s="27">
        <v>8803</v>
      </c>
      <c r="D9" s="28">
        <v>13</v>
      </c>
      <c r="E9" s="26"/>
      <c r="F9" s="27"/>
      <c r="G9" s="28"/>
      <c r="H9" s="9"/>
      <c r="I9" s="10"/>
      <c r="J9" s="11"/>
      <c r="K9" s="9"/>
      <c r="L9" s="10"/>
      <c r="M9" s="11"/>
      <c r="N9" s="26"/>
      <c r="O9" s="27"/>
      <c r="P9" s="28"/>
      <c r="Q9" s="9">
        <v>8110</v>
      </c>
      <c r="R9" s="10">
        <v>8803</v>
      </c>
      <c r="S9" s="11">
        <v>13</v>
      </c>
      <c r="T9" s="8">
        <f t="shared" si="0"/>
        <v>0</v>
      </c>
    </row>
    <row r="10" spans="1:20" x14ac:dyDescent="0.25">
      <c r="A10" s="34" t="s">
        <v>10</v>
      </c>
      <c r="B10" s="26">
        <v>1465</v>
      </c>
      <c r="C10" s="27">
        <v>1616</v>
      </c>
      <c r="D10" s="28">
        <v>3</v>
      </c>
      <c r="E10" s="26"/>
      <c r="F10" s="27"/>
      <c r="G10" s="28"/>
      <c r="H10" s="26">
        <v>1465</v>
      </c>
      <c r="I10" s="27">
        <v>1616</v>
      </c>
      <c r="J10" s="28">
        <v>3</v>
      </c>
      <c r="K10" s="26"/>
      <c r="L10" s="27"/>
      <c r="M10" s="28"/>
      <c r="N10" s="26"/>
      <c r="O10" s="27"/>
      <c r="P10" s="28"/>
      <c r="Q10" s="9"/>
      <c r="R10" s="10"/>
      <c r="S10" s="11"/>
      <c r="T10" s="8">
        <f t="shared" si="0"/>
        <v>0</v>
      </c>
    </row>
    <row r="11" spans="1:20" x14ac:dyDescent="0.25">
      <c r="A11" s="34" t="s">
        <v>11</v>
      </c>
      <c r="B11" s="23">
        <v>7114</v>
      </c>
      <c r="C11" s="24">
        <v>7773</v>
      </c>
      <c r="D11" s="25">
        <v>12</v>
      </c>
      <c r="E11" s="23"/>
      <c r="F11" s="24"/>
      <c r="G11" s="25"/>
      <c r="H11" s="23">
        <v>7114</v>
      </c>
      <c r="I11" s="24">
        <v>7773</v>
      </c>
      <c r="J11" s="25">
        <v>12</v>
      </c>
      <c r="K11" s="23"/>
      <c r="L11" s="24"/>
      <c r="M11" s="25"/>
      <c r="N11" s="23"/>
      <c r="O11" s="24"/>
      <c r="P11" s="25"/>
      <c r="Q11" s="9"/>
      <c r="R11" s="10"/>
      <c r="S11" s="11"/>
      <c r="T11" s="8">
        <f t="shared" si="0"/>
        <v>0</v>
      </c>
    </row>
    <row r="12" spans="1:20" x14ac:dyDescent="0.25">
      <c r="A12" s="34" t="s">
        <v>20</v>
      </c>
      <c r="B12" s="26">
        <v>6267</v>
      </c>
      <c r="C12" s="27">
        <v>6818</v>
      </c>
      <c r="D12" s="28">
        <v>11</v>
      </c>
      <c r="E12" s="26"/>
      <c r="F12" s="27"/>
      <c r="G12" s="28"/>
      <c r="H12" s="9"/>
      <c r="I12" s="10"/>
      <c r="J12" s="11"/>
      <c r="K12" s="26">
        <v>6267</v>
      </c>
      <c r="L12" s="27">
        <v>6818</v>
      </c>
      <c r="M12" s="28">
        <v>11</v>
      </c>
      <c r="N12" s="26"/>
      <c r="O12" s="27"/>
      <c r="P12" s="28"/>
      <c r="Q12" s="9"/>
      <c r="R12" s="10"/>
      <c r="S12" s="11"/>
      <c r="T12" s="8">
        <f t="shared" si="0"/>
        <v>0</v>
      </c>
    </row>
    <row r="13" spans="1:20" hidden="1" x14ac:dyDescent="0.25">
      <c r="A13" s="9" t="s">
        <v>6</v>
      </c>
      <c r="B13" s="26"/>
      <c r="C13" s="27"/>
      <c r="D13" s="28"/>
      <c r="E13" s="26"/>
      <c r="F13" s="27"/>
      <c r="G13" s="28"/>
      <c r="H13" s="9"/>
      <c r="I13" s="10"/>
      <c r="J13" s="11"/>
      <c r="K13" s="26"/>
      <c r="L13" s="27"/>
      <c r="M13" s="28"/>
      <c r="N13" s="26"/>
      <c r="O13" s="27"/>
      <c r="P13" s="28"/>
      <c r="Q13" s="9"/>
      <c r="R13" s="10"/>
      <c r="S13" s="11"/>
      <c r="T13" s="8">
        <f t="shared" si="0"/>
        <v>0</v>
      </c>
    </row>
    <row r="14" spans="1:20" x14ac:dyDescent="0.25">
      <c r="A14" s="34" t="s">
        <v>21</v>
      </c>
      <c r="B14" s="26">
        <v>5558</v>
      </c>
      <c r="C14" s="27">
        <v>6083</v>
      </c>
      <c r="D14" s="28">
        <v>10</v>
      </c>
      <c r="E14" s="26"/>
      <c r="F14" s="27"/>
      <c r="G14" s="28"/>
      <c r="H14" s="9"/>
      <c r="I14" s="10"/>
      <c r="J14" s="11"/>
      <c r="K14" s="26">
        <v>5558</v>
      </c>
      <c r="L14" s="27">
        <v>6083</v>
      </c>
      <c r="M14" s="28">
        <v>10</v>
      </c>
      <c r="N14" s="26"/>
      <c r="O14" s="27"/>
      <c r="P14" s="28"/>
      <c r="Q14" s="9"/>
      <c r="R14" s="10"/>
      <c r="S14" s="11"/>
      <c r="T14" s="8">
        <f t="shared" si="0"/>
        <v>0</v>
      </c>
    </row>
    <row r="15" spans="1:20" ht="15.75" thickBot="1" x14ac:dyDescent="0.3">
      <c r="A15" s="35" t="s">
        <v>29</v>
      </c>
      <c r="B15" s="23">
        <v>2489</v>
      </c>
      <c r="C15" s="27">
        <v>3050</v>
      </c>
      <c r="D15" s="28">
        <v>6</v>
      </c>
      <c r="E15" s="23">
        <v>2489</v>
      </c>
      <c r="F15" s="27">
        <v>3050</v>
      </c>
      <c r="G15" s="28">
        <v>6</v>
      </c>
      <c r="H15" s="9"/>
      <c r="I15" s="10"/>
      <c r="J15" s="11"/>
      <c r="K15" s="9"/>
      <c r="L15" s="10"/>
      <c r="M15" s="11"/>
      <c r="N15" s="23"/>
      <c r="O15" s="27"/>
      <c r="P15" s="28"/>
      <c r="Q15" s="9"/>
      <c r="R15" s="10"/>
      <c r="S15" s="11"/>
      <c r="T15" s="8">
        <f t="shared" si="0"/>
        <v>0</v>
      </c>
    </row>
    <row r="16" spans="1:20" s="1" customFormat="1" ht="15.75" thickBot="1" x14ac:dyDescent="0.3">
      <c r="A16" s="12" t="s">
        <v>2</v>
      </c>
      <c r="B16" s="13">
        <f t="shared" ref="B16:S16" si="1">SUM(B3:B15)</f>
        <v>86843</v>
      </c>
      <c r="C16" s="13">
        <f t="shared" si="1"/>
        <v>70559</v>
      </c>
      <c r="D16" s="13">
        <f t="shared" si="1"/>
        <v>115</v>
      </c>
      <c r="E16" s="12">
        <f t="shared" si="1"/>
        <v>17271</v>
      </c>
      <c r="F16" s="14">
        <f t="shared" si="1"/>
        <v>19686</v>
      </c>
      <c r="G16" s="15">
        <f t="shared" si="1"/>
        <v>35</v>
      </c>
      <c r="H16" s="12">
        <f t="shared" si="1"/>
        <v>17177</v>
      </c>
      <c r="I16" s="14">
        <f t="shared" si="1"/>
        <v>19183</v>
      </c>
      <c r="J16" s="15">
        <f t="shared" si="1"/>
        <v>31</v>
      </c>
      <c r="K16" s="12">
        <f t="shared" si="1"/>
        <v>17148</v>
      </c>
      <c r="L16" s="14">
        <f t="shared" si="1"/>
        <v>18798</v>
      </c>
      <c r="M16" s="15">
        <f t="shared" si="1"/>
        <v>31</v>
      </c>
      <c r="N16" s="12">
        <f t="shared" si="1"/>
        <v>17934</v>
      </c>
      <c r="O16" s="14">
        <f t="shared" si="1"/>
        <v>19780</v>
      </c>
      <c r="P16" s="15">
        <f t="shared" si="1"/>
        <v>31</v>
      </c>
      <c r="Q16" s="12">
        <f t="shared" si="1"/>
        <v>17313</v>
      </c>
      <c r="R16" s="14">
        <f t="shared" si="1"/>
        <v>19051</v>
      </c>
      <c r="S16" s="15">
        <f t="shared" si="1"/>
        <v>30</v>
      </c>
      <c r="T16" s="16">
        <f>SUM(T3:T15)</f>
        <v>0</v>
      </c>
    </row>
    <row r="17" spans="2:17" x14ac:dyDescent="0.25">
      <c r="E17" t="s">
        <v>26</v>
      </c>
      <c r="H17" t="s">
        <v>27</v>
      </c>
      <c r="K17" t="s">
        <v>26</v>
      </c>
      <c r="N17" t="s">
        <v>28</v>
      </c>
      <c r="Q17" t="s">
        <v>27</v>
      </c>
    </row>
    <row r="18" spans="2:17" x14ac:dyDescent="0.25">
      <c r="B18">
        <f>B16/17500</f>
        <v>4.9624571428571427</v>
      </c>
    </row>
  </sheetData>
  <mergeCells count="10">
    <mergeCell ref="T1:T2"/>
    <mergeCell ref="A1:A2"/>
    <mergeCell ref="B1:B2"/>
    <mergeCell ref="E1:G1"/>
    <mergeCell ref="H1:J1"/>
    <mergeCell ref="N1:P1"/>
    <mergeCell ref="C1:C2"/>
    <mergeCell ref="D1:D2"/>
    <mergeCell ref="Q1:S1"/>
    <mergeCell ref="K1:M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2026-07-08T11:27:14Z</dcterms:modified>
</cp:coreProperties>
</file>