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03,07 Горняк(Горловка_Луганск) на погрузку с филиалами на 11,07\"/>
    </mc:Choice>
  </mc:AlternateContent>
  <xr:revisionPtr revIDLastSave="0" documentId="13_ncr:1_{0A315C26-4FCE-4F21-AEFD-AF5C2FCDE2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<sst xmlns="http://schemas.openxmlformats.org/spreadsheetml/2006/main" count="3643" uniqueCount="787">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</sst>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="80" zoomScaleNormal="8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/>
      <c r="R5" s="561"/>
      <c r="T5" s="562" t="s">
        <v>3</v>
      </c>
      <c r="U5" s="563"/>
      <c r="V5" s="564" t="s">
        <v>750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 xml:space="preserve"> 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>
        <v>46217</v>
      </c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>
        <v>0.54166666666666663</v>
      </c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/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/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64.8</v>
      </c>
      <c r="Y116" s="55">
        <f>IFERROR(IF(X116="",0,CEILING((X116/$H116),1)*$H116),"")</f>
        <v>64.8</v>
      </c>
      <c r="Z116" s="41">
        <f>IFERROR(IF(Y116=0,"",ROUNDUP(Y116/H116,0)*0.01898),"")</f>
        <v>0.15184</v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68.703999999999994</v>
      </c>
      <c r="BN116" s="78">
        <f>IFERROR(Y116*I116/H116,"0")</f>
        <v>68.703999999999994</v>
      </c>
      <c r="BO116" s="78">
        <f>IFERROR(1/J116*(X116/H116),"0")</f>
        <v>0.125</v>
      </c>
      <c r="BP116" s="78">
        <f>IFERROR(1/J116*(Y116/H116),"0")</f>
        <v>0.125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8</v>
      </c>
      <c r="Y120" s="43">
        <f>IFERROR(Y116/H116,"0")+IFERROR(Y117/H117,"0")+IFERROR(Y118/H118,"0")+IFERROR(Y119/H119,"0")</f>
        <v>8</v>
      </c>
      <c r="Z120" s="43">
        <f>IFERROR(IF(Z116="",0,Z116),"0")+IFERROR(IF(Z117="",0,Z117),"0")+IFERROR(IF(Z118="",0,Z118),"0")+IFERROR(IF(Z119="",0,Z119),"0")</f>
        <v>0.15184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64.8</v>
      </c>
      <c r="Y121" s="43">
        <f>IFERROR(SUM(Y116:Y119),"0")</f>
        <v>64.8</v>
      </c>
      <c r="Z121" s="42"/>
      <c r="AA121" s="67"/>
      <c r="AB121" s="67"/>
      <c r="AC121" s="67"/>
    </row>
    <row r="122" spans="1:68" ht="14.25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24</v>
      </c>
      <c r="Y325" s="43">
        <f>IFERROR(Y322/H322,"0")+IFERROR(Y323/H323,"0")+IFERROR(Y324/H324,"0")</f>
        <v>24</v>
      </c>
      <c r="Z325" s="43">
        <f>IFERROR(IF(Z322="",0,Z322),"0")+IFERROR(IF(Z323="",0,Z323),"0")+IFERROR(IF(Z324="",0,Z324),"0")</f>
        <v>0.45552000000000004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192</v>
      </c>
      <c r="Y326" s="43">
        <f>IFERROR(SUM(Y322:Y324),"0")</f>
        <v>192</v>
      </c>
      <c r="Z326" s="42"/>
      <c r="AA326" s="67"/>
      <c r="AB326" s="67"/>
      <c r="AC326" s="67"/>
    </row>
    <row r="327" spans="1:68" ht="14.25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72</v>
      </c>
      <c r="Y384" s="55">
        <f>IFERROR(IF(X384="",0,CEILING((X384/$H384),1)*$H384),"")</f>
        <v>72</v>
      </c>
      <c r="Z384" s="41">
        <f>IFERROR(IF(Y384=0,"",ROUNDUP(Y384/H384,0)*0.01898),"")</f>
        <v>0.15184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75.951999999999998</v>
      </c>
      <c r="BN384" s="78">
        <f>IFERROR(Y384*I384/H384,"0")</f>
        <v>75.951999999999998</v>
      </c>
      <c r="BO384" s="78">
        <f>IFERROR(1/J384*(X384/H384),"0")</f>
        <v>0.125</v>
      </c>
      <c r="BP384" s="78">
        <f>IFERROR(1/J384*(Y384/H384),"0")</f>
        <v>0.125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22</v>
      </c>
      <c r="Y387" s="43">
        <f>IFERROR(Y384/H384,"0")+IFERROR(Y385/H385,"0")+IFERROR(Y386/H386,"0")</f>
        <v>22</v>
      </c>
      <c r="Z387" s="43">
        <f>IFERROR(IF(Z384="",0,Z384),"0")+IFERROR(IF(Z385="",0,Z385),"0")+IFERROR(IF(Z386="",0,Z386),"0")</f>
        <v>0.24298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105.6</v>
      </c>
      <c r="Y388" s="43">
        <f>IFERROR(SUM(Y384:Y386),"0")</f>
        <v>105.6</v>
      </c>
      <c r="Z388" s="42"/>
      <c r="AA388" s="67"/>
      <c r="AB388" s="67"/>
      <c r="AC388" s="67"/>
    </row>
    <row r="389" spans="1:68" ht="27.75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126.72</v>
      </c>
      <c r="Y433" s="55">
        <f t="shared" si="48"/>
        <v>126.72</v>
      </c>
      <c r="Z433" s="41">
        <f t="shared" si="49"/>
        <v>0.28704000000000002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135.11999999999998</v>
      </c>
      <c r="BN433" s="78">
        <f t="shared" si="51"/>
        <v>135.11999999999998</v>
      </c>
      <c r="BO433" s="78">
        <f t="shared" si="52"/>
        <v>0.23076923076923078</v>
      </c>
      <c r="BP433" s="78">
        <f t="shared" si="53"/>
        <v>0.23076923076923078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211.2</v>
      </c>
      <c r="Y440" s="43">
        <f>IFERROR(SUM(Y427:Y438),"0")</f>
        <v>211.2</v>
      </c>
      <c r="Z440" s="42"/>
      <c r="AA440" s="67"/>
      <c r="AB440" s="67"/>
      <c r="AC440" s="67"/>
    </row>
    <row r="441" spans="1:68" ht="14.25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1465.92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1465.92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1541.2319999999997</v>
      </c>
      <c r="Y489" s="43">
        <f>IFERROR(SUM(BN22:BN485),"0")</f>
        <v>1541.2319999999997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3</v>
      </c>
      <c r="Y490" s="44">
        <f>ROUNDUP(SUM(BP22:BP485),0)</f>
        <v>3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1616.2319999999997</v>
      </c>
      <c r="Y491" s="43">
        <f>GrossWeightTotalR+PalletQtyTotalR*25</f>
        <v>1616.2319999999997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182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182</v>
      </c>
      <c r="Z492" s="42"/>
      <c r="AA492" s="67"/>
      <c r="AB492" s="67"/>
      <c r="AC492" s="67"/>
    </row>
    <row r="493" spans="1:68" ht="14.25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2.9191400000000005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151.19999999999999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192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105.6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337.92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