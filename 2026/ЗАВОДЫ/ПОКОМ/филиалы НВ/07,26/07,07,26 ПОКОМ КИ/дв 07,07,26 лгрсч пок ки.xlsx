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C1325AF6-D815-4333-8837-01635E7EF5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Sheet!$A$3:$AF$124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5" i="1" l="1"/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6" i="1"/>
  <c r="AF11" i="1"/>
  <c r="AF12" i="1"/>
  <c r="AF14" i="1"/>
  <c r="AF15" i="1"/>
  <c r="AF17" i="1"/>
  <c r="AF19" i="1"/>
  <c r="AF20" i="1"/>
  <c r="AF21" i="1"/>
  <c r="AF27" i="1"/>
  <c r="AF28" i="1"/>
  <c r="AF30" i="1"/>
  <c r="AF31" i="1"/>
  <c r="AF33" i="1"/>
  <c r="AF38" i="1"/>
  <c r="AF40" i="1"/>
  <c r="AF42" i="1"/>
  <c r="AF45" i="1"/>
  <c r="AF53" i="1"/>
  <c r="AF56" i="1"/>
  <c r="AF59" i="1"/>
  <c r="AF62" i="1"/>
  <c r="AF67" i="1"/>
  <c r="AF69" i="1"/>
  <c r="AF70" i="1"/>
  <c r="AF71" i="1"/>
  <c r="AF72" i="1"/>
  <c r="AF75" i="1"/>
  <c r="AF77" i="1"/>
  <c r="AF80" i="1"/>
  <c r="AF83" i="1"/>
  <c r="AF85" i="1"/>
  <c r="AF86" i="1"/>
  <c r="AF97" i="1"/>
  <c r="AF98" i="1"/>
  <c r="AF99" i="1"/>
  <c r="AF100" i="1"/>
  <c r="AF102" i="1"/>
  <c r="AF103" i="1"/>
  <c r="AF106" i="1"/>
  <c r="AF108" i="1"/>
  <c r="AF110" i="1"/>
  <c r="AF113" i="1"/>
  <c r="AF114" i="1"/>
  <c r="AF116" i="1"/>
  <c r="AF117" i="1"/>
  <c r="AF118" i="1"/>
  <c r="AF121" i="1"/>
  <c r="AF124" i="1"/>
  <c r="AF6" i="1"/>
  <c r="T5" i="1"/>
  <c r="AG5" i="1" l="1"/>
  <c r="R33" i="1"/>
  <c r="U33" i="1" s="1"/>
  <c r="R124" i="1" l="1"/>
  <c r="L124" i="1"/>
  <c r="R123" i="1"/>
  <c r="S123" i="1" s="1"/>
  <c r="L123" i="1"/>
  <c r="R122" i="1"/>
  <c r="L122" i="1"/>
  <c r="R121" i="1"/>
  <c r="U121" i="1" s="1"/>
  <c r="L121" i="1"/>
  <c r="R120" i="1"/>
  <c r="L120" i="1"/>
  <c r="R119" i="1"/>
  <c r="L119" i="1"/>
  <c r="F118" i="1"/>
  <c r="E118" i="1"/>
  <c r="R118" i="1" s="1"/>
  <c r="R117" i="1"/>
  <c r="U117" i="1" s="1"/>
  <c r="L117" i="1"/>
  <c r="R116" i="1"/>
  <c r="U116" i="1" s="1"/>
  <c r="L116" i="1"/>
  <c r="R115" i="1"/>
  <c r="L115" i="1"/>
  <c r="R114" i="1"/>
  <c r="U114" i="1" s="1"/>
  <c r="L114" i="1"/>
  <c r="R113" i="1"/>
  <c r="U113" i="1" s="1"/>
  <c r="L113" i="1"/>
  <c r="R112" i="1"/>
  <c r="L112" i="1"/>
  <c r="R111" i="1"/>
  <c r="L111" i="1"/>
  <c r="R110" i="1"/>
  <c r="U110" i="1" s="1"/>
  <c r="L110" i="1"/>
  <c r="R109" i="1"/>
  <c r="L109" i="1"/>
  <c r="R108" i="1"/>
  <c r="U108" i="1" s="1"/>
  <c r="L108" i="1"/>
  <c r="R107" i="1"/>
  <c r="L107" i="1"/>
  <c r="R106" i="1"/>
  <c r="U106" i="1" s="1"/>
  <c r="L106" i="1"/>
  <c r="R105" i="1"/>
  <c r="L105" i="1"/>
  <c r="R104" i="1"/>
  <c r="L104" i="1"/>
  <c r="R103" i="1"/>
  <c r="U103" i="1" s="1"/>
  <c r="L103" i="1"/>
  <c r="R102" i="1"/>
  <c r="U102" i="1" s="1"/>
  <c r="L102" i="1"/>
  <c r="R101" i="1"/>
  <c r="S101" i="1" s="1"/>
  <c r="L101" i="1"/>
  <c r="R100" i="1"/>
  <c r="U100" i="1" s="1"/>
  <c r="L100" i="1"/>
  <c r="R99" i="1"/>
  <c r="U99" i="1" s="1"/>
  <c r="L99" i="1"/>
  <c r="R98" i="1"/>
  <c r="U98" i="1" s="1"/>
  <c r="L98" i="1"/>
  <c r="R97" i="1"/>
  <c r="U97" i="1" s="1"/>
  <c r="L97" i="1"/>
  <c r="R96" i="1"/>
  <c r="L96" i="1"/>
  <c r="R95" i="1"/>
  <c r="L95" i="1"/>
  <c r="R94" i="1"/>
  <c r="L94" i="1"/>
  <c r="R93" i="1"/>
  <c r="L93" i="1"/>
  <c r="F93" i="1"/>
  <c r="R92" i="1"/>
  <c r="L92" i="1"/>
  <c r="R91" i="1"/>
  <c r="L91" i="1"/>
  <c r="R90" i="1"/>
  <c r="S90" i="1" s="1"/>
  <c r="L90" i="1"/>
  <c r="R89" i="1"/>
  <c r="L89" i="1"/>
  <c r="R88" i="1"/>
  <c r="L88" i="1"/>
  <c r="R87" i="1"/>
  <c r="L87" i="1"/>
  <c r="R86" i="1"/>
  <c r="U86" i="1" s="1"/>
  <c r="L86" i="1"/>
  <c r="R85" i="1"/>
  <c r="U85" i="1" s="1"/>
  <c r="L85" i="1"/>
  <c r="R84" i="1"/>
  <c r="L84" i="1"/>
  <c r="R83" i="1"/>
  <c r="U83" i="1" s="1"/>
  <c r="L83" i="1"/>
  <c r="R82" i="1"/>
  <c r="L82" i="1"/>
  <c r="R81" i="1"/>
  <c r="S81" i="1" s="1"/>
  <c r="L81" i="1"/>
  <c r="R80" i="1"/>
  <c r="U80" i="1" s="1"/>
  <c r="L80" i="1"/>
  <c r="R79" i="1"/>
  <c r="L79" i="1"/>
  <c r="R78" i="1"/>
  <c r="L78" i="1"/>
  <c r="R77" i="1"/>
  <c r="U77" i="1" s="1"/>
  <c r="L77" i="1"/>
  <c r="R76" i="1"/>
  <c r="L76" i="1"/>
  <c r="R75" i="1"/>
  <c r="U75" i="1" s="1"/>
  <c r="L75" i="1"/>
  <c r="R74" i="1"/>
  <c r="L74" i="1"/>
  <c r="R73" i="1"/>
  <c r="L73" i="1"/>
  <c r="R72" i="1"/>
  <c r="U72" i="1" s="1"/>
  <c r="L72" i="1"/>
  <c r="R71" i="1"/>
  <c r="U71" i="1" s="1"/>
  <c r="L71" i="1"/>
  <c r="R70" i="1"/>
  <c r="U70" i="1" s="1"/>
  <c r="L70" i="1"/>
  <c r="R69" i="1"/>
  <c r="U69" i="1" s="1"/>
  <c r="L69" i="1"/>
  <c r="R68" i="1"/>
  <c r="L68" i="1"/>
  <c r="R67" i="1"/>
  <c r="U67" i="1" s="1"/>
  <c r="L67" i="1"/>
  <c r="R66" i="1"/>
  <c r="S66" i="1" s="1"/>
  <c r="L66" i="1"/>
  <c r="R65" i="1"/>
  <c r="L65" i="1"/>
  <c r="R64" i="1"/>
  <c r="L64" i="1"/>
  <c r="R63" i="1"/>
  <c r="L63" i="1"/>
  <c r="R62" i="1"/>
  <c r="U62" i="1" s="1"/>
  <c r="L62" i="1"/>
  <c r="R61" i="1"/>
  <c r="L61" i="1"/>
  <c r="R60" i="1"/>
  <c r="L60" i="1"/>
  <c r="R59" i="1"/>
  <c r="U59" i="1" s="1"/>
  <c r="L59" i="1"/>
  <c r="R58" i="1"/>
  <c r="L58" i="1"/>
  <c r="R57" i="1"/>
  <c r="S57" i="1" s="1"/>
  <c r="L57" i="1"/>
  <c r="R56" i="1"/>
  <c r="U56" i="1" s="1"/>
  <c r="L56" i="1"/>
  <c r="R55" i="1"/>
  <c r="L55" i="1"/>
  <c r="R54" i="1"/>
  <c r="L54" i="1"/>
  <c r="R53" i="1"/>
  <c r="U53" i="1" s="1"/>
  <c r="L53" i="1"/>
  <c r="R52" i="1"/>
  <c r="L52" i="1"/>
  <c r="R51" i="1"/>
  <c r="L51" i="1"/>
  <c r="R50" i="1"/>
  <c r="S50" i="1" s="1"/>
  <c r="L50" i="1"/>
  <c r="R49" i="1"/>
  <c r="L49" i="1"/>
  <c r="R48" i="1"/>
  <c r="L48" i="1"/>
  <c r="R47" i="1"/>
  <c r="L47" i="1"/>
  <c r="R46" i="1"/>
  <c r="L46" i="1"/>
  <c r="R45" i="1"/>
  <c r="U45" i="1" s="1"/>
  <c r="L45" i="1"/>
  <c r="R44" i="1"/>
  <c r="L44" i="1"/>
  <c r="R43" i="1"/>
  <c r="L43" i="1"/>
  <c r="R42" i="1"/>
  <c r="U42" i="1" s="1"/>
  <c r="L42" i="1"/>
  <c r="R41" i="1"/>
  <c r="L41" i="1"/>
  <c r="R40" i="1"/>
  <c r="U40" i="1" s="1"/>
  <c r="L40" i="1"/>
  <c r="R39" i="1"/>
  <c r="L39" i="1"/>
  <c r="R38" i="1"/>
  <c r="U38" i="1" s="1"/>
  <c r="L38" i="1"/>
  <c r="R37" i="1"/>
  <c r="L37" i="1"/>
  <c r="R36" i="1"/>
  <c r="L36" i="1"/>
  <c r="R35" i="1"/>
  <c r="L35" i="1"/>
  <c r="R34" i="1"/>
  <c r="L34" i="1"/>
  <c r="L33" i="1"/>
  <c r="R32" i="1"/>
  <c r="S32" i="1" s="1"/>
  <c r="L32" i="1"/>
  <c r="R31" i="1"/>
  <c r="U31" i="1" s="1"/>
  <c r="L31" i="1"/>
  <c r="R30" i="1"/>
  <c r="U30" i="1" s="1"/>
  <c r="L30" i="1"/>
  <c r="R29" i="1"/>
  <c r="L29" i="1"/>
  <c r="R28" i="1"/>
  <c r="U28" i="1" s="1"/>
  <c r="L28" i="1"/>
  <c r="R27" i="1"/>
  <c r="L27" i="1"/>
  <c r="R26" i="1"/>
  <c r="L26" i="1"/>
  <c r="R25" i="1"/>
  <c r="L25" i="1"/>
  <c r="R24" i="1"/>
  <c r="L24" i="1"/>
  <c r="R23" i="1"/>
  <c r="S23" i="1" s="1"/>
  <c r="L23" i="1"/>
  <c r="R22" i="1"/>
  <c r="L22" i="1"/>
  <c r="R21" i="1"/>
  <c r="U21" i="1" s="1"/>
  <c r="L21" i="1"/>
  <c r="R20" i="1"/>
  <c r="U20" i="1" s="1"/>
  <c r="L20" i="1"/>
  <c r="R19" i="1"/>
  <c r="U19" i="1" s="1"/>
  <c r="L19" i="1"/>
  <c r="R18" i="1"/>
  <c r="L18" i="1"/>
  <c r="R17" i="1"/>
  <c r="U17" i="1" s="1"/>
  <c r="L17" i="1"/>
  <c r="R16" i="1"/>
  <c r="L16" i="1"/>
  <c r="R15" i="1"/>
  <c r="L15" i="1"/>
  <c r="R14" i="1"/>
  <c r="U14" i="1" s="1"/>
  <c r="L14" i="1"/>
  <c r="R13" i="1"/>
  <c r="L13" i="1"/>
  <c r="R12" i="1"/>
  <c r="L12" i="1"/>
  <c r="R11" i="1"/>
  <c r="U11" i="1" s="1"/>
  <c r="L11" i="1"/>
  <c r="R10" i="1"/>
  <c r="L10" i="1"/>
  <c r="R9" i="1"/>
  <c r="L9" i="1"/>
  <c r="R8" i="1"/>
  <c r="L8" i="1"/>
  <c r="R7" i="1"/>
  <c r="L7" i="1"/>
  <c r="R6" i="1"/>
  <c r="U6" i="1" s="1"/>
  <c r="L6" i="1"/>
  <c r="AD5" i="1"/>
  <c r="AC5" i="1"/>
  <c r="AB5" i="1"/>
  <c r="AA5" i="1"/>
  <c r="Z5" i="1"/>
  <c r="Y5" i="1"/>
  <c r="X5" i="1"/>
  <c r="W5" i="1"/>
  <c r="P5" i="1"/>
  <c r="O5" i="1"/>
  <c r="N5" i="1"/>
  <c r="M5" i="1"/>
  <c r="K5" i="1"/>
  <c r="E5" i="1"/>
  <c r="U118" i="1" l="1"/>
  <c r="V12" i="1"/>
  <c r="U12" i="1"/>
  <c r="V15" i="1"/>
  <c r="U15" i="1"/>
  <c r="AF23" i="1"/>
  <c r="U23" i="1"/>
  <c r="V27" i="1"/>
  <c r="U27" i="1"/>
  <c r="U32" i="1"/>
  <c r="AF32" i="1"/>
  <c r="AF101" i="1"/>
  <c r="U101" i="1"/>
  <c r="AF123" i="1"/>
  <c r="U123" i="1"/>
  <c r="V124" i="1"/>
  <c r="U124" i="1"/>
  <c r="F5" i="1"/>
  <c r="U50" i="1"/>
  <c r="AF50" i="1"/>
  <c r="AF57" i="1"/>
  <c r="U57" i="1"/>
  <c r="U66" i="1"/>
  <c r="AF66" i="1"/>
  <c r="AF81" i="1"/>
  <c r="U81" i="1"/>
  <c r="U90" i="1"/>
  <c r="AF90" i="1"/>
  <c r="S93" i="1"/>
  <c r="AF93" i="1" s="1"/>
  <c r="V118" i="1"/>
  <c r="V6" i="1"/>
  <c r="V8" i="1"/>
  <c r="S8" i="1"/>
  <c r="V10" i="1"/>
  <c r="S10" i="1"/>
  <c r="V13" i="1"/>
  <c r="S13" i="1"/>
  <c r="V21" i="1"/>
  <c r="S24" i="1"/>
  <c r="V28" i="1"/>
  <c r="V34" i="1"/>
  <c r="S34" i="1"/>
  <c r="S37" i="1"/>
  <c r="V44" i="1"/>
  <c r="S44" i="1"/>
  <c r="S47" i="1"/>
  <c r="V50" i="1"/>
  <c r="V60" i="1"/>
  <c r="S60" i="1"/>
  <c r="S63" i="1"/>
  <c r="V66" i="1"/>
  <c r="V76" i="1"/>
  <c r="S76" i="1"/>
  <c r="S79" i="1"/>
  <c r="V82" i="1"/>
  <c r="S82" i="1"/>
  <c r="V87" i="1"/>
  <c r="S87" i="1"/>
  <c r="V91" i="1"/>
  <c r="S91" i="1"/>
  <c r="V96" i="1"/>
  <c r="S96" i="1"/>
  <c r="V102" i="1"/>
  <c r="S105" i="1"/>
  <c r="V112" i="1"/>
  <c r="S112" i="1"/>
  <c r="S115" i="1"/>
  <c r="V122" i="1"/>
  <c r="S122" i="1"/>
  <c r="V7" i="1"/>
  <c r="S7" i="1"/>
  <c r="S9" i="1"/>
  <c r="V18" i="1"/>
  <c r="S18" i="1"/>
  <c r="S22" i="1"/>
  <c r="S29" i="1"/>
  <c r="V36" i="1"/>
  <c r="S36" i="1"/>
  <c r="S39" i="1"/>
  <c r="V42" i="1"/>
  <c r="V52" i="1"/>
  <c r="S52" i="1"/>
  <c r="S55" i="1"/>
  <c r="V58" i="1"/>
  <c r="S58" i="1"/>
  <c r="S61" i="1"/>
  <c r="V68" i="1"/>
  <c r="S68" i="1"/>
  <c r="V74" i="1"/>
  <c r="S74" i="1"/>
  <c r="V85" i="1"/>
  <c r="V89" i="1"/>
  <c r="S89" i="1"/>
  <c r="V94" i="1"/>
  <c r="S94" i="1"/>
  <c r="V104" i="1"/>
  <c r="S104" i="1"/>
  <c r="S107" i="1"/>
  <c r="V110" i="1"/>
  <c r="V120" i="1"/>
  <c r="S120" i="1"/>
  <c r="V16" i="1"/>
  <c r="S16" i="1"/>
  <c r="V23" i="1"/>
  <c r="V25" i="1"/>
  <c r="S25" i="1"/>
  <c r="S26" i="1"/>
  <c r="V30" i="1"/>
  <c r="V32" i="1"/>
  <c r="S35" i="1"/>
  <c r="V38" i="1"/>
  <c r="V40" i="1"/>
  <c r="S41" i="1"/>
  <c r="S43" i="1"/>
  <c r="V46" i="1"/>
  <c r="S46" i="1"/>
  <c r="V48" i="1"/>
  <c r="S48" i="1"/>
  <c r="S49" i="1"/>
  <c r="S51" i="1"/>
  <c r="V54" i="1"/>
  <c r="S54" i="1"/>
  <c r="V56" i="1"/>
  <c r="V62" i="1"/>
  <c r="V64" i="1"/>
  <c r="S64" i="1"/>
  <c r="S65" i="1"/>
  <c r="V70" i="1"/>
  <c r="V72" i="1"/>
  <c r="S73" i="1"/>
  <c r="V78" i="1"/>
  <c r="S78" i="1"/>
  <c r="V80" i="1"/>
  <c r="S84" i="1"/>
  <c r="S88" i="1"/>
  <c r="S92" i="1"/>
  <c r="S95" i="1"/>
  <c r="V98" i="1"/>
  <c r="V100" i="1"/>
  <c r="V106" i="1"/>
  <c r="V108" i="1"/>
  <c r="S109" i="1"/>
  <c r="S111" i="1"/>
  <c r="V114" i="1"/>
  <c r="V116" i="1"/>
  <c r="S119" i="1"/>
  <c r="V9" i="1"/>
  <c r="V11" i="1"/>
  <c r="V84" i="1"/>
  <c r="V86" i="1"/>
  <c r="V88" i="1"/>
  <c r="V90" i="1"/>
  <c r="V92" i="1"/>
  <c r="V119" i="1"/>
  <c r="V121" i="1"/>
  <c r="V123" i="1"/>
  <c r="R5" i="1"/>
  <c r="V14" i="1"/>
  <c r="V17" i="1"/>
  <c r="V19" i="1"/>
  <c r="V20" i="1"/>
  <c r="V22" i="1"/>
  <c r="V24" i="1"/>
  <c r="V26" i="1"/>
  <c r="V29" i="1"/>
  <c r="V31" i="1"/>
  <c r="V33" i="1"/>
  <c r="V35" i="1"/>
  <c r="V37" i="1"/>
  <c r="V39" i="1"/>
  <c r="V41" i="1"/>
  <c r="V43" i="1"/>
  <c r="V45" i="1"/>
  <c r="V47" i="1"/>
  <c r="V49" i="1"/>
  <c r="V51" i="1"/>
  <c r="V53" i="1"/>
  <c r="V55" i="1"/>
  <c r="V57" i="1"/>
  <c r="V59" i="1"/>
  <c r="V61" i="1"/>
  <c r="V63" i="1"/>
  <c r="V65" i="1"/>
  <c r="V67" i="1"/>
  <c r="V69" i="1"/>
  <c r="V71" i="1"/>
  <c r="V73" i="1"/>
  <c r="V75" i="1"/>
  <c r="V77" i="1"/>
  <c r="V79" i="1"/>
  <c r="V81" i="1"/>
  <c r="V83" i="1"/>
  <c r="V93" i="1"/>
  <c r="V95" i="1"/>
  <c r="V97" i="1"/>
  <c r="V99" i="1"/>
  <c r="V101" i="1"/>
  <c r="V103" i="1"/>
  <c r="V105" i="1"/>
  <c r="V107" i="1"/>
  <c r="V109" i="1"/>
  <c r="V111" i="1"/>
  <c r="V113" i="1"/>
  <c r="V115" i="1"/>
  <c r="V117" i="1"/>
  <c r="L118" i="1"/>
  <c r="L5" i="1" s="1"/>
  <c r="AF119" i="1" l="1"/>
  <c r="U119" i="1"/>
  <c r="AF109" i="1"/>
  <c r="U109" i="1"/>
  <c r="U92" i="1"/>
  <c r="AF92" i="1"/>
  <c r="U84" i="1"/>
  <c r="AF84" i="1"/>
  <c r="U78" i="1"/>
  <c r="AF78" i="1"/>
  <c r="AF73" i="1"/>
  <c r="U73" i="1"/>
  <c r="U64" i="1"/>
  <c r="AF64" i="1"/>
  <c r="U54" i="1"/>
  <c r="AF54" i="1"/>
  <c r="AF51" i="1"/>
  <c r="U51" i="1"/>
  <c r="U48" i="1"/>
  <c r="AF48" i="1"/>
  <c r="U46" i="1"/>
  <c r="AF46" i="1"/>
  <c r="AF43" i="1"/>
  <c r="U43" i="1"/>
  <c r="AF35" i="1"/>
  <c r="U35" i="1"/>
  <c r="AF25" i="1"/>
  <c r="U25" i="1"/>
  <c r="AF107" i="1"/>
  <c r="U107" i="1"/>
  <c r="U74" i="1"/>
  <c r="AF74" i="1"/>
  <c r="U68" i="1"/>
  <c r="AF68" i="1"/>
  <c r="AF61" i="1"/>
  <c r="U61" i="1"/>
  <c r="U52" i="1"/>
  <c r="AF52" i="1"/>
  <c r="U36" i="1"/>
  <c r="AF36" i="1"/>
  <c r="AF29" i="1"/>
  <c r="U29" i="1"/>
  <c r="U18" i="1"/>
  <c r="AF18" i="1"/>
  <c r="AF9" i="1"/>
  <c r="U9" i="1"/>
  <c r="AF112" i="1"/>
  <c r="U112" i="1"/>
  <c r="AF105" i="1"/>
  <c r="U105" i="1"/>
  <c r="U96" i="1"/>
  <c r="AF96" i="1"/>
  <c r="AF91" i="1"/>
  <c r="U91" i="1"/>
  <c r="AF87" i="1"/>
  <c r="U87" i="1"/>
  <c r="U82" i="1"/>
  <c r="AF82" i="1"/>
  <c r="AF79" i="1"/>
  <c r="U79" i="1"/>
  <c r="AF63" i="1"/>
  <c r="U63" i="1"/>
  <c r="AF47" i="1"/>
  <c r="U47" i="1"/>
  <c r="U34" i="1"/>
  <c r="AF34" i="1"/>
  <c r="AF111" i="1"/>
  <c r="U111" i="1"/>
  <c r="AF95" i="1"/>
  <c r="U95" i="1"/>
  <c r="U88" i="1"/>
  <c r="AF88" i="1"/>
  <c r="AF65" i="1"/>
  <c r="U65" i="1"/>
  <c r="AF49" i="1"/>
  <c r="U49" i="1"/>
  <c r="AF41" i="1"/>
  <c r="U41" i="1"/>
  <c r="U26" i="1"/>
  <c r="AF26" i="1"/>
  <c r="U16" i="1"/>
  <c r="AF16" i="1"/>
  <c r="AF120" i="1"/>
  <c r="U120" i="1"/>
  <c r="U104" i="1"/>
  <c r="AF104" i="1"/>
  <c r="U94" i="1"/>
  <c r="AF94" i="1"/>
  <c r="AF89" i="1"/>
  <c r="U89" i="1"/>
  <c r="U58" i="1"/>
  <c r="AF58" i="1"/>
  <c r="AF55" i="1"/>
  <c r="U55" i="1"/>
  <c r="AF39" i="1"/>
  <c r="U39" i="1"/>
  <c r="U22" i="1"/>
  <c r="AF22" i="1"/>
  <c r="AF7" i="1"/>
  <c r="U7" i="1"/>
  <c r="AF122" i="1"/>
  <c r="U122" i="1"/>
  <c r="AF115" i="1"/>
  <c r="U115" i="1"/>
  <c r="U76" i="1"/>
  <c r="AF76" i="1"/>
  <c r="U60" i="1"/>
  <c r="AF60" i="1"/>
  <c r="U44" i="1"/>
  <c r="AF44" i="1"/>
  <c r="AF37" i="1"/>
  <c r="U37" i="1"/>
  <c r="U24" i="1"/>
  <c r="AF24" i="1"/>
  <c r="AF13" i="1"/>
  <c r="U13" i="1"/>
  <c r="U10" i="1"/>
  <c r="AF10" i="1"/>
  <c r="U8" i="1"/>
  <c r="AF8" i="1"/>
  <c r="U93" i="1"/>
  <c r="S5" i="1"/>
  <c r="AF5" i="1" l="1"/>
</calcChain>
</file>

<file path=xl/sharedStrings.xml><?xml version="1.0" encoding="utf-8"?>
<sst xmlns="http://schemas.openxmlformats.org/spreadsheetml/2006/main" count="423" uniqueCount="281">
  <si>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</si>
  <si>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</si>
  <si>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</si>
  <si>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</si>
  <si>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</si>
  <si>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</si>
  <si>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</si>
  <si>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</si>
  <si>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</si>
  <si>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</si>
  <si>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</si>
  <si>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</si>
  <si>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</si>
  <si>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</si>
  <si>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</si>
  <si>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</si>
  <si>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</si>
  <si>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</si>
  <si>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</si>
  <si>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</si>
  <si>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</si>
  <si>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06,07,</t>
  </si>
  <si>
    <t>07,07,</t>
  </si>
  <si>
    <t>02,07,</t>
  </si>
  <si>
    <t>30,06,</t>
  </si>
  <si>
    <t>25,06,</t>
  </si>
  <si>
    <t>23,06,</t>
  </si>
  <si>
    <t>18,06,</t>
  </si>
  <si>
    <t>11,06,</t>
  </si>
  <si>
    <t>04,06,</t>
  </si>
  <si>
    <t>28,05,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</si>
  <si>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</si>
  <si>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</si>
  <si>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</si>
  <si>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</si>
  <si>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</si>
  <si>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</si>
  <si>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</si>
  <si>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</si>
  <si>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</si>
  <si>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</si>
  <si>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</si>
  <si>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</si>
  <si>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</si>
  <si>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</si>
  <si>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</si>
  <si>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</si>
  <si>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</si>
  <si>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</si>
  <si>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</si>
  <si>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107  Сосиски С сыром,  0.33кг,ядрена копоть ПОКОМ</t>
  </si>
  <si>
    <t>пересорт</t>
  </si>
  <si>
    <t xml:space="preserve"> 517  Сосиски С сыром ТМ Ядрена копоть 0,3кг  ПОКОМ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</si>
  <si>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</si>
  <si>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</si>
  <si>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</si>
  <si>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</si>
  <si>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</si>
  <si>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</si>
  <si>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</si>
  <si>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</si>
  <si>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</si>
  <si>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</si>
  <si>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</si>
  <si>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</si>
  <si>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</si>
  <si>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</si>
  <si>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</si>
  <si>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</si>
  <si>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</si>
  <si>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</si>
  <si>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</si>
  <si>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</si>
  <si>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</si>
  <si>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</si>
  <si>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</si>
  <si>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</si>
  <si>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>нужно увеличить продажи!!!</t>
  </si>
  <si>
    <t xml:space="preserve"> 246  Колбаса Стародворская ТМ Стародворье ТС Старый двор, ПОКОМ</t>
  </si>
  <si>
    <t>не в матрице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</si>
  <si>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</si>
  <si>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</si>
  <si>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</si>
  <si>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</si>
  <si>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</si>
  <si>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</si>
  <si>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251  Сосиски Баварские, ВЕС.  ПОКОМ</t>
  </si>
  <si>
    <t>P002202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</si>
  <si>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</si>
  <si>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</si>
  <si>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</si>
  <si>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</si>
  <si>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263  Шпикачки Стародворские, ВЕС.  ПОКОМ</t>
  </si>
  <si>
    <t>P004913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</si>
  <si>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</si>
  <si>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</si>
  <si>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</si>
  <si>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</si>
  <si>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</si>
  <si>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</si>
  <si>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</si>
  <si>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</si>
  <si>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</si>
  <si>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</si>
  <si>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</si>
  <si>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</si>
  <si>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</si>
  <si>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</si>
  <si>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</si>
  <si>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</si>
  <si>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</si>
  <si>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</si>
  <si>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</si>
  <si>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</si>
  <si>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</si>
  <si>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</si>
  <si>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</si>
  <si>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</si>
  <si>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</si>
  <si>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</si>
  <si>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</si>
  <si>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</si>
  <si>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</si>
  <si>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</si>
  <si>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</si>
  <si>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</si>
  <si>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</si>
  <si>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</si>
  <si>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</si>
  <si>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</si>
  <si>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</si>
  <si>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</si>
  <si>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</si>
  <si>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</si>
  <si>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</si>
  <si>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</si>
  <si>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</si>
  <si>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</si>
  <si>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</si>
  <si>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</si>
  <si>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</si>
  <si>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</si>
  <si>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</si>
  <si>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</si>
  <si>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>нужно увеличить продажи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</si>
  <si>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</si>
  <si>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</si>
  <si>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</si>
  <si>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</si>
  <si>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</si>
  <si>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</si>
  <si>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</si>
  <si>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</si>
  <si>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</si>
  <si>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</si>
  <si>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</si>
  <si>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</si>
  <si>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</si>
  <si>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</si>
  <si>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</si>
  <si>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</si>
  <si>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</si>
  <si>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</si>
  <si>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</si>
  <si>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Р004929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</si>
  <si>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</si>
  <si>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</si>
  <si>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</si>
  <si>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</si>
  <si>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</si>
  <si>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</si>
  <si>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</si>
  <si>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</si>
  <si>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</si>
  <si>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</si>
  <si>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</si>
  <si>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</si>
  <si>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</si>
  <si>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</si>
  <si>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</si>
  <si>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</si>
  <si>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</si>
  <si>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</si>
  <si>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</si>
  <si>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</si>
  <si>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</si>
  <si>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</si>
  <si>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</si>
  <si>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</si>
  <si>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</si>
  <si>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</si>
  <si>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</si>
  <si>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</si>
  <si>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</si>
  <si>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</si>
  <si>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</si>
  <si>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</si>
  <si>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</si>
  <si>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</si>
  <si>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</si>
  <si>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</si>
  <si>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</si>
  <si>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</si>
  <si>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</si>
  <si>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</si>
  <si>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</si>
  <si>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469  Колбаса Филедворская по-стародворски ТМ Стародворье в оболочке полиамид.ВЕС  ПОКОМ </t>
  </si>
  <si>
    <t>P004206</t>
  </si>
  <si>
    <t xml:space="preserve"> 498  Колбаса Сочинка рубленая с сочным окороком 0,3кг ТМ Стародворье  ПОКОМ</t>
  </si>
  <si>
    <t>P003390</t>
  </si>
  <si>
    <t>P004642</t>
  </si>
  <si>
    <t xml:space="preserve"> 520  Колбаса Мраморная ТМ Стародворье в вакуумной упаковке 0,07 кг нарезка  ПОКОМ</t>
  </si>
  <si>
    <t>P004981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</si>
  <si>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</si>
  <si>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</si>
  <si>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</si>
  <si>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</si>
  <si>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</si>
  <si>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</si>
  <si>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</si>
  <si>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</si>
  <si>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</si>
  <si>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</si>
  <si>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</si>
  <si>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537  Колбаса Докторская ТМ Стародворье ТС Дугушка в оболочке полиамид 0,4 кг  ПОКОМ</t>
  </si>
  <si>
    <t>P004917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</si>
  <si>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</si>
  <si>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</si>
  <si>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</si>
  <si>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</si>
  <si>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552  Ветчина Сливушка с индейкой ТМ Вязанка в модифицированной газовой среде 0,1 кг нарезка  ПОКОМ</t>
  </si>
  <si>
    <t>P002639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</si>
  <si>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</si>
  <si>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</si>
  <si>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</si>
  <si>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</si>
  <si>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</si>
  <si>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</si>
  <si>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</si>
  <si>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</si>
  <si>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</si>
  <si>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</si>
  <si>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</si>
  <si>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</si>
  <si>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567 Колбаса Со шпиком Стародворская ТМ Стародворье в оболочке полиамид ВЕС  ПОКОМ</t>
  </si>
  <si>
    <t>P005136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</si>
  <si>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</si>
  <si>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</si>
  <si>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</si>
  <si>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</si>
  <si>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</si>
  <si>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</si>
  <si>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</si>
  <si>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</si>
  <si>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</si>
  <si>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</si>
  <si>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</si>
  <si>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</si>
  <si>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</si>
  <si>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</si>
  <si>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</si>
  <si>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</si>
  <si>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нужно увеличить продажи / 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</si>
  <si>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</si>
  <si>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</si>
  <si>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</si>
  <si>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</si>
  <si>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</si>
  <si>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</si>
  <si>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</si>
  <si>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</si>
  <si>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</si>
  <si>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</si>
  <si>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А_301  Сосиски Сочинки по-баварски с сыром,  0.4кг, ТМ Стародворье  ПОКОМ</t>
  </si>
  <si>
    <t>акция</t>
  </si>
  <si>
    <t>21 шт в уценку 30,06,26</t>
  </si>
  <si>
    <t>заказ</t>
  </si>
  <si>
    <t>11,07,(1)</t>
  </si>
  <si>
    <t>11,07,(2)</t>
  </si>
  <si>
    <t>перемещение Донецк</t>
  </si>
  <si>
    <t xml:space="preserve"> 485  Колбаса Молочная по-стародворски ТМ Стародворье в оболочке полиамид. ВЕС ПОКОМ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</si>
</sst>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6" width="7" customWidth="1"/>
    <col min="17" max="17" width="7" style="19" customWidth="1"/>
    <col min="18" max="20" width="7" customWidth="1"/>
    <col min="21" max="22" width="5" customWidth="1"/>
    <col min="23" max="30" width="6.7109375" customWidth="1"/>
    <col min="31" max="31" width="39.5703125" customWidth="1"/>
    <col min="32" max="33" width="7" customWidth="1"/>
    <col min="34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276</v>
      </c>
      <c r="T3" s="3" t="s">
        <v>276</v>
      </c>
      <c r="U3" s="2" t="s">
        <v>16</v>
      </c>
      <c r="V3" s="2" t="s">
        <v>17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2" t="s">
        <v>20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279</v>
      </c>
      <c r="R4" s="1" t="s">
        <v>22</v>
      </c>
      <c r="S4" s="1" t="s">
        <v>277</v>
      </c>
      <c r="T4" s="1" t="s">
        <v>278</v>
      </c>
      <c r="U4" s="1"/>
      <c r="V4" s="1"/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/>
      <c r="AF4" s="1" t="s">
        <v>277</v>
      </c>
      <c r="AG4" s="1" t="s">
        <v>278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SUM(E6:E492)</f>
        <v>51153.442000000003</v>
      </c>
      <c r="F5" s="4">
        <f>SUM(F6:F492)</f>
        <v>75476.647999999986</v>
      </c>
      <c r="G5" s="7"/>
      <c r="H5" s="1"/>
      <c r="I5" s="1"/>
      <c r="J5" s="1"/>
      <c r="K5" s="4">
        <f t="shared" ref="K5:T5" si="0">SUM(K6:K492)</f>
        <v>53127.750000000007</v>
      </c>
      <c r="L5" s="4">
        <f t="shared" si="0"/>
        <v>-1974.3080000000002</v>
      </c>
      <c r="M5" s="4">
        <f t="shared" si="0"/>
        <v>0</v>
      </c>
      <c r="N5" s="4">
        <f t="shared" si="0"/>
        <v>0</v>
      </c>
      <c r="O5" s="4">
        <f t="shared" si="0"/>
        <v>20558.372990037842</v>
      </c>
      <c r="P5" s="4">
        <f t="shared" si="0"/>
        <v>11301.308972162165</v>
      </c>
      <c r="Q5" s="4">
        <f t="shared" ref="Q5" si="1">SUM(Q6:Q492)</f>
        <v>300</v>
      </c>
      <c r="R5" s="4">
        <f t="shared" si="0"/>
        <v>10230.688399999999</v>
      </c>
      <c r="S5" s="4">
        <f t="shared" si="0"/>
        <v>12703.983064999993</v>
      </c>
      <c r="T5" s="4">
        <f t="shared" si="0"/>
        <v>6600</v>
      </c>
      <c r="U5" s="1"/>
      <c r="V5" s="1"/>
      <c r="W5" s="4">
        <f t="shared" ref="W5:AD5" si="2">SUM(W6:W492)</f>
        <v>10557.3874</v>
      </c>
      <c r="X5" s="4">
        <f t="shared" si="2"/>
        <v>11205.947200000004</v>
      </c>
      <c r="Y5" s="4">
        <f t="shared" si="2"/>
        <v>10686.677200000006</v>
      </c>
      <c r="Z5" s="4">
        <f t="shared" si="2"/>
        <v>10948.348200000002</v>
      </c>
      <c r="AA5" s="4">
        <f t="shared" si="2"/>
        <v>11385.260799999998</v>
      </c>
      <c r="AB5" s="4">
        <f t="shared" si="2"/>
        <v>10613.700400000002</v>
      </c>
      <c r="AC5" s="4">
        <f t="shared" si="2"/>
        <v>10551.016599999999</v>
      </c>
      <c r="AD5" s="4">
        <f t="shared" si="2"/>
        <v>9872.011800000002</v>
      </c>
      <c r="AE5" s="1"/>
      <c r="AF5" s="4">
        <f>SUM(AF6:AF492)</f>
        <v>8598</v>
      </c>
      <c r="AG5" s="4">
        <f>SUM(AG6:AG492)</f>
        <v>5323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31</v>
      </c>
      <c r="B6" s="1" t="s">
        <v>32</v>
      </c>
      <c r="C6" s="1">
        <v>4616.3360000000002</v>
      </c>
      <c r="D6" s="1">
        <v>2795.2959999999998</v>
      </c>
      <c r="E6" s="1">
        <v>2590.2759999999998</v>
      </c>
      <c r="F6" s="1">
        <v>4728.3239999999996</v>
      </c>
      <c r="G6" s="7">
        <v>1</v>
      </c>
      <c r="H6" s="1"/>
      <c r="I6" s="1" t="s">
        <v>33</v>
      </c>
      <c r="J6" s="1"/>
      <c r="K6" s="1">
        <v>2531.6999999999998</v>
      </c>
      <c r="L6" s="1">
        <f t="shared" ref="L6:L37" si="3">E6-K6</f>
        <v>58.576000000000022</v>
      </c>
      <c r="M6" s="1"/>
      <c r="N6" s="1"/>
      <c r="O6" s="1">
        <v>1004.963894702704</v>
      </c>
      <c r="P6" s="1">
        <v>823.74089729729781</v>
      </c>
      <c r="Q6" s="1"/>
      <c r="R6" s="1">
        <f t="shared" ref="R6:R37" si="4">E6/5</f>
        <v>518.05520000000001</v>
      </c>
      <c r="S6" s="5"/>
      <c r="T6" s="5"/>
      <c r="U6" s="1">
        <f>(F6+O6+P6+S6+T6)/R6</f>
        <v>12.657007963630134</v>
      </c>
      <c r="V6" s="1">
        <f t="shared" ref="V6:V37" si="5">(F6+O6+P6)/R6</f>
        <v>12.657007963630134</v>
      </c>
      <c r="W6" s="1">
        <v>649.26400000000001</v>
      </c>
      <c r="X6" s="1">
        <v>693.28</v>
      </c>
      <c r="Y6" s="1">
        <v>574.93340000000001</v>
      </c>
      <c r="Z6" s="1">
        <v>571.3528</v>
      </c>
      <c r="AA6" s="1">
        <v>644.19260000000008</v>
      </c>
      <c r="AB6" s="1">
        <v>519.64480000000003</v>
      </c>
      <c r="AC6" s="1">
        <v>522.90699999999993</v>
      </c>
      <c r="AD6" s="1">
        <v>560.63319999999999</v>
      </c>
      <c r="AE6" s="1"/>
      <c r="AF6" s="1">
        <f>ROUND(G6*S6,0)</f>
        <v>0</v>
      </c>
      <c r="AG6" s="1">
        <f>ROUND(G6*T6,0)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34</v>
      </c>
      <c r="B7" s="1" t="s">
        <v>32</v>
      </c>
      <c r="C7" s="1">
        <v>694.11</v>
      </c>
      <c r="D7" s="1">
        <v>1562.7260000000001</v>
      </c>
      <c r="E7" s="1">
        <v>1145.81</v>
      </c>
      <c r="F7" s="1">
        <v>1057.3330000000001</v>
      </c>
      <c r="G7" s="7">
        <v>1</v>
      </c>
      <c r="H7" s="1"/>
      <c r="I7" s="1" t="s">
        <v>35</v>
      </c>
      <c r="J7" s="1"/>
      <c r="K7" s="1">
        <v>1115.0999999999999</v>
      </c>
      <c r="L7" s="1">
        <f t="shared" si="3"/>
        <v>30.710000000000036</v>
      </c>
      <c r="M7" s="1"/>
      <c r="N7" s="1"/>
      <c r="O7" s="1">
        <v>744.34716145585628</v>
      </c>
      <c r="P7" s="1">
        <v>610.12062414414447</v>
      </c>
      <c r="Q7" s="1"/>
      <c r="R7" s="1">
        <f t="shared" si="4"/>
        <v>229.16199999999998</v>
      </c>
      <c r="S7" s="5">
        <f t="shared" ref="S7:S10" si="6">11*R7-P7-O7-F7</f>
        <v>108.98121439999886</v>
      </c>
      <c r="T7" s="5">
        <v>250</v>
      </c>
      <c r="U7" s="1">
        <f t="shared" ref="U7:U70" si="7">(F7+O7+P7+S7+T7)/R7</f>
        <v>12.090931306237509</v>
      </c>
      <c r="V7" s="1">
        <f t="shared" si="5"/>
        <v>10.524435925677036</v>
      </c>
      <c r="W7" s="1">
        <v>245.24719999999999</v>
      </c>
      <c r="X7" s="1">
        <v>248.6404</v>
      </c>
      <c r="Y7" s="1">
        <v>233.95959999999999</v>
      </c>
      <c r="Z7" s="1">
        <v>237.83580000000001</v>
      </c>
      <c r="AA7" s="1">
        <v>203.35040000000001</v>
      </c>
      <c r="AB7" s="1">
        <v>182.13740000000001</v>
      </c>
      <c r="AC7" s="1">
        <v>185.8854</v>
      </c>
      <c r="AD7" s="1">
        <v>186.2038</v>
      </c>
      <c r="AE7" s="1"/>
      <c r="AF7" s="1">
        <f t="shared" ref="AF7:AF70" si="8">ROUND(G7*S7,0)</f>
        <v>109</v>
      </c>
      <c r="AG7" s="1">
        <f t="shared" ref="AG7:AG70" si="9">ROUND(G7*T7,0)</f>
        <v>250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36</v>
      </c>
      <c r="B8" s="1" t="s">
        <v>32</v>
      </c>
      <c r="C8" s="1">
        <v>1167.3209999999999</v>
      </c>
      <c r="D8" s="1">
        <v>1566.521</v>
      </c>
      <c r="E8" s="1">
        <v>1169.902</v>
      </c>
      <c r="F8" s="1">
        <v>1520.1690000000001</v>
      </c>
      <c r="G8" s="7">
        <v>1</v>
      </c>
      <c r="H8" s="1"/>
      <c r="I8" s="1" t="s">
        <v>37</v>
      </c>
      <c r="J8" s="1"/>
      <c r="K8" s="1">
        <v>1150.7570000000001</v>
      </c>
      <c r="L8" s="1">
        <f t="shared" si="3"/>
        <v>19.144999999999982</v>
      </c>
      <c r="M8" s="1"/>
      <c r="N8" s="1"/>
      <c r="O8" s="1">
        <v>540.74845811891919</v>
      </c>
      <c r="P8" s="1">
        <v>443.2364410810813</v>
      </c>
      <c r="Q8" s="1"/>
      <c r="R8" s="1">
        <f t="shared" si="4"/>
        <v>233.9804</v>
      </c>
      <c r="S8" s="5">
        <f t="shared" si="6"/>
        <v>69.630500799999254</v>
      </c>
      <c r="T8" s="5">
        <v>350</v>
      </c>
      <c r="U8" s="1">
        <f t="shared" si="7"/>
        <v>12.49585178929517</v>
      </c>
      <c r="V8" s="1">
        <f t="shared" si="5"/>
        <v>10.702408830825147</v>
      </c>
      <c r="W8" s="1">
        <v>252.5744</v>
      </c>
      <c r="X8" s="1">
        <v>250.4272</v>
      </c>
      <c r="Y8" s="1">
        <v>136.15100000000001</v>
      </c>
      <c r="Z8" s="1">
        <v>145.13079999999999</v>
      </c>
      <c r="AA8" s="1">
        <v>215.2072</v>
      </c>
      <c r="AB8" s="1">
        <v>199.28120000000001</v>
      </c>
      <c r="AC8" s="1">
        <v>203.77680000000001</v>
      </c>
      <c r="AD8" s="1">
        <v>217.57159999999999</v>
      </c>
      <c r="AE8" s="1"/>
      <c r="AF8" s="1">
        <f t="shared" si="8"/>
        <v>70</v>
      </c>
      <c r="AG8" s="1">
        <f t="shared" si="9"/>
        <v>350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38</v>
      </c>
      <c r="B9" s="1" t="s">
        <v>39</v>
      </c>
      <c r="C9" s="1">
        <v>746</v>
      </c>
      <c r="D9" s="1">
        <v>678</v>
      </c>
      <c r="E9" s="1">
        <v>619</v>
      </c>
      <c r="F9" s="1">
        <v>782</v>
      </c>
      <c r="G9" s="7">
        <v>0.45</v>
      </c>
      <c r="H9" s="1"/>
      <c r="I9" s="1" t="s">
        <v>40</v>
      </c>
      <c r="J9" s="1"/>
      <c r="K9" s="1">
        <v>639</v>
      </c>
      <c r="L9" s="1">
        <f t="shared" si="3"/>
        <v>-20</v>
      </c>
      <c r="M9" s="1"/>
      <c r="N9" s="1"/>
      <c r="O9" s="1">
        <v>338.86400000000032</v>
      </c>
      <c r="P9" s="1"/>
      <c r="Q9" s="1"/>
      <c r="R9" s="1">
        <f t="shared" si="4"/>
        <v>123.8</v>
      </c>
      <c r="S9" s="5">
        <f t="shared" si="6"/>
        <v>240.93599999999969</v>
      </c>
      <c r="T9" s="5"/>
      <c r="U9" s="1">
        <f t="shared" si="7"/>
        <v>11</v>
      </c>
      <c r="V9" s="1">
        <f t="shared" si="5"/>
        <v>9.0538287560581612</v>
      </c>
      <c r="W9" s="1">
        <v>115.4</v>
      </c>
      <c r="X9" s="1">
        <v>118.8</v>
      </c>
      <c r="Y9" s="1">
        <v>111.6</v>
      </c>
      <c r="Z9" s="1">
        <v>102.4</v>
      </c>
      <c r="AA9" s="1">
        <v>102.8</v>
      </c>
      <c r="AB9" s="1">
        <v>107.2</v>
      </c>
      <c r="AC9" s="1">
        <v>111</v>
      </c>
      <c r="AD9" s="1">
        <v>107</v>
      </c>
      <c r="AE9" s="1"/>
      <c r="AF9" s="1">
        <f t="shared" si="8"/>
        <v>108</v>
      </c>
      <c r="AG9" s="1">
        <f t="shared" si="9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41</v>
      </c>
      <c r="B10" s="1" t="s">
        <v>39</v>
      </c>
      <c r="C10" s="1">
        <v>1363</v>
      </c>
      <c r="D10" s="1">
        <v>1018</v>
      </c>
      <c r="E10" s="1">
        <v>1198</v>
      </c>
      <c r="F10" s="1">
        <v>1146</v>
      </c>
      <c r="G10" s="7">
        <v>0.45</v>
      </c>
      <c r="H10" s="1"/>
      <c r="I10" s="1" t="s">
        <v>42</v>
      </c>
      <c r="J10" s="1"/>
      <c r="K10" s="1">
        <v>1221</v>
      </c>
      <c r="L10" s="1">
        <f t="shared" si="3"/>
        <v>-23</v>
      </c>
      <c r="M10" s="1"/>
      <c r="N10" s="1"/>
      <c r="O10" s="1">
        <v>349.18598198198208</v>
      </c>
      <c r="P10" s="1">
        <v>286.21801801801809</v>
      </c>
      <c r="Q10" s="1"/>
      <c r="R10" s="1">
        <f t="shared" si="4"/>
        <v>239.6</v>
      </c>
      <c r="S10" s="5">
        <f t="shared" si="6"/>
        <v>854.19599999999991</v>
      </c>
      <c r="T10" s="5">
        <v>250</v>
      </c>
      <c r="U10" s="1">
        <f t="shared" si="7"/>
        <v>12.043405676126879</v>
      </c>
      <c r="V10" s="1">
        <f t="shared" si="5"/>
        <v>7.4349081803005008</v>
      </c>
      <c r="W10" s="1">
        <v>198.8</v>
      </c>
      <c r="X10" s="1">
        <v>201.8</v>
      </c>
      <c r="Y10" s="1">
        <v>207.4</v>
      </c>
      <c r="Z10" s="1">
        <v>205.4</v>
      </c>
      <c r="AA10" s="1">
        <v>203.4</v>
      </c>
      <c r="AB10" s="1">
        <v>195</v>
      </c>
      <c r="AC10" s="1">
        <v>200.4</v>
      </c>
      <c r="AD10" s="1">
        <v>230.2</v>
      </c>
      <c r="AE10" s="1"/>
      <c r="AF10" s="1">
        <f t="shared" si="8"/>
        <v>384</v>
      </c>
      <c r="AG10" s="1">
        <f t="shared" si="9"/>
        <v>113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39</v>
      </c>
      <c r="C11" s="1">
        <v>98</v>
      </c>
      <c r="D11" s="1">
        <v>165</v>
      </c>
      <c r="E11" s="1">
        <v>43</v>
      </c>
      <c r="F11" s="1">
        <v>219</v>
      </c>
      <c r="G11" s="7">
        <v>0.17</v>
      </c>
      <c r="H11" s="1"/>
      <c r="I11" s="1" t="s">
        <v>44</v>
      </c>
      <c r="J11" s="1"/>
      <c r="K11" s="1">
        <v>43</v>
      </c>
      <c r="L11" s="1">
        <f t="shared" si="3"/>
        <v>0</v>
      </c>
      <c r="M11" s="1"/>
      <c r="N11" s="1"/>
      <c r="O11" s="1"/>
      <c r="P11" s="1"/>
      <c r="Q11" s="1"/>
      <c r="R11" s="1">
        <f t="shared" si="4"/>
        <v>8.6</v>
      </c>
      <c r="S11" s="5"/>
      <c r="T11" s="5"/>
      <c r="U11" s="1">
        <f t="shared" si="7"/>
        <v>25.465116279069768</v>
      </c>
      <c r="V11" s="1">
        <f t="shared" si="5"/>
        <v>25.465116279069768</v>
      </c>
      <c r="W11" s="1">
        <v>18.2</v>
      </c>
      <c r="X11" s="1">
        <v>20.6</v>
      </c>
      <c r="Y11" s="1">
        <v>16</v>
      </c>
      <c r="Z11" s="1">
        <v>15</v>
      </c>
      <c r="AA11" s="1">
        <v>21.2</v>
      </c>
      <c r="AB11" s="1">
        <v>10</v>
      </c>
      <c r="AC11" s="1">
        <v>12.8</v>
      </c>
      <c r="AD11" s="1">
        <v>13.4</v>
      </c>
      <c r="AE11" s="13" t="s">
        <v>144</v>
      </c>
      <c r="AF11" s="1">
        <f t="shared" si="8"/>
        <v>0</v>
      </c>
      <c r="AG11" s="1">
        <f t="shared" si="9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9" t="s">
        <v>45</v>
      </c>
      <c r="B12" s="9" t="s">
        <v>39</v>
      </c>
      <c r="C12" s="9">
        <v>-47</v>
      </c>
      <c r="D12" s="9"/>
      <c r="E12" s="9"/>
      <c r="F12" s="9">
        <v>-47</v>
      </c>
      <c r="G12" s="10">
        <v>0</v>
      </c>
      <c r="H12" s="9"/>
      <c r="I12" s="9"/>
      <c r="J12" s="9"/>
      <c r="K12" s="9"/>
      <c r="L12" s="9">
        <f t="shared" si="3"/>
        <v>0</v>
      </c>
      <c r="M12" s="9"/>
      <c r="N12" s="9"/>
      <c r="O12" s="9"/>
      <c r="P12" s="9"/>
      <c r="Q12" s="9"/>
      <c r="R12" s="9">
        <f t="shared" si="4"/>
        <v>0</v>
      </c>
      <c r="S12" s="11"/>
      <c r="T12" s="11"/>
      <c r="U12" s="1" t="e">
        <f t="shared" si="7"/>
        <v>#DIV/0!</v>
      </c>
      <c r="V12" s="9" t="e">
        <f t="shared" si="5"/>
        <v>#DIV/0!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/>
      <c r="AF12" s="1">
        <f t="shared" si="8"/>
        <v>0</v>
      </c>
      <c r="AG12" s="1">
        <f t="shared" si="9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39</v>
      </c>
      <c r="C13" s="1">
        <v>144</v>
      </c>
      <c r="D13" s="1">
        <v>12</v>
      </c>
      <c r="E13" s="1">
        <v>54</v>
      </c>
      <c r="F13" s="1">
        <v>85</v>
      </c>
      <c r="G13" s="7">
        <v>0.3</v>
      </c>
      <c r="H13" s="1"/>
      <c r="I13" s="1" t="s">
        <v>47</v>
      </c>
      <c r="J13" s="1"/>
      <c r="K13" s="1">
        <v>63</v>
      </c>
      <c r="L13" s="1">
        <f t="shared" si="3"/>
        <v>-9</v>
      </c>
      <c r="M13" s="1"/>
      <c r="N13" s="1"/>
      <c r="O13" s="1">
        <v>10.19999999999999</v>
      </c>
      <c r="P13" s="1"/>
      <c r="Q13" s="1"/>
      <c r="R13" s="1">
        <f t="shared" si="4"/>
        <v>10.8</v>
      </c>
      <c r="S13" s="5">
        <f t="shared" ref="S13" si="10">11*R13-P13-O13-F13</f>
        <v>23.600000000000023</v>
      </c>
      <c r="T13" s="5"/>
      <c r="U13" s="1">
        <f t="shared" si="7"/>
        <v>11</v>
      </c>
      <c r="V13" s="1">
        <f t="shared" si="5"/>
        <v>8.8148148148148131</v>
      </c>
      <c r="W13" s="1">
        <v>11.6</v>
      </c>
      <c r="X13" s="1">
        <v>7.8</v>
      </c>
      <c r="Y13" s="1">
        <v>7.8</v>
      </c>
      <c r="Z13" s="1">
        <v>17.8</v>
      </c>
      <c r="AA13" s="1">
        <v>20.399999999999999</v>
      </c>
      <c r="AB13" s="1">
        <v>12.8</v>
      </c>
      <c r="AC13" s="1">
        <v>11.6</v>
      </c>
      <c r="AD13" s="1">
        <v>6.4</v>
      </c>
      <c r="AE13" s="1"/>
      <c r="AF13" s="1">
        <f t="shared" si="8"/>
        <v>7</v>
      </c>
      <c r="AG13" s="1">
        <f t="shared" si="9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48</v>
      </c>
      <c r="B14" s="1" t="s">
        <v>39</v>
      </c>
      <c r="C14" s="1">
        <v>227</v>
      </c>
      <c r="D14" s="1">
        <v>271</v>
      </c>
      <c r="E14" s="1">
        <v>205</v>
      </c>
      <c r="F14" s="1">
        <v>283</v>
      </c>
      <c r="G14" s="7">
        <v>0.17</v>
      </c>
      <c r="H14" s="1"/>
      <c r="I14" s="1" t="s">
        <v>49</v>
      </c>
      <c r="J14" s="1"/>
      <c r="K14" s="1">
        <v>206</v>
      </c>
      <c r="L14" s="1">
        <f t="shared" si="3"/>
        <v>-1</v>
      </c>
      <c r="M14" s="1"/>
      <c r="N14" s="1"/>
      <c r="O14" s="1">
        <v>233.01599999999999</v>
      </c>
      <c r="P14" s="1"/>
      <c r="Q14" s="1"/>
      <c r="R14" s="1">
        <f t="shared" si="4"/>
        <v>41</v>
      </c>
      <c r="S14" s="5"/>
      <c r="T14" s="5"/>
      <c r="U14" s="1">
        <f t="shared" si="7"/>
        <v>12.585756097560974</v>
      </c>
      <c r="V14" s="1">
        <f t="shared" si="5"/>
        <v>12.585756097560974</v>
      </c>
      <c r="W14" s="1">
        <v>51</v>
      </c>
      <c r="X14" s="1">
        <v>48.8</v>
      </c>
      <c r="Y14" s="1">
        <v>47</v>
      </c>
      <c r="Z14" s="1">
        <v>49.8</v>
      </c>
      <c r="AA14" s="1">
        <v>50.4</v>
      </c>
      <c r="AB14" s="1">
        <v>45.6</v>
      </c>
      <c r="AC14" s="1">
        <v>52.4</v>
      </c>
      <c r="AD14" s="1">
        <v>40.200000000000003</v>
      </c>
      <c r="AE14" s="1"/>
      <c r="AF14" s="1">
        <f t="shared" si="8"/>
        <v>0</v>
      </c>
      <c r="AG14" s="1">
        <f t="shared" si="9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9" t="s">
        <v>50</v>
      </c>
      <c r="B15" s="9" t="s">
        <v>39</v>
      </c>
      <c r="C15" s="9"/>
      <c r="D15" s="9"/>
      <c r="E15" s="9"/>
      <c r="F15" s="12">
        <v>-2</v>
      </c>
      <c r="G15" s="10">
        <v>0</v>
      </c>
      <c r="H15" s="9"/>
      <c r="I15" s="9" t="s">
        <v>51</v>
      </c>
      <c r="J15" s="9" t="s">
        <v>52</v>
      </c>
      <c r="K15" s="9"/>
      <c r="L15" s="9">
        <f t="shared" si="3"/>
        <v>0</v>
      </c>
      <c r="M15" s="9"/>
      <c r="N15" s="9"/>
      <c r="O15" s="9"/>
      <c r="P15" s="9"/>
      <c r="Q15" s="9"/>
      <c r="R15" s="9">
        <f t="shared" si="4"/>
        <v>0</v>
      </c>
      <c r="S15" s="11"/>
      <c r="T15" s="11"/>
      <c r="U15" s="1" t="e">
        <f t="shared" si="7"/>
        <v>#DIV/0!</v>
      </c>
      <c r="V15" s="9" t="e">
        <f t="shared" si="5"/>
        <v>#DIV/0!</v>
      </c>
      <c r="W15" s="9">
        <v>0.4</v>
      </c>
      <c r="X15" s="9">
        <v>0.4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/>
      <c r="AF15" s="1">
        <f t="shared" si="8"/>
        <v>0</v>
      </c>
      <c r="AG15" s="1">
        <f t="shared" si="9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53</v>
      </c>
      <c r="B16" s="1" t="s">
        <v>32</v>
      </c>
      <c r="C16" s="1">
        <v>1749.9870000000001</v>
      </c>
      <c r="D16" s="1">
        <v>1034.095</v>
      </c>
      <c r="E16" s="1">
        <v>1118.181</v>
      </c>
      <c r="F16" s="1">
        <v>1603.789</v>
      </c>
      <c r="G16" s="7">
        <v>1</v>
      </c>
      <c r="H16" s="1"/>
      <c r="I16" s="1" t="s">
        <v>54</v>
      </c>
      <c r="J16" s="1"/>
      <c r="K16" s="1">
        <v>1110.6890000000001</v>
      </c>
      <c r="L16" s="1">
        <f t="shared" si="3"/>
        <v>7.4919999999999618</v>
      </c>
      <c r="M16" s="1"/>
      <c r="N16" s="1"/>
      <c r="O16" s="1">
        <v>295.90335367747798</v>
      </c>
      <c r="P16" s="1">
        <v>242.5437325225229</v>
      </c>
      <c r="Q16" s="1"/>
      <c r="R16" s="1">
        <f t="shared" si="4"/>
        <v>223.6362</v>
      </c>
      <c r="S16" s="5">
        <f t="shared" ref="S16:S18" si="11">11*R16-P16-O16-F16</f>
        <v>317.76211379999904</v>
      </c>
      <c r="T16" s="5">
        <v>250</v>
      </c>
      <c r="U16" s="1">
        <f t="shared" si="7"/>
        <v>12.117886996827883</v>
      </c>
      <c r="V16" s="1">
        <f t="shared" si="5"/>
        <v>9.5791114595937543</v>
      </c>
      <c r="W16" s="1">
        <v>225.66139999999999</v>
      </c>
      <c r="X16" s="1">
        <v>232.34639999999999</v>
      </c>
      <c r="Y16" s="1">
        <v>227.69319999999999</v>
      </c>
      <c r="Z16" s="1">
        <v>227.4924</v>
      </c>
      <c r="AA16" s="1">
        <v>237.53</v>
      </c>
      <c r="AB16" s="1">
        <v>219.251</v>
      </c>
      <c r="AC16" s="1">
        <v>202.10759999999999</v>
      </c>
      <c r="AD16" s="1">
        <v>185.697</v>
      </c>
      <c r="AE16" s="1"/>
      <c r="AF16" s="1">
        <f t="shared" si="8"/>
        <v>318</v>
      </c>
      <c r="AG16" s="1">
        <f t="shared" si="9"/>
        <v>250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55</v>
      </c>
      <c r="B17" s="1" t="s">
        <v>32</v>
      </c>
      <c r="C17" s="1">
        <v>5459.4459999999999</v>
      </c>
      <c r="D17" s="1">
        <v>3820.3739999999998</v>
      </c>
      <c r="E17" s="1">
        <v>2999.71</v>
      </c>
      <c r="F17" s="1">
        <v>6181.8239999999996</v>
      </c>
      <c r="G17" s="7">
        <v>1</v>
      </c>
      <c r="H17" s="1"/>
      <c r="I17" s="1" t="s">
        <v>56</v>
      </c>
      <c r="J17" s="1"/>
      <c r="K17" s="1">
        <v>3032.2</v>
      </c>
      <c r="L17" s="1">
        <f t="shared" si="3"/>
        <v>-32.489999999999782</v>
      </c>
      <c r="M17" s="1"/>
      <c r="N17" s="1"/>
      <c r="O17" s="1">
        <v>644.58803535135064</v>
      </c>
      <c r="P17" s="1">
        <v>528.35084864864791</v>
      </c>
      <c r="Q17" s="1"/>
      <c r="R17" s="1">
        <f t="shared" si="4"/>
        <v>599.94200000000001</v>
      </c>
      <c r="S17" s="5"/>
      <c r="T17" s="5">
        <v>200</v>
      </c>
      <c r="U17" s="1">
        <f t="shared" si="7"/>
        <v>12.592488747245563</v>
      </c>
      <c r="V17" s="1">
        <f t="shared" si="5"/>
        <v>12.259123188574891</v>
      </c>
      <c r="W17" s="1">
        <v>727.9</v>
      </c>
      <c r="X17" s="1">
        <v>787.52279999999996</v>
      </c>
      <c r="Y17" s="1">
        <v>702.96499999999992</v>
      </c>
      <c r="Z17" s="1">
        <v>706.26260000000002</v>
      </c>
      <c r="AA17" s="1">
        <v>695.55</v>
      </c>
      <c r="AB17" s="1">
        <v>651.36379999999997</v>
      </c>
      <c r="AC17" s="1">
        <v>603.72360000000003</v>
      </c>
      <c r="AD17" s="1">
        <v>601.0258</v>
      </c>
      <c r="AE17" s="1"/>
      <c r="AF17" s="1">
        <f t="shared" si="8"/>
        <v>0</v>
      </c>
      <c r="AG17" s="1">
        <f t="shared" si="9"/>
        <v>200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57</v>
      </c>
      <c r="B18" s="1" t="s">
        <v>32</v>
      </c>
      <c r="C18" s="1">
        <v>184.73599999999999</v>
      </c>
      <c r="D18" s="1">
        <v>74.188000000000002</v>
      </c>
      <c r="E18" s="1">
        <v>91.972999999999999</v>
      </c>
      <c r="F18" s="1">
        <v>154.57900000000001</v>
      </c>
      <c r="G18" s="7">
        <v>1</v>
      </c>
      <c r="H18" s="1"/>
      <c r="I18" s="1" t="s">
        <v>58</v>
      </c>
      <c r="J18" s="1"/>
      <c r="K18" s="1">
        <v>92.66</v>
      </c>
      <c r="L18" s="1">
        <f t="shared" si="3"/>
        <v>-0.68699999999999761</v>
      </c>
      <c r="M18" s="1"/>
      <c r="N18" s="1"/>
      <c r="O18" s="1">
        <v>30.716003999999941</v>
      </c>
      <c r="P18" s="1"/>
      <c r="Q18" s="1"/>
      <c r="R18" s="1">
        <f t="shared" si="4"/>
        <v>18.394600000000001</v>
      </c>
      <c r="S18" s="5">
        <f t="shared" si="11"/>
        <v>17.045596000000046</v>
      </c>
      <c r="T18" s="5"/>
      <c r="U18" s="1">
        <f t="shared" si="7"/>
        <v>11</v>
      </c>
      <c r="V18" s="1">
        <f t="shared" si="5"/>
        <v>10.073336957585376</v>
      </c>
      <c r="W18" s="1">
        <v>18.616199999999999</v>
      </c>
      <c r="X18" s="1">
        <v>20.011800000000001</v>
      </c>
      <c r="Y18" s="1">
        <v>18.930399999999999</v>
      </c>
      <c r="Z18" s="1">
        <v>18.580200000000001</v>
      </c>
      <c r="AA18" s="1">
        <v>20.035399999999999</v>
      </c>
      <c r="AB18" s="1">
        <v>20.866599999999998</v>
      </c>
      <c r="AC18" s="1">
        <v>19.458200000000001</v>
      </c>
      <c r="AD18" s="1">
        <v>20.536799999999999</v>
      </c>
      <c r="AE18" s="1"/>
      <c r="AF18" s="1">
        <f t="shared" si="8"/>
        <v>17</v>
      </c>
      <c r="AG18" s="1">
        <f t="shared" si="9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9" t="s">
        <v>59</v>
      </c>
      <c r="B19" s="9" t="s">
        <v>32</v>
      </c>
      <c r="C19" s="9">
        <v>-16.193000000000001</v>
      </c>
      <c r="D19" s="9"/>
      <c r="E19" s="12">
        <v>6.1890000000000001</v>
      </c>
      <c r="F19" s="12">
        <v>-26.027999999999999</v>
      </c>
      <c r="G19" s="10">
        <v>0</v>
      </c>
      <c r="H19" s="9"/>
      <c r="I19" s="9" t="s">
        <v>60</v>
      </c>
      <c r="J19" s="9" t="s">
        <v>61</v>
      </c>
      <c r="K19" s="9">
        <v>75.099999999999994</v>
      </c>
      <c r="L19" s="9">
        <f t="shared" si="3"/>
        <v>-68.911000000000001</v>
      </c>
      <c r="M19" s="9"/>
      <c r="N19" s="9"/>
      <c r="O19" s="9"/>
      <c r="P19" s="9"/>
      <c r="Q19" s="9"/>
      <c r="R19" s="9">
        <f t="shared" si="4"/>
        <v>1.2378</v>
      </c>
      <c r="S19" s="11"/>
      <c r="T19" s="11"/>
      <c r="U19" s="1">
        <f t="shared" si="7"/>
        <v>-21.027629665535628</v>
      </c>
      <c r="V19" s="9">
        <f t="shared" si="5"/>
        <v>-21.027629665535628</v>
      </c>
      <c r="W19" s="9">
        <v>1.2250000000000001</v>
      </c>
      <c r="X19" s="9">
        <v>97.994200000000006</v>
      </c>
      <c r="Y19" s="9">
        <v>239.58519999999999</v>
      </c>
      <c r="Z19" s="9">
        <v>238.46119999999999</v>
      </c>
      <c r="AA19" s="9">
        <v>236.93719999999999</v>
      </c>
      <c r="AB19" s="9">
        <v>215.0558</v>
      </c>
      <c r="AC19" s="9">
        <v>271.11599999999999</v>
      </c>
      <c r="AD19" s="9">
        <v>330.86259999999999</v>
      </c>
      <c r="AE19" s="9" t="s">
        <v>62</v>
      </c>
      <c r="AF19" s="1">
        <f t="shared" si="8"/>
        <v>0</v>
      </c>
      <c r="AG19" s="1">
        <f t="shared" si="9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63</v>
      </c>
      <c r="B20" s="1" t="s">
        <v>32</v>
      </c>
      <c r="C20" s="1">
        <v>53.415999999999997</v>
      </c>
      <c r="D20" s="1">
        <v>121.946</v>
      </c>
      <c r="E20" s="1">
        <v>65.12</v>
      </c>
      <c r="F20" s="1">
        <v>104.08199999999999</v>
      </c>
      <c r="G20" s="7">
        <v>1</v>
      </c>
      <c r="H20" s="1"/>
      <c r="I20" s="1" t="s">
        <v>64</v>
      </c>
      <c r="J20" s="1"/>
      <c r="K20" s="1">
        <v>63.2</v>
      </c>
      <c r="L20" s="1">
        <f t="shared" si="3"/>
        <v>1.9200000000000017</v>
      </c>
      <c r="M20" s="1"/>
      <c r="N20" s="1"/>
      <c r="O20" s="1">
        <v>75.495468000000045</v>
      </c>
      <c r="P20" s="1"/>
      <c r="Q20" s="1"/>
      <c r="R20" s="1">
        <f t="shared" si="4"/>
        <v>13.024000000000001</v>
      </c>
      <c r="S20" s="5"/>
      <c r="T20" s="5"/>
      <c r="U20" s="1">
        <f t="shared" si="7"/>
        <v>13.788196253071256</v>
      </c>
      <c r="V20" s="1">
        <f t="shared" si="5"/>
        <v>13.788196253071256</v>
      </c>
      <c r="W20" s="1">
        <v>16.781600000000001</v>
      </c>
      <c r="X20" s="1">
        <v>17.526199999999999</v>
      </c>
      <c r="Y20" s="1">
        <v>17.302800000000001</v>
      </c>
      <c r="Z20" s="1">
        <v>16.8828</v>
      </c>
      <c r="AA20" s="1">
        <v>13.7104</v>
      </c>
      <c r="AB20" s="1">
        <v>15.188800000000001</v>
      </c>
      <c r="AC20" s="1">
        <v>13.726800000000001</v>
      </c>
      <c r="AD20" s="1">
        <v>14.6448</v>
      </c>
      <c r="AE20" s="1"/>
      <c r="AF20" s="1">
        <f t="shared" si="8"/>
        <v>0</v>
      </c>
      <c r="AG20" s="1">
        <f t="shared" si="9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65</v>
      </c>
      <c r="B21" s="1" t="s">
        <v>32</v>
      </c>
      <c r="C21" s="1">
        <v>-0.314</v>
      </c>
      <c r="D21" s="1">
        <v>17.452999999999999</v>
      </c>
      <c r="E21" s="1">
        <v>3.6120000000000001</v>
      </c>
      <c r="F21" s="1">
        <v>13.526999999999999</v>
      </c>
      <c r="G21" s="7">
        <v>1</v>
      </c>
      <c r="H21" s="1"/>
      <c r="I21" s="1" t="s">
        <v>66</v>
      </c>
      <c r="J21" s="1"/>
      <c r="K21" s="1">
        <v>3.58</v>
      </c>
      <c r="L21" s="1">
        <f t="shared" si="3"/>
        <v>3.2000000000000028E-2</v>
      </c>
      <c r="M21" s="1"/>
      <c r="N21" s="1"/>
      <c r="O21" s="1"/>
      <c r="P21" s="1"/>
      <c r="Q21" s="1"/>
      <c r="R21" s="1">
        <f t="shared" si="4"/>
        <v>0.72240000000000004</v>
      </c>
      <c r="S21" s="5"/>
      <c r="T21" s="5"/>
      <c r="U21" s="1">
        <f t="shared" si="7"/>
        <v>18.725083056478404</v>
      </c>
      <c r="V21" s="1">
        <f t="shared" si="5"/>
        <v>18.725083056478404</v>
      </c>
      <c r="W21" s="1">
        <v>1.2132000000000001</v>
      </c>
      <c r="X21" s="1">
        <v>1.4932000000000001</v>
      </c>
      <c r="Y21" s="1">
        <v>2.0506000000000002</v>
      </c>
      <c r="Z21" s="1">
        <v>2.9308000000000001</v>
      </c>
      <c r="AA21" s="1">
        <v>1.6524000000000001</v>
      </c>
      <c r="AB21" s="1">
        <v>0.63919999999999999</v>
      </c>
      <c r="AC21" s="1">
        <v>1.3564000000000001</v>
      </c>
      <c r="AD21" s="1">
        <v>0.28339999999999999</v>
      </c>
      <c r="AE21" s="1"/>
      <c r="AF21" s="1">
        <f t="shared" si="8"/>
        <v>0</v>
      </c>
      <c r="AG21" s="1">
        <f t="shared" si="9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67</v>
      </c>
      <c r="B22" s="1" t="s">
        <v>32</v>
      </c>
      <c r="C22" s="1">
        <v>747.06</v>
      </c>
      <c r="D22" s="1">
        <v>1913.1579999999999</v>
      </c>
      <c r="E22" s="1">
        <v>1346.9010000000001</v>
      </c>
      <c r="F22" s="1">
        <v>1253.1690000000001</v>
      </c>
      <c r="G22" s="7">
        <v>1</v>
      </c>
      <c r="H22" s="1"/>
      <c r="I22" s="1" t="s">
        <v>68</v>
      </c>
      <c r="J22" s="1"/>
      <c r="K22" s="1">
        <v>1306.5150000000001</v>
      </c>
      <c r="L22" s="1">
        <f t="shared" si="3"/>
        <v>40.385999999999967</v>
      </c>
      <c r="M22" s="1"/>
      <c r="N22" s="1"/>
      <c r="O22" s="1">
        <v>816.25596874054077</v>
      </c>
      <c r="P22" s="1">
        <v>669.06226945945946</v>
      </c>
      <c r="Q22" s="1"/>
      <c r="R22" s="1">
        <f t="shared" si="4"/>
        <v>269.3802</v>
      </c>
      <c r="S22" s="5">
        <f t="shared" ref="S22:S26" si="12">11*R22-P22-O22-F22</f>
        <v>224.69496179999987</v>
      </c>
      <c r="T22" s="5">
        <v>500</v>
      </c>
      <c r="U22" s="1">
        <f t="shared" si="7"/>
        <v>12.856112661583888</v>
      </c>
      <c r="V22" s="1">
        <f t="shared" si="5"/>
        <v>10.165881672817825</v>
      </c>
      <c r="W22" s="1">
        <v>282.6694</v>
      </c>
      <c r="X22" s="1">
        <v>300.6986</v>
      </c>
      <c r="Y22" s="1">
        <v>288.55360000000002</v>
      </c>
      <c r="Z22" s="1">
        <v>287.4658</v>
      </c>
      <c r="AA22" s="1">
        <v>298.57600000000002</v>
      </c>
      <c r="AB22" s="1">
        <v>292.4074</v>
      </c>
      <c r="AC22" s="1">
        <v>447.34460000000001</v>
      </c>
      <c r="AD22" s="1">
        <v>272.43639999999999</v>
      </c>
      <c r="AE22" s="1"/>
      <c r="AF22" s="1">
        <f t="shared" si="8"/>
        <v>225</v>
      </c>
      <c r="AG22" s="1">
        <f t="shared" si="9"/>
        <v>500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69</v>
      </c>
      <c r="B23" s="1" t="s">
        <v>32</v>
      </c>
      <c r="C23" s="1">
        <v>377.2</v>
      </c>
      <c r="D23" s="1"/>
      <c r="E23" s="1">
        <v>255.85</v>
      </c>
      <c r="F23" s="1">
        <v>118.711</v>
      </c>
      <c r="G23" s="7">
        <v>1</v>
      </c>
      <c r="H23" s="1"/>
      <c r="I23" s="1" t="s">
        <v>70</v>
      </c>
      <c r="J23" s="1"/>
      <c r="K23" s="1">
        <v>251.86</v>
      </c>
      <c r="L23" s="1">
        <f t="shared" si="3"/>
        <v>3.9899999999999807</v>
      </c>
      <c r="M23" s="1"/>
      <c r="N23" s="1"/>
      <c r="O23" s="1">
        <v>99.099999999999909</v>
      </c>
      <c r="P23" s="1"/>
      <c r="Q23" s="1"/>
      <c r="R23" s="1">
        <f t="shared" si="4"/>
        <v>51.17</v>
      </c>
      <c r="S23" s="5">
        <f>10*R23-P23-O23-F23</f>
        <v>293.88900000000012</v>
      </c>
      <c r="T23" s="5"/>
      <c r="U23" s="1">
        <f t="shared" si="7"/>
        <v>10</v>
      </c>
      <c r="V23" s="1">
        <f t="shared" si="5"/>
        <v>4.2566152042212213</v>
      </c>
      <c r="W23" s="1">
        <v>32.328000000000003</v>
      </c>
      <c r="X23" s="1">
        <v>30.726199999999999</v>
      </c>
      <c r="Y23" s="1">
        <v>33.437800000000003</v>
      </c>
      <c r="Z23" s="1">
        <v>35.513399999999997</v>
      </c>
      <c r="AA23" s="1">
        <v>47.424599999999998</v>
      </c>
      <c r="AB23" s="1">
        <v>33.419400000000003</v>
      </c>
      <c r="AC23" s="1">
        <v>40.244399999999999</v>
      </c>
      <c r="AD23" s="1">
        <v>24.884799999999998</v>
      </c>
      <c r="AE23" s="1"/>
      <c r="AF23" s="1">
        <f t="shared" si="8"/>
        <v>294</v>
      </c>
      <c r="AG23" s="1">
        <f t="shared" si="9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71</v>
      </c>
      <c r="B24" s="1" t="s">
        <v>32</v>
      </c>
      <c r="C24" s="1">
        <v>681.03800000000001</v>
      </c>
      <c r="D24" s="1">
        <v>474.38900000000001</v>
      </c>
      <c r="E24" s="1">
        <v>466.58300000000003</v>
      </c>
      <c r="F24" s="1">
        <v>666.81</v>
      </c>
      <c r="G24" s="7">
        <v>1</v>
      </c>
      <c r="H24" s="1"/>
      <c r="I24" s="1" t="s">
        <v>72</v>
      </c>
      <c r="J24" s="1"/>
      <c r="K24" s="1">
        <v>456.17500000000001</v>
      </c>
      <c r="L24" s="1">
        <f t="shared" si="3"/>
        <v>10.408000000000015</v>
      </c>
      <c r="M24" s="1"/>
      <c r="N24" s="1"/>
      <c r="O24" s="1">
        <v>146.76851999999971</v>
      </c>
      <c r="P24" s="1"/>
      <c r="Q24" s="1"/>
      <c r="R24" s="1">
        <f t="shared" si="4"/>
        <v>93.316600000000008</v>
      </c>
      <c r="S24" s="5">
        <f t="shared" si="12"/>
        <v>212.90408000000036</v>
      </c>
      <c r="T24" s="5"/>
      <c r="U24" s="1">
        <f t="shared" si="7"/>
        <v>11</v>
      </c>
      <c r="V24" s="1">
        <f t="shared" si="5"/>
        <v>8.7184758124492276</v>
      </c>
      <c r="W24" s="1">
        <v>89.801999999999992</v>
      </c>
      <c r="X24" s="1">
        <v>94.597799999999992</v>
      </c>
      <c r="Y24" s="1">
        <v>107.1392</v>
      </c>
      <c r="Z24" s="1">
        <v>102.1832</v>
      </c>
      <c r="AA24" s="1">
        <v>88.741799999999998</v>
      </c>
      <c r="AB24" s="1">
        <v>100.90600000000001</v>
      </c>
      <c r="AC24" s="1">
        <v>90.298000000000002</v>
      </c>
      <c r="AD24" s="1">
        <v>94.878799999999998</v>
      </c>
      <c r="AE24" s="1"/>
      <c r="AF24" s="1">
        <f t="shared" si="8"/>
        <v>213</v>
      </c>
      <c r="AG24" s="1">
        <f t="shared" si="9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73</v>
      </c>
      <c r="B25" s="1" t="s">
        <v>32</v>
      </c>
      <c r="C25" s="1">
        <v>699.74599999999998</v>
      </c>
      <c r="D25" s="1">
        <v>727.92700000000002</v>
      </c>
      <c r="E25" s="1">
        <v>621.85599999999999</v>
      </c>
      <c r="F25" s="1">
        <v>780.36400000000003</v>
      </c>
      <c r="G25" s="7">
        <v>1</v>
      </c>
      <c r="H25" s="1"/>
      <c r="I25" s="1" t="s">
        <v>74</v>
      </c>
      <c r="J25" s="1"/>
      <c r="K25" s="1">
        <v>613.38</v>
      </c>
      <c r="L25" s="1">
        <f t="shared" si="3"/>
        <v>8.4759999999999991</v>
      </c>
      <c r="M25" s="1"/>
      <c r="N25" s="1"/>
      <c r="O25" s="1">
        <v>227.18415308108101</v>
      </c>
      <c r="P25" s="1">
        <v>186.21651891891881</v>
      </c>
      <c r="Q25" s="1"/>
      <c r="R25" s="1">
        <f t="shared" si="4"/>
        <v>124.3712</v>
      </c>
      <c r="S25" s="5">
        <f t="shared" si="12"/>
        <v>174.31852800000013</v>
      </c>
      <c r="T25" s="5"/>
      <c r="U25" s="1">
        <f t="shared" si="7"/>
        <v>11</v>
      </c>
      <c r="V25" s="1">
        <f t="shared" si="5"/>
        <v>9.5984011732619745</v>
      </c>
      <c r="W25" s="1">
        <v>128.39340000000001</v>
      </c>
      <c r="X25" s="1">
        <v>130.5224</v>
      </c>
      <c r="Y25" s="1">
        <v>134.06620000000001</v>
      </c>
      <c r="Z25" s="1">
        <v>134.50720000000001</v>
      </c>
      <c r="AA25" s="1">
        <v>124.1892</v>
      </c>
      <c r="AB25" s="1">
        <v>123.4182</v>
      </c>
      <c r="AC25" s="1">
        <v>126.0162</v>
      </c>
      <c r="AD25" s="1">
        <v>117.33159999999999</v>
      </c>
      <c r="AE25" s="1"/>
      <c r="AF25" s="1">
        <f t="shared" si="8"/>
        <v>174</v>
      </c>
      <c r="AG25" s="1">
        <f t="shared" si="9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75</v>
      </c>
      <c r="B26" s="1" t="s">
        <v>32</v>
      </c>
      <c r="C26" s="1">
        <v>63.356999999999999</v>
      </c>
      <c r="D26" s="1">
        <v>95.263000000000005</v>
      </c>
      <c r="E26" s="1">
        <v>75.879000000000005</v>
      </c>
      <c r="F26" s="1">
        <v>82.013000000000005</v>
      </c>
      <c r="G26" s="7">
        <v>1</v>
      </c>
      <c r="H26" s="1"/>
      <c r="I26" s="1" t="s">
        <v>76</v>
      </c>
      <c r="J26" s="1"/>
      <c r="K26" s="1">
        <v>83.3</v>
      </c>
      <c r="L26" s="1">
        <f t="shared" si="3"/>
        <v>-7.4209999999999923</v>
      </c>
      <c r="M26" s="1"/>
      <c r="N26" s="1"/>
      <c r="O26" s="1"/>
      <c r="P26" s="1"/>
      <c r="Q26" s="1"/>
      <c r="R26" s="1">
        <f t="shared" si="4"/>
        <v>15.175800000000001</v>
      </c>
      <c r="S26" s="5">
        <f t="shared" si="12"/>
        <v>84.920800000000014</v>
      </c>
      <c r="T26" s="5"/>
      <c r="U26" s="1">
        <f t="shared" si="7"/>
        <v>11</v>
      </c>
      <c r="V26" s="1">
        <f t="shared" si="5"/>
        <v>5.4041961544037216</v>
      </c>
      <c r="W26" s="1">
        <v>1.0192000000000001</v>
      </c>
      <c r="X26" s="1">
        <v>0.87319999999999998</v>
      </c>
      <c r="Y26" s="1">
        <v>19.434200000000001</v>
      </c>
      <c r="Z26" s="1">
        <v>19.8704</v>
      </c>
      <c r="AA26" s="1">
        <v>14.194000000000001</v>
      </c>
      <c r="AB26" s="1">
        <v>12.7166</v>
      </c>
      <c r="AC26" s="1">
        <v>15.875400000000001</v>
      </c>
      <c r="AD26" s="1">
        <v>2.7593999999999999</v>
      </c>
      <c r="AE26" s="1"/>
      <c r="AF26" s="1">
        <f t="shared" si="8"/>
        <v>85</v>
      </c>
      <c r="AG26" s="1">
        <f t="shared" si="9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9" t="s">
        <v>78</v>
      </c>
      <c r="B27" s="9" t="s">
        <v>32</v>
      </c>
      <c r="C27" s="9"/>
      <c r="D27" s="9"/>
      <c r="E27" s="9">
        <v>1.758</v>
      </c>
      <c r="F27" s="9">
        <v>-1.758</v>
      </c>
      <c r="G27" s="10">
        <v>0</v>
      </c>
      <c r="H27" s="9"/>
      <c r="I27" s="9" t="s">
        <v>79</v>
      </c>
      <c r="J27" s="9"/>
      <c r="K27" s="9"/>
      <c r="L27" s="9">
        <f t="shared" si="3"/>
        <v>1.758</v>
      </c>
      <c r="M27" s="9"/>
      <c r="N27" s="9"/>
      <c r="O27" s="9"/>
      <c r="P27" s="9"/>
      <c r="Q27" s="9"/>
      <c r="R27" s="9">
        <f t="shared" si="4"/>
        <v>0.35160000000000002</v>
      </c>
      <c r="S27" s="11"/>
      <c r="T27" s="11"/>
      <c r="U27" s="1">
        <f t="shared" si="7"/>
        <v>-5</v>
      </c>
      <c r="V27" s="9">
        <f t="shared" si="5"/>
        <v>-5</v>
      </c>
      <c r="W27" s="9">
        <v>0.35160000000000002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/>
      <c r="AF27" s="1">
        <f t="shared" si="8"/>
        <v>0</v>
      </c>
      <c r="AG27" s="1">
        <f t="shared" si="9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80</v>
      </c>
      <c r="B28" s="1" t="s">
        <v>32</v>
      </c>
      <c r="C28" s="1">
        <v>159.08099999999999</v>
      </c>
      <c r="D28" s="1">
        <v>220.34899999999999</v>
      </c>
      <c r="E28" s="1">
        <v>207.423</v>
      </c>
      <c r="F28" s="1">
        <v>153.89500000000001</v>
      </c>
      <c r="G28" s="7">
        <v>1</v>
      </c>
      <c r="H28" s="1"/>
      <c r="I28" s="1" t="s">
        <v>81</v>
      </c>
      <c r="J28" s="1"/>
      <c r="K28" s="1">
        <v>243.2</v>
      </c>
      <c r="L28" s="1">
        <f t="shared" si="3"/>
        <v>-35.776999999999987</v>
      </c>
      <c r="M28" s="1"/>
      <c r="N28" s="1"/>
      <c r="O28" s="1">
        <v>329.86173800000012</v>
      </c>
      <c r="P28" s="1"/>
      <c r="Q28" s="1"/>
      <c r="R28" s="1">
        <f t="shared" si="4"/>
        <v>41.4846</v>
      </c>
      <c r="S28" s="5"/>
      <c r="T28" s="5"/>
      <c r="U28" s="1">
        <f t="shared" si="7"/>
        <v>11.661116125019891</v>
      </c>
      <c r="V28" s="1">
        <f t="shared" si="5"/>
        <v>11.661116125019891</v>
      </c>
      <c r="W28" s="1">
        <v>49.220399999999998</v>
      </c>
      <c r="X28" s="1">
        <v>39.5886</v>
      </c>
      <c r="Y28" s="1">
        <v>39.668999999999997</v>
      </c>
      <c r="Z28" s="1">
        <v>49.674999999999997</v>
      </c>
      <c r="AA28" s="1">
        <v>52.338000000000001</v>
      </c>
      <c r="AB28" s="1">
        <v>27.1648</v>
      </c>
      <c r="AC28" s="1">
        <v>58.104599999999998</v>
      </c>
      <c r="AD28" s="1">
        <v>48.681800000000003</v>
      </c>
      <c r="AE28" s="1"/>
      <c r="AF28" s="1">
        <f t="shared" si="8"/>
        <v>0</v>
      </c>
      <c r="AG28" s="1">
        <f t="shared" si="9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82</v>
      </c>
      <c r="B29" s="1" t="s">
        <v>32</v>
      </c>
      <c r="C29" s="1">
        <v>214.626</v>
      </c>
      <c r="D29" s="1">
        <v>142.47999999999999</v>
      </c>
      <c r="E29" s="1">
        <v>191.63800000000001</v>
      </c>
      <c r="F29" s="1">
        <v>150.06</v>
      </c>
      <c r="G29" s="7">
        <v>1</v>
      </c>
      <c r="H29" s="1"/>
      <c r="I29" s="1" t="s">
        <v>83</v>
      </c>
      <c r="J29" s="1"/>
      <c r="K29" s="1">
        <v>180.1</v>
      </c>
      <c r="L29" s="1">
        <f t="shared" si="3"/>
        <v>11.538000000000011</v>
      </c>
      <c r="M29" s="1"/>
      <c r="N29" s="1"/>
      <c r="O29" s="1">
        <v>168.97201200000009</v>
      </c>
      <c r="P29" s="1"/>
      <c r="Q29" s="1"/>
      <c r="R29" s="1">
        <f t="shared" si="4"/>
        <v>38.327600000000004</v>
      </c>
      <c r="S29" s="5">
        <f t="shared" ref="S29:S82" si="13">11*R29-P29-O29-F29</f>
        <v>102.57158799999993</v>
      </c>
      <c r="T29" s="5"/>
      <c r="U29" s="1">
        <f t="shared" si="7"/>
        <v>11</v>
      </c>
      <c r="V29" s="1">
        <f t="shared" si="5"/>
        <v>8.3238191799121282</v>
      </c>
      <c r="W29" s="1">
        <v>37.422600000000003</v>
      </c>
      <c r="X29" s="1">
        <v>35.545999999999999</v>
      </c>
      <c r="Y29" s="1">
        <v>35.754199999999997</v>
      </c>
      <c r="Z29" s="1">
        <v>41.111800000000002</v>
      </c>
      <c r="AA29" s="1">
        <v>39.163600000000002</v>
      </c>
      <c r="AB29" s="1">
        <v>39.311599999999999</v>
      </c>
      <c r="AC29" s="1">
        <v>44.979199999999999</v>
      </c>
      <c r="AD29" s="1">
        <v>40.587400000000002</v>
      </c>
      <c r="AE29" s="1"/>
      <c r="AF29" s="1">
        <f t="shared" si="8"/>
        <v>103</v>
      </c>
      <c r="AG29" s="1">
        <f t="shared" si="9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84</v>
      </c>
      <c r="B30" s="1" t="s">
        <v>32</v>
      </c>
      <c r="C30" s="1">
        <v>3240.5630000000001</v>
      </c>
      <c r="D30" s="1">
        <v>2098.2550000000001</v>
      </c>
      <c r="E30" s="1">
        <v>1891.866</v>
      </c>
      <c r="F30" s="1">
        <v>3307.1759999999999</v>
      </c>
      <c r="G30" s="7">
        <v>1</v>
      </c>
      <c r="H30" s="1"/>
      <c r="I30" s="1" t="s">
        <v>85</v>
      </c>
      <c r="J30" s="1"/>
      <c r="K30" s="1">
        <v>1923.5730000000001</v>
      </c>
      <c r="L30" s="1">
        <f t="shared" si="3"/>
        <v>-31.707000000000107</v>
      </c>
      <c r="M30" s="1"/>
      <c r="N30" s="1"/>
      <c r="O30" s="1">
        <v>546.64956009008972</v>
      </c>
      <c r="P30" s="1">
        <v>448.07340990990951</v>
      </c>
      <c r="Q30" s="1"/>
      <c r="R30" s="1">
        <f t="shared" si="4"/>
        <v>378.3732</v>
      </c>
      <c r="S30" s="5"/>
      <c r="T30" s="5">
        <v>600</v>
      </c>
      <c r="U30" s="1">
        <f t="shared" si="7"/>
        <v>12.955196007539644</v>
      </c>
      <c r="V30" s="1">
        <f t="shared" si="5"/>
        <v>11.369460019895699</v>
      </c>
      <c r="W30" s="1">
        <v>434.29799999999989</v>
      </c>
      <c r="X30" s="1">
        <v>450.32920000000001</v>
      </c>
      <c r="Y30" s="1">
        <v>429.97359999999998</v>
      </c>
      <c r="Z30" s="1">
        <v>432.92399999999998</v>
      </c>
      <c r="AA30" s="1">
        <v>405.47739999999999</v>
      </c>
      <c r="AB30" s="1">
        <v>435.78019999999998</v>
      </c>
      <c r="AC30" s="1">
        <v>124.8952</v>
      </c>
      <c r="AD30" s="1">
        <v>358.11079999999998</v>
      </c>
      <c r="AE30" s="1"/>
      <c r="AF30" s="1">
        <f t="shared" si="8"/>
        <v>0</v>
      </c>
      <c r="AG30" s="1">
        <f t="shared" si="9"/>
        <v>600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86</v>
      </c>
      <c r="B31" s="1" t="s">
        <v>32</v>
      </c>
      <c r="C31" s="1">
        <v>42.776000000000003</v>
      </c>
      <c r="D31" s="1">
        <v>7.9809999999999999</v>
      </c>
      <c r="E31" s="1">
        <v>14.955</v>
      </c>
      <c r="F31" s="1">
        <v>32.267000000000003</v>
      </c>
      <c r="G31" s="7">
        <v>1</v>
      </c>
      <c r="H31" s="1"/>
      <c r="I31" s="1" t="s">
        <v>87</v>
      </c>
      <c r="J31" s="1"/>
      <c r="K31" s="1">
        <v>15.7</v>
      </c>
      <c r="L31" s="1">
        <f t="shared" si="3"/>
        <v>-0.74499999999999922</v>
      </c>
      <c r="M31" s="1"/>
      <c r="N31" s="1"/>
      <c r="O31" s="1"/>
      <c r="P31" s="1"/>
      <c r="Q31" s="1"/>
      <c r="R31" s="1">
        <f t="shared" si="4"/>
        <v>2.9910000000000001</v>
      </c>
      <c r="S31" s="5"/>
      <c r="T31" s="5"/>
      <c r="U31" s="1">
        <f t="shared" si="7"/>
        <v>10.788030758943497</v>
      </c>
      <c r="V31" s="1">
        <f t="shared" si="5"/>
        <v>10.788030758943497</v>
      </c>
      <c r="W31" s="1">
        <v>3.278</v>
      </c>
      <c r="X31" s="1">
        <v>2.6667999999999998</v>
      </c>
      <c r="Y31" s="1">
        <v>3.2280000000000002</v>
      </c>
      <c r="Z31" s="1">
        <v>5.8651999999999997</v>
      </c>
      <c r="AA31" s="1">
        <v>6.367</v>
      </c>
      <c r="AB31" s="1">
        <v>2.5865999999999998</v>
      </c>
      <c r="AC31" s="1">
        <v>5.8648000000000007</v>
      </c>
      <c r="AD31" s="1">
        <v>4.6718000000000002</v>
      </c>
      <c r="AE31" s="1"/>
      <c r="AF31" s="1">
        <f t="shared" si="8"/>
        <v>0</v>
      </c>
      <c r="AG31" s="1">
        <f t="shared" si="9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88</v>
      </c>
      <c r="B32" s="1" t="s">
        <v>32</v>
      </c>
      <c r="C32" s="1">
        <v>25.242000000000001</v>
      </c>
      <c r="D32" s="1">
        <v>24.146999999999998</v>
      </c>
      <c r="E32" s="1">
        <v>48.307000000000002</v>
      </c>
      <c r="F32" s="1">
        <v>-0.158</v>
      </c>
      <c r="G32" s="7">
        <v>1</v>
      </c>
      <c r="H32" s="1"/>
      <c r="I32" s="1" t="s">
        <v>89</v>
      </c>
      <c r="J32" s="1"/>
      <c r="K32" s="1">
        <v>153.6</v>
      </c>
      <c r="L32" s="1">
        <f t="shared" si="3"/>
        <v>-105.29299999999999</v>
      </c>
      <c r="M32" s="1"/>
      <c r="N32" s="1"/>
      <c r="O32" s="1"/>
      <c r="P32" s="1"/>
      <c r="Q32" s="1"/>
      <c r="R32" s="1">
        <f t="shared" si="4"/>
        <v>9.6614000000000004</v>
      </c>
      <c r="S32" s="5">
        <f>8*R32-P32-O32-F32</f>
        <v>77.449200000000005</v>
      </c>
      <c r="T32" s="5"/>
      <c r="U32" s="1">
        <f t="shared" si="7"/>
        <v>8</v>
      </c>
      <c r="V32" s="1">
        <f t="shared" si="5"/>
        <v>-1.6353737553563664E-2</v>
      </c>
      <c r="W32" s="1">
        <v>3.0419999999999998</v>
      </c>
      <c r="X32" s="1">
        <v>1.1419999999999999</v>
      </c>
      <c r="Y32" s="1">
        <v>3.5891999999999999</v>
      </c>
      <c r="Z32" s="1">
        <v>5.0362</v>
      </c>
      <c r="AA32" s="1">
        <v>22.971</v>
      </c>
      <c r="AB32" s="1">
        <v>8.7968000000000011</v>
      </c>
      <c r="AC32" s="1">
        <v>17.3094</v>
      </c>
      <c r="AD32" s="1">
        <v>3.5762</v>
      </c>
      <c r="AE32" s="1"/>
      <c r="AF32" s="1">
        <f t="shared" si="8"/>
        <v>77</v>
      </c>
      <c r="AG32" s="1">
        <f t="shared" si="9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90</v>
      </c>
      <c r="B33" s="1" t="s">
        <v>32</v>
      </c>
      <c r="C33" s="1">
        <v>-42.823999999999998</v>
      </c>
      <c r="D33" s="1">
        <v>5123.2550000000001</v>
      </c>
      <c r="E33" s="1">
        <v>995.72900000000004</v>
      </c>
      <c r="F33" s="1">
        <v>3910.7979999999998</v>
      </c>
      <c r="G33" s="7">
        <v>1</v>
      </c>
      <c r="H33" s="1"/>
      <c r="I33" s="1" t="s">
        <v>91</v>
      </c>
      <c r="J33" s="1"/>
      <c r="K33" s="1">
        <v>1899.6</v>
      </c>
      <c r="L33" s="1">
        <f t="shared" si="3"/>
        <v>-903.87099999999987</v>
      </c>
      <c r="M33" s="1"/>
      <c r="N33" s="1"/>
      <c r="O33" s="1"/>
      <c r="P33" s="1"/>
      <c r="Q33" s="1"/>
      <c r="R33" s="1">
        <f t="shared" si="4"/>
        <v>199.14580000000001</v>
      </c>
      <c r="S33" s="5">
        <v>600</v>
      </c>
      <c r="T33" s="5"/>
      <c r="U33" s="1">
        <f t="shared" si="7"/>
        <v>22.650731273268125</v>
      </c>
      <c r="V33" s="1">
        <f t="shared" si="5"/>
        <v>19.637863314215011</v>
      </c>
      <c r="W33" s="1">
        <v>179.42859999999999</v>
      </c>
      <c r="X33" s="1">
        <v>420.00200000000012</v>
      </c>
      <c r="Y33" s="1">
        <v>606.72160000000008</v>
      </c>
      <c r="Z33" s="1">
        <v>622.55079999999998</v>
      </c>
      <c r="AA33" s="1">
        <v>626.69579999999996</v>
      </c>
      <c r="AB33" s="1">
        <v>559.12</v>
      </c>
      <c r="AC33" s="1">
        <v>613.54840000000002</v>
      </c>
      <c r="AD33" s="1">
        <v>0</v>
      </c>
      <c r="AE33" s="1"/>
      <c r="AF33" s="1">
        <f t="shared" si="8"/>
        <v>600</v>
      </c>
      <c r="AG33" s="1">
        <f t="shared" si="9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92</v>
      </c>
      <c r="B34" s="1" t="s">
        <v>32</v>
      </c>
      <c r="C34" s="1">
        <v>341.13400000000001</v>
      </c>
      <c r="D34" s="1">
        <v>295.07799999999997</v>
      </c>
      <c r="E34" s="1">
        <v>252.50800000000001</v>
      </c>
      <c r="F34" s="1">
        <v>355.83800000000002</v>
      </c>
      <c r="G34" s="7">
        <v>1</v>
      </c>
      <c r="H34" s="1"/>
      <c r="I34" s="1" t="s">
        <v>93</v>
      </c>
      <c r="J34" s="1"/>
      <c r="K34" s="1">
        <v>241.9</v>
      </c>
      <c r="L34" s="1">
        <f t="shared" si="3"/>
        <v>10.608000000000004</v>
      </c>
      <c r="M34" s="1"/>
      <c r="N34" s="1"/>
      <c r="O34" s="1">
        <v>163.75946400000001</v>
      </c>
      <c r="P34" s="1"/>
      <c r="Q34" s="1"/>
      <c r="R34" s="1">
        <f t="shared" si="4"/>
        <v>50.501600000000003</v>
      </c>
      <c r="S34" s="5">
        <f t="shared" si="13"/>
        <v>35.920136000000014</v>
      </c>
      <c r="T34" s="5"/>
      <c r="U34" s="1">
        <f t="shared" si="7"/>
        <v>11.000000000000002</v>
      </c>
      <c r="V34" s="1">
        <f t="shared" si="5"/>
        <v>10.288732713418982</v>
      </c>
      <c r="W34" s="1">
        <v>53.412799999999997</v>
      </c>
      <c r="X34" s="1">
        <v>50.7288</v>
      </c>
      <c r="Y34" s="1">
        <v>48.586599999999997</v>
      </c>
      <c r="Z34" s="1">
        <v>45.2286</v>
      </c>
      <c r="AA34" s="1">
        <v>43.9176</v>
      </c>
      <c r="AB34" s="1">
        <v>47.580399999999997</v>
      </c>
      <c r="AC34" s="1">
        <v>39.325000000000003</v>
      </c>
      <c r="AD34" s="1">
        <v>43.793599999999998</v>
      </c>
      <c r="AE34" s="1"/>
      <c r="AF34" s="1">
        <f t="shared" si="8"/>
        <v>36</v>
      </c>
      <c r="AG34" s="1">
        <f t="shared" si="9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94</v>
      </c>
      <c r="B35" s="1" t="s">
        <v>39</v>
      </c>
      <c r="C35" s="1">
        <v>4545</v>
      </c>
      <c r="D35" s="1">
        <v>6251</v>
      </c>
      <c r="E35" s="1">
        <v>4114</v>
      </c>
      <c r="F35" s="1">
        <v>6391</v>
      </c>
      <c r="G35" s="7">
        <v>0.4</v>
      </c>
      <c r="H35" s="1"/>
      <c r="I35" s="1" t="s">
        <v>95</v>
      </c>
      <c r="J35" s="1"/>
      <c r="K35" s="1">
        <v>4191</v>
      </c>
      <c r="L35" s="1">
        <f t="shared" si="3"/>
        <v>-77</v>
      </c>
      <c r="M35" s="1"/>
      <c r="N35" s="1"/>
      <c r="O35" s="1">
        <v>1252.907356756758</v>
      </c>
      <c r="P35" s="1">
        <v>1026.973243243244</v>
      </c>
      <c r="Q35" s="1"/>
      <c r="R35" s="1">
        <f t="shared" si="4"/>
        <v>822.8</v>
      </c>
      <c r="S35" s="5">
        <f t="shared" si="13"/>
        <v>379.91939999999704</v>
      </c>
      <c r="T35" s="5">
        <v>1000</v>
      </c>
      <c r="U35" s="1">
        <f t="shared" si="7"/>
        <v>12.215362177929023</v>
      </c>
      <c r="V35" s="1">
        <f t="shared" si="5"/>
        <v>10.538260330578515</v>
      </c>
      <c r="W35" s="1">
        <v>878.2</v>
      </c>
      <c r="X35" s="1">
        <v>947.2</v>
      </c>
      <c r="Y35" s="1">
        <v>847.2</v>
      </c>
      <c r="Z35" s="1">
        <v>844.8</v>
      </c>
      <c r="AA35" s="1">
        <v>866.6</v>
      </c>
      <c r="AB35" s="1">
        <v>846.4</v>
      </c>
      <c r="AC35" s="1">
        <v>855.4</v>
      </c>
      <c r="AD35" s="1">
        <v>803.6</v>
      </c>
      <c r="AE35" s="1"/>
      <c r="AF35" s="1">
        <f t="shared" si="8"/>
        <v>152</v>
      </c>
      <c r="AG35" s="1">
        <f t="shared" si="9"/>
        <v>400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96</v>
      </c>
      <c r="B36" s="1" t="s">
        <v>39</v>
      </c>
      <c r="C36" s="1">
        <v>479</v>
      </c>
      <c r="D36" s="1">
        <v>562</v>
      </c>
      <c r="E36" s="1">
        <v>501</v>
      </c>
      <c r="F36" s="1">
        <v>518</v>
      </c>
      <c r="G36" s="7">
        <v>0.45</v>
      </c>
      <c r="H36" s="1"/>
      <c r="I36" s="1" t="s">
        <v>97</v>
      </c>
      <c r="J36" s="1"/>
      <c r="K36" s="1">
        <v>508</v>
      </c>
      <c r="L36" s="1">
        <f t="shared" si="3"/>
        <v>-7</v>
      </c>
      <c r="M36" s="1"/>
      <c r="N36" s="1"/>
      <c r="O36" s="1">
        <v>258.63799999999998</v>
      </c>
      <c r="P36" s="1"/>
      <c r="Q36" s="1"/>
      <c r="R36" s="1">
        <f t="shared" si="4"/>
        <v>100.2</v>
      </c>
      <c r="S36" s="5">
        <f t="shared" si="13"/>
        <v>325.56200000000013</v>
      </c>
      <c r="T36" s="5"/>
      <c r="U36" s="1">
        <f t="shared" si="7"/>
        <v>11</v>
      </c>
      <c r="V36" s="1">
        <f t="shared" si="5"/>
        <v>7.7508782435129726</v>
      </c>
      <c r="W36" s="1">
        <v>83.2</v>
      </c>
      <c r="X36" s="1">
        <v>89.6</v>
      </c>
      <c r="Y36" s="1">
        <v>100.4</v>
      </c>
      <c r="Z36" s="1">
        <v>92.2</v>
      </c>
      <c r="AA36" s="1">
        <v>86.8</v>
      </c>
      <c r="AB36" s="1">
        <v>84.4</v>
      </c>
      <c r="AC36" s="1">
        <v>80.599999999999994</v>
      </c>
      <c r="AD36" s="1">
        <v>83.2</v>
      </c>
      <c r="AE36" s="1"/>
      <c r="AF36" s="1">
        <f t="shared" si="8"/>
        <v>147</v>
      </c>
      <c r="AG36" s="1">
        <f t="shared" si="9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98</v>
      </c>
      <c r="B37" s="1" t="s">
        <v>39</v>
      </c>
      <c r="C37" s="1">
        <v>1009</v>
      </c>
      <c r="D37" s="1">
        <v>1272</v>
      </c>
      <c r="E37" s="1">
        <v>1066</v>
      </c>
      <c r="F37" s="1">
        <v>1113</v>
      </c>
      <c r="G37" s="7">
        <v>0.4</v>
      </c>
      <c r="H37" s="1"/>
      <c r="I37" s="1" t="s">
        <v>99</v>
      </c>
      <c r="J37" s="1"/>
      <c r="K37" s="1">
        <v>1149</v>
      </c>
      <c r="L37" s="1">
        <f t="shared" si="3"/>
        <v>-83</v>
      </c>
      <c r="M37" s="1"/>
      <c r="N37" s="1"/>
      <c r="O37" s="1">
        <v>650.74953873873892</v>
      </c>
      <c r="P37" s="1">
        <v>533.40126126126142</v>
      </c>
      <c r="Q37" s="1"/>
      <c r="R37" s="1">
        <f t="shared" si="4"/>
        <v>213.2</v>
      </c>
      <c r="S37" s="5">
        <f t="shared" si="13"/>
        <v>48.049199999999473</v>
      </c>
      <c r="T37" s="5">
        <v>250</v>
      </c>
      <c r="U37" s="1">
        <f t="shared" si="7"/>
        <v>12.172607879924954</v>
      </c>
      <c r="V37" s="1">
        <f t="shared" si="5"/>
        <v>10.774628517823642</v>
      </c>
      <c r="W37" s="1">
        <v>223.6</v>
      </c>
      <c r="X37" s="1">
        <v>220.6</v>
      </c>
      <c r="Y37" s="1">
        <v>223.6</v>
      </c>
      <c r="Z37" s="1">
        <v>229.8</v>
      </c>
      <c r="AA37" s="1">
        <v>232.6</v>
      </c>
      <c r="AB37" s="1">
        <v>209</v>
      </c>
      <c r="AC37" s="1">
        <v>207.6</v>
      </c>
      <c r="AD37" s="1">
        <v>267.8</v>
      </c>
      <c r="AE37" s="1"/>
      <c r="AF37" s="1">
        <f t="shared" si="8"/>
        <v>19</v>
      </c>
      <c r="AG37" s="1">
        <f t="shared" si="9"/>
        <v>100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100</v>
      </c>
      <c r="B38" s="1" t="s">
        <v>39</v>
      </c>
      <c r="C38" s="1">
        <v>2</v>
      </c>
      <c r="D38" s="1">
        <v>48</v>
      </c>
      <c r="E38" s="1">
        <v>2</v>
      </c>
      <c r="F38" s="1">
        <v>48</v>
      </c>
      <c r="G38" s="7">
        <v>0.4</v>
      </c>
      <c r="H38" s="1"/>
      <c r="I38" s="1" t="s">
        <v>101</v>
      </c>
      <c r="J38" s="1"/>
      <c r="K38" s="1">
        <v>25</v>
      </c>
      <c r="L38" s="1">
        <f t="shared" ref="L38:L69" si="14">E38-K38</f>
        <v>-23</v>
      </c>
      <c r="M38" s="1"/>
      <c r="N38" s="1"/>
      <c r="O38" s="1"/>
      <c r="P38" s="1"/>
      <c r="Q38" s="1"/>
      <c r="R38" s="1">
        <f t="shared" ref="R38:R69" si="15">E38/5</f>
        <v>0.4</v>
      </c>
      <c r="S38" s="5"/>
      <c r="T38" s="5"/>
      <c r="U38" s="1">
        <f t="shared" si="7"/>
        <v>120</v>
      </c>
      <c r="V38" s="1">
        <f t="shared" ref="V38:V69" si="16">(F38+O38+P38)/R38</f>
        <v>120</v>
      </c>
      <c r="W38" s="1">
        <v>1</v>
      </c>
      <c r="X38" s="1">
        <v>3.8</v>
      </c>
      <c r="Y38" s="1">
        <v>3.8</v>
      </c>
      <c r="Z38" s="1">
        <v>0.6</v>
      </c>
      <c r="AA38" s="1">
        <v>0.2</v>
      </c>
      <c r="AB38" s="1">
        <v>1.8</v>
      </c>
      <c r="AC38" s="1">
        <v>1.2</v>
      </c>
      <c r="AD38" s="1">
        <v>0.6</v>
      </c>
      <c r="AE38" s="1"/>
      <c r="AF38" s="1">
        <f t="shared" si="8"/>
        <v>0</v>
      </c>
      <c r="AG38" s="1">
        <f t="shared" si="9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102</v>
      </c>
      <c r="B39" s="1" t="s">
        <v>32</v>
      </c>
      <c r="C39" s="1">
        <v>208.78800000000001</v>
      </c>
      <c r="D39" s="1">
        <v>279.80200000000002</v>
      </c>
      <c r="E39" s="1">
        <v>329.86500000000001</v>
      </c>
      <c r="F39" s="1">
        <v>136.863</v>
      </c>
      <c r="G39" s="7">
        <v>1</v>
      </c>
      <c r="H39" s="1"/>
      <c r="I39" s="1" t="s">
        <v>103</v>
      </c>
      <c r="J39" s="1"/>
      <c r="K39" s="1">
        <v>318.16800000000001</v>
      </c>
      <c r="L39" s="1">
        <f t="shared" si="14"/>
        <v>11.697000000000003</v>
      </c>
      <c r="M39" s="1"/>
      <c r="N39" s="1"/>
      <c r="O39" s="1">
        <v>240.45687709909919</v>
      </c>
      <c r="P39" s="1">
        <v>197.09580090090091</v>
      </c>
      <c r="Q39" s="1"/>
      <c r="R39" s="1">
        <f t="shared" si="15"/>
        <v>65.972999999999999</v>
      </c>
      <c r="S39" s="5">
        <f t="shared" si="13"/>
        <v>151.28732199999985</v>
      </c>
      <c r="T39" s="5"/>
      <c r="U39" s="1">
        <f t="shared" si="7"/>
        <v>11</v>
      </c>
      <c r="V39" s="1">
        <f t="shared" si="16"/>
        <v>8.7068297333757769</v>
      </c>
      <c r="W39" s="1">
        <v>63.581400000000002</v>
      </c>
      <c r="X39" s="1">
        <v>50.510399999999997</v>
      </c>
      <c r="Y39" s="1">
        <v>50.273200000000003</v>
      </c>
      <c r="Z39" s="1">
        <v>57.129399999999997</v>
      </c>
      <c r="AA39" s="1">
        <v>54.578599999999987</v>
      </c>
      <c r="AB39" s="1">
        <v>50.101999999999997</v>
      </c>
      <c r="AC39" s="1">
        <v>52.311999999999998</v>
      </c>
      <c r="AD39" s="1">
        <v>42.671799999999998</v>
      </c>
      <c r="AE39" s="1"/>
      <c r="AF39" s="1">
        <f t="shared" si="8"/>
        <v>151</v>
      </c>
      <c r="AG39" s="1">
        <f t="shared" si="9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104</v>
      </c>
      <c r="B40" s="1" t="s">
        <v>39</v>
      </c>
      <c r="C40" s="1">
        <v>2149</v>
      </c>
      <c r="D40" s="1">
        <v>10</v>
      </c>
      <c r="E40" s="1">
        <v>270</v>
      </c>
      <c r="F40" s="1">
        <v>1870</v>
      </c>
      <c r="G40" s="7">
        <v>0.1</v>
      </c>
      <c r="H40" s="1"/>
      <c r="I40" s="1" t="s">
        <v>105</v>
      </c>
      <c r="J40" s="1"/>
      <c r="K40" s="1">
        <v>286</v>
      </c>
      <c r="L40" s="1">
        <f t="shared" si="14"/>
        <v>-16</v>
      </c>
      <c r="M40" s="1"/>
      <c r="N40" s="1"/>
      <c r="O40" s="1"/>
      <c r="P40" s="1"/>
      <c r="Q40" s="1"/>
      <c r="R40" s="1">
        <f t="shared" si="15"/>
        <v>54</v>
      </c>
      <c r="S40" s="5"/>
      <c r="T40" s="5"/>
      <c r="U40" s="1">
        <f t="shared" si="7"/>
        <v>34.629629629629626</v>
      </c>
      <c r="V40" s="1">
        <f t="shared" si="16"/>
        <v>34.629629629629626</v>
      </c>
      <c r="W40" s="1">
        <v>48.6</v>
      </c>
      <c r="X40" s="1">
        <v>61.8</v>
      </c>
      <c r="Y40" s="1">
        <v>66</v>
      </c>
      <c r="Z40" s="1">
        <v>51</v>
      </c>
      <c r="AA40" s="1">
        <v>44.4</v>
      </c>
      <c r="AB40" s="1">
        <v>57.4</v>
      </c>
      <c r="AC40" s="1">
        <v>49.2</v>
      </c>
      <c r="AD40" s="1">
        <v>42.2</v>
      </c>
      <c r="AE40" s="14" t="s">
        <v>77</v>
      </c>
      <c r="AF40" s="1">
        <f t="shared" si="8"/>
        <v>0</v>
      </c>
      <c r="AG40" s="1">
        <f t="shared" si="9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106</v>
      </c>
      <c r="B41" s="1" t="s">
        <v>39</v>
      </c>
      <c r="C41" s="1">
        <v>219</v>
      </c>
      <c r="D41" s="1">
        <v>144</v>
      </c>
      <c r="E41" s="1">
        <v>264</v>
      </c>
      <c r="F41" s="1">
        <v>75</v>
      </c>
      <c r="G41" s="7">
        <v>0.35</v>
      </c>
      <c r="H41" s="1"/>
      <c r="I41" s="1" t="s">
        <v>107</v>
      </c>
      <c r="J41" s="1"/>
      <c r="K41" s="1">
        <v>286</v>
      </c>
      <c r="L41" s="1">
        <f t="shared" si="14"/>
        <v>-22</v>
      </c>
      <c r="M41" s="1"/>
      <c r="N41" s="1"/>
      <c r="O41" s="1">
        <v>261.00526126126118</v>
      </c>
      <c r="P41" s="1">
        <v>213.93873873873869</v>
      </c>
      <c r="Q41" s="1"/>
      <c r="R41" s="1">
        <f t="shared" si="15"/>
        <v>52.8</v>
      </c>
      <c r="S41" s="5">
        <f t="shared" si="13"/>
        <v>30.856000000000051</v>
      </c>
      <c r="T41" s="5"/>
      <c r="U41" s="1">
        <f t="shared" si="7"/>
        <v>11</v>
      </c>
      <c r="V41" s="1">
        <f t="shared" si="16"/>
        <v>10.415606060606057</v>
      </c>
      <c r="W41" s="1">
        <v>57</v>
      </c>
      <c r="X41" s="1">
        <v>43</v>
      </c>
      <c r="Y41" s="1">
        <v>47.6</v>
      </c>
      <c r="Z41" s="1">
        <v>54.6</v>
      </c>
      <c r="AA41" s="1">
        <v>47.6</v>
      </c>
      <c r="AB41" s="1">
        <v>45</v>
      </c>
      <c r="AC41" s="1">
        <v>46.8</v>
      </c>
      <c r="AD41" s="1">
        <v>52.2</v>
      </c>
      <c r="AE41" s="1"/>
      <c r="AF41" s="1">
        <f t="shared" si="8"/>
        <v>11</v>
      </c>
      <c r="AG41" s="1">
        <f t="shared" si="9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108</v>
      </c>
      <c r="B42" s="1" t="s">
        <v>32</v>
      </c>
      <c r="C42" s="1">
        <v>40.515999999999998</v>
      </c>
      <c r="D42" s="1">
        <v>30.131</v>
      </c>
      <c r="E42" s="1">
        <v>29.466999999999999</v>
      </c>
      <c r="F42" s="1">
        <v>35.408000000000001</v>
      </c>
      <c r="G42" s="7">
        <v>1</v>
      </c>
      <c r="H42" s="1"/>
      <c r="I42" s="1" t="s">
        <v>109</v>
      </c>
      <c r="J42" s="1"/>
      <c r="K42" s="1">
        <v>35.049999999999997</v>
      </c>
      <c r="L42" s="1">
        <f t="shared" si="14"/>
        <v>-5.5829999999999984</v>
      </c>
      <c r="M42" s="1"/>
      <c r="N42" s="1"/>
      <c r="O42" s="1">
        <v>36.779400000000003</v>
      </c>
      <c r="P42" s="1"/>
      <c r="Q42" s="1"/>
      <c r="R42" s="1">
        <f t="shared" si="15"/>
        <v>5.8933999999999997</v>
      </c>
      <c r="S42" s="5"/>
      <c r="T42" s="5"/>
      <c r="U42" s="1">
        <f t="shared" si="7"/>
        <v>12.248854650965487</v>
      </c>
      <c r="V42" s="1">
        <f t="shared" si="16"/>
        <v>12.248854650965487</v>
      </c>
      <c r="W42" s="1">
        <v>7.8151999999999999</v>
      </c>
      <c r="X42" s="1">
        <v>7.2846000000000002</v>
      </c>
      <c r="Y42" s="1">
        <v>9.9352</v>
      </c>
      <c r="Z42" s="1">
        <v>11.954800000000001</v>
      </c>
      <c r="AA42" s="1">
        <v>9.5638000000000005</v>
      </c>
      <c r="AB42" s="1">
        <v>10.995200000000001</v>
      </c>
      <c r="AC42" s="1">
        <v>10.239599999999999</v>
      </c>
      <c r="AD42" s="1">
        <v>13.516400000000001</v>
      </c>
      <c r="AE42" s="1"/>
      <c r="AF42" s="1">
        <f t="shared" si="8"/>
        <v>0</v>
      </c>
      <c r="AG42" s="1">
        <f t="shared" si="9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110</v>
      </c>
      <c r="B43" s="1" t="s">
        <v>39</v>
      </c>
      <c r="C43" s="1">
        <v>183</v>
      </c>
      <c r="D43" s="1">
        <v>324</v>
      </c>
      <c r="E43" s="1">
        <v>211</v>
      </c>
      <c r="F43" s="1">
        <v>282</v>
      </c>
      <c r="G43" s="7">
        <v>0.4</v>
      </c>
      <c r="H43" s="1"/>
      <c r="I43" s="1" t="s">
        <v>111</v>
      </c>
      <c r="J43" s="1"/>
      <c r="K43" s="1">
        <v>259</v>
      </c>
      <c r="L43" s="1">
        <f t="shared" si="14"/>
        <v>-48</v>
      </c>
      <c r="M43" s="1"/>
      <c r="N43" s="1"/>
      <c r="O43" s="1">
        <v>95.791999999999916</v>
      </c>
      <c r="P43" s="1"/>
      <c r="Q43" s="1"/>
      <c r="R43" s="1">
        <f t="shared" si="15"/>
        <v>42.2</v>
      </c>
      <c r="S43" s="5">
        <f t="shared" si="13"/>
        <v>86.408000000000129</v>
      </c>
      <c r="T43" s="5"/>
      <c r="U43" s="1">
        <f t="shared" si="7"/>
        <v>11</v>
      </c>
      <c r="V43" s="1">
        <f t="shared" si="16"/>
        <v>8.9524170616113725</v>
      </c>
      <c r="W43" s="1">
        <v>47.8</v>
      </c>
      <c r="X43" s="1">
        <v>56.4</v>
      </c>
      <c r="Y43" s="1">
        <v>47.8</v>
      </c>
      <c r="Z43" s="1">
        <v>38</v>
      </c>
      <c r="AA43" s="1">
        <v>48.6</v>
      </c>
      <c r="AB43" s="1">
        <v>34.4</v>
      </c>
      <c r="AC43" s="1">
        <v>41</v>
      </c>
      <c r="AD43" s="1">
        <v>34.200000000000003</v>
      </c>
      <c r="AE43" s="1"/>
      <c r="AF43" s="1">
        <f t="shared" si="8"/>
        <v>35</v>
      </c>
      <c r="AG43" s="1">
        <f t="shared" si="9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112</v>
      </c>
      <c r="B44" s="1" t="s">
        <v>39</v>
      </c>
      <c r="C44" s="1">
        <v>186</v>
      </c>
      <c r="D44" s="1">
        <v>378</v>
      </c>
      <c r="E44" s="1">
        <v>200</v>
      </c>
      <c r="F44" s="1">
        <v>355</v>
      </c>
      <c r="G44" s="7">
        <v>0.4</v>
      </c>
      <c r="H44" s="1"/>
      <c r="I44" s="1" t="s">
        <v>113</v>
      </c>
      <c r="J44" s="1"/>
      <c r="K44" s="1">
        <v>220</v>
      </c>
      <c r="L44" s="1">
        <f t="shared" si="14"/>
        <v>-20</v>
      </c>
      <c r="M44" s="1"/>
      <c r="N44" s="1"/>
      <c r="O44" s="1">
        <v>78.596000000000004</v>
      </c>
      <c r="P44" s="1"/>
      <c r="Q44" s="1"/>
      <c r="R44" s="1">
        <f t="shared" si="15"/>
        <v>40</v>
      </c>
      <c r="S44" s="5">
        <f t="shared" si="13"/>
        <v>6.4039999999999964</v>
      </c>
      <c r="T44" s="5"/>
      <c r="U44" s="1">
        <f t="shared" si="7"/>
        <v>11</v>
      </c>
      <c r="V44" s="1">
        <f t="shared" si="16"/>
        <v>10.8399</v>
      </c>
      <c r="W44" s="1">
        <v>40.200000000000003</v>
      </c>
      <c r="X44" s="1">
        <v>48.2</v>
      </c>
      <c r="Y44" s="1">
        <v>44.4</v>
      </c>
      <c r="Z44" s="1">
        <v>32.799999999999997</v>
      </c>
      <c r="AA44" s="1">
        <v>37.200000000000003</v>
      </c>
      <c r="AB44" s="1">
        <v>42.8</v>
      </c>
      <c r="AC44" s="1">
        <v>45.6</v>
      </c>
      <c r="AD44" s="1">
        <v>32.6</v>
      </c>
      <c r="AE44" s="1"/>
      <c r="AF44" s="1">
        <f t="shared" si="8"/>
        <v>3</v>
      </c>
      <c r="AG44" s="1">
        <f t="shared" si="9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114</v>
      </c>
      <c r="B45" s="1" t="s">
        <v>32</v>
      </c>
      <c r="C45" s="1">
        <v>136.988</v>
      </c>
      <c r="D45" s="1">
        <v>172.96</v>
      </c>
      <c r="E45" s="1">
        <v>105.096</v>
      </c>
      <c r="F45" s="1">
        <v>195.708</v>
      </c>
      <c r="G45" s="7">
        <v>1</v>
      </c>
      <c r="H45" s="1"/>
      <c r="I45" s="1" t="s">
        <v>115</v>
      </c>
      <c r="J45" s="1"/>
      <c r="K45" s="1">
        <v>113.13500000000001</v>
      </c>
      <c r="L45" s="1">
        <f t="shared" si="14"/>
        <v>-8.0390000000000015</v>
      </c>
      <c r="M45" s="1"/>
      <c r="N45" s="1"/>
      <c r="O45" s="1">
        <v>84.469182000000089</v>
      </c>
      <c r="P45" s="1"/>
      <c r="Q45" s="1"/>
      <c r="R45" s="1">
        <f t="shared" si="15"/>
        <v>21.019200000000001</v>
      </c>
      <c r="S45" s="5"/>
      <c r="T45" s="5"/>
      <c r="U45" s="1">
        <f t="shared" si="7"/>
        <v>13.329583523635536</v>
      </c>
      <c r="V45" s="1">
        <f t="shared" si="16"/>
        <v>13.329583523635536</v>
      </c>
      <c r="W45" s="1">
        <v>27.880800000000001</v>
      </c>
      <c r="X45" s="1">
        <v>26.376999999999999</v>
      </c>
      <c r="Y45" s="1">
        <v>22.745999999999999</v>
      </c>
      <c r="Z45" s="1">
        <v>24.5078</v>
      </c>
      <c r="AA45" s="1">
        <v>27.916</v>
      </c>
      <c r="AB45" s="1">
        <v>25.068000000000001</v>
      </c>
      <c r="AC45" s="1">
        <v>26.6584</v>
      </c>
      <c r="AD45" s="1">
        <v>31.678000000000001</v>
      </c>
      <c r="AE45" s="1"/>
      <c r="AF45" s="1">
        <f t="shared" si="8"/>
        <v>0</v>
      </c>
      <c r="AG45" s="1">
        <f t="shared" si="9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116</v>
      </c>
      <c r="B46" s="1" t="s">
        <v>39</v>
      </c>
      <c r="C46" s="1">
        <v>1170</v>
      </c>
      <c r="D46" s="1">
        <v>1604</v>
      </c>
      <c r="E46" s="1">
        <v>1562</v>
      </c>
      <c r="F46" s="1">
        <v>1114</v>
      </c>
      <c r="G46" s="7">
        <v>0.35</v>
      </c>
      <c r="H46" s="1"/>
      <c r="I46" s="1" t="s">
        <v>117</v>
      </c>
      <c r="J46" s="1"/>
      <c r="K46" s="1">
        <v>1594</v>
      </c>
      <c r="L46" s="1">
        <f t="shared" si="14"/>
        <v>-32</v>
      </c>
      <c r="M46" s="1"/>
      <c r="N46" s="1"/>
      <c r="O46" s="1">
        <v>1227.341212612612</v>
      </c>
      <c r="P46" s="1">
        <v>1006.017387387387</v>
      </c>
      <c r="Q46" s="1"/>
      <c r="R46" s="1">
        <f t="shared" si="15"/>
        <v>312.39999999999998</v>
      </c>
      <c r="S46" s="5">
        <f t="shared" si="13"/>
        <v>89.041400000000749</v>
      </c>
      <c r="T46" s="5">
        <v>600</v>
      </c>
      <c r="U46" s="1">
        <f t="shared" si="7"/>
        <v>12.920614596670934</v>
      </c>
      <c r="V46" s="1">
        <f t="shared" si="16"/>
        <v>10.714976312419973</v>
      </c>
      <c r="W46" s="1">
        <v>340.2</v>
      </c>
      <c r="X46" s="1">
        <v>330.4</v>
      </c>
      <c r="Y46" s="1">
        <v>325.60000000000002</v>
      </c>
      <c r="Z46" s="1">
        <v>357.4</v>
      </c>
      <c r="AA46" s="1">
        <v>342.4</v>
      </c>
      <c r="AB46" s="1">
        <v>291.8</v>
      </c>
      <c r="AC46" s="1">
        <v>366.2</v>
      </c>
      <c r="AD46" s="1">
        <v>446.2</v>
      </c>
      <c r="AE46" s="1"/>
      <c r="AF46" s="1">
        <f t="shared" si="8"/>
        <v>31</v>
      </c>
      <c r="AG46" s="1">
        <f t="shared" si="9"/>
        <v>210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118</v>
      </c>
      <c r="B47" s="1" t="s">
        <v>39</v>
      </c>
      <c r="C47" s="1">
        <v>522</v>
      </c>
      <c r="D47" s="1">
        <v>642</v>
      </c>
      <c r="E47" s="1">
        <v>620</v>
      </c>
      <c r="F47" s="1">
        <v>514</v>
      </c>
      <c r="G47" s="7">
        <v>0.4</v>
      </c>
      <c r="H47" s="1"/>
      <c r="I47" s="1" t="s">
        <v>119</v>
      </c>
      <c r="J47" s="1"/>
      <c r="K47" s="1">
        <v>632</v>
      </c>
      <c r="L47" s="1">
        <f t="shared" si="14"/>
        <v>-12</v>
      </c>
      <c r="M47" s="1"/>
      <c r="N47" s="1"/>
      <c r="O47" s="1">
        <v>230.40963963963949</v>
      </c>
      <c r="P47" s="1">
        <v>188.8603603603602</v>
      </c>
      <c r="Q47" s="1"/>
      <c r="R47" s="1">
        <f t="shared" si="15"/>
        <v>124</v>
      </c>
      <c r="S47" s="5">
        <f t="shared" si="13"/>
        <v>430.73000000000036</v>
      </c>
      <c r="T47" s="5"/>
      <c r="U47" s="1">
        <f t="shared" si="7"/>
        <v>11</v>
      </c>
      <c r="V47" s="1">
        <f t="shared" si="16"/>
        <v>7.5263709677419337</v>
      </c>
      <c r="W47" s="1">
        <v>125.6</v>
      </c>
      <c r="X47" s="1">
        <v>124.2</v>
      </c>
      <c r="Y47" s="1">
        <v>123.2</v>
      </c>
      <c r="Z47" s="1">
        <v>114.6</v>
      </c>
      <c r="AA47" s="1">
        <v>108.4</v>
      </c>
      <c r="AB47" s="1">
        <v>112.4</v>
      </c>
      <c r="AC47" s="1">
        <v>102.4</v>
      </c>
      <c r="AD47" s="1">
        <v>113.2</v>
      </c>
      <c r="AE47" s="1"/>
      <c r="AF47" s="1">
        <f t="shared" si="8"/>
        <v>172</v>
      </c>
      <c r="AG47" s="1">
        <f t="shared" si="9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120</v>
      </c>
      <c r="B48" s="1" t="s">
        <v>32</v>
      </c>
      <c r="C48" s="1">
        <v>364.93599999999998</v>
      </c>
      <c r="D48" s="1">
        <v>183.26599999999999</v>
      </c>
      <c r="E48" s="1">
        <v>460.24599999999998</v>
      </c>
      <c r="F48" s="1">
        <v>70.722999999999999</v>
      </c>
      <c r="G48" s="7">
        <v>1</v>
      </c>
      <c r="H48" s="1"/>
      <c r="I48" s="1" t="s">
        <v>121</v>
      </c>
      <c r="J48" s="1"/>
      <c r="K48" s="1">
        <v>452.75</v>
      </c>
      <c r="L48" s="1">
        <f t="shared" si="14"/>
        <v>7.4959999999999809</v>
      </c>
      <c r="M48" s="1"/>
      <c r="N48" s="1"/>
      <c r="O48" s="1">
        <v>325.4270974774775</v>
      </c>
      <c r="P48" s="1">
        <v>266.74352252252248</v>
      </c>
      <c r="Q48" s="1"/>
      <c r="R48" s="1">
        <f t="shared" si="15"/>
        <v>92.049199999999999</v>
      </c>
      <c r="S48" s="5">
        <f t="shared" si="13"/>
        <v>349.64757999999995</v>
      </c>
      <c r="T48" s="5"/>
      <c r="U48" s="1">
        <f t="shared" si="7"/>
        <v>11</v>
      </c>
      <c r="V48" s="1">
        <f t="shared" si="16"/>
        <v>7.2015141902373951</v>
      </c>
      <c r="W48" s="1">
        <v>107.1942</v>
      </c>
      <c r="X48" s="1">
        <v>100.47280000000001</v>
      </c>
      <c r="Y48" s="1">
        <v>94.212999999999994</v>
      </c>
      <c r="Z48" s="1">
        <v>105.2924</v>
      </c>
      <c r="AA48" s="1">
        <v>90.395600000000002</v>
      </c>
      <c r="AB48" s="1">
        <v>87.028800000000004</v>
      </c>
      <c r="AC48" s="1">
        <v>82.031399999999991</v>
      </c>
      <c r="AD48" s="1">
        <v>93.462000000000003</v>
      </c>
      <c r="AE48" s="1"/>
      <c r="AF48" s="1">
        <f t="shared" si="8"/>
        <v>350</v>
      </c>
      <c r="AG48" s="1">
        <f t="shared" si="9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122</v>
      </c>
      <c r="B49" s="1" t="s">
        <v>32</v>
      </c>
      <c r="C49" s="1">
        <v>710.71299999999997</v>
      </c>
      <c r="D49" s="1">
        <v>552.02700000000004</v>
      </c>
      <c r="E49" s="1">
        <v>573.33100000000002</v>
      </c>
      <c r="F49" s="1">
        <v>659.72900000000004</v>
      </c>
      <c r="G49" s="7">
        <v>1</v>
      </c>
      <c r="H49" s="1"/>
      <c r="I49" s="1" t="s">
        <v>123</v>
      </c>
      <c r="J49" s="1"/>
      <c r="K49" s="1">
        <v>560.29999999999995</v>
      </c>
      <c r="L49" s="1">
        <f t="shared" si="14"/>
        <v>13.031000000000063</v>
      </c>
      <c r="M49" s="1"/>
      <c r="N49" s="1"/>
      <c r="O49" s="1">
        <v>277.27825800000022</v>
      </c>
      <c r="P49" s="1"/>
      <c r="Q49" s="1"/>
      <c r="R49" s="1">
        <f t="shared" si="15"/>
        <v>114.6662</v>
      </c>
      <c r="S49" s="5">
        <f t="shared" si="13"/>
        <v>324.3209419999996</v>
      </c>
      <c r="T49" s="5"/>
      <c r="U49" s="1">
        <f t="shared" si="7"/>
        <v>10.999999999999998</v>
      </c>
      <c r="V49" s="1">
        <f t="shared" si="16"/>
        <v>8.1716081809635295</v>
      </c>
      <c r="W49" s="1">
        <v>108.624</v>
      </c>
      <c r="X49" s="1">
        <v>114.25920000000001</v>
      </c>
      <c r="Y49" s="1">
        <v>125.9438</v>
      </c>
      <c r="Z49" s="1">
        <v>125.8948</v>
      </c>
      <c r="AA49" s="1">
        <v>120.74460000000001</v>
      </c>
      <c r="AB49" s="1">
        <v>111.24639999999999</v>
      </c>
      <c r="AC49" s="1">
        <v>115.67</v>
      </c>
      <c r="AD49" s="1">
        <v>116.90860000000001</v>
      </c>
      <c r="AE49" s="1"/>
      <c r="AF49" s="1">
        <f t="shared" si="8"/>
        <v>324</v>
      </c>
      <c r="AG49" s="1">
        <f t="shared" si="9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124</v>
      </c>
      <c r="B50" s="1" t="s">
        <v>32</v>
      </c>
      <c r="C50" s="1">
        <v>-36.381</v>
      </c>
      <c r="D50" s="1">
        <v>78.843999999999994</v>
      </c>
      <c r="E50" s="1">
        <v>40.948</v>
      </c>
      <c r="F50" s="1">
        <v>1.5149999999999999</v>
      </c>
      <c r="G50" s="7">
        <v>1</v>
      </c>
      <c r="H50" s="1"/>
      <c r="I50" s="1" t="s">
        <v>125</v>
      </c>
      <c r="J50" s="1"/>
      <c r="K50" s="1">
        <v>42.7</v>
      </c>
      <c r="L50" s="1">
        <f t="shared" si="14"/>
        <v>-1.7520000000000024</v>
      </c>
      <c r="M50" s="1"/>
      <c r="N50" s="1"/>
      <c r="O50" s="1">
        <v>3.6164000000000018</v>
      </c>
      <c r="P50" s="1"/>
      <c r="Q50" s="1"/>
      <c r="R50" s="1">
        <f t="shared" si="15"/>
        <v>8.1896000000000004</v>
      </c>
      <c r="S50" s="5">
        <f>8*R50-P50-O50-F50</f>
        <v>60.385400000000004</v>
      </c>
      <c r="T50" s="5"/>
      <c r="U50" s="1">
        <f t="shared" si="7"/>
        <v>8</v>
      </c>
      <c r="V50" s="1">
        <f t="shared" si="16"/>
        <v>0.62657516850639861</v>
      </c>
      <c r="W50" s="1">
        <v>1.7692000000000001</v>
      </c>
      <c r="X50" s="1">
        <v>4.5528000000000004</v>
      </c>
      <c r="Y50" s="1">
        <v>10.3088</v>
      </c>
      <c r="Z50" s="1">
        <v>9.6738</v>
      </c>
      <c r="AA50" s="1">
        <v>5.3747999999999996</v>
      </c>
      <c r="AB50" s="1">
        <v>3.0819999999999999</v>
      </c>
      <c r="AC50" s="1">
        <v>8.1113999999999997</v>
      </c>
      <c r="AD50" s="1">
        <v>4.7472000000000003</v>
      </c>
      <c r="AE50" s="1"/>
      <c r="AF50" s="1">
        <f t="shared" si="8"/>
        <v>60</v>
      </c>
      <c r="AG50" s="1">
        <f t="shared" si="9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126</v>
      </c>
      <c r="B51" s="1" t="s">
        <v>39</v>
      </c>
      <c r="C51" s="1">
        <v>368</v>
      </c>
      <c r="D51" s="1">
        <v>121</v>
      </c>
      <c r="E51" s="1">
        <v>338</v>
      </c>
      <c r="F51" s="1">
        <v>134</v>
      </c>
      <c r="G51" s="7">
        <v>0.45</v>
      </c>
      <c r="H51" s="1"/>
      <c r="I51" s="1" t="s">
        <v>127</v>
      </c>
      <c r="J51" s="1"/>
      <c r="K51" s="1">
        <v>346</v>
      </c>
      <c r="L51" s="1">
        <f t="shared" si="14"/>
        <v>-8</v>
      </c>
      <c r="M51" s="1"/>
      <c r="N51" s="1"/>
      <c r="O51" s="1">
        <v>236.4744684684685</v>
      </c>
      <c r="P51" s="1">
        <v>193.83153153153151</v>
      </c>
      <c r="Q51" s="1"/>
      <c r="R51" s="1">
        <f t="shared" si="15"/>
        <v>67.599999999999994</v>
      </c>
      <c r="S51" s="5">
        <f t="shared" si="13"/>
        <v>179.29399999999993</v>
      </c>
      <c r="T51" s="5"/>
      <c r="U51" s="1">
        <f t="shared" si="7"/>
        <v>11</v>
      </c>
      <c r="V51" s="1">
        <f t="shared" si="16"/>
        <v>8.3477218934911264</v>
      </c>
      <c r="W51" s="1">
        <v>61.8</v>
      </c>
      <c r="X51" s="1">
        <v>46</v>
      </c>
      <c r="Y51" s="1">
        <v>54.8</v>
      </c>
      <c r="Z51" s="1">
        <v>66.400000000000006</v>
      </c>
      <c r="AA51" s="1">
        <v>62.4</v>
      </c>
      <c r="AB51" s="1">
        <v>53.8</v>
      </c>
      <c r="AC51" s="1">
        <v>60.6</v>
      </c>
      <c r="AD51" s="1">
        <v>76</v>
      </c>
      <c r="AE51" s="1"/>
      <c r="AF51" s="1">
        <f t="shared" si="8"/>
        <v>81</v>
      </c>
      <c r="AG51" s="1">
        <f t="shared" si="9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128</v>
      </c>
      <c r="B52" s="1" t="s">
        <v>39</v>
      </c>
      <c r="C52" s="1">
        <v>525</v>
      </c>
      <c r="D52" s="1">
        <v>651</v>
      </c>
      <c r="E52" s="1">
        <v>519</v>
      </c>
      <c r="F52" s="1">
        <v>643</v>
      </c>
      <c r="G52" s="7">
        <v>0.45</v>
      </c>
      <c r="H52" s="1"/>
      <c r="I52" s="1" t="s">
        <v>129</v>
      </c>
      <c r="J52" s="1"/>
      <c r="K52" s="1">
        <v>526</v>
      </c>
      <c r="L52" s="1">
        <f t="shared" si="14"/>
        <v>-7</v>
      </c>
      <c r="M52" s="1"/>
      <c r="N52" s="1"/>
      <c r="O52" s="1">
        <v>272</v>
      </c>
      <c r="P52" s="1"/>
      <c r="Q52" s="1"/>
      <c r="R52" s="1">
        <f t="shared" si="15"/>
        <v>103.8</v>
      </c>
      <c r="S52" s="5">
        <f t="shared" si="13"/>
        <v>226.79999999999995</v>
      </c>
      <c r="T52" s="5"/>
      <c r="U52" s="1">
        <f t="shared" si="7"/>
        <v>11</v>
      </c>
      <c r="V52" s="1">
        <f t="shared" si="16"/>
        <v>8.8150289017341041</v>
      </c>
      <c r="W52" s="1">
        <v>93</v>
      </c>
      <c r="X52" s="1">
        <v>100</v>
      </c>
      <c r="Y52" s="1">
        <v>100.8</v>
      </c>
      <c r="Z52" s="1">
        <v>89</v>
      </c>
      <c r="AA52" s="1">
        <v>96.8</v>
      </c>
      <c r="AB52" s="1">
        <v>83.8</v>
      </c>
      <c r="AC52" s="1">
        <v>86</v>
      </c>
      <c r="AD52" s="1">
        <v>94.2</v>
      </c>
      <c r="AE52" s="1"/>
      <c r="AF52" s="1">
        <f t="shared" si="8"/>
        <v>102</v>
      </c>
      <c r="AG52" s="1">
        <f t="shared" si="9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130</v>
      </c>
      <c r="B53" s="1" t="s">
        <v>39</v>
      </c>
      <c r="C53" s="1">
        <v>115</v>
      </c>
      <c r="D53" s="1">
        <v>216</v>
      </c>
      <c r="E53" s="1">
        <v>93</v>
      </c>
      <c r="F53" s="1">
        <v>224</v>
      </c>
      <c r="G53" s="7">
        <v>0.4</v>
      </c>
      <c r="H53" s="1"/>
      <c r="I53" s="1" t="s">
        <v>131</v>
      </c>
      <c r="J53" s="1"/>
      <c r="K53" s="1">
        <v>166</v>
      </c>
      <c r="L53" s="1">
        <f t="shared" si="14"/>
        <v>-73</v>
      </c>
      <c r="M53" s="1"/>
      <c r="N53" s="1"/>
      <c r="O53" s="1">
        <v>150.1279999999999</v>
      </c>
      <c r="P53" s="1"/>
      <c r="Q53" s="1"/>
      <c r="R53" s="1">
        <f t="shared" si="15"/>
        <v>18.600000000000001</v>
      </c>
      <c r="S53" s="5"/>
      <c r="T53" s="5"/>
      <c r="U53" s="1">
        <f t="shared" si="7"/>
        <v>20.114408602150533</v>
      </c>
      <c r="V53" s="1">
        <f t="shared" si="16"/>
        <v>20.114408602150533</v>
      </c>
      <c r="W53" s="1">
        <v>31.4</v>
      </c>
      <c r="X53" s="1">
        <v>27.6</v>
      </c>
      <c r="Y53" s="1">
        <v>19.2</v>
      </c>
      <c r="Z53" s="1">
        <v>22</v>
      </c>
      <c r="AA53" s="1">
        <v>27.6</v>
      </c>
      <c r="AB53" s="1">
        <v>20.6</v>
      </c>
      <c r="AC53" s="1">
        <v>31.2</v>
      </c>
      <c r="AD53" s="1">
        <v>22</v>
      </c>
      <c r="AE53" s="1"/>
      <c r="AF53" s="1">
        <f t="shared" si="8"/>
        <v>0</v>
      </c>
      <c r="AG53" s="1">
        <f t="shared" si="9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132</v>
      </c>
      <c r="B54" s="1" t="s">
        <v>39</v>
      </c>
      <c r="C54" s="1">
        <v>90</v>
      </c>
      <c r="D54" s="1">
        <v>44</v>
      </c>
      <c r="E54" s="1">
        <v>72</v>
      </c>
      <c r="F54" s="1">
        <v>53</v>
      </c>
      <c r="G54" s="7">
        <v>0.4</v>
      </c>
      <c r="H54" s="1"/>
      <c r="I54" s="1" t="s">
        <v>133</v>
      </c>
      <c r="J54" s="1"/>
      <c r="K54" s="1">
        <v>76</v>
      </c>
      <c r="L54" s="1">
        <f t="shared" si="14"/>
        <v>-4</v>
      </c>
      <c r="M54" s="1"/>
      <c r="N54" s="1"/>
      <c r="O54" s="1">
        <v>73.40000000000002</v>
      </c>
      <c r="P54" s="1"/>
      <c r="Q54" s="1"/>
      <c r="R54" s="1">
        <f t="shared" si="15"/>
        <v>14.4</v>
      </c>
      <c r="S54" s="5">
        <f t="shared" si="13"/>
        <v>31.999999999999986</v>
      </c>
      <c r="T54" s="5"/>
      <c r="U54" s="1">
        <f t="shared" si="7"/>
        <v>11</v>
      </c>
      <c r="V54" s="1">
        <f t="shared" si="16"/>
        <v>8.7777777777777786</v>
      </c>
      <c r="W54" s="1">
        <v>12.8</v>
      </c>
      <c r="X54" s="1">
        <v>10</v>
      </c>
      <c r="Y54" s="1">
        <v>8.8000000000000007</v>
      </c>
      <c r="Z54" s="1">
        <v>7.8</v>
      </c>
      <c r="AA54" s="1">
        <v>12.4</v>
      </c>
      <c r="AB54" s="1">
        <v>10.6</v>
      </c>
      <c r="AC54" s="1">
        <v>10.8</v>
      </c>
      <c r="AD54" s="1">
        <v>8.6</v>
      </c>
      <c r="AE54" s="1"/>
      <c r="AF54" s="1">
        <f t="shared" si="8"/>
        <v>13</v>
      </c>
      <c r="AG54" s="1">
        <f t="shared" si="9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134</v>
      </c>
      <c r="B55" s="1" t="s">
        <v>32</v>
      </c>
      <c r="C55" s="1">
        <v>765.09100000000001</v>
      </c>
      <c r="D55" s="1">
        <v>879.66700000000003</v>
      </c>
      <c r="E55" s="1">
        <v>678.62099999999998</v>
      </c>
      <c r="F55" s="1">
        <v>931.64800000000002</v>
      </c>
      <c r="G55" s="7">
        <v>1</v>
      </c>
      <c r="H55" s="1"/>
      <c r="I55" s="1" t="s">
        <v>135</v>
      </c>
      <c r="J55" s="1"/>
      <c r="K55" s="1">
        <v>672.11</v>
      </c>
      <c r="L55" s="1">
        <f t="shared" si="14"/>
        <v>6.5109999999999673</v>
      </c>
      <c r="M55" s="1"/>
      <c r="N55" s="1"/>
      <c r="O55" s="1">
        <v>261.45388054054069</v>
      </c>
      <c r="P55" s="1">
        <v>214.3064594594596</v>
      </c>
      <c r="Q55" s="1"/>
      <c r="R55" s="1">
        <f t="shared" si="15"/>
        <v>135.7242</v>
      </c>
      <c r="S55" s="5">
        <f t="shared" si="13"/>
        <v>85.55785999999955</v>
      </c>
      <c r="T55" s="5"/>
      <c r="U55" s="1">
        <f t="shared" si="7"/>
        <v>11</v>
      </c>
      <c r="V55" s="1">
        <f t="shared" si="16"/>
        <v>10.369619714096677</v>
      </c>
      <c r="W55" s="1">
        <v>150.4196</v>
      </c>
      <c r="X55" s="1">
        <v>157.773</v>
      </c>
      <c r="Y55" s="1">
        <v>158.69540000000001</v>
      </c>
      <c r="Z55" s="1">
        <v>162.9692</v>
      </c>
      <c r="AA55" s="1">
        <v>150.57419999999999</v>
      </c>
      <c r="AB55" s="1">
        <v>145.5796</v>
      </c>
      <c r="AC55" s="1">
        <v>128.56299999999999</v>
      </c>
      <c r="AD55" s="1">
        <v>143.541</v>
      </c>
      <c r="AE55" s="1"/>
      <c r="AF55" s="1">
        <f t="shared" si="8"/>
        <v>86</v>
      </c>
      <c r="AG55" s="1">
        <f t="shared" si="9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136</v>
      </c>
      <c r="B56" s="1" t="s">
        <v>39</v>
      </c>
      <c r="C56" s="1">
        <v>1187</v>
      </c>
      <c r="D56" s="1"/>
      <c r="E56" s="1">
        <v>167</v>
      </c>
      <c r="F56" s="1">
        <v>1012</v>
      </c>
      <c r="G56" s="7">
        <v>0.1</v>
      </c>
      <c r="H56" s="1"/>
      <c r="I56" s="1" t="s">
        <v>137</v>
      </c>
      <c r="J56" s="1"/>
      <c r="K56" s="1">
        <v>167</v>
      </c>
      <c r="L56" s="1">
        <f t="shared" si="14"/>
        <v>0</v>
      </c>
      <c r="M56" s="1"/>
      <c r="N56" s="1"/>
      <c r="O56" s="1"/>
      <c r="P56" s="1"/>
      <c r="Q56" s="1"/>
      <c r="R56" s="1">
        <f t="shared" si="15"/>
        <v>33.4</v>
      </c>
      <c r="S56" s="5"/>
      <c r="T56" s="5"/>
      <c r="U56" s="1">
        <f t="shared" si="7"/>
        <v>30.299401197604791</v>
      </c>
      <c r="V56" s="1">
        <f t="shared" si="16"/>
        <v>30.299401197604791</v>
      </c>
      <c r="W56" s="1">
        <v>29</v>
      </c>
      <c r="X56" s="1">
        <v>31.2</v>
      </c>
      <c r="Y56" s="1">
        <v>33.799999999999997</v>
      </c>
      <c r="Z56" s="1">
        <v>31</v>
      </c>
      <c r="AA56" s="1">
        <v>35.6</v>
      </c>
      <c r="AB56" s="1">
        <v>31.6</v>
      </c>
      <c r="AC56" s="1">
        <v>34</v>
      </c>
      <c r="AD56" s="1">
        <v>29.6</v>
      </c>
      <c r="AE56" s="14" t="s">
        <v>77</v>
      </c>
      <c r="AF56" s="1">
        <f t="shared" si="8"/>
        <v>0</v>
      </c>
      <c r="AG56" s="1">
        <f t="shared" si="9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138</v>
      </c>
      <c r="B57" s="1" t="s">
        <v>32</v>
      </c>
      <c r="C57" s="1">
        <v>1069.1890000000001</v>
      </c>
      <c r="D57" s="1">
        <v>430.35</v>
      </c>
      <c r="E57" s="1">
        <v>989.08600000000001</v>
      </c>
      <c r="F57" s="1">
        <v>484.726</v>
      </c>
      <c r="G57" s="7">
        <v>1</v>
      </c>
      <c r="H57" s="1"/>
      <c r="I57" s="1" t="s">
        <v>139</v>
      </c>
      <c r="J57" s="1"/>
      <c r="K57" s="1">
        <v>966.55</v>
      </c>
      <c r="L57" s="1">
        <f t="shared" si="14"/>
        <v>22.536000000000058</v>
      </c>
      <c r="M57" s="1"/>
      <c r="N57" s="1"/>
      <c r="O57" s="1">
        <v>220.0701407387385</v>
      </c>
      <c r="P57" s="1">
        <v>180.38536126126101</v>
      </c>
      <c r="Q57" s="1"/>
      <c r="R57" s="1">
        <f t="shared" si="15"/>
        <v>197.81720000000001</v>
      </c>
      <c r="S57" s="5">
        <f>10*R57-P57-O57-F57</f>
        <v>1092.9904980000006</v>
      </c>
      <c r="T57" s="5"/>
      <c r="U57" s="1">
        <f t="shared" si="7"/>
        <v>10</v>
      </c>
      <c r="V57" s="1">
        <f t="shared" si="16"/>
        <v>4.4747448755719894</v>
      </c>
      <c r="W57" s="1">
        <v>133.85419999999999</v>
      </c>
      <c r="X57" s="1">
        <v>120.19540000000001</v>
      </c>
      <c r="Y57" s="1">
        <v>164.78899999999999</v>
      </c>
      <c r="Z57" s="1">
        <v>169.20179999999999</v>
      </c>
      <c r="AA57" s="1">
        <v>170.42339999999999</v>
      </c>
      <c r="AB57" s="1">
        <v>132.49619999999999</v>
      </c>
      <c r="AC57" s="1">
        <v>135.11699999999999</v>
      </c>
      <c r="AD57" s="1">
        <v>134.7492</v>
      </c>
      <c r="AE57" s="1"/>
      <c r="AF57" s="1">
        <f t="shared" si="8"/>
        <v>1093</v>
      </c>
      <c r="AG57" s="1">
        <f t="shared" si="9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140</v>
      </c>
      <c r="B58" s="1" t="s">
        <v>32</v>
      </c>
      <c r="C58" s="1">
        <v>171.38200000000001</v>
      </c>
      <c r="D58" s="1">
        <v>75.37</v>
      </c>
      <c r="E58" s="1">
        <v>114.59699999999999</v>
      </c>
      <c r="F58" s="1">
        <v>131.239</v>
      </c>
      <c r="G58" s="7">
        <v>1</v>
      </c>
      <c r="H58" s="1"/>
      <c r="I58" s="1" t="s">
        <v>141</v>
      </c>
      <c r="J58" s="1"/>
      <c r="K58" s="1">
        <v>111.2</v>
      </c>
      <c r="L58" s="1">
        <f t="shared" si="14"/>
        <v>3.3969999999999914</v>
      </c>
      <c r="M58" s="1"/>
      <c r="N58" s="1"/>
      <c r="O58" s="1">
        <v>51.003244000000016</v>
      </c>
      <c r="P58" s="1"/>
      <c r="Q58" s="1"/>
      <c r="R58" s="1">
        <f t="shared" si="15"/>
        <v>22.9194</v>
      </c>
      <c r="S58" s="5">
        <f t="shared" si="13"/>
        <v>69.871155999999957</v>
      </c>
      <c r="T58" s="5"/>
      <c r="U58" s="1">
        <f t="shared" si="7"/>
        <v>11</v>
      </c>
      <c r="V58" s="1">
        <f t="shared" si="16"/>
        <v>7.9514404391039921</v>
      </c>
      <c r="W58" s="1">
        <v>20.6586</v>
      </c>
      <c r="X58" s="1">
        <v>19.6098</v>
      </c>
      <c r="Y58" s="1">
        <v>22.2102</v>
      </c>
      <c r="Z58" s="1">
        <v>19.939399999999999</v>
      </c>
      <c r="AA58" s="1">
        <v>13.745200000000001</v>
      </c>
      <c r="AB58" s="1">
        <v>23.980599999999999</v>
      </c>
      <c r="AC58" s="1">
        <v>17.0306</v>
      </c>
      <c r="AD58" s="1">
        <v>20.233799999999999</v>
      </c>
      <c r="AE58" s="1"/>
      <c r="AF58" s="1">
        <f t="shared" si="8"/>
        <v>70</v>
      </c>
      <c r="AG58" s="1">
        <f t="shared" si="9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142</v>
      </c>
      <c r="B59" s="1" t="s">
        <v>39</v>
      </c>
      <c r="C59" s="1">
        <v>814</v>
      </c>
      <c r="D59" s="1"/>
      <c r="E59" s="1">
        <v>172</v>
      </c>
      <c r="F59" s="1">
        <v>630</v>
      </c>
      <c r="G59" s="7">
        <v>0.1</v>
      </c>
      <c r="H59" s="1"/>
      <c r="I59" s="1" t="s">
        <v>143</v>
      </c>
      <c r="J59" s="1"/>
      <c r="K59" s="1">
        <v>175</v>
      </c>
      <c r="L59" s="1">
        <f t="shared" si="14"/>
        <v>-3</v>
      </c>
      <c r="M59" s="1"/>
      <c r="N59" s="1"/>
      <c r="O59" s="1"/>
      <c r="P59" s="1"/>
      <c r="Q59" s="1"/>
      <c r="R59" s="1">
        <f t="shared" si="15"/>
        <v>34.4</v>
      </c>
      <c r="S59" s="5"/>
      <c r="T59" s="5"/>
      <c r="U59" s="1">
        <f t="shared" si="7"/>
        <v>18.313953488372093</v>
      </c>
      <c r="V59" s="1">
        <f t="shared" si="16"/>
        <v>18.313953488372093</v>
      </c>
      <c r="W59" s="1">
        <v>28.6</v>
      </c>
      <c r="X59" s="1">
        <v>33.6</v>
      </c>
      <c r="Y59" s="1">
        <v>33.6</v>
      </c>
      <c r="Z59" s="1">
        <v>24.6</v>
      </c>
      <c r="AA59" s="1">
        <v>28.8</v>
      </c>
      <c r="AB59" s="1">
        <v>29.8</v>
      </c>
      <c r="AC59" s="1">
        <v>29.8</v>
      </c>
      <c r="AD59" s="1">
        <v>27.2</v>
      </c>
      <c r="AE59" s="13" t="s">
        <v>144</v>
      </c>
      <c r="AF59" s="1">
        <f t="shared" si="8"/>
        <v>0</v>
      </c>
      <c r="AG59" s="1">
        <f t="shared" si="9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145</v>
      </c>
      <c r="B60" s="1" t="s">
        <v>39</v>
      </c>
      <c r="C60" s="1">
        <v>217</v>
      </c>
      <c r="D60" s="1">
        <v>390</v>
      </c>
      <c r="E60" s="1">
        <v>220</v>
      </c>
      <c r="F60" s="1">
        <v>382</v>
      </c>
      <c r="G60" s="7">
        <v>0.4</v>
      </c>
      <c r="H60" s="1"/>
      <c r="I60" s="1" t="s">
        <v>146</v>
      </c>
      <c r="J60" s="1"/>
      <c r="K60" s="1">
        <v>222</v>
      </c>
      <c r="L60" s="1">
        <f t="shared" si="14"/>
        <v>-2</v>
      </c>
      <c r="M60" s="1"/>
      <c r="N60" s="1"/>
      <c r="O60" s="1">
        <v>72.742000000000075</v>
      </c>
      <c r="P60" s="1"/>
      <c r="Q60" s="1"/>
      <c r="R60" s="1">
        <f t="shared" si="15"/>
        <v>44</v>
      </c>
      <c r="S60" s="5">
        <f t="shared" si="13"/>
        <v>29.257999999999925</v>
      </c>
      <c r="T60" s="5"/>
      <c r="U60" s="1">
        <f t="shared" si="7"/>
        <v>11</v>
      </c>
      <c r="V60" s="1">
        <f t="shared" si="16"/>
        <v>10.335045454545456</v>
      </c>
      <c r="W60" s="1">
        <v>44</v>
      </c>
      <c r="X60" s="1">
        <v>47</v>
      </c>
      <c r="Y60" s="1">
        <v>54.8</v>
      </c>
      <c r="Z60" s="1">
        <v>46.8</v>
      </c>
      <c r="AA60" s="1">
        <v>39.6</v>
      </c>
      <c r="AB60" s="1">
        <v>51</v>
      </c>
      <c r="AC60" s="1">
        <v>57</v>
      </c>
      <c r="AD60" s="1">
        <v>54.8</v>
      </c>
      <c r="AE60" s="1"/>
      <c r="AF60" s="1">
        <f t="shared" si="8"/>
        <v>12</v>
      </c>
      <c r="AG60" s="1">
        <f t="shared" si="9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147</v>
      </c>
      <c r="B61" s="1" t="s">
        <v>32</v>
      </c>
      <c r="C61" s="1">
        <v>0.77800000000000002</v>
      </c>
      <c r="D61" s="1">
        <v>82.290999999999997</v>
      </c>
      <c r="E61" s="1">
        <v>31.367000000000001</v>
      </c>
      <c r="F61" s="1">
        <v>47.686</v>
      </c>
      <c r="G61" s="7">
        <v>1</v>
      </c>
      <c r="H61" s="1"/>
      <c r="I61" s="1" t="s">
        <v>148</v>
      </c>
      <c r="J61" s="1"/>
      <c r="K61" s="1">
        <v>31.6</v>
      </c>
      <c r="L61" s="1">
        <f t="shared" si="14"/>
        <v>-0.23300000000000054</v>
      </c>
      <c r="M61" s="1"/>
      <c r="N61" s="1"/>
      <c r="O61" s="1"/>
      <c r="P61" s="1"/>
      <c r="Q61" s="1"/>
      <c r="R61" s="1">
        <f t="shared" si="15"/>
        <v>6.2734000000000005</v>
      </c>
      <c r="S61" s="5">
        <f t="shared" si="13"/>
        <v>21.321400000000004</v>
      </c>
      <c r="T61" s="5"/>
      <c r="U61" s="1">
        <f t="shared" si="7"/>
        <v>11</v>
      </c>
      <c r="V61" s="1">
        <f t="shared" si="16"/>
        <v>7.6013007300666295</v>
      </c>
      <c r="W61" s="1">
        <v>4.3106</v>
      </c>
      <c r="X61" s="1">
        <v>9.2512000000000008</v>
      </c>
      <c r="Y61" s="1">
        <v>10.3636</v>
      </c>
      <c r="Z61" s="1">
        <v>7.3794000000000004</v>
      </c>
      <c r="AA61" s="1">
        <v>6.3710000000000004</v>
      </c>
      <c r="AB61" s="1">
        <v>7.6786000000000003</v>
      </c>
      <c r="AC61" s="1">
        <v>9.9830000000000005</v>
      </c>
      <c r="AD61" s="1">
        <v>10.106199999999999</v>
      </c>
      <c r="AE61" s="1"/>
      <c r="AF61" s="1">
        <f t="shared" si="8"/>
        <v>21</v>
      </c>
      <c r="AG61" s="1">
        <f t="shared" si="9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149</v>
      </c>
      <c r="B62" s="1" t="s">
        <v>32</v>
      </c>
      <c r="C62" s="1">
        <v>29</v>
      </c>
      <c r="D62" s="1"/>
      <c r="E62" s="1"/>
      <c r="F62" s="1">
        <v>29</v>
      </c>
      <c r="G62" s="7">
        <v>1</v>
      </c>
      <c r="H62" s="1"/>
      <c r="I62" s="1" t="s">
        <v>150</v>
      </c>
      <c r="J62" s="1"/>
      <c r="K62" s="1">
        <v>23.6</v>
      </c>
      <c r="L62" s="1">
        <f t="shared" si="14"/>
        <v>-23.6</v>
      </c>
      <c r="M62" s="1"/>
      <c r="N62" s="1"/>
      <c r="O62" s="1"/>
      <c r="P62" s="1"/>
      <c r="Q62" s="1"/>
      <c r="R62" s="1">
        <f t="shared" si="15"/>
        <v>0</v>
      </c>
      <c r="S62" s="5"/>
      <c r="T62" s="5"/>
      <c r="U62" s="1" t="e">
        <f t="shared" si="7"/>
        <v>#DIV/0!</v>
      </c>
      <c r="V62" s="1" t="e">
        <f t="shared" si="16"/>
        <v>#DIV/0!</v>
      </c>
      <c r="W62" s="1">
        <v>0</v>
      </c>
      <c r="X62" s="1">
        <v>0</v>
      </c>
      <c r="Y62" s="1">
        <v>0</v>
      </c>
      <c r="Z62" s="1">
        <v>0</v>
      </c>
      <c r="AA62" s="1">
        <v>1.6514</v>
      </c>
      <c r="AB62" s="1">
        <v>0</v>
      </c>
      <c r="AC62" s="1">
        <v>-4.4400000000000002E-2</v>
      </c>
      <c r="AD62" s="1">
        <v>0.80199999999999994</v>
      </c>
      <c r="AE62" s="14" t="s">
        <v>77</v>
      </c>
      <c r="AF62" s="1">
        <f t="shared" si="8"/>
        <v>0</v>
      </c>
      <c r="AG62" s="1">
        <f t="shared" si="9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151</v>
      </c>
      <c r="B63" s="1" t="s">
        <v>39</v>
      </c>
      <c r="C63" s="1">
        <v>884</v>
      </c>
      <c r="D63" s="1">
        <v>534</v>
      </c>
      <c r="E63" s="1">
        <v>800</v>
      </c>
      <c r="F63" s="1">
        <v>554</v>
      </c>
      <c r="G63" s="7">
        <v>0.4</v>
      </c>
      <c r="H63" s="1"/>
      <c r="I63" s="1" t="s">
        <v>152</v>
      </c>
      <c r="J63" s="1"/>
      <c r="K63" s="1">
        <v>844</v>
      </c>
      <c r="L63" s="1">
        <f t="shared" si="14"/>
        <v>-44</v>
      </c>
      <c r="M63" s="1"/>
      <c r="N63" s="1"/>
      <c r="O63" s="1">
        <v>492.00291891891902</v>
      </c>
      <c r="P63" s="1">
        <v>403.28108108108108</v>
      </c>
      <c r="Q63" s="1"/>
      <c r="R63" s="1">
        <f t="shared" si="15"/>
        <v>160</v>
      </c>
      <c r="S63" s="5">
        <f t="shared" si="13"/>
        <v>310.71599999999989</v>
      </c>
      <c r="T63" s="5"/>
      <c r="U63" s="1">
        <f t="shared" si="7"/>
        <v>11</v>
      </c>
      <c r="V63" s="1">
        <f t="shared" si="16"/>
        <v>9.0580250000000007</v>
      </c>
      <c r="W63" s="1">
        <v>166</v>
      </c>
      <c r="X63" s="1">
        <v>117.8</v>
      </c>
      <c r="Y63" s="1">
        <v>1.8</v>
      </c>
      <c r="Z63" s="1">
        <v>59.2</v>
      </c>
      <c r="AA63" s="1">
        <v>173.6</v>
      </c>
      <c r="AB63" s="1">
        <v>160.4</v>
      </c>
      <c r="AC63" s="1">
        <v>155.80000000000001</v>
      </c>
      <c r="AD63" s="1">
        <v>160.80000000000001</v>
      </c>
      <c r="AE63" s="1"/>
      <c r="AF63" s="1">
        <f t="shared" si="8"/>
        <v>124</v>
      </c>
      <c r="AG63" s="1">
        <f t="shared" si="9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153</v>
      </c>
      <c r="B64" s="1" t="s">
        <v>39</v>
      </c>
      <c r="C64" s="1">
        <v>428</v>
      </c>
      <c r="D64" s="1">
        <v>810</v>
      </c>
      <c r="E64" s="1">
        <v>588</v>
      </c>
      <c r="F64" s="1">
        <v>616</v>
      </c>
      <c r="G64" s="7">
        <v>0.4</v>
      </c>
      <c r="H64" s="1"/>
      <c r="I64" s="1" t="s">
        <v>154</v>
      </c>
      <c r="J64" s="1"/>
      <c r="K64" s="1">
        <v>603</v>
      </c>
      <c r="L64" s="1">
        <f t="shared" si="14"/>
        <v>-15</v>
      </c>
      <c r="M64" s="1"/>
      <c r="N64" s="1"/>
      <c r="O64" s="1">
        <v>369.61200000000002</v>
      </c>
      <c r="P64" s="1"/>
      <c r="Q64" s="1"/>
      <c r="R64" s="1">
        <f t="shared" si="15"/>
        <v>117.6</v>
      </c>
      <c r="S64" s="5">
        <f t="shared" si="13"/>
        <v>307.98799999999983</v>
      </c>
      <c r="T64" s="5"/>
      <c r="U64" s="1">
        <f t="shared" si="7"/>
        <v>11</v>
      </c>
      <c r="V64" s="1">
        <f t="shared" si="16"/>
        <v>8.3810544217687077</v>
      </c>
      <c r="W64" s="1">
        <v>112</v>
      </c>
      <c r="X64" s="1">
        <v>118.8</v>
      </c>
      <c r="Y64" s="1">
        <v>136</v>
      </c>
      <c r="Z64" s="1">
        <v>111.2</v>
      </c>
      <c r="AA64" s="1">
        <v>98.8</v>
      </c>
      <c r="AB64" s="1">
        <v>106.6</v>
      </c>
      <c r="AC64" s="1">
        <v>101.8</v>
      </c>
      <c r="AD64" s="1">
        <v>102</v>
      </c>
      <c r="AE64" s="1"/>
      <c r="AF64" s="1">
        <f t="shared" si="8"/>
        <v>123</v>
      </c>
      <c r="AG64" s="1">
        <f t="shared" si="9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155</v>
      </c>
      <c r="B65" s="1" t="s">
        <v>32</v>
      </c>
      <c r="C65" s="1">
        <v>308.06299999999999</v>
      </c>
      <c r="D65" s="1">
        <v>365.82299999999998</v>
      </c>
      <c r="E65" s="1">
        <v>277.58999999999997</v>
      </c>
      <c r="F65" s="1">
        <v>372.25</v>
      </c>
      <c r="G65" s="7">
        <v>1</v>
      </c>
      <c r="H65" s="1"/>
      <c r="I65" s="1" t="s">
        <v>156</v>
      </c>
      <c r="J65" s="1"/>
      <c r="K65" s="1">
        <v>277.39999999999998</v>
      </c>
      <c r="L65" s="1">
        <f t="shared" si="14"/>
        <v>0.18999999999999773</v>
      </c>
      <c r="M65" s="1"/>
      <c r="N65" s="1"/>
      <c r="O65" s="1">
        <v>149.5689339999999</v>
      </c>
      <c r="P65" s="1"/>
      <c r="Q65" s="1"/>
      <c r="R65" s="1">
        <f t="shared" si="15"/>
        <v>55.517999999999994</v>
      </c>
      <c r="S65" s="5">
        <f t="shared" si="13"/>
        <v>88.87906600000008</v>
      </c>
      <c r="T65" s="5"/>
      <c r="U65" s="1">
        <f t="shared" si="7"/>
        <v>11.000000000000002</v>
      </c>
      <c r="V65" s="1">
        <f t="shared" si="16"/>
        <v>9.3990945999495654</v>
      </c>
      <c r="W65" s="1">
        <v>56.362400000000001</v>
      </c>
      <c r="X65" s="1">
        <v>55.415399999999998</v>
      </c>
      <c r="Y65" s="1">
        <v>51.524800000000013</v>
      </c>
      <c r="Z65" s="1">
        <v>54.320799999999998</v>
      </c>
      <c r="AA65" s="1">
        <v>57.605800000000002</v>
      </c>
      <c r="AB65" s="1">
        <v>53.382199999999997</v>
      </c>
      <c r="AC65" s="1">
        <v>54.1158</v>
      </c>
      <c r="AD65" s="1">
        <v>52.272000000000013</v>
      </c>
      <c r="AE65" s="1"/>
      <c r="AF65" s="1">
        <f t="shared" si="8"/>
        <v>89</v>
      </c>
      <c r="AG65" s="1">
        <f t="shared" si="9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157</v>
      </c>
      <c r="B66" s="1" t="s">
        <v>32</v>
      </c>
      <c r="C66" s="1">
        <v>356.65800000000002</v>
      </c>
      <c r="D66" s="1">
        <v>97.572000000000003</v>
      </c>
      <c r="E66" s="1">
        <v>412.05599999999998</v>
      </c>
      <c r="F66" s="1">
        <v>39.448</v>
      </c>
      <c r="G66" s="7">
        <v>1</v>
      </c>
      <c r="H66" s="1"/>
      <c r="I66" s="1" t="s">
        <v>158</v>
      </c>
      <c r="J66" s="1"/>
      <c r="K66" s="1">
        <v>438.45</v>
      </c>
      <c r="L66" s="1">
        <f t="shared" si="14"/>
        <v>-26.394000000000005</v>
      </c>
      <c r="M66" s="1"/>
      <c r="N66" s="1"/>
      <c r="O66" s="1">
        <v>260.04259999999999</v>
      </c>
      <c r="P66" s="1"/>
      <c r="Q66" s="1"/>
      <c r="R66" s="1">
        <f t="shared" si="15"/>
        <v>82.411199999999994</v>
      </c>
      <c r="S66" s="5">
        <f>10*R66-P66-O66-F66</f>
        <v>524.62139999999999</v>
      </c>
      <c r="T66" s="5"/>
      <c r="U66" s="1">
        <f t="shared" si="7"/>
        <v>10</v>
      </c>
      <c r="V66" s="1">
        <f t="shared" si="16"/>
        <v>3.6341007047585765</v>
      </c>
      <c r="W66" s="1">
        <v>48.477800000000002</v>
      </c>
      <c r="X66" s="1">
        <v>36.398000000000003</v>
      </c>
      <c r="Y66" s="1">
        <v>60.998600000000003</v>
      </c>
      <c r="Z66" s="1">
        <v>63.899800000000013</v>
      </c>
      <c r="AA66" s="1">
        <v>60.8812</v>
      </c>
      <c r="AB66" s="1">
        <v>55.814999999999998</v>
      </c>
      <c r="AC66" s="1">
        <v>57.039200000000008</v>
      </c>
      <c r="AD66" s="1">
        <v>47.7986</v>
      </c>
      <c r="AE66" s="1"/>
      <c r="AF66" s="1">
        <f t="shared" si="8"/>
        <v>525</v>
      </c>
      <c r="AG66" s="1">
        <f t="shared" si="9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159</v>
      </c>
      <c r="B67" s="1" t="s">
        <v>32</v>
      </c>
      <c r="C67" s="1">
        <v>353.67399999999998</v>
      </c>
      <c r="D67" s="1">
        <v>1762.1130000000001</v>
      </c>
      <c r="E67" s="1">
        <v>747.20799999999997</v>
      </c>
      <c r="F67" s="1">
        <v>1341.0329999999999</v>
      </c>
      <c r="G67" s="7">
        <v>1</v>
      </c>
      <c r="H67" s="1"/>
      <c r="I67" s="1" t="s">
        <v>160</v>
      </c>
      <c r="J67" s="1"/>
      <c r="K67" s="1">
        <v>710.8</v>
      </c>
      <c r="L67" s="1">
        <f t="shared" si="14"/>
        <v>36.408000000000015</v>
      </c>
      <c r="M67" s="1"/>
      <c r="N67" s="1"/>
      <c r="O67" s="1">
        <v>237.42750609009011</v>
      </c>
      <c r="P67" s="1">
        <v>194.61270990990991</v>
      </c>
      <c r="Q67" s="1"/>
      <c r="R67" s="1">
        <f t="shared" si="15"/>
        <v>149.44159999999999</v>
      </c>
      <c r="S67" s="5"/>
      <c r="T67" s="5"/>
      <c r="U67" s="1">
        <f t="shared" si="7"/>
        <v>11.864656267063522</v>
      </c>
      <c r="V67" s="1">
        <f t="shared" si="16"/>
        <v>11.864656267063522</v>
      </c>
      <c r="W67" s="1">
        <v>190.0198</v>
      </c>
      <c r="X67" s="1">
        <v>208.4572</v>
      </c>
      <c r="Y67" s="1">
        <v>162.64080000000001</v>
      </c>
      <c r="Z67" s="1">
        <v>146.6738</v>
      </c>
      <c r="AA67" s="1">
        <v>139.87819999999999</v>
      </c>
      <c r="AB67" s="1">
        <v>156.87700000000001</v>
      </c>
      <c r="AC67" s="1">
        <v>160.44999999999999</v>
      </c>
      <c r="AD67" s="1">
        <v>156.79820000000001</v>
      </c>
      <c r="AE67" s="1"/>
      <c r="AF67" s="1">
        <f t="shared" si="8"/>
        <v>0</v>
      </c>
      <c r="AG67" s="1">
        <f t="shared" si="9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161</v>
      </c>
      <c r="B68" s="1" t="s">
        <v>32</v>
      </c>
      <c r="C68" s="1">
        <v>162.71199999999999</v>
      </c>
      <c r="D68" s="1">
        <v>407.29300000000001</v>
      </c>
      <c r="E68" s="1">
        <v>223.876</v>
      </c>
      <c r="F68" s="1">
        <v>311.53199999999998</v>
      </c>
      <c r="G68" s="7">
        <v>1</v>
      </c>
      <c r="H68" s="1"/>
      <c r="I68" s="1" t="s">
        <v>162</v>
      </c>
      <c r="J68" s="1"/>
      <c r="K68" s="1">
        <v>243.86600000000001</v>
      </c>
      <c r="L68" s="1">
        <f t="shared" si="14"/>
        <v>-19.990000000000009</v>
      </c>
      <c r="M68" s="1"/>
      <c r="N68" s="1"/>
      <c r="O68" s="1">
        <v>163.98933199999999</v>
      </c>
      <c r="P68" s="1"/>
      <c r="Q68" s="1"/>
      <c r="R68" s="1">
        <f t="shared" si="15"/>
        <v>44.775199999999998</v>
      </c>
      <c r="S68" s="5">
        <f t="shared" si="13"/>
        <v>17.005868000000021</v>
      </c>
      <c r="T68" s="5"/>
      <c r="U68" s="1">
        <f t="shared" si="7"/>
        <v>11</v>
      </c>
      <c r="V68" s="1">
        <f t="shared" si="16"/>
        <v>10.620194482660043</v>
      </c>
      <c r="W68" s="1">
        <v>49.704599999999999</v>
      </c>
      <c r="X68" s="1">
        <v>48.999200000000002</v>
      </c>
      <c r="Y68" s="1">
        <v>42.549799999999998</v>
      </c>
      <c r="Z68" s="1">
        <v>40.731400000000001</v>
      </c>
      <c r="AA68" s="1">
        <v>43.162799999999997</v>
      </c>
      <c r="AB68" s="1">
        <v>43.538400000000003</v>
      </c>
      <c r="AC68" s="1">
        <v>48.677199999999999</v>
      </c>
      <c r="AD68" s="1">
        <v>49.616799999999998</v>
      </c>
      <c r="AE68" s="1"/>
      <c r="AF68" s="1">
        <f t="shared" si="8"/>
        <v>17</v>
      </c>
      <c r="AG68" s="1">
        <f t="shared" si="9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163</v>
      </c>
      <c r="B69" s="1" t="s">
        <v>39</v>
      </c>
      <c r="C69" s="1">
        <v>8</v>
      </c>
      <c r="D69" s="1">
        <v>24</v>
      </c>
      <c r="E69" s="1">
        <v>7</v>
      </c>
      <c r="F69" s="1">
        <v>25</v>
      </c>
      <c r="G69" s="7">
        <v>0.6</v>
      </c>
      <c r="H69" s="1"/>
      <c r="I69" s="1" t="s">
        <v>164</v>
      </c>
      <c r="J69" s="1"/>
      <c r="K69" s="1">
        <v>9</v>
      </c>
      <c r="L69" s="1">
        <f t="shared" si="14"/>
        <v>-2</v>
      </c>
      <c r="M69" s="1"/>
      <c r="N69" s="1"/>
      <c r="O69" s="1"/>
      <c r="P69" s="1"/>
      <c r="Q69" s="1"/>
      <c r="R69" s="1">
        <f t="shared" si="15"/>
        <v>1.4</v>
      </c>
      <c r="S69" s="5"/>
      <c r="T69" s="5"/>
      <c r="U69" s="1">
        <f t="shared" si="7"/>
        <v>17.857142857142858</v>
      </c>
      <c r="V69" s="1">
        <f t="shared" si="16"/>
        <v>17.857142857142858</v>
      </c>
      <c r="W69" s="1">
        <v>1.8</v>
      </c>
      <c r="X69" s="1">
        <v>2.2000000000000002</v>
      </c>
      <c r="Y69" s="1">
        <v>1.8</v>
      </c>
      <c r="Z69" s="1">
        <v>2</v>
      </c>
      <c r="AA69" s="1">
        <v>2</v>
      </c>
      <c r="AB69" s="1">
        <v>0.6</v>
      </c>
      <c r="AC69" s="1">
        <v>2.2000000000000002</v>
      </c>
      <c r="AD69" s="1">
        <v>1.4</v>
      </c>
      <c r="AE69" s="1"/>
      <c r="AF69" s="1">
        <f t="shared" si="8"/>
        <v>0</v>
      </c>
      <c r="AG69" s="1">
        <f t="shared" si="9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165</v>
      </c>
      <c r="B70" s="1" t="s">
        <v>32</v>
      </c>
      <c r="C70" s="1">
        <v>1168.1010000000001</v>
      </c>
      <c r="D70" s="1">
        <v>204.58199999999999</v>
      </c>
      <c r="E70" s="1">
        <v>343.27499999999998</v>
      </c>
      <c r="F70" s="1">
        <v>944.54499999999996</v>
      </c>
      <c r="G70" s="7">
        <v>1</v>
      </c>
      <c r="H70" s="1"/>
      <c r="I70" s="1" t="s">
        <v>166</v>
      </c>
      <c r="J70" s="1"/>
      <c r="K70" s="1">
        <v>400.05</v>
      </c>
      <c r="L70" s="1">
        <f t="shared" ref="L70:L101" si="17">E70-K70</f>
        <v>-56.775000000000034</v>
      </c>
      <c r="M70" s="1"/>
      <c r="N70" s="1"/>
      <c r="O70" s="1"/>
      <c r="P70" s="1"/>
      <c r="Q70" s="1">
        <v>-100</v>
      </c>
      <c r="R70" s="1">
        <f t="shared" ref="R70:R101" si="18">E70/5</f>
        <v>68.655000000000001</v>
      </c>
      <c r="S70" s="5"/>
      <c r="T70" s="5"/>
      <c r="U70" s="1">
        <f t="shared" si="7"/>
        <v>13.757847207049741</v>
      </c>
      <c r="V70" s="1">
        <f t="shared" ref="V70:V101" si="19">(F70+O70+P70)/R70</f>
        <v>13.757847207049741</v>
      </c>
      <c r="W70" s="1">
        <v>75.647000000000006</v>
      </c>
      <c r="X70" s="1">
        <v>85.370399999999989</v>
      </c>
      <c r="Y70" s="1">
        <v>94.19919999999999</v>
      </c>
      <c r="Z70" s="1">
        <v>102.74299999999999</v>
      </c>
      <c r="AA70" s="1">
        <v>104.8986</v>
      </c>
      <c r="AB70" s="1">
        <v>110.6538</v>
      </c>
      <c r="AC70" s="1">
        <v>118.0592</v>
      </c>
      <c r="AD70" s="1">
        <v>2.9167999999999998</v>
      </c>
      <c r="AE70" s="1"/>
      <c r="AF70" s="1">
        <f t="shared" si="8"/>
        <v>0</v>
      </c>
      <c r="AG70" s="1">
        <f t="shared" si="9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167</v>
      </c>
      <c r="B71" s="1" t="s">
        <v>39</v>
      </c>
      <c r="C71" s="1">
        <v>150</v>
      </c>
      <c r="D71" s="1">
        <v>101</v>
      </c>
      <c r="E71" s="1">
        <v>92</v>
      </c>
      <c r="F71" s="1">
        <v>153</v>
      </c>
      <c r="G71" s="7">
        <v>0.6</v>
      </c>
      <c r="H71" s="1"/>
      <c r="I71" s="1" t="s">
        <v>168</v>
      </c>
      <c r="J71" s="1"/>
      <c r="K71" s="1">
        <v>98</v>
      </c>
      <c r="L71" s="1">
        <f t="shared" si="17"/>
        <v>-6</v>
      </c>
      <c r="M71" s="1"/>
      <c r="N71" s="1"/>
      <c r="O71" s="1">
        <v>80.074000000000098</v>
      </c>
      <c r="P71" s="1"/>
      <c r="Q71" s="1"/>
      <c r="R71" s="1">
        <f t="shared" si="18"/>
        <v>18.399999999999999</v>
      </c>
      <c r="S71" s="5"/>
      <c r="T71" s="5"/>
      <c r="U71" s="1">
        <f t="shared" ref="U71:U124" si="20">(F71+O71+P71+S71+T71)/R71</f>
        <v>12.667065217391311</v>
      </c>
      <c r="V71" s="1">
        <f t="shared" si="19"/>
        <v>12.667065217391311</v>
      </c>
      <c r="W71" s="1">
        <v>20</v>
      </c>
      <c r="X71" s="1">
        <v>22.2</v>
      </c>
      <c r="Y71" s="1">
        <v>23.4</v>
      </c>
      <c r="Z71" s="1">
        <v>26.6</v>
      </c>
      <c r="AA71" s="1">
        <v>23.6</v>
      </c>
      <c r="AB71" s="1">
        <v>21.8</v>
      </c>
      <c r="AC71" s="1">
        <v>27.6</v>
      </c>
      <c r="AD71" s="1">
        <v>24.8</v>
      </c>
      <c r="AE71" s="1"/>
      <c r="AF71" s="1">
        <f t="shared" ref="AF71:AF124" si="21">ROUND(G71*S71,0)</f>
        <v>0</v>
      </c>
      <c r="AG71" s="1">
        <f t="shared" ref="AG71:AG124" si="22">ROUND(G71*T71,0)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169</v>
      </c>
      <c r="B72" s="1" t="s">
        <v>39</v>
      </c>
      <c r="C72" s="1">
        <v>25</v>
      </c>
      <c r="D72" s="1">
        <v>64</v>
      </c>
      <c r="E72" s="1">
        <v>28</v>
      </c>
      <c r="F72" s="1">
        <v>61</v>
      </c>
      <c r="G72" s="7">
        <v>0.6</v>
      </c>
      <c r="H72" s="1"/>
      <c r="I72" s="1" t="s">
        <v>170</v>
      </c>
      <c r="J72" s="1"/>
      <c r="K72" s="1">
        <v>28</v>
      </c>
      <c r="L72" s="1">
        <f t="shared" si="17"/>
        <v>0</v>
      </c>
      <c r="M72" s="1"/>
      <c r="N72" s="1"/>
      <c r="O72" s="1"/>
      <c r="P72" s="1"/>
      <c r="Q72" s="1"/>
      <c r="R72" s="1">
        <f t="shared" si="18"/>
        <v>5.6</v>
      </c>
      <c r="S72" s="5"/>
      <c r="T72" s="5"/>
      <c r="U72" s="1">
        <f t="shared" si="20"/>
        <v>10.892857142857144</v>
      </c>
      <c r="V72" s="1">
        <f t="shared" si="19"/>
        <v>10.892857142857144</v>
      </c>
      <c r="W72" s="1">
        <v>5.6</v>
      </c>
      <c r="X72" s="1">
        <v>6.8</v>
      </c>
      <c r="Y72" s="1">
        <v>6.6</v>
      </c>
      <c r="Z72" s="1">
        <v>3.6</v>
      </c>
      <c r="AA72" s="1">
        <v>4.8</v>
      </c>
      <c r="AB72" s="1">
        <v>5.2</v>
      </c>
      <c r="AC72" s="1">
        <v>6.8</v>
      </c>
      <c r="AD72" s="1">
        <v>4.5999999999999996</v>
      </c>
      <c r="AE72" s="1"/>
      <c r="AF72" s="1">
        <f t="shared" si="21"/>
        <v>0</v>
      </c>
      <c r="AG72" s="1">
        <f t="shared" si="22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171</v>
      </c>
      <c r="B73" s="1" t="s">
        <v>39</v>
      </c>
      <c r="C73" s="1">
        <v>118</v>
      </c>
      <c r="D73" s="1">
        <v>48</v>
      </c>
      <c r="E73" s="1">
        <v>114</v>
      </c>
      <c r="F73" s="1">
        <v>49</v>
      </c>
      <c r="G73" s="7">
        <v>0.4</v>
      </c>
      <c r="H73" s="1"/>
      <c r="I73" s="1" t="s">
        <v>172</v>
      </c>
      <c r="J73" s="1"/>
      <c r="K73" s="1">
        <v>121</v>
      </c>
      <c r="L73" s="1">
        <f t="shared" si="17"/>
        <v>-7</v>
      </c>
      <c r="M73" s="1"/>
      <c r="N73" s="1"/>
      <c r="O73" s="1">
        <v>101.6</v>
      </c>
      <c r="P73" s="1"/>
      <c r="Q73" s="1"/>
      <c r="R73" s="1">
        <f t="shared" si="18"/>
        <v>22.8</v>
      </c>
      <c r="S73" s="5">
        <f t="shared" si="13"/>
        <v>100.20000000000002</v>
      </c>
      <c r="T73" s="5"/>
      <c r="U73" s="1">
        <f t="shared" si="20"/>
        <v>11</v>
      </c>
      <c r="V73" s="1">
        <f t="shared" si="19"/>
        <v>6.6052631578947363</v>
      </c>
      <c r="W73" s="1">
        <v>18.8</v>
      </c>
      <c r="X73" s="1">
        <v>16.399999999999999</v>
      </c>
      <c r="Y73" s="1">
        <v>18.2</v>
      </c>
      <c r="Z73" s="1">
        <v>24.4</v>
      </c>
      <c r="AA73" s="1">
        <v>22.6</v>
      </c>
      <c r="AB73" s="1">
        <v>17.2</v>
      </c>
      <c r="AC73" s="1">
        <v>23</v>
      </c>
      <c r="AD73" s="1">
        <v>18.2</v>
      </c>
      <c r="AE73" s="1"/>
      <c r="AF73" s="1">
        <f t="shared" si="21"/>
        <v>40</v>
      </c>
      <c r="AG73" s="1">
        <f t="shared" si="22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173</v>
      </c>
      <c r="B74" s="1" t="s">
        <v>39</v>
      </c>
      <c r="C74" s="1">
        <v>149</v>
      </c>
      <c r="D74" s="1">
        <v>56</v>
      </c>
      <c r="E74" s="1">
        <v>158</v>
      </c>
      <c r="F74" s="1">
        <v>47</v>
      </c>
      <c r="G74" s="7">
        <v>0.33</v>
      </c>
      <c r="H74" s="1"/>
      <c r="I74" s="1" t="s">
        <v>174</v>
      </c>
      <c r="J74" s="1"/>
      <c r="K74" s="1">
        <v>160</v>
      </c>
      <c r="L74" s="1">
        <f t="shared" si="17"/>
        <v>-2</v>
      </c>
      <c r="M74" s="1"/>
      <c r="N74" s="1"/>
      <c r="O74" s="1">
        <v>102.8</v>
      </c>
      <c r="P74" s="1"/>
      <c r="Q74" s="1"/>
      <c r="R74" s="1">
        <f t="shared" si="18"/>
        <v>31.6</v>
      </c>
      <c r="S74" s="5">
        <f t="shared" si="13"/>
        <v>197.8</v>
      </c>
      <c r="T74" s="5"/>
      <c r="U74" s="1">
        <f t="shared" si="20"/>
        <v>11</v>
      </c>
      <c r="V74" s="1">
        <f t="shared" si="19"/>
        <v>4.7405063291139244</v>
      </c>
      <c r="W74" s="1">
        <v>21.4</v>
      </c>
      <c r="X74" s="1">
        <v>17</v>
      </c>
      <c r="Y74" s="1">
        <v>21.6</v>
      </c>
      <c r="Z74" s="1">
        <v>27.8</v>
      </c>
      <c r="AA74" s="1">
        <v>25.2</v>
      </c>
      <c r="AB74" s="1">
        <v>21.6</v>
      </c>
      <c r="AC74" s="1">
        <v>27.8</v>
      </c>
      <c r="AD74" s="1">
        <v>19.399999999999999</v>
      </c>
      <c r="AE74" s="1"/>
      <c r="AF74" s="1">
        <f t="shared" si="21"/>
        <v>65</v>
      </c>
      <c r="AG74" s="1">
        <f t="shared" si="22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175</v>
      </c>
      <c r="B75" s="1" t="s">
        <v>39</v>
      </c>
      <c r="C75" s="1">
        <v>65</v>
      </c>
      <c r="D75" s="1">
        <v>40</v>
      </c>
      <c r="E75" s="1">
        <v>63</v>
      </c>
      <c r="F75" s="1">
        <v>42</v>
      </c>
      <c r="G75" s="7">
        <v>0.35</v>
      </c>
      <c r="H75" s="1"/>
      <c r="I75" s="1" t="s">
        <v>176</v>
      </c>
      <c r="J75" s="1"/>
      <c r="K75" s="1">
        <v>92</v>
      </c>
      <c r="L75" s="1">
        <f t="shared" si="17"/>
        <v>-29</v>
      </c>
      <c r="M75" s="1"/>
      <c r="N75" s="1"/>
      <c r="O75" s="1">
        <v>144</v>
      </c>
      <c r="P75" s="1"/>
      <c r="Q75" s="1"/>
      <c r="R75" s="1">
        <f t="shared" si="18"/>
        <v>12.6</v>
      </c>
      <c r="S75" s="5"/>
      <c r="T75" s="5"/>
      <c r="U75" s="1">
        <f t="shared" si="20"/>
        <v>14.761904761904763</v>
      </c>
      <c r="V75" s="1">
        <f t="shared" si="19"/>
        <v>14.761904761904763</v>
      </c>
      <c r="W75" s="1">
        <v>17</v>
      </c>
      <c r="X75" s="1">
        <v>9.8000000000000007</v>
      </c>
      <c r="Y75" s="1">
        <v>8.1999999999999993</v>
      </c>
      <c r="Z75" s="1">
        <v>14.6</v>
      </c>
      <c r="AA75" s="1">
        <v>10.8</v>
      </c>
      <c r="AB75" s="1">
        <v>9</v>
      </c>
      <c r="AC75" s="1">
        <v>11.6</v>
      </c>
      <c r="AD75" s="1">
        <v>7.2</v>
      </c>
      <c r="AE75" s="1"/>
      <c r="AF75" s="1">
        <f t="shared" si="21"/>
        <v>0</v>
      </c>
      <c r="AG75" s="1">
        <f t="shared" si="22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177</v>
      </c>
      <c r="B76" s="1" t="s">
        <v>39</v>
      </c>
      <c r="C76" s="1">
        <v>751</v>
      </c>
      <c r="D76" s="1">
        <v>644</v>
      </c>
      <c r="E76" s="1">
        <v>538</v>
      </c>
      <c r="F76" s="1">
        <v>846</v>
      </c>
      <c r="G76" s="7">
        <v>0.37</v>
      </c>
      <c r="H76" s="1"/>
      <c r="I76" s="1" t="s">
        <v>178</v>
      </c>
      <c r="J76" s="1"/>
      <c r="K76" s="1">
        <v>540</v>
      </c>
      <c r="L76" s="1">
        <f t="shared" si="17"/>
        <v>-2</v>
      </c>
      <c r="M76" s="1"/>
      <c r="N76" s="1"/>
      <c r="O76" s="1">
        <v>284.10399999999993</v>
      </c>
      <c r="P76" s="1"/>
      <c r="Q76" s="1"/>
      <c r="R76" s="1">
        <f t="shared" si="18"/>
        <v>107.6</v>
      </c>
      <c r="S76" s="5">
        <f t="shared" si="13"/>
        <v>53.495999999999981</v>
      </c>
      <c r="T76" s="5"/>
      <c r="U76" s="1">
        <f t="shared" si="20"/>
        <v>11</v>
      </c>
      <c r="V76" s="1">
        <f t="shared" si="19"/>
        <v>10.502825278810407</v>
      </c>
      <c r="W76" s="1">
        <v>106.8</v>
      </c>
      <c r="X76" s="1">
        <v>116.8</v>
      </c>
      <c r="Y76" s="1">
        <v>116</v>
      </c>
      <c r="Z76" s="1">
        <v>112.8</v>
      </c>
      <c r="AA76" s="1">
        <v>115.4</v>
      </c>
      <c r="AB76" s="1">
        <v>108</v>
      </c>
      <c r="AC76" s="1">
        <v>105</v>
      </c>
      <c r="AD76" s="1">
        <v>118</v>
      </c>
      <c r="AE76" s="1"/>
      <c r="AF76" s="1">
        <f t="shared" si="21"/>
        <v>20</v>
      </c>
      <c r="AG76" s="1">
        <f t="shared" si="22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179</v>
      </c>
      <c r="B77" s="1" t="s">
        <v>39</v>
      </c>
      <c r="C77" s="1">
        <v>184</v>
      </c>
      <c r="D77" s="1">
        <v>184</v>
      </c>
      <c r="E77" s="1">
        <v>81</v>
      </c>
      <c r="F77" s="1">
        <v>285</v>
      </c>
      <c r="G77" s="7">
        <v>0.6</v>
      </c>
      <c r="H77" s="1"/>
      <c r="I77" s="1" t="s">
        <v>180</v>
      </c>
      <c r="J77" s="1"/>
      <c r="K77" s="1">
        <v>81</v>
      </c>
      <c r="L77" s="1">
        <f t="shared" si="17"/>
        <v>0</v>
      </c>
      <c r="M77" s="1"/>
      <c r="N77" s="1"/>
      <c r="O77" s="1"/>
      <c r="P77" s="1"/>
      <c r="Q77" s="1"/>
      <c r="R77" s="1">
        <f t="shared" si="18"/>
        <v>16.2</v>
      </c>
      <c r="S77" s="5"/>
      <c r="T77" s="5"/>
      <c r="U77" s="1">
        <f t="shared" si="20"/>
        <v>17.592592592592592</v>
      </c>
      <c r="V77" s="1">
        <f t="shared" si="19"/>
        <v>17.592592592592592</v>
      </c>
      <c r="W77" s="1">
        <v>17.600000000000001</v>
      </c>
      <c r="X77" s="1">
        <v>25.8</v>
      </c>
      <c r="Y77" s="1">
        <v>31.2</v>
      </c>
      <c r="Z77" s="1">
        <v>25.4</v>
      </c>
      <c r="AA77" s="1">
        <v>25.4</v>
      </c>
      <c r="AB77" s="1">
        <v>23.2</v>
      </c>
      <c r="AC77" s="1">
        <v>21.8</v>
      </c>
      <c r="AD77" s="1">
        <v>24.6</v>
      </c>
      <c r="AE77" s="1"/>
      <c r="AF77" s="1">
        <f t="shared" si="21"/>
        <v>0</v>
      </c>
      <c r="AG77" s="1">
        <f t="shared" si="22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181</v>
      </c>
      <c r="B78" s="1" t="s">
        <v>39</v>
      </c>
      <c r="C78" s="1">
        <v>67</v>
      </c>
      <c r="D78" s="1">
        <v>14</v>
      </c>
      <c r="E78" s="1">
        <v>32</v>
      </c>
      <c r="F78" s="1">
        <v>38</v>
      </c>
      <c r="G78" s="7">
        <v>0.33</v>
      </c>
      <c r="H78" s="1"/>
      <c r="I78" s="1" t="s">
        <v>182</v>
      </c>
      <c r="J78" s="1"/>
      <c r="K78" s="1">
        <v>43</v>
      </c>
      <c r="L78" s="1">
        <f t="shared" si="17"/>
        <v>-11</v>
      </c>
      <c r="M78" s="1"/>
      <c r="N78" s="1"/>
      <c r="O78" s="1"/>
      <c r="P78" s="1"/>
      <c r="Q78" s="1"/>
      <c r="R78" s="1">
        <f t="shared" si="18"/>
        <v>6.4</v>
      </c>
      <c r="S78" s="5">
        <f t="shared" si="13"/>
        <v>32.400000000000006</v>
      </c>
      <c r="T78" s="5"/>
      <c r="U78" s="1">
        <f t="shared" si="20"/>
        <v>11</v>
      </c>
      <c r="V78" s="1">
        <f t="shared" si="19"/>
        <v>5.9375</v>
      </c>
      <c r="W78" s="1">
        <v>3.8</v>
      </c>
      <c r="X78" s="1">
        <v>3.6</v>
      </c>
      <c r="Y78" s="1">
        <v>6.2</v>
      </c>
      <c r="Z78" s="1">
        <v>9.1999999999999993</v>
      </c>
      <c r="AA78" s="1">
        <v>10.4</v>
      </c>
      <c r="AB78" s="1">
        <v>8</v>
      </c>
      <c r="AC78" s="1">
        <v>10</v>
      </c>
      <c r="AD78" s="1">
        <v>11.8</v>
      </c>
      <c r="AE78" s="1"/>
      <c r="AF78" s="1">
        <f t="shared" si="21"/>
        <v>11</v>
      </c>
      <c r="AG78" s="1">
        <f t="shared" si="22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183</v>
      </c>
      <c r="B79" s="1" t="s">
        <v>39</v>
      </c>
      <c r="C79" s="1">
        <v>208</v>
      </c>
      <c r="D79" s="1">
        <v>396</v>
      </c>
      <c r="E79" s="1">
        <v>259</v>
      </c>
      <c r="F79" s="1">
        <v>338</v>
      </c>
      <c r="G79" s="7">
        <v>0.4</v>
      </c>
      <c r="H79" s="1"/>
      <c r="I79" s="1" t="s">
        <v>184</v>
      </c>
      <c r="J79" s="1"/>
      <c r="K79" s="1">
        <v>313</v>
      </c>
      <c r="L79" s="1">
        <f t="shared" si="17"/>
        <v>-54</v>
      </c>
      <c r="M79" s="1"/>
      <c r="N79" s="1"/>
      <c r="O79" s="1">
        <v>187.0740000000001</v>
      </c>
      <c r="P79" s="1"/>
      <c r="Q79" s="1"/>
      <c r="R79" s="1">
        <f t="shared" si="18"/>
        <v>51.8</v>
      </c>
      <c r="S79" s="5">
        <f t="shared" si="13"/>
        <v>44.725999999999885</v>
      </c>
      <c r="T79" s="5"/>
      <c r="U79" s="1">
        <f t="shared" si="20"/>
        <v>11</v>
      </c>
      <c r="V79" s="1">
        <f t="shared" si="19"/>
        <v>10.136563706563708</v>
      </c>
      <c r="W79" s="1">
        <v>54.2</v>
      </c>
      <c r="X79" s="1">
        <v>54.4</v>
      </c>
      <c r="Y79" s="1">
        <v>55</v>
      </c>
      <c r="Z79" s="1">
        <v>43.8</v>
      </c>
      <c r="AA79" s="1">
        <v>42</v>
      </c>
      <c r="AB79" s="1">
        <v>50.4</v>
      </c>
      <c r="AC79" s="1">
        <v>51.4</v>
      </c>
      <c r="AD79" s="1">
        <v>57.8</v>
      </c>
      <c r="AE79" s="1"/>
      <c r="AF79" s="1">
        <f t="shared" si="21"/>
        <v>18</v>
      </c>
      <c r="AG79" s="1">
        <f t="shared" si="22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185</v>
      </c>
      <c r="B80" s="1" t="s">
        <v>39</v>
      </c>
      <c r="C80" s="1">
        <v>195</v>
      </c>
      <c r="D80" s="1">
        <v>10</v>
      </c>
      <c r="E80" s="1">
        <v>97</v>
      </c>
      <c r="F80" s="1">
        <v>104</v>
      </c>
      <c r="G80" s="7">
        <v>0.35</v>
      </c>
      <c r="H80" s="1"/>
      <c r="I80" s="1" t="s">
        <v>186</v>
      </c>
      <c r="J80" s="1"/>
      <c r="K80" s="1">
        <v>109</v>
      </c>
      <c r="L80" s="1">
        <f t="shared" si="17"/>
        <v>-12</v>
      </c>
      <c r="M80" s="1"/>
      <c r="N80" s="1"/>
      <c r="O80" s="1">
        <v>106.2</v>
      </c>
      <c r="P80" s="1"/>
      <c r="Q80" s="1"/>
      <c r="R80" s="1">
        <f t="shared" si="18"/>
        <v>19.399999999999999</v>
      </c>
      <c r="S80" s="5">
        <v>8</v>
      </c>
      <c r="T80" s="5"/>
      <c r="U80" s="1">
        <f t="shared" si="20"/>
        <v>11.247422680412372</v>
      </c>
      <c r="V80" s="1">
        <f t="shared" si="19"/>
        <v>10.835051546391753</v>
      </c>
      <c r="W80" s="1">
        <v>20.6</v>
      </c>
      <c r="X80" s="1">
        <v>15.8</v>
      </c>
      <c r="Y80" s="1">
        <v>16</v>
      </c>
      <c r="Z80" s="1">
        <v>24</v>
      </c>
      <c r="AA80" s="1">
        <v>24.2</v>
      </c>
      <c r="AB80" s="1">
        <v>23.8</v>
      </c>
      <c r="AC80" s="1">
        <v>27.4</v>
      </c>
      <c r="AD80" s="1">
        <v>25</v>
      </c>
      <c r="AE80" s="1"/>
      <c r="AF80" s="1">
        <f t="shared" si="21"/>
        <v>3</v>
      </c>
      <c r="AG80" s="1">
        <f t="shared" si="22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187</v>
      </c>
      <c r="B81" s="1" t="s">
        <v>39</v>
      </c>
      <c r="C81" s="1">
        <v>404</v>
      </c>
      <c r="D81" s="1"/>
      <c r="E81" s="1">
        <v>369</v>
      </c>
      <c r="F81" s="1">
        <v>34</v>
      </c>
      <c r="G81" s="7">
        <v>0.35</v>
      </c>
      <c r="H81" s="1"/>
      <c r="I81" s="1" t="s">
        <v>188</v>
      </c>
      <c r="J81" s="1"/>
      <c r="K81" s="1">
        <v>370</v>
      </c>
      <c r="L81" s="1">
        <f t="shared" si="17"/>
        <v>-1</v>
      </c>
      <c r="M81" s="1"/>
      <c r="N81" s="1"/>
      <c r="O81" s="1">
        <v>68.400000000000034</v>
      </c>
      <c r="P81" s="1"/>
      <c r="Q81" s="1"/>
      <c r="R81" s="1">
        <f t="shared" si="18"/>
        <v>73.8</v>
      </c>
      <c r="S81" s="5">
        <f>8*R81-P81-O81-F81</f>
        <v>488</v>
      </c>
      <c r="T81" s="5"/>
      <c r="U81" s="1">
        <f t="shared" si="20"/>
        <v>8.0000000000000018</v>
      </c>
      <c r="V81" s="1">
        <f t="shared" si="19"/>
        <v>1.3875338753387538</v>
      </c>
      <c r="W81" s="1">
        <v>32.200000000000003</v>
      </c>
      <c r="X81" s="1">
        <v>16</v>
      </c>
      <c r="Y81" s="1">
        <v>38.799999999999997</v>
      </c>
      <c r="Z81" s="1">
        <v>54.6</v>
      </c>
      <c r="AA81" s="1">
        <v>69.400000000000006</v>
      </c>
      <c r="AB81" s="1">
        <v>48.8</v>
      </c>
      <c r="AC81" s="1">
        <v>45.8</v>
      </c>
      <c r="AD81" s="1">
        <v>39.200000000000003</v>
      </c>
      <c r="AE81" s="1"/>
      <c r="AF81" s="1">
        <f t="shared" si="21"/>
        <v>171</v>
      </c>
      <c r="AG81" s="1">
        <f t="shared" si="22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189</v>
      </c>
      <c r="B82" s="1" t="s">
        <v>39</v>
      </c>
      <c r="C82" s="1">
        <v>162</v>
      </c>
      <c r="D82" s="1">
        <v>50</v>
      </c>
      <c r="E82" s="1">
        <v>111</v>
      </c>
      <c r="F82" s="1">
        <v>101</v>
      </c>
      <c r="G82" s="7">
        <v>0.4</v>
      </c>
      <c r="H82" s="1"/>
      <c r="I82" s="1" t="s">
        <v>190</v>
      </c>
      <c r="J82" s="1"/>
      <c r="K82" s="1">
        <v>111</v>
      </c>
      <c r="L82" s="1">
        <f t="shared" si="17"/>
        <v>0</v>
      </c>
      <c r="M82" s="1"/>
      <c r="N82" s="1"/>
      <c r="O82" s="1"/>
      <c r="P82" s="1"/>
      <c r="Q82" s="1"/>
      <c r="R82" s="1">
        <f t="shared" si="18"/>
        <v>22.2</v>
      </c>
      <c r="S82" s="5">
        <f t="shared" si="13"/>
        <v>143.19999999999999</v>
      </c>
      <c r="T82" s="5"/>
      <c r="U82" s="1">
        <f t="shared" si="20"/>
        <v>11</v>
      </c>
      <c r="V82" s="1">
        <f t="shared" si="19"/>
        <v>4.5495495495495497</v>
      </c>
      <c r="W82" s="1">
        <v>1</v>
      </c>
      <c r="X82" s="1">
        <v>1</v>
      </c>
      <c r="Y82" s="1">
        <v>20.8</v>
      </c>
      <c r="Z82" s="1">
        <v>22.4</v>
      </c>
      <c r="AA82" s="1">
        <v>22.8</v>
      </c>
      <c r="AB82" s="1">
        <v>14.4</v>
      </c>
      <c r="AC82" s="1">
        <v>21.2</v>
      </c>
      <c r="AD82" s="1">
        <v>6</v>
      </c>
      <c r="AE82" s="1"/>
      <c r="AF82" s="1">
        <f t="shared" si="21"/>
        <v>57</v>
      </c>
      <c r="AG82" s="1">
        <f t="shared" si="22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9" t="s">
        <v>191</v>
      </c>
      <c r="B83" s="9" t="s">
        <v>32</v>
      </c>
      <c r="C83" s="9">
        <v>156.209</v>
      </c>
      <c r="D83" s="9"/>
      <c r="E83" s="9">
        <v>120.288</v>
      </c>
      <c r="F83" s="9">
        <v>31.701000000000001</v>
      </c>
      <c r="G83" s="10">
        <v>0</v>
      </c>
      <c r="H83" s="9"/>
      <c r="I83" s="9"/>
      <c r="J83" s="9"/>
      <c r="K83" s="9">
        <v>111</v>
      </c>
      <c r="L83" s="9">
        <f t="shared" si="17"/>
        <v>9.2879999999999967</v>
      </c>
      <c r="M83" s="9"/>
      <c r="N83" s="9"/>
      <c r="O83" s="9"/>
      <c r="P83" s="9"/>
      <c r="Q83" s="9"/>
      <c r="R83" s="9">
        <f t="shared" si="18"/>
        <v>24.057600000000001</v>
      </c>
      <c r="S83" s="11"/>
      <c r="T83" s="11"/>
      <c r="U83" s="1">
        <f t="shared" si="20"/>
        <v>1.3177124900239425</v>
      </c>
      <c r="V83" s="9">
        <f t="shared" si="19"/>
        <v>1.3177124900239425</v>
      </c>
      <c r="W83" s="9">
        <v>4.6172000000000004</v>
      </c>
      <c r="X83" s="9">
        <v>3.7582</v>
      </c>
      <c r="Y83" s="9">
        <v>3.1760000000000002</v>
      </c>
      <c r="Z83" s="9">
        <v>1.129</v>
      </c>
      <c r="AA83" s="9">
        <v>1.6768000000000001</v>
      </c>
      <c r="AB83" s="9">
        <v>0.54480000000000006</v>
      </c>
      <c r="AC83" s="9">
        <v>2.4318</v>
      </c>
      <c r="AD83" s="9">
        <v>0</v>
      </c>
      <c r="AE83" s="9"/>
      <c r="AF83" s="1">
        <f t="shared" si="21"/>
        <v>0</v>
      </c>
      <c r="AG83" s="1">
        <f t="shared" si="22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192</v>
      </c>
      <c r="B84" s="1" t="s">
        <v>39</v>
      </c>
      <c r="C84" s="1">
        <v>30</v>
      </c>
      <c r="D84" s="1"/>
      <c r="E84" s="1">
        <v>20</v>
      </c>
      <c r="F84" s="1">
        <v>8</v>
      </c>
      <c r="G84" s="7">
        <v>0.4</v>
      </c>
      <c r="H84" s="1"/>
      <c r="I84" s="1" t="s">
        <v>193</v>
      </c>
      <c r="J84" s="1"/>
      <c r="K84" s="1">
        <v>20</v>
      </c>
      <c r="L84" s="1">
        <f t="shared" si="17"/>
        <v>0</v>
      </c>
      <c r="M84" s="1"/>
      <c r="N84" s="1"/>
      <c r="O84" s="1">
        <v>17.8</v>
      </c>
      <c r="P84" s="1"/>
      <c r="Q84" s="1"/>
      <c r="R84" s="1">
        <f t="shared" si="18"/>
        <v>4</v>
      </c>
      <c r="S84" s="5">
        <f t="shared" ref="S84:S122" si="23">11*R84-P84-O84-F84</f>
        <v>18.2</v>
      </c>
      <c r="T84" s="5"/>
      <c r="U84" s="1">
        <f t="shared" si="20"/>
        <v>11</v>
      </c>
      <c r="V84" s="1">
        <f t="shared" si="19"/>
        <v>6.45</v>
      </c>
      <c r="W84" s="1">
        <v>3.4</v>
      </c>
      <c r="X84" s="1">
        <v>2</v>
      </c>
      <c r="Y84" s="1">
        <v>0</v>
      </c>
      <c r="Z84" s="1">
        <v>2.4</v>
      </c>
      <c r="AA84" s="1">
        <v>4</v>
      </c>
      <c r="AB84" s="1">
        <v>5.2</v>
      </c>
      <c r="AC84" s="1">
        <v>3.2</v>
      </c>
      <c r="AD84" s="1">
        <v>4</v>
      </c>
      <c r="AE84" s="1"/>
      <c r="AF84" s="1">
        <f t="shared" si="21"/>
        <v>7</v>
      </c>
      <c r="AG84" s="1">
        <f t="shared" si="22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194</v>
      </c>
      <c r="B85" s="1" t="s">
        <v>32</v>
      </c>
      <c r="C85" s="1">
        <v>378.548</v>
      </c>
      <c r="D85" s="1">
        <v>172.44</v>
      </c>
      <c r="E85" s="1">
        <v>198.774</v>
      </c>
      <c r="F85" s="1">
        <v>350.77</v>
      </c>
      <c r="G85" s="7">
        <v>1</v>
      </c>
      <c r="H85" s="1"/>
      <c r="I85" s="1" t="s">
        <v>195</v>
      </c>
      <c r="J85" s="1"/>
      <c r="K85" s="1">
        <v>187.2</v>
      </c>
      <c r="L85" s="1">
        <f t="shared" si="17"/>
        <v>11.574000000000012</v>
      </c>
      <c r="M85" s="1"/>
      <c r="N85" s="1"/>
      <c r="O85" s="1">
        <v>144.02679000000001</v>
      </c>
      <c r="P85" s="1"/>
      <c r="Q85" s="1"/>
      <c r="R85" s="1">
        <f t="shared" si="18"/>
        <v>39.754800000000003</v>
      </c>
      <c r="S85" s="5"/>
      <c r="T85" s="5"/>
      <c r="U85" s="1">
        <f t="shared" si="20"/>
        <v>12.446215048245746</v>
      </c>
      <c r="V85" s="1">
        <f t="shared" si="19"/>
        <v>12.446215048245746</v>
      </c>
      <c r="W85" s="1">
        <v>43.838200000000001</v>
      </c>
      <c r="X85" s="1">
        <v>48.463799999999999</v>
      </c>
      <c r="Y85" s="1">
        <v>47.909399999999998</v>
      </c>
      <c r="Z85" s="1">
        <v>41.079799999999999</v>
      </c>
      <c r="AA85" s="1">
        <v>44.04</v>
      </c>
      <c r="AB85" s="1">
        <v>53.181399999999996</v>
      </c>
      <c r="AC85" s="1">
        <v>55.588000000000001</v>
      </c>
      <c r="AD85" s="1">
        <v>70.816200000000009</v>
      </c>
      <c r="AE85" s="1"/>
      <c r="AF85" s="1">
        <f t="shared" si="21"/>
        <v>0</v>
      </c>
      <c r="AG85" s="1">
        <f t="shared" si="22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196</v>
      </c>
      <c r="B86" s="1" t="s">
        <v>32</v>
      </c>
      <c r="C86" s="1">
        <v>1231.4079999999999</v>
      </c>
      <c r="D86" s="1">
        <v>1316.41</v>
      </c>
      <c r="E86" s="1">
        <v>844.13300000000004</v>
      </c>
      <c r="F86" s="1">
        <v>1682.8420000000001</v>
      </c>
      <c r="G86" s="7">
        <v>1</v>
      </c>
      <c r="H86" s="1"/>
      <c r="I86" s="1" t="s">
        <v>197</v>
      </c>
      <c r="J86" s="1"/>
      <c r="K86" s="1">
        <v>845.125</v>
      </c>
      <c r="L86" s="1">
        <f t="shared" si="17"/>
        <v>-0.9919999999999618</v>
      </c>
      <c r="M86" s="1"/>
      <c r="N86" s="1"/>
      <c r="O86" s="1">
        <v>266.314049055856</v>
      </c>
      <c r="P86" s="1">
        <v>218.29020414414421</v>
      </c>
      <c r="Q86" s="1"/>
      <c r="R86" s="1">
        <f t="shared" si="18"/>
        <v>168.82660000000001</v>
      </c>
      <c r="S86" s="5"/>
      <c r="T86" s="5"/>
      <c r="U86" s="1">
        <f t="shared" si="20"/>
        <v>12.838298308441917</v>
      </c>
      <c r="V86" s="1">
        <f t="shared" si="19"/>
        <v>12.838298308441917</v>
      </c>
      <c r="W86" s="1">
        <v>205.5204</v>
      </c>
      <c r="X86" s="1">
        <v>213.1044</v>
      </c>
      <c r="Y86" s="1">
        <v>188.45419999999999</v>
      </c>
      <c r="Z86" s="1">
        <v>180.20160000000001</v>
      </c>
      <c r="AA86" s="1">
        <v>190.19540000000001</v>
      </c>
      <c r="AB86" s="1">
        <v>178.114</v>
      </c>
      <c r="AC86" s="1">
        <v>183.27199999999999</v>
      </c>
      <c r="AD86" s="1">
        <v>191.50040000000001</v>
      </c>
      <c r="AE86" s="1"/>
      <c r="AF86" s="1">
        <f t="shared" si="21"/>
        <v>0</v>
      </c>
      <c r="AG86" s="1">
        <f t="shared" si="22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198</v>
      </c>
      <c r="B87" s="1" t="s">
        <v>32</v>
      </c>
      <c r="C87" s="1">
        <v>4121.0609999999997</v>
      </c>
      <c r="D87" s="1">
        <v>895.66700000000003</v>
      </c>
      <c r="E87" s="1">
        <v>1927.905</v>
      </c>
      <c r="F87" s="1">
        <v>2956.893</v>
      </c>
      <c r="G87" s="7">
        <v>1</v>
      </c>
      <c r="H87" s="1"/>
      <c r="I87" s="1" t="s">
        <v>199</v>
      </c>
      <c r="J87" s="1"/>
      <c r="K87" s="1">
        <v>1954.73</v>
      </c>
      <c r="L87" s="1">
        <f t="shared" si="17"/>
        <v>-26.825000000000045</v>
      </c>
      <c r="M87" s="1"/>
      <c r="N87" s="1"/>
      <c r="O87" s="1">
        <v>646.85700651892</v>
      </c>
      <c r="P87" s="1">
        <v>530.21066108108187</v>
      </c>
      <c r="Q87" s="1"/>
      <c r="R87" s="1">
        <f t="shared" si="18"/>
        <v>385.58100000000002</v>
      </c>
      <c r="S87" s="5">
        <f t="shared" si="23"/>
        <v>107.43033239999841</v>
      </c>
      <c r="T87" s="5">
        <v>650</v>
      </c>
      <c r="U87" s="1">
        <f t="shared" si="20"/>
        <v>12.685767711583299</v>
      </c>
      <c r="V87" s="1">
        <f t="shared" si="19"/>
        <v>10.721380637531418</v>
      </c>
      <c r="W87" s="1">
        <v>416.45319999999998</v>
      </c>
      <c r="X87" s="1">
        <v>410.62759999999997</v>
      </c>
      <c r="Y87" s="1">
        <v>387.19619999999998</v>
      </c>
      <c r="Z87" s="1">
        <v>392.48200000000003</v>
      </c>
      <c r="AA87" s="1">
        <v>416.58600000000001</v>
      </c>
      <c r="AB87" s="1">
        <v>357.05779999999999</v>
      </c>
      <c r="AC87" s="1">
        <v>324.1216</v>
      </c>
      <c r="AD87" s="1">
        <v>309.94779999999997</v>
      </c>
      <c r="AE87" s="1"/>
      <c r="AF87" s="1">
        <f t="shared" si="21"/>
        <v>107</v>
      </c>
      <c r="AG87" s="1">
        <f t="shared" si="22"/>
        <v>650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200</v>
      </c>
      <c r="B88" s="1" t="s">
        <v>32</v>
      </c>
      <c r="C88" s="1">
        <v>4719.2979999999998</v>
      </c>
      <c r="D88" s="1">
        <v>1885.6130000000001</v>
      </c>
      <c r="E88" s="1">
        <v>2672.35</v>
      </c>
      <c r="F88" s="1">
        <v>3851.7370000000001</v>
      </c>
      <c r="G88" s="7">
        <v>1</v>
      </c>
      <c r="H88" s="1"/>
      <c r="I88" s="1" t="s">
        <v>201</v>
      </c>
      <c r="J88" s="1"/>
      <c r="K88" s="1">
        <v>2674.3</v>
      </c>
      <c r="L88" s="1">
        <f t="shared" si="17"/>
        <v>-1.9500000000002728</v>
      </c>
      <c r="M88" s="1"/>
      <c r="N88" s="1"/>
      <c r="O88" s="1">
        <v>969.53872227927945</v>
      </c>
      <c r="P88" s="1">
        <v>794.70387072072072</v>
      </c>
      <c r="Q88" s="1"/>
      <c r="R88" s="1">
        <f t="shared" si="18"/>
        <v>534.47</v>
      </c>
      <c r="S88" s="5">
        <f t="shared" si="23"/>
        <v>263.19040699999914</v>
      </c>
      <c r="T88" s="5">
        <v>800</v>
      </c>
      <c r="U88" s="1">
        <f t="shared" si="20"/>
        <v>12.496809923849792</v>
      </c>
      <c r="V88" s="1">
        <f t="shared" si="19"/>
        <v>10.507567483675416</v>
      </c>
      <c r="W88" s="1">
        <v>581.125</v>
      </c>
      <c r="X88" s="1">
        <v>584.60559999999998</v>
      </c>
      <c r="Y88" s="1">
        <v>463.70979999999997</v>
      </c>
      <c r="Z88" s="1">
        <v>449.28960000000001</v>
      </c>
      <c r="AA88" s="1">
        <v>497.07560000000001</v>
      </c>
      <c r="AB88" s="1">
        <v>432.53879999999998</v>
      </c>
      <c r="AC88" s="1">
        <v>381.64859999999999</v>
      </c>
      <c r="AD88" s="1">
        <v>308.89019999999999</v>
      </c>
      <c r="AE88" s="1"/>
      <c r="AF88" s="1">
        <f t="shared" si="21"/>
        <v>263</v>
      </c>
      <c r="AG88" s="1">
        <f t="shared" si="22"/>
        <v>800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202</v>
      </c>
      <c r="B89" s="1" t="s">
        <v>32</v>
      </c>
      <c r="C89" s="1">
        <v>6186.9319999999998</v>
      </c>
      <c r="D89" s="1">
        <v>726.41700000000003</v>
      </c>
      <c r="E89" s="1">
        <v>2778.473</v>
      </c>
      <c r="F89" s="1">
        <v>4017.5129999999999</v>
      </c>
      <c r="G89" s="7">
        <v>1</v>
      </c>
      <c r="H89" s="1"/>
      <c r="I89" s="1" t="s">
        <v>203</v>
      </c>
      <c r="J89" s="1"/>
      <c r="K89" s="1">
        <v>2816.1</v>
      </c>
      <c r="L89" s="1">
        <f t="shared" si="17"/>
        <v>-37.626999999999953</v>
      </c>
      <c r="M89" s="1"/>
      <c r="N89" s="1"/>
      <c r="O89" s="1">
        <v>846.80459453333367</v>
      </c>
      <c r="P89" s="1">
        <v>694.10212666666678</v>
      </c>
      <c r="Q89" s="1"/>
      <c r="R89" s="1">
        <f t="shared" si="18"/>
        <v>555.69460000000004</v>
      </c>
      <c r="S89" s="5">
        <f t="shared" si="23"/>
        <v>554.22087880000072</v>
      </c>
      <c r="T89" s="5">
        <v>900</v>
      </c>
      <c r="U89" s="1">
        <f t="shared" si="20"/>
        <v>12.619594647851535</v>
      </c>
      <c r="V89" s="1">
        <f t="shared" si="19"/>
        <v>10.002652034408827</v>
      </c>
      <c r="W89" s="1">
        <v>579.61239999999998</v>
      </c>
      <c r="X89" s="1">
        <v>611.62079999999992</v>
      </c>
      <c r="Y89" s="1">
        <v>529.55100000000004</v>
      </c>
      <c r="Z89" s="1">
        <v>545.48260000000005</v>
      </c>
      <c r="AA89" s="1">
        <v>597.17640000000006</v>
      </c>
      <c r="AB89" s="1">
        <v>524.64340000000004</v>
      </c>
      <c r="AC89" s="1">
        <v>488.06000000000012</v>
      </c>
      <c r="AD89" s="1">
        <v>542.36059999999998</v>
      </c>
      <c r="AE89" s="1"/>
      <c r="AF89" s="1">
        <f t="shared" si="21"/>
        <v>554</v>
      </c>
      <c r="AG89" s="1">
        <f t="shared" si="22"/>
        <v>900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204</v>
      </c>
      <c r="B90" s="1" t="s">
        <v>32</v>
      </c>
      <c r="C90" s="1">
        <v>138.017</v>
      </c>
      <c r="D90" s="1"/>
      <c r="E90" s="1">
        <v>102.61</v>
      </c>
      <c r="F90" s="1">
        <v>35.406999999999996</v>
      </c>
      <c r="G90" s="7">
        <v>1</v>
      </c>
      <c r="H90" s="1"/>
      <c r="I90" s="1" t="s">
        <v>205</v>
      </c>
      <c r="J90" s="1"/>
      <c r="K90" s="1">
        <v>96.7</v>
      </c>
      <c r="L90" s="1">
        <f t="shared" si="17"/>
        <v>5.9099999999999966</v>
      </c>
      <c r="M90" s="1"/>
      <c r="N90" s="1"/>
      <c r="O90" s="1"/>
      <c r="P90" s="1"/>
      <c r="Q90" s="1"/>
      <c r="R90" s="1">
        <f t="shared" si="18"/>
        <v>20.521999999999998</v>
      </c>
      <c r="S90" s="5">
        <f>8*R90-P90-O90-F90</f>
        <v>128.76900000000001</v>
      </c>
      <c r="T90" s="5"/>
      <c r="U90" s="1">
        <f t="shared" si="20"/>
        <v>8</v>
      </c>
      <c r="V90" s="1">
        <f t="shared" si="19"/>
        <v>1.725319169671572</v>
      </c>
      <c r="W90" s="1">
        <v>0.54480000000000006</v>
      </c>
      <c r="X90" s="1">
        <v>0.27479999999999999</v>
      </c>
      <c r="Y90" s="1">
        <v>9.0836000000000006</v>
      </c>
      <c r="Z90" s="1">
        <v>8.8087999999999997</v>
      </c>
      <c r="AA90" s="1">
        <v>9.4116</v>
      </c>
      <c r="AB90" s="1">
        <v>8.0733999999999995</v>
      </c>
      <c r="AC90" s="1">
        <v>7.2638000000000007</v>
      </c>
      <c r="AD90" s="1">
        <v>0.80359999999999998</v>
      </c>
      <c r="AE90" s="1"/>
      <c r="AF90" s="1">
        <f t="shared" si="21"/>
        <v>129</v>
      </c>
      <c r="AG90" s="1">
        <f t="shared" si="22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206</v>
      </c>
      <c r="B91" s="1" t="s">
        <v>32</v>
      </c>
      <c r="C91" s="1">
        <v>42.643999999999998</v>
      </c>
      <c r="D91" s="1">
        <v>10.845000000000001</v>
      </c>
      <c r="E91" s="1">
        <v>25.228000000000002</v>
      </c>
      <c r="F91" s="1">
        <v>27.821000000000002</v>
      </c>
      <c r="G91" s="7">
        <v>1</v>
      </c>
      <c r="H91" s="1"/>
      <c r="I91" s="1" t="s">
        <v>207</v>
      </c>
      <c r="J91" s="1"/>
      <c r="K91" s="1">
        <v>24.7</v>
      </c>
      <c r="L91" s="1">
        <f t="shared" si="17"/>
        <v>0.52800000000000225</v>
      </c>
      <c r="M91" s="1"/>
      <c r="N91" s="1"/>
      <c r="O91" s="1">
        <v>17.189239999999991</v>
      </c>
      <c r="P91" s="1"/>
      <c r="Q91" s="1"/>
      <c r="R91" s="1">
        <f t="shared" si="18"/>
        <v>5.0456000000000003</v>
      </c>
      <c r="S91" s="5">
        <f t="shared" si="23"/>
        <v>10.491360000000011</v>
      </c>
      <c r="T91" s="5"/>
      <c r="U91" s="1">
        <f t="shared" si="20"/>
        <v>11.000000000000002</v>
      </c>
      <c r="V91" s="1">
        <f t="shared" si="19"/>
        <v>8.920691295386078</v>
      </c>
      <c r="W91" s="1">
        <v>4.5573999999999986</v>
      </c>
      <c r="X91" s="1">
        <v>4.0289999999999999</v>
      </c>
      <c r="Y91" s="1">
        <v>4.6223999999999998</v>
      </c>
      <c r="Z91" s="1">
        <v>5.1738</v>
      </c>
      <c r="AA91" s="1">
        <v>6.4451999999999998</v>
      </c>
      <c r="AB91" s="1">
        <v>3.7486000000000002</v>
      </c>
      <c r="AC91" s="1">
        <v>6.1978</v>
      </c>
      <c r="AD91" s="1">
        <v>5.0119999999999996</v>
      </c>
      <c r="AE91" s="1"/>
      <c r="AF91" s="1">
        <f t="shared" si="21"/>
        <v>10</v>
      </c>
      <c r="AG91" s="1">
        <f t="shared" si="22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208</v>
      </c>
      <c r="B92" s="1" t="s">
        <v>39</v>
      </c>
      <c r="C92" s="1">
        <v>204</v>
      </c>
      <c r="D92" s="1">
        <v>330</v>
      </c>
      <c r="E92" s="1">
        <v>187</v>
      </c>
      <c r="F92" s="1">
        <v>315</v>
      </c>
      <c r="G92" s="7">
        <v>0.3</v>
      </c>
      <c r="H92" s="1"/>
      <c r="I92" s="1" t="s">
        <v>209</v>
      </c>
      <c r="J92" s="1"/>
      <c r="K92" s="1">
        <v>214</v>
      </c>
      <c r="L92" s="1">
        <f t="shared" si="17"/>
        <v>-27</v>
      </c>
      <c r="M92" s="1"/>
      <c r="N92" s="1"/>
      <c r="O92" s="1">
        <v>11.788000000000009</v>
      </c>
      <c r="P92" s="1"/>
      <c r="Q92" s="1"/>
      <c r="R92" s="1">
        <f t="shared" si="18"/>
        <v>37.4</v>
      </c>
      <c r="S92" s="5">
        <f t="shared" si="23"/>
        <v>84.611999999999966</v>
      </c>
      <c r="T92" s="5"/>
      <c r="U92" s="1">
        <f t="shared" si="20"/>
        <v>11</v>
      </c>
      <c r="V92" s="1">
        <f t="shared" si="19"/>
        <v>8.73764705882353</v>
      </c>
      <c r="W92" s="1">
        <v>36.6</v>
      </c>
      <c r="X92" s="1">
        <v>44.6</v>
      </c>
      <c r="Y92" s="1">
        <v>40</v>
      </c>
      <c r="Z92" s="1">
        <v>20</v>
      </c>
      <c r="AA92" s="1">
        <v>30.8</v>
      </c>
      <c r="AB92" s="1">
        <v>34.200000000000003</v>
      </c>
      <c r="AC92" s="1">
        <v>33</v>
      </c>
      <c r="AD92" s="1">
        <v>36.6</v>
      </c>
      <c r="AE92" s="1"/>
      <c r="AF92" s="1">
        <f t="shared" si="21"/>
        <v>25</v>
      </c>
      <c r="AG92" s="1">
        <f t="shared" si="22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52</v>
      </c>
      <c r="B93" s="1" t="s">
        <v>39</v>
      </c>
      <c r="C93" s="1">
        <v>343</v>
      </c>
      <c r="D93" s="1">
        <v>54</v>
      </c>
      <c r="E93" s="1">
        <v>208</v>
      </c>
      <c r="F93" s="12">
        <f>183+F15</f>
        <v>181</v>
      </c>
      <c r="G93" s="7">
        <v>0.3</v>
      </c>
      <c r="H93" s="1"/>
      <c r="I93" s="1" t="s">
        <v>210</v>
      </c>
      <c r="J93" s="1"/>
      <c r="K93" s="1">
        <v>209</v>
      </c>
      <c r="L93" s="1">
        <f t="shared" si="17"/>
        <v>-1</v>
      </c>
      <c r="M93" s="1"/>
      <c r="N93" s="1"/>
      <c r="O93" s="1"/>
      <c r="P93" s="1"/>
      <c r="Q93" s="1"/>
      <c r="R93" s="1">
        <f t="shared" si="18"/>
        <v>41.6</v>
      </c>
      <c r="S93" s="5">
        <f>9*R93-P93-O93-F93</f>
        <v>193.40000000000003</v>
      </c>
      <c r="T93" s="5"/>
      <c r="U93" s="1">
        <f t="shared" si="20"/>
        <v>9</v>
      </c>
      <c r="V93" s="1">
        <f t="shared" si="19"/>
        <v>4.3509615384615383</v>
      </c>
      <c r="W93" s="1">
        <v>11.8</v>
      </c>
      <c r="X93" s="1">
        <v>3.2</v>
      </c>
      <c r="Y93" s="1">
        <v>15.2</v>
      </c>
      <c r="Z93" s="1">
        <v>21.8</v>
      </c>
      <c r="AA93" s="1">
        <v>36.6</v>
      </c>
      <c r="AB93" s="1">
        <v>18.399999999999999</v>
      </c>
      <c r="AC93" s="1">
        <v>27.8</v>
      </c>
      <c r="AD93" s="1">
        <v>17.600000000000001</v>
      </c>
      <c r="AE93" s="1"/>
      <c r="AF93" s="1">
        <f t="shared" si="21"/>
        <v>58</v>
      </c>
      <c r="AG93" s="1">
        <f t="shared" si="22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211</v>
      </c>
      <c r="B94" s="1" t="s">
        <v>39</v>
      </c>
      <c r="C94" s="1">
        <v>186</v>
      </c>
      <c r="D94" s="1"/>
      <c r="E94" s="1">
        <v>59</v>
      </c>
      <c r="F94" s="1">
        <v>119</v>
      </c>
      <c r="G94" s="7">
        <v>7.0000000000000007E-2</v>
      </c>
      <c r="H94" s="1"/>
      <c r="I94" s="1" t="s">
        <v>212</v>
      </c>
      <c r="J94" s="1"/>
      <c r="K94" s="1">
        <v>67</v>
      </c>
      <c r="L94" s="1">
        <f t="shared" si="17"/>
        <v>-8</v>
      </c>
      <c r="M94" s="1"/>
      <c r="N94" s="1"/>
      <c r="O94" s="1"/>
      <c r="P94" s="1"/>
      <c r="Q94" s="1"/>
      <c r="R94" s="1">
        <f t="shared" si="18"/>
        <v>11.8</v>
      </c>
      <c r="S94" s="5">
        <f t="shared" si="23"/>
        <v>10.800000000000011</v>
      </c>
      <c r="T94" s="5"/>
      <c r="U94" s="1">
        <f t="shared" si="20"/>
        <v>11</v>
      </c>
      <c r="V94" s="1">
        <f t="shared" si="19"/>
        <v>10.084745762711863</v>
      </c>
      <c r="W94" s="1">
        <v>10.199999999999999</v>
      </c>
      <c r="X94" s="1">
        <v>4</v>
      </c>
      <c r="Y94" s="1">
        <v>-1.4</v>
      </c>
      <c r="Z94" s="1">
        <v>1.6</v>
      </c>
      <c r="AA94" s="1">
        <v>9.8000000000000007</v>
      </c>
      <c r="AB94" s="1">
        <v>13.8</v>
      </c>
      <c r="AC94" s="1">
        <v>10.8</v>
      </c>
      <c r="AD94" s="1">
        <v>9.1999999999999993</v>
      </c>
      <c r="AE94" s="1"/>
      <c r="AF94" s="1">
        <f t="shared" si="21"/>
        <v>1</v>
      </c>
      <c r="AG94" s="1">
        <f t="shared" si="22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213</v>
      </c>
      <c r="B95" s="1" t="s">
        <v>39</v>
      </c>
      <c r="C95" s="1">
        <v>369</v>
      </c>
      <c r="D95" s="1"/>
      <c r="E95" s="1">
        <v>205</v>
      </c>
      <c r="F95" s="1">
        <v>148</v>
      </c>
      <c r="G95" s="7">
        <v>7.0000000000000007E-2</v>
      </c>
      <c r="H95" s="1"/>
      <c r="I95" s="1" t="s">
        <v>214</v>
      </c>
      <c r="J95" s="1"/>
      <c r="K95" s="1">
        <v>212</v>
      </c>
      <c r="L95" s="1">
        <f t="shared" si="17"/>
        <v>-7</v>
      </c>
      <c r="M95" s="1"/>
      <c r="N95" s="1"/>
      <c r="O95" s="1">
        <v>132.4</v>
      </c>
      <c r="P95" s="1"/>
      <c r="Q95" s="1"/>
      <c r="R95" s="1">
        <f t="shared" si="18"/>
        <v>41</v>
      </c>
      <c r="S95" s="5">
        <f t="shared" si="23"/>
        <v>170.60000000000002</v>
      </c>
      <c r="T95" s="5"/>
      <c r="U95" s="1">
        <f t="shared" si="20"/>
        <v>11</v>
      </c>
      <c r="V95" s="1">
        <f t="shared" si="19"/>
        <v>6.8390243902439023</v>
      </c>
      <c r="W95" s="1">
        <v>36.200000000000003</v>
      </c>
      <c r="X95" s="1">
        <v>28.2</v>
      </c>
      <c r="Y95" s="1">
        <v>16.600000000000001</v>
      </c>
      <c r="Z95" s="1">
        <v>26.4</v>
      </c>
      <c r="AA95" s="1">
        <v>44.2</v>
      </c>
      <c r="AB95" s="1">
        <v>27</v>
      </c>
      <c r="AC95" s="1">
        <v>28.4</v>
      </c>
      <c r="AD95" s="1">
        <v>35</v>
      </c>
      <c r="AE95" s="1"/>
      <c r="AF95" s="1">
        <f t="shared" si="21"/>
        <v>12</v>
      </c>
      <c r="AG95" s="1">
        <f t="shared" si="22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215</v>
      </c>
      <c r="B96" s="1" t="s">
        <v>39</v>
      </c>
      <c r="C96" s="1">
        <v>268</v>
      </c>
      <c r="D96" s="1">
        <v>36</v>
      </c>
      <c r="E96" s="1">
        <v>135</v>
      </c>
      <c r="F96" s="1">
        <v>162</v>
      </c>
      <c r="G96" s="7">
        <v>7.0000000000000007E-2</v>
      </c>
      <c r="H96" s="1"/>
      <c r="I96" s="1" t="s">
        <v>216</v>
      </c>
      <c r="J96" s="1"/>
      <c r="K96" s="1">
        <v>136</v>
      </c>
      <c r="L96" s="1">
        <f t="shared" si="17"/>
        <v>-1</v>
      </c>
      <c r="M96" s="1"/>
      <c r="N96" s="1"/>
      <c r="O96" s="1">
        <v>75.811999999999955</v>
      </c>
      <c r="P96" s="1"/>
      <c r="Q96" s="1"/>
      <c r="R96" s="1">
        <f t="shared" si="18"/>
        <v>27</v>
      </c>
      <c r="S96" s="5">
        <f t="shared" si="23"/>
        <v>59.188000000000045</v>
      </c>
      <c r="T96" s="5"/>
      <c r="U96" s="1">
        <f t="shared" si="20"/>
        <v>11</v>
      </c>
      <c r="V96" s="1">
        <f t="shared" si="19"/>
        <v>8.8078518518518507</v>
      </c>
      <c r="W96" s="1">
        <v>26.4</v>
      </c>
      <c r="X96" s="1">
        <v>25.4</v>
      </c>
      <c r="Y96" s="1">
        <v>19.399999999999999</v>
      </c>
      <c r="Z96" s="1">
        <v>21.4</v>
      </c>
      <c r="AA96" s="1">
        <v>29.6</v>
      </c>
      <c r="AB96" s="1">
        <v>22</v>
      </c>
      <c r="AC96" s="1">
        <v>21.6</v>
      </c>
      <c r="AD96" s="1">
        <v>24.6</v>
      </c>
      <c r="AE96" s="1"/>
      <c r="AF96" s="1">
        <f t="shared" si="21"/>
        <v>4</v>
      </c>
      <c r="AG96" s="1">
        <f t="shared" si="22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217</v>
      </c>
      <c r="B97" s="1" t="s">
        <v>39</v>
      </c>
      <c r="C97" s="1">
        <v>97</v>
      </c>
      <c r="D97" s="1">
        <v>162</v>
      </c>
      <c r="E97" s="1">
        <v>84</v>
      </c>
      <c r="F97" s="1">
        <v>164</v>
      </c>
      <c r="G97" s="7">
        <v>0.05</v>
      </c>
      <c r="H97" s="1"/>
      <c r="I97" s="1" t="s">
        <v>218</v>
      </c>
      <c r="J97" s="1"/>
      <c r="K97" s="1">
        <v>89</v>
      </c>
      <c r="L97" s="1">
        <f t="shared" si="17"/>
        <v>-5</v>
      </c>
      <c r="M97" s="1"/>
      <c r="N97" s="1"/>
      <c r="O97" s="1">
        <v>33.095999999999989</v>
      </c>
      <c r="P97" s="1"/>
      <c r="Q97" s="1"/>
      <c r="R97" s="1">
        <f t="shared" si="18"/>
        <v>16.8</v>
      </c>
      <c r="S97" s="5"/>
      <c r="T97" s="5"/>
      <c r="U97" s="1">
        <f t="shared" si="20"/>
        <v>11.731904761904762</v>
      </c>
      <c r="V97" s="1">
        <f t="shared" si="19"/>
        <v>11.731904761904762</v>
      </c>
      <c r="W97" s="1">
        <v>18.600000000000001</v>
      </c>
      <c r="X97" s="1">
        <v>20.2</v>
      </c>
      <c r="Y97" s="1">
        <v>18.600000000000001</v>
      </c>
      <c r="Z97" s="1">
        <v>18</v>
      </c>
      <c r="AA97" s="1">
        <v>13.2</v>
      </c>
      <c r="AB97" s="1">
        <v>18.8</v>
      </c>
      <c r="AC97" s="1">
        <v>17.2</v>
      </c>
      <c r="AD97" s="1">
        <v>11.2</v>
      </c>
      <c r="AE97" s="1"/>
      <c r="AF97" s="1">
        <f t="shared" si="21"/>
        <v>0</v>
      </c>
      <c r="AG97" s="1">
        <f t="shared" si="22"/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6" t="s">
        <v>219</v>
      </c>
      <c r="B98" s="16" t="s">
        <v>39</v>
      </c>
      <c r="C98" s="16">
        <v>-1</v>
      </c>
      <c r="D98" s="16"/>
      <c r="E98" s="16">
        <v>-1</v>
      </c>
      <c r="F98" s="16">
        <v>-1</v>
      </c>
      <c r="G98" s="17">
        <v>5.5E-2</v>
      </c>
      <c r="H98" s="16"/>
      <c r="I98" s="16" t="s">
        <v>220</v>
      </c>
      <c r="J98" s="16"/>
      <c r="K98" s="16">
        <v>8</v>
      </c>
      <c r="L98" s="16">
        <f t="shared" si="17"/>
        <v>-9</v>
      </c>
      <c r="M98" s="16"/>
      <c r="N98" s="16"/>
      <c r="O98" s="16"/>
      <c r="P98" s="16"/>
      <c r="Q98" s="16"/>
      <c r="R98" s="16">
        <f t="shared" si="18"/>
        <v>-0.2</v>
      </c>
      <c r="S98" s="18"/>
      <c r="T98" s="18"/>
      <c r="U98" s="1">
        <f t="shared" si="20"/>
        <v>5</v>
      </c>
      <c r="V98" s="16">
        <f t="shared" si="19"/>
        <v>5</v>
      </c>
      <c r="W98" s="16">
        <v>3.2</v>
      </c>
      <c r="X98" s="16">
        <v>9</v>
      </c>
      <c r="Y98" s="16">
        <v>15.8</v>
      </c>
      <c r="Z98" s="16">
        <v>17.2</v>
      </c>
      <c r="AA98" s="16">
        <v>14.2</v>
      </c>
      <c r="AB98" s="16">
        <v>14</v>
      </c>
      <c r="AC98" s="16">
        <v>11.2</v>
      </c>
      <c r="AD98" s="16">
        <v>11.8</v>
      </c>
      <c r="AE98" s="16" t="s">
        <v>221</v>
      </c>
      <c r="AF98" s="1">
        <f t="shared" si="21"/>
        <v>0</v>
      </c>
      <c r="AG98" s="1">
        <f t="shared" si="22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6" t="s">
        <v>222</v>
      </c>
      <c r="B99" s="16" t="s">
        <v>39</v>
      </c>
      <c r="C99" s="16">
        <v>154</v>
      </c>
      <c r="D99" s="16"/>
      <c r="E99" s="16">
        <v>59</v>
      </c>
      <c r="F99" s="16">
        <v>89</v>
      </c>
      <c r="G99" s="17">
        <v>5.5E-2</v>
      </c>
      <c r="H99" s="16"/>
      <c r="I99" s="16" t="s">
        <v>223</v>
      </c>
      <c r="J99" s="16"/>
      <c r="K99" s="16">
        <v>61</v>
      </c>
      <c r="L99" s="16">
        <f t="shared" si="17"/>
        <v>-2</v>
      </c>
      <c r="M99" s="16"/>
      <c r="N99" s="16"/>
      <c r="O99" s="16"/>
      <c r="P99" s="16"/>
      <c r="Q99" s="16"/>
      <c r="R99" s="16">
        <f t="shared" si="18"/>
        <v>11.8</v>
      </c>
      <c r="S99" s="18"/>
      <c r="T99" s="18"/>
      <c r="U99" s="1">
        <f t="shared" si="20"/>
        <v>7.5423728813559316</v>
      </c>
      <c r="V99" s="16">
        <f t="shared" si="19"/>
        <v>7.5423728813559316</v>
      </c>
      <c r="W99" s="16">
        <v>13.8</v>
      </c>
      <c r="X99" s="16">
        <v>13.2</v>
      </c>
      <c r="Y99" s="16">
        <v>8.4</v>
      </c>
      <c r="Z99" s="16">
        <v>10.199999999999999</v>
      </c>
      <c r="AA99" s="16">
        <v>12.8</v>
      </c>
      <c r="AB99" s="16">
        <v>10.8</v>
      </c>
      <c r="AC99" s="16">
        <v>9.8000000000000007</v>
      </c>
      <c r="AD99" s="16">
        <v>7.6</v>
      </c>
      <c r="AE99" s="16" t="s">
        <v>221</v>
      </c>
      <c r="AF99" s="1">
        <f t="shared" si="21"/>
        <v>0</v>
      </c>
      <c r="AG99" s="1">
        <f t="shared" si="22"/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224</v>
      </c>
      <c r="B100" s="1" t="s">
        <v>39</v>
      </c>
      <c r="C100" s="1">
        <v>40</v>
      </c>
      <c r="D100" s="1"/>
      <c r="E100" s="1">
        <v>4</v>
      </c>
      <c r="F100" s="1">
        <v>36</v>
      </c>
      <c r="G100" s="7">
        <v>0.4</v>
      </c>
      <c r="H100" s="1"/>
      <c r="I100" s="1" t="s">
        <v>225</v>
      </c>
      <c r="J100" s="1"/>
      <c r="K100" s="1">
        <v>4</v>
      </c>
      <c r="L100" s="1">
        <f t="shared" si="17"/>
        <v>0</v>
      </c>
      <c r="M100" s="1"/>
      <c r="N100" s="1"/>
      <c r="O100" s="1"/>
      <c r="P100" s="1"/>
      <c r="Q100" s="1"/>
      <c r="R100" s="1">
        <f t="shared" si="18"/>
        <v>0.8</v>
      </c>
      <c r="S100" s="5"/>
      <c r="T100" s="5"/>
      <c r="U100" s="1">
        <f t="shared" si="20"/>
        <v>45</v>
      </c>
      <c r="V100" s="1">
        <f t="shared" si="19"/>
        <v>45</v>
      </c>
      <c r="W100" s="1">
        <v>0.8</v>
      </c>
      <c r="X100" s="1">
        <v>2</v>
      </c>
      <c r="Y100" s="1">
        <v>2</v>
      </c>
      <c r="Z100" s="1">
        <v>0.8</v>
      </c>
      <c r="AA100" s="1">
        <v>1.6</v>
      </c>
      <c r="AB100" s="1">
        <v>0.4</v>
      </c>
      <c r="AC100" s="1">
        <v>0.6</v>
      </c>
      <c r="AD100" s="1">
        <v>-0.4</v>
      </c>
      <c r="AE100" s="14" t="s">
        <v>77</v>
      </c>
      <c r="AF100" s="1">
        <f t="shared" si="21"/>
        <v>0</v>
      </c>
      <c r="AG100" s="1">
        <f t="shared" si="22"/>
        <v>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226</v>
      </c>
      <c r="B101" s="1" t="s">
        <v>39</v>
      </c>
      <c r="C101" s="1">
        <v>269</v>
      </c>
      <c r="D101" s="1">
        <v>150</v>
      </c>
      <c r="E101" s="1">
        <v>267</v>
      </c>
      <c r="F101" s="1">
        <v>144</v>
      </c>
      <c r="G101" s="7">
        <v>0.3</v>
      </c>
      <c r="H101" s="1"/>
      <c r="I101" s="1" t="s">
        <v>227</v>
      </c>
      <c r="J101" s="1"/>
      <c r="K101" s="1">
        <v>269</v>
      </c>
      <c r="L101" s="1">
        <f t="shared" si="17"/>
        <v>-2</v>
      </c>
      <c r="M101" s="1"/>
      <c r="N101" s="1"/>
      <c r="O101" s="1"/>
      <c r="P101" s="1"/>
      <c r="Q101" s="1"/>
      <c r="R101" s="1">
        <f t="shared" si="18"/>
        <v>53.4</v>
      </c>
      <c r="S101" s="5">
        <f>9*R101-P101-O101-F101</f>
        <v>336.59999999999997</v>
      </c>
      <c r="T101" s="5"/>
      <c r="U101" s="1">
        <f t="shared" si="20"/>
        <v>9</v>
      </c>
      <c r="V101" s="1">
        <f t="shared" si="19"/>
        <v>2.696629213483146</v>
      </c>
      <c r="W101" s="1">
        <v>14.4</v>
      </c>
      <c r="X101" s="1">
        <v>11.4</v>
      </c>
      <c r="Y101" s="1">
        <v>33.4</v>
      </c>
      <c r="Z101" s="1">
        <v>28</v>
      </c>
      <c r="AA101" s="1">
        <v>24.6</v>
      </c>
      <c r="AB101" s="1">
        <v>25</v>
      </c>
      <c r="AC101" s="1">
        <v>21.8</v>
      </c>
      <c r="AD101" s="1">
        <v>18.399999999999999</v>
      </c>
      <c r="AE101" s="1"/>
      <c r="AF101" s="1">
        <f t="shared" si="21"/>
        <v>101</v>
      </c>
      <c r="AG101" s="1">
        <f t="shared" si="22"/>
        <v>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228</v>
      </c>
      <c r="B102" s="1" t="s">
        <v>32</v>
      </c>
      <c r="C102" s="1">
        <v>115.40600000000001</v>
      </c>
      <c r="D102" s="1">
        <v>63.884</v>
      </c>
      <c r="E102" s="1">
        <v>99.224000000000004</v>
      </c>
      <c r="F102" s="1">
        <v>74.661000000000001</v>
      </c>
      <c r="G102" s="7">
        <v>1</v>
      </c>
      <c r="H102" s="1"/>
      <c r="I102" s="1" t="s">
        <v>229</v>
      </c>
      <c r="J102" s="1"/>
      <c r="K102" s="1">
        <v>82.05</v>
      </c>
      <c r="L102" s="1">
        <f t="shared" ref="L102:L124" si="24">E102-K102</f>
        <v>17.174000000000007</v>
      </c>
      <c r="M102" s="1"/>
      <c r="N102" s="1"/>
      <c r="O102" s="1">
        <v>140.46879999999999</v>
      </c>
      <c r="P102" s="1"/>
      <c r="Q102" s="1"/>
      <c r="R102" s="1">
        <f t="shared" ref="R102:R124" si="25">E102/5</f>
        <v>19.844799999999999</v>
      </c>
      <c r="S102" s="5">
        <v>4</v>
      </c>
      <c r="T102" s="5"/>
      <c r="U102" s="1">
        <f t="shared" si="20"/>
        <v>11.042177295815529</v>
      </c>
      <c r="V102" s="1">
        <f t="shared" ref="V102:V124" si="26">(F102+O102+P102)/R102</f>
        <v>10.84061315810691</v>
      </c>
      <c r="W102" s="1">
        <v>21.769400000000001</v>
      </c>
      <c r="X102" s="1">
        <v>15.845800000000001</v>
      </c>
      <c r="Y102" s="1">
        <v>21.074000000000002</v>
      </c>
      <c r="Z102" s="1">
        <v>24.769600000000001</v>
      </c>
      <c r="AA102" s="1">
        <v>22.8644</v>
      </c>
      <c r="AB102" s="1">
        <v>19.228400000000001</v>
      </c>
      <c r="AC102" s="1">
        <v>15.1296</v>
      </c>
      <c r="AD102" s="1">
        <v>30.543399999999998</v>
      </c>
      <c r="AE102" s="1"/>
      <c r="AF102" s="1">
        <f t="shared" si="21"/>
        <v>4</v>
      </c>
      <c r="AG102" s="1">
        <f t="shared" si="22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230</v>
      </c>
      <c r="B103" s="1" t="s">
        <v>39</v>
      </c>
      <c r="C103" s="1">
        <v>22</v>
      </c>
      <c r="D103" s="1">
        <v>10</v>
      </c>
      <c r="E103" s="1">
        <v>7</v>
      </c>
      <c r="F103" s="1">
        <v>23</v>
      </c>
      <c r="G103" s="7">
        <v>0.1</v>
      </c>
      <c r="H103" s="1"/>
      <c r="I103" s="1" t="s">
        <v>231</v>
      </c>
      <c r="J103" s="1"/>
      <c r="K103" s="1">
        <v>10</v>
      </c>
      <c r="L103" s="1">
        <f t="shared" si="24"/>
        <v>-3</v>
      </c>
      <c r="M103" s="1"/>
      <c r="N103" s="1"/>
      <c r="O103" s="1"/>
      <c r="P103" s="1"/>
      <c r="Q103" s="1"/>
      <c r="R103" s="1">
        <f t="shared" si="25"/>
        <v>1.4</v>
      </c>
      <c r="S103" s="5"/>
      <c r="T103" s="5"/>
      <c r="U103" s="1">
        <f t="shared" si="20"/>
        <v>16.428571428571431</v>
      </c>
      <c r="V103" s="1">
        <f t="shared" si="26"/>
        <v>16.428571428571431</v>
      </c>
      <c r="W103" s="1">
        <v>2.2000000000000002</v>
      </c>
      <c r="X103" s="1">
        <v>3.2</v>
      </c>
      <c r="Y103" s="1">
        <v>1.8</v>
      </c>
      <c r="Z103" s="1">
        <v>0.8</v>
      </c>
      <c r="AA103" s="1">
        <v>1.8</v>
      </c>
      <c r="AB103" s="1">
        <v>1.6</v>
      </c>
      <c r="AC103" s="1">
        <v>0</v>
      </c>
      <c r="AD103" s="1">
        <v>1.8</v>
      </c>
      <c r="AE103" s="13" t="s">
        <v>144</v>
      </c>
      <c r="AF103" s="1">
        <f t="shared" si="21"/>
        <v>0</v>
      </c>
      <c r="AG103" s="1">
        <f t="shared" si="22"/>
        <v>0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232</v>
      </c>
      <c r="B104" s="1" t="s">
        <v>39</v>
      </c>
      <c r="C104" s="1">
        <v>246</v>
      </c>
      <c r="D104" s="1">
        <v>250</v>
      </c>
      <c r="E104" s="1">
        <v>250</v>
      </c>
      <c r="F104" s="1">
        <v>213</v>
      </c>
      <c r="G104" s="7">
        <v>0.08</v>
      </c>
      <c r="H104" s="1"/>
      <c r="I104" s="1" t="s">
        <v>233</v>
      </c>
      <c r="J104" s="1"/>
      <c r="K104" s="1">
        <v>270</v>
      </c>
      <c r="L104" s="1">
        <f t="shared" si="24"/>
        <v>-20</v>
      </c>
      <c r="M104" s="1"/>
      <c r="N104" s="1"/>
      <c r="O104" s="1">
        <v>127.2679999999999</v>
      </c>
      <c r="P104" s="1"/>
      <c r="Q104" s="1"/>
      <c r="R104" s="1">
        <f t="shared" si="25"/>
        <v>50</v>
      </c>
      <c r="S104" s="5">
        <f t="shared" si="23"/>
        <v>209.73200000000008</v>
      </c>
      <c r="T104" s="5"/>
      <c r="U104" s="1">
        <f t="shared" si="20"/>
        <v>11</v>
      </c>
      <c r="V104" s="1">
        <f t="shared" si="26"/>
        <v>6.8053599999999985</v>
      </c>
      <c r="W104" s="1">
        <v>41.4</v>
      </c>
      <c r="X104" s="1">
        <v>40.6</v>
      </c>
      <c r="Y104" s="1">
        <v>39.6</v>
      </c>
      <c r="Z104" s="1">
        <v>39.4</v>
      </c>
      <c r="AA104" s="1">
        <v>42.4</v>
      </c>
      <c r="AB104" s="1">
        <v>36.4</v>
      </c>
      <c r="AC104" s="1">
        <v>40</v>
      </c>
      <c r="AD104" s="1">
        <v>36.6</v>
      </c>
      <c r="AE104" s="1"/>
      <c r="AF104" s="1">
        <f t="shared" si="21"/>
        <v>17</v>
      </c>
      <c r="AG104" s="1">
        <f t="shared" si="22"/>
        <v>0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234</v>
      </c>
      <c r="B105" s="1" t="s">
        <v>39</v>
      </c>
      <c r="C105" s="1">
        <v>233</v>
      </c>
      <c r="D105" s="1">
        <v>50</v>
      </c>
      <c r="E105" s="1">
        <v>176</v>
      </c>
      <c r="F105" s="1">
        <v>85</v>
      </c>
      <c r="G105" s="7">
        <v>0.08</v>
      </c>
      <c r="H105" s="1"/>
      <c r="I105" s="1" t="s">
        <v>235</v>
      </c>
      <c r="J105" s="1"/>
      <c r="K105" s="1">
        <v>185</v>
      </c>
      <c r="L105" s="1">
        <f t="shared" si="24"/>
        <v>-9</v>
      </c>
      <c r="M105" s="1"/>
      <c r="N105" s="1"/>
      <c r="O105" s="1">
        <v>144.16399999999999</v>
      </c>
      <c r="P105" s="1"/>
      <c r="Q105" s="1"/>
      <c r="R105" s="1">
        <f t="shared" si="25"/>
        <v>35.200000000000003</v>
      </c>
      <c r="S105" s="5">
        <f t="shared" si="23"/>
        <v>158.03600000000006</v>
      </c>
      <c r="T105" s="5"/>
      <c r="U105" s="1">
        <f t="shared" si="20"/>
        <v>11</v>
      </c>
      <c r="V105" s="1">
        <f t="shared" si="26"/>
        <v>6.5103409090909086</v>
      </c>
      <c r="W105" s="1">
        <v>30.6</v>
      </c>
      <c r="X105" s="1">
        <v>23.8</v>
      </c>
      <c r="Y105" s="1">
        <v>11.2</v>
      </c>
      <c r="Z105" s="1">
        <v>20.8</v>
      </c>
      <c r="AA105" s="1">
        <v>34.4</v>
      </c>
      <c r="AB105" s="1">
        <v>20</v>
      </c>
      <c r="AC105" s="1">
        <v>28.2</v>
      </c>
      <c r="AD105" s="1">
        <v>14</v>
      </c>
      <c r="AE105" s="1"/>
      <c r="AF105" s="1">
        <f t="shared" si="21"/>
        <v>13</v>
      </c>
      <c r="AG105" s="1">
        <f t="shared" si="22"/>
        <v>0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236</v>
      </c>
      <c r="B106" s="1" t="s">
        <v>39</v>
      </c>
      <c r="C106" s="1">
        <v>27</v>
      </c>
      <c r="D106" s="1">
        <v>20</v>
      </c>
      <c r="E106" s="1">
        <v>5</v>
      </c>
      <c r="F106" s="1">
        <v>20</v>
      </c>
      <c r="G106" s="7">
        <v>0.17</v>
      </c>
      <c r="H106" s="1"/>
      <c r="I106" s="1" t="s">
        <v>237</v>
      </c>
      <c r="J106" s="1"/>
      <c r="K106" s="1">
        <v>10</v>
      </c>
      <c r="L106" s="1">
        <f t="shared" si="24"/>
        <v>-5</v>
      </c>
      <c r="M106" s="1"/>
      <c r="N106" s="1"/>
      <c r="O106" s="1"/>
      <c r="P106" s="1"/>
      <c r="Q106" s="1"/>
      <c r="R106" s="1">
        <f t="shared" si="25"/>
        <v>1</v>
      </c>
      <c r="S106" s="5"/>
      <c r="T106" s="5"/>
      <c r="U106" s="1">
        <f t="shared" si="20"/>
        <v>20</v>
      </c>
      <c r="V106" s="1">
        <f t="shared" si="26"/>
        <v>20</v>
      </c>
      <c r="W106" s="1">
        <v>2</v>
      </c>
      <c r="X106" s="1">
        <v>3</v>
      </c>
      <c r="Y106" s="1">
        <v>1.6</v>
      </c>
      <c r="Z106" s="1">
        <v>1.4</v>
      </c>
      <c r="AA106" s="1">
        <v>-0.4</v>
      </c>
      <c r="AB106" s="1">
        <v>2</v>
      </c>
      <c r="AC106" s="1">
        <v>0.8</v>
      </c>
      <c r="AD106" s="1">
        <v>3.4</v>
      </c>
      <c r="AE106" s="15" t="s">
        <v>275</v>
      </c>
      <c r="AF106" s="1">
        <f t="shared" si="21"/>
        <v>0</v>
      </c>
      <c r="AG106" s="1">
        <f t="shared" si="22"/>
        <v>0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 t="s">
        <v>238</v>
      </c>
      <c r="B107" s="1" t="s">
        <v>32</v>
      </c>
      <c r="C107" s="1">
        <v>469.65</v>
      </c>
      <c r="D107" s="1">
        <v>381.53199999999998</v>
      </c>
      <c r="E107" s="1">
        <v>308.58499999999998</v>
      </c>
      <c r="F107" s="1">
        <v>521.11</v>
      </c>
      <c r="G107" s="7">
        <v>1</v>
      </c>
      <c r="H107" s="1"/>
      <c r="I107" s="1" t="s">
        <v>239</v>
      </c>
      <c r="J107" s="1"/>
      <c r="K107" s="1">
        <v>320.75</v>
      </c>
      <c r="L107" s="1">
        <f t="shared" si="24"/>
        <v>-12.16500000000002</v>
      </c>
      <c r="M107" s="1"/>
      <c r="N107" s="1"/>
      <c r="O107" s="1">
        <v>97.595923999999741</v>
      </c>
      <c r="P107" s="1"/>
      <c r="Q107" s="1"/>
      <c r="R107" s="1">
        <f t="shared" si="25"/>
        <v>61.716999999999999</v>
      </c>
      <c r="S107" s="5">
        <f t="shared" si="23"/>
        <v>60.181076000000189</v>
      </c>
      <c r="T107" s="5"/>
      <c r="U107" s="1">
        <f t="shared" si="20"/>
        <v>11</v>
      </c>
      <c r="V107" s="1">
        <f t="shared" si="26"/>
        <v>10.0248865628595</v>
      </c>
      <c r="W107" s="1">
        <v>68.288199999999989</v>
      </c>
      <c r="X107" s="1">
        <v>71.225800000000007</v>
      </c>
      <c r="Y107" s="1">
        <v>70.763800000000003</v>
      </c>
      <c r="Z107" s="1">
        <v>70.212599999999995</v>
      </c>
      <c r="AA107" s="1">
        <v>71.038399999999996</v>
      </c>
      <c r="AB107" s="1">
        <v>80.659400000000005</v>
      </c>
      <c r="AC107" s="1">
        <v>61.707599999999999</v>
      </c>
      <c r="AD107" s="1">
        <v>44.884399999999999</v>
      </c>
      <c r="AE107" s="1"/>
      <c r="AF107" s="1">
        <f t="shared" si="21"/>
        <v>60</v>
      </c>
      <c r="AG107" s="1">
        <f t="shared" si="22"/>
        <v>0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 t="s">
        <v>240</v>
      </c>
      <c r="B108" s="1" t="s">
        <v>32</v>
      </c>
      <c r="C108" s="1">
        <v>456.34500000000003</v>
      </c>
      <c r="D108" s="1">
        <v>184.79599999999999</v>
      </c>
      <c r="E108" s="1">
        <v>187.92500000000001</v>
      </c>
      <c r="F108" s="1">
        <v>435.06799999999998</v>
      </c>
      <c r="G108" s="7">
        <v>1</v>
      </c>
      <c r="H108" s="1"/>
      <c r="I108" s="1" t="s">
        <v>241</v>
      </c>
      <c r="J108" s="1"/>
      <c r="K108" s="1">
        <v>194.3</v>
      </c>
      <c r="L108" s="1">
        <f t="shared" si="24"/>
        <v>-6.375</v>
      </c>
      <c r="M108" s="1"/>
      <c r="N108" s="1"/>
      <c r="O108" s="1"/>
      <c r="P108" s="1"/>
      <c r="Q108" s="1"/>
      <c r="R108" s="1">
        <f t="shared" si="25"/>
        <v>37.585000000000001</v>
      </c>
      <c r="S108" s="5"/>
      <c r="T108" s="5"/>
      <c r="U108" s="1">
        <f t="shared" si="20"/>
        <v>11.575575362511639</v>
      </c>
      <c r="V108" s="1">
        <f t="shared" si="26"/>
        <v>11.575575362511639</v>
      </c>
      <c r="W108" s="1">
        <v>40.150599999999997</v>
      </c>
      <c r="X108" s="1">
        <v>43.5214</v>
      </c>
      <c r="Y108" s="1">
        <v>32.672199999999997</v>
      </c>
      <c r="Z108" s="1">
        <v>29.6248</v>
      </c>
      <c r="AA108" s="1">
        <v>36.467200000000012</v>
      </c>
      <c r="AB108" s="1">
        <v>30.478999999999999</v>
      </c>
      <c r="AC108" s="1">
        <v>4.1673999999999998</v>
      </c>
      <c r="AD108" s="1">
        <v>0</v>
      </c>
      <c r="AE108" s="1"/>
      <c r="AF108" s="1">
        <f t="shared" si="21"/>
        <v>0</v>
      </c>
      <c r="AG108" s="1">
        <f t="shared" si="22"/>
        <v>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 t="s">
        <v>242</v>
      </c>
      <c r="B109" s="1" t="s">
        <v>32</v>
      </c>
      <c r="C109" s="1">
        <v>738.24199999999996</v>
      </c>
      <c r="D109" s="1">
        <v>488.74099999999999</v>
      </c>
      <c r="E109" s="1">
        <v>391.39100000000002</v>
      </c>
      <c r="F109" s="1">
        <v>807.14400000000001</v>
      </c>
      <c r="G109" s="7">
        <v>1</v>
      </c>
      <c r="H109" s="1"/>
      <c r="I109" s="1" t="s">
        <v>243</v>
      </c>
      <c r="J109" s="1"/>
      <c r="K109" s="1">
        <v>403.97</v>
      </c>
      <c r="L109" s="1">
        <f t="shared" si="24"/>
        <v>-12.579000000000008</v>
      </c>
      <c r="M109" s="1"/>
      <c r="N109" s="1"/>
      <c r="O109" s="1"/>
      <c r="P109" s="1"/>
      <c r="Q109" s="1"/>
      <c r="R109" s="1">
        <f t="shared" si="25"/>
        <v>78.278199999999998</v>
      </c>
      <c r="S109" s="5">
        <f t="shared" si="23"/>
        <v>53.916200000000003</v>
      </c>
      <c r="T109" s="5"/>
      <c r="U109" s="1">
        <f t="shared" si="20"/>
        <v>11</v>
      </c>
      <c r="V109" s="1">
        <f t="shared" si="26"/>
        <v>10.311223303550669</v>
      </c>
      <c r="W109" s="1">
        <v>85.24199999999999</v>
      </c>
      <c r="X109" s="1">
        <v>105.099</v>
      </c>
      <c r="Y109" s="1">
        <v>107.1344</v>
      </c>
      <c r="Z109" s="1">
        <v>87.789999999999992</v>
      </c>
      <c r="AA109" s="1">
        <v>86.225400000000008</v>
      </c>
      <c r="AB109" s="1">
        <v>98.287000000000006</v>
      </c>
      <c r="AC109" s="1">
        <v>71.201400000000007</v>
      </c>
      <c r="AD109" s="1">
        <v>44.640799999999999</v>
      </c>
      <c r="AE109" s="1"/>
      <c r="AF109" s="1">
        <f t="shared" si="21"/>
        <v>54</v>
      </c>
      <c r="AG109" s="1">
        <f t="shared" si="22"/>
        <v>0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244</v>
      </c>
      <c r="B110" s="1" t="s">
        <v>32</v>
      </c>
      <c r="C110" s="1">
        <v>67.91</v>
      </c>
      <c r="D110" s="1"/>
      <c r="E110" s="1">
        <v>19.109000000000002</v>
      </c>
      <c r="F110" s="1">
        <v>-8.2010000000000005</v>
      </c>
      <c r="G110" s="7">
        <v>1</v>
      </c>
      <c r="H110" s="1"/>
      <c r="I110" s="1" t="s">
        <v>245</v>
      </c>
      <c r="J110" s="1"/>
      <c r="K110" s="1">
        <v>20.8</v>
      </c>
      <c r="L110" s="1">
        <f t="shared" si="24"/>
        <v>-1.6909999999999989</v>
      </c>
      <c r="M110" s="1"/>
      <c r="N110" s="1"/>
      <c r="O110" s="1"/>
      <c r="P110" s="1"/>
      <c r="Q110" s="1"/>
      <c r="R110" s="1">
        <f t="shared" si="25"/>
        <v>3.8218000000000005</v>
      </c>
      <c r="S110" s="5">
        <v>20</v>
      </c>
      <c r="T110" s="5"/>
      <c r="U110" s="1">
        <f t="shared" si="20"/>
        <v>3.0872887121251762</v>
      </c>
      <c r="V110" s="1">
        <f t="shared" si="26"/>
        <v>-2.1458475064105915</v>
      </c>
      <c r="W110" s="1">
        <v>0.56359999999999999</v>
      </c>
      <c r="X110" s="1">
        <v>0.55679999999999996</v>
      </c>
      <c r="Y110" s="1">
        <v>1.0944</v>
      </c>
      <c r="Z110" s="1">
        <v>0.83119999999999994</v>
      </c>
      <c r="AA110" s="1">
        <v>0.29360000000000003</v>
      </c>
      <c r="AB110" s="1">
        <v>1.629</v>
      </c>
      <c r="AC110" s="1">
        <v>0.5514</v>
      </c>
      <c r="AD110" s="1">
        <v>0.27600000000000002</v>
      </c>
      <c r="AE110" s="1" t="s">
        <v>246</v>
      </c>
      <c r="AF110" s="1">
        <f t="shared" si="21"/>
        <v>20</v>
      </c>
      <c r="AG110" s="1">
        <f t="shared" si="22"/>
        <v>0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 t="s">
        <v>247</v>
      </c>
      <c r="B111" s="1" t="s">
        <v>39</v>
      </c>
      <c r="C111" s="1">
        <v>531</v>
      </c>
      <c r="D111" s="1">
        <v>313</v>
      </c>
      <c r="E111" s="1">
        <v>303</v>
      </c>
      <c r="F111" s="1">
        <v>508</v>
      </c>
      <c r="G111" s="7">
        <v>0.28000000000000003</v>
      </c>
      <c r="H111" s="1"/>
      <c r="I111" s="1" t="s">
        <v>248</v>
      </c>
      <c r="J111" s="1"/>
      <c r="K111" s="1">
        <v>317</v>
      </c>
      <c r="L111" s="1">
        <f t="shared" si="24"/>
        <v>-14</v>
      </c>
      <c r="M111" s="1"/>
      <c r="N111" s="1"/>
      <c r="O111" s="1">
        <v>112.6440000000001</v>
      </c>
      <c r="P111" s="1"/>
      <c r="Q111" s="1"/>
      <c r="R111" s="1">
        <f t="shared" si="25"/>
        <v>60.6</v>
      </c>
      <c r="S111" s="5">
        <f t="shared" si="23"/>
        <v>45.955999999999904</v>
      </c>
      <c r="T111" s="5"/>
      <c r="U111" s="1">
        <f t="shared" si="20"/>
        <v>11</v>
      </c>
      <c r="V111" s="1">
        <f t="shared" si="26"/>
        <v>10.241650165016503</v>
      </c>
      <c r="W111" s="1">
        <v>65.400000000000006</v>
      </c>
      <c r="X111" s="1">
        <v>69.8</v>
      </c>
      <c r="Y111" s="1">
        <v>65.2</v>
      </c>
      <c r="Z111" s="1">
        <v>64.8</v>
      </c>
      <c r="AA111" s="1">
        <v>73.2</v>
      </c>
      <c r="AB111" s="1">
        <v>83</v>
      </c>
      <c r="AC111" s="1">
        <v>91.8</v>
      </c>
      <c r="AD111" s="1">
        <v>49.6</v>
      </c>
      <c r="AE111" s="1"/>
      <c r="AF111" s="1">
        <f t="shared" si="21"/>
        <v>13</v>
      </c>
      <c r="AG111" s="1">
        <f t="shared" si="22"/>
        <v>0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 t="s">
        <v>249</v>
      </c>
      <c r="B112" s="1" t="s">
        <v>39</v>
      </c>
      <c r="C112" s="1">
        <v>523</v>
      </c>
      <c r="D112" s="1">
        <v>331</v>
      </c>
      <c r="E112" s="1">
        <v>278</v>
      </c>
      <c r="F112" s="1">
        <v>533</v>
      </c>
      <c r="G112" s="7">
        <v>0.28000000000000003</v>
      </c>
      <c r="H112" s="1"/>
      <c r="I112" s="1" t="s">
        <v>250</v>
      </c>
      <c r="J112" s="1"/>
      <c r="K112" s="1">
        <v>299</v>
      </c>
      <c r="L112" s="1">
        <f t="shared" si="24"/>
        <v>-21</v>
      </c>
      <c r="M112" s="1"/>
      <c r="N112" s="1"/>
      <c r="O112" s="1"/>
      <c r="P112" s="1"/>
      <c r="Q112" s="1"/>
      <c r="R112" s="1">
        <f t="shared" si="25"/>
        <v>55.6</v>
      </c>
      <c r="S112" s="5">
        <f t="shared" si="23"/>
        <v>78.600000000000023</v>
      </c>
      <c r="T112" s="5"/>
      <c r="U112" s="1">
        <f t="shared" si="20"/>
        <v>11</v>
      </c>
      <c r="V112" s="1">
        <f t="shared" si="26"/>
        <v>9.586330935251798</v>
      </c>
      <c r="W112" s="1">
        <v>59</v>
      </c>
      <c r="X112" s="1">
        <v>71.599999999999994</v>
      </c>
      <c r="Y112" s="1">
        <v>69.2</v>
      </c>
      <c r="Z112" s="1">
        <v>65</v>
      </c>
      <c r="AA112" s="1">
        <v>76.2</v>
      </c>
      <c r="AB112" s="1">
        <v>80.2</v>
      </c>
      <c r="AC112" s="1">
        <v>90.8</v>
      </c>
      <c r="AD112" s="1">
        <v>25.2</v>
      </c>
      <c r="AE112" s="1"/>
      <c r="AF112" s="1">
        <f t="shared" si="21"/>
        <v>22</v>
      </c>
      <c r="AG112" s="1">
        <f t="shared" si="22"/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251</v>
      </c>
      <c r="B113" s="1" t="s">
        <v>32</v>
      </c>
      <c r="C113" s="1">
        <v>330.23500000000001</v>
      </c>
      <c r="D113" s="1">
        <v>182.81299999999999</v>
      </c>
      <c r="E113" s="1">
        <v>172.61500000000001</v>
      </c>
      <c r="F113" s="1">
        <v>338.95100000000002</v>
      </c>
      <c r="G113" s="7">
        <v>1</v>
      </c>
      <c r="H113" s="1"/>
      <c r="I113" s="1" t="s">
        <v>252</v>
      </c>
      <c r="J113" s="1"/>
      <c r="K113" s="1">
        <v>175</v>
      </c>
      <c r="L113" s="1">
        <f t="shared" si="24"/>
        <v>-2.3849999999999909</v>
      </c>
      <c r="M113" s="1"/>
      <c r="N113" s="1"/>
      <c r="O113" s="1">
        <v>38.556172000000061</v>
      </c>
      <c r="P113" s="1"/>
      <c r="Q113" s="1"/>
      <c r="R113" s="1">
        <f t="shared" si="25"/>
        <v>34.523000000000003</v>
      </c>
      <c r="S113" s="5">
        <v>4</v>
      </c>
      <c r="T113" s="5"/>
      <c r="U113" s="1">
        <f t="shared" si="20"/>
        <v>11.050811690756888</v>
      </c>
      <c r="V113" s="1">
        <f t="shared" si="26"/>
        <v>10.934946904961912</v>
      </c>
      <c r="W113" s="1">
        <v>40.992800000000003</v>
      </c>
      <c r="X113" s="1">
        <v>43.077399999999997</v>
      </c>
      <c r="Y113" s="1">
        <v>21.758600000000001</v>
      </c>
      <c r="Z113" s="1">
        <v>36.654000000000003</v>
      </c>
      <c r="AA113" s="1">
        <v>43.590400000000002</v>
      </c>
      <c r="AB113" s="1">
        <v>50.267399999999988</v>
      </c>
      <c r="AC113" s="1">
        <v>55.062600000000003</v>
      </c>
      <c r="AD113" s="1">
        <v>68.036000000000001</v>
      </c>
      <c r="AE113" s="1"/>
      <c r="AF113" s="1">
        <f t="shared" si="21"/>
        <v>4</v>
      </c>
      <c r="AG113" s="1">
        <f t="shared" si="22"/>
        <v>0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253</v>
      </c>
      <c r="B114" s="1" t="s">
        <v>32</v>
      </c>
      <c r="C114" s="1">
        <v>456.279</v>
      </c>
      <c r="D114" s="1"/>
      <c r="E114" s="1">
        <v>67.061000000000007</v>
      </c>
      <c r="F114" s="1">
        <v>385.714</v>
      </c>
      <c r="G114" s="7">
        <v>1</v>
      </c>
      <c r="H114" s="1"/>
      <c r="I114" s="1" t="s">
        <v>254</v>
      </c>
      <c r="J114" s="1"/>
      <c r="K114" s="1">
        <v>75</v>
      </c>
      <c r="L114" s="1">
        <f t="shared" si="24"/>
        <v>-7.938999999999993</v>
      </c>
      <c r="M114" s="1"/>
      <c r="N114" s="1"/>
      <c r="O114" s="1"/>
      <c r="P114" s="1"/>
      <c r="Q114" s="1"/>
      <c r="R114" s="1">
        <f t="shared" si="25"/>
        <v>13.412200000000002</v>
      </c>
      <c r="S114" s="5"/>
      <c r="T114" s="5"/>
      <c r="U114" s="1">
        <f t="shared" si="20"/>
        <v>28.758443804894046</v>
      </c>
      <c r="V114" s="1">
        <f t="shared" si="26"/>
        <v>28.758443804894046</v>
      </c>
      <c r="W114" s="1">
        <v>14.643800000000001</v>
      </c>
      <c r="X114" s="1">
        <v>18.419</v>
      </c>
      <c r="Y114" s="1">
        <v>17.446000000000002</v>
      </c>
      <c r="Z114" s="1">
        <v>19.5992</v>
      </c>
      <c r="AA114" s="1">
        <v>31.039400000000001</v>
      </c>
      <c r="AB114" s="1">
        <v>37.197400000000002</v>
      </c>
      <c r="AC114" s="1">
        <v>20.194800000000001</v>
      </c>
      <c r="AD114" s="1">
        <v>26.484400000000001</v>
      </c>
      <c r="AE114" s="14" t="s">
        <v>77</v>
      </c>
      <c r="AF114" s="1">
        <f t="shared" si="21"/>
        <v>0</v>
      </c>
      <c r="AG114" s="1">
        <f t="shared" si="22"/>
        <v>0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255</v>
      </c>
      <c r="B115" s="1" t="s">
        <v>32</v>
      </c>
      <c r="C115" s="1">
        <v>573.351</v>
      </c>
      <c r="D115" s="1">
        <v>172.01300000000001</v>
      </c>
      <c r="E115" s="1">
        <v>241.84100000000001</v>
      </c>
      <c r="F115" s="1">
        <v>474.22399999999999</v>
      </c>
      <c r="G115" s="7">
        <v>1</v>
      </c>
      <c r="H115" s="1"/>
      <c r="I115" s="1" t="s">
        <v>256</v>
      </c>
      <c r="J115" s="1"/>
      <c r="K115" s="1">
        <v>232.53299999999999</v>
      </c>
      <c r="L115" s="1">
        <f t="shared" si="24"/>
        <v>9.3080000000000211</v>
      </c>
      <c r="M115" s="1"/>
      <c r="N115" s="1"/>
      <c r="O115" s="1">
        <v>46.488600000000019</v>
      </c>
      <c r="P115" s="1"/>
      <c r="Q115" s="1"/>
      <c r="R115" s="1">
        <f t="shared" si="25"/>
        <v>48.368200000000002</v>
      </c>
      <c r="S115" s="5">
        <f t="shared" si="23"/>
        <v>11.337600000000009</v>
      </c>
      <c r="T115" s="5"/>
      <c r="U115" s="1">
        <f t="shared" si="20"/>
        <v>11.000000000000002</v>
      </c>
      <c r="V115" s="1">
        <f t="shared" si="26"/>
        <v>10.765598058228342</v>
      </c>
      <c r="W115" s="1">
        <v>57.312800000000003</v>
      </c>
      <c r="X115" s="1">
        <v>62.732199999999999</v>
      </c>
      <c r="Y115" s="1">
        <v>62.818399999999997</v>
      </c>
      <c r="Z115" s="1">
        <v>59.040599999999998</v>
      </c>
      <c r="AA115" s="1">
        <v>62.59</v>
      </c>
      <c r="AB115" s="1">
        <v>60.839799999999997</v>
      </c>
      <c r="AC115" s="1">
        <v>49.282799999999988</v>
      </c>
      <c r="AD115" s="1">
        <v>29.3202</v>
      </c>
      <c r="AE115" s="1"/>
      <c r="AF115" s="1">
        <f t="shared" si="21"/>
        <v>11</v>
      </c>
      <c r="AG115" s="1">
        <f t="shared" si="22"/>
        <v>0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 t="s">
        <v>257</v>
      </c>
      <c r="B116" s="1" t="s">
        <v>32</v>
      </c>
      <c r="C116" s="1">
        <v>883.73599999999999</v>
      </c>
      <c r="D116" s="1">
        <v>190.119</v>
      </c>
      <c r="E116" s="1">
        <v>307.43</v>
      </c>
      <c r="F116" s="1">
        <v>745.05200000000002</v>
      </c>
      <c r="G116" s="7">
        <v>1</v>
      </c>
      <c r="H116" s="1"/>
      <c r="I116" s="1" t="s">
        <v>258</v>
      </c>
      <c r="J116" s="1"/>
      <c r="K116" s="1">
        <v>297.47399999999999</v>
      </c>
      <c r="L116" s="1">
        <f t="shared" si="24"/>
        <v>9.9560000000000173</v>
      </c>
      <c r="M116" s="1"/>
      <c r="N116" s="1"/>
      <c r="O116" s="1"/>
      <c r="P116" s="1"/>
      <c r="Q116" s="1"/>
      <c r="R116" s="1">
        <f t="shared" si="25"/>
        <v>61.486000000000004</v>
      </c>
      <c r="S116" s="5"/>
      <c r="T116" s="5"/>
      <c r="U116" s="1">
        <f t="shared" si="20"/>
        <v>12.117425104901928</v>
      </c>
      <c r="V116" s="1">
        <f t="shared" si="26"/>
        <v>12.117425104901928</v>
      </c>
      <c r="W116" s="1">
        <v>75.655000000000001</v>
      </c>
      <c r="X116" s="1">
        <v>87.415199999999999</v>
      </c>
      <c r="Y116" s="1">
        <v>84.498999999999995</v>
      </c>
      <c r="Z116" s="1">
        <v>80.06280000000001</v>
      </c>
      <c r="AA116" s="1">
        <v>88.82419999999999</v>
      </c>
      <c r="AB116" s="1">
        <v>81.487200000000001</v>
      </c>
      <c r="AC116" s="1">
        <v>75.265200000000007</v>
      </c>
      <c r="AD116" s="1">
        <v>72.069800000000001</v>
      </c>
      <c r="AE116" s="1"/>
      <c r="AF116" s="1">
        <f t="shared" si="21"/>
        <v>0</v>
      </c>
      <c r="AG116" s="1">
        <f t="shared" si="22"/>
        <v>0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 t="s">
        <v>259</v>
      </c>
      <c r="B117" s="1" t="s">
        <v>32</v>
      </c>
      <c r="C117" s="1">
        <v>218.643</v>
      </c>
      <c r="D117" s="1">
        <v>149.05500000000001</v>
      </c>
      <c r="E117" s="1">
        <v>109.43899999999999</v>
      </c>
      <c r="F117" s="1">
        <v>248.26</v>
      </c>
      <c r="G117" s="7">
        <v>1</v>
      </c>
      <c r="H117" s="1"/>
      <c r="I117" s="1" t="s">
        <v>260</v>
      </c>
      <c r="J117" s="1"/>
      <c r="K117" s="1">
        <v>105.1</v>
      </c>
      <c r="L117" s="1">
        <f t="shared" si="24"/>
        <v>4.3389999999999986</v>
      </c>
      <c r="M117" s="1"/>
      <c r="N117" s="1"/>
      <c r="O117" s="1">
        <v>5.443587999999977</v>
      </c>
      <c r="P117" s="1"/>
      <c r="Q117" s="1"/>
      <c r="R117" s="1">
        <f t="shared" si="25"/>
        <v>21.887799999999999</v>
      </c>
      <c r="S117" s="5"/>
      <c r="T117" s="5"/>
      <c r="U117" s="1">
        <f t="shared" si="20"/>
        <v>11.591095861621541</v>
      </c>
      <c r="V117" s="1">
        <f t="shared" si="26"/>
        <v>11.591095861621541</v>
      </c>
      <c r="W117" s="1">
        <v>25.122</v>
      </c>
      <c r="X117" s="1">
        <v>29.194600000000001</v>
      </c>
      <c r="Y117" s="1">
        <v>30.5456</v>
      </c>
      <c r="Z117" s="1">
        <v>28.908799999999999</v>
      </c>
      <c r="AA117" s="1">
        <v>27.003599999999999</v>
      </c>
      <c r="AB117" s="1">
        <v>30.353000000000002</v>
      </c>
      <c r="AC117" s="1">
        <v>24.422799999999999</v>
      </c>
      <c r="AD117" s="1">
        <v>37.625399999999999</v>
      </c>
      <c r="AE117" s="1"/>
      <c r="AF117" s="1">
        <f t="shared" si="21"/>
        <v>0</v>
      </c>
      <c r="AG117" s="1">
        <f t="shared" si="22"/>
        <v>0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 t="s">
        <v>61</v>
      </c>
      <c r="B118" s="1" t="s">
        <v>32</v>
      </c>
      <c r="C118" s="1">
        <v>1645.4590000000001</v>
      </c>
      <c r="D118" s="1">
        <v>301.024</v>
      </c>
      <c r="E118" s="12">
        <f>376.948+E19</f>
        <v>383.137</v>
      </c>
      <c r="F118" s="12">
        <f>1526.986+F19</f>
        <v>1500.9580000000001</v>
      </c>
      <c r="G118" s="7">
        <v>1</v>
      </c>
      <c r="H118" s="1"/>
      <c r="I118" s="1" t="s">
        <v>261</v>
      </c>
      <c r="J118" s="1"/>
      <c r="K118" s="1">
        <v>405.1</v>
      </c>
      <c r="L118" s="1">
        <f t="shared" si="24"/>
        <v>-21.963000000000022</v>
      </c>
      <c r="M118" s="1"/>
      <c r="N118" s="1"/>
      <c r="O118" s="1"/>
      <c r="P118" s="1"/>
      <c r="Q118" s="1"/>
      <c r="R118" s="1">
        <f t="shared" si="25"/>
        <v>76.627399999999994</v>
      </c>
      <c r="S118" s="5"/>
      <c r="T118" s="5"/>
      <c r="U118" s="1">
        <f t="shared" si="20"/>
        <v>19.587745375675023</v>
      </c>
      <c r="V118" s="1">
        <f t="shared" si="26"/>
        <v>19.587745375675023</v>
      </c>
      <c r="W118" s="1">
        <v>49.574399999999997</v>
      </c>
      <c r="X118" s="1">
        <v>119.9166</v>
      </c>
      <c r="Y118" s="1">
        <v>0</v>
      </c>
      <c r="Z118" s="1">
        <v>238.46119999999999</v>
      </c>
      <c r="AA118" s="1">
        <v>236.93719999999999</v>
      </c>
      <c r="AB118" s="1">
        <v>215.0558</v>
      </c>
      <c r="AC118" s="1">
        <v>271.11599999999999</v>
      </c>
      <c r="AD118" s="1">
        <v>330.86259999999999</v>
      </c>
      <c r="AE118" s="13" t="s">
        <v>262</v>
      </c>
      <c r="AF118" s="1">
        <f t="shared" si="21"/>
        <v>0</v>
      </c>
      <c r="AG118" s="1">
        <f t="shared" si="22"/>
        <v>0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 t="s">
        <v>263</v>
      </c>
      <c r="B119" s="1" t="s">
        <v>39</v>
      </c>
      <c r="C119" s="1">
        <v>542</v>
      </c>
      <c r="D119" s="1">
        <v>312</v>
      </c>
      <c r="E119" s="1">
        <v>330</v>
      </c>
      <c r="F119" s="1">
        <v>502</v>
      </c>
      <c r="G119" s="7">
        <v>0.3</v>
      </c>
      <c r="H119" s="1"/>
      <c r="I119" s="1" t="s">
        <v>264</v>
      </c>
      <c r="J119" s="1"/>
      <c r="K119" s="1">
        <v>346</v>
      </c>
      <c r="L119" s="1">
        <f t="shared" si="24"/>
        <v>-16</v>
      </c>
      <c r="M119" s="1"/>
      <c r="N119" s="1"/>
      <c r="O119" s="1">
        <v>120.3119999999999</v>
      </c>
      <c r="P119" s="1"/>
      <c r="Q119" s="1"/>
      <c r="R119" s="1">
        <f t="shared" si="25"/>
        <v>66</v>
      </c>
      <c r="S119" s="5">
        <f t="shared" si="23"/>
        <v>103.6880000000001</v>
      </c>
      <c r="T119" s="5"/>
      <c r="U119" s="1">
        <f t="shared" si="20"/>
        <v>11</v>
      </c>
      <c r="V119" s="1">
        <f t="shared" si="26"/>
        <v>9.4289696969696948</v>
      </c>
      <c r="W119" s="1">
        <v>67.599999999999994</v>
      </c>
      <c r="X119" s="1">
        <v>70.400000000000006</v>
      </c>
      <c r="Y119" s="1">
        <v>67.2</v>
      </c>
      <c r="Z119" s="1">
        <v>36.6</v>
      </c>
      <c r="AA119" s="1">
        <v>50</v>
      </c>
      <c r="AB119" s="1">
        <v>65.2</v>
      </c>
      <c r="AC119" s="1">
        <v>55</v>
      </c>
      <c r="AD119" s="1">
        <v>55.4</v>
      </c>
      <c r="AE119" s="1"/>
      <c r="AF119" s="1">
        <f t="shared" si="21"/>
        <v>31</v>
      </c>
      <c r="AG119" s="1">
        <f t="shared" si="22"/>
        <v>0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 t="s">
        <v>265</v>
      </c>
      <c r="B120" s="1" t="s">
        <v>39</v>
      </c>
      <c r="C120" s="1">
        <v>307</v>
      </c>
      <c r="D120" s="1">
        <v>420</v>
      </c>
      <c r="E120" s="1">
        <v>270</v>
      </c>
      <c r="F120" s="1">
        <v>424</v>
      </c>
      <c r="G120" s="7">
        <v>0.3</v>
      </c>
      <c r="H120" s="1"/>
      <c r="I120" s="1" t="s">
        <v>266</v>
      </c>
      <c r="J120" s="1"/>
      <c r="K120" s="1">
        <v>294</v>
      </c>
      <c r="L120" s="1">
        <f t="shared" si="24"/>
        <v>-24</v>
      </c>
      <c r="M120" s="1"/>
      <c r="N120" s="1"/>
      <c r="O120" s="1">
        <v>43.000000000000057</v>
      </c>
      <c r="P120" s="1"/>
      <c r="Q120" s="1"/>
      <c r="R120" s="1">
        <f t="shared" si="25"/>
        <v>54</v>
      </c>
      <c r="S120" s="5">
        <f t="shared" si="23"/>
        <v>127</v>
      </c>
      <c r="T120" s="5"/>
      <c r="U120" s="1">
        <f t="shared" si="20"/>
        <v>11</v>
      </c>
      <c r="V120" s="1">
        <f t="shared" si="26"/>
        <v>8.6481481481481488</v>
      </c>
      <c r="W120" s="1">
        <v>52.6</v>
      </c>
      <c r="X120" s="1">
        <v>60</v>
      </c>
      <c r="Y120" s="1">
        <v>57.4</v>
      </c>
      <c r="Z120" s="1">
        <v>27.2</v>
      </c>
      <c r="AA120" s="1">
        <v>27.4</v>
      </c>
      <c r="AB120" s="1">
        <v>49.2</v>
      </c>
      <c r="AC120" s="1">
        <v>39</v>
      </c>
      <c r="AD120" s="1">
        <v>43</v>
      </c>
      <c r="AE120" s="1"/>
      <c r="AF120" s="1">
        <f t="shared" si="21"/>
        <v>38</v>
      </c>
      <c r="AG120" s="1">
        <f t="shared" si="22"/>
        <v>0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 t="s">
        <v>267</v>
      </c>
      <c r="B121" s="1" t="s">
        <v>32</v>
      </c>
      <c r="C121" s="1">
        <v>75.369</v>
      </c>
      <c r="D121" s="1">
        <v>383.63600000000002</v>
      </c>
      <c r="E121" s="1">
        <v>253.26900000000001</v>
      </c>
      <c r="F121" s="1">
        <v>195.18600000000001</v>
      </c>
      <c r="G121" s="7">
        <v>1</v>
      </c>
      <c r="H121" s="1"/>
      <c r="I121" s="1" t="s">
        <v>268</v>
      </c>
      <c r="J121" s="1"/>
      <c r="K121" s="1">
        <v>249.2</v>
      </c>
      <c r="L121" s="1">
        <f t="shared" si="24"/>
        <v>4.0690000000000168</v>
      </c>
      <c r="M121" s="1"/>
      <c r="N121" s="1"/>
      <c r="O121" s="1">
        <v>394.06237399999992</v>
      </c>
      <c r="P121" s="1"/>
      <c r="Q121" s="1"/>
      <c r="R121" s="1">
        <f t="shared" si="25"/>
        <v>50.653800000000004</v>
      </c>
      <c r="S121" s="5"/>
      <c r="T121" s="5"/>
      <c r="U121" s="1">
        <f t="shared" si="20"/>
        <v>11.632856251653378</v>
      </c>
      <c r="V121" s="1">
        <f t="shared" si="26"/>
        <v>11.632856251653378</v>
      </c>
      <c r="W121" s="1">
        <v>59.935799999999993</v>
      </c>
      <c r="X121" s="1">
        <v>60.668999999999997</v>
      </c>
      <c r="Y121" s="1">
        <v>68.052400000000006</v>
      </c>
      <c r="Z121" s="1">
        <v>60.573599999999999</v>
      </c>
      <c r="AA121" s="1">
        <v>45.3932</v>
      </c>
      <c r="AB121" s="1">
        <v>56.154400000000003</v>
      </c>
      <c r="AC121" s="1">
        <v>58.054999999999993</v>
      </c>
      <c r="AD121" s="1">
        <v>50.147799999999997</v>
      </c>
      <c r="AE121" s="1"/>
      <c r="AF121" s="1">
        <f t="shared" si="21"/>
        <v>0</v>
      </c>
      <c r="AG121" s="1">
        <f t="shared" si="22"/>
        <v>0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 t="s">
        <v>269</v>
      </c>
      <c r="B122" s="1" t="s">
        <v>39</v>
      </c>
      <c r="C122" s="1">
        <v>207</v>
      </c>
      <c r="D122" s="1">
        <v>210</v>
      </c>
      <c r="E122" s="1">
        <v>283</v>
      </c>
      <c r="F122" s="1">
        <v>105</v>
      </c>
      <c r="G122" s="7">
        <v>0.3</v>
      </c>
      <c r="H122" s="1"/>
      <c r="I122" s="1" t="s">
        <v>270</v>
      </c>
      <c r="J122" s="1"/>
      <c r="K122" s="1">
        <v>326</v>
      </c>
      <c r="L122" s="1">
        <f t="shared" si="24"/>
        <v>-43</v>
      </c>
      <c r="M122" s="1"/>
      <c r="N122" s="1"/>
      <c r="O122" s="1">
        <v>252.5301081081081</v>
      </c>
      <c r="P122" s="1">
        <v>206.99189189189181</v>
      </c>
      <c r="Q122" s="1"/>
      <c r="R122" s="1">
        <f t="shared" si="25"/>
        <v>56.6</v>
      </c>
      <c r="S122" s="5">
        <f t="shared" si="23"/>
        <v>58.078000000000145</v>
      </c>
      <c r="T122" s="5"/>
      <c r="U122" s="1">
        <f t="shared" si="20"/>
        <v>11.000000000000002</v>
      </c>
      <c r="V122" s="1">
        <f t="shared" si="26"/>
        <v>9.9738869257950515</v>
      </c>
      <c r="W122" s="1">
        <v>60</v>
      </c>
      <c r="X122" s="1">
        <v>48.6</v>
      </c>
      <c r="Y122" s="1">
        <v>42</v>
      </c>
      <c r="Z122" s="1">
        <v>55.6</v>
      </c>
      <c r="AA122" s="1">
        <v>54.4</v>
      </c>
      <c r="AB122" s="1">
        <v>44</v>
      </c>
      <c r="AC122" s="1">
        <v>55.2</v>
      </c>
      <c r="AD122" s="1">
        <v>45.8</v>
      </c>
      <c r="AE122" s="1"/>
      <c r="AF122" s="1">
        <f t="shared" si="21"/>
        <v>17</v>
      </c>
      <c r="AG122" s="1">
        <f t="shared" si="22"/>
        <v>0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 t="s">
        <v>271</v>
      </c>
      <c r="B123" s="1" t="s">
        <v>39</v>
      </c>
      <c r="C123" s="1">
        <v>85</v>
      </c>
      <c r="D123" s="1"/>
      <c r="E123" s="1">
        <v>48</v>
      </c>
      <c r="F123" s="1">
        <v>30</v>
      </c>
      <c r="G123" s="7">
        <v>0.12</v>
      </c>
      <c r="H123" s="1"/>
      <c r="I123" s="1" t="s">
        <v>272</v>
      </c>
      <c r="J123" s="1"/>
      <c r="K123" s="1">
        <v>47</v>
      </c>
      <c r="L123" s="1">
        <f t="shared" si="24"/>
        <v>1</v>
      </c>
      <c r="M123" s="1"/>
      <c r="N123" s="1"/>
      <c r="O123" s="1"/>
      <c r="P123" s="1"/>
      <c r="Q123" s="1"/>
      <c r="R123" s="1">
        <f t="shared" si="25"/>
        <v>9.6</v>
      </c>
      <c r="S123" s="5">
        <f>9*R123-P123-O123-F123</f>
        <v>56.399999999999991</v>
      </c>
      <c r="T123" s="5"/>
      <c r="U123" s="1">
        <f t="shared" si="20"/>
        <v>9</v>
      </c>
      <c r="V123" s="1">
        <f t="shared" si="26"/>
        <v>3.125</v>
      </c>
      <c r="W123" s="1">
        <v>6</v>
      </c>
      <c r="X123" s="1">
        <v>2.8</v>
      </c>
      <c r="Y123" s="1">
        <v>-0.2</v>
      </c>
      <c r="Z123" s="1">
        <v>4</v>
      </c>
      <c r="AA123" s="1">
        <v>6.4</v>
      </c>
      <c r="AB123" s="1">
        <v>2.6</v>
      </c>
      <c r="AC123" s="1">
        <v>5.4</v>
      </c>
      <c r="AD123" s="1">
        <v>0.2</v>
      </c>
      <c r="AE123" s="1"/>
      <c r="AF123" s="1">
        <f t="shared" si="21"/>
        <v>7</v>
      </c>
      <c r="AG123" s="1">
        <f t="shared" si="22"/>
        <v>0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9" t="s">
        <v>273</v>
      </c>
      <c r="B124" s="9" t="s">
        <v>39</v>
      </c>
      <c r="C124" s="9">
        <v>-1</v>
      </c>
      <c r="D124" s="9"/>
      <c r="E124" s="9"/>
      <c r="F124" s="9">
        <v>-1</v>
      </c>
      <c r="G124" s="10">
        <v>0</v>
      </c>
      <c r="H124" s="9"/>
      <c r="I124" s="9" t="s">
        <v>274</v>
      </c>
      <c r="J124" s="9"/>
      <c r="K124" s="9"/>
      <c r="L124" s="9">
        <f t="shared" si="24"/>
        <v>0</v>
      </c>
      <c r="M124" s="9"/>
      <c r="N124" s="9"/>
      <c r="O124" s="9"/>
      <c r="P124" s="9"/>
      <c r="Q124" s="9"/>
      <c r="R124" s="9">
        <f t="shared" si="25"/>
        <v>0</v>
      </c>
      <c r="S124" s="11"/>
      <c r="T124" s="11"/>
      <c r="U124" s="1" t="e">
        <f t="shared" si="20"/>
        <v>#DIV/0!</v>
      </c>
      <c r="V124" s="9" t="e">
        <f t="shared" si="26"/>
        <v>#DIV/0!</v>
      </c>
      <c r="W124" s="9">
        <v>0</v>
      </c>
      <c r="X124" s="9">
        <v>0</v>
      </c>
      <c r="Y124" s="9">
        <v>0.2</v>
      </c>
      <c r="Z124" s="9">
        <v>0.2</v>
      </c>
      <c r="AA124" s="9">
        <v>0</v>
      </c>
      <c r="AB124" s="9">
        <v>0</v>
      </c>
      <c r="AC124" s="9">
        <v>0</v>
      </c>
      <c r="AD124" s="9">
        <v>0</v>
      </c>
      <c r="AE124" s="9"/>
      <c r="AF124" s="1">
        <f t="shared" si="21"/>
        <v>0</v>
      </c>
      <c r="AG124" s="1">
        <f t="shared" si="22"/>
        <v>0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 t="s">
        <v>280</v>
      </c>
      <c r="B125" s="1" t="s">
        <v>32</v>
      </c>
      <c r="C125" s="1"/>
      <c r="D125" s="1"/>
      <c r="E125" s="1"/>
      <c r="F125" s="1"/>
      <c r="G125" s="7">
        <v>0</v>
      </c>
      <c r="H125" s="1"/>
      <c r="I125" s="1" t="s">
        <v>79</v>
      </c>
      <c r="J125" s="1"/>
      <c r="K125" s="1"/>
      <c r="L125" s="1"/>
      <c r="M125" s="1"/>
      <c r="N125" s="1"/>
      <c r="O125" s="1"/>
      <c r="P125" s="1"/>
      <c r="Q125" s="1">
        <v>400</v>
      </c>
      <c r="R125" s="1"/>
      <c r="S125" s="1"/>
      <c r="T125" s="1"/>
      <c r="U125" s="1"/>
      <c r="V125" s="1"/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</sheetData>
  <autoFilter ref="A3:AF12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2026-07-07T11:42:29Z</dcterms:created>
  <dcterms:modified xsi:type="dcterms:W3CDTF">2026-07-08T08:22:32Z</dcterms:modified>
</cp:coreProperties>
</file>