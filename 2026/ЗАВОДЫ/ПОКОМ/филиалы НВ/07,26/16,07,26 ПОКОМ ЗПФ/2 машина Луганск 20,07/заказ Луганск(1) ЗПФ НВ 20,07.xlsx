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E0EC85E3-4E89-4F62-AF3E-ED8D791CF0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P282" i="1"/>
  <c r="BO282" i="1"/>
  <c r="BN282" i="1"/>
  <c r="BM282" i="1"/>
  <c r="Z282" i="1"/>
  <c r="Y282" i="1"/>
  <c r="P282" i="1"/>
  <c r="BO281" i="1"/>
  <c r="BM281" i="1"/>
  <c r="Z281" i="1"/>
  <c r="Y281" i="1"/>
  <c r="P281" i="1"/>
  <c r="BP280" i="1"/>
  <c r="BO280" i="1"/>
  <c r="BN280" i="1"/>
  <c r="BM280" i="1"/>
  <c r="Z280" i="1"/>
  <c r="Y280" i="1"/>
  <c r="P280" i="1"/>
  <c r="BO279" i="1"/>
  <c r="BM279" i="1"/>
  <c r="Z279" i="1"/>
  <c r="Y279" i="1"/>
  <c r="P279" i="1"/>
  <c r="BP278" i="1"/>
  <c r="BO278" i="1"/>
  <c r="BN278" i="1"/>
  <c r="BM278" i="1"/>
  <c r="Z278" i="1"/>
  <c r="Y278" i="1"/>
  <c r="P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Z283" i="1" s="1"/>
  <c r="Y273" i="1"/>
  <c r="P273" i="1"/>
  <c r="X271" i="1"/>
  <c r="X270" i="1"/>
  <c r="BO269" i="1"/>
  <c r="BM269" i="1"/>
  <c r="Z269" i="1"/>
  <c r="Y269" i="1"/>
  <c r="P269" i="1"/>
  <c r="BP268" i="1"/>
  <c r="BO268" i="1"/>
  <c r="BN268" i="1"/>
  <c r="BM268" i="1"/>
  <c r="Z268" i="1"/>
  <c r="Z270" i="1" s="1"/>
  <c r="Y268" i="1"/>
  <c r="P268" i="1"/>
  <c r="BO267" i="1"/>
  <c r="BM267" i="1"/>
  <c r="Z267" i="1"/>
  <c r="Y267" i="1"/>
  <c r="P267" i="1"/>
  <c r="Y265" i="1"/>
  <c r="X265" i="1"/>
  <c r="Z264" i="1"/>
  <c r="X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1" i="1"/>
  <c r="Y220" i="1"/>
  <c r="X220" i="1"/>
  <c r="BP219" i="1"/>
  <c r="BO219" i="1"/>
  <c r="BN219" i="1"/>
  <c r="BM219" i="1"/>
  <c r="Z219" i="1"/>
  <c r="Z220" i="1" s="1"/>
  <c r="Y219" i="1"/>
  <c r="Y221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0" i="1"/>
  <c r="X210" i="1"/>
  <c r="Z209" i="1"/>
  <c r="X209" i="1"/>
  <c r="BO208" i="1"/>
  <c r="BM208" i="1"/>
  <c r="Z208" i="1"/>
  <c r="Y208" i="1"/>
  <c r="P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X204" i="1"/>
  <c r="Z203" i="1"/>
  <c r="X203" i="1"/>
  <c r="BO202" i="1"/>
  <c r="BM202" i="1"/>
  <c r="Z202" i="1"/>
  <c r="Y202" i="1"/>
  <c r="P202" i="1"/>
  <c r="Y198" i="1"/>
  <c r="X198" i="1"/>
  <c r="Z197" i="1"/>
  <c r="X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Y193" i="1"/>
  <c r="Y197" i="1" s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Z183" i="1" s="1"/>
  <c r="Y181" i="1"/>
  <c r="P181" i="1"/>
  <c r="X177" i="1"/>
  <c r="Z176" i="1"/>
  <c r="X176" i="1"/>
  <c r="BO175" i="1"/>
  <c r="BM175" i="1"/>
  <c r="Z175" i="1"/>
  <c r="Y175" i="1"/>
  <c r="P175" i="1"/>
  <c r="Y172" i="1"/>
  <c r="X172" i="1"/>
  <c r="Z171" i="1"/>
  <c r="X171" i="1"/>
  <c r="BO170" i="1"/>
  <c r="BM170" i="1"/>
  <c r="Z170" i="1"/>
  <c r="Y170" i="1"/>
  <c r="P170" i="1"/>
  <c r="X167" i="1"/>
  <c r="Z166" i="1"/>
  <c r="X166" i="1"/>
  <c r="BO165" i="1"/>
  <c r="BM165" i="1"/>
  <c r="Z165" i="1"/>
  <c r="Y165" i="1"/>
  <c r="P165" i="1"/>
  <c r="Y162" i="1"/>
  <c r="X162" i="1"/>
  <c r="Z161" i="1"/>
  <c r="X161" i="1"/>
  <c r="BO160" i="1"/>
  <c r="BM160" i="1"/>
  <c r="Z160" i="1"/>
  <c r="Y160" i="1"/>
  <c r="P160" i="1"/>
  <c r="BP159" i="1"/>
  <c r="BO159" i="1"/>
  <c r="BN159" i="1"/>
  <c r="BM159" i="1"/>
  <c r="Z159" i="1"/>
  <c r="Y159" i="1"/>
  <c r="Y161" i="1" s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Z155" i="1" s="1"/>
  <c r="Y153" i="1"/>
  <c r="P153" i="1"/>
  <c r="X150" i="1"/>
  <c r="X149" i="1"/>
  <c r="BO148" i="1"/>
  <c r="BM148" i="1"/>
  <c r="Z148" i="1"/>
  <c r="Y148" i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BP141" i="1" s="1"/>
  <c r="P141" i="1"/>
  <c r="BP140" i="1"/>
  <c r="BO140" i="1"/>
  <c r="BN140" i="1"/>
  <c r="BM140" i="1"/>
  <c r="Z140" i="1"/>
  <c r="Z143" i="1" s="1"/>
  <c r="Y140" i="1"/>
  <c r="Y144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7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4" i="1" s="1"/>
  <c r="P41" i="1"/>
  <c r="X37" i="1"/>
  <c r="X36" i="1"/>
  <c r="BO35" i="1"/>
  <c r="BM35" i="1"/>
  <c r="Z35" i="1"/>
  <c r="Y35" i="1"/>
  <c r="BP35" i="1" s="1"/>
  <c r="P35" i="1"/>
  <c r="BP34" i="1"/>
  <c r="BO34" i="1"/>
  <c r="BN34" i="1"/>
  <c r="BM34" i="1"/>
  <c r="Z34" i="1"/>
  <c r="Z36" i="1" s="1"/>
  <c r="Y34" i="1"/>
  <c r="Y36" i="1" s="1"/>
  <c r="P34" i="1"/>
  <c r="X31" i="1"/>
  <c r="X285" i="1" s="1"/>
  <c r="X30" i="1"/>
  <c r="X289" i="1" s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7" i="1" s="1"/>
  <c r="BM22" i="1"/>
  <c r="X286" i="1" s="1"/>
  <c r="Z22" i="1"/>
  <c r="Z30" i="1" s="1"/>
  <c r="Y22" i="1"/>
  <c r="Y31" i="1" s="1"/>
  <c r="P22" i="1"/>
  <c r="H10" i="1"/>
  <c r="A9" i="1"/>
  <c r="F10" i="1" s="1"/>
  <c r="D7" i="1"/>
  <c r="Q6" i="1"/>
  <c r="P2" i="1"/>
  <c r="X288" i="1" l="1"/>
  <c r="H9" i="1"/>
  <c r="A10" i="1"/>
  <c r="Y30" i="1"/>
  <c r="Y37" i="1"/>
  <c r="Y285" i="1" s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7" i="1"/>
  <c r="Y143" i="1"/>
  <c r="BP148" i="1"/>
  <c r="BN148" i="1"/>
  <c r="Y166" i="1"/>
  <c r="BP165" i="1"/>
  <c r="BN165" i="1"/>
  <c r="Y176" i="1"/>
  <c r="BP175" i="1"/>
  <c r="BN175" i="1"/>
  <c r="Y203" i="1"/>
  <c r="BP202" i="1"/>
  <c r="BN202" i="1"/>
  <c r="Y216" i="1"/>
  <c r="BP213" i="1"/>
  <c r="BN213" i="1"/>
  <c r="Y215" i="1"/>
  <c r="BP259" i="1"/>
  <c r="BN259" i="1"/>
  <c r="Y270" i="1"/>
  <c r="BP267" i="1"/>
  <c r="BN267" i="1"/>
  <c r="BP269" i="1"/>
  <c r="BN269" i="1"/>
  <c r="F9" i="1"/>
  <c r="J9" i="1"/>
  <c r="BN22" i="1"/>
  <c r="BP22" i="1"/>
  <c r="BN24" i="1"/>
  <c r="BN26" i="1"/>
  <c r="BN28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41" i="1"/>
  <c r="Y149" i="1"/>
  <c r="Y150" i="1"/>
  <c r="Y156" i="1"/>
  <c r="BP153" i="1"/>
  <c r="BN153" i="1"/>
  <c r="Y155" i="1"/>
  <c r="BP160" i="1"/>
  <c r="BN160" i="1"/>
  <c r="Y167" i="1"/>
  <c r="Y171" i="1"/>
  <c r="BP170" i="1"/>
  <c r="BN170" i="1"/>
  <c r="Y177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BP208" i="1"/>
  <c r="BN208" i="1"/>
  <c r="Z215" i="1"/>
  <c r="Z290" i="1" s="1"/>
  <c r="Y260" i="1"/>
  <c r="Y261" i="1"/>
  <c r="Y264" i="1"/>
  <c r="BP263" i="1"/>
  <c r="BN263" i="1"/>
  <c r="Y271" i="1"/>
  <c r="Y284" i="1"/>
  <c r="BP273" i="1"/>
  <c r="BN273" i="1"/>
  <c r="BP275" i="1"/>
  <c r="BN275" i="1"/>
  <c r="BP277" i="1"/>
  <c r="BN277" i="1"/>
  <c r="BP279" i="1"/>
  <c r="BN279" i="1"/>
  <c r="BP281" i="1"/>
  <c r="BN281" i="1"/>
  <c r="Y283" i="1"/>
  <c r="Y287" i="1" l="1"/>
  <c r="Y289" i="1"/>
  <c r="B298" i="1"/>
  <c r="Y286" i="1"/>
  <c r="Y288" i="1" s="1"/>
  <c r="A298" i="1" l="1"/>
  <c r="C298" i="1"/>
</calcChain>
</file>

<file path=xl/sharedStrings.xml><?xml version="1.0" encoding="utf-8"?>
<sst xmlns="http://schemas.openxmlformats.org/spreadsheetml/2006/main" count="1301" uniqueCount="418">
  <si>
    <t xml:space="preserve">  БЛАНК ЗАКАЗА </t>
  </si>
  <si>
    <t>ЗПФ</t>
  </si>
  <si>
    <t>на отгрузку продукции с ООО Трейд-Сервис с</t>
  </si>
  <si>
    <t>16.07.2026</t>
  </si>
  <si>
    <t>бланк создан</t>
  </si>
  <si>
    <t>15.07.2026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</si>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</sst>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298"/>
      <c r="F1" s="298"/>
      <c r="G1" s="12" t="s">
        <v>1</v>
      </c>
      <c r="H1" s="329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1" t="s">
        <v>8</v>
      </c>
      <c r="B5" s="362"/>
      <c r="C5" s="363"/>
      <c r="D5" s="332"/>
      <c r="E5" s="333"/>
      <c r="F5" s="452" t="s">
        <v>9</v>
      </c>
      <c r="G5" s="363"/>
      <c r="H5" s="332"/>
      <c r="I5" s="423"/>
      <c r="J5" s="423"/>
      <c r="K5" s="423"/>
      <c r="L5" s="423"/>
      <c r="M5" s="333"/>
      <c r="N5" s="61"/>
      <c r="P5" s="24" t="s">
        <v>10</v>
      </c>
      <c r="Q5" s="459">
        <v>46223</v>
      </c>
      <c r="R5" s="360"/>
      <c r="T5" s="386" t="s">
        <v>11</v>
      </c>
      <c r="U5" s="284"/>
      <c r="V5" s="388" t="s">
        <v>12</v>
      </c>
      <c r="W5" s="360"/>
      <c r="AB5" s="51"/>
      <c r="AC5" s="51"/>
      <c r="AD5" s="51"/>
      <c r="AE5" s="51"/>
    </row>
    <row r="6" spans="1:32" s="272" customFormat="1" ht="24" customHeight="1" x14ac:dyDescent="0.2">
      <c r="A6" s="361" t="s">
        <v>13</v>
      </c>
      <c r="B6" s="362"/>
      <c r="C6" s="363"/>
      <c r="D6" s="424"/>
      <c r="E6" s="425"/>
      <c r="F6" s="425"/>
      <c r="G6" s="425"/>
      <c r="H6" s="425"/>
      <c r="I6" s="425"/>
      <c r="J6" s="425"/>
      <c r="K6" s="425"/>
      <c r="L6" s="425"/>
      <c r="M6" s="360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86"/>
      <c r="T6" s="391" t="s">
        <v>15</v>
      </c>
      <c r="U6" s="284"/>
      <c r="V6" s="412" t="s">
        <v>16</v>
      </c>
      <c r="W6" s="314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9">
        <f>IFERROR(VLOOKUP(DeliveryAddress,Table,3,0),1)</f>
        <v>1</v>
      </c>
      <c r="E7" s="320"/>
      <c r="F7" s="320"/>
      <c r="G7" s="320"/>
      <c r="H7" s="320"/>
      <c r="I7" s="320"/>
      <c r="J7" s="320"/>
      <c r="K7" s="320"/>
      <c r="L7" s="320"/>
      <c r="M7" s="321"/>
      <c r="N7" s="63"/>
      <c r="P7" s="24"/>
      <c r="Q7" s="42"/>
      <c r="R7" s="42"/>
      <c r="T7" s="283"/>
      <c r="U7" s="284"/>
      <c r="V7" s="413"/>
      <c r="W7" s="414"/>
      <c r="AB7" s="51"/>
      <c r="AC7" s="51"/>
      <c r="AD7" s="51"/>
      <c r="AE7" s="51"/>
    </row>
    <row r="8" spans="1:32" s="272" customFormat="1" ht="25.5" customHeight="1" x14ac:dyDescent="0.2">
      <c r="A8" s="470" t="s">
        <v>17</v>
      </c>
      <c r="B8" s="290"/>
      <c r="C8" s="291"/>
      <c r="D8" s="326"/>
      <c r="E8" s="327"/>
      <c r="F8" s="327"/>
      <c r="G8" s="327"/>
      <c r="H8" s="327"/>
      <c r="I8" s="327"/>
      <c r="J8" s="327"/>
      <c r="K8" s="327"/>
      <c r="L8" s="327"/>
      <c r="M8" s="328"/>
      <c r="N8" s="64"/>
      <c r="P8" s="24" t="s">
        <v>18</v>
      </c>
      <c r="Q8" s="370">
        <v>0.41666666666666669</v>
      </c>
      <c r="R8" s="321"/>
      <c r="T8" s="283"/>
      <c r="U8" s="284"/>
      <c r="V8" s="413"/>
      <c r="W8" s="414"/>
      <c r="AB8" s="51"/>
      <c r="AC8" s="51"/>
      <c r="AD8" s="51"/>
      <c r="AE8" s="51"/>
    </row>
    <row r="9" spans="1:32" s="272" customFormat="1" ht="39.950000000000003" customHeight="1" x14ac:dyDescent="0.2">
      <c r="A9" s="3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76"/>
      <c r="E9" s="288"/>
      <c r="F9" s="3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7"/>
      <c r="R9" s="358"/>
      <c r="T9" s="283"/>
      <c r="U9" s="284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76"/>
      <c r="E10" s="288"/>
      <c r="F10" s="3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10" t="str">
        <f>IFERROR(VLOOKUP($D$10,Proxy,2,FALSE),"")</f>
        <v/>
      </c>
      <c r="I10" s="283"/>
      <c r="J10" s="283"/>
      <c r="K10" s="283"/>
      <c r="L10" s="283"/>
      <c r="M10" s="283"/>
      <c r="N10" s="271"/>
      <c r="P10" s="26" t="s">
        <v>20</v>
      </c>
      <c r="Q10" s="392"/>
      <c r="R10" s="393"/>
      <c r="U10" s="24" t="s">
        <v>21</v>
      </c>
      <c r="V10" s="313" t="s">
        <v>22</v>
      </c>
      <c r="W10" s="314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9"/>
      <c r="R11" s="360"/>
      <c r="U11" s="24" t="s">
        <v>25</v>
      </c>
      <c r="V11" s="433" t="s">
        <v>26</v>
      </c>
      <c r="W11" s="358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5" t="s">
        <v>27</v>
      </c>
      <c r="B12" s="362"/>
      <c r="C12" s="362"/>
      <c r="D12" s="362"/>
      <c r="E12" s="362"/>
      <c r="F12" s="362"/>
      <c r="G12" s="362"/>
      <c r="H12" s="362"/>
      <c r="I12" s="362"/>
      <c r="J12" s="362"/>
      <c r="K12" s="362"/>
      <c r="L12" s="362"/>
      <c r="M12" s="363"/>
      <c r="N12" s="65"/>
      <c r="P12" s="24" t="s">
        <v>28</v>
      </c>
      <c r="Q12" s="370"/>
      <c r="R12" s="321"/>
      <c r="S12" s="23"/>
      <c r="U12" s="24"/>
      <c r="V12" s="298"/>
      <c r="W12" s="283"/>
      <c r="AB12" s="51"/>
      <c r="AC12" s="51"/>
      <c r="AD12" s="51"/>
      <c r="AE12" s="51"/>
    </row>
    <row r="13" spans="1:32" s="272" customFormat="1" ht="23.25" customHeight="1" x14ac:dyDescent="0.2">
      <c r="A13" s="385" t="s">
        <v>29</v>
      </c>
      <c r="B13" s="362"/>
      <c r="C13" s="362"/>
      <c r="D13" s="362"/>
      <c r="E13" s="362"/>
      <c r="F13" s="362"/>
      <c r="G13" s="362"/>
      <c r="H13" s="362"/>
      <c r="I13" s="362"/>
      <c r="J13" s="362"/>
      <c r="K13" s="362"/>
      <c r="L13" s="362"/>
      <c r="M13" s="363"/>
      <c r="N13" s="65"/>
      <c r="O13" s="26"/>
      <c r="P13" s="26" t="s">
        <v>30</v>
      </c>
      <c r="Q13" s="433"/>
      <c r="R13" s="3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5" t="s">
        <v>31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9" t="s">
        <v>32</v>
      </c>
      <c r="B15" s="362"/>
      <c r="C15" s="362"/>
      <c r="D15" s="362"/>
      <c r="E15" s="362"/>
      <c r="F15" s="362"/>
      <c r="G15" s="362"/>
      <c r="H15" s="362"/>
      <c r="I15" s="362"/>
      <c r="J15" s="362"/>
      <c r="K15" s="362"/>
      <c r="L15" s="362"/>
      <c r="M15" s="363"/>
      <c r="N15" s="66"/>
      <c r="P15" s="379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74" t="s">
        <v>36</v>
      </c>
      <c r="D17" s="309" t="s">
        <v>37</v>
      </c>
      <c r="E17" s="344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3"/>
      <c r="R17" s="343"/>
      <c r="S17" s="343"/>
      <c r="T17" s="344"/>
      <c r="U17" s="467" t="s">
        <v>49</v>
      </c>
      <c r="V17" s="363"/>
      <c r="W17" s="309" t="s">
        <v>50</v>
      </c>
      <c r="X17" s="309" t="s">
        <v>51</v>
      </c>
      <c r="Y17" s="468" t="s">
        <v>52</v>
      </c>
      <c r="Z17" s="421" t="s">
        <v>53</v>
      </c>
      <c r="AA17" s="408" t="s">
        <v>54</v>
      </c>
      <c r="AB17" s="408" t="s">
        <v>55</v>
      </c>
      <c r="AC17" s="408" t="s">
        <v>56</v>
      </c>
      <c r="AD17" s="408" t="s">
        <v>57</v>
      </c>
      <c r="AE17" s="447"/>
      <c r="AF17" s="448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5"/>
      <c r="E18" s="347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5"/>
      <c r="Q18" s="346"/>
      <c r="R18" s="346"/>
      <c r="S18" s="346"/>
      <c r="T18" s="347"/>
      <c r="U18" s="70" t="s">
        <v>59</v>
      </c>
      <c r="V18" s="70" t="s">
        <v>60</v>
      </c>
      <c r="W18" s="310"/>
      <c r="X18" s="310"/>
      <c r="Y18" s="469"/>
      <c r="Z18" s="422"/>
      <c r="AA18" s="409"/>
      <c r="AB18" s="409"/>
      <c r="AC18" s="409"/>
      <c r="AD18" s="449"/>
      <c r="AE18" s="450"/>
      <c r="AF18" s="451"/>
      <c r="AG18" s="69"/>
      <c r="BD18" s="68"/>
    </row>
    <row r="19" spans="1:68" ht="27.75" customHeight="1" x14ac:dyDescent="0.2">
      <c r="A19" s="355" t="s">
        <v>61</v>
      </c>
      <c r="B19" s="356"/>
      <c r="C19" s="356"/>
      <c r="D19" s="356"/>
      <c r="E19" s="356"/>
      <c r="F19" s="356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48"/>
      <c r="AB19" s="48"/>
      <c r="AC19" s="48"/>
    </row>
    <row r="20" spans="1:68" ht="16.5" customHeight="1" x14ac:dyDescent="0.25">
      <c r="A20" s="293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customHeight="1" x14ac:dyDescent="0.25">
      <c r="A21" s="29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2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8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4"/>
      <c r="V27" s="34"/>
      <c r="W27" s="35" t="s">
        <v>68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4"/>
      <c r="V29" s="34"/>
      <c r="W29" s="35" t="s">
        <v>68</v>
      </c>
      <c r="X29" s="278">
        <v>24</v>
      </c>
      <c r="Y29" s="279">
        <f t="shared" si="0"/>
        <v>24</v>
      </c>
      <c r="Z29" s="36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301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302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02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432</v>
      </c>
      <c r="Y31" s="280">
        <f>IFERROR(SUMPRODUCT(Y22:Y29*H22:H29),"0")</f>
        <v>432</v>
      </c>
      <c r="Z31" s="37"/>
      <c r="AA31" s="281"/>
      <c r="AB31" s="281"/>
      <c r="AC31" s="281"/>
    </row>
    <row r="32" spans="1:68" ht="16.5" customHeight="1" x14ac:dyDescent="0.25">
      <c r="A32" s="293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customHeight="1" x14ac:dyDescent="0.25">
      <c r="A33" s="29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301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302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302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55" t="s">
        <v>95</v>
      </c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48"/>
      <c r="AB38" s="48"/>
      <c r="AC38" s="48"/>
    </row>
    <row r="39" spans="1:68" ht="16.5" customHeight="1" x14ac:dyDescent="0.25">
      <c r="A39" s="293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customHeight="1" x14ac:dyDescent="0.25">
      <c r="A40" s="29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4"/>
      <c r="V41" s="34"/>
      <c r="W41" s="35" t="s">
        <v>68</v>
      </c>
      <c r="X41" s="278">
        <v>28</v>
      </c>
      <c r="Y41" s="279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4"/>
      <c r="V42" s="34"/>
      <c r="W42" s="35" t="s">
        <v>68</v>
      </c>
      <c r="X42" s="278">
        <v>84</v>
      </c>
      <c r="Y42" s="279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301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302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112</v>
      </c>
      <c r="Y43" s="280">
        <f>IFERROR(SUM(Y41:Y42),"0")</f>
        <v>112</v>
      </c>
      <c r="Z43" s="280">
        <f>IFERROR(IF(Z41="",0,Z41),"0")+IFERROR(IF(Z42="",0,Z42),"0")</f>
        <v>1.05392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302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168</v>
      </c>
      <c r="Y44" s="280">
        <f>IFERROR(SUMPRODUCT(Y41:Y42*H41:H42),"0")</f>
        <v>168</v>
      </c>
      <c r="Z44" s="37"/>
      <c r="AA44" s="281"/>
      <c r="AB44" s="281"/>
      <c r="AC44" s="281"/>
    </row>
    <row r="45" spans="1:68" ht="16.5" customHeight="1" x14ac:dyDescent="0.25">
      <c r="A45" s="293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customHeight="1" x14ac:dyDescent="0.25">
      <c r="A46" s="29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4"/>
      <c r="V47" s="34"/>
      <c r="W47" s="35" t="s">
        <v>68</v>
      </c>
      <c r="X47" s="278">
        <v>36</v>
      </c>
      <c r="Y47" s="27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4"/>
      <c r="V48" s="34"/>
      <c r="W48" s="35" t="s">
        <v>68</v>
      </c>
      <c r="X48" s="278">
        <v>24</v>
      </c>
      <c r="Y48" s="279">
        <f>IFERROR(IF(X48="","",X48),"")</f>
        <v>24</v>
      </c>
      <c r="Z48" s="36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85">
        <v>4620207490044</v>
      </c>
      <c r="E49" s="286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4"/>
      <c r="V49" s="34"/>
      <c r="W49" s="35" t="s">
        <v>68</v>
      </c>
      <c r="X49" s="278">
        <v>12</v>
      </c>
      <c r="Y49" s="279">
        <f>IFERROR(IF(X49="","",X49),"")</f>
        <v>12</v>
      </c>
      <c r="Z49" s="36">
        <f>IFERROR(IF(X49="","",X49*0.0155),"")</f>
        <v>0.186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70.44</v>
      </c>
      <c r="BN49" s="67">
        <f>IFERROR(Y49*I49,"0")</f>
        <v>70.44</v>
      </c>
      <c r="BO49" s="67">
        <f>IFERROR(X49/J49,"0")</f>
        <v>0.14285714285714285</v>
      </c>
      <c r="BP49" s="67">
        <f>IFERROR(Y49/J49,"0")</f>
        <v>0.14285714285714285</v>
      </c>
    </row>
    <row r="50" spans="1:68" x14ac:dyDescent="0.2">
      <c r="A50" s="301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302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72</v>
      </c>
      <c r="Y50" s="280">
        <f>IFERROR(SUM(Y47:Y49),"0")</f>
        <v>72</v>
      </c>
      <c r="Z50" s="280">
        <f>IFERROR(IF(Z47="",0,Z47),"0")+IFERROR(IF(Z48="",0,Z48),"0")+IFERROR(IF(Z49="",0,Z49),"0")</f>
        <v>1.1160000000000001</v>
      </c>
      <c r="AA50" s="281"/>
      <c r="AB50" s="281"/>
      <c r="AC50" s="28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302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403.2</v>
      </c>
      <c r="Y51" s="280">
        <f>IFERROR(SUMPRODUCT(Y47:Y49*H47:H49),"0")</f>
        <v>403.2</v>
      </c>
      <c r="Z51" s="37"/>
      <c r="AA51" s="281"/>
      <c r="AB51" s="281"/>
      <c r="AC51" s="281"/>
    </row>
    <row r="52" spans="1:68" ht="16.5" customHeight="1" x14ac:dyDescent="0.25">
      <c r="A52" s="293" t="s">
        <v>117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3"/>
      <c r="AB52" s="273"/>
      <c r="AC52" s="273"/>
    </row>
    <row r="53" spans="1:68" ht="14.25" customHeight="1" x14ac:dyDescent="0.25">
      <c r="A53" s="292" t="s">
        <v>62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85">
        <v>4607111039385</v>
      </c>
      <c r="E54" s="286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85">
        <v>4607111038982</v>
      </c>
      <c r="E55" s="286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4"/>
      <c r="V55" s="34"/>
      <c r="W55" s="35" t="s">
        <v>68</v>
      </c>
      <c r="X55" s="278">
        <v>36</v>
      </c>
      <c r="Y55" s="279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262.29599999999999</v>
      </c>
      <c r="BN55" s="67">
        <f>IFERROR(Y55*I55,"0")</f>
        <v>262.29599999999999</v>
      </c>
      <c r="BO55" s="67">
        <f>IFERROR(X55/J55,"0")</f>
        <v>0.42857142857142855</v>
      </c>
      <c r="BP55" s="67">
        <f>IFERROR(Y55/J55,"0")</f>
        <v>0.42857142857142855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85">
        <v>4607111039354</v>
      </c>
      <c r="E56" s="286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85">
        <v>4607111039330</v>
      </c>
      <c r="E57" s="286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4"/>
      <c r="V57" s="34"/>
      <c r="W57" s="35" t="s">
        <v>68</v>
      </c>
      <c r="X57" s="278">
        <v>12</v>
      </c>
      <c r="Y57" s="279">
        <f>IFERROR(IF(X57="","",X57),"")</f>
        <v>12</v>
      </c>
      <c r="Z57" s="36">
        <f>IFERROR(IF(X57="","",X57*0.0155),"")</f>
        <v>0.186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87.6</v>
      </c>
      <c r="BN57" s="67">
        <f>IFERROR(Y57*I57,"0")</f>
        <v>87.6</v>
      </c>
      <c r="BO57" s="67">
        <f>IFERROR(X57/J57,"0")</f>
        <v>0.14285714285714285</v>
      </c>
      <c r="BP57" s="67">
        <f>IFERROR(Y57/J57,"0")</f>
        <v>0.14285714285714285</v>
      </c>
    </row>
    <row r="58" spans="1:68" x14ac:dyDescent="0.2">
      <c r="A58" s="301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302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48</v>
      </c>
      <c r="Y58" s="280">
        <f>IFERROR(SUM(Y54:Y57),"0")</f>
        <v>48</v>
      </c>
      <c r="Z58" s="280">
        <f>IFERROR(IF(Z54="",0,Z54),"0")+IFERROR(IF(Z55="",0,Z55),"0")+IFERROR(IF(Z56="",0,Z56),"0")+IFERROR(IF(Z57="",0,Z57),"0")</f>
        <v>0.74399999999999999</v>
      </c>
      <c r="AA58" s="281"/>
      <c r="AB58" s="281"/>
      <c r="AC58" s="281"/>
    </row>
    <row r="59" spans="1:68" x14ac:dyDescent="0.2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302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336</v>
      </c>
      <c r="Y59" s="280">
        <f>IFERROR(SUMPRODUCT(Y54:Y57*H54:H57),"0")</f>
        <v>336</v>
      </c>
      <c r="Z59" s="37"/>
      <c r="AA59" s="281"/>
      <c r="AB59" s="281"/>
      <c r="AC59" s="281"/>
    </row>
    <row r="60" spans="1:68" ht="16.5" customHeight="1" x14ac:dyDescent="0.25">
      <c r="A60" s="293" t="s">
        <v>128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3"/>
      <c r="AB60" s="273"/>
      <c r="AC60" s="273"/>
    </row>
    <row r="61" spans="1:68" ht="14.25" customHeight="1" x14ac:dyDescent="0.25">
      <c r="A61" s="292" t="s">
        <v>62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85">
        <v>4620207490822</v>
      </c>
      <c r="E62" s="286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01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302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302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2" t="s">
        <v>97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85">
        <v>4607111039712</v>
      </c>
      <c r="E66" s="286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01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302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302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2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85">
        <v>4607111037008</v>
      </c>
      <c r="E70" s="286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85">
        <v>4607111037398</v>
      </c>
      <c r="E71" s="286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301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302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302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85">
        <v>4607111039705</v>
      </c>
      <c r="E75" s="286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85">
        <v>4607111039729</v>
      </c>
      <c r="E76" s="286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85">
        <v>4620207490228</v>
      </c>
      <c r="E77" s="286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40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301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302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302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293" t="s">
        <v>149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customHeight="1" x14ac:dyDescent="0.25">
      <c r="A81" s="292" t="s">
        <v>62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85">
        <v>4607111037411</v>
      </c>
      <c r="E82" s="286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5">
        <v>4607111036728</v>
      </c>
      <c r="E83" s="286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4"/>
      <c r="V83" s="34"/>
      <c r="W83" s="35" t="s">
        <v>68</v>
      </c>
      <c r="X83" s="278">
        <v>132</v>
      </c>
      <c r="Y83" s="279">
        <f>IFERROR(IF(X83="","",X83),"")</f>
        <v>132</v>
      </c>
      <c r="Z83" s="36">
        <f>IFERROR(IF(X83="","",X83*0.00866),"")</f>
        <v>1.1431199999999999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688.14239999999995</v>
      </c>
      <c r="BN83" s="67">
        <f>IFERROR(Y83*I83,"0")</f>
        <v>688.14239999999995</v>
      </c>
      <c r="BO83" s="67">
        <f>IFERROR(X83/J83,"0")</f>
        <v>0.91666666666666663</v>
      </c>
      <c r="BP83" s="67">
        <f>IFERROR(Y83/J83,"0")</f>
        <v>0.91666666666666663</v>
      </c>
    </row>
    <row r="84" spans="1:68" x14ac:dyDescent="0.2">
      <c r="A84" s="301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302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132</v>
      </c>
      <c r="Y84" s="280">
        <f>IFERROR(SUM(Y82:Y83),"0")</f>
        <v>132</v>
      </c>
      <c r="Z84" s="280">
        <f>IFERROR(IF(Z82="",0,Z82),"0")+IFERROR(IF(Z83="",0,Z83),"0")</f>
        <v>1.1431199999999999</v>
      </c>
      <c r="AA84" s="281"/>
      <c r="AB84" s="281"/>
      <c r="AC84" s="281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302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660</v>
      </c>
      <c r="Y85" s="280">
        <f>IFERROR(SUMPRODUCT(Y82:Y83*H82:H83),"0")</f>
        <v>660</v>
      </c>
      <c r="Z85" s="37"/>
      <c r="AA85" s="281"/>
      <c r="AB85" s="281"/>
      <c r="AC85" s="281"/>
    </row>
    <row r="86" spans="1:68" ht="16.5" customHeight="1" x14ac:dyDescent="0.25">
      <c r="A86" s="293" t="s">
        <v>156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3"/>
      <c r="AB86" s="273"/>
      <c r="AC86" s="273"/>
    </row>
    <row r="87" spans="1:68" ht="14.25" customHeight="1" x14ac:dyDescent="0.25">
      <c r="A87" s="292" t="s">
        <v>141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85">
        <v>4607111033659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301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302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302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customHeight="1" x14ac:dyDescent="0.25">
      <c r="A91" s="293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customHeight="1" x14ac:dyDescent="0.25">
      <c r="A92" s="292" t="s">
        <v>161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85">
        <v>4607111034120</v>
      </c>
      <c r="E93" s="286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4"/>
      <c r="V93" s="34"/>
      <c r="W93" s="35" t="s">
        <v>68</v>
      </c>
      <c r="X93" s="278">
        <v>84</v>
      </c>
      <c r="Y93" s="279">
        <f>IFERROR(IF(X93="","",X93),"")</f>
        <v>84</v>
      </c>
      <c r="Z93" s="36">
        <f>IFERROR(IF(X93="","",X93*0.01788),"")</f>
        <v>1.5019199999999999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361.50240000000002</v>
      </c>
      <c r="BN93" s="67">
        <f>IFERROR(Y93*I93,"0")</f>
        <v>361.50240000000002</v>
      </c>
      <c r="BO93" s="67">
        <f>IFERROR(X93/J93,"0")</f>
        <v>1.2</v>
      </c>
      <c r="BP93" s="67">
        <f>IFERROR(Y93/J93,"0")</f>
        <v>1.2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85">
        <v>4607111034137</v>
      </c>
      <c r="E94" s="286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4"/>
      <c r="V94" s="34"/>
      <c r="W94" s="35" t="s">
        <v>68</v>
      </c>
      <c r="X94" s="278">
        <v>70</v>
      </c>
      <c r="Y94" s="279">
        <f>IFERROR(IF(X94="","",X94),"")</f>
        <v>70</v>
      </c>
      <c r="Z94" s="36">
        <f>IFERROR(IF(X94="","",X94*0.01788),"")</f>
        <v>1.2516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x14ac:dyDescent="0.2">
      <c r="A95" s="301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302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154</v>
      </c>
      <c r="Y95" s="280">
        <f>IFERROR(SUM(Y93:Y94),"0")</f>
        <v>154</v>
      </c>
      <c r="Z95" s="280">
        <f>IFERROR(IF(Z93="",0,Z93),"0")+IFERROR(IF(Z94="",0,Z94),"0")</f>
        <v>2.75352</v>
      </c>
      <c r="AA95" s="281"/>
      <c r="AB95" s="281"/>
      <c r="AC95" s="281"/>
    </row>
    <row r="96" spans="1:68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302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554.40000000000009</v>
      </c>
      <c r="Y96" s="280">
        <f>IFERROR(SUMPRODUCT(Y93:Y94*H93:H94),"0")</f>
        <v>554.40000000000009</v>
      </c>
      <c r="Z96" s="37"/>
      <c r="AA96" s="281"/>
      <c r="AB96" s="281"/>
      <c r="AC96" s="281"/>
    </row>
    <row r="97" spans="1:68" ht="16.5" customHeight="1" x14ac:dyDescent="0.25">
      <c r="A97" s="293" t="s">
        <v>168</v>
      </c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73"/>
      <c r="AB97" s="273"/>
      <c r="AC97" s="273"/>
    </row>
    <row r="98" spans="1:68" ht="14.25" customHeight="1" x14ac:dyDescent="0.25">
      <c r="A98" s="292" t="s">
        <v>141</v>
      </c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85">
        <v>4620207491027</v>
      </c>
      <c r="E99" s="286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4"/>
      <c r="V99" s="34"/>
      <c r="W99" s="35" t="s">
        <v>68</v>
      </c>
      <c r="X99" s="278">
        <v>56</v>
      </c>
      <c r="Y99" s="279">
        <f t="shared" ref="Y99:Y104" si="6">IFERROR(IF(X99="","",X99),"")</f>
        <v>56</v>
      </c>
      <c r="Z99" s="36">
        <f t="shared" ref="Z99:Z104" si="7">IFERROR(IF(X99="","",X99*0.01788),"")</f>
        <v>1.0012799999999999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200.6816</v>
      </c>
      <c r="BN99" s="67">
        <f t="shared" ref="BN99:BN104" si="9">IFERROR(Y99*I99,"0")</f>
        <v>200.6816</v>
      </c>
      <c r="BO99" s="67">
        <f t="shared" ref="BO99:BO104" si="10">IFERROR(X99/J99,"0")</f>
        <v>0.8</v>
      </c>
      <c r="BP99" s="67">
        <f t="shared" ref="BP99:BP104" si="11">IFERROR(Y99/J99,"0")</f>
        <v>0.8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5">
        <v>4620207491003</v>
      </c>
      <c r="E100" s="286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4"/>
      <c r="V100" s="34"/>
      <c r="W100" s="35" t="s">
        <v>68</v>
      </c>
      <c r="X100" s="278">
        <v>84</v>
      </c>
      <c r="Y100" s="279">
        <f t="shared" si="6"/>
        <v>84</v>
      </c>
      <c r="Z100" s="36">
        <f t="shared" si="7"/>
        <v>1.5019199999999999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5">
        <v>4620207491034</v>
      </c>
      <c r="E101" s="286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4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5">
        <v>4620207491010</v>
      </c>
      <c r="E102" s="286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4"/>
      <c r="V102" s="34"/>
      <c r="W102" s="35" t="s">
        <v>68</v>
      </c>
      <c r="X102" s="278">
        <v>56</v>
      </c>
      <c r="Y102" s="279">
        <f t="shared" si="6"/>
        <v>56</v>
      </c>
      <c r="Z102" s="36">
        <f t="shared" si="7"/>
        <v>1.0012799999999999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200.6816</v>
      </c>
      <c r="BN102" s="67">
        <f t="shared" si="9"/>
        <v>200.6816</v>
      </c>
      <c r="BO102" s="67">
        <f t="shared" si="10"/>
        <v>0.8</v>
      </c>
      <c r="BP102" s="67">
        <f t="shared" si="11"/>
        <v>0.8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85">
        <v>4607111035028</v>
      </c>
      <c r="E103" s="286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3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85">
        <v>4607111036407</v>
      </c>
      <c r="E104" s="286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1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302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280</v>
      </c>
      <c r="Y105" s="280">
        <f>IFERROR(SUM(Y99:Y104),"0")</f>
        <v>280</v>
      </c>
      <c r="Z105" s="280">
        <f>IFERROR(IF(Z99="",0,Z99),"0")+IFERROR(IF(Z100="",0,Z100),"0")+IFERROR(IF(Z101="",0,Z101),"0")+IFERROR(IF(Z102="",0,Z102),"0")+IFERROR(IF(Z103="",0,Z103),"0")+IFERROR(IF(Z104="",0,Z104),"0")</f>
        <v>5.0063999999999993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302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819.83999999999992</v>
      </c>
      <c r="Y106" s="280">
        <f>IFERROR(SUMPRODUCT(Y99:Y104*H99:H104),"0")</f>
        <v>819.83999999999992</v>
      </c>
      <c r="Z106" s="37"/>
      <c r="AA106" s="281"/>
      <c r="AB106" s="281"/>
      <c r="AC106" s="281"/>
    </row>
    <row r="107" spans="1:68" ht="16.5" customHeight="1" x14ac:dyDescent="0.25">
      <c r="A107" s="293" t="s">
        <v>183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customHeight="1" x14ac:dyDescent="0.25">
      <c r="A108" s="292" t="s">
        <v>135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85">
        <v>4607025784012</v>
      </c>
      <c r="E109" s="286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4"/>
      <c r="V109" s="34"/>
      <c r="W109" s="35" t="s">
        <v>68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85">
        <v>4607025784319</v>
      </c>
      <c r="E110" s="286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301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302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42</v>
      </c>
      <c r="Y111" s="280">
        <f>IFERROR(SUM(Y109:Y110),"0")</f>
        <v>42</v>
      </c>
      <c r="Z111" s="280">
        <f>IFERROR(IF(Z109="",0,Z109),"0")+IFERROR(IF(Z110="",0,Z110),"0")</f>
        <v>0.51239999999999997</v>
      </c>
      <c r="AA111" s="281"/>
      <c r="AB111" s="281"/>
      <c r="AC111" s="281"/>
    </row>
    <row r="112" spans="1:68" x14ac:dyDescent="0.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302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110.88</v>
      </c>
      <c r="Y112" s="280">
        <f>IFERROR(SUMPRODUCT(Y109:Y110*H109:H110),"0")</f>
        <v>110.88</v>
      </c>
      <c r="Z112" s="37"/>
      <c r="AA112" s="281"/>
      <c r="AB112" s="281"/>
      <c r="AC112" s="281"/>
    </row>
    <row r="113" spans="1:68" ht="16.5" customHeight="1" x14ac:dyDescent="0.25">
      <c r="A113" s="293" t="s">
        <v>189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73"/>
      <c r="AB113" s="273"/>
      <c r="AC113" s="273"/>
    </row>
    <row r="114" spans="1:68" ht="14.25" customHeight="1" x14ac:dyDescent="0.25">
      <c r="A114" s="292" t="s">
        <v>62</v>
      </c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5">
        <v>4620207491157</v>
      </c>
      <c r="E115" s="286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40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85">
        <v>4620207491393</v>
      </c>
      <c r="E116" s="286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3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85">
        <v>4607111039262</v>
      </c>
      <c r="E117" s="286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4"/>
      <c r="V117" s="34"/>
      <c r="W117" s="35" t="s">
        <v>68</v>
      </c>
      <c r="X117" s="278">
        <v>24</v>
      </c>
      <c r="Y117" s="279">
        <f t="shared" si="12"/>
        <v>24</v>
      </c>
      <c r="Z117" s="36">
        <f t="shared" si="13"/>
        <v>0.372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161.2704</v>
      </c>
      <c r="BN117" s="67">
        <f t="shared" si="15"/>
        <v>161.2704</v>
      </c>
      <c r="BO117" s="67">
        <f t="shared" si="16"/>
        <v>0.2857142857142857</v>
      </c>
      <c r="BP117" s="67">
        <f t="shared" si="17"/>
        <v>0.2857142857142857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5">
        <v>4607111039248</v>
      </c>
      <c r="E118" s="286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4"/>
      <c r="V118" s="34"/>
      <c r="W118" s="35" t="s">
        <v>68</v>
      </c>
      <c r="X118" s="278">
        <v>84</v>
      </c>
      <c r="Y118" s="279">
        <f t="shared" si="12"/>
        <v>84</v>
      </c>
      <c r="Z118" s="36">
        <f t="shared" si="13"/>
        <v>1.302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613.19999999999993</v>
      </c>
      <c r="BN118" s="67">
        <f t="shared" si="15"/>
        <v>613.19999999999993</v>
      </c>
      <c r="BO118" s="67">
        <f t="shared" si="16"/>
        <v>1</v>
      </c>
      <c r="BP118" s="67">
        <f t="shared" si="17"/>
        <v>1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85">
        <v>4607111037145</v>
      </c>
      <c r="E119" s="286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85">
        <v>4607111039293</v>
      </c>
      <c r="E120" s="286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5"/>
      <c r="R120" s="295"/>
      <c r="S120" s="295"/>
      <c r="T120" s="296"/>
      <c r="U120" s="34"/>
      <c r="V120" s="34"/>
      <c r="W120" s="35" t="s">
        <v>68</v>
      </c>
      <c r="X120" s="278">
        <v>12</v>
      </c>
      <c r="Y120" s="279">
        <f t="shared" si="12"/>
        <v>12</v>
      </c>
      <c r="Z120" s="36">
        <f t="shared" si="13"/>
        <v>0.186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80.635199999999998</v>
      </c>
      <c r="BN120" s="67">
        <f t="shared" si="15"/>
        <v>80.635199999999998</v>
      </c>
      <c r="BO120" s="67">
        <f t="shared" si="16"/>
        <v>0.14285714285714285</v>
      </c>
      <c r="BP120" s="67">
        <f t="shared" si="17"/>
        <v>0.14285714285714285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5">
        <v>4607111039279</v>
      </c>
      <c r="E121" s="286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5"/>
      <c r="R121" s="295"/>
      <c r="S121" s="295"/>
      <c r="T121" s="296"/>
      <c r="U121" s="34"/>
      <c r="V121" s="34"/>
      <c r="W121" s="35" t="s">
        <v>68</v>
      </c>
      <c r="X121" s="278">
        <v>84</v>
      </c>
      <c r="Y121" s="279">
        <f t="shared" si="12"/>
        <v>84</v>
      </c>
      <c r="Z121" s="36">
        <f t="shared" si="13"/>
        <v>1.302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613.19999999999993</v>
      </c>
      <c r="BN121" s="67">
        <f t="shared" si="15"/>
        <v>613.19999999999993</v>
      </c>
      <c r="BO121" s="67">
        <f t="shared" si="16"/>
        <v>1</v>
      </c>
      <c r="BP121" s="67">
        <f t="shared" si="17"/>
        <v>1</v>
      </c>
    </row>
    <row r="122" spans="1:68" x14ac:dyDescent="0.2">
      <c r="A122" s="301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302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204</v>
      </c>
      <c r="Y122" s="280">
        <f>IFERROR(SUM(Y115:Y121),"0")</f>
        <v>204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3.1619999999999999</v>
      </c>
      <c r="AA122" s="281"/>
      <c r="AB122" s="281"/>
      <c r="AC122" s="281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302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1406.4</v>
      </c>
      <c r="Y123" s="280">
        <f>IFERROR(SUMPRODUCT(Y115:Y121*H115:H121),"0")</f>
        <v>1406.4</v>
      </c>
      <c r="Z123" s="37"/>
      <c r="AA123" s="281"/>
      <c r="AB123" s="281"/>
      <c r="AC123" s="281"/>
    </row>
    <row r="124" spans="1:68" ht="14.25" customHeight="1" x14ac:dyDescent="0.25">
      <c r="A124" s="292" t="s">
        <v>141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85">
        <v>4620207490983</v>
      </c>
      <c r="E125" s="286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3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5"/>
      <c r="R125" s="295"/>
      <c r="S125" s="295"/>
      <c r="T125" s="296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301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302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302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2" t="s">
        <v>210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85">
        <v>4620207491140</v>
      </c>
      <c r="E129" s="286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4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5"/>
      <c r="R129" s="295"/>
      <c r="S129" s="295"/>
      <c r="T129" s="296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301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302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302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293" t="s">
        <v>214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73"/>
      <c r="AB132" s="273"/>
      <c r="AC132" s="273"/>
    </row>
    <row r="133" spans="1:68" ht="14.25" customHeight="1" x14ac:dyDescent="0.25">
      <c r="A133" s="292" t="s">
        <v>141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4301135850</v>
      </c>
      <c r="D134" s="285">
        <v>4620207491492</v>
      </c>
      <c r="E134" s="286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5"/>
      <c r="R134" s="295"/>
      <c r="S134" s="295"/>
      <c r="T134" s="296"/>
      <c r="U134" s="34"/>
      <c r="V134" s="34"/>
      <c r="W134" s="35" t="s">
        <v>68</v>
      </c>
      <c r="X134" s="278">
        <v>56</v>
      </c>
      <c r="Y134" s="279">
        <f>IFERROR(IF(X134="","",X134),"")</f>
        <v>56</v>
      </c>
      <c r="Z134" s="36">
        <f>IFERROR(IF(X134="","",X134*0.00941),"")</f>
        <v>0.52695999999999998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100.8</v>
      </c>
      <c r="BN134" s="67">
        <f>IFERROR(Y134*I134,"0")</f>
        <v>100.8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218</v>
      </c>
      <c r="B135" s="54" t="s">
        <v>219</v>
      </c>
      <c r="C135" s="31">
        <v>4301190118</v>
      </c>
      <c r="D135" s="285">
        <v>4620207491461</v>
      </c>
      <c r="E135" s="286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5"/>
      <c r="R135" s="295"/>
      <c r="S135" s="295"/>
      <c r="T135" s="296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4301135865</v>
      </c>
      <c r="D136" s="285">
        <v>4620207491485</v>
      </c>
      <c r="E136" s="286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5"/>
      <c r="R136" s="295"/>
      <c r="S136" s="295"/>
      <c r="T136" s="296"/>
      <c r="U136" s="34"/>
      <c r="V136" s="34"/>
      <c r="W136" s="35" t="s">
        <v>68</v>
      </c>
      <c r="X136" s="278">
        <v>84</v>
      </c>
      <c r="Y136" s="279">
        <f>IFERROR(IF(X136="","",X136),"")</f>
        <v>84</v>
      </c>
      <c r="Z136" s="36">
        <f>IFERROR(IF(X136="","",X136*0.00941),"")</f>
        <v>0.79044000000000003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151.20000000000002</v>
      </c>
      <c r="BN136" s="67">
        <f>IFERROR(Y136*I136,"0")</f>
        <v>151.20000000000002</v>
      </c>
      <c r="BO136" s="67">
        <f>IFERROR(X136/J136,"0")</f>
        <v>0.6</v>
      </c>
      <c r="BP136" s="67">
        <f>IFERROR(Y136/J136,"0")</f>
        <v>0.6</v>
      </c>
    </row>
    <row r="137" spans="1:68" x14ac:dyDescent="0.2">
      <c r="A137" s="301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302"/>
      <c r="P137" s="289" t="s">
        <v>87</v>
      </c>
      <c r="Q137" s="290"/>
      <c r="R137" s="290"/>
      <c r="S137" s="290"/>
      <c r="T137" s="290"/>
      <c r="U137" s="290"/>
      <c r="V137" s="291"/>
      <c r="W137" s="37" t="s">
        <v>68</v>
      </c>
      <c r="X137" s="280">
        <f>IFERROR(SUM(X134:X136),"0")</f>
        <v>140</v>
      </c>
      <c r="Y137" s="280">
        <f>IFERROR(SUM(Y134:Y136),"0")</f>
        <v>140</v>
      </c>
      <c r="Z137" s="280">
        <f>IFERROR(IF(Z134="",0,Z134),"0")+IFERROR(IF(Z135="",0,Z135),"0")+IFERROR(IF(Z136="",0,Z136),"0")</f>
        <v>1.3174000000000001</v>
      </c>
      <c r="AA137" s="281"/>
      <c r="AB137" s="281"/>
      <c r="AC137" s="281"/>
    </row>
    <row r="138" spans="1:68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302"/>
      <c r="P138" s="289" t="s">
        <v>87</v>
      </c>
      <c r="Q138" s="290"/>
      <c r="R138" s="290"/>
      <c r="S138" s="290"/>
      <c r="T138" s="290"/>
      <c r="U138" s="290"/>
      <c r="V138" s="291"/>
      <c r="W138" s="37" t="s">
        <v>88</v>
      </c>
      <c r="X138" s="280">
        <f>IFERROR(SUMPRODUCT(X134:X136*H134:H136),"0")</f>
        <v>193.2</v>
      </c>
      <c r="Y138" s="280">
        <f>IFERROR(SUMPRODUCT(Y134:Y136*H134:H136),"0")</f>
        <v>193.2</v>
      </c>
      <c r="Z138" s="37"/>
      <c r="AA138" s="281"/>
      <c r="AB138" s="281"/>
      <c r="AC138" s="281"/>
    </row>
    <row r="139" spans="1:68" ht="14.25" customHeight="1" x14ac:dyDescent="0.25">
      <c r="A139" s="292" t="s">
        <v>222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74"/>
      <c r="AB139" s="274"/>
      <c r="AC139" s="274"/>
    </row>
    <row r="140" spans="1:68" ht="27" customHeight="1" x14ac:dyDescent="0.25">
      <c r="A140" s="54" t="s">
        <v>223</v>
      </c>
      <c r="B140" s="54" t="s">
        <v>224</v>
      </c>
      <c r="C140" s="31">
        <v>4301190117</v>
      </c>
      <c r="D140" s="285">
        <v>4620207491386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5"/>
      <c r="R140" s="295"/>
      <c r="S140" s="295"/>
      <c r="T140" s="296"/>
      <c r="U140" s="34"/>
      <c r="V140" s="34"/>
      <c r="W140" s="35" t="s">
        <v>68</v>
      </c>
      <c r="X140" s="278">
        <v>14</v>
      </c>
      <c r="Y140" s="279">
        <f>IFERROR(IF(X140="","",X140),"")</f>
        <v>14</v>
      </c>
      <c r="Z140" s="36">
        <f>IFERROR(IF(X140="","",X140*0.00941),"")</f>
        <v>0.13174</v>
      </c>
      <c r="AA140" s="56"/>
      <c r="AB140" s="57"/>
      <c r="AC140" s="174" t="s">
        <v>225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19.571999999999999</v>
      </c>
      <c r="BN140" s="67">
        <f>IFERROR(Y140*I140,"0")</f>
        <v>19.571999999999999</v>
      </c>
      <c r="BO140" s="67">
        <f>IFERROR(X140/J140,"0")</f>
        <v>0.1</v>
      </c>
      <c r="BP140" s="67">
        <f>IFERROR(Y140/J140,"0")</f>
        <v>0.1</v>
      </c>
    </row>
    <row r="141" spans="1:68" ht="27" customHeight="1" x14ac:dyDescent="0.25">
      <c r="A141" s="54" t="s">
        <v>226</v>
      </c>
      <c r="B141" s="54" t="s">
        <v>227</v>
      </c>
      <c r="C141" s="31">
        <v>4301190115</v>
      </c>
      <c r="D141" s="285">
        <v>4620207491362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40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5"/>
      <c r="R141" s="295"/>
      <c r="S141" s="295"/>
      <c r="T141" s="296"/>
      <c r="U141" s="34"/>
      <c r="V141" s="34"/>
      <c r="W141" s="35" t="s">
        <v>68</v>
      </c>
      <c r="X141" s="278">
        <v>28</v>
      </c>
      <c r="Y141" s="279">
        <f>IFERROR(IF(X141="","",X141),"")</f>
        <v>28</v>
      </c>
      <c r="Z141" s="36">
        <f>IFERROR(IF(X141="","",X141*0.00941),"")</f>
        <v>0.26347999999999999</v>
      </c>
      <c r="AA141" s="56"/>
      <c r="AB141" s="57"/>
      <c r="AC141" s="176" t="s">
        <v>225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39.143999999999998</v>
      </c>
      <c r="BN141" s="67">
        <f>IFERROR(Y141*I141,"0")</f>
        <v>39.143999999999998</v>
      </c>
      <c r="BO141" s="67">
        <f>IFERROR(X141/J141,"0")</f>
        <v>0.2</v>
      </c>
      <c r="BP141" s="67">
        <f>IFERROR(Y141/J141,"0")</f>
        <v>0.2</v>
      </c>
    </row>
    <row r="142" spans="1:68" ht="27" customHeight="1" x14ac:dyDescent="0.25">
      <c r="A142" s="54" t="s">
        <v>228</v>
      </c>
      <c r="B142" s="54" t="s">
        <v>229</v>
      </c>
      <c r="C142" s="31">
        <v>4301190116</v>
      </c>
      <c r="D142" s="285">
        <v>4620207491379</v>
      </c>
      <c r="E142" s="286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5"/>
      <c r="R142" s="295"/>
      <c r="S142" s="295"/>
      <c r="T142" s="296"/>
      <c r="U142" s="34"/>
      <c r="V142" s="34"/>
      <c r="W142" s="35" t="s">
        <v>68</v>
      </c>
      <c r="X142" s="278">
        <v>14</v>
      </c>
      <c r="Y142" s="279">
        <f>IFERROR(IF(X142="","",X142),"")</f>
        <v>14</v>
      </c>
      <c r="Z142" s="36">
        <f>IFERROR(IF(X142="","",X142*0.00941),"")</f>
        <v>0.13174</v>
      </c>
      <c r="AA142" s="56"/>
      <c r="AB142" s="57"/>
      <c r="AC142" s="178" t="s">
        <v>225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19.571999999999999</v>
      </c>
      <c r="BN142" s="67">
        <f>IFERROR(Y142*I142,"0")</f>
        <v>19.571999999999999</v>
      </c>
      <c r="BO142" s="67">
        <f>IFERROR(X142/J142,"0")</f>
        <v>0.1</v>
      </c>
      <c r="BP142" s="67">
        <f>IFERROR(Y142/J142,"0")</f>
        <v>0.1</v>
      </c>
    </row>
    <row r="143" spans="1:68" x14ac:dyDescent="0.2">
      <c r="A143" s="301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302"/>
      <c r="P143" s="289" t="s">
        <v>87</v>
      </c>
      <c r="Q143" s="290"/>
      <c r="R143" s="290"/>
      <c r="S143" s="290"/>
      <c r="T143" s="290"/>
      <c r="U143" s="290"/>
      <c r="V143" s="291"/>
      <c r="W143" s="37" t="s">
        <v>68</v>
      </c>
      <c r="X143" s="280">
        <f>IFERROR(SUM(X140:X142),"0")</f>
        <v>56</v>
      </c>
      <c r="Y143" s="280">
        <f>IFERROR(SUM(Y140:Y142),"0")</f>
        <v>56</v>
      </c>
      <c r="Z143" s="280">
        <f>IFERROR(IF(Z140="",0,Z140),"0")+IFERROR(IF(Z141="",0,Z141),"0")+IFERROR(IF(Z142="",0,Z142),"0")</f>
        <v>0.52695999999999998</v>
      </c>
      <c r="AA143" s="281"/>
      <c r="AB143" s="281"/>
      <c r="AC143" s="281"/>
    </row>
    <row r="144" spans="1:68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302"/>
      <c r="P144" s="289" t="s">
        <v>87</v>
      </c>
      <c r="Q144" s="290"/>
      <c r="R144" s="290"/>
      <c r="S144" s="290"/>
      <c r="T144" s="290"/>
      <c r="U144" s="290"/>
      <c r="V144" s="291"/>
      <c r="W144" s="37" t="s">
        <v>88</v>
      </c>
      <c r="X144" s="280">
        <f>IFERROR(SUMPRODUCT(X140:X142*H140:H142),"0")</f>
        <v>60.480000000000004</v>
      </c>
      <c r="Y144" s="280">
        <f>IFERROR(SUMPRODUCT(Y140:Y142*H140:H142),"0")</f>
        <v>60.480000000000004</v>
      </c>
      <c r="Z144" s="37"/>
      <c r="AA144" s="281"/>
      <c r="AB144" s="281"/>
      <c r="AC144" s="281"/>
    </row>
    <row r="145" spans="1:68" ht="16.5" customHeight="1" x14ac:dyDescent="0.25">
      <c r="A145" s="293" t="s">
        <v>230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3"/>
      <c r="AB145" s="273"/>
      <c r="AC145" s="273"/>
    </row>
    <row r="146" spans="1:68" ht="14.25" customHeight="1" x14ac:dyDescent="0.25">
      <c r="A146" s="292" t="s">
        <v>141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74"/>
      <c r="AB146" s="274"/>
      <c r="AC146" s="274"/>
    </row>
    <row r="147" spans="1:68" ht="27" customHeight="1" x14ac:dyDescent="0.25">
      <c r="A147" s="54" t="s">
        <v>231</v>
      </c>
      <c r="B147" s="54" t="s">
        <v>232</v>
      </c>
      <c r="C147" s="31">
        <v>4301135555</v>
      </c>
      <c r="D147" s="285">
        <v>4607111034014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5"/>
      <c r="R147" s="295"/>
      <c r="S147" s="295"/>
      <c r="T147" s="296"/>
      <c r="U147" s="34"/>
      <c r="V147" s="34"/>
      <c r="W147" s="35" t="s">
        <v>68</v>
      </c>
      <c r="X147" s="278">
        <v>112</v>
      </c>
      <c r="Y147" s="279">
        <f>IFERROR(IF(X147="","",X147),"")</f>
        <v>112</v>
      </c>
      <c r="Z147" s="36">
        <f>IFERROR(IF(X147="","",X147*0.01788),"")</f>
        <v>2.0025599999999999</v>
      </c>
      <c r="AA147" s="56"/>
      <c r="AB147" s="57"/>
      <c r="AC147" s="180" t="s">
        <v>233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414.80319999999995</v>
      </c>
      <c r="BN147" s="67">
        <f>IFERROR(Y147*I147,"0")</f>
        <v>414.80319999999995</v>
      </c>
      <c r="BO147" s="67">
        <f>IFERROR(X147/J147,"0")</f>
        <v>1.6</v>
      </c>
      <c r="BP147" s="67">
        <f>IFERROR(Y147/J147,"0")</f>
        <v>1.6</v>
      </c>
    </row>
    <row r="148" spans="1:68" ht="27" customHeight="1" x14ac:dyDescent="0.25">
      <c r="A148" s="54" t="s">
        <v>234</v>
      </c>
      <c r="B148" s="54" t="s">
        <v>235</v>
      </c>
      <c r="C148" s="31">
        <v>4301135532</v>
      </c>
      <c r="D148" s="285">
        <v>4607111033994</v>
      </c>
      <c r="E148" s="286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3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5"/>
      <c r="R148" s="295"/>
      <c r="S148" s="295"/>
      <c r="T148" s="296"/>
      <c r="U148" s="34"/>
      <c r="V148" s="34"/>
      <c r="W148" s="35" t="s">
        <v>68</v>
      </c>
      <c r="X148" s="278">
        <v>126</v>
      </c>
      <c r="Y148" s="279">
        <f>IFERROR(IF(X148="","",X148),"")</f>
        <v>126</v>
      </c>
      <c r="Z148" s="36">
        <f>IFERROR(IF(X148="","",X148*0.01788),"")</f>
        <v>2.2528800000000002</v>
      </c>
      <c r="AA148" s="56"/>
      <c r="AB148" s="57"/>
      <c r="AC148" s="182" t="s">
        <v>159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466.65359999999998</v>
      </c>
      <c r="BN148" s="67">
        <f>IFERROR(Y148*I148,"0")</f>
        <v>466.65359999999998</v>
      </c>
      <c r="BO148" s="67">
        <f>IFERROR(X148/J148,"0")</f>
        <v>1.8</v>
      </c>
      <c r="BP148" s="67">
        <f>IFERROR(Y148/J148,"0")</f>
        <v>1.8</v>
      </c>
    </row>
    <row r="149" spans="1:68" x14ac:dyDescent="0.2">
      <c r="A149" s="301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302"/>
      <c r="P149" s="289" t="s">
        <v>87</v>
      </c>
      <c r="Q149" s="290"/>
      <c r="R149" s="290"/>
      <c r="S149" s="290"/>
      <c r="T149" s="290"/>
      <c r="U149" s="290"/>
      <c r="V149" s="291"/>
      <c r="W149" s="37" t="s">
        <v>68</v>
      </c>
      <c r="X149" s="280">
        <f>IFERROR(SUM(X147:X148),"0")</f>
        <v>238</v>
      </c>
      <c r="Y149" s="280">
        <f>IFERROR(SUM(Y147:Y148),"0")</f>
        <v>238</v>
      </c>
      <c r="Z149" s="280">
        <f>IFERROR(IF(Z147="",0,Z147),"0")+IFERROR(IF(Z148="",0,Z148),"0")</f>
        <v>4.2554400000000001</v>
      </c>
      <c r="AA149" s="281"/>
      <c r="AB149" s="281"/>
      <c r="AC149" s="281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302"/>
      <c r="P150" s="289" t="s">
        <v>87</v>
      </c>
      <c r="Q150" s="290"/>
      <c r="R150" s="290"/>
      <c r="S150" s="290"/>
      <c r="T150" s="290"/>
      <c r="U150" s="290"/>
      <c r="V150" s="291"/>
      <c r="W150" s="37" t="s">
        <v>88</v>
      </c>
      <c r="X150" s="280">
        <f>IFERROR(SUMPRODUCT(X147:X148*H147:H148),"0")</f>
        <v>714</v>
      </c>
      <c r="Y150" s="280">
        <f>IFERROR(SUMPRODUCT(Y147:Y148*H147:H148),"0")</f>
        <v>714</v>
      </c>
      <c r="Z150" s="37"/>
      <c r="AA150" s="281"/>
      <c r="AB150" s="281"/>
      <c r="AC150" s="281"/>
    </row>
    <row r="151" spans="1:68" ht="16.5" customHeight="1" x14ac:dyDescent="0.25">
      <c r="A151" s="293" t="s">
        <v>236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3"/>
      <c r="AB151" s="273"/>
      <c r="AC151" s="273"/>
    </row>
    <row r="152" spans="1:68" ht="14.25" customHeight="1" x14ac:dyDescent="0.25">
      <c r="A152" s="292" t="s">
        <v>141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74"/>
      <c r="AB152" s="274"/>
      <c r="AC152" s="274"/>
    </row>
    <row r="153" spans="1:68" ht="27" customHeight="1" x14ac:dyDescent="0.25">
      <c r="A153" s="54" t="s">
        <v>237</v>
      </c>
      <c r="B153" s="54" t="s">
        <v>238</v>
      </c>
      <c r="C153" s="31">
        <v>4301135824</v>
      </c>
      <c r="D153" s="285">
        <v>4607111039095</v>
      </c>
      <c r="E153" s="286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5"/>
      <c r="R153" s="295"/>
      <c r="S153" s="295"/>
      <c r="T153" s="296"/>
      <c r="U153" s="34"/>
      <c r="V153" s="34"/>
      <c r="W153" s="35" t="s">
        <v>68</v>
      </c>
      <c r="X153" s="278">
        <v>56</v>
      </c>
      <c r="Y153" s="279">
        <f>IFERROR(IF(X153="","",X153),"")</f>
        <v>56</v>
      </c>
      <c r="Z153" s="36">
        <f>IFERROR(IF(X153="","",X153*0.01788),"")</f>
        <v>1.0012799999999999</v>
      </c>
      <c r="AA153" s="56"/>
      <c r="AB153" s="57"/>
      <c r="AC153" s="184" t="s">
        <v>239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209.88800000000001</v>
      </c>
      <c r="BN153" s="67">
        <f>IFERROR(Y153*I153,"0")</f>
        <v>209.88800000000001</v>
      </c>
      <c r="BO153" s="67">
        <f>IFERROR(X153/J153,"0")</f>
        <v>0.8</v>
      </c>
      <c r="BP153" s="67">
        <f>IFERROR(Y153/J153,"0")</f>
        <v>0.8</v>
      </c>
    </row>
    <row r="154" spans="1:68" ht="16.5" customHeight="1" x14ac:dyDescent="0.25">
      <c r="A154" s="54" t="s">
        <v>240</v>
      </c>
      <c r="B154" s="54" t="s">
        <v>241</v>
      </c>
      <c r="C154" s="31">
        <v>4301135550</v>
      </c>
      <c r="D154" s="285">
        <v>4607111034199</v>
      </c>
      <c r="E154" s="286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100</v>
      </c>
      <c r="L154" s="32" t="s">
        <v>101</v>
      </c>
      <c r="M154" s="33" t="s">
        <v>67</v>
      </c>
      <c r="N154" s="33"/>
      <c r="O154" s="32">
        <v>180</v>
      </c>
      <c r="P154" s="40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5"/>
      <c r="R154" s="295"/>
      <c r="S154" s="295"/>
      <c r="T154" s="296"/>
      <c r="U154" s="34"/>
      <c r="V154" s="34"/>
      <c r="W154" s="35" t="s">
        <v>68</v>
      </c>
      <c r="X154" s="278">
        <v>70</v>
      </c>
      <c r="Y154" s="279">
        <f>IFERROR(IF(X154="","",X154),"")</f>
        <v>70</v>
      </c>
      <c r="Z154" s="36">
        <f>IFERROR(IF(X154="","",X154*0.01788),"")</f>
        <v>1.2516</v>
      </c>
      <c r="AA154" s="56"/>
      <c r="AB154" s="57"/>
      <c r="AC154" s="186" t="s">
        <v>242</v>
      </c>
      <c r="AG154" s="67"/>
      <c r="AJ154" s="71" t="s">
        <v>103</v>
      </c>
      <c r="AK154" s="71">
        <v>14</v>
      </c>
      <c r="BB154" s="187" t="s">
        <v>104</v>
      </c>
      <c r="BM154" s="67">
        <f>IFERROR(X154*I154,"0")</f>
        <v>259.25200000000001</v>
      </c>
      <c r="BN154" s="67">
        <f>IFERROR(Y154*I154,"0")</f>
        <v>259.25200000000001</v>
      </c>
      <c r="BO154" s="67">
        <f>IFERROR(X154/J154,"0")</f>
        <v>1</v>
      </c>
      <c r="BP154" s="67">
        <f>IFERROR(Y154/J154,"0")</f>
        <v>1</v>
      </c>
    </row>
    <row r="155" spans="1:68" x14ac:dyDescent="0.2">
      <c r="A155" s="301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302"/>
      <c r="P155" s="289" t="s">
        <v>87</v>
      </c>
      <c r="Q155" s="290"/>
      <c r="R155" s="290"/>
      <c r="S155" s="290"/>
      <c r="T155" s="290"/>
      <c r="U155" s="290"/>
      <c r="V155" s="291"/>
      <c r="W155" s="37" t="s">
        <v>68</v>
      </c>
      <c r="X155" s="280">
        <f>IFERROR(SUM(X153:X154),"0")</f>
        <v>126</v>
      </c>
      <c r="Y155" s="280">
        <f>IFERROR(SUM(Y153:Y154),"0")</f>
        <v>126</v>
      </c>
      <c r="Z155" s="280">
        <f>IFERROR(IF(Z153="",0,Z153),"0")+IFERROR(IF(Z154="",0,Z154),"0")</f>
        <v>2.2528800000000002</v>
      </c>
      <c r="AA155" s="281"/>
      <c r="AB155" s="281"/>
      <c r="AC155" s="28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302"/>
      <c r="P156" s="289" t="s">
        <v>87</v>
      </c>
      <c r="Q156" s="290"/>
      <c r="R156" s="290"/>
      <c r="S156" s="290"/>
      <c r="T156" s="290"/>
      <c r="U156" s="290"/>
      <c r="V156" s="291"/>
      <c r="W156" s="37" t="s">
        <v>88</v>
      </c>
      <c r="X156" s="280">
        <f>IFERROR(SUMPRODUCT(X153:X154*H153:H154),"0")</f>
        <v>378</v>
      </c>
      <c r="Y156" s="280">
        <f>IFERROR(SUMPRODUCT(Y153:Y154*H153:H154),"0")</f>
        <v>378</v>
      </c>
      <c r="Z156" s="37"/>
      <c r="AA156" s="281"/>
      <c r="AB156" s="281"/>
      <c r="AC156" s="281"/>
    </row>
    <row r="157" spans="1:68" ht="16.5" customHeight="1" x14ac:dyDescent="0.25">
      <c r="A157" s="293" t="s">
        <v>243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3"/>
      <c r="AB157" s="273"/>
      <c r="AC157" s="273"/>
    </row>
    <row r="158" spans="1:68" ht="14.25" customHeight="1" x14ac:dyDescent="0.25">
      <c r="A158" s="292" t="s">
        <v>141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74"/>
      <c r="AB158" s="274"/>
      <c r="AC158" s="274"/>
    </row>
    <row r="159" spans="1:68" ht="27" customHeight="1" x14ac:dyDescent="0.25">
      <c r="A159" s="54" t="s">
        <v>244</v>
      </c>
      <c r="B159" s="54" t="s">
        <v>245</v>
      </c>
      <c r="C159" s="31">
        <v>4301135753</v>
      </c>
      <c r="D159" s="285">
        <v>4620207490914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5"/>
      <c r="R159" s="295"/>
      <c r="S159" s="295"/>
      <c r="T159" s="296"/>
      <c r="U159" s="34"/>
      <c r="V159" s="34"/>
      <c r="W159" s="35" t="s">
        <v>68</v>
      </c>
      <c r="X159" s="278">
        <v>14</v>
      </c>
      <c r="Y159" s="279">
        <f>IFERROR(IF(X159="","",X159),"")</f>
        <v>14</v>
      </c>
      <c r="Z159" s="36">
        <f>IFERROR(IF(X159="","",X159*0.01788),"")</f>
        <v>0.25031999999999999</v>
      </c>
      <c r="AA159" s="56"/>
      <c r="AB159" s="57"/>
      <c r="AC159" s="188" t="s">
        <v>233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37.520000000000003</v>
      </c>
      <c r="BN159" s="67">
        <f>IFERROR(Y159*I159,"0")</f>
        <v>37.520000000000003</v>
      </c>
      <c r="BO159" s="67">
        <f>IFERROR(X159/J159,"0")</f>
        <v>0.2</v>
      </c>
      <c r="BP159" s="67">
        <f>IFERROR(Y159/J159,"0")</f>
        <v>0.2</v>
      </c>
    </row>
    <row r="160" spans="1:68" ht="27" customHeight="1" x14ac:dyDescent="0.25">
      <c r="A160" s="54" t="s">
        <v>246</v>
      </c>
      <c r="B160" s="54" t="s">
        <v>247</v>
      </c>
      <c r="C160" s="31">
        <v>4301135778</v>
      </c>
      <c r="D160" s="285">
        <v>4620207490853</v>
      </c>
      <c r="E160" s="286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101</v>
      </c>
      <c r="M160" s="33" t="s">
        <v>67</v>
      </c>
      <c r="N160" s="33"/>
      <c r="O160" s="32">
        <v>180</v>
      </c>
      <c r="P160" s="31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5"/>
      <c r="R160" s="295"/>
      <c r="S160" s="295"/>
      <c r="T160" s="296"/>
      <c r="U160" s="34"/>
      <c r="V160" s="34"/>
      <c r="W160" s="35" t="s">
        <v>68</v>
      </c>
      <c r="X160" s="278">
        <v>98</v>
      </c>
      <c r="Y160" s="279">
        <f>IFERROR(IF(X160="","",X160),"")</f>
        <v>98</v>
      </c>
      <c r="Z160" s="36">
        <f>IFERROR(IF(X160="","",X160*0.01788),"")</f>
        <v>1.75224</v>
      </c>
      <c r="AA160" s="56"/>
      <c r="AB160" s="57"/>
      <c r="AC160" s="190" t="s">
        <v>233</v>
      </c>
      <c r="AG160" s="67"/>
      <c r="AJ160" s="71" t="s">
        <v>103</v>
      </c>
      <c r="AK160" s="71">
        <v>14</v>
      </c>
      <c r="BB160" s="191" t="s">
        <v>104</v>
      </c>
      <c r="BM160" s="67">
        <f>IFERROR(X160*I160,"0")</f>
        <v>262.64000000000004</v>
      </c>
      <c r="BN160" s="67">
        <f>IFERROR(Y160*I160,"0")</f>
        <v>262.64000000000004</v>
      </c>
      <c r="BO160" s="67">
        <f>IFERROR(X160/J160,"0")</f>
        <v>1.4</v>
      </c>
      <c r="BP160" s="67">
        <f>IFERROR(Y160/J160,"0")</f>
        <v>1.4</v>
      </c>
    </row>
    <row r="161" spans="1:68" x14ac:dyDescent="0.2">
      <c r="A161" s="301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302"/>
      <c r="P161" s="289" t="s">
        <v>87</v>
      </c>
      <c r="Q161" s="290"/>
      <c r="R161" s="290"/>
      <c r="S161" s="290"/>
      <c r="T161" s="290"/>
      <c r="U161" s="290"/>
      <c r="V161" s="291"/>
      <c r="W161" s="37" t="s">
        <v>68</v>
      </c>
      <c r="X161" s="280">
        <f>IFERROR(SUM(X159:X160),"0")</f>
        <v>112</v>
      </c>
      <c r="Y161" s="280">
        <f>IFERROR(SUM(Y159:Y160),"0")</f>
        <v>112</v>
      </c>
      <c r="Z161" s="280">
        <f>IFERROR(IF(Z159="",0,Z159),"0")+IFERROR(IF(Z160="",0,Z160),"0")</f>
        <v>2.0025599999999999</v>
      </c>
      <c r="AA161" s="281"/>
      <c r="AB161" s="281"/>
      <c r="AC161" s="281"/>
    </row>
    <row r="162" spans="1:68" x14ac:dyDescent="0.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302"/>
      <c r="P162" s="289" t="s">
        <v>87</v>
      </c>
      <c r="Q162" s="290"/>
      <c r="R162" s="290"/>
      <c r="S162" s="290"/>
      <c r="T162" s="290"/>
      <c r="U162" s="290"/>
      <c r="V162" s="291"/>
      <c r="W162" s="37" t="s">
        <v>88</v>
      </c>
      <c r="X162" s="280">
        <f>IFERROR(SUMPRODUCT(X159:X160*H159:H160),"0")</f>
        <v>268.8</v>
      </c>
      <c r="Y162" s="280">
        <f>IFERROR(SUMPRODUCT(Y159:Y160*H159:H160),"0")</f>
        <v>268.8</v>
      </c>
      <c r="Z162" s="37"/>
      <c r="AA162" s="281"/>
      <c r="AB162" s="281"/>
      <c r="AC162" s="281"/>
    </row>
    <row r="163" spans="1:68" ht="16.5" customHeight="1" x14ac:dyDescent="0.25">
      <c r="A163" s="293" t="s">
        <v>248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3"/>
      <c r="AB163" s="273"/>
      <c r="AC163" s="273"/>
    </row>
    <row r="164" spans="1:68" ht="14.25" customHeight="1" x14ac:dyDescent="0.25">
      <c r="A164" s="292" t="s">
        <v>141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4"/>
      <c r="AB164" s="274"/>
      <c r="AC164" s="274"/>
    </row>
    <row r="165" spans="1:68" ht="27" customHeight="1" x14ac:dyDescent="0.25">
      <c r="A165" s="54" t="s">
        <v>249</v>
      </c>
      <c r="B165" s="54" t="s">
        <v>250</v>
      </c>
      <c r="C165" s="31">
        <v>4301135570</v>
      </c>
      <c r="D165" s="285">
        <v>4607111035806</v>
      </c>
      <c r="E165" s="286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100</v>
      </c>
      <c r="L165" s="32" t="s">
        <v>101</v>
      </c>
      <c r="M165" s="33" t="s">
        <v>67</v>
      </c>
      <c r="N165" s="33"/>
      <c r="O165" s="32">
        <v>180</v>
      </c>
      <c r="P165" s="3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5"/>
      <c r="R165" s="295"/>
      <c r="S165" s="295"/>
      <c r="T165" s="296"/>
      <c r="U165" s="34"/>
      <c r="V165" s="34"/>
      <c r="W165" s="35" t="s">
        <v>68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251</v>
      </c>
      <c r="AG165" s="67"/>
      <c r="AJ165" s="71" t="s">
        <v>103</v>
      </c>
      <c r="AK165" s="71">
        <v>14</v>
      </c>
      <c r="BB165" s="193" t="s">
        <v>104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01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302"/>
      <c r="P166" s="289" t="s">
        <v>87</v>
      </c>
      <c r="Q166" s="290"/>
      <c r="R166" s="290"/>
      <c r="S166" s="290"/>
      <c r="T166" s="290"/>
      <c r="U166" s="290"/>
      <c r="V166" s="291"/>
      <c r="W166" s="37" t="s">
        <v>68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x14ac:dyDescent="0.2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302"/>
      <c r="P167" s="289" t="s">
        <v>87</v>
      </c>
      <c r="Q167" s="290"/>
      <c r="R167" s="290"/>
      <c r="S167" s="290"/>
      <c r="T167" s="290"/>
      <c r="U167" s="290"/>
      <c r="V167" s="291"/>
      <c r="W167" s="37" t="s">
        <v>88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customHeight="1" x14ac:dyDescent="0.25">
      <c r="A168" s="293" t="s">
        <v>252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3"/>
      <c r="AB168" s="273"/>
      <c r="AC168" s="273"/>
    </row>
    <row r="169" spans="1:68" ht="14.25" customHeight="1" x14ac:dyDescent="0.25">
      <c r="A169" s="292" t="s">
        <v>141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4"/>
      <c r="AB169" s="274"/>
      <c r="AC169" s="274"/>
    </row>
    <row r="170" spans="1:68" ht="16.5" customHeight="1" x14ac:dyDescent="0.25">
      <c r="A170" s="54" t="s">
        <v>253</v>
      </c>
      <c r="B170" s="54" t="s">
        <v>254</v>
      </c>
      <c r="C170" s="31">
        <v>4301135607</v>
      </c>
      <c r="D170" s="285">
        <v>4607111039613</v>
      </c>
      <c r="E170" s="286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100</v>
      </c>
      <c r="L170" s="32" t="s">
        <v>101</v>
      </c>
      <c r="M170" s="33" t="s">
        <v>67</v>
      </c>
      <c r="N170" s="33"/>
      <c r="O170" s="32">
        <v>180</v>
      </c>
      <c r="P170" s="3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5"/>
      <c r="R170" s="295"/>
      <c r="S170" s="295"/>
      <c r="T170" s="296"/>
      <c r="U170" s="34"/>
      <c r="V170" s="34"/>
      <c r="W170" s="35" t="s">
        <v>68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239</v>
      </c>
      <c r="AG170" s="67"/>
      <c r="AJ170" s="71" t="s">
        <v>103</v>
      </c>
      <c r="AK170" s="71">
        <v>14</v>
      </c>
      <c r="BB170" s="195" t="s">
        <v>104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301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302"/>
      <c r="P171" s="289" t="s">
        <v>87</v>
      </c>
      <c r="Q171" s="290"/>
      <c r="R171" s="290"/>
      <c r="S171" s="290"/>
      <c r="T171" s="290"/>
      <c r="U171" s="290"/>
      <c r="V171" s="291"/>
      <c r="W171" s="37" t="s">
        <v>68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302"/>
      <c r="P172" s="289" t="s">
        <v>87</v>
      </c>
      <c r="Q172" s="290"/>
      <c r="R172" s="290"/>
      <c r="S172" s="290"/>
      <c r="T172" s="290"/>
      <c r="U172" s="290"/>
      <c r="V172" s="291"/>
      <c r="W172" s="37" t="s">
        <v>88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customHeight="1" x14ac:dyDescent="0.25">
      <c r="A173" s="293" t="s">
        <v>255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3"/>
      <c r="AB173" s="273"/>
      <c r="AC173" s="273"/>
    </row>
    <row r="174" spans="1:68" ht="14.25" customHeight="1" x14ac:dyDescent="0.25">
      <c r="A174" s="292" t="s">
        <v>141</v>
      </c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74"/>
      <c r="AB174" s="274"/>
      <c r="AC174" s="274"/>
    </row>
    <row r="175" spans="1:68" ht="27" customHeight="1" x14ac:dyDescent="0.25">
      <c r="A175" s="54" t="s">
        <v>256</v>
      </c>
      <c r="B175" s="54" t="s">
        <v>257</v>
      </c>
      <c r="C175" s="31">
        <v>4301135591</v>
      </c>
      <c r="D175" s="285">
        <v>4607111036568</v>
      </c>
      <c r="E175" s="286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100</v>
      </c>
      <c r="L175" s="32" t="s">
        <v>101</v>
      </c>
      <c r="M175" s="33" t="s">
        <v>67</v>
      </c>
      <c r="N175" s="33"/>
      <c r="O175" s="32">
        <v>180</v>
      </c>
      <c r="P175" s="42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5"/>
      <c r="R175" s="295"/>
      <c r="S175" s="295"/>
      <c r="T175" s="296"/>
      <c r="U175" s="34"/>
      <c r="V175" s="34"/>
      <c r="W175" s="35" t="s">
        <v>68</v>
      </c>
      <c r="X175" s="278">
        <v>126</v>
      </c>
      <c r="Y175" s="279">
        <f>IFERROR(IF(X175="","",X175),"")</f>
        <v>126</v>
      </c>
      <c r="Z175" s="36">
        <f>IFERROR(IF(X175="","",X175*0.00941),"")</f>
        <v>1.1856599999999999</v>
      </c>
      <c r="AA175" s="56"/>
      <c r="AB175" s="57"/>
      <c r="AC175" s="196" t="s">
        <v>258</v>
      </c>
      <c r="AG175" s="67"/>
      <c r="AJ175" s="71" t="s">
        <v>103</v>
      </c>
      <c r="AK175" s="71">
        <v>14</v>
      </c>
      <c r="BB175" s="197" t="s">
        <v>104</v>
      </c>
      <c r="BM175" s="67">
        <f>IFERROR(X175*I175,"0")</f>
        <v>264.82679999999999</v>
      </c>
      <c r="BN175" s="67">
        <f>IFERROR(Y175*I175,"0")</f>
        <v>264.82679999999999</v>
      </c>
      <c r="BO175" s="67">
        <f>IFERROR(X175/J175,"0")</f>
        <v>0.9</v>
      </c>
      <c r="BP175" s="67">
        <f>IFERROR(Y175/J175,"0")</f>
        <v>0.9</v>
      </c>
    </row>
    <row r="176" spans="1:68" x14ac:dyDescent="0.2">
      <c r="A176" s="301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302"/>
      <c r="P176" s="289" t="s">
        <v>87</v>
      </c>
      <c r="Q176" s="290"/>
      <c r="R176" s="290"/>
      <c r="S176" s="290"/>
      <c r="T176" s="290"/>
      <c r="U176" s="290"/>
      <c r="V176" s="291"/>
      <c r="W176" s="37" t="s">
        <v>68</v>
      </c>
      <c r="X176" s="280">
        <f>IFERROR(SUM(X175:X175),"0")</f>
        <v>126</v>
      </c>
      <c r="Y176" s="280">
        <f>IFERROR(SUM(Y175:Y175),"0")</f>
        <v>126</v>
      </c>
      <c r="Z176" s="280">
        <f>IFERROR(IF(Z175="",0,Z175),"0")</f>
        <v>1.1856599999999999</v>
      </c>
      <c r="AA176" s="281"/>
      <c r="AB176" s="281"/>
      <c r="AC176" s="281"/>
    </row>
    <row r="177" spans="1:68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302"/>
      <c r="P177" s="289" t="s">
        <v>87</v>
      </c>
      <c r="Q177" s="290"/>
      <c r="R177" s="290"/>
      <c r="S177" s="290"/>
      <c r="T177" s="290"/>
      <c r="U177" s="290"/>
      <c r="V177" s="291"/>
      <c r="W177" s="37" t="s">
        <v>88</v>
      </c>
      <c r="X177" s="280">
        <f>IFERROR(SUMPRODUCT(X175:X175*H175:H175),"0")</f>
        <v>211.67999999999998</v>
      </c>
      <c r="Y177" s="280">
        <f>IFERROR(SUMPRODUCT(Y175:Y175*H175:H175),"0")</f>
        <v>211.67999999999998</v>
      </c>
      <c r="Z177" s="37"/>
      <c r="AA177" s="281"/>
      <c r="AB177" s="281"/>
      <c r="AC177" s="281"/>
    </row>
    <row r="178" spans="1:68" ht="27.75" customHeight="1" x14ac:dyDescent="0.2">
      <c r="A178" s="355" t="s">
        <v>259</v>
      </c>
      <c r="B178" s="356"/>
      <c r="C178" s="356"/>
      <c r="D178" s="356"/>
      <c r="E178" s="356"/>
      <c r="F178" s="356"/>
      <c r="G178" s="356"/>
      <c r="H178" s="356"/>
      <c r="I178" s="356"/>
      <c r="J178" s="356"/>
      <c r="K178" s="356"/>
      <c r="L178" s="356"/>
      <c r="M178" s="356"/>
      <c r="N178" s="356"/>
      <c r="O178" s="356"/>
      <c r="P178" s="356"/>
      <c r="Q178" s="356"/>
      <c r="R178" s="356"/>
      <c r="S178" s="356"/>
      <c r="T178" s="356"/>
      <c r="U178" s="356"/>
      <c r="V178" s="356"/>
      <c r="W178" s="356"/>
      <c r="X178" s="356"/>
      <c r="Y178" s="356"/>
      <c r="Z178" s="356"/>
      <c r="AA178" s="48"/>
      <c r="AB178" s="48"/>
      <c r="AC178" s="48"/>
    </row>
    <row r="179" spans="1:68" ht="16.5" customHeight="1" x14ac:dyDescent="0.25">
      <c r="A179" s="293" t="s">
        <v>260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3"/>
      <c r="AB179" s="273"/>
      <c r="AC179" s="273"/>
    </row>
    <row r="180" spans="1:68" ht="14.25" customHeight="1" x14ac:dyDescent="0.25">
      <c r="A180" s="292" t="s">
        <v>62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74"/>
      <c r="AB180" s="274"/>
      <c r="AC180" s="274"/>
    </row>
    <row r="181" spans="1:68" ht="16.5" customHeight="1" x14ac:dyDescent="0.25">
      <c r="A181" s="54" t="s">
        <v>261</v>
      </c>
      <c r="B181" s="54" t="s">
        <v>262</v>
      </c>
      <c r="C181" s="31">
        <v>4301071062</v>
      </c>
      <c r="D181" s="285">
        <v>4607111036384</v>
      </c>
      <c r="E181" s="286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5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5"/>
      <c r="R181" s="295"/>
      <c r="S181" s="295"/>
      <c r="T181" s="296"/>
      <c r="U181" s="34"/>
      <c r="V181" s="34"/>
      <c r="W181" s="35" t="s">
        <v>68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263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264</v>
      </c>
      <c r="B182" s="54" t="s">
        <v>265</v>
      </c>
      <c r="C182" s="31">
        <v>4301071050</v>
      </c>
      <c r="D182" s="285">
        <v>4607111036216</v>
      </c>
      <c r="E182" s="286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65</v>
      </c>
      <c r="L182" s="32" t="s">
        <v>101</v>
      </c>
      <c r="M182" s="33" t="s">
        <v>67</v>
      </c>
      <c r="N182" s="33"/>
      <c r="O182" s="32">
        <v>180</v>
      </c>
      <c r="P182" s="36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5"/>
      <c r="R182" s="295"/>
      <c r="S182" s="295"/>
      <c r="T182" s="296"/>
      <c r="U182" s="34"/>
      <c r="V182" s="34"/>
      <c r="W182" s="35" t="s">
        <v>68</v>
      </c>
      <c r="X182" s="278">
        <v>72</v>
      </c>
      <c r="Y182" s="279">
        <f>IFERROR(IF(X182="","",X182),"")</f>
        <v>72</v>
      </c>
      <c r="Z182" s="36">
        <f>IFERROR(IF(X182="","",X182*0.00866),"")</f>
        <v>0.62351999999999996</v>
      </c>
      <c r="AA182" s="56"/>
      <c r="AB182" s="57"/>
      <c r="AC182" s="200" t="s">
        <v>266</v>
      </c>
      <c r="AG182" s="67"/>
      <c r="AJ182" s="71" t="s">
        <v>103</v>
      </c>
      <c r="AK182" s="71">
        <v>12</v>
      </c>
      <c r="BB182" s="201" t="s">
        <v>1</v>
      </c>
      <c r="BM182" s="67">
        <f>IFERROR(X182*I182,"0")</f>
        <v>375.35039999999998</v>
      </c>
      <c r="BN182" s="67">
        <f>IFERROR(Y182*I182,"0")</f>
        <v>375.35039999999998</v>
      </c>
      <c r="BO182" s="67">
        <f>IFERROR(X182/J182,"0")</f>
        <v>0.5</v>
      </c>
      <c r="BP182" s="67">
        <f>IFERROR(Y182/J182,"0")</f>
        <v>0.5</v>
      </c>
    </row>
    <row r="183" spans="1:68" x14ac:dyDescent="0.2">
      <c r="A183" s="301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302"/>
      <c r="P183" s="289" t="s">
        <v>87</v>
      </c>
      <c r="Q183" s="290"/>
      <c r="R183" s="290"/>
      <c r="S183" s="290"/>
      <c r="T183" s="290"/>
      <c r="U183" s="290"/>
      <c r="V183" s="291"/>
      <c r="W183" s="37" t="s">
        <v>68</v>
      </c>
      <c r="X183" s="280">
        <f>IFERROR(SUM(X181:X182),"0")</f>
        <v>72</v>
      </c>
      <c r="Y183" s="280">
        <f>IFERROR(SUM(Y181:Y182),"0")</f>
        <v>72</v>
      </c>
      <c r="Z183" s="280">
        <f>IFERROR(IF(Z181="",0,Z181),"0")+IFERROR(IF(Z182="",0,Z182),"0")</f>
        <v>0.62351999999999996</v>
      </c>
      <c r="AA183" s="281"/>
      <c r="AB183" s="281"/>
      <c r="AC183" s="281"/>
    </row>
    <row r="184" spans="1:68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302"/>
      <c r="P184" s="289" t="s">
        <v>87</v>
      </c>
      <c r="Q184" s="290"/>
      <c r="R184" s="290"/>
      <c r="S184" s="290"/>
      <c r="T184" s="290"/>
      <c r="U184" s="290"/>
      <c r="V184" s="291"/>
      <c r="W184" s="37" t="s">
        <v>88</v>
      </c>
      <c r="X184" s="280">
        <f>IFERROR(SUMPRODUCT(X181:X182*H181:H182),"0")</f>
        <v>360</v>
      </c>
      <c r="Y184" s="280">
        <f>IFERROR(SUMPRODUCT(Y181:Y182*H181:H182),"0")</f>
        <v>360</v>
      </c>
      <c r="Z184" s="37"/>
      <c r="AA184" s="281"/>
      <c r="AB184" s="281"/>
      <c r="AC184" s="281"/>
    </row>
    <row r="185" spans="1:68" ht="16.5" customHeight="1" x14ac:dyDescent="0.25">
      <c r="A185" s="293" t="s">
        <v>267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73"/>
      <c r="AB185" s="273"/>
      <c r="AC185" s="273"/>
    </row>
    <row r="186" spans="1:68" ht="14.25" customHeight="1" x14ac:dyDescent="0.25">
      <c r="A186" s="292" t="s">
        <v>62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74"/>
      <c r="AB186" s="274"/>
      <c r="AC186" s="274"/>
    </row>
    <row r="187" spans="1:68" ht="27" customHeight="1" x14ac:dyDescent="0.25">
      <c r="A187" s="54" t="s">
        <v>268</v>
      </c>
      <c r="B187" s="54" t="s">
        <v>269</v>
      </c>
      <c r="C187" s="31">
        <v>4301071117</v>
      </c>
      <c r="D187" s="285">
        <v>4620207491737</v>
      </c>
      <c r="E187" s="286"/>
      <c r="F187" s="277">
        <v>1</v>
      </c>
      <c r="G187" s="32">
        <v>5</v>
      </c>
      <c r="H187" s="277">
        <v>5</v>
      </c>
      <c r="I187" s="277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5"/>
      <c r="R187" s="295"/>
      <c r="S187" s="295"/>
      <c r="T187" s="296"/>
      <c r="U187" s="34"/>
      <c r="V187" s="34"/>
      <c r="W187" s="35" t="s">
        <v>68</v>
      </c>
      <c r="X187" s="278">
        <v>0</v>
      </c>
      <c r="Y187" s="279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266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301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302"/>
      <c r="P188" s="289" t="s">
        <v>87</v>
      </c>
      <c r="Q188" s="290"/>
      <c r="R188" s="290"/>
      <c r="S188" s="290"/>
      <c r="T188" s="290"/>
      <c r="U188" s="290"/>
      <c r="V188" s="291"/>
      <c r="W188" s="37" t="s">
        <v>68</v>
      </c>
      <c r="X188" s="280">
        <f>IFERROR(SUM(X187:X187),"0")</f>
        <v>0</v>
      </c>
      <c r="Y188" s="280">
        <f>IFERROR(SUM(Y187:Y187),"0")</f>
        <v>0</v>
      </c>
      <c r="Z188" s="280">
        <f>IFERROR(IF(Z187="",0,Z187),"0")</f>
        <v>0</v>
      </c>
      <c r="AA188" s="281"/>
      <c r="AB188" s="281"/>
      <c r="AC188" s="281"/>
    </row>
    <row r="189" spans="1:68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302"/>
      <c r="P189" s="289" t="s">
        <v>87</v>
      </c>
      <c r="Q189" s="290"/>
      <c r="R189" s="290"/>
      <c r="S189" s="290"/>
      <c r="T189" s="290"/>
      <c r="U189" s="290"/>
      <c r="V189" s="291"/>
      <c r="W189" s="37" t="s">
        <v>88</v>
      </c>
      <c r="X189" s="280">
        <f>IFERROR(SUMPRODUCT(X187:X187*H187:H187),"0")</f>
        <v>0</v>
      </c>
      <c r="Y189" s="280">
        <f>IFERROR(SUMPRODUCT(Y187:Y187*H187:H187),"0")</f>
        <v>0</v>
      </c>
      <c r="Z189" s="37"/>
      <c r="AA189" s="281"/>
      <c r="AB189" s="281"/>
      <c r="AC189" s="281"/>
    </row>
    <row r="190" spans="1:68" ht="27.75" customHeight="1" x14ac:dyDescent="0.2">
      <c r="A190" s="355" t="s">
        <v>270</v>
      </c>
      <c r="B190" s="356"/>
      <c r="C190" s="356"/>
      <c r="D190" s="356"/>
      <c r="E190" s="356"/>
      <c r="F190" s="356"/>
      <c r="G190" s="356"/>
      <c r="H190" s="356"/>
      <c r="I190" s="356"/>
      <c r="J190" s="356"/>
      <c r="K190" s="356"/>
      <c r="L190" s="356"/>
      <c r="M190" s="356"/>
      <c r="N190" s="356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  <c r="Z190" s="356"/>
      <c r="AA190" s="48"/>
      <c r="AB190" s="48"/>
      <c r="AC190" s="48"/>
    </row>
    <row r="191" spans="1:68" ht="16.5" customHeight="1" x14ac:dyDescent="0.25">
      <c r="A191" s="293" t="s">
        <v>271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73"/>
      <c r="AB191" s="273"/>
      <c r="AC191" s="273"/>
    </row>
    <row r="192" spans="1:68" ht="14.25" customHeight="1" x14ac:dyDescent="0.25">
      <c r="A192" s="292" t="s">
        <v>97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74"/>
      <c r="AB192" s="274"/>
      <c r="AC192" s="274"/>
    </row>
    <row r="193" spans="1:68" ht="16.5" customHeight="1" x14ac:dyDescent="0.25">
      <c r="A193" s="54" t="s">
        <v>272</v>
      </c>
      <c r="B193" s="54" t="s">
        <v>273</v>
      </c>
      <c r="C193" s="31">
        <v>4301132179</v>
      </c>
      <c r="D193" s="285">
        <v>4607111035691</v>
      </c>
      <c r="E193" s="286"/>
      <c r="F193" s="277">
        <v>0.25</v>
      </c>
      <c r="G193" s="32">
        <v>12</v>
      </c>
      <c r="H193" s="277">
        <v>3</v>
      </c>
      <c r="I193" s="277">
        <v>3.3879999999999999</v>
      </c>
      <c r="J193" s="32">
        <v>70</v>
      </c>
      <c r="K193" s="32" t="s">
        <v>100</v>
      </c>
      <c r="L193" s="32" t="s">
        <v>101</v>
      </c>
      <c r="M193" s="33" t="s">
        <v>67</v>
      </c>
      <c r="N193" s="33"/>
      <c r="O193" s="32">
        <v>365</v>
      </c>
      <c r="P193" s="41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5"/>
      <c r="R193" s="295"/>
      <c r="S193" s="295"/>
      <c r="T193" s="296"/>
      <c r="U193" s="34"/>
      <c r="V193" s="34"/>
      <c r="W193" s="35" t="s">
        <v>68</v>
      </c>
      <c r="X193" s="278">
        <v>70</v>
      </c>
      <c r="Y193" s="279">
        <f>IFERROR(IF(X193="","",X193),"")</f>
        <v>70</v>
      </c>
      <c r="Z193" s="36">
        <f>IFERROR(IF(X193="","",X193*0.01788),"")</f>
        <v>1.2516</v>
      </c>
      <c r="AA193" s="56"/>
      <c r="AB193" s="57"/>
      <c r="AC193" s="204" t="s">
        <v>274</v>
      </c>
      <c r="AG193" s="67"/>
      <c r="AJ193" s="71" t="s">
        <v>103</v>
      </c>
      <c r="AK193" s="71">
        <v>14</v>
      </c>
      <c r="BB193" s="205" t="s">
        <v>104</v>
      </c>
      <c r="BM193" s="67">
        <f>IFERROR(X193*I193,"0")</f>
        <v>237.16</v>
      </c>
      <c r="BN193" s="67">
        <f>IFERROR(Y193*I193,"0")</f>
        <v>237.16</v>
      </c>
      <c r="BO193" s="67">
        <f>IFERROR(X193/J193,"0")</f>
        <v>1</v>
      </c>
      <c r="BP193" s="67">
        <f>IFERROR(Y193/J193,"0")</f>
        <v>1</v>
      </c>
    </row>
    <row r="194" spans="1:68" ht="27" customHeight="1" x14ac:dyDescent="0.25">
      <c r="A194" s="54" t="s">
        <v>275</v>
      </c>
      <c r="B194" s="54" t="s">
        <v>276</v>
      </c>
      <c r="C194" s="31">
        <v>4301132182</v>
      </c>
      <c r="D194" s="285">
        <v>4607111035721</v>
      </c>
      <c r="E194" s="286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5"/>
      <c r="R194" s="295"/>
      <c r="S194" s="295"/>
      <c r="T194" s="296"/>
      <c r="U194" s="34"/>
      <c r="V194" s="34"/>
      <c r="W194" s="35" t="s">
        <v>68</v>
      </c>
      <c r="X194" s="278">
        <v>14</v>
      </c>
      <c r="Y194" s="279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277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customHeight="1" x14ac:dyDescent="0.25">
      <c r="A195" s="54" t="s">
        <v>278</v>
      </c>
      <c r="B195" s="54" t="s">
        <v>279</v>
      </c>
      <c r="C195" s="31">
        <v>4301132170</v>
      </c>
      <c r="D195" s="285">
        <v>4607111038487</v>
      </c>
      <c r="E195" s="286"/>
      <c r="F195" s="277">
        <v>0.25</v>
      </c>
      <c r="G195" s="32">
        <v>12</v>
      </c>
      <c r="H195" s="277">
        <v>3</v>
      </c>
      <c r="I195" s="277">
        <v>3.7360000000000002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180</v>
      </c>
      <c r="P195" s="37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5"/>
      <c r="R195" s="295"/>
      <c r="S195" s="295"/>
      <c r="T195" s="296"/>
      <c r="U195" s="34"/>
      <c r="V195" s="34"/>
      <c r="W195" s="35" t="s">
        <v>68</v>
      </c>
      <c r="X195" s="278">
        <v>42</v>
      </c>
      <c r="Y195" s="279">
        <f>IFERROR(IF(X195="","",X195),"")</f>
        <v>42</v>
      </c>
      <c r="Z195" s="36">
        <f>IFERROR(IF(X195="","",X195*0.01788),"")</f>
        <v>0.75095999999999996</v>
      </c>
      <c r="AA195" s="56"/>
      <c r="AB195" s="57"/>
      <c r="AC195" s="208" t="s">
        <v>280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156.91200000000001</v>
      </c>
      <c r="BN195" s="67">
        <f>IFERROR(Y195*I195,"0")</f>
        <v>156.91200000000001</v>
      </c>
      <c r="BO195" s="67">
        <f>IFERROR(X195/J195,"0")</f>
        <v>0.6</v>
      </c>
      <c r="BP195" s="67">
        <f>IFERROR(Y195/J195,"0")</f>
        <v>0.6</v>
      </c>
    </row>
    <row r="196" spans="1:68" ht="27" customHeight="1" x14ac:dyDescent="0.25">
      <c r="A196" s="54" t="s">
        <v>281</v>
      </c>
      <c r="B196" s="54" t="s">
        <v>282</v>
      </c>
      <c r="C196" s="31">
        <v>4301132243</v>
      </c>
      <c r="D196" s="285">
        <v>4620207491195</v>
      </c>
      <c r="E196" s="286"/>
      <c r="F196" s="277">
        <v>0.23</v>
      </c>
      <c r="G196" s="32">
        <v>12</v>
      </c>
      <c r="H196" s="277">
        <v>2.76</v>
      </c>
      <c r="I196" s="277">
        <v>3.1480000000000001</v>
      </c>
      <c r="J196" s="32">
        <v>70</v>
      </c>
      <c r="K196" s="32" t="s">
        <v>100</v>
      </c>
      <c r="L196" s="32" t="s">
        <v>66</v>
      </c>
      <c r="M196" s="33" t="s">
        <v>67</v>
      </c>
      <c r="N196" s="33"/>
      <c r="O196" s="32">
        <v>180</v>
      </c>
      <c r="P196" s="4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5"/>
      <c r="R196" s="295"/>
      <c r="S196" s="295"/>
      <c r="T196" s="296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283</v>
      </c>
      <c r="AG196" s="67"/>
      <c r="AJ196" s="71" t="s">
        <v>70</v>
      </c>
      <c r="AK196" s="71">
        <v>1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1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302"/>
      <c r="P197" s="289" t="s">
        <v>87</v>
      </c>
      <c r="Q197" s="290"/>
      <c r="R197" s="290"/>
      <c r="S197" s="290"/>
      <c r="T197" s="290"/>
      <c r="U197" s="290"/>
      <c r="V197" s="291"/>
      <c r="W197" s="37" t="s">
        <v>68</v>
      </c>
      <c r="X197" s="280">
        <f>IFERROR(SUM(X193:X196),"0")</f>
        <v>126</v>
      </c>
      <c r="Y197" s="280">
        <f>IFERROR(SUM(Y193:Y196),"0")</f>
        <v>126</v>
      </c>
      <c r="Z197" s="280">
        <f>IFERROR(IF(Z193="",0,Z193),"0")+IFERROR(IF(Z194="",0,Z194),"0")+IFERROR(IF(Z195="",0,Z195),"0")+IFERROR(IF(Z196="",0,Z196),"0")</f>
        <v>2.2528800000000002</v>
      </c>
      <c r="AA197" s="281"/>
      <c r="AB197" s="281"/>
      <c r="AC197" s="281"/>
    </row>
    <row r="198" spans="1:68" x14ac:dyDescent="0.2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302"/>
      <c r="P198" s="289" t="s">
        <v>87</v>
      </c>
      <c r="Q198" s="290"/>
      <c r="R198" s="290"/>
      <c r="S198" s="290"/>
      <c r="T198" s="290"/>
      <c r="U198" s="290"/>
      <c r="V198" s="291"/>
      <c r="W198" s="37" t="s">
        <v>88</v>
      </c>
      <c r="X198" s="280">
        <f>IFERROR(SUMPRODUCT(X193:X196*H193:H196),"0")</f>
        <v>378</v>
      </c>
      <c r="Y198" s="280">
        <f>IFERROR(SUMPRODUCT(Y193:Y196*H193:H196),"0")</f>
        <v>378</v>
      </c>
      <c r="Z198" s="37"/>
      <c r="AA198" s="281"/>
      <c r="AB198" s="281"/>
      <c r="AC198" s="281"/>
    </row>
    <row r="199" spans="1:68" ht="27.75" customHeight="1" x14ac:dyDescent="0.2">
      <c r="A199" s="355" t="s">
        <v>284</v>
      </c>
      <c r="B199" s="356"/>
      <c r="C199" s="356"/>
      <c r="D199" s="356"/>
      <c r="E199" s="356"/>
      <c r="F199" s="356"/>
      <c r="G199" s="356"/>
      <c r="H199" s="356"/>
      <c r="I199" s="356"/>
      <c r="J199" s="356"/>
      <c r="K199" s="356"/>
      <c r="L199" s="356"/>
      <c r="M199" s="356"/>
      <c r="N199" s="356"/>
      <c r="O199" s="356"/>
      <c r="P199" s="356"/>
      <c r="Q199" s="356"/>
      <c r="R199" s="356"/>
      <c r="S199" s="356"/>
      <c r="T199" s="356"/>
      <c r="U199" s="356"/>
      <c r="V199" s="356"/>
      <c r="W199" s="356"/>
      <c r="X199" s="356"/>
      <c r="Y199" s="356"/>
      <c r="Z199" s="356"/>
      <c r="AA199" s="48"/>
      <c r="AB199" s="48"/>
      <c r="AC199" s="48"/>
    </row>
    <row r="200" spans="1:68" ht="16.5" customHeight="1" x14ac:dyDescent="0.25">
      <c r="A200" s="293" t="s">
        <v>285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3"/>
      <c r="AB200" s="273"/>
      <c r="AC200" s="273"/>
    </row>
    <row r="201" spans="1:68" ht="14.25" customHeight="1" x14ac:dyDescent="0.25">
      <c r="A201" s="292" t="s">
        <v>97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4"/>
      <c r="AB201" s="274"/>
      <c r="AC201" s="274"/>
    </row>
    <row r="202" spans="1:68" ht="27" customHeight="1" x14ac:dyDescent="0.25">
      <c r="A202" s="54" t="s">
        <v>286</v>
      </c>
      <c r="B202" s="54" t="s">
        <v>287</v>
      </c>
      <c r="C202" s="31">
        <v>4301132227</v>
      </c>
      <c r="D202" s="285">
        <v>4620207491133</v>
      </c>
      <c r="E202" s="286"/>
      <c r="F202" s="277">
        <v>0.23</v>
      </c>
      <c r="G202" s="32">
        <v>12</v>
      </c>
      <c r="H202" s="277">
        <v>2.76</v>
      </c>
      <c r="I202" s="277">
        <v>2.98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180</v>
      </c>
      <c r="P202" s="47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5"/>
      <c r="R202" s="295"/>
      <c r="S202" s="295"/>
      <c r="T202" s="296"/>
      <c r="U202" s="34"/>
      <c r="V202" s="34"/>
      <c r="W202" s="35" t="s">
        <v>68</v>
      </c>
      <c r="X202" s="278">
        <v>28</v>
      </c>
      <c r="Y202" s="279">
        <f>IFERROR(IF(X202="","",X202),"")</f>
        <v>28</v>
      </c>
      <c r="Z202" s="36">
        <f>IFERROR(IF(X202="","",X202*0.01788),"")</f>
        <v>0.50063999999999997</v>
      </c>
      <c r="AA202" s="56"/>
      <c r="AB202" s="57"/>
      <c r="AC202" s="212" t="s">
        <v>288</v>
      </c>
      <c r="AG202" s="67"/>
      <c r="AJ202" s="71" t="s">
        <v>103</v>
      </c>
      <c r="AK202" s="71">
        <v>14</v>
      </c>
      <c r="BB202" s="213" t="s">
        <v>104</v>
      </c>
      <c r="BM202" s="67">
        <f>IFERROR(X202*I202,"0")</f>
        <v>83.44</v>
      </c>
      <c r="BN202" s="67">
        <f>IFERROR(Y202*I202,"0")</f>
        <v>83.44</v>
      </c>
      <c r="BO202" s="67">
        <f>IFERROR(X202/J202,"0")</f>
        <v>0.4</v>
      </c>
      <c r="BP202" s="67">
        <f>IFERROR(Y202/J202,"0")</f>
        <v>0.4</v>
      </c>
    </row>
    <row r="203" spans="1:68" x14ac:dyDescent="0.2">
      <c r="A203" s="301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302"/>
      <c r="P203" s="289" t="s">
        <v>87</v>
      </c>
      <c r="Q203" s="290"/>
      <c r="R203" s="290"/>
      <c r="S203" s="290"/>
      <c r="T203" s="290"/>
      <c r="U203" s="290"/>
      <c r="V203" s="291"/>
      <c r="W203" s="37" t="s">
        <v>68</v>
      </c>
      <c r="X203" s="280">
        <f>IFERROR(SUM(X202:X202),"0")</f>
        <v>28</v>
      </c>
      <c r="Y203" s="280">
        <f>IFERROR(SUM(Y202:Y202),"0")</f>
        <v>28</v>
      </c>
      <c r="Z203" s="280">
        <f>IFERROR(IF(Z202="",0,Z202),"0")</f>
        <v>0.50063999999999997</v>
      </c>
      <c r="AA203" s="281"/>
      <c r="AB203" s="281"/>
      <c r="AC203" s="281"/>
    </row>
    <row r="204" spans="1:68" x14ac:dyDescent="0.2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302"/>
      <c r="P204" s="289" t="s">
        <v>87</v>
      </c>
      <c r="Q204" s="290"/>
      <c r="R204" s="290"/>
      <c r="S204" s="290"/>
      <c r="T204" s="290"/>
      <c r="U204" s="290"/>
      <c r="V204" s="291"/>
      <c r="W204" s="37" t="s">
        <v>88</v>
      </c>
      <c r="X204" s="280">
        <f>IFERROR(SUMPRODUCT(X202:X202*H202:H202),"0")</f>
        <v>77.28</v>
      </c>
      <c r="Y204" s="280">
        <f>IFERROR(SUMPRODUCT(Y202:Y202*H202:H202),"0")</f>
        <v>77.28</v>
      </c>
      <c r="Z204" s="37"/>
      <c r="AA204" s="281"/>
      <c r="AB204" s="281"/>
      <c r="AC204" s="281"/>
    </row>
    <row r="205" spans="1:68" ht="14.25" customHeight="1" x14ac:dyDescent="0.25">
      <c r="A205" s="292" t="s">
        <v>141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4301135834</v>
      </c>
      <c r="D206" s="285">
        <v>4620207491188</v>
      </c>
      <c r="E206" s="286"/>
      <c r="F206" s="277">
        <v>0.2</v>
      </c>
      <c r="G206" s="32">
        <v>12</v>
      </c>
      <c r="H206" s="277">
        <v>2.4</v>
      </c>
      <c r="I206" s="277">
        <v>3.1036000000000001</v>
      </c>
      <c r="J206" s="32">
        <v>70</v>
      </c>
      <c r="K206" s="32" t="s">
        <v>100</v>
      </c>
      <c r="L206" s="32" t="s">
        <v>66</v>
      </c>
      <c r="M206" s="33" t="s">
        <v>67</v>
      </c>
      <c r="N206" s="33"/>
      <c r="O206" s="32">
        <v>180</v>
      </c>
      <c r="P206" s="40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5"/>
      <c r="R206" s="295"/>
      <c r="S206" s="295"/>
      <c r="T206" s="296"/>
      <c r="U206" s="34"/>
      <c r="V206" s="34"/>
      <c r="W206" s="35" t="s">
        <v>68</v>
      </c>
      <c r="X206" s="278">
        <v>0</v>
      </c>
      <c r="Y206" s="279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291</v>
      </c>
      <c r="AG206" s="67"/>
      <c r="AJ206" s="71" t="s">
        <v>70</v>
      </c>
      <c r="AK206" s="71">
        <v>1</v>
      </c>
      <c r="BB206" s="215" t="s">
        <v>104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customHeight="1" x14ac:dyDescent="0.25">
      <c r="A207" s="54" t="s">
        <v>292</v>
      </c>
      <c r="B207" s="54" t="s">
        <v>293</v>
      </c>
      <c r="C207" s="31">
        <v>4301135829</v>
      </c>
      <c r="D207" s="285">
        <v>4620207490235</v>
      </c>
      <c r="E207" s="286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40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5"/>
      <c r="R207" s="295"/>
      <c r="S207" s="295"/>
      <c r="T207" s="296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294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295</v>
      </c>
      <c r="B208" s="54" t="s">
        <v>296</v>
      </c>
      <c r="C208" s="31">
        <v>4301135697</v>
      </c>
      <c r="D208" s="285">
        <v>4620207490259</v>
      </c>
      <c r="E208" s="286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101</v>
      </c>
      <c r="M208" s="33" t="s">
        <v>67</v>
      </c>
      <c r="N208" s="33"/>
      <c r="O208" s="32">
        <v>180</v>
      </c>
      <c r="P208" s="37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5"/>
      <c r="R208" s="295"/>
      <c r="S208" s="295"/>
      <c r="T208" s="296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297</v>
      </c>
      <c r="AG208" s="67"/>
      <c r="AJ208" s="71" t="s">
        <v>103</v>
      </c>
      <c r="AK208" s="71">
        <v>14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301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302"/>
      <c r="P209" s="289" t="s">
        <v>87</v>
      </c>
      <c r="Q209" s="290"/>
      <c r="R209" s="290"/>
      <c r="S209" s="290"/>
      <c r="T209" s="290"/>
      <c r="U209" s="290"/>
      <c r="V209" s="291"/>
      <c r="W209" s="37" t="s">
        <v>68</v>
      </c>
      <c r="X209" s="280">
        <f>IFERROR(SUM(X206:X208),"0")</f>
        <v>0</v>
      </c>
      <c r="Y209" s="280">
        <f>IFERROR(SUM(Y206:Y208),"0")</f>
        <v>0</v>
      </c>
      <c r="Z209" s="280">
        <f>IFERROR(IF(Z206="",0,Z206),"0")+IFERROR(IF(Z207="",0,Z207),"0")+IFERROR(IF(Z208="",0,Z208),"0")</f>
        <v>0</v>
      </c>
      <c r="AA209" s="281"/>
      <c r="AB209" s="281"/>
      <c r="AC209" s="281"/>
    </row>
    <row r="210" spans="1:68" x14ac:dyDescent="0.2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302"/>
      <c r="P210" s="289" t="s">
        <v>87</v>
      </c>
      <c r="Q210" s="290"/>
      <c r="R210" s="290"/>
      <c r="S210" s="290"/>
      <c r="T210" s="290"/>
      <c r="U210" s="290"/>
      <c r="V210" s="291"/>
      <c r="W210" s="37" t="s">
        <v>88</v>
      </c>
      <c r="X210" s="280">
        <f>IFERROR(SUMPRODUCT(X206:X208*H206:H208),"0")</f>
        <v>0</v>
      </c>
      <c r="Y210" s="280">
        <f>IFERROR(SUMPRODUCT(Y206:Y208*H206:H208),"0")</f>
        <v>0</v>
      </c>
      <c r="Z210" s="37"/>
      <c r="AA210" s="281"/>
      <c r="AB210" s="281"/>
      <c r="AC210" s="281"/>
    </row>
    <row r="211" spans="1:68" ht="16.5" customHeight="1" x14ac:dyDescent="0.25">
      <c r="A211" s="293" t="s">
        <v>298</v>
      </c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73"/>
      <c r="AB211" s="273"/>
      <c r="AC211" s="273"/>
    </row>
    <row r="212" spans="1:68" ht="14.25" customHeight="1" x14ac:dyDescent="0.25">
      <c r="A212" s="292" t="s">
        <v>141</v>
      </c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74"/>
      <c r="AB212" s="274"/>
      <c r="AC212" s="274"/>
    </row>
    <row r="213" spans="1:68" ht="27" customHeight="1" x14ac:dyDescent="0.25">
      <c r="A213" s="54" t="s">
        <v>299</v>
      </c>
      <c r="B213" s="54" t="s">
        <v>300</v>
      </c>
      <c r="C213" s="31">
        <v>4301135854</v>
      </c>
      <c r="D213" s="285">
        <v>4620207491706</v>
      </c>
      <c r="E213" s="286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100</v>
      </c>
      <c r="L213" s="32" t="s">
        <v>66</v>
      </c>
      <c r="M213" s="33" t="s">
        <v>67</v>
      </c>
      <c r="N213" s="33"/>
      <c r="O213" s="32">
        <v>180</v>
      </c>
      <c r="P213" s="29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5"/>
      <c r="R213" s="295"/>
      <c r="S213" s="295"/>
      <c r="T213" s="296"/>
      <c r="U213" s="34"/>
      <c r="V213" s="34"/>
      <c r="W213" s="35" t="s">
        <v>68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301</v>
      </c>
      <c r="AG213" s="67"/>
      <c r="AJ213" s="71" t="s">
        <v>70</v>
      </c>
      <c r="AK213" s="71">
        <v>1</v>
      </c>
      <c r="BB213" s="221" t="s">
        <v>104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302</v>
      </c>
      <c r="B214" s="54" t="s">
        <v>303</v>
      </c>
      <c r="C214" s="31">
        <v>4301135895</v>
      </c>
      <c r="D214" s="285">
        <v>4620207491522</v>
      </c>
      <c r="E214" s="286"/>
      <c r="F214" s="277">
        <v>0.28000000000000003</v>
      </c>
      <c r="G214" s="32">
        <v>12</v>
      </c>
      <c r="H214" s="277">
        <v>3.36</v>
      </c>
      <c r="I214" s="277">
        <v>4.0636000000000001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7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5"/>
      <c r="R214" s="295"/>
      <c r="S214" s="295"/>
      <c r="T214" s="296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304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301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302"/>
      <c r="P215" s="289" t="s">
        <v>87</v>
      </c>
      <c r="Q215" s="290"/>
      <c r="R215" s="290"/>
      <c r="S215" s="290"/>
      <c r="T215" s="290"/>
      <c r="U215" s="290"/>
      <c r="V215" s="291"/>
      <c r="W215" s="37" t="s">
        <v>68</v>
      </c>
      <c r="X215" s="280">
        <f>IFERROR(SUM(X213:X214),"0")</f>
        <v>0</v>
      </c>
      <c r="Y215" s="280">
        <f>IFERROR(SUM(Y213:Y214),"0")</f>
        <v>0</v>
      </c>
      <c r="Z215" s="280">
        <f>IFERROR(IF(Z213="",0,Z213),"0")+IFERROR(IF(Z214="",0,Z214),"0")</f>
        <v>0</v>
      </c>
      <c r="AA215" s="281"/>
      <c r="AB215" s="281"/>
      <c r="AC215" s="281"/>
    </row>
    <row r="216" spans="1:68" x14ac:dyDescent="0.2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302"/>
      <c r="P216" s="289" t="s">
        <v>87</v>
      </c>
      <c r="Q216" s="290"/>
      <c r="R216" s="290"/>
      <c r="S216" s="290"/>
      <c r="T216" s="290"/>
      <c r="U216" s="290"/>
      <c r="V216" s="291"/>
      <c r="W216" s="37" t="s">
        <v>88</v>
      </c>
      <c r="X216" s="280">
        <f>IFERROR(SUMPRODUCT(X213:X214*H213:H214),"0")</f>
        <v>0</v>
      </c>
      <c r="Y216" s="280">
        <f>IFERROR(SUMPRODUCT(Y213:Y214*H213:H214),"0")</f>
        <v>0</v>
      </c>
      <c r="Z216" s="37"/>
      <c r="AA216" s="281"/>
      <c r="AB216" s="281"/>
      <c r="AC216" s="281"/>
    </row>
    <row r="217" spans="1:68" ht="16.5" customHeight="1" x14ac:dyDescent="0.25">
      <c r="A217" s="293" t="s">
        <v>305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73"/>
      <c r="AB217" s="273"/>
      <c r="AC217" s="273"/>
    </row>
    <row r="218" spans="1:68" ht="14.25" customHeight="1" x14ac:dyDescent="0.25">
      <c r="A218" s="292" t="s">
        <v>62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4"/>
      <c r="AB218" s="274"/>
      <c r="AC218" s="274"/>
    </row>
    <row r="219" spans="1:68" ht="27" customHeight="1" x14ac:dyDescent="0.25">
      <c r="A219" s="54" t="s">
        <v>306</v>
      </c>
      <c r="B219" s="54" t="s">
        <v>307</v>
      </c>
      <c r="C219" s="31">
        <v>4301071097</v>
      </c>
      <c r="D219" s="285">
        <v>4620207491096</v>
      </c>
      <c r="E219" s="286"/>
      <c r="F219" s="277">
        <v>1</v>
      </c>
      <c r="G219" s="32">
        <v>5</v>
      </c>
      <c r="H219" s="277">
        <v>5</v>
      </c>
      <c r="I219" s="277">
        <v>5.23</v>
      </c>
      <c r="J219" s="32">
        <v>84</v>
      </c>
      <c r="K219" s="32" t="s">
        <v>65</v>
      </c>
      <c r="L219" s="32" t="s">
        <v>101</v>
      </c>
      <c r="M219" s="33" t="s">
        <v>67</v>
      </c>
      <c r="N219" s="33"/>
      <c r="O219" s="32">
        <v>180</v>
      </c>
      <c r="P219" s="38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5"/>
      <c r="R219" s="295"/>
      <c r="S219" s="295"/>
      <c r="T219" s="296"/>
      <c r="U219" s="34"/>
      <c r="V219" s="34"/>
      <c r="W219" s="35" t="s">
        <v>68</v>
      </c>
      <c r="X219" s="278">
        <v>36</v>
      </c>
      <c r="Y219" s="279">
        <f>IFERROR(IF(X219="","",X219),"")</f>
        <v>36</v>
      </c>
      <c r="Z219" s="36">
        <f>IFERROR(IF(X219="","",X219*0.0155),"")</f>
        <v>0.55800000000000005</v>
      </c>
      <c r="AA219" s="56"/>
      <c r="AB219" s="57"/>
      <c r="AC219" s="224" t="s">
        <v>308</v>
      </c>
      <c r="AG219" s="67"/>
      <c r="AJ219" s="71" t="s">
        <v>103</v>
      </c>
      <c r="AK219" s="71">
        <v>12</v>
      </c>
      <c r="BB219" s="225" t="s">
        <v>1</v>
      </c>
      <c r="BM219" s="67">
        <f>IFERROR(X219*I219,"0")</f>
        <v>188.28000000000003</v>
      </c>
      <c r="BN219" s="67">
        <f>IFERROR(Y219*I219,"0")</f>
        <v>188.28000000000003</v>
      </c>
      <c r="BO219" s="67">
        <f>IFERROR(X219/J219,"0")</f>
        <v>0.42857142857142855</v>
      </c>
      <c r="BP219" s="67">
        <f>IFERROR(Y219/J219,"0")</f>
        <v>0.42857142857142855</v>
      </c>
    </row>
    <row r="220" spans="1:68" x14ac:dyDescent="0.2">
      <c r="A220" s="301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302"/>
      <c r="P220" s="289" t="s">
        <v>87</v>
      </c>
      <c r="Q220" s="290"/>
      <c r="R220" s="290"/>
      <c r="S220" s="290"/>
      <c r="T220" s="290"/>
      <c r="U220" s="290"/>
      <c r="V220" s="291"/>
      <c r="W220" s="37" t="s">
        <v>68</v>
      </c>
      <c r="X220" s="280">
        <f>IFERROR(SUM(X219:X219),"0")</f>
        <v>36</v>
      </c>
      <c r="Y220" s="280">
        <f>IFERROR(SUM(Y219:Y219),"0")</f>
        <v>36</v>
      </c>
      <c r="Z220" s="280">
        <f>IFERROR(IF(Z219="",0,Z219),"0")</f>
        <v>0.55800000000000005</v>
      </c>
      <c r="AA220" s="281"/>
      <c r="AB220" s="281"/>
      <c r="AC220" s="281"/>
    </row>
    <row r="221" spans="1:68" x14ac:dyDescent="0.2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302"/>
      <c r="P221" s="289" t="s">
        <v>87</v>
      </c>
      <c r="Q221" s="290"/>
      <c r="R221" s="290"/>
      <c r="S221" s="290"/>
      <c r="T221" s="290"/>
      <c r="U221" s="290"/>
      <c r="V221" s="291"/>
      <c r="W221" s="37" t="s">
        <v>88</v>
      </c>
      <c r="X221" s="280">
        <f>IFERROR(SUMPRODUCT(X219:X219*H219:H219),"0")</f>
        <v>180</v>
      </c>
      <c r="Y221" s="280">
        <f>IFERROR(SUMPRODUCT(Y219:Y219*H219:H219),"0")</f>
        <v>180</v>
      </c>
      <c r="Z221" s="37"/>
      <c r="AA221" s="281"/>
      <c r="AB221" s="281"/>
      <c r="AC221" s="281"/>
    </row>
    <row r="222" spans="1:68" ht="16.5" customHeight="1" x14ac:dyDescent="0.25">
      <c r="A222" s="293" t="s">
        <v>309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73"/>
      <c r="AB222" s="273"/>
      <c r="AC222" s="273"/>
    </row>
    <row r="223" spans="1:68" ht="14.25" customHeight="1" x14ac:dyDescent="0.25">
      <c r="A223" s="292" t="s">
        <v>141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74"/>
      <c r="AB223" s="274"/>
      <c r="AC223" s="274"/>
    </row>
    <row r="224" spans="1:68" ht="27" customHeight="1" x14ac:dyDescent="0.25">
      <c r="A224" s="54" t="s">
        <v>310</v>
      </c>
      <c r="B224" s="54" t="s">
        <v>311</v>
      </c>
      <c r="C224" s="31">
        <v>4301135694</v>
      </c>
      <c r="D224" s="285">
        <v>4620207490501</v>
      </c>
      <c r="E224" s="286"/>
      <c r="F224" s="277">
        <v>0.2</v>
      </c>
      <c r="G224" s="32">
        <v>12</v>
      </c>
      <c r="H224" s="277">
        <v>2.4</v>
      </c>
      <c r="I224" s="277">
        <v>3.1036000000000001</v>
      </c>
      <c r="J224" s="32">
        <v>70</v>
      </c>
      <c r="K224" s="32" t="s">
        <v>100</v>
      </c>
      <c r="L224" s="32" t="s">
        <v>66</v>
      </c>
      <c r="M224" s="33" t="s">
        <v>67</v>
      </c>
      <c r="N224" s="33"/>
      <c r="O224" s="32">
        <v>180</v>
      </c>
      <c r="P224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5"/>
      <c r="R224" s="295"/>
      <c r="S224" s="295"/>
      <c r="T224" s="296"/>
      <c r="U224" s="34"/>
      <c r="V224" s="34"/>
      <c r="W224" s="35" t="s">
        <v>68</v>
      </c>
      <c r="X224" s="278">
        <v>0</v>
      </c>
      <c r="Y224" s="279">
        <f>IFERROR(IF(X224="","",X224),"")</f>
        <v>0</v>
      </c>
      <c r="Z224" s="36">
        <f>IFERROR(IF(X224="","",X224*0.01788),"")</f>
        <v>0</v>
      </c>
      <c r="AA224" s="56"/>
      <c r="AB224" s="57"/>
      <c r="AC224" s="226" t="s">
        <v>312</v>
      </c>
      <c r="AG224" s="67"/>
      <c r="AJ224" s="71" t="s">
        <v>70</v>
      </c>
      <c r="AK224" s="71">
        <v>1</v>
      </c>
      <c r="BB224" s="227" t="s">
        <v>104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01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302"/>
      <c r="P225" s="289" t="s">
        <v>87</v>
      </c>
      <c r="Q225" s="290"/>
      <c r="R225" s="290"/>
      <c r="S225" s="290"/>
      <c r="T225" s="290"/>
      <c r="U225" s="290"/>
      <c r="V225" s="291"/>
      <c r="W225" s="37" t="s">
        <v>68</v>
      </c>
      <c r="X225" s="280">
        <f>IFERROR(SUM(X224:X224),"0")</f>
        <v>0</v>
      </c>
      <c r="Y225" s="280">
        <f>IFERROR(SUM(Y224:Y224),"0")</f>
        <v>0</v>
      </c>
      <c r="Z225" s="280">
        <f>IFERROR(IF(Z224="",0,Z224),"0")</f>
        <v>0</v>
      </c>
      <c r="AA225" s="281"/>
      <c r="AB225" s="281"/>
      <c r="AC225" s="281"/>
    </row>
    <row r="226" spans="1:68" x14ac:dyDescent="0.2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302"/>
      <c r="P226" s="289" t="s">
        <v>87</v>
      </c>
      <c r="Q226" s="290"/>
      <c r="R226" s="290"/>
      <c r="S226" s="290"/>
      <c r="T226" s="290"/>
      <c r="U226" s="290"/>
      <c r="V226" s="291"/>
      <c r="W226" s="37" t="s">
        <v>88</v>
      </c>
      <c r="X226" s="280">
        <f>IFERROR(SUMPRODUCT(X224:X224*H224:H224),"0")</f>
        <v>0</v>
      </c>
      <c r="Y226" s="280">
        <f>IFERROR(SUMPRODUCT(Y224:Y224*H224:H224),"0")</f>
        <v>0</v>
      </c>
      <c r="Z226" s="37"/>
      <c r="AA226" s="281"/>
      <c r="AB226" s="281"/>
      <c r="AC226" s="281"/>
    </row>
    <row r="227" spans="1:68" ht="27.75" customHeight="1" x14ac:dyDescent="0.2">
      <c r="A227" s="355" t="s">
        <v>313</v>
      </c>
      <c r="B227" s="356"/>
      <c r="C227" s="356"/>
      <c r="D227" s="356"/>
      <c r="E227" s="356"/>
      <c r="F227" s="356"/>
      <c r="G227" s="356"/>
      <c r="H227" s="356"/>
      <c r="I227" s="356"/>
      <c r="J227" s="356"/>
      <c r="K227" s="356"/>
      <c r="L227" s="356"/>
      <c r="M227" s="356"/>
      <c r="N227" s="356"/>
      <c r="O227" s="356"/>
      <c r="P227" s="356"/>
      <c r="Q227" s="356"/>
      <c r="R227" s="356"/>
      <c r="S227" s="356"/>
      <c r="T227" s="356"/>
      <c r="U227" s="356"/>
      <c r="V227" s="356"/>
      <c r="W227" s="356"/>
      <c r="X227" s="356"/>
      <c r="Y227" s="356"/>
      <c r="Z227" s="356"/>
      <c r="AA227" s="48"/>
      <c r="AB227" s="48"/>
      <c r="AC227" s="48"/>
    </row>
    <row r="228" spans="1:68" ht="16.5" customHeight="1" x14ac:dyDescent="0.25">
      <c r="A228" s="293" t="s">
        <v>314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73"/>
      <c r="AB228" s="273"/>
      <c r="AC228" s="273"/>
    </row>
    <row r="229" spans="1:68" ht="14.25" customHeight="1" x14ac:dyDescent="0.25">
      <c r="A229" s="292" t="s">
        <v>62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74"/>
      <c r="AB229" s="274"/>
      <c r="AC229" s="274"/>
    </row>
    <row r="230" spans="1:68" ht="27" customHeight="1" x14ac:dyDescent="0.25">
      <c r="A230" s="54" t="s">
        <v>315</v>
      </c>
      <c r="B230" s="54" t="s">
        <v>316</v>
      </c>
      <c r="C230" s="31">
        <v>4301071036</v>
      </c>
      <c r="D230" s="285">
        <v>4607111036162</v>
      </c>
      <c r="E230" s="286"/>
      <c r="F230" s="277">
        <v>0.8</v>
      </c>
      <c r="G230" s="32">
        <v>8</v>
      </c>
      <c r="H230" s="277">
        <v>6.4</v>
      </c>
      <c r="I230" s="277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5"/>
      <c r="R230" s="295"/>
      <c r="S230" s="295"/>
      <c r="T230" s="296"/>
      <c r="U230" s="34"/>
      <c r="V230" s="34"/>
      <c r="W230" s="35" t="s">
        <v>68</v>
      </c>
      <c r="X230" s="278">
        <v>0</v>
      </c>
      <c r="Y230" s="279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317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301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302"/>
      <c r="P231" s="289" t="s">
        <v>87</v>
      </c>
      <c r="Q231" s="290"/>
      <c r="R231" s="290"/>
      <c r="S231" s="290"/>
      <c r="T231" s="290"/>
      <c r="U231" s="290"/>
      <c r="V231" s="291"/>
      <c r="W231" s="37" t="s">
        <v>68</v>
      </c>
      <c r="X231" s="280">
        <f>IFERROR(SUM(X230:X230),"0")</f>
        <v>0</v>
      </c>
      <c r="Y231" s="280">
        <f>IFERROR(SUM(Y230:Y230),"0")</f>
        <v>0</v>
      </c>
      <c r="Z231" s="280">
        <f>IFERROR(IF(Z230="",0,Z230),"0")</f>
        <v>0</v>
      </c>
      <c r="AA231" s="281"/>
      <c r="AB231" s="281"/>
      <c r="AC231" s="281"/>
    </row>
    <row r="232" spans="1:68" x14ac:dyDescent="0.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302"/>
      <c r="P232" s="289" t="s">
        <v>87</v>
      </c>
      <c r="Q232" s="290"/>
      <c r="R232" s="290"/>
      <c r="S232" s="290"/>
      <c r="T232" s="290"/>
      <c r="U232" s="290"/>
      <c r="V232" s="291"/>
      <c r="W232" s="37" t="s">
        <v>88</v>
      </c>
      <c r="X232" s="280">
        <f>IFERROR(SUMPRODUCT(X230:X230*H230:H230),"0")</f>
        <v>0</v>
      </c>
      <c r="Y232" s="280">
        <f>IFERROR(SUMPRODUCT(Y230:Y230*H230:H230),"0")</f>
        <v>0</v>
      </c>
      <c r="Z232" s="37"/>
      <c r="AA232" s="281"/>
      <c r="AB232" s="281"/>
      <c r="AC232" s="281"/>
    </row>
    <row r="233" spans="1:68" ht="27.75" customHeight="1" x14ac:dyDescent="0.2">
      <c r="A233" s="355" t="s">
        <v>318</v>
      </c>
      <c r="B233" s="356"/>
      <c r="C233" s="356"/>
      <c r="D233" s="356"/>
      <c r="E233" s="356"/>
      <c r="F233" s="356"/>
      <c r="G233" s="356"/>
      <c r="H233" s="356"/>
      <c r="I233" s="356"/>
      <c r="J233" s="356"/>
      <c r="K233" s="356"/>
      <c r="L233" s="356"/>
      <c r="M233" s="356"/>
      <c r="N233" s="356"/>
      <c r="O233" s="356"/>
      <c r="P233" s="356"/>
      <c r="Q233" s="356"/>
      <c r="R233" s="356"/>
      <c r="S233" s="356"/>
      <c r="T233" s="356"/>
      <c r="U233" s="356"/>
      <c r="V233" s="356"/>
      <c r="W233" s="356"/>
      <c r="X233" s="356"/>
      <c r="Y233" s="356"/>
      <c r="Z233" s="356"/>
      <c r="AA233" s="48"/>
      <c r="AB233" s="48"/>
      <c r="AC233" s="48"/>
    </row>
    <row r="234" spans="1:68" ht="16.5" customHeight="1" x14ac:dyDescent="0.25">
      <c r="A234" s="293" t="s">
        <v>267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73"/>
      <c r="AB234" s="273"/>
      <c r="AC234" s="273"/>
    </row>
    <row r="235" spans="1:68" ht="14.25" customHeight="1" x14ac:dyDescent="0.25">
      <c r="A235" s="292" t="s">
        <v>62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4"/>
      <c r="AB235" s="274"/>
      <c r="AC235" s="274"/>
    </row>
    <row r="236" spans="1:68" ht="27" customHeight="1" x14ac:dyDescent="0.25">
      <c r="A236" s="54" t="s">
        <v>319</v>
      </c>
      <c r="B236" s="54" t="s">
        <v>320</v>
      </c>
      <c r="C236" s="31">
        <v>4301071029</v>
      </c>
      <c r="D236" s="285">
        <v>4607111035899</v>
      </c>
      <c r="E236" s="286"/>
      <c r="F236" s="277">
        <v>1</v>
      </c>
      <c r="G236" s="32">
        <v>5</v>
      </c>
      <c r="H236" s="277">
        <v>5</v>
      </c>
      <c r="I236" s="277">
        <v>5.2619999999999996</v>
      </c>
      <c r="J236" s="32">
        <v>84</v>
      </c>
      <c r="K236" s="32" t="s">
        <v>65</v>
      </c>
      <c r="L236" s="32" t="s">
        <v>101</v>
      </c>
      <c r="M236" s="33" t="s">
        <v>67</v>
      </c>
      <c r="N236" s="33"/>
      <c r="O236" s="32">
        <v>180</v>
      </c>
      <c r="P236" s="32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5"/>
      <c r="R236" s="295"/>
      <c r="S236" s="295"/>
      <c r="T236" s="296"/>
      <c r="U236" s="34"/>
      <c r="V236" s="34"/>
      <c r="W236" s="35" t="s">
        <v>68</v>
      </c>
      <c r="X236" s="278">
        <v>0</v>
      </c>
      <c r="Y236" s="279">
        <f>IFERROR(IF(X236="","",X236),"")</f>
        <v>0</v>
      </c>
      <c r="Z236" s="36">
        <f>IFERROR(IF(X236="","",X236*0.0155),"")</f>
        <v>0</v>
      </c>
      <c r="AA236" s="56"/>
      <c r="AB236" s="57"/>
      <c r="AC236" s="230" t="s">
        <v>266</v>
      </c>
      <c r="AG236" s="67"/>
      <c r="AJ236" s="71" t="s">
        <v>103</v>
      </c>
      <c r="AK236" s="71">
        <v>12</v>
      </c>
      <c r="BB236" s="231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01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302"/>
      <c r="P237" s="289" t="s">
        <v>87</v>
      </c>
      <c r="Q237" s="290"/>
      <c r="R237" s="290"/>
      <c r="S237" s="290"/>
      <c r="T237" s="290"/>
      <c r="U237" s="290"/>
      <c r="V237" s="291"/>
      <c r="W237" s="37" t="s">
        <v>68</v>
      </c>
      <c r="X237" s="280">
        <f>IFERROR(SUM(X236:X236),"0")</f>
        <v>0</v>
      </c>
      <c r="Y237" s="280">
        <f>IFERROR(SUM(Y236:Y236),"0")</f>
        <v>0</v>
      </c>
      <c r="Z237" s="280">
        <f>IFERROR(IF(Z236="",0,Z236),"0")</f>
        <v>0</v>
      </c>
      <c r="AA237" s="281"/>
      <c r="AB237" s="281"/>
      <c r="AC237" s="281"/>
    </row>
    <row r="238" spans="1:68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302"/>
      <c r="P238" s="289" t="s">
        <v>87</v>
      </c>
      <c r="Q238" s="290"/>
      <c r="R238" s="290"/>
      <c r="S238" s="290"/>
      <c r="T238" s="290"/>
      <c r="U238" s="290"/>
      <c r="V238" s="291"/>
      <c r="W238" s="37" t="s">
        <v>88</v>
      </c>
      <c r="X238" s="280">
        <f>IFERROR(SUMPRODUCT(X236:X236*H236:H236),"0")</f>
        <v>0</v>
      </c>
      <c r="Y238" s="280">
        <f>IFERROR(SUMPRODUCT(Y236:Y236*H236:H236),"0")</f>
        <v>0</v>
      </c>
      <c r="Z238" s="37"/>
      <c r="AA238" s="281"/>
      <c r="AB238" s="281"/>
      <c r="AC238" s="281"/>
    </row>
    <row r="239" spans="1:68" ht="27.75" customHeight="1" x14ac:dyDescent="0.2">
      <c r="A239" s="355" t="s">
        <v>321</v>
      </c>
      <c r="B239" s="356"/>
      <c r="C239" s="356"/>
      <c r="D239" s="356"/>
      <c r="E239" s="356"/>
      <c r="F239" s="356"/>
      <c r="G239" s="356"/>
      <c r="H239" s="356"/>
      <c r="I239" s="356"/>
      <c r="J239" s="356"/>
      <c r="K239" s="356"/>
      <c r="L239" s="356"/>
      <c r="M239" s="356"/>
      <c r="N239" s="356"/>
      <c r="O239" s="356"/>
      <c r="P239" s="356"/>
      <c r="Q239" s="356"/>
      <c r="R239" s="356"/>
      <c r="S239" s="356"/>
      <c r="T239" s="356"/>
      <c r="U239" s="356"/>
      <c r="V239" s="356"/>
      <c r="W239" s="356"/>
      <c r="X239" s="356"/>
      <c r="Y239" s="356"/>
      <c r="Z239" s="356"/>
      <c r="AA239" s="48"/>
      <c r="AB239" s="48"/>
      <c r="AC239" s="48"/>
    </row>
    <row r="240" spans="1:68" ht="16.5" customHeight="1" x14ac:dyDescent="0.25">
      <c r="A240" s="293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3"/>
      <c r="AB240" s="273"/>
      <c r="AC240" s="273"/>
    </row>
    <row r="241" spans="1:68" ht="14.25" customHeight="1" x14ac:dyDescent="0.25">
      <c r="A241" s="292" t="s">
        <v>323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4"/>
      <c r="AB241" s="274"/>
      <c r="AC241" s="274"/>
    </row>
    <row r="242" spans="1:68" ht="27" customHeight="1" x14ac:dyDescent="0.25">
      <c r="A242" s="54" t="s">
        <v>324</v>
      </c>
      <c r="B242" s="54" t="s">
        <v>325</v>
      </c>
      <c r="C242" s="31">
        <v>4301133004</v>
      </c>
      <c r="D242" s="285">
        <v>4607111039774</v>
      </c>
      <c r="E242" s="286"/>
      <c r="F242" s="277">
        <v>0.25</v>
      </c>
      <c r="G242" s="32">
        <v>12</v>
      </c>
      <c r="H242" s="277">
        <v>3</v>
      </c>
      <c r="I242" s="277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5"/>
      <c r="R242" s="295"/>
      <c r="S242" s="295"/>
      <c r="T242" s="296"/>
      <c r="U242" s="34"/>
      <c r="V242" s="34"/>
      <c r="W242" s="35" t="s">
        <v>68</v>
      </c>
      <c r="X242" s="278">
        <v>0</v>
      </c>
      <c r="Y242" s="279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301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302"/>
      <c r="P243" s="289" t="s">
        <v>87</v>
      </c>
      <c r="Q243" s="290"/>
      <c r="R243" s="290"/>
      <c r="S243" s="290"/>
      <c r="T243" s="290"/>
      <c r="U243" s="290"/>
      <c r="V243" s="291"/>
      <c r="W243" s="37" t="s">
        <v>68</v>
      </c>
      <c r="X243" s="280">
        <f>IFERROR(SUM(X242:X242),"0")</f>
        <v>0</v>
      </c>
      <c r="Y243" s="280">
        <f>IFERROR(SUM(Y242:Y242),"0")</f>
        <v>0</v>
      </c>
      <c r="Z243" s="280">
        <f>IFERROR(IF(Z242="",0,Z242),"0")</f>
        <v>0</v>
      </c>
      <c r="AA243" s="281"/>
      <c r="AB243" s="281"/>
      <c r="AC243" s="281"/>
    </row>
    <row r="244" spans="1:68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302"/>
      <c r="P244" s="289" t="s">
        <v>87</v>
      </c>
      <c r="Q244" s="290"/>
      <c r="R244" s="290"/>
      <c r="S244" s="290"/>
      <c r="T244" s="290"/>
      <c r="U244" s="290"/>
      <c r="V244" s="291"/>
      <c r="W244" s="37" t="s">
        <v>88</v>
      </c>
      <c r="X244" s="280">
        <f>IFERROR(SUMPRODUCT(X242:X242*H242:H242),"0")</f>
        <v>0</v>
      </c>
      <c r="Y244" s="280">
        <f>IFERROR(SUMPRODUCT(Y242:Y242*H242:H242),"0")</f>
        <v>0</v>
      </c>
      <c r="Z244" s="37"/>
      <c r="AA244" s="281"/>
      <c r="AB244" s="281"/>
      <c r="AC244" s="281"/>
    </row>
    <row r="245" spans="1:68" ht="14.25" customHeight="1" x14ac:dyDescent="0.25">
      <c r="A245" s="292" t="s">
        <v>141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4"/>
      <c r="AB245" s="274"/>
      <c r="AC245" s="274"/>
    </row>
    <row r="246" spans="1:68" ht="37.5" customHeight="1" x14ac:dyDescent="0.25">
      <c r="A246" s="54" t="s">
        <v>327</v>
      </c>
      <c r="B246" s="54" t="s">
        <v>328</v>
      </c>
      <c r="C246" s="31">
        <v>4301135400</v>
      </c>
      <c r="D246" s="285">
        <v>4607111039361</v>
      </c>
      <c r="E246" s="286"/>
      <c r="F246" s="277">
        <v>0.25</v>
      </c>
      <c r="G246" s="32">
        <v>12</v>
      </c>
      <c r="H246" s="277">
        <v>3</v>
      </c>
      <c r="I246" s="277">
        <v>3.7035999999999998</v>
      </c>
      <c r="J246" s="32">
        <v>70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7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5"/>
      <c r="R246" s="295"/>
      <c r="S246" s="295"/>
      <c r="T246" s="296"/>
      <c r="U246" s="34"/>
      <c r="V246" s="34"/>
      <c r="W246" s="35" t="s">
        <v>68</v>
      </c>
      <c r="X246" s="278">
        <v>0</v>
      </c>
      <c r="Y246" s="279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326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01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302"/>
      <c r="P247" s="289" t="s">
        <v>87</v>
      </c>
      <c r="Q247" s="290"/>
      <c r="R247" s="290"/>
      <c r="S247" s="290"/>
      <c r="T247" s="290"/>
      <c r="U247" s="290"/>
      <c r="V247" s="291"/>
      <c r="W247" s="37" t="s">
        <v>68</v>
      </c>
      <c r="X247" s="280">
        <f>IFERROR(SUM(X246:X246),"0")</f>
        <v>0</v>
      </c>
      <c r="Y247" s="280">
        <f>IFERROR(SUM(Y246:Y246),"0")</f>
        <v>0</v>
      </c>
      <c r="Z247" s="280">
        <f>IFERROR(IF(Z246="",0,Z246),"0")</f>
        <v>0</v>
      </c>
      <c r="AA247" s="281"/>
      <c r="AB247" s="281"/>
      <c r="AC247" s="281"/>
    </row>
    <row r="248" spans="1:68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302"/>
      <c r="P248" s="289" t="s">
        <v>87</v>
      </c>
      <c r="Q248" s="290"/>
      <c r="R248" s="290"/>
      <c r="S248" s="290"/>
      <c r="T248" s="290"/>
      <c r="U248" s="290"/>
      <c r="V248" s="291"/>
      <c r="W248" s="37" t="s">
        <v>88</v>
      </c>
      <c r="X248" s="280">
        <f>IFERROR(SUMPRODUCT(X246:X246*H246:H246),"0")</f>
        <v>0</v>
      </c>
      <c r="Y248" s="280">
        <f>IFERROR(SUMPRODUCT(Y246:Y246*H246:H246),"0")</f>
        <v>0</v>
      </c>
      <c r="Z248" s="37"/>
      <c r="AA248" s="281"/>
      <c r="AB248" s="281"/>
      <c r="AC248" s="281"/>
    </row>
    <row r="249" spans="1:68" ht="27.75" customHeight="1" x14ac:dyDescent="0.2">
      <c r="A249" s="355" t="s">
        <v>329</v>
      </c>
      <c r="B249" s="356"/>
      <c r="C249" s="356"/>
      <c r="D249" s="356"/>
      <c r="E249" s="356"/>
      <c r="F249" s="356"/>
      <c r="G249" s="356"/>
      <c r="H249" s="356"/>
      <c r="I249" s="356"/>
      <c r="J249" s="356"/>
      <c r="K249" s="356"/>
      <c r="L249" s="356"/>
      <c r="M249" s="356"/>
      <c r="N249" s="356"/>
      <c r="O249" s="356"/>
      <c r="P249" s="356"/>
      <c r="Q249" s="356"/>
      <c r="R249" s="356"/>
      <c r="S249" s="356"/>
      <c r="T249" s="356"/>
      <c r="U249" s="356"/>
      <c r="V249" s="356"/>
      <c r="W249" s="356"/>
      <c r="X249" s="356"/>
      <c r="Y249" s="356"/>
      <c r="Z249" s="356"/>
      <c r="AA249" s="48"/>
      <c r="AB249" s="48"/>
      <c r="AC249" s="48"/>
    </row>
    <row r="250" spans="1:68" ht="16.5" customHeight="1" x14ac:dyDescent="0.25">
      <c r="A250" s="293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3"/>
      <c r="AB250" s="273"/>
      <c r="AC250" s="273"/>
    </row>
    <row r="251" spans="1:68" ht="14.25" customHeight="1" x14ac:dyDescent="0.25">
      <c r="A251" s="292" t="s">
        <v>135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4"/>
      <c r="AB251" s="274"/>
      <c r="AC251" s="274"/>
    </row>
    <row r="252" spans="1:68" ht="27" customHeight="1" x14ac:dyDescent="0.25">
      <c r="A252" s="54" t="s">
        <v>330</v>
      </c>
      <c r="B252" s="54" t="s">
        <v>331</v>
      </c>
      <c r="C252" s="31">
        <v>4301136098</v>
      </c>
      <c r="D252" s="285">
        <v>4640242181943</v>
      </c>
      <c r="E252" s="286"/>
      <c r="F252" s="277">
        <v>0.09</v>
      </c>
      <c r="G252" s="32">
        <v>24</v>
      </c>
      <c r="H252" s="277">
        <v>2.16</v>
      </c>
      <c r="I252" s="277">
        <v>2.34</v>
      </c>
      <c r="J252" s="32">
        <v>126</v>
      </c>
      <c r="K252" s="32" t="s">
        <v>100</v>
      </c>
      <c r="L252" s="32" t="s">
        <v>66</v>
      </c>
      <c r="M252" s="33" t="s">
        <v>67</v>
      </c>
      <c r="N252" s="33"/>
      <c r="O252" s="32">
        <v>180</v>
      </c>
      <c r="P252" s="31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5"/>
      <c r="R252" s="295"/>
      <c r="S252" s="295"/>
      <c r="T252" s="296"/>
      <c r="U252" s="34"/>
      <c r="V252" s="34"/>
      <c r="W252" s="35" t="s">
        <v>68</v>
      </c>
      <c r="X252" s="278">
        <v>0</v>
      </c>
      <c r="Y252" s="279">
        <f>IFERROR(IF(X252="","",X252),"")</f>
        <v>0</v>
      </c>
      <c r="Z252" s="36">
        <f>IFERROR(IF(X252="","",X252*0.00936),"")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104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01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302"/>
      <c r="P253" s="289" t="s">
        <v>87</v>
      </c>
      <c r="Q253" s="290"/>
      <c r="R253" s="290"/>
      <c r="S253" s="290"/>
      <c r="T253" s="290"/>
      <c r="U253" s="290"/>
      <c r="V253" s="291"/>
      <c r="W253" s="37" t="s">
        <v>68</v>
      </c>
      <c r="X253" s="280">
        <f>IFERROR(SUM(X252:X252),"0")</f>
        <v>0</v>
      </c>
      <c r="Y253" s="280">
        <f>IFERROR(SUM(Y252:Y252),"0")</f>
        <v>0</v>
      </c>
      <c r="Z253" s="280">
        <f>IFERROR(IF(Z252="",0,Z252),"0")</f>
        <v>0</v>
      </c>
      <c r="AA253" s="281"/>
      <c r="AB253" s="281"/>
      <c r="AC253" s="28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302"/>
      <c r="P254" s="289" t="s">
        <v>87</v>
      </c>
      <c r="Q254" s="290"/>
      <c r="R254" s="290"/>
      <c r="S254" s="290"/>
      <c r="T254" s="290"/>
      <c r="U254" s="290"/>
      <c r="V254" s="291"/>
      <c r="W254" s="37" t="s">
        <v>88</v>
      </c>
      <c r="X254" s="280">
        <f>IFERROR(SUMPRODUCT(X252:X252*H252:H252),"0")</f>
        <v>0</v>
      </c>
      <c r="Y254" s="280">
        <f>IFERROR(SUMPRODUCT(Y252:Y252*H252:H252),"0")</f>
        <v>0</v>
      </c>
      <c r="Z254" s="37"/>
      <c r="AA254" s="281"/>
      <c r="AB254" s="281"/>
      <c r="AC254" s="281"/>
    </row>
    <row r="255" spans="1:68" ht="27.75" customHeight="1" x14ac:dyDescent="0.2">
      <c r="A255" s="355" t="s">
        <v>333</v>
      </c>
      <c r="B255" s="356"/>
      <c r="C255" s="356"/>
      <c r="D255" s="356"/>
      <c r="E255" s="356"/>
      <c r="F255" s="356"/>
      <c r="G255" s="356"/>
      <c r="H255" s="356"/>
      <c r="I255" s="356"/>
      <c r="J255" s="356"/>
      <c r="K255" s="356"/>
      <c r="L255" s="356"/>
      <c r="M255" s="356"/>
      <c r="N255" s="356"/>
      <c r="O255" s="356"/>
      <c r="P255" s="356"/>
      <c r="Q255" s="356"/>
      <c r="R255" s="356"/>
      <c r="S255" s="356"/>
      <c r="T255" s="356"/>
      <c r="U255" s="356"/>
      <c r="V255" s="356"/>
      <c r="W255" s="356"/>
      <c r="X255" s="356"/>
      <c r="Y255" s="356"/>
      <c r="Z255" s="356"/>
      <c r="AA255" s="48"/>
      <c r="AB255" s="48"/>
      <c r="AC255" s="48"/>
    </row>
    <row r="256" spans="1:68" ht="16.5" customHeight="1" x14ac:dyDescent="0.25">
      <c r="A256" s="293" t="s">
        <v>333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3"/>
      <c r="AB256" s="273"/>
      <c r="AC256" s="273"/>
    </row>
    <row r="257" spans="1:68" ht="14.25" customHeight="1" x14ac:dyDescent="0.25">
      <c r="A257" s="292" t="s">
        <v>62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4"/>
      <c r="AB257" s="274"/>
      <c r="AC257" s="274"/>
    </row>
    <row r="258" spans="1:68" ht="27" customHeight="1" x14ac:dyDescent="0.25">
      <c r="A258" s="54" t="s">
        <v>334</v>
      </c>
      <c r="B258" s="54" t="s">
        <v>335</v>
      </c>
      <c r="C258" s="31">
        <v>4301071014</v>
      </c>
      <c r="D258" s="285">
        <v>4640242181264</v>
      </c>
      <c r="E258" s="286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3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5"/>
      <c r="R258" s="295"/>
      <c r="S258" s="295"/>
      <c r="T258" s="296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336</v>
      </c>
      <c r="AG258" s="67"/>
      <c r="AJ258" s="71" t="s">
        <v>70</v>
      </c>
      <c r="AK258" s="71">
        <v>1</v>
      </c>
      <c r="BB258" s="239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337</v>
      </c>
      <c r="B259" s="54" t="s">
        <v>338</v>
      </c>
      <c r="C259" s="31">
        <v>4301071021</v>
      </c>
      <c r="D259" s="285">
        <v>4640242181325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101</v>
      </c>
      <c r="M259" s="33" t="s">
        <v>67</v>
      </c>
      <c r="N259" s="33"/>
      <c r="O259" s="32">
        <v>180</v>
      </c>
      <c r="P259" s="33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5"/>
      <c r="R259" s="295"/>
      <c r="S259" s="295"/>
      <c r="T259" s="296"/>
      <c r="U259" s="34"/>
      <c r="V259" s="34"/>
      <c r="W259" s="35" t="s">
        <v>68</v>
      </c>
      <c r="X259" s="278">
        <v>36</v>
      </c>
      <c r="Y259" s="279">
        <f>IFERROR(IF(X259="","",X259),"")</f>
        <v>36</v>
      </c>
      <c r="Z259" s="36">
        <f>IFERROR(IF(X259="","",X259*0.0155),"")</f>
        <v>0.55800000000000005</v>
      </c>
      <c r="AA259" s="56"/>
      <c r="AB259" s="57"/>
      <c r="AC259" s="240" t="s">
        <v>336</v>
      </c>
      <c r="AG259" s="67"/>
      <c r="AJ259" s="71" t="s">
        <v>103</v>
      </c>
      <c r="AK259" s="71">
        <v>12</v>
      </c>
      <c r="BB259" s="241" t="s">
        <v>1</v>
      </c>
      <c r="BM259" s="67">
        <f>IFERROR(X259*I259,"0")</f>
        <v>262.08</v>
      </c>
      <c r="BN259" s="67">
        <f>IFERROR(Y259*I259,"0")</f>
        <v>262.08</v>
      </c>
      <c r="BO259" s="67">
        <f>IFERROR(X259/J259,"0")</f>
        <v>0.42857142857142855</v>
      </c>
      <c r="BP259" s="67">
        <f>IFERROR(Y259/J259,"0")</f>
        <v>0.42857142857142855</v>
      </c>
    </row>
    <row r="260" spans="1:68" x14ac:dyDescent="0.2">
      <c r="A260" s="301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302"/>
      <c r="P260" s="289" t="s">
        <v>87</v>
      </c>
      <c r="Q260" s="290"/>
      <c r="R260" s="290"/>
      <c r="S260" s="290"/>
      <c r="T260" s="290"/>
      <c r="U260" s="290"/>
      <c r="V260" s="291"/>
      <c r="W260" s="37" t="s">
        <v>68</v>
      </c>
      <c r="X260" s="280">
        <f>IFERROR(SUM(X258:X259),"0")</f>
        <v>36</v>
      </c>
      <c r="Y260" s="280">
        <f>IFERROR(SUM(Y258:Y259),"0")</f>
        <v>36</v>
      </c>
      <c r="Z260" s="280">
        <f>IFERROR(IF(Z258="",0,Z258),"0")+IFERROR(IF(Z259="",0,Z259),"0")</f>
        <v>0.55800000000000005</v>
      </c>
      <c r="AA260" s="281"/>
      <c r="AB260" s="281"/>
      <c r="AC260" s="281"/>
    </row>
    <row r="261" spans="1:68" x14ac:dyDescent="0.2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302"/>
      <c r="P261" s="289" t="s">
        <v>87</v>
      </c>
      <c r="Q261" s="290"/>
      <c r="R261" s="290"/>
      <c r="S261" s="290"/>
      <c r="T261" s="290"/>
      <c r="U261" s="290"/>
      <c r="V261" s="291"/>
      <c r="W261" s="37" t="s">
        <v>88</v>
      </c>
      <c r="X261" s="280">
        <f>IFERROR(SUMPRODUCT(X258:X259*H258:H259),"0")</f>
        <v>252</v>
      </c>
      <c r="Y261" s="280">
        <f>IFERROR(SUMPRODUCT(Y258:Y259*H258:H259),"0")</f>
        <v>252</v>
      </c>
      <c r="Z261" s="37"/>
      <c r="AA261" s="281"/>
      <c r="AB261" s="281"/>
      <c r="AC261" s="281"/>
    </row>
    <row r="262" spans="1:68" ht="14.25" customHeight="1" x14ac:dyDescent="0.25">
      <c r="A262" s="292" t="s">
        <v>97</v>
      </c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74"/>
      <c r="AB262" s="274"/>
      <c r="AC262" s="274"/>
    </row>
    <row r="263" spans="1:68" ht="27" customHeight="1" x14ac:dyDescent="0.25">
      <c r="A263" s="54" t="s">
        <v>339</v>
      </c>
      <c r="B263" s="54" t="s">
        <v>340</v>
      </c>
      <c r="C263" s="31">
        <v>4301132080</v>
      </c>
      <c r="D263" s="285">
        <v>4640242180397</v>
      </c>
      <c r="E263" s="286"/>
      <c r="F263" s="277">
        <v>1</v>
      </c>
      <c r="G263" s="32">
        <v>6</v>
      </c>
      <c r="H263" s="277">
        <v>6</v>
      </c>
      <c r="I263" s="277">
        <v>6.26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5"/>
      <c r="R263" s="295"/>
      <c r="S263" s="295"/>
      <c r="T263" s="296"/>
      <c r="U263" s="34"/>
      <c r="V263" s="34"/>
      <c r="W263" s="35" t="s">
        <v>68</v>
      </c>
      <c r="X263" s="278">
        <v>60</v>
      </c>
      <c r="Y263" s="279">
        <f>IFERROR(IF(X263="","",X263),"")</f>
        <v>60</v>
      </c>
      <c r="Z263" s="36">
        <f>IFERROR(IF(X263="","",X263*0.0155),"")</f>
        <v>0.92999999999999994</v>
      </c>
      <c r="AA263" s="56"/>
      <c r="AB263" s="57"/>
      <c r="AC263" s="242" t="s">
        <v>341</v>
      </c>
      <c r="AG263" s="67"/>
      <c r="AJ263" s="71" t="s">
        <v>103</v>
      </c>
      <c r="AK263" s="71">
        <v>12</v>
      </c>
      <c r="BB263" s="243" t="s">
        <v>104</v>
      </c>
      <c r="BM263" s="67">
        <f>IFERROR(X263*I263,"0")</f>
        <v>375.59999999999997</v>
      </c>
      <c r="BN263" s="67">
        <f>IFERROR(Y263*I263,"0")</f>
        <v>375.59999999999997</v>
      </c>
      <c r="BO263" s="67">
        <f>IFERROR(X263/J263,"0")</f>
        <v>0.7142857142857143</v>
      </c>
      <c r="BP263" s="67">
        <f>IFERROR(Y263/J263,"0")</f>
        <v>0.7142857142857143</v>
      </c>
    </row>
    <row r="264" spans="1:68" x14ac:dyDescent="0.2">
      <c r="A264" s="301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302"/>
      <c r="P264" s="289" t="s">
        <v>87</v>
      </c>
      <c r="Q264" s="290"/>
      <c r="R264" s="290"/>
      <c r="S264" s="290"/>
      <c r="T264" s="290"/>
      <c r="U264" s="290"/>
      <c r="V264" s="291"/>
      <c r="W264" s="37" t="s">
        <v>68</v>
      </c>
      <c r="X264" s="280">
        <f>IFERROR(SUM(X263:X263),"0")</f>
        <v>60</v>
      </c>
      <c r="Y264" s="280">
        <f>IFERROR(SUM(Y263:Y263),"0")</f>
        <v>60</v>
      </c>
      <c r="Z264" s="280">
        <f>IFERROR(IF(Z263="",0,Z263),"0")</f>
        <v>0.92999999999999994</v>
      </c>
      <c r="AA264" s="281"/>
      <c r="AB264" s="281"/>
      <c r="AC264" s="281"/>
    </row>
    <row r="265" spans="1:68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302"/>
      <c r="P265" s="289" t="s">
        <v>87</v>
      </c>
      <c r="Q265" s="290"/>
      <c r="R265" s="290"/>
      <c r="S265" s="290"/>
      <c r="T265" s="290"/>
      <c r="U265" s="290"/>
      <c r="V265" s="291"/>
      <c r="W265" s="37" t="s">
        <v>88</v>
      </c>
      <c r="X265" s="280">
        <f>IFERROR(SUMPRODUCT(X263:X263*H263:H263),"0")</f>
        <v>360</v>
      </c>
      <c r="Y265" s="280">
        <f>IFERROR(SUMPRODUCT(Y263:Y263*H263:H263),"0")</f>
        <v>360</v>
      </c>
      <c r="Z265" s="37"/>
      <c r="AA265" s="281"/>
      <c r="AB265" s="281"/>
      <c r="AC265" s="281"/>
    </row>
    <row r="266" spans="1:68" ht="14.25" customHeight="1" x14ac:dyDescent="0.25">
      <c r="A266" s="292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4"/>
      <c r="AB266" s="274"/>
      <c r="AC266" s="274"/>
    </row>
    <row r="267" spans="1:68" ht="27" customHeight="1" x14ac:dyDescent="0.25">
      <c r="A267" s="54" t="s">
        <v>342</v>
      </c>
      <c r="B267" s="54" t="s">
        <v>343</v>
      </c>
      <c r="C267" s="31">
        <v>4301136051</v>
      </c>
      <c r="D267" s="285">
        <v>4640242180304</v>
      </c>
      <c r="E267" s="286"/>
      <c r="F267" s="277">
        <v>2.7</v>
      </c>
      <c r="G267" s="32">
        <v>1</v>
      </c>
      <c r="H267" s="277">
        <v>2.7</v>
      </c>
      <c r="I267" s="277">
        <v>2.8906000000000001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9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5"/>
      <c r="R267" s="295"/>
      <c r="S267" s="295"/>
      <c r="T267" s="296"/>
      <c r="U267" s="34"/>
      <c r="V267" s="34"/>
      <c r="W267" s="35" t="s">
        <v>68</v>
      </c>
      <c r="X267" s="278">
        <v>70</v>
      </c>
      <c r="Y267" s="279">
        <f>IFERROR(IF(X267="","",X267),"")</f>
        <v>70</v>
      </c>
      <c r="Z267" s="36">
        <f>IFERROR(IF(X267="","",X267*0.00936),"")</f>
        <v>0.6552</v>
      </c>
      <c r="AA267" s="56"/>
      <c r="AB267" s="57"/>
      <c r="AC267" s="244" t="s">
        <v>344</v>
      </c>
      <c r="AG267" s="67"/>
      <c r="AJ267" s="71" t="s">
        <v>103</v>
      </c>
      <c r="AK267" s="71">
        <v>14</v>
      </c>
      <c r="BB267" s="245" t="s">
        <v>104</v>
      </c>
      <c r="BM267" s="67">
        <f>IFERROR(X267*I267,"0")</f>
        <v>202.34200000000001</v>
      </c>
      <c r="BN267" s="67">
        <f>IFERROR(Y267*I267,"0")</f>
        <v>202.34200000000001</v>
      </c>
      <c r="BO267" s="67">
        <f>IFERROR(X267/J267,"0")</f>
        <v>0.55555555555555558</v>
      </c>
      <c r="BP267" s="67">
        <f>IFERROR(Y267/J267,"0")</f>
        <v>0.55555555555555558</v>
      </c>
    </row>
    <row r="268" spans="1:68" ht="27" customHeight="1" x14ac:dyDescent="0.25">
      <c r="A268" s="54" t="s">
        <v>345</v>
      </c>
      <c r="B268" s="54" t="s">
        <v>346</v>
      </c>
      <c r="C268" s="31">
        <v>4301136053</v>
      </c>
      <c r="D268" s="285">
        <v>4640242180236</v>
      </c>
      <c r="E268" s="286"/>
      <c r="F268" s="277">
        <v>5</v>
      </c>
      <c r="G268" s="32">
        <v>1</v>
      </c>
      <c r="H268" s="277">
        <v>5</v>
      </c>
      <c r="I268" s="277">
        <v>5.2350000000000003</v>
      </c>
      <c r="J268" s="32">
        <v>84</v>
      </c>
      <c r="K268" s="32" t="s">
        <v>65</v>
      </c>
      <c r="L268" s="32" t="s">
        <v>101</v>
      </c>
      <c r="M268" s="33" t="s">
        <v>67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5"/>
      <c r="R268" s="295"/>
      <c r="S268" s="295"/>
      <c r="T268" s="296"/>
      <c r="U268" s="34"/>
      <c r="V268" s="34"/>
      <c r="W268" s="35" t="s">
        <v>68</v>
      </c>
      <c r="X268" s="278">
        <v>300</v>
      </c>
      <c r="Y268" s="279">
        <f>IFERROR(IF(X268="","",X268),"")</f>
        <v>300</v>
      </c>
      <c r="Z268" s="36">
        <f>IFERROR(IF(X268="","",X268*0.0155),"")</f>
        <v>4.6500000000000004</v>
      </c>
      <c r="AA268" s="56"/>
      <c r="AB268" s="57"/>
      <c r="AC268" s="246" t="s">
        <v>344</v>
      </c>
      <c r="AG268" s="67"/>
      <c r="AJ268" s="71" t="s">
        <v>103</v>
      </c>
      <c r="AK268" s="71">
        <v>12</v>
      </c>
      <c r="BB268" s="247" t="s">
        <v>104</v>
      </c>
      <c r="BM268" s="67">
        <f>IFERROR(X268*I268,"0")</f>
        <v>1570.5</v>
      </c>
      <c r="BN268" s="67">
        <f>IFERROR(Y268*I268,"0")</f>
        <v>1570.5</v>
      </c>
      <c r="BO268" s="67">
        <f>IFERROR(X268/J268,"0")</f>
        <v>3.5714285714285716</v>
      </c>
      <c r="BP268" s="67">
        <f>IFERROR(Y268/J268,"0")</f>
        <v>3.5714285714285716</v>
      </c>
    </row>
    <row r="269" spans="1:68" ht="27" customHeight="1" x14ac:dyDescent="0.25">
      <c r="A269" s="54" t="s">
        <v>347</v>
      </c>
      <c r="B269" s="54" t="s">
        <v>348</v>
      </c>
      <c r="C269" s="31">
        <v>4301136052</v>
      </c>
      <c r="D269" s="285">
        <v>4640242180410</v>
      </c>
      <c r="E269" s="286"/>
      <c r="F269" s="277">
        <v>2.2400000000000002</v>
      </c>
      <c r="G269" s="32">
        <v>1</v>
      </c>
      <c r="H269" s="277">
        <v>2.2400000000000002</v>
      </c>
      <c r="I269" s="277">
        <v>2.4319999999999999</v>
      </c>
      <c r="J269" s="32">
        <v>126</v>
      </c>
      <c r="K269" s="32" t="s">
        <v>100</v>
      </c>
      <c r="L269" s="32" t="s">
        <v>66</v>
      </c>
      <c r="M269" s="33" t="s">
        <v>67</v>
      </c>
      <c r="N269" s="33"/>
      <c r="O269" s="32">
        <v>180</v>
      </c>
      <c r="P269" s="4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5"/>
      <c r="R269" s="295"/>
      <c r="S269" s="295"/>
      <c r="T269" s="296"/>
      <c r="U269" s="34"/>
      <c r="V269" s="34"/>
      <c r="W269" s="35" t="s">
        <v>68</v>
      </c>
      <c r="X269" s="278">
        <v>0</v>
      </c>
      <c r="Y269" s="279">
        <f>IFERROR(IF(X269="","",X269),"")</f>
        <v>0</v>
      </c>
      <c r="Z269" s="36">
        <f>IFERROR(IF(X269="","",X269*0.00936),"")</f>
        <v>0</v>
      </c>
      <c r="AA269" s="56"/>
      <c r="AB269" s="57"/>
      <c r="AC269" s="248" t="s">
        <v>344</v>
      </c>
      <c r="AG269" s="67"/>
      <c r="AJ269" s="71" t="s">
        <v>70</v>
      </c>
      <c r="AK269" s="71">
        <v>1</v>
      </c>
      <c r="BB269" s="249" t="s">
        <v>104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01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302"/>
      <c r="P270" s="289" t="s">
        <v>87</v>
      </c>
      <c r="Q270" s="290"/>
      <c r="R270" s="290"/>
      <c r="S270" s="290"/>
      <c r="T270" s="290"/>
      <c r="U270" s="290"/>
      <c r="V270" s="291"/>
      <c r="W270" s="37" t="s">
        <v>68</v>
      </c>
      <c r="X270" s="280">
        <f>IFERROR(SUM(X267:X269),"0")</f>
        <v>370</v>
      </c>
      <c r="Y270" s="280">
        <f>IFERROR(SUM(Y267:Y269),"0")</f>
        <v>370</v>
      </c>
      <c r="Z270" s="280">
        <f>IFERROR(IF(Z267="",0,Z267),"0")+IFERROR(IF(Z268="",0,Z268),"0")+IFERROR(IF(Z269="",0,Z269),"0")</f>
        <v>5.3052000000000001</v>
      </c>
      <c r="AA270" s="281"/>
      <c r="AB270" s="281"/>
      <c r="AC270" s="281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302"/>
      <c r="P271" s="289" t="s">
        <v>87</v>
      </c>
      <c r="Q271" s="290"/>
      <c r="R271" s="290"/>
      <c r="S271" s="290"/>
      <c r="T271" s="290"/>
      <c r="U271" s="290"/>
      <c r="V271" s="291"/>
      <c r="W271" s="37" t="s">
        <v>88</v>
      </c>
      <c r="X271" s="280">
        <f>IFERROR(SUMPRODUCT(X267:X269*H267:H269),"0")</f>
        <v>1689</v>
      </c>
      <c r="Y271" s="280">
        <f>IFERROR(SUMPRODUCT(Y267:Y269*H267:H269),"0")</f>
        <v>1689</v>
      </c>
      <c r="Z271" s="37"/>
      <c r="AA271" s="281"/>
      <c r="AB271" s="281"/>
      <c r="AC271" s="281"/>
    </row>
    <row r="272" spans="1:68" ht="14.25" customHeight="1" x14ac:dyDescent="0.25">
      <c r="A272" s="292" t="s">
        <v>141</v>
      </c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74"/>
      <c r="AB272" s="274"/>
      <c r="AC272" s="274"/>
    </row>
    <row r="273" spans="1:68" ht="37.5" customHeight="1" x14ac:dyDescent="0.25">
      <c r="A273" s="54" t="s">
        <v>349</v>
      </c>
      <c r="B273" s="54" t="s">
        <v>350</v>
      </c>
      <c r="C273" s="31">
        <v>4301135504</v>
      </c>
      <c r="D273" s="285">
        <v>4640242181554</v>
      </c>
      <c r="E273" s="286"/>
      <c r="F273" s="277">
        <v>3</v>
      </c>
      <c r="G273" s="32">
        <v>1</v>
      </c>
      <c r="H273" s="277">
        <v>3</v>
      </c>
      <c r="I273" s="277">
        <v>3.1920000000000002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5"/>
      <c r="R273" s="295"/>
      <c r="S273" s="295"/>
      <c r="T273" s="296"/>
      <c r="U273" s="34"/>
      <c r="V273" s="34"/>
      <c r="W273" s="35" t="s">
        <v>68</v>
      </c>
      <c r="X273" s="278">
        <v>0</v>
      </c>
      <c r="Y273" s="279">
        <f t="shared" ref="Y273:Y282" si="18">IFERROR(IF(X273="","",X273),"")</f>
        <v>0</v>
      </c>
      <c r="Z273" s="36">
        <f>IFERROR(IF(X273="","",X273*0.00936),"")</f>
        <v>0</v>
      </c>
      <c r="AA273" s="56"/>
      <c r="AB273" s="57"/>
      <c r="AC273" s="250" t="s">
        <v>351</v>
      </c>
      <c r="AG273" s="67"/>
      <c r="AJ273" s="71" t="s">
        <v>103</v>
      </c>
      <c r="AK273" s="71">
        <v>14</v>
      </c>
      <c r="BB273" s="251" t="s">
        <v>104</v>
      </c>
      <c r="BM273" s="67">
        <f t="shared" ref="BM273:BM282" si="19">IFERROR(X273*I273,"0")</f>
        <v>0</v>
      </c>
      <c r="BN273" s="67">
        <f t="shared" ref="BN273:BN282" si="20">IFERROR(Y273*I273,"0")</f>
        <v>0</v>
      </c>
      <c r="BO273" s="67">
        <f t="shared" ref="BO273:BO282" si="21">IFERROR(X273/J273,"0")</f>
        <v>0</v>
      </c>
      <c r="BP273" s="67">
        <f t="shared" ref="BP273:BP282" si="22">IFERROR(Y273/J273,"0")</f>
        <v>0</v>
      </c>
    </row>
    <row r="274" spans="1:68" ht="27" customHeight="1" x14ac:dyDescent="0.25">
      <c r="A274" s="54" t="s">
        <v>352</v>
      </c>
      <c r="B274" s="54" t="s">
        <v>353</v>
      </c>
      <c r="C274" s="31">
        <v>4301135873</v>
      </c>
      <c r="D274" s="285">
        <v>4640242182087</v>
      </c>
      <c r="E274" s="286"/>
      <c r="F274" s="277">
        <v>5</v>
      </c>
      <c r="G274" s="32">
        <v>1</v>
      </c>
      <c r="H274" s="277">
        <v>5</v>
      </c>
      <c r="I274" s="277">
        <v>5.23</v>
      </c>
      <c r="J274" s="32">
        <v>84</v>
      </c>
      <c r="K274" s="32" t="s">
        <v>65</v>
      </c>
      <c r="L274" s="32" t="s">
        <v>66</v>
      </c>
      <c r="M274" s="33" t="s">
        <v>67</v>
      </c>
      <c r="N274" s="33"/>
      <c r="O274" s="32">
        <v>180</v>
      </c>
      <c r="P274" s="41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5"/>
      <c r="R274" s="295"/>
      <c r="S274" s="295"/>
      <c r="T274" s="296"/>
      <c r="U274" s="34"/>
      <c r="V274" s="34"/>
      <c r="W274" s="35" t="s">
        <v>68</v>
      </c>
      <c r="X274" s="278">
        <v>24</v>
      </c>
      <c r="Y274" s="279">
        <f t="shared" si="18"/>
        <v>24</v>
      </c>
      <c r="Z274" s="36">
        <f>IFERROR(IF(X274="","",X274*0.0155),"")</f>
        <v>0.372</v>
      </c>
      <c r="AA274" s="56"/>
      <c r="AB274" s="57"/>
      <c r="AC274" s="252" t="s">
        <v>354</v>
      </c>
      <c r="AG274" s="67"/>
      <c r="AJ274" s="71" t="s">
        <v>70</v>
      </c>
      <c r="AK274" s="71">
        <v>1</v>
      </c>
      <c r="BB274" s="253" t="s">
        <v>104</v>
      </c>
      <c r="BM274" s="67">
        <f t="shared" si="19"/>
        <v>125.52000000000001</v>
      </c>
      <c r="BN274" s="67">
        <f t="shared" si="20"/>
        <v>125.52000000000001</v>
      </c>
      <c r="BO274" s="67">
        <f t="shared" si="21"/>
        <v>0.2857142857142857</v>
      </c>
      <c r="BP274" s="67">
        <f t="shared" si="22"/>
        <v>0.2857142857142857</v>
      </c>
    </row>
    <row r="275" spans="1:68" ht="27" customHeight="1" x14ac:dyDescent="0.25">
      <c r="A275" s="54" t="s">
        <v>355</v>
      </c>
      <c r="B275" s="54" t="s">
        <v>356</v>
      </c>
      <c r="C275" s="31">
        <v>4301135374</v>
      </c>
      <c r="D275" s="285">
        <v>4640242181424</v>
      </c>
      <c r="E275" s="286"/>
      <c r="F275" s="277">
        <v>5.5</v>
      </c>
      <c r="G275" s="32">
        <v>1</v>
      </c>
      <c r="H275" s="277">
        <v>5.5</v>
      </c>
      <c r="I275" s="277">
        <v>5.7350000000000003</v>
      </c>
      <c r="J275" s="32">
        <v>84</v>
      </c>
      <c r="K275" s="32" t="s">
        <v>65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5"/>
      <c r="R275" s="295"/>
      <c r="S275" s="295"/>
      <c r="T275" s="296"/>
      <c r="U275" s="34"/>
      <c r="V275" s="34"/>
      <c r="W275" s="35" t="s">
        <v>68</v>
      </c>
      <c r="X275" s="278">
        <v>60</v>
      </c>
      <c r="Y275" s="279">
        <f t="shared" si="18"/>
        <v>60</v>
      </c>
      <c r="Z275" s="36">
        <f>IFERROR(IF(X275="","",X275*0.0155),"")</f>
        <v>0.92999999999999994</v>
      </c>
      <c r="AA275" s="56"/>
      <c r="AB275" s="57"/>
      <c r="AC275" s="254" t="s">
        <v>351</v>
      </c>
      <c r="AG275" s="67"/>
      <c r="AJ275" s="71" t="s">
        <v>103</v>
      </c>
      <c r="AK275" s="71">
        <v>12</v>
      </c>
      <c r="BB275" s="255" t="s">
        <v>104</v>
      </c>
      <c r="BM275" s="67">
        <f t="shared" si="19"/>
        <v>344.1</v>
      </c>
      <c r="BN275" s="67">
        <f t="shared" si="20"/>
        <v>344.1</v>
      </c>
      <c r="BO275" s="67">
        <f t="shared" si="21"/>
        <v>0.7142857142857143</v>
      </c>
      <c r="BP275" s="67">
        <f t="shared" si="22"/>
        <v>0.7142857142857143</v>
      </c>
    </row>
    <row r="276" spans="1:68" ht="27" customHeight="1" x14ac:dyDescent="0.25">
      <c r="A276" s="54" t="s">
        <v>357</v>
      </c>
      <c r="B276" s="54" t="s">
        <v>358</v>
      </c>
      <c r="C276" s="31">
        <v>4301135405</v>
      </c>
      <c r="D276" s="285">
        <v>4640242181523</v>
      </c>
      <c r="E276" s="286"/>
      <c r="F276" s="277">
        <v>3</v>
      </c>
      <c r="G276" s="32">
        <v>1</v>
      </c>
      <c r="H276" s="277">
        <v>3</v>
      </c>
      <c r="I276" s="277">
        <v>3.1920000000000002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5"/>
      <c r="R276" s="295"/>
      <c r="S276" s="295"/>
      <c r="T276" s="296"/>
      <c r="U276" s="34"/>
      <c r="V276" s="34"/>
      <c r="W276" s="35" t="s">
        <v>68</v>
      </c>
      <c r="X276" s="278">
        <v>98</v>
      </c>
      <c r="Y276" s="279">
        <f t="shared" si="18"/>
        <v>98</v>
      </c>
      <c r="Z276" s="36">
        <f t="shared" ref="Z276:Z281" si="23">IFERROR(IF(X276="","",X276*0.00936),"")</f>
        <v>0.91727999999999998</v>
      </c>
      <c r="AA276" s="56"/>
      <c r="AB276" s="57"/>
      <c r="AC276" s="256" t="s">
        <v>354</v>
      </c>
      <c r="AG276" s="67"/>
      <c r="AJ276" s="71" t="s">
        <v>103</v>
      </c>
      <c r="AK276" s="71">
        <v>14</v>
      </c>
      <c r="BB276" s="257" t="s">
        <v>104</v>
      </c>
      <c r="BM276" s="67">
        <f t="shared" si="19"/>
        <v>312.81600000000003</v>
      </c>
      <c r="BN276" s="67">
        <f t="shared" si="20"/>
        <v>312.81600000000003</v>
      </c>
      <c r="BO276" s="67">
        <f t="shared" si="21"/>
        <v>0.77777777777777779</v>
      </c>
      <c r="BP276" s="67">
        <f t="shared" si="22"/>
        <v>0.77777777777777779</v>
      </c>
    </row>
    <row r="277" spans="1:68" ht="27" customHeight="1" x14ac:dyDescent="0.25">
      <c r="A277" s="54" t="s">
        <v>359</v>
      </c>
      <c r="B277" s="54" t="s">
        <v>360</v>
      </c>
      <c r="C277" s="31">
        <v>4301135375</v>
      </c>
      <c r="D277" s="285">
        <v>4640242181486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101</v>
      </c>
      <c r="M277" s="33" t="s">
        <v>67</v>
      </c>
      <c r="N277" s="33"/>
      <c r="O277" s="32">
        <v>180</v>
      </c>
      <c r="P277" s="38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5"/>
      <c r="R277" s="295"/>
      <c r="S277" s="295"/>
      <c r="T277" s="296"/>
      <c r="U277" s="34"/>
      <c r="V277" s="34"/>
      <c r="W277" s="35" t="s">
        <v>68</v>
      </c>
      <c r="X277" s="278">
        <v>182</v>
      </c>
      <c r="Y277" s="279">
        <f t="shared" si="18"/>
        <v>182</v>
      </c>
      <c r="Z277" s="36">
        <f t="shared" si="23"/>
        <v>1.7035200000000001</v>
      </c>
      <c r="AA277" s="56"/>
      <c r="AB277" s="57"/>
      <c r="AC277" s="258" t="s">
        <v>351</v>
      </c>
      <c r="AG277" s="67"/>
      <c r="AJ277" s="71" t="s">
        <v>103</v>
      </c>
      <c r="AK277" s="71">
        <v>14</v>
      </c>
      <c r="BB277" s="259" t="s">
        <v>104</v>
      </c>
      <c r="BM277" s="67">
        <f t="shared" si="19"/>
        <v>708.34399999999994</v>
      </c>
      <c r="BN277" s="67">
        <f t="shared" si="20"/>
        <v>708.34399999999994</v>
      </c>
      <c r="BO277" s="67">
        <f t="shared" si="21"/>
        <v>1.4444444444444444</v>
      </c>
      <c r="BP277" s="67">
        <f t="shared" si="22"/>
        <v>1.4444444444444444</v>
      </c>
    </row>
    <row r="278" spans="1:68" ht="37.5" customHeight="1" x14ac:dyDescent="0.25">
      <c r="A278" s="54" t="s">
        <v>361</v>
      </c>
      <c r="B278" s="54" t="s">
        <v>362</v>
      </c>
      <c r="C278" s="31">
        <v>4301135402</v>
      </c>
      <c r="D278" s="285">
        <v>4640242181493</v>
      </c>
      <c r="E278" s="286"/>
      <c r="F278" s="277">
        <v>3.7</v>
      </c>
      <c r="G278" s="32">
        <v>1</v>
      </c>
      <c r="H278" s="277">
        <v>3.7</v>
      </c>
      <c r="I278" s="277">
        <v>3.8919999999999999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5"/>
      <c r="R278" s="295"/>
      <c r="S278" s="295"/>
      <c r="T278" s="296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0" t="s">
        <v>351</v>
      </c>
      <c r="AG278" s="67"/>
      <c r="AJ278" s="71" t="s">
        <v>103</v>
      </c>
      <c r="AK278" s="71">
        <v>14</v>
      </c>
      <c r="BB278" s="261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37.5" customHeight="1" x14ac:dyDescent="0.25">
      <c r="A279" s="54" t="s">
        <v>363</v>
      </c>
      <c r="B279" s="54" t="s">
        <v>364</v>
      </c>
      <c r="C279" s="31">
        <v>4301135403</v>
      </c>
      <c r="D279" s="285">
        <v>4640242181509</v>
      </c>
      <c r="E279" s="286"/>
      <c r="F279" s="277">
        <v>3.7</v>
      </c>
      <c r="G279" s="32">
        <v>1</v>
      </c>
      <c r="H279" s="277">
        <v>3.7</v>
      </c>
      <c r="I279" s="277">
        <v>3.8919999999999999</v>
      </c>
      <c r="J279" s="32">
        <v>126</v>
      </c>
      <c r="K279" s="32" t="s">
        <v>100</v>
      </c>
      <c r="L279" s="32" t="s">
        <v>66</v>
      </c>
      <c r="M279" s="33" t="s">
        <v>67</v>
      </c>
      <c r="N279" s="33"/>
      <c r="O279" s="32">
        <v>180</v>
      </c>
      <c r="P279" s="41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5"/>
      <c r="R279" s="295"/>
      <c r="S279" s="295"/>
      <c r="T279" s="296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2" t="s">
        <v>351</v>
      </c>
      <c r="AG279" s="67"/>
      <c r="AJ279" s="71" t="s">
        <v>70</v>
      </c>
      <c r="AK279" s="71">
        <v>1</v>
      </c>
      <c r="BB279" s="263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365</v>
      </c>
      <c r="B280" s="54" t="s">
        <v>366</v>
      </c>
      <c r="C280" s="31">
        <v>4301135304</v>
      </c>
      <c r="D280" s="285">
        <v>4640242181240</v>
      </c>
      <c r="E280" s="286"/>
      <c r="F280" s="277">
        <v>0.3</v>
      </c>
      <c r="G280" s="32">
        <v>9</v>
      </c>
      <c r="H280" s="277">
        <v>2.7</v>
      </c>
      <c r="I280" s="277">
        <v>2.88</v>
      </c>
      <c r="J280" s="32">
        <v>126</v>
      </c>
      <c r="K280" s="32" t="s">
        <v>100</v>
      </c>
      <c r="L280" s="32" t="s">
        <v>101</v>
      </c>
      <c r="M280" s="33" t="s">
        <v>67</v>
      </c>
      <c r="N280" s="33"/>
      <c r="O280" s="32">
        <v>180</v>
      </c>
      <c r="P280" s="36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5"/>
      <c r="R280" s="295"/>
      <c r="S280" s="295"/>
      <c r="T280" s="296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4" t="s">
        <v>351</v>
      </c>
      <c r="AG280" s="67"/>
      <c r="AJ280" s="71" t="s">
        <v>103</v>
      </c>
      <c r="AK280" s="71">
        <v>14</v>
      </c>
      <c r="BB280" s="265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t="27" customHeight="1" x14ac:dyDescent="0.25">
      <c r="A281" s="54" t="s">
        <v>367</v>
      </c>
      <c r="B281" s="54" t="s">
        <v>368</v>
      </c>
      <c r="C281" s="31">
        <v>4301135610</v>
      </c>
      <c r="D281" s="285">
        <v>4640242181318</v>
      </c>
      <c r="E281" s="286"/>
      <c r="F281" s="277">
        <v>0.3</v>
      </c>
      <c r="G281" s="32">
        <v>9</v>
      </c>
      <c r="H281" s="277">
        <v>2.7</v>
      </c>
      <c r="I281" s="277">
        <v>2.988</v>
      </c>
      <c r="J281" s="32">
        <v>126</v>
      </c>
      <c r="K281" s="32" t="s">
        <v>100</v>
      </c>
      <c r="L281" s="32" t="s">
        <v>101</v>
      </c>
      <c r="M281" s="33" t="s">
        <v>67</v>
      </c>
      <c r="N281" s="33"/>
      <c r="O281" s="32">
        <v>180</v>
      </c>
      <c r="P281" s="3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5"/>
      <c r="R281" s="295"/>
      <c r="S281" s="295"/>
      <c r="T281" s="296"/>
      <c r="U281" s="34"/>
      <c r="V281" s="34"/>
      <c r="W281" s="35" t="s">
        <v>68</v>
      </c>
      <c r="X281" s="278">
        <v>0</v>
      </c>
      <c r="Y281" s="279">
        <f t="shared" si="18"/>
        <v>0</v>
      </c>
      <c r="Z281" s="36">
        <f t="shared" si="23"/>
        <v>0</v>
      </c>
      <c r="AA281" s="56"/>
      <c r="AB281" s="57"/>
      <c r="AC281" s="266" t="s">
        <v>354</v>
      </c>
      <c r="AG281" s="67"/>
      <c r="AJ281" s="71" t="s">
        <v>103</v>
      </c>
      <c r="AK281" s="71">
        <v>14</v>
      </c>
      <c r="BB281" s="267" t="s">
        <v>104</v>
      </c>
      <c r="BM281" s="67">
        <f t="shared" si="19"/>
        <v>0</v>
      </c>
      <c r="BN281" s="67">
        <f t="shared" si="20"/>
        <v>0</v>
      </c>
      <c r="BO281" s="67">
        <f t="shared" si="21"/>
        <v>0</v>
      </c>
      <c r="BP281" s="67">
        <f t="shared" si="22"/>
        <v>0</v>
      </c>
    </row>
    <row r="282" spans="1:68" ht="27" customHeight="1" x14ac:dyDescent="0.25">
      <c r="A282" s="54" t="s">
        <v>369</v>
      </c>
      <c r="B282" s="54" t="s">
        <v>370</v>
      </c>
      <c r="C282" s="31">
        <v>4301135306</v>
      </c>
      <c r="D282" s="285">
        <v>4640242181387</v>
      </c>
      <c r="E282" s="286"/>
      <c r="F282" s="277">
        <v>0.3</v>
      </c>
      <c r="G282" s="32">
        <v>9</v>
      </c>
      <c r="H282" s="277">
        <v>2.7</v>
      </c>
      <c r="I282" s="277">
        <v>2.8450000000000002</v>
      </c>
      <c r="J282" s="32">
        <v>234</v>
      </c>
      <c r="K282" s="32" t="s">
        <v>152</v>
      </c>
      <c r="L282" s="32" t="s">
        <v>101</v>
      </c>
      <c r="M282" s="33" t="s">
        <v>67</v>
      </c>
      <c r="N282" s="33"/>
      <c r="O282" s="32">
        <v>180</v>
      </c>
      <c r="P282" s="43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5"/>
      <c r="R282" s="295"/>
      <c r="S282" s="295"/>
      <c r="T282" s="296"/>
      <c r="U282" s="34"/>
      <c r="V282" s="34"/>
      <c r="W282" s="35" t="s">
        <v>68</v>
      </c>
      <c r="X282" s="278">
        <v>0</v>
      </c>
      <c r="Y282" s="279">
        <f t="shared" si="18"/>
        <v>0</v>
      </c>
      <c r="Z282" s="36">
        <f>IFERROR(IF(X282="","",X282*0.00502),"")</f>
        <v>0</v>
      </c>
      <c r="AA282" s="56"/>
      <c r="AB282" s="57"/>
      <c r="AC282" s="268" t="s">
        <v>351</v>
      </c>
      <c r="AG282" s="67"/>
      <c r="AJ282" s="71" t="s">
        <v>103</v>
      </c>
      <c r="AK282" s="71">
        <v>18</v>
      </c>
      <c r="BB282" s="269" t="s">
        <v>104</v>
      </c>
      <c r="BM282" s="67">
        <f t="shared" si="19"/>
        <v>0</v>
      </c>
      <c r="BN282" s="67">
        <f t="shared" si="20"/>
        <v>0</v>
      </c>
      <c r="BO282" s="67">
        <f t="shared" si="21"/>
        <v>0</v>
      </c>
      <c r="BP282" s="67">
        <f t="shared" si="22"/>
        <v>0</v>
      </c>
    </row>
    <row r="283" spans="1:68" x14ac:dyDescent="0.2">
      <c r="A283" s="301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02"/>
      <c r="P283" s="289" t="s">
        <v>87</v>
      </c>
      <c r="Q283" s="290"/>
      <c r="R283" s="290"/>
      <c r="S283" s="290"/>
      <c r="T283" s="290"/>
      <c r="U283" s="290"/>
      <c r="V283" s="291"/>
      <c r="W283" s="37" t="s">
        <v>68</v>
      </c>
      <c r="X283" s="280">
        <f>IFERROR(SUM(X273:X282),"0")</f>
        <v>364</v>
      </c>
      <c r="Y283" s="280">
        <f>IFERROR(SUM(Y273:Y282),"0")</f>
        <v>364</v>
      </c>
      <c r="Z283" s="280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3.9228000000000001</v>
      </c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02"/>
      <c r="P284" s="289" t="s">
        <v>87</v>
      </c>
      <c r="Q284" s="290"/>
      <c r="R284" s="290"/>
      <c r="S284" s="290"/>
      <c r="T284" s="290"/>
      <c r="U284" s="290"/>
      <c r="V284" s="291"/>
      <c r="W284" s="37" t="s">
        <v>88</v>
      </c>
      <c r="X284" s="280">
        <f>IFERROR(SUMPRODUCT(X273:X282*H273:H282),"0")</f>
        <v>1417.4</v>
      </c>
      <c r="Y284" s="280">
        <f>IFERROR(SUMPRODUCT(Y273:Y282*H273:H282),"0")</f>
        <v>1417.4</v>
      </c>
      <c r="Z284" s="37"/>
      <c r="AA284" s="281"/>
      <c r="AB284" s="281"/>
      <c r="AC284" s="281"/>
    </row>
    <row r="285" spans="1:68" ht="15" customHeight="1" x14ac:dyDescent="0.2">
      <c r="A285" s="282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4"/>
      <c r="P285" s="384" t="s">
        <v>371</v>
      </c>
      <c r="Q285" s="362"/>
      <c r="R285" s="362"/>
      <c r="S285" s="362"/>
      <c r="T285" s="362"/>
      <c r="U285" s="362"/>
      <c r="V285" s="363"/>
      <c r="W285" s="37" t="s">
        <v>88</v>
      </c>
      <c r="X285" s="280">
        <f>IFERROR(X31+X37+X44+X51+X59+X64+X68+X73+X79+X85+X90+X96+X106+X112+X123+X127+X131+X138+X144+X150+X156+X162+X167+X172+X177+X184+X189+X198+X204+X210+X216+X221+X226+X232+X238+X244+X248+X254+X261+X265+X271+X284,"0")</f>
        <v>11480.960000000001</v>
      </c>
      <c r="Y285" s="280">
        <f>IFERROR(Y31+Y37+Y44+Y51+Y59+Y64+Y68+Y73+Y79+Y85+Y90+Y96+Y106+Y112+Y123+Y127+Y131+Y138+Y144+Y150+Y156+Y162+Y167+Y172+Y177+Y184+Y189+Y198+Y204+Y210+Y216+Y221+Y226+Y232+Y238+Y244+Y248+Y254+Y261+Y265+Y271+Y284,"0")</f>
        <v>11480.960000000001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4"/>
      <c r="P286" s="384" t="s">
        <v>372</v>
      </c>
      <c r="Q286" s="362"/>
      <c r="R286" s="362"/>
      <c r="S286" s="362"/>
      <c r="T286" s="362"/>
      <c r="U286" s="362"/>
      <c r="V286" s="363"/>
      <c r="W286" s="37" t="s">
        <v>88</v>
      </c>
      <c r="X286" s="280">
        <f>IFERROR(SUM(BM22:BM282),"0")</f>
        <v>12695.868800000004</v>
      </c>
      <c r="Y286" s="280">
        <f>IFERROR(SUM(BN22:BN282),"0")</f>
        <v>12695.868800000004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4"/>
      <c r="P287" s="384" t="s">
        <v>373</v>
      </c>
      <c r="Q287" s="362"/>
      <c r="R287" s="362"/>
      <c r="S287" s="362"/>
      <c r="T287" s="362"/>
      <c r="U287" s="362"/>
      <c r="V287" s="363"/>
      <c r="W287" s="37" t="s">
        <v>374</v>
      </c>
      <c r="X287" s="38">
        <f>ROUNDUP(SUM(BO22:BO282),0)</f>
        <v>34</v>
      </c>
      <c r="Y287" s="38">
        <f>ROUNDUP(SUM(BP22:BP282),0)</f>
        <v>34</v>
      </c>
      <c r="Z287" s="37"/>
      <c r="AA287" s="281"/>
      <c r="AB287" s="281"/>
      <c r="AC287" s="281"/>
    </row>
    <row r="288" spans="1:68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4"/>
      <c r="P288" s="384" t="s">
        <v>375</v>
      </c>
      <c r="Q288" s="362"/>
      <c r="R288" s="362"/>
      <c r="S288" s="362"/>
      <c r="T288" s="362"/>
      <c r="U288" s="362"/>
      <c r="V288" s="363"/>
      <c r="W288" s="37" t="s">
        <v>88</v>
      </c>
      <c r="X288" s="280">
        <f>GrossWeightTotal+PalletQtyTotal*25</f>
        <v>13545.868800000004</v>
      </c>
      <c r="Y288" s="280">
        <f>GrossWeightTotalR+PalletQtyTotalR*25</f>
        <v>13545.868800000004</v>
      </c>
      <c r="Z288" s="37"/>
      <c r="AA288" s="281"/>
      <c r="AB288" s="281"/>
      <c r="AC288" s="281"/>
    </row>
    <row r="289" spans="1:33" x14ac:dyDescent="0.2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4"/>
      <c r="P289" s="384" t="s">
        <v>376</v>
      </c>
      <c r="Q289" s="362"/>
      <c r="R289" s="362"/>
      <c r="S289" s="362"/>
      <c r="T289" s="362"/>
      <c r="U289" s="362"/>
      <c r="V289" s="363"/>
      <c r="W289" s="37" t="s">
        <v>374</v>
      </c>
      <c r="X289" s="280">
        <f>IFERROR(X30+X36+X43+X50+X58+X63+X67+X72+X78+X84+X89+X95+X105+X111+X122+X126+X130+X137+X143+X149+X155+X161+X166+X171+X176+X183+X188+X197+X203+X209+X215+X220+X225+X231+X237+X243+X247+X253+X260+X264+X270+X283,"0")</f>
        <v>3008</v>
      </c>
      <c r="Y289" s="280">
        <f>IFERROR(Y30+Y36+Y43+Y50+Y58+Y63+Y67+Y72+Y78+Y84+Y89+Y95+Y105+Y111+Y122+Y126+Y130+Y137+Y143+Y149+Y155+Y161+Y166+Y171+Y176+Y183+Y188+Y197+Y203+Y209+Y215+Y220+Y225+Y231+Y237+Y243+Y247+Y253+Y260+Y264+Y270+Y283,"0")</f>
        <v>3008</v>
      </c>
      <c r="Z289" s="37"/>
      <c r="AA289" s="281"/>
      <c r="AB289" s="281"/>
      <c r="AC289" s="281"/>
    </row>
    <row r="290" spans="1:33" ht="14.25" customHeight="1" x14ac:dyDescent="0.2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4"/>
      <c r="P290" s="384" t="s">
        <v>377</v>
      </c>
      <c r="Q290" s="362"/>
      <c r="R290" s="362"/>
      <c r="S290" s="362"/>
      <c r="T290" s="362"/>
      <c r="U290" s="362"/>
      <c r="V290" s="363"/>
      <c r="W290" s="39" t="s">
        <v>378</v>
      </c>
      <c r="X290" s="37"/>
      <c r="Y290" s="37"/>
      <c r="Z290" s="37">
        <f>IFERROR(Z30+Z36+Z43+Z50+Z58+Z63+Z67+Z72+Z78+Z84+Z89+Z95+Z105+Z111+Z122+Z126+Z130+Z137+Z143+Z149+Z155+Z161+Z166+Z171+Z176+Z183+Z188+Z197+Z203+Z209+Z215+Z220+Z225+Z231+Z237+Z243+Z247+Z253+Z260+Z264+Z270+Z283,"0")</f>
        <v>42.863619999999997</v>
      </c>
      <c r="AA290" s="281"/>
      <c r="AB290" s="281"/>
      <c r="AC290" s="281"/>
    </row>
    <row r="291" spans="1:33" ht="13.5" customHeight="1" thickBot="1" x14ac:dyDescent="0.25"/>
    <row r="292" spans="1:33" ht="27" customHeight="1" thickTop="1" thickBot="1" x14ac:dyDescent="0.25">
      <c r="A292" s="40" t="s">
        <v>379</v>
      </c>
      <c r="B292" s="303" t="s">
        <v>61</v>
      </c>
      <c r="C292" s="306"/>
      <c r="D292" s="303" t="s">
        <v>95</v>
      </c>
      <c r="E292" s="305"/>
      <c r="F292" s="305"/>
      <c r="G292" s="305"/>
      <c r="H292" s="305"/>
      <c r="I292" s="305"/>
      <c r="J292" s="305"/>
      <c r="K292" s="305"/>
      <c r="L292" s="305"/>
      <c r="M292" s="305"/>
      <c r="N292" s="305"/>
      <c r="O292" s="305"/>
      <c r="P292" s="305"/>
      <c r="Q292" s="305"/>
      <c r="R292" s="305"/>
      <c r="S292" s="305"/>
      <c r="T292" s="305"/>
      <c r="U292" s="306"/>
      <c r="V292" s="303" t="s">
        <v>259</v>
      </c>
      <c r="W292" s="306"/>
      <c r="X292" s="275" t="s">
        <v>270</v>
      </c>
      <c r="Y292" s="303" t="s">
        <v>284</v>
      </c>
      <c r="Z292" s="305"/>
      <c r="AA292" s="305"/>
      <c r="AB292" s="306"/>
      <c r="AC292" s="275" t="s">
        <v>313</v>
      </c>
      <c r="AD292" s="275" t="s">
        <v>318</v>
      </c>
      <c r="AE292" s="275" t="s">
        <v>321</v>
      </c>
      <c r="AF292" s="275" t="s">
        <v>329</v>
      </c>
      <c r="AG292" s="275" t="s">
        <v>333</v>
      </c>
    </row>
    <row r="293" spans="1:33" ht="14.25" customHeight="1" thickTop="1" x14ac:dyDescent="0.2">
      <c r="A293" s="353" t="s">
        <v>380</v>
      </c>
      <c r="B293" s="303" t="s">
        <v>61</v>
      </c>
      <c r="C293" s="303" t="s">
        <v>89</v>
      </c>
      <c r="D293" s="303" t="s">
        <v>96</v>
      </c>
      <c r="E293" s="303" t="s">
        <v>107</v>
      </c>
      <c r="F293" s="303" t="s">
        <v>117</v>
      </c>
      <c r="G293" s="303" t="s">
        <v>128</v>
      </c>
      <c r="H293" s="303" t="s">
        <v>149</v>
      </c>
      <c r="I293" s="303" t="s">
        <v>156</v>
      </c>
      <c r="J293" s="303" t="s">
        <v>160</v>
      </c>
      <c r="K293" s="303" t="s">
        <v>168</v>
      </c>
      <c r="L293" s="303" t="s">
        <v>183</v>
      </c>
      <c r="M293" s="303" t="s">
        <v>189</v>
      </c>
      <c r="N293" s="276"/>
      <c r="O293" s="303" t="s">
        <v>214</v>
      </c>
      <c r="P293" s="303" t="s">
        <v>230</v>
      </c>
      <c r="Q293" s="303" t="s">
        <v>236</v>
      </c>
      <c r="R293" s="303" t="s">
        <v>243</v>
      </c>
      <c r="S293" s="303" t="s">
        <v>248</v>
      </c>
      <c r="T293" s="303" t="s">
        <v>252</v>
      </c>
      <c r="U293" s="303" t="s">
        <v>255</v>
      </c>
      <c r="V293" s="303" t="s">
        <v>260</v>
      </c>
      <c r="W293" s="303" t="s">
        <v>267</v>
      </c>
      <c r="X293" s="303" t="s">
        <v>271</v>
      </c>
      <c r="Y293" s="303" t="s">
        <v>285</v>
      </c>
      <c r="Z293" s="303" t="s">
        <v>298</v>
      </c>
      <c r="AA293" s="303" t="s">
        <v>305</v>
      </c>
      <c r="AB293" s="303" t="s">
        <v>309</v>
      </c>
      <c r="AC293" s="303" t="s">
        <v>314</v>
      </c>
      <c r="AD293" s="303" t="s">
        <v>267</v>
      </c>
      <c r="AE293" s="303" t="s">
        <v>322</v>
      </c>
      <c r="AF293" s="303" t="s">
        <v>329</v>
      </c>
      <c r="AG293" s="303" t="s">
        <v>333</v>
      </c>
    </row>
    <row r="294" spans="1:33" ht="13.5" customHeight="1" thickBot="1" x14ac:dyDescent="0.25">
      <c r="A294" s="354"/>
      <c r="B294" s="304"/>
      <c r="C294" s="304"/>
      <c r="D294" s="304"/>
      <c r="E294" s="304"/>
      <c r="F294" s="304"/>
      <c r="G294" s="304"/>
      <c r="H294" s="304"/>
      <c r="I294" s="304"/>
      <c r="J294" s="304"/>
      <c r="K294" s="304"/>
      <c r="L294" s="304"/>
      <c r="M294" s="304"/>
      <c r="N294" s="276"/>
      <c r="O294" s="304"/>
      <c r="P294" s="304"/>
      <c r="Q294" s="304"/>
      <c r="R294" s="304"/>
      <c r="S294" s="304"/>
      <c r="T294" s="304"/>
      <c r="U294" s="304"/>
      <c r="V294" s="304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</row>
    <row r="295" spans="1:33" ht="18" customHeight="1" thickTop="1" thickBot="1" x14ac:dyDescent="0.25">
      <c r="A295" s="40" t="s">
        <v>381</v>
      </c>
      <c r="B295" s="46">
        <f>IFERROR(X22*H22,"0")+IFERROR(X23*H23,"0")+IFERROR(X24*H24,"0")+IFERROR(X25*H25,"0")+IFERROR(X26*H26,"0")+IFERROR(X27*H27,"0")+IFERROR(X28*H28,"0")+IFERROR(X29*H29,"0")</f>
        <v>432</v>
      </c>
      <c r="C295" s="46">
        <f>IFERROR(X34*H34,"0")+IFERROR(X35*H35,"0")</f>
        <v>0</v>
      </c>
      <c r="D295" s="46">
        <f>IFERROR(X41*H41,"0")+IFERROR(X42*H42,"0")</f>
        <v>168</v>
      </c>
      <c r="E295" s="46">
        <f>IFERROR(X47*H47,"0")+IFERROR(X48*H48,"0")+IFERROR(X49*H49,"0")</f>
        <v>403.2</v>
      </c>
      <c r="F295" s="46">
        <f>IFERROR(X54*H54,"0")+IFERROR(X55*H55,"0")+IFERROR(X56*H56,"0")+IFERROR(X57*H57,"0")</f>
        <v>336</v>
      </c>
      <c r="G295" s="46">
        <f>IFERROR(X62*H62,"0")+IFERROR(X66*H66,"0")+IFERROR(X70*H70,"0")+IFERROR(X71*H71,"0")+IFERROR(X75*H75,"0")+IFERROR(X76*H76,"0")+IFERROR(X77*H77,"0")</f>
        <v>0</v>
      </c>
      <c r="H295" s="46">
        <f>IFERROR(X82*H82,"0")+IFERROR(X83*H83,"0")</f>
        <v>660</v>
      </c>
      <c r="I295" s="46">
        <f>IFERROR(X88*H88,"0")</f>
        <v>50.4</v>
      </c>
      <c r="J295" s="46">
        <f>IFERROR(X93*H93,"0")+IFERROR(X94*H94,"0")</f>
        <v>554.40000000000009</v>
      </c>
      <c r="K295" s="46">
        <f>IFERROR(X99*H99,"0")+IFERROR(X100*H100,"0")+IFERROR(X101*H101,"0")+IFERROR(X102*H102,"0")+IFERROR(X103*H103,"0")+IFERROR(X104*H104,"0")</f>
        <v>819.83999999999992</v>
      </c>
      <c r="L295" s="46">
        <f>IFERROR(X109*H109,"0")+IFERROR(X110*H110,"0")</f>
        <v>110.88</v>
      </c>
      <c r="M295" s="46">
        <f>IFERROR(X115*H115,"0")+IFERROR(X116*H116,"0")+IFERROR(X117*H117,"0")+IFERROR(X118*H118,"0")+IFERROR(X119*H119,"0")+IFERROR(X120*H120,"0")+IFERROR(X121*H121,"0")+IFERROR(X125*H125,"0")+IFERROR(X129*H129,"0")</f>
        <v>1406.4</v>
      </c>
      <c r="N295" s="276"/>
      <c r="O295" s="46">
        <f>IFERROR(X134*H134,"0")+IFERROR(X135*H135,"0")+IFERROR(X136*H136,"0")+IFERROR(X140*H140,"0")+IFERROR(X141*H141,"0")+IFERROR(X142*H142,"0")</f>
        <v>253.68</v>
      </c>
      <c r="P295" s="46">
        <f>IFERROR(X147*H147,"0")+IFERROR(X148*H148,"0")</f>
        <v>714</v>
      </c>
      <c r="Q295" s="46">
        <f>IFERROR(X153*H153,"0")+IFERROR(X154*H154,"0")</f>
        <v>378</v>
      </c>
      <c r="R295" s="46">
        <f>IFERROR(X159*H159,"0")+IFERROR(X160*H160,"0")</f>
        <v>268.8</v>
      </c>
      <c r="S295" s="46">
        <f>IFERROR(X165*H165,"0")</f>
        <v>0</v>
      </c>
      <c r="T295" s="46">
        <f>IFERROR(X170*H170,"0")</f>
        <v>0</v>
      </c>
      <c r="U295" s="46">
        <f>IFERROR(X175*H175,"0")</f>
        <v>211.67999999999998</v>
      </c>
      <c r="V295" s="46">
        <f>IFERROR(X181*H181,"0")+IFERROR(X182*H182,"0")</f>
        <v>360</v>
      </c>
      <c r="W295" s="46">
        <f>IFERROR(X187*H187,"0")</f>
        <v>0</v>
      </c>
      <c r="X295" s="46">
        <f>IFERROR(X193*H193,"0")+IFERROR(X194*H194,"0")+IFERROR(X195*H195,"0")+IFERROR(X196*H196,"0")</f>
        <v>378</v>
      </c>
      <c r="Y295" s="46">
        <f>IFERROR(X202*H202,"0")+IFERROR(X206*H206,"0")+IFERROR(X207*H207,"0")+IFERROR(X208*H208,"0")</f>
        <v>77.28</v>
      </c>
      <c r="Z295" s="46">
        <f>IFERROR(X213*H213,"0")+IFERROR(X214*H214,"0")</f>
        <v>0</v>
      </c>
      <c r="AA295" s="46">
        <f>IFERROR(X219*H219,"0")</f>
        <v>180</v>
      </c>
      <c r="AB295" s="46">
        <f>IFERROR(X224*H224,"0")</f>
        <v>0</v>
      </c>
      <c r="AC295" s="46">
        <f>IFERROR(X230*H230,"0")</f>
        <v>0</v>
      </c>
      <c r="AD295" s="46">
        <f>IFERROR(X236*H236,"0")</f>
        <v>0</v>
      </c>
      <c r="AE295" s="46">
        <f>IFERROR(X242*H242,"0")+IFERROR(X246*H246,"0")</f>
        <v>0</v>
      </c>
      <c r="AF295" s="46">
        <f>IFERROR(X252*H252,"0")</f>
        <v>0</v>
      </c>
      <c r="AG295" s="46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3718.4</v>
      </c>
    </row>
    <row r="296" spans="1:33" ht="13.5" customHeight="1" thickTop="1" x14ac:dyDescent="0.2">
      <c r="C296" s="276"/>
    </row>
    <row r="297" spans="1:33" ht="19.5" customHeight="1" x14ac:dyDescent="0.2">
      <c r="A297" s="58" t="s">
        <v>382</v>
      </c>
      <c r="B297" s="58" t="s">
        <v>383</v>
      </c>
      <c r="C297" s="58" t="s">
        <v>384</v>
      </c>
    </row>
    <row r="298" spans="1:33" x14ac:dyDescent="0.2">
      <c r="A298" s="59">
        <f>SUMPRODUCT(--(BB:BB="ЗПФ"),--(W:W="кор"),H:H,Y:Y)+SUMPRODUCT(--(BB:BB="ЗПФ"),--(W:W="кг"),Y:Y)</f>
        <v>4029.6000000000004</v>
      </c>
      <c r="B298" s="60">
        <f>SUMPRODUCT(--(BB:BB="ПГП"),--(W:W="кор"),H:H,Y:Y)+SUMPRODUCT(--(BB:BB="ПГП"),--(W:W="кг"),Y:Y)</f>
        <v>7451.3599999999988</v>
      </c>
      <c r="C298" s="60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6">
    <mergeCell ref="AB293:AB294"/>
    <mergeCell ref="A21:Z21"/>
    <mergeCell ref="D121:E121"/>
    <mergeCell ref="D42:E42"/>
    <mergeCell ref="V292:W292"/>
    <mergeCell ref="D17:E18"/>
    <mergeCell ref="P71:T71"/>
    <mergeCell ref="P202:T202"/>
    <mergeCell ref="A188:O189"/>
    <mergeCell ref="X17:X18"/>
    <mergeCell ref="A52:Z52"/>
    <mergeCell ref="D110:E110"/>
    <mergeCell ref="P216:V216"/>
    <mergeCell ref="E293:E294"/>
    <mergeCell ref="A245:Z245"/>
    <mergeCell ref="G293:G294"/>
    <mergeCell ref="P43:V43"/>
    <mergeCell ref="A39:Z39"/>
    <mergeCell ref="I293:I294"/>
    <mergeCell ref="P285:V285"/>
    <mergeCell ref="A215:O216"/>
    <mergeCell ref="P25:T25"/>
    <mergeCell ref="D57:E57"/>
    <mergeCell ref="A260:O261"/>
    <mergeCell ref="D268:E268"/>
    <mergeCell ref="P138:V138"/>
    <mergeCell ref="A137:O138"/>
    <mergeCell ref="A197:O198"/>
    <mergeCell ref="A128:Z128"/>
    <mergeCell ref="A255:Z255"/>
    <mergeCell ref="A217:Z217"/>
    <mergeCell ref="Z293:Z294"/>
    <mergeCell ref="A192:Z192"/>
    <mergeCell ref="AA293:AA294"/>
    <mergeCell ref="D23:E23"/>
    <mergeCell ref="AC293:AC294"/>
    <mergeCell ref="A20:Z20"/>
    <mergeCell ref="D252:E252"/>
    <mergeCell ref="P110:T110"/>
    <mergeCell ref="P137:V137"/>
    <mergeCell ref="P197:V197"/>
    <mergeCell ref="A249:Z249"/>
    <mergeCell ref="P289:V289"/>
    <mergeCell ref="A114:Z114"/>
    <mergeCell ref="P68:V68"/>
    <mergeCell ref="A257:Z257"/>
    <mergeCell ref="A191:Z191"/>
    <mergeCell ref="D276:E276"/>
    <mergeCell ref="A107:Z107"/>
    <mergeCell ref="A178:Z178"/>
    <mergeCell ref="D170:E170"/>
    <mergeCell ref="A58:O59"/>
    <mergeCell ref="D49:E49"/>
    <mergeCell ref="D242:E242"/>
    <mergeCell ref="D120:E120"/>
    <mergeCell ref="P290:V290"/>
    <mergeCell ref="D278:E278"/>
    <mergeCell ref="AD17:AF18"/>
    <mergeCell ref="P167:V167"/>
    <mergeCell ref="D101:E101"/>
    <mergeCell ref="A132:Z132"/>
    <mergeCell ref="D76:E76"/>
    <mergeCell ref="F5:G5"/>
    <mergeCell ref="P144:V144"/>
    <mergeCell ref="D175:E175"/>
    <mergeCell ref="A36:O37"/>
    <mergeCell ref="P82:T82"/>
    <mergeCell ref="V11:W11"/>
    <mergeCell ref="P57:T57"/>
    <mergeCell ref="D165:E165"/>
    <mergeCell ref="P75:T75"/>
    <mergeCell ref="P121:T121"/>
    <mergeCell ref="D29:E29"/>
    <mergeCell ref="N17:N18"/>
    <mergeCell ref="F17:F18"/>
    <mergeCell ref="Q5:R5"/>
    <mergeCell ref="P136:T136"/>
    <mergeCell ref="P70:T70"/>
    <mergeCell ref="A149:O150"/>
    <mergeCell ref="Q6:R6"/>
    <mergeCell ref="P134:T134"/>
    <mergeCell ref="P287:V287"/>
    <mergeCell ref="R293:R294"/>
    <mergeCell ref="P62:T62"/>
    <mergeCell ref="P2:W3"/>
    <mergeCell ref="P54:T54"/>
    <mergeCell ref="D35:E35"/>
    <mergeCell ref="D10:E10"/>
    <mergeCell ref="P135:T135"/>
    <mergeCell ref="F10:G10"/>
    <mergeCell ref="D34:E34"/>
    <mergeCell ref="D99:E99"/>
    <mergeCell ref="P78:V78"/>
    <mergeCell ref="A201:Z201"/>
    <mergeCell ref="A223:Z223"/>
    <mergeCell ref="D279:E279"/>
    <mergeCell ref="P181:T181"/>
    <mergeCell ref="P263:T263"/>
    <mergeCell ref="H293:H294"/>
    <mergeCell ref="D102:E102"/>
    <mergeCell ref="A33:Z33"/>
    <mergeCell ref="D196:E196"/>
    <mergeCell ref="D25:E25"/>
    <mergeCell ref="A126:O127"/>
    <mergeCell ref="P210:V210"/>
    <mergeCell ref="P286:V286"/>
    <mergeCell ref="A233:Z233"/>
    <mergeCell ref="M17:M18"/>
    <mergeCell ref="O17:O18"/>
    <mergeCell ref="P131:V131"/>
    <mergeCell ref="A235:Z235"/>
    <mergeCell ref="P102:T102"/>
    <mergeCell ref="P189:V189"/>
    <mergeCell ref="A185:Z185"/>
    <mergeCell ref="P196:T196"/>
    <mergeCell ref="A262:Z262"/>
    <mergeCell ref="D54:E54"/>
    <mergeCell ref="P283:V283"/>
    <mergeCell ref="P83:T83"/>
    <mergeCell ref="P122:V122"/>
    <mergeCell ref="U17:V17"/>
    <mergeCell ref="Y17:Y18"/>
    <mergeCell ref="H5:M5"/>
    <mergeCell ref="P31:V31"/>
    <mergeCell ref="T293:T294"/>
    <mergeCell ref="D6:M6"/>
    <mergeCell ref="P175:T175"/>
    <mergeCell ref="P95:V95"/>
    <mergeCell ref="D83:E83"/>
    <mergeCell ref="P93:T93"/>
    <mergeCell ref="D207:E207"/>
    <mergeCell ref="P269:T269"/>
    <mergeCell ref="A231:O232"/>
    <mergeCell ref="P35:T35"/>
    <mergeCell ref="G17:G18"/>
    <mergeCell ref="P184:V184"/>
    <mergeCell ref="P171:V171"/>
    <mergeCell ref="D159:E159"/>
    <mergeCell ref="A169:Z169"/>
    <mergeCell ref="P123:V123"/>
    <mergeCell ref="D136:E136"/>
    <mergeCell ref="A176:O177"/>
    <mergeCell ref="P282:T282"/>
    <mergeCell ref="D154:E154"/>
    <mergeCell ref="A227:Z227"/>
    <mergeCell ref="P48:T48"/>
    <mergeCell ref="AD293:AD294"/>
    <mergeCell ref="P109:T109"/>
    <mergeCell ref="P274:T274"/>
    <mergeCell ref="A155:O156"/>
    <mergeCell ref="P193:T193"/>
    <mergeCell ref="P22:T22"/>
    <mergeCell ref="A61:Z61"/>
    <mergeCell ref="D194:E194"/>
    <mergeCell ref="Z17:Z18"/>
    <mergeCell ref="AB17:AB18"/>
    <mergeCell ref="P271:V271"/>
    <mergeCell ref="P265:V265"/>
    <mergeCell ref="A212:Z212"/>
    <mergeCell ref="P44:V44"/>
    <mergeCell ref="P237:V237"/>
    <mergeCell ref="A105:O106"/>
    <mergeCell ref="A243:O244"/>
    <mergeCell ref="P125:T125"/>
    <mergeCell ref="D202:E202"/>
    <mergeCell ref="A179:Z179"/>
    <mergeCell ref="A91:Z91"/>
    <mergeCell ref="P41:T41"/>
    <mergeCell ref="A157:Z157"/>
    <mergeCell ref="D22:E22"/>
    <mergeCell ref="K293:K294"/>
    <mergeCell ref="D273:E273"/>
    <mergeCell ref="P105:V105"/>
    <mergeCell ref="AA17:AA18"/>
    <mergeCell ref="H10:M10"/>
    <mergeCell ref="AC17:AC18"/>
    <mergeCell ref="P279:T279"/>
    <mergeCell ref="P209:V209"/>
    <mergeCell ref="A199:Z199"/>
    <mergeCell ref="D153:E153"/>
    <mergeCell ref="Q13:R13"/>
    <mergeCell ref="A222:Z222"/>
    <mergeCell ref="P34:T34"/>
    <mergeCell ref="P276:T276"/>
    <mergeCell ref="P214:T214"/>
    <mergeCell ref="S293:S294"/>
    <mergeCell ref="D213:E213"/>
    <mergeCell ref="U293:U294"/>
    <mergeCell ref="P49:T49"/>
    <mergeCell ref="P284:V284"/>
    <mergeCell ref="A166:O167"/>
    <mergeCell ref="P278:T278"/>
    <mergeCell ref="P101:T101"/>
    <mergeCell ref="P63:V63"/>
    <mergeCell ref="A146:Z146"/>
    <mergeCell ref="D269:E269"/>
    <mergeCell ref="P27:T27"/>
    <mergeCell ref="P154:T154"/>
    <mergeCell ref="A84:O85"/>
    <mergeCell ref="D75:E75"/>
    <mergeCell ref="A78:O79"/>
    <mergeCell ref="P247:V247"/>
    <mergeCell ref="D206:E206"/>
    <mergeCell ref="D181:E181"/>
    <mergeCell ref="A50:O51"/>
    <mergeCell ref="A158:Z158"/>
    <mergeCell ref="P50:V50"/>
    <mergeCell ref="AG293:AG294"/>
    <mergeCell ref="A256:Z256"/>
    <mergeCell ref="P231:V231"/>
    <mergeCell ref="A15:M15"/>
    <mergeCell ref="P115:T115"/>
    <mergeCell ref="D48:E48"/>
    <mergeCell ref="A133:Z133"/>
    <mergeCell ref="P77:T77"/>
    <mergeCell ref="D125:E125"/>
    <mergeCell ref="A283:O284"/>
    <mergeCell ref="P141:T141"/>
    <mergeCell ref="D62:E62"/>
    <mergeCell ref="D56:E56"/>
    <mergeCell ref="D193:E193"/>
    <mergeCell ref="P206:T206"/>
    <mergeCell ref="P155:V155"/>
    <mergeCell ref="P220:V220"/>
    <mergeCell ref="A38:Z38"/>
    <mergeCell ref="P207:T207"/>
    <mergeCell ref="J293:J294"/>
    <mergeCell ref="P172:V172"/>
    <mergeCell ref="P150:V150"/>
    <mergeCell ref="L293:L294"/>
    <mergeCell ref="P221:V221"/>
    <mergeCell ref="AF293:AF294"/>
    <mergeCell ref="P126:V126"/>
    <mergeCell ref="P224:T224"/>
    <mergeCell ref="P24:T24"/>
    <mergeCell ref="P225:V225"/>
    <mergeCell ref="P88:T88"/>
    <mergeCell ref="P26:T26"/>
    <mergeCell ref="P153:T153"/>
    <mergeCell ref="A72:O73"/>
    <mergeCell ref="A143:O144"/>
    <mergeCell ref="A270:O271"/>
    <mergeCell ref="A92:Z92"/>
    <mergeCell ref="P58:V58"/>
    <mergeCell ref="P79:V79"/>
    <mergeCell ref="D292:U292"/>
    <mergeCell ref="P244:V244"/>
    <mergeCell ref="P73:V73"/>
    <mergeCell ref="AE293:AE294"/>
    <mergeCell ref="A69:Z69"/>
    <mergeCell ref="P215:V215"/>
    <mergeCell ref="A40:Z40"/>
    <mergeCell ref="A211:Z211"/>
    <mergeCell ref="A186:Z186"/>
    <mergeCell ref="P30:V30"/>
    <mergeCell ref="T5:U5"/>
    <mergeCell ref="D119:E119"/>
    <mergeCell ref="P76:T76"/>
    <mergeCell ref="V5:W5"/>
    <mergeCell ref="D246:E246"/>
    <mergeCell ref="D282:E282"/>
    <mergeCell ref="Q8:R8"/>
    <mergeCell ref="P140:T140"/>
    <mergeCell ref="P267:T267"/>
    <mergeCell ref="D275:E275"/>
    <mergeCell ref="D219:E219"/>
    <mergeCell ref="P254:V254"/>
    <mergeCell ref="D104:E104"/>
    <mergeCell ref="T6:U9"/>
    <mergeCell ref="A30:O31"/>
    <mergeCell ref="Q10:R10"/>
    <mergeCell ref="D41:E41"/>
    <mergeCell ref="D277:E277"/>
    <mergeCell ref="P85:V85"/>
    <mergeCell ref="P84:V84"/>
    <mergeCell ref="P149:V149"/>
    <mergeCell ref="A145:Z145"/>
    <mergeCell ref="A272:Z272"/>
    <mergeCell ref="A139:Z139"/>
    <mergeCell ref="P277:T277"/>
    <mergeCell ref="P72:V72"/>
    <mergeCell ref="A251:Z251"/>
    <mergeCell ref="P288:V288"/>
    <mergeCell ref="W293:W294"/>
    <mergeCell ref="Y293:Y294"/>
    <mergeCell ref="A53:Z53"/>
    <mergeCell ref="A12:M12"/>
    <mergeCell ref="A180:Z180"/>
    <mergeCell ref="A240:Z240"/>
    <mergeCell ref="P243:V243"/>
    <mergeCell ref="A190:Z190"/>
    <mergeCell ref="A19:Z19"/>
    <mergeCell ref="D182:E182"/>
    <mergeCell ref="A14:M14"/>
    <mergeCell ref="D280:E280"/>
    <mergeCell ref="D109:E109"/>
    <mergeCell ref="M293:M294"/>
    <mergeCell ref="A13:M13"/>
    <mergeCell ref="P159:T159"/>
    <mergeCell ref="D140:E140"/>
    <mergeCell ref="D267:E267"/>
    <mergeCell ref="H17:H18"/>
    <mergeCell ref="A220:O221"/>
    <mergeCell ref="A5:C5"/>
    <mergeCell ref="P64:V64"/>
    <mergeCell ref="P51:V51"/>
    <mergeCell ref="A174:Z174"/>
    <mergeCell ref="A108:Z108"/>
    <mergeCell ref="P195:T195"/>
    <mergeCell ref="A17:A18"/>
    <mergeCell ref="K17:K18"/>
    <mergeCell ref="C17:C18"/>
    <mergeCell ref="D103:E103"/>
    <mergeCell ref="P66:T66"/>
    <mergeCell ref="D9:E9"/>
    <mergeCell ref="D118:E118"/>
    <mergeCell ref="A183:O184"/>
    <mergeCell ref="F9:G9"/>
    <mergeCell ref="P67:V67"/>
    <mergeCell ref="A122:O123"/>
    <mergeCell ref="A98:Z98"/>
    <mergeCell ref="D27:E27"/>
    <mergeCell ref="A67:O68"/>
    <mergeCell ref="P15:T16"/>
    <mergeCell ref="D116:E116"/>
    <mergeCell ref="P23:T23"/>
    <mergeCell ref="A164:Z164"/>
    <mergeCell ref="P182:T182"/>
    <mergeCell ref="V293:V294"/>
    <mergeCell ref="P280:T280"/>
    <mergeCell ref="A203:O204"/>
    <mergeCell ref="X293:X294"/>
    <mergeCell ref="A130:O131"/>
    <mergeCell ref="Q12:R12"/>
    <mergeCell ref="P119:T119"/>
    <mergeCell ref="P183:V183"/>
    <mergeCell ref="P246:T246"/>
    <mergeCell ref="A43:O44"/>
    <mergeCell ref="P127:V127"/>
    <mergeCell ref="P198:V198"/>
    <mergeCell ref="A250:Z250"/>
    <mergeCell ref="D230:E230"/>
    <mergeCell ref="P238:V238"/>
    <mergeCell ref="A247:O248"/>
    <mergeCell ref="P253:V253"/>
    <mergeCell ref="P204:V204"/>
    <mergeCell ref="B292:C292"/>
    <mergeCell ref="B293:B294"/>
    <mergeCell ref="D293:D294"/>
    <mergeCell ref="P208:T208"/>
    <mergeCell ref="P219:T219"/>
    <mergeCell ref="Q9:R9"/>
    <mergeCell ref="A113:Z113"/>
    <mergeCell ref="P36:V36"/>
    <mergeCell ref="A32:Z32"/>
    <mergeCell ref="D24:E24"/>
    <mergeCell ref="A97:Z97"/>
    <mergeCell ref="Q11:R11"/>
    <mergeCell ref="A6:C6"/>
    <mergeCell ref="P118:T118"/>
    <mergeCell ref="D88:E88"/>
    <mergeCell ref="D26:E26"/>
    <mergeCell ref="P117:T117"/>
    <mergeCell ref="P55:T55"/>
    <mergeCell ref="D115:E115"/>
    <mergeCell ref="D93:E93"/>
    <mergeCell ref="J9:M9"/>
    <mergeCell ref="V6:W9"/>
    <mergeCell ref="A9:C9"/>
    <mergeCell ref="V12:W12"/>
    <mergeCell ref="A8:C8"/>
    <mergeCell ref="A10:C10"/>
    <mergeCell ref="D1:F1"/>
    <mergeCell ref="P47:T47"/>
    <mergeCell ref="P111:V111"/>
    <mergeCell ref="A234:Z234"/>
    <mergeCell ref="J17:J18"/>
    <mergeCell ref="D82:E82"/>
    <mergeCell ref="L17:L18"/>
    <mergeCell ref="P112:V112"/>
    <mergeCell ref="D100:E100"/>
    <mergeCell ref="A173:Z173"/>
    <mergeCell ref="A229:Z229"/>
    <mergeCell ref="P17:T18"/>
    <mergeCell ref="P129:T129"/>
    <mergeCell ref="P194:T194"/>
    <mergeCell ref="D77:E77"/>
    <mergeCell ref="P187:T187"/>
    <mergeCell ref="A111:O112"/>
    <mergeCell ref="A168:Z168"/>
    <mergeCell ref="D160:E160"/>
    <mergeCell ref="I17:I18"/>
    <mergeCell ref="D141:E141"/>
    <mergeCell ref="P176:V176"/>
    <mergeCell ref="D135:E135"/>
    <mergeCell ref="P203:V203"/>
    <mergeCell ref="H1:Q1"/>
    <mergeCell ref="D214:E214"/>
    <mergeCell ref="A74:Z74"/>
    <mergeCell ref="P120:T120"/>
    <mergeCell ref="D259:E259"/>
    <mergeCell ref="A237:O238"/>
    <mergeCell ref="A163:Z163"/>
    <mergeCell ref="D28:E28"/>
    <mergeCell ref="D236:E236"/>
    <mergeCell ref="D117:E117"/>
    <mergeCell ref="D55:E55"/>
    <mergeCell ref="P242:T242"/>
    <mergeCell ref="A95:O96"/>
    <mergeCell ref="D5:E5"/>
    <mergeCell ref="P42:T42"/>
    <mergeCell ref="D94:E94"/>
    <mergeCell ref="P259:T25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P236:T236"/>
    <mergeCell ref="A81:Z81"/>
    <mergeCell ref="P156:V156"/>
    <mergeCell ref="A152:Z152"/>
    <mergeCell ref="A209:O210"/>
    <mergeCell ref="P29:T29"/>
    <mergeCell ref="P100:T100"/>
    <mergeCell ref="P94:T94"/>
    <mergeCell ref="D208:E208"/>
    <mergeCell ref="D8:M8"/>
    <mergeCell ref="A161:O162"/>
    <mergeCell ref="A228:Z228"/>
    <mergeCell ref="A218:Z218"/>
    <mergeCell ref="A225:O226"/>
    <mergeCell ref="A46:Z46"/>
    <mergeCell ref="P188:V188"/>
    <mergeCell ref="D147:E147"/>
    <mergeCell ref="P116:T116"/>
    <mergeCell ref="D224:E224"/>
    <mergeCell ref="P103:T103"/>
    <mergeCell ref="P230:T230"/>
    <mergeCell ref="P130:V130"/>
    <mergeCell ref="P59:V59"/>
    <mergeCell ref="P261:V261"/>
    <mergeCell ref="P90:V90"/>
    <mergeCell ref="P161:V161"/>
    <mergeCell ref="A86:Z86"/>
    <mergeCell ref="A151:Z151"/>
    <mergeCell ref="O293:O294"/>
    <mergeCell ref="Q293:Q294"/>
    <mergeCell ref="D142:E142"/>
    <mergeCell ref="D129:E129"/>
    <mergeCell ref="A241:Z241"/>
    <mergeCell ref="P264:V264"/>
    <mergeCell ref="P273:T273"/>
    <mergeCell ref="P293:P294"/>
    <mergeCell ref="D274:E274"/>
    <mergeCell ref="P268:T268"/>
    <mergeCell ref="P258:T258"/>
    <mergeCell ref="P281:T281"/>
    <mergeCell ref="A293:A294"/>
    <mergeCell ref="C293:C294"/>
    <mergeCell ref="A239:Z239"/>
    <mergeCell ref="P270:V270"/>
    <mergeCell ref="P142:T142"/>
    <mergeCell ref="D148:E148"/>
    <mergeCell ref="A253:O254"/>
    <mergeCell ref="R1:T1"/>
    <mergeCell ref="D71:E71"/>
    <mergeCell ref="P28:T28"/>
    <mergeCell ref="P165:T165"/>
    <mergeCell ref="A89:O90"/>
    <mergeCell ref="F293:F294"/>
    <mergeCell ref="A200:Z200"/>
    <mergeCell ref="P166:V166"/>
    <mergeCell ref="Y292:AB292"/>
    <mergeCell ref="P37:V37"/>
    <mergeCell ref="A63:O64"/>
    <mergeCell ref="P275:T275"/>
    <mergeCell ref="P104:T104"/>
    <mergeCell ref="B17:B18"/>
    <mergeCell ref="P143:V143"/>
    <mergeCell ref="P248:V248"/>
    <mergeCell ref="A266:Z266"/>
    <mergeCell ref="A171:O172"/>
    <mergeCell ref="D258:E258"/>
    <mergeCell ref="A60:Z60"/>
    <mergeCell ref="P252:T252"/>
    <mergeCell ref="P56:T56"/>
    <mergeCell ref="D195:E195"/>
    <mergeCell ref="V10:W10"/>
    <mergeCell ref="A285:O290"/>
    <mergeCell ref="D187:E187"/>
    <mergeCell ref="H9:I9"/>
    <mergeCell ref="D281:E281"/>
    <mergeCell ref="P260:V260"/>
    <mergeCell ref="P89:V89"/>
    <mergeCell ref="D70:E70"/>
    <mergeCell ref="A205:Z205"/>
    <mergeCell ref="D263:E263"/>
    <mergeCell ref="A65:Z65"/>
    <mergeCell ref="A80:Z80"/>
    <mergeCell ref="P213:T213"/>
    <mergeCell ref="D134:E134"/>
    <mergeCell ref="A124:Z124"/>
    <mergeCell ref="P99:T99"/>
    <mergeCell ref="P170:T170"/>
    <mergeCell ref="D66:E66"/>
    <mergeCell ref="P232:V232"/>
    <mergeCell ref="D47:E47"/>
    <mergeCell ref="P160:T160"/>
    <mergeCell ref="P147:T147"/>
    <mergeCell ref="W17:W18"/>
    <mergeCell ref="A264:O265"/>
    <mergeCell ref="P96:V9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6 X140:X142 X153 X159 X181 X187 X196 X206:X207 X213:X214 X224 X230 X242 X246 X252 X258 X269 X274 X27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7:X148 X154 X160 X165 X170 X175 X182 X193:X195 X202 X208 X219 X236 X259 X263 X267:X268 X273 X275:X278 X280:X28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393</v>
      </c>
      <c r="C8" s="47" t="s">
        <v>394</v>
      </c>
      <c r="D8" s="47" t="s">
        <v>395</v>
      </c>
      <c r="E8" s="47"/>
    </row>
    <row r="9" spans="2:8" x14ac:dyDescent="0.2">
      <c r="B9" s="47" t="s">
        <v>396</v>
      </c>
      <c r="C9" s="47" t="s">
        <v>397</v>
      </c>
      <c r="D9" s="47" t="s">
        <v>398</v>
      </c>
      <c r="E9" s="47"/>
    </row>
    <row r="10" spans="2:8" x14ac:dyDescent="0.2">
      <c r="B10" s="47" t="s">
        <v>399</v>
      </c>
      <c r="C10" s="47" t="s">
        <v>400</v>
      </c>
      <c r="D10" s="47" t="s">
        <v>401</v>
      </c>
      <c r="E10" s="47"/>
    </row>
    <row r="12" spans="2:8" x14ac:dyDescent="0.2">
      <c r="B12" s="47" t="s">
        <v>402</v>
      </c>
      <c r="C12" s="47" t="s">
        <v>388</v>
      </c>
      <c r="D12" s="47"/>
      <c r="E12" s="47"/>
    </row>
    <row r="14" spans="2:8" x14ac:dyDescent="0.2">
      <c r="B14" s="47" t="s">
        <v>403</v>
      </c>
      <c r="C14" s="47" t="s">
        <v>391</v>
      </c>
      <c r="D14" s="47"/>
      <c r="E14" s="47"/>
    </row>
    <row r="16" spans="2:8" x14ac:dyDescent="0.2">
      <c r="B16" s="47" t="s">
        <v>404</v>
      </c>
      <c r="C16" s="47" t="s">
        <v>394</v>
      </c>
      <c r="D16" s="47"/>
      <c r="E16" s="47"/>
    </row>
    <row r="18" spans="2:5" x14ac:dyDescent="0.2">
      <c r="B18" s="47" t="s">
        <v>405</v>
      </c>
      <c r="C18" s="47" t="s">
        <v>397</v>
      </c>
      <c r="D18" s="47"/>
      <c r="E18" s="47"/>
    </row>
    <row r="20" spans="2:5" x14ac:dyDescent="0.2">
      <c r="B20" s="47" t="s">
        <v>406</v>
      </c>
      <c r="C20" s="47" t="s">
        <v>400</v>
      </c>
      <c r="D20" s="47"/>
      <c r="E20" s="47"/>
    </row>
    <row r="22" spans="2:5" x14ac:dyDescent="0.2">
      <c r="B22" s="47" t="s">
        <v>407</v>
      </c>
      <c r="C22" s="47"/>
      <c r="D22" s="47"/>
      <c r="E22" s="47"/>
    </row>
    <row r="23" spans="2:5" x14ac:dyDescent="0.2">
      <c r="B23" s="47" t="s">
        <v>408</v>
      </c>
      <c r="C23" s="47"/>
      <c r="D23" s="47"/>
      <c r="E23" s="47"/>
    </row>
    <row r="24" spans="2:5" x14ac:dyDescent="0.2">
      <c r="B24" s="47" t="s">
        <v>409</v>
      </c>
      <c r="C24" s="47"/>
      <c r="D24" s="47"/>
      <c r="E24" s="47"/>
    </row>
    <row r="25" spans="2:5" x14ac:dyDescent="0.2">
      <c r="B25" s="47" t="s">
        <v>410</v>
      </c>
      <c r="C25" s="47"/>
      <c r="D25" s="47"/>
      <c r="E25" s="47"/>
    </row>
    <row r="26" spans="2:5" x14ac:dyDescent="0.2">
      <c r="B26" s="47" t="s">
        <v>411</v>
      </c>
      <c r="C26" s="47"/>
      <c r="D26" s="47"/>
      <c r="E26" s="47"/>
    </row>
    <row r="27" spans="2:5" x14ac:dyDescent="0.2">
      <c r="B27" s="47" t="s">
        <v>412</v>
      </c>
      <c r="C27" s="47"/>
      <c r="D27" s="47"/>
      <c r="E27" s="47"/>
    </row>
    <row r="28" spans="2:5" x14ac:dyDescent="0.2">
      <c r="B28" s="47" t="s">
        <v>413</v>
      </c>
      <c r="C28" s="47"/>
      <c r="D28" s="47"/>
      <c r="E28" s="47"/>
    </row>
    <row r="29" spans="2:5" x14ac:dyDescent="0.2">
      <c r="B29" s="47" t="s">
        <v>414</v>
      </c>
      <c r="C29" s="47"/>
      <c r="D29" s="47"/>
      <c r="E29" s="47"/>
    </row>
    <row r="30" spans="2:5" x14ac:dyDescent="0.2">
      <c r="B30" s="47" t="s">
        <v>415</v>
      </c>
      <c r="C30" s="47"/>
      <c r="D30" s="47"/>
      <c r="E30" s="47"/>
    </row>
    <row r="31" spans="2:5" x14ac:dyDescent="0.2">
      <c r="B31" s="47" t="s">
        <v>416</v>
      </c>
      <c r="C31" s="47"/>
      <c r="D31" s="47"/>
      <c r="E31" s="47"/>
    </row>
    <row r="32" spans="2:5" x14ac:dyDescent="0.2">
      <c r="B32" s="47" t="s">
        <v>417</v>
      </c>
      <c r="C32" s="47"/>
      <c r="D32" s="47"/>
      <c r="E32" s="47"/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2026-07-17T09:11:40Z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