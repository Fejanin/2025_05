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1534C6F-0D23-4154-ADCA-6362808C11F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AB543" i="1" s="1"/>
  <c r="P530" i="1"/>
  <c r="X527" i="1"/>
  <c r="X526" i="1"/>
  <c r="BO525" i="1"/>
  <c r="BM525" i="1"/>
  <c r="Y525" i="1"/>
  <c r="BP525" i="1" s="1"/>
  <c r="P525" i="1"/>
  <c r="BP524" i="1"/>
  <c r="BO524" i="1"/>
  <c r="BN524" i="1"/>
  <c r="BM524" i="1"/>
  <c r="Z524" i="1"/>
  <c r="Y524" i="1"/>
  <c r="Y526" i="1" s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Y518" i="1" s="1"/>
  <c r="P515" i="1"/>
  <c r="X513" i="1"/>
  <c r="X512" i="1"/>
  <c r="BO511" i="1"/>
  <c r="BM511" i="1"/>
  <c r="Y511" i="1"/>
  <c r="Y512" i="1" s="1"/>
  <c r="P511" i="1"/>
  <c r="X509" i="1"/>
  <c r="X508" i="1"/>
  <c r="BO507" i="1"/>
  <c r="BM507" i="1"/>
  <c r="Y507" i="1"/>
  <c r="Y508" i="1" s="1"/>
  <c r="P507" i="1"/>
  <c r="X503" i="1"/>
  <c r="X502" i="1"/>
  <c r="BO501" i="1"/>
  <c r="BM501" i="1"/>
  <c r="Y501" i="1"/>
  <c r="BP501" i="1" s="1"/>
  <c r="P501" i="1"/>
  <c r="BP500" i="1"/>
  <c r="BO500" i="1"/>
  <c r="BN500" i="1"/>
  <c r="BM500" i="1"/>
  <c r="Z500" i="1"/>
  <c r="Y500" i="1"/>
  <c r="P500" i="1"/>
  <c r="BO499" i="1"/>
  <c r="BM499" i="1"/>
  <c r="Y499" i="1"/>
  <c r="BP499" i="1" s="1"/>
  <c r="P499" i="1"/>
  <c r="BP498" i="1"/>
  <c r="BO498" i="1"/>
  <c r="BN498" i="1"/>
  <c r="BM498" i="1"/>
  <c r="Z498" i="1"/>
  <c r="Y498" i="1"/>
  <c r="P498" i="1"/>
  <c r="BO497" i="1"/>
  <c r="BM497" i="1"/>
  <c r="Y497" i="1"/>
  <c r="BP497" i="1" s="1"/>
  <c r="P497" i="1"/>
  <c r="BP496" i="1"/>
  <c r="BO496" i="1"/>
  <c r="BN496" i="1"/>
  <c r="BM496" i="1"/>
  <c r="Z496" i="1"/>
  <c r="Y496" i="1"/>
  <c r="P496" i="1"/>
  <c r="BO495" i="1"/>
  <c r="BM495" i="1"/>
  <c r="Y495" i="1"/>
  <c r="Y502" i="1" s="1"/>
  <c r="P495" i="1"/>
  <c r="X493" i="1"/>
  <c r="X492" i="1"/>
  <c r="BO491" i="1"/>
  <c r="BM491" i="1"/>
  <c r="Y491" i="1"/>
  <c r="BP491" i="1" s="1"/>
  <c r="P491" i="1"/>
  <c r="BP490" i="1"/>
  <c r="BO490" i="1"/>
  <c r="BN490" i="1"/>
  <c r="BM490" i="1"/>
  <c r="Z490" i="1"/>
  <c r="Y490" i="1"/>
  <c r="P490" i="1"/>
  <c r="BO489" i="1"/>
  <c r="BM489" i="1"/>
  <c r="Y489" i="1"/>
  <c r="Y492" i="1" s="1"/>
  <c r="P489" i="1"/>
  <c r="X487" i="1"/>
  <c r="X486" i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Y466" i="1"/>
  <c r="X466" i="1"/>
  <c r="BP465" i="1"/>
  <c r="BO465" i="1"/>
  <c r="BN465" i="1"/>
  <c r="BM465" i="1"/>
  <c r="Z465" i="1"/>
  <c r="Z466" i="1" s="1"/>
  <c r="Y465" i="1"/>
  <c r="Y543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Y461" i="1" s="1"/>
  <c r="P459" i="1"/>
  <c r="X457" i="1"/>
  <c r="X456" i="1"/>
  <c r="BO455" i="1"/>
  <c r="BM455" i="1"/>
  <c r="Y455" i="1"/>
  <c r="BP455" i="1" s="1"/>
  <c r="P455" i="1"/>
  <c r="BP454" i="1"/>
  <c r="BO454" i="1"/>
  <c r="BN454" i="1"/>
  <c r="BM454" i="1"/>
  <c r="Z454" i="1"/>
  <c r="Y454" i="1"/>
  <c r="P454" i="1"/>
  <c r="BO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P450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P442" i="1"/>
  <c r="BO442" i="1"/>
  <c r="BN442" i="1"/>
  <c r="BM442" i="1"/>
  <c r="Z442" i="1"/>
  <c r="Y442" i="1"/>
  <c r="Y445" i="1" s="1"/>
  <c r="P442" i="1"/>
  <c r="X440" i="1"/>
  <c r="Y439" i="1"/>
  <c r="X439" i="1"/>
  <c r="BP438" i="1"/>
  <c r="BO438" i="1"/>
  <c r="BN438" i="1"/>
  <c r="BM438" i="1"/>
  <c r="Z438" i="1"/>
  <c r="Z439" i="1" s="1"/>
  <c r="Y438" i="1"/>
  <c r="Y440" i="1" s="1"/>
  <c r="P438" i="1"/>
  <c r="X436" i="1"/>
  <c r="X435" i="1"/>
  <c r="BP434" i="1"/>
  <c r="BO434" i="1"/>
  <c r="BN434" i="1"/>
  <c r="BM434" i="1"/>
  <c r="Z434" i="1"/>
  <c r="Y434" i="1"/>
  <c r="P434" i="1"/>
  <c r="BO433" i="1"/>
  <c r="BM433" i="1"/>
  <c r="Y433" i="1"/>
  <c r="W543" i="1" s="1"/>
  <c r="P433" i="1"/>
  <c r="X430" i="1"/>
  <c r="X429" i="1"/>
  <c r="BO428" i="1"/>
  <c r="BM428" i="1"/>
  <c r="Y428" i="1"/>
  <c r="Y430" i="1" s="1"/>
  <c r="P428" i="1"/>
  <c r="X426" i="1"/>
  <c r="X425" i="1"/>
  <c r="BO424" i="1"/>
  <c r="BM424" i="1"/>
  <c r="Y424" i="1"/>
  <c r="Y426" i="1" s="1"/>
  <c r="P424" i="1"/>
  <c r="BP423" i="1"/>
  <c r="BO423" i="1"/>
  <c r="BN423" i="1"/>
  <c r="BM423" i="1"/>
  <c r="Z423" i="1"/>
  <c r="Y423" i="1"/>
  <c r="Y425" i="1" s="1"/>
  <c r="P423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Y420" i="1" s="1"/>
  <c r="P418" i="1"/>
  <c r="BP417" i="1"/>
  <c r="BO417" i="1"/>
  <c r="BN417" i="1"/>
  <c r="BM417" i="1"/>
  <c r="Z417" i="1"/>
  <c r="Y417" i="1"/>
  <c r="Y421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V543" i="1" s="1"/>
  <c r="P406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U543" i="1" s="1"/>
  <c r="P398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Y389" i="1" s="1"/>
  <c r="P385" i="1"/>
  <c r="BP384" i="1"/>
  <c r="BO384" i="1"/>
  <c r="BN384" i="1"/>
  <c r="BM384" i="1"/>
  <c r="Z384" i="1"/>
  <c r="Y384" i="1"/>
  <c r="P384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Y369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T543" i="1" s="1"/>
  <c r="P353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S543" i="1" s="1"/>
  <c r="P346" i="1"/>
  <c r="X343" i="1"/>
  <c r="X342" i="1"/>
  <c r="BO341" i="1"/>
  <c r="BM341" i="1"/>
  <c r="Y341" i="1"/>
  <c r="Y343" i="1" s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BP332" i="1"/>
  <c r="BO332" i="1"/>
  <c r="BN332" i="1"/>
  <c r="BM332" i="1"/>
  <c r="Z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Y328" i="1" s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Y321" i="1" s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Y312" i="1" s="1"/>
  <c r="P310" i="1"/>
  <c r="BP309" i="1"/>
  <c r="BO309" i="1"/>
  <c r="BN309" i="1"/>
  <c r="BM309" i="1"/>
  <c r="Z309" i="1"/>
  <c r="Y309" i="1"/>
  <c r="Y313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Y283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Y267" i="1" s="1"/>
  <c r="P259" i="1"/>
  <c r="X257" i="1"/>
  <c r="X256" i="1"/>
  <c r="BO255" i="1"/>
  <c r="BM255" i="1"/>
  <c r="Y255" i="1"/>
  <c r="Y257" i="1" s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M543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7" i="1" s="1"/>
  <c r="P213" i="1"/>
  <c r="X211" i="1"/>
  <c r="X210" i="1"/>
  <c r="BO209" i="1"/>
  <c r="BM209" i="1"/>
  <c r="Y209" i="1"/>
  <c r="L543" i="1" s="1"/>
  <c r="P209" i="1"/>
  <c r="X206" i="1"/>
  <c r="X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43" i="1" s="1"/>
  <c r="P198" i="1"/>
  <c r="X194" i="1"/>
  <c r="X193" i="1"/>
  <c r="BO192" i="1"/>
  <c r="BM192" i="1"/>
  <c r="Y192" i="1"/>
  <c r="Y194" i="1" s="1"/>
  <c r="P192" i="1"/>
  <c r="X190" i="1"/>
  <c r="X189" i="1"/>
  <c r="BO188" i="1"/>
  <c r="BM188" i="1"/>
  <c r="Y188" i="1"/>
  <c r="Y190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Y184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Y178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Y165" i="1" s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J543" i="1" s="1"/>
  <c r="P158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Y155" i="1" s="1"/>
  <c r="P151" i="1"/>
  <c r="BP150" i="1"/>
  <c r="BO150" i="1"/>
  <c r="BN150" i="1"/>
  <c r="BM150" i="1"/>
  <c r="Z150" i="1"/>
  <c r="Y150" i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6" i="1" s="1"/>
  <c r="P144" i="1"/>
  <c r="X142" i="1"/>
  <c r="X141" i="1"/>
  <c r="BO140" i="1"/>
  <c r="BM140" i="1"/>
  <c r="Y140" i="1"/>
  <c r="Y142" i="1" s="1"/>
  <c r="P140" i="1"/>
  <c r="BP139" i="1"/>
  <c r="BO139" i="1"/>
  <c r="BN139" i="1"/>
  <c r="BM139" i="1"/>
  <c r="Z139" i="1"/>
  <c r="Y139" i="1"/>
  <c r="Y141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H543" i="1" s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Y127" i="1" s="1"/>
  <c r="P123" i="1"/>
  <c r="BP122" i="1"/>
  <c r="BO122" i="1"/>
  <c r="BN122" i="1"/>
  <c r="BM122" i="1"/>
  <c r="Z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9" i="1" s="1"/>
  <c r="P113" i="1"/>
  <c r="BP112" i="1"/>
  <c r="BO112" i="1"/>
  <c r="BN112" i="1"/>
  <c r="BM112" i="1"/>
  <c r="Z112" i="1"/>
  <c r="Y112" i="1"/>
  <c r="Y120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4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43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537" i="1"/>
  <c r="Y25" i="1"/>
  <c r="Z28" i="1"/>
  <c r="Z32" i="1" s="1"/>
  <c r="BN28" i="1"/>
  <c r="BP28" i="1"/>
  <c r="Z30" i="1"/>
  <c r="BN30" i="1"/>
  <c r="C543" i="1"/>
  <c r="Z42" i="1"/>
  <c r="Z46" i="1" s="1"/>
  <c r="BN42" i="1"/>
  <c r="BP42" i="1"/>
  <c r="Z44" i="1"/>
  <c r="BN44" i="1"/>
  <c r="Y47" i="1"/>
  <c r="D543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9" i="1" s="1"/>
  <c r="BN113" i="1"/>
  <c r="BP113" i="1"/>
  <c r="Z115" i="1"/>
  <c r="BN115" i="1"/>
  <c r="Z117" i="1"/>
  <c r="BN117" i="1"/>
  <c r="Z123" i="1"/>
  <c r="Z126" i="1" s="1"/>
  <c r="BN123" i="1"/>
  <c r="BP123" i="1"/>
  <c r="Z125" i="1"/>
  <c r="BN125" i="1"/>
  <c r="Z129" i="1"/>
  <c r="Z130" i="1" s="1"/>
  <c r="BN129" i="1"/>
  <c r="BP129" i="1"/>
  <c r="Y130" i="1"/>
  <c r="Z134" i="1"/>
  <c r="Z136" i="1" s="1"/>
  <c r="BN134" i="1"/>
  <c r="BP134" i="1"/>
  <c r="Y137" i="1"/>
  <c r="Z140" i="1"/>
  <c r="Z141" i="1" s="1"/>
  <c r="BN140" i="1"/>
  <c r="BP140" i="1"/>
  <c r="Z144" i="1"/>
  <c r="Z146" i="1" s="1"/>
  <c r="BN144" i="1"/>
  <c r="BP144" i="1"/>
  <c r="Y147" i="1"/>
  <c r="I543" i="1"/>
  <c r="Z151" i="1"/>
  <c r="Z154" i="1" s="1"/>
  <c r="BN151" i="1"/>
  <c r="BP151" i="1"/>
  <c r="Z153" i="1"/>
  <c r="BN153" i="1"/>
  <c r="Y154" i="1"/>
  <c r="Z158" i="1"/>
  <c r="Z160" i="1" s="1"/>
  <c r="BN158" i="1"/>
  <c r="BP158" i="1"/>
  <c r="Y161" i="1"/>
  <c r="Z168" i="1"/>
  <c r="Z178" i="1" s="1"/>
  <c r="BN168" i="1"/>
  <c r="BP168" i="1"/>
  <c r="Z170" i="1"/>
  <c r="BN170" i="1"/>
  <c r="Z172" i="1"/>
  <c r="BN172" i="1"/>
  <c r="Z174" i="1"/>
  <c r="BN174" i="1"/>
  <c r="Z176" i="1"/>
  <c r="BN176" i="1"/>
  <c r="Z182" i="1"/>
  <c r="Z184" i="1" s="1"/>
  <c r="BN182" i="1"/>
  <c r="BP182" i="1"/>
  <c r="Z188" i="1"/>
  <c r="Z189" i="1" s="1"/>
  <c r="BN188" i="1"/>
  <c r="BP188" i="1"/>
  <c r="Z192" i="1"/>
  <c r="Z193" i="1" s="1"/>
  <c r="BN192" i="1"/>
  <c r="BP192" i="1"/>
  <c r="Y193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BP220" i="1"/>
  <c r="BN220" i="1"/>
  <c r="BP222" i="1"/>
  <c r="BN222" i="1"/>
  <c r="Z222" i="1"/>
  <c r="BP226" i="1"/>
  <c r="BN226" i="1"/>
  <c r="Z226" i="1"/>
  <c r="Y228" i="1"/>
  <c r="Y236" i="1"/>
  <c r="Y235" i="1"/>
  <c r="BP230" i="1"/>
  <c r="BN230" i="1"/>
  <c r="Z230" i="1"/>
  <c r="BP234" i="1"/>
  <c r="BN234" i="1"/>
  <c r="Z234" i="1"/>
  <c r="H9" i="1"/>
  <c r="Y24" i="1"/>
  <c r="Y67" i="1"/>
  <c r="Y92" i="1"/>
  <c r="Y109" i="1"/>
  <c r="Y136" i="1"/>
  <c r="Y160" i="1"/>
  <c r="Y206" i="1"/>
  <c r="Y211" i="1"/>
  <c r="BP224" i="1"/>
  <c r="BN224" i="1"/>
  <c r="Z224" i="1"/>
  <c r="BP232" i="1"/>
  <c r="BN232" i="1"/>
  <c r="Z232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49" i="1"/>
  <c r="Y252" i="1"/>
  <c r="Z255" i="1"/>
  <c r="Z256" i="1" s="1"/>
  <c r="BN255" i="1"/>
  <c r="BP255" i="1"/>
  <c r="Z259" i="1"/>
  <c r="Z267" i="1" s="1"/>
  <c r="BN259" i="1"/>
  <c r="BP259" i="1"/>
  <c r="Z261" i="1"/>
  <c r="BN261" i="1"/>
  <c r="Z263" i="1"/>
  <c r="BN263" i="1"/>
  <c r="Z265" i="1"/>
  <c r="BN265" i="1"/>
  <c r="Y268" i="1"/>
  <c r="Z271" i="1"/>
  <c r="Z282" i="1" s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43" i="1"/>
  <c r="Z292" i="1"/>
  <c r="Z298" i="1" s="1"/>
  <c r="BN292" i="1"/>
  <c r="Z294" i="1"/>
  <c r="BN294" i="1"/>
  <c r="Z296" i="1"/>
  <c r="BN296" i="1"/>
  <c r="Y299" i="1"/>
  <c r="Z310" i="1"/>
  <c r="Z312" i="1" s="1"/>
  <c r="BN310" i="1"/>
  <c r="BP310" i="1"/>
  <c r="P543" i="1"/>
  <c r="Z317" i="1"/>
  <c r="Z321" i="1" s="1"/>
  <c r="BN317" i="1"/>
  <c r="BP317" i="1"/>
  <c r="Z319" i="1"/>
  <c r="BN319" i="1"/>
  <c r="Y322" i="1"/>
  <c r="Q543" i="1"/>
  <c r="Z326" i="1"/>
  <c r="Z328" i="1" s="1"/>
  <c r="BN326" i="1"/>
  <c r="BP326" i="1"/>
  <c r="Y329" i="1"/>
  <c r="R543" i="1"/>
  <c r="Z333" i="1"/>
  <c r="Z337" i="1" s="1"/>
  <c r="BN333" i="1"/>
  <c r="BP333" i="1"/>
  <c r="Z335" i="1"/>
  <c r="BN335" i="1"/>
  <c r="Y338" i="1"/>
  <c r="Z341" i="1"/>
  <c r="Z342" i="1" s="1"/>
  <c r="BN341" i="1"/>
  <c r="BP341" i="1"/>
  <c r="Z346" i="1"/>
  <c r="Z349" i="1" s="1"/>
  <c r="BN346" i="1"/>
  <c r="BP346" i="1"/>
  <c r="Z348" i="1"/>
  <c r="BN348" i="1"/>
  <c r="Y349" i="1"/>
  <c r="Z353" i="1"/>
  <c r="Z358" i="1" s="1"/>
  <c r="BN353" i="1"/>
  <c r="BP353" i="1"/>
  <c r="Z355" i="1"/>
  <c r="BN355" i="1"/>
  <c r="Z357" i="1"/>
  <c r="BN357" i="1"/>
  <c r="Y358" i="1"/>
  <c r="Z361" i="1"/>
  <c r="Z368" i="1" s="1"/>
  <c r="BN361" i="1"/>
  <c r="BP361" i="1"/>
  <c r="Z363" i="1"/>
  <c r="BN363" i="1"/>
  <c r="Z365" i="1"/>
  <c r="BN365" i="1"/>
  <c r="Z367" i="1"/>
  <c r="BN367" i="1"/>
  <c r="Y368" i="1"/>
  <c r="Z371" i="1"/>
  <c r="Z375" i="1" s="1"/>
  <c r="BN371" i="1"/>
  <c r="BP371" i="1"/>
  <c r="Z373" i="1"/>
  <c r="BN373" i="1"/>
  <c r="BP379" i="1"/>
  <c r="BN379" i="1"/>
  <c r="Z379" i="1"/>
  <c r="Z381" i="1" s="1"/>
  <c r="Y388" i="1"/>
  <c r="BP387" i="1"/>
  <c r="BN387" i="1"/>
  <c r="Z387" i="1"/>
  <c r="Y251" i="1"/>
  <c r="Y298" i="1"/>
  <c r="Y350" i="1"/>
  <c r="Y359" i="1"/>
  <c r="Y375" i="1"/>
  <c r="BP385" i="1"/>
  <c r="BN385" i="1"/>
  <c r="Z385" i="1"/>
  <c r="Z388" i="1" s="1"/>
  <c r="Z456" i="1"/>
  <c r="Z391" i="1"/>
  <c r="BN391" i="1"/>
  <c r="BP391" i="1"/>
  <c r="Z393" i="1"/>
  <c r="BN393" i="1"/>
  <c r="Y394" i="1"/>
  <c r="Z398" i="1"/>
  <c r="BN398" i="1"/>
  <c r="BP398" i="1"/>
  <c r="Z400" i="1"/>
  <c r="BN400" i="1"/>
  <c r="Y401" i="1"/>
  <c r="Z406" i="1"/>
  <c r="BN406" i="1"/>
  <c r="BP406" i="1"/>
  <c r="Z408" i="1"/>
  <c r="BN408" i="1"/>
  <c r="Z410" i="1"/>
  <c r="BN410" i="1"/>
  <c r="Z412" i="1"/>
  <c r="BN412" i="1"/>
  <c r="Y415" i="1"/>
  <c r="Z418" i="1"/>
  <c r="Z420" i="1" s="1"/>
  <c r="BN418" i="1"/>
  <c r="BP418" i="1"/>
  <c r="Z424" i="1"/>
  <c r="Z425" i="1" s="1"/>
  <c r="BN424" i="1"/>
  <c r="BP424" i="1"/>
  <c r="Z428" i="1"/>
  <c r="Z429" i="1" s="1"/>
  <c r="BN428" i="1"/>
  <c r="BP428" i="1"/>
  <c r="Y429" i="1"/>
  <c r="Z433" i="1"/>
  <c r="Z435" i="1" s="1"/>
  <c r="BN433" i="1"/>
  <c r="BP433" i="1"/>
  <c r="Y436" i="1"/>
  <c r="Z443" i="1"/>
  <c r="Z445" i="1" s="1"/>
  <c r="BN443" i="1"/>
  <c r="Y446" i="1"/>
  <c r="X543" i="1"/>
  <c r="Z451" i="1"/>
  <c r="BN451" i="1"/>
  <c r="Z453" i="1"/>
  <c r="BN453" i="1"/>
  <c r="Z455" i="1"/>
  <c r="BN455" i="1"/>
  <c r="Y456" i="1"/>
  <c r="Z459" i="1"/>
  <c r="Z461" i="1" s="1"/>
  <c r="BN459" i="1"/>
  <c r="BP459" i="1"/>
  <c r="Y462" i="1"/>
  <c r="Y467" i="1"/>
  <c r="Y472" i="1"/>
  <c r="BP469" i="1"/>
  <c r="BN469" i="1"/>
  <c r="Z469" i="1"/>
  <c r="BP479" i="1"/>
  <c r="BN479" i="1"/>
  <c r="Z479" i="1"/>
  <c r="Y402" i="1"/>
  <c r="Y414" i="1"/>
  <c r="Y435" i="1"/>
  <c r="Y457" i="1"/>
  <c r="BP471" i="1"/>
  <c r="BN471" i="1"/>
  <c r="Z471" i="1"/>
  <c r="Y473" i="1"/>
  <c r="Z543" i="1"/>
  <c r="Y486" i="1"/>
  <c r="BP477" i="1"/>
  <c r="BN477" i="1"/>
  <c r="Z477" i="1"/>
  <c r="Y487" i="1"/>
  <c r="BP481" i="1"/>
  <c r="BN481" i="1"/>
  <c r="Z481" i="1"/>
  <c r="Y493" i="1"/>
  <c r="Y503" i="1"/>
  <c r="Y509" i="1"/>
  <c r="Y513" i="1"/>
  <c r="Y517" i="1"/>
  <c r="Y527" i="1"/>
  <c r="Y532" i="1"/>
  <c r="AA543" i="1"/>
  <c r="Z483" i="1"/>
  <c r="BN483" i="1"/>
  <c r="Z485" i="1"/>
  <c r="BN485" i="1"/>
  <c r="Z489" i="1"/>
  <c r="Z492" i="1" s="1"/>
  <c r="BN489" i="1"/>
  <c r="BP489" i="1"/>
  <c r="Z491" i="1"/>
  <c r="BN491" i="1"/>
  <c r="Z495" i="1"/>
  <c r="BN495" i="1"/>
  <c r="BP495" i="1"/>
  <c r="Z497" i="1"/>
  <c r="BN497" i="1"/>
  <c r="Z499" i="1"/>
  <c r="BN499" i="1"/>
  <c r="Z501" i="1"/>
  <c r="BN501" i="1"/>
  <c r="Z507" i="1"/>
  <c r="Z508" i="1" s="1"/>
  <c r="BN507" i="1"/>
  <c r="BP507" i="1"/>
  <c r="Z511" i="1"/>
  <c r="Z512" i="1" s="1"/>
  <c r="BN511" i="1"/>
  <c r="BP511" i="1"/>
  <c r="Z515" i="1"/>
  <c r="Z517" i="1" s="1"/>
  <c r="BN515" i="1"/>
  <c r="BP515" i="1"/>
  <c r="Z525" i="1"/>
  <c r="Z526" i="1" s="1"/>
  <c r="BN525" i="1"/>
  <c r="Z530" i="1"/>
  <c r="Z531" i="1" s="1"/>
  <c r="BN530" i="1"/>
  <c r="BP530" i="1"/>
  <c r="Y531" i="1"/>
  <c r="Z486" i="1" l="1"/>
  <c r="Z472" i="1"/>
  <c r="Y534" i="1"/>
  <c r="Z502" i="1"/>
  <c r="Z414" i="1"/>
  <c r="Z401" i="1"/>
  <c r="Z394" i="1"/>
  <c r="Z241" i="1"/>
  <c r="Y537" i="1"/>
  <c r="Z235" i="1"/>
  <c r="Z227" i="1"/>
  <c r="Z205" i="1"/>
  <c r="Z92" i="1"/>
  <c r="Z67" i="1"/>
  <c r="Y533" i="1"/>
  <c r="Y535" i="1"/>
  <c r="Z538" i="1"/>
  <c r="Y536" i="1" l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<sst xmlns="http://schemas.openxmlformats.org/spreadsheetml/2006/main" count="2407" uniqueCount="872">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</sst>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6</v>
      </c>
      <c r="Y29" s="606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16</v>
      </c>
      <c r="Y30" s="606">
        <f>IFERROR(IF(X30="",0,CEILING((X30/$H30),1)*$H30),"")</f>
        <v>16.2</v>
      </c>
      <c r="Z30" s="36">
        <f>IFERROR(IF(Y30=0,"",ROUNDUP(Y30/H30,0)*0.00651),"")</f>
        <v>5.8590000000000003E-2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28.266666666666666</v>
      </c>
      <c r="BN30" s="64">
        <f>IFERROR(Y30*I30/H30,"0")</f>
        <v>28.619999999999997</v>
      </c>
      <c r="BO30" s="64">
        <f>IFERROR(1/J30*(X30/H30),"0")</f>
        <v>4.8840048840048847E-2</v>
      </c>
      <c r="BP30" s="64">
        <f>IFERROR(1/J30*(Y30/H30),"0")</f>
        <v>4.9450549450549455E-2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12.222222222222221</v>
      </c>
      <c r="Y32" s="607">
        <f>IFERROR(Y27/H27,"0")+IFERROR(Y28/H28,"0")+IFERROR(Y29/H29,"0")+IFERROR(Y30/H30,"0")+IFERROR(Y31/H31,"0")</f>
        <v>13</v>
      </c>
      <c r="Z32" s="607">
        <f>IFERROR(IF(Z27="",0,Z27),"0")+IFERROR(IF(Z28="",0,Z28),"0")+IFERROR(IF(Z29="",0,Z29),"0")+IFERROR(IF(Z30="",0,Z30),"0")+IFERROR(IF(Z31="",0,Z31),"0")</f>
        <v>8.4630000000000011E-2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22</v>
      </c>
      <c r="Y33" s="607">
        <f>IFERROR(SUM(Y27:Y31),"0")</f>
        <v>23.4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426</v>
      </c>
      <c r="Y51" s="606">
        <f>IFERROR(IF(X51="",0,CEILING((X51/$H51),1)*$H51),"")</f>
        <v>432</v>
      </c>
      <c r="Z51" s="36">
        <f>IFERROR(IF(Y51=0,"",ROUNDUP(Y51/H51,0)*0.01898),"")</f>
        <v>0.75919999999999999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442.17222222222222</v>
      </c>
      <c r="BN51" s="64">
        <f>IFERROR(Y51*I51/H51,"0")</f>
        <v>448.4</v>
      </c>
      <c r="BO51" s="64">
        <f>IFERROR(1/J51*(X51/H51),"0")</f>
        <v>0.61631944444444442</v>
      </c>
      <c r="BP51" s="64">
        <f>IFERROR(1/J51*(Y51/H51),"0")</f>
        <v>0.625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57</v>
      </c>
      <c r="Y54" s="606">
        <f>IFERROR(IF(X54="",0,CEILING((X54/$H54),1)*$H54),"")</f>
        <v>59.2</v>
      </c>
      <c r="Z54" s="36">
        <f>IFERROR(IF(Y54=0,"",ROUNDUP(Y54/H54,0)*0.00902),"")</f>
        <v>0.14432</v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59.92702702702703</v>
      </c>
      <c r="BN54" s="64">
        <f>IFERROR(Y54*I54/H54,"0")</f>
        <v>62.24</v>
      </c>
      <c r="BO54" s="64">
        <f>IFERROR(1/J54*(X54/H54),"0")</f>
        <v>0.11670761670761672</v>
      </c>
      <c r="BP54" s="64">
        <f>IFERROR(1/J54*(Y54/H54),"0")</f>
        <v>0.12121212121212122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54.849849849849846</v>
      </c>
      <c r="Y55" s="607">
        <f>IFERROR(Y51/H51,"0")+IFERROR(Y52/H52,"0")+IFERROR(Y53/H53,"0")+IFERROR(Y54/H54,"0")</f>
        <v>56</v>
      </c>
      <c r="Z55" s="607">
        <f>IFERROR(IF(Z51="",0,Z51),"0")+IFERROR(IF(Z52="",0,Z52),"0")+IFERROR(IF(Z53="",0,Z53),"0")+IFERROR(IF(Z54="",0,Z54),"0")</f>
        <v>0.90351999999999999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483</v>
      </c>
      <c r="Y56" s="607">
        <f>IFERROR(SUM(Y51:Y54),"0")</f>
        <v>491.2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219</v>
      </c>
      <c r="Y61" s="606">
        <f t="shared" si="0"/>
        <v>226.8</v>
      </c>
      <c r="Z61" s="36">
        <f>IFERROR(IF(Y61=0,"",ROUNDUP(Y61/H61,0)*0.01898),"")</f>
        <v>0.39857999999999999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227.3138888888889</v>
      </c>
      <c r="BN61" s="64">
        <f t="shared" si="2"/>
        <v>235.41000000000003</v>
      </c>
      <c r="BO61" s="64">
        <f t="shared" si="3"/>
        <v>0.31684027777777773</v>
      </c>
      <c r="BP61" s="64">
        <f t="shared" si="4"/>
        <v>0.328125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3</v>
      </c>
      <c r="Y64" s="606">
        <f t="shared" si="0"/>
        <v>4</v>
      </c>
      <c r="Z64" s="36">
        <f>IFERROR(IF(Y64=0,"",ROUNDUP(Y64/H64,0)*0.00902),"")</f>
        <v>9.0200000000000002E-3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3.1425000000000001</v>
      </c>
      <c r="BN64" s="64">
        <f t="shared" si="2"/>
        <v>4.1900000000000004</v>
      </c>
      <c r="BO64" s="64">
        <f t="shared" si="3"/>
        <v>5.681818181818182E-3</v>
      </c>
      <c r="BP64" s="64">
        <f t="shared" si="4"/>
        <v>7.575757575757576E-3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94</v>
      </c>
      <c r="Y66" s="606">
        <f t="shared" si="0"/>
        <v>94.5</v>
      </c>
      <c r="Z66" s="36">
        <f>IFERROR(IF(Y66=0,"",ROUNDUP(Y66/H66,0)*0.00902),"")</f>
        <v>0.18942000000000001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97.968888888888898</v>
      </c>
      <c r="BN66" s="64">
        <f t="shared" si="2"/>
        <v>98.490000000000009</v>
      </c>
      <c r="BO66" s="64">
        <f t="shared" si="3"/>
        <v>0.15824915824915825</v>
      </c>
      <c r="BP66" s="64">
        <f t="shared" si="4"/>
        <v>0.15909090909090909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41.916666666666664</v>
      </c>
      <c r="Y67" s="607">
        <f>IFERROR(Y59/H59,"0")+IFERROR(Y60/H60,"0")+IFERROR(Y61/H61,"0")+IFERROR(Y62/H62,"0")+IFERROR(Y63/H63,"0")+IFERROR(Y64/H64,"0")+IFERROR(Y65/H65,"0")+IFERROR(Y66/H66,"0")</f>
        <v>43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0.59702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316</v>
      </c>
      <c r="Y68" s="607">
        <f>IFERROR(SUM(Y59:Y66),"0")</f>
        <v>325.3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74</v>
      </c>
      <c r="Y77" s="606">
        <f>IFERROR(IF(X77="",0,CEILING((X77/$H77),1)*$H77),"")</f>
        <v>75.600000000000009</v>
      </c>
      <c r="Z77" s="36">
        <f>IFERROR(IF(Y77=0,"",ROUNDUP(Y77/H77,0)*0.00651),"")</f>
        <v>0.27342</v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84.11333333333333</v>
      </c>
      <c r="BN77" s="64">
        <f>IFERROR(Y77*I77/H77,"0")</f>
        <v>85.932000000000002</v>
      </c>
      <c r="BO77" s="64">
        <f>IFERROR(1/J77*(X77/H77),"0")</f>
        <v>0.22588522588522589</v>
      </c>
      <c r="BP77" s="64">
        <f>IFERROR(1/J77*(Y77/H77),"0")</f>
        <v>0.23076923076923084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41.111111111111107</v>
      </c>
      <c r="Y79" s="607">
        <f>IFERROR(Y77/H77,"0")+IFERROR(Y78/H78,"0")</f>
        <v>42.000000000000007</v>
      </c>
      <c r="Z79" s="607">
        <f>IFERROR(IF(Z77="",0,Z77),"0")+IFERROR(IF(Z78="",0,Z78),"0")</f>
        <v>0.27342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74</v>
      </c>
      <c r="Y80" s="607">
        <f>IFERROR(SUM(Y77:Y78),"0")</f>
        <v>75.600000000000009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100</v>
      </c>
      <c r="Y82" s="606">
        <f>IFERROR(IF(X82="",0,CEILING((X82/$H82),1)*$H82),"")</f>
        <v>101.39999999999999</v>
      </c>
      <c r="Z82" s="36">
        <f>IFERROR(IF(Y82=0,"",ROUNDUP(Y82/H82,0)*0.01898),"")</f>
        <v>0.24674000000000001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105.25641025641028</v>
      </c>
      <c r="BN82" s="64">
        <f>IFERROR(Y82*I82/H82,"0")</f>
        <v>106.73</v>
      </c>
      <c r="BO82" s="64">
        <f>IFERROR(1/J82*(X82/H82),"0")</f>
        <v>0.20032051282051283</v>
      </c>
      <c r="BP82" s="64">
        <f>IFERROR(1/J82*(Y82/H82),"0")</f>
        <v>0.203125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12.820512820512821</v>
      </c>
      <c r="Y84" s="607">
        <f>IFERROR(Y82/H82,"0")+IFERROR(Y83/H83,"0")</f>
        <v>13</v>
      </c>
      <c r="Z84" s="607">
        <f>IFERROR(IF(Z82="",0,Z82),"0")+IFERROR(IF(Z83="",0,Z83),"0")</f>
        <v>0.24674000000000001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100</v>
      </c>
      <c r="Y85" s="607">
        <f>IFERROR(SUM(Y82:Y83),"0")</f>
        <v>101.39999999999999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54</v>
      </c>
      <c r="Y88" s="606">
        <f>IFERROR(IF(X88="",0,CEILING((X88/$H88),1)*$H88),"")</f>
        <v>54</v>
      </c>
      <c r="Z88" s="36">
        <f>IFERROR(IF(Y88=0,"",ROUNDUP(Y88/H88,0)*0.01898),"")</f>
        <v>9.4899999999999998E-2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56.05</v>
      </c>
      <c r="BN88" s="64">
        <f>IFERROR(Y88*I88/H88,"0")</f>
        <v>56.05</v>
      </c>
      <c r="BO88" s="64">
        <f>IFERROR(1/J88*(X88/H88),"0")</f>
        <v>7.8125E-2</v>
      </c>
      <c r="BP88" s="64">
        <f>IFERROR(1/J88*(Y88/H88),"0")</f>
        <v>7.8125E-2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81</v>
      </c>
      <c r="Y91" s="606">
        <f>IFERROR(IF(X91="",0,CEILING((X91/$H91),1)*$H91),"")</f>
        <v>81</v>
      </c>
      <c r="Z91" s="36">
        <f>IFERROR(IF(Y91=0,"",ROUNDUP(Y91/H91,0)*0.00902),"")</f>
        <v>0.16236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84.420000000000016</v>
      </c>
      <c r="BN91" s="64">
        <f>IFERROR(Y91*I91/H91,"0")</f>
        <v>84.420000000000016</v>
      </c>
      <c r="BO91" s="64">
        <f>IFERROR(1/J91*(X91/H91),"0")</f>
        <v>0.13636363636363635</v>
      </c>
      <c r="BP91" s="64">
        <f>IFERROR(1/J91*(Y91/H91),"0")</f>
        <v>0.13636363636363635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23</v>
      </c>
      <c r="Y92" s="607">
        <f>IFERROR(Y88/H88,"0")+IFERROR(Y89/H89,"0")+IFERROR(Y90/H90,"0")+IFERROR(Y91/H91,"0")</f>
        <v>23</v>
      </c>
      <c r="Z92" s="607">
        <f>IFERROR(IF(Z88="",0,Z88),"0")+IFERROR(IF(Z89="",0,Z89),"0")+IFERROR(IF(Z90="",0,Z90),"0")+IFERROR(IF(Z91="",0,Z91),"0")</f>
        <v>0.25725999999999999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135</v>
      </c>
      <c r="Y93" s="607">
        <f>IFERROR(SUM(Y88:Y91),"0")</f>
        <v>135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283</v>
      </c>
      <c r="Y95" s="606">
        <f>IFERROR(IF(X95="",0,CEILING((X95/$H95),1)*$H95),"")</f>
        <v>283.5</v>
      </c>
      <c r="Z95" s="36">
        <f>IFERROR(IF(Y95=0,"",ROUNDUP(Y95/H95,0)*0.01898),"")</f>
        <v>0.6643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300.25950617283951</v>
      </c>
      <c r="BN95" s="64">
        <f>IFERROR(Y95*I95/H95,"0")</f>
        <v>300.79000000000002</v>
      </c>
      <c r="BO95" s="64">
        <f>IFERROR(1/J95*(X95/H95),"0")</f>
        <v>0.5459104938271605</v>
      </c>
      <c r="BP95" s="64">
        <f>IFERROR(1/J95*(Y95/H95),"0")</f>
        <v>0.546875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56</v>
      </c>
      <c r="Y97" s="606">
        <f>IFERROR(IF(X97="",0,CEILING((X97/$H97),1)*$H97),"")</f>
        <v>56.7</v>
      </c>
      <c r="Z97" s="36">
        <f>IFERROR(IF(Y97=0,"",ROUNDUP(Y97/H97,0)*0.00651),"")</f>
        <v>0.13671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61.226666666666667</v>
      </c>
      <c r="BN97" s="64">
        <f>IFERROR(Y97*I97/H97,"0")</f>
        <v>61.991999999999997</v>
      </c>
      <c r="BO97" s="64">
        <f>IFERROR(1/J97*(X97/H97),"0")</f>
        <v>0.11396011396011396</v>
      </c>
      <c r="BP97" s="64">
        <f>IFERROR(1/J97*(Y97/H97),"0")</f>
        <v>0.11538461538461539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55.679012345679013</v>
      </c>
      <c r="Y99" s="607">
        <f>IFERROR(Y95/H95,"0")+IFERROR(Y96/H96,"0")+IFERROR(Y97/H97,"0")+IFERROR(Y98/H98,"0")</f>
        <v>56</v>
      </c>
      <c r="Z99" s="607">
        <f>IFERROR(IF(Z95="",0,Z95),"0")+IFERROR(IF(Z96="",0,Z96),"0")+IFERROR(IF(Z97="",0,Z97),"0")+IFERROR(IF(Z98="",0,Z98),"0")</f>
        <v>0.80101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339</v>
      </c>
      <c r="Y100" s="607">
        <f>IFERROR(SUM(Y95:Y98),"0")</f>
        <v>340.2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8</v>
      </c>
      <c r="Y104" s="606">
        <f t="shared" si="5"/>
        <v>8.8000000000000007</v>
      </c>
      <c r="Z104" s="36">
        <f>IFERROR(IF(Y104=0,"",ROUNDUP(Y104/H104,0)*0.00726),"")</f>
        <v>5.808E-2</v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9.5272727272727273</v>
      </c>
      <c r="BN104" s="64">
        <f t="shared" si="7"/>
        <v>10.48</v>
      </c>
      <c r="BO104" s="64">
        <f t="shared" si="8"/>
        <v>3.7878787878787873E-2</v>
      </c>
      <c r="BP104" s="64">
        <f t="shared" si="9"/>
        <v>4.1666666666666664E-2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378</v>
      </c>
      <c r="Y107" s="606">
        <f t="shared" si="5"/>
        <v>378</v>
      </c>
      <c r="Z107" s="36">
        <f>IFERROR(IF(Y107=0,"",ROUNDUP(Y107/H107,0)*0.00902),"")</f>
        <v>0.75768000000000002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393.96000000000004</v>
      </c>
      <c r="BN107" s="64">
        <f t="shared" si="7"/>
        <v>393.96000000000004</v>
      </c>
      <c r="BO107" s="64">
        <f t="shared" si="8"/>
        <v>0.63636363636363635</v>
      </c>
      <c r="BP107" s="64">
        <f t="shared" si="9"/>
        <v>0.63636363636363635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91.272727272727266</v>
      </c>
      <c r="Y109" s="607">
        <f>IFERROR(Y103/H103,"0")+IFERROR(Y104/H104,"0")+IFERROR(Y105/H105,"0")+IFERROR(Y106/H106,"0")+IFERROR(Y107/H107,"0")+IFERROR(Y108/H108,"0")</f>
        <v>92</v>
      </c>
      <c r="Z109" s="607">
        <f>IFERROR(IF(Z103="",0,Z103),"0")+IFERROR(IF(Z104="",0,Z104),"0")+IFERROR(IF(Z105="",0,Z105),"0")+IFERROR(IF(Z106="",0,Z106),"0")+IFERROR(IF(Z107="",0,Z107),"0")+IFERROR(IF(Z108="",0,Z108),"0")</f>
        <v>0.81576000000000004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386</v>
      </c>
      <c r="Y110" s="607">
        <f>IFERROR(SUM(Y103:Y108),"0")</f>
        <v>386.8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54</v>
      </c>
      <c r="Y117" s="606">
        <f t="shared" si="10"/>
        <v>55.199999999999996</v>
      </c>
      <c r="Z117" s="36">
        <f>IFERROR(IF(Y117=0,"",ROUNDUP(Y117/H117,0)*0.00651),"")</f>
        <v>0.14973</v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58.05</v>
      </c>
      <c r="BN117" s="64">
        <f t="shared" si="12"/>
        <v>59.34</v>
      </c>
      <c r="BO117" s="64">
        <f t="shared" si="13"/>
        <v>0.12362637362637363</v>
      </c>
      <c r="BP117" s="64">
        <f t="shared" si="14"/>
        <v>0.1263736263736264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22.5</v>
      </c>
      <c r="Y119" s="607">
        <f>IFERROR(Y112/H112,"0")+IFERROR(Y113/H113,"0")+IFERROR(Y114/H114,"0")+IFERROR(Y115/H115,"0")+IFERROR(Y116/H116,"0")+IFERROR(Y117/H117,"0")+IFERROR(Y118/H118,"0")</f>
        <v>23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0.14973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54</v>
      </c>
      <c r="Y120" s="607">
        <f>IFERROR(SUM(Y112:Y118),"0")</f>
        <v>55.199999999999996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601</v>
      </c>
      <c r="Y122" s="606">
        <f>IFERROR(IF(X122="",0,CEILING((X122/$H122),1)*$H122),"")</f>
        <v>607.5</v>
      </c>
      <c r="Z122" s="36">
        <f>IFERROR(IF(Y122=0,"",ROUNDUP(Y122/H122,0)*0.01898),"")</f>
        <v>1.4235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637.20839506172842</v>
      </c>
      <c r="BN122" s="64">
        <f>IFERROR(Y122*I122/H122,"0")</f>
        <v>644.09999999999991</v>
      </c>
      <c r="BO122" s="64">
        <f>IFERROR(1/J122*(X122/H122),"0")</f>
        <v>1.1593364197530864</v>
      </c>
      <c r="BP122" s="64">
        <f>IFERROR(1/J122*(Y122/H122),"0")</f>
        <v>1.171875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501</v>
      </c>
      <c r="Y124" s="606">
        <f>IFERROR(IF(X124="",0,CEILING((X124/$H124),1)*$H124),"")</f>
        <v>502.20000000000005</v>
      </c>
      <c r="Z124" s="36">
        <f>IFERROR(IF(Y124=0,"",ROUNDUP(Y124/H124,0)*0.00651),"")</f>
        <v>1.21086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547.76</v>
      </c>
      <c r="BN124" s="64">
        <f>IFERROR(Y124*I124/H124,"0")</f>
        <v>549.072</v>
      </c>
      <c r="BO124" s="64">
        <f>IFERROR(1/J124*(X124/H124),"0")</f>
        <v>1.0195360195360195</v>
      </c>
      <c r="BP124" s="64">
        <f>IFERROR(1/J124*(Y124/H124),"0")</f>
        <v>1.0219780219780221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259.75308641975306</v>
      </c>
      <c r="Y126" s="607">
        <f>IFERROR(Y122/H122,"0")+IFERROR(Y123/H123,"0")+IFERROR(Y124/H124,"0")+IFERROR(Y125/H125,"0")</f>
        <v>261</v>
      </c>
      <c r="Z126" s="607">
        <f>IFERROR(IF(Z122="",0,Z122),"0")+IFERROR(IF(Z123="",0,Z123),"0")+IFERROR(IF(Z124="",0,Z124),"0")+IFERROR(IF(Z125="",0,Z125),"0")</f>
        <v>2.63436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1102</v>
      </c>
      <c r="Y127" s="607">
        <f>IFERROR(SUM(Y122:Y125),"0")</f>
        <v>1109.7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16</v>
      </c>
      <c r="Y139" s="606">
        <f>IFERROR(IF(X139="",0,CEILING((X139/$H139),1)*$H139),"")</f>
        <v>16.799999999999997</v>
      </c>
      <c r="Z139" s="36">
        <f>IFERROR(IF(Y139=0,"",ROUNDUP(Y139/H139,0)*0.00651),"")</f>
        <v>3.9059999999999997E-2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17.531428571428574</v>
      </c>
      <c r="BN139" s="64">
        <f>IFERROR(Y139*I139/H139,"0")</f>
        <v>18.407999999999998</v>
      </c>
      <c r="BO139" s="64">
        <f>IFERROR(1/J139*(X139/H139),"0")</f>
        <v>3.1397174254317116E-2</v>
      </c>
      <c r="BP139" s="64">
        <f>IFERROR(1/J139*(Y139/H139),"0")</f>
        <v>3.2967032967032968E-2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5.7142857142857144</v>
      </c>
      <c r="Y141" s="607">
        <f>IFERROR(Y139/H139,"0")+IFERROR(Y140/H140,"0")</f>
        <v>5.9999999999999991</v>
      </c>
      <c r="Z141" s="607">
        <f>IFERROR(IF(Z139="",0,Z139),"0")+IFERROR(IF(Z140="",0,Z140),"0")</f>
        <v>3.9059999999999997E-2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16</v>
      </c>
      <c r="Y142" s="607">
        <f>IFERROR(SUM(Y139:Y140),"0")</f>
        <v>16.799999999999997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154</v>
      </c>
      <c r="Y167" s="606">
        <f t="shared" ref="Y167:Y177" si="15">IFERROR(IF(X167="",0,CEILING((X167/$H167),1)*$H167),"")</f>
        <v>154</v>
      </c>
      <c r="Z167" s="36">
        <f>IFERROR(IF(Y167=0,"",ROUNDUP(Y167/H167,0)*0.00902),"")</f>
        <v>0.39688000000000001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162.35999999999999</v>
      </c>
      <c r="BN167" s="64">
        <f t="shared" ref="BN167:BN177" si="17">IFERROR(Y167*I167/H167,"0")</f>
        <v>162.35999999999999</v>
      </c>
      <c r="BO167" s="64">
        <f t="shared" ref="BO167:BO177" si="18">IFERROR(1/J167*(X167/H167),"0")</f>
        <v>0.33333333333333337</v>
      </c>
      <c r="BP167" s="64">
        <f t="shared" ref="BP167:BP177" si="19">IFERROR(1/J167*(Y167/H167),"0")</f>
        <v>0.33333333333333337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109</v>
      </c>
      <c r="Y169" s="606">
        <f t="shared" si="15"/>
        <v>112</v>
      </c>
      <c r="Z169" s="36">
        <f>IFERROR(IF(Y169=0,"",ROUNDUP(Y169/H169,0)*0.00902),"")</f>
        <v>0.28864000000000001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114.91714285714285</v>
      </c>
      <c r="BN169" s="64">
        <f t="shared" si="17"/>
        <v>118.08</v>
      </c>
      <c r="BO169" s="64">
        <f t="shared" si="18"/>
        <v>0.23593073593073594</v>
      </c>
      <c r="BP169" s="64">
        <f t="shared" si="19"/>
        <v>0.24242424242424243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115</v>
      </c>
      <c r="Y170" s="606">
        <f t="shared" si="15"/>
        <v>115.5</v>
      </c>
      <c r="Z170" s="36">
        <f>IFERROR(IF(Y170=0,"",ROUNDUP(Y170/H170,0)*0.00902),"")</f>
        <v>0.29766000000000004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121.24285714285713</v>
      </c>
      <c r="BN170" s="64">
        <f t="shared" si="17"/>
        <v>121.77</v>
      </c>
      <c r="BO170" s="64">
        <f t="shared" si="18"/>
        <v>0.2489177489177489</v>
      </c>
      <c r="BP170" s="64">
        <f t="shared" si="19"/>
        <v>0.25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8</v>
      </c>
      <c r="Y171" s="606">
        <f t="shared" si="15"/>
        <v>8.1</v>
      </c>
      <c r="Z171" s="36">
        <f>IFERROR(IF(Y171=0,"",ROUNDUP(Y171/H171,0)*0.00417),"")</f>
        <v>3.7530000000000001E-2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9.8666666666666671</v>
      </c>
      <c r="BN171" s="64">
        <f t="shared" si="17"/>
        <v>9.99</v>
      </c>
      <c r="BO171" s="64">
        <f t="shared" si="18"/>
        <v>2.6455026455026454E-2</v>
      </c>
      <c r="BP171" s="64">
        <f t="shared" si="19"/>
        <v>2.6785714285714284E-2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31</v>
      </c>
      <c r="Y172" s="606">
        <f t="shared" si="15"/>
        <v>31.919999999999998</v>
      </c>
      <c r="Z172" s="36">
        <f>IFERROR(IF(Y172=0,"",ROUNDUP(Y172/H172,0)*0.00502),"")</f>
        <v>9.5380000000000006E-2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32.845238095238095</v>
      </c>
      <c r="BN172" s="64">
        <f t="shared" si="17"/>
        <v>33.82</v>
      </c>
      <c r="BO172" s="64">
        <f t="shared" si="18"/>
        <v>7.8856328856328858E-2</v>
      </c>
      <c r="BP172" s="64">
        <f t="shared" si="19"/>
        <v>8.11965811965812E-2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4</v>
      </c>
      <c r="Y173" s="606">
        <f t="shared" si="15"/>
        <v>4.5</v>
      </c>
      <c r="Z173" s="36">
        <f>IFERROR(IF(Y173=0,"",ROUNDUP(Y173/H173,0)*0.00417),"")</f>
        <v>2.085E-2</v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4.9333333333333336</v>
      </c>
      <c r="BN173" s="64">
        <f t="shared" si="17"/>
        <v>5.55</v>
      </c>
      <c r="BO173" s="64">
        <f t="shared" si="18"/>
        <v>1.3227513227513227E-2</v>
      </c>
      <c r="BP173" s="64">
        <f t="shared" si="19"/>
        <v>1.488095238095238E-2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69</v>
      </c>
      <c r="Y175" s="606">
        <f t="shared" si="15"/>
        <v>70.56</v>
      </c>
      <c r="Z175" s="36">
        <f>IFERROR(IF(Y175=0,"",ROUNDUP(Y175/H175,0)*0.00502),"")</f>
        <v>0.21084</v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73.107142857142861</v>
      </c>
      <c r="BN175" s="64">
        <f t="shared" si="17"/>
        <v>74.760000000000005</v>
      </c>
      <c r="BO175" s="64">
        <f t="shared" si="18"/>
        <v>0.17551892551892553</v>
      </c>
      <c r="BP175" s="64">
        <f t="shared" si="19"/>
        <v>0.17948717948717952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7</v>
      </c>
      <c r="Y176" s="606">
        <f t="shared" si="15"/>
        <v>7.2</v>
      </c>
      <c r="Z176" s="36">
        <f>IFERROR(IF(Y176=0,"",ROUNDUP(Y176/H176,0)*0.00417),"")</f>
        <v>3.3360000000000001E-2</v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7.7777777777777777</v>
      </c>
      <c r="BN176" s="64">
        <f t="shared" si="17"/>
        <v>8</v>
      </c>
      <c r="BO176" s="64">
        <f t="shared" si="18"/>
        <v>2.3148148148148147E-2</v>
      </c>
      <c r="BP176" s="64">
        <f t="shared" si="19"/>
        <v>2.3809523809523808E-2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56</v>
      </c>
      <c r="Y177" s="606">
        <f t="shared" si="15"/>
        <v>57.12</v>
      </c>
      <c r="Z177" s="36">
        <f>IFERROR(IF(Y177=0,"",ROUNDUP(Y177/H177,0)*0.00502),"")</f>
        <v>0.17068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59.333333333333343</v>
      </c>
      <c r="BN177" s="64">
        <f t="shared" si="17"/>
        <v>60.519999999999996</v>
      </c>
      <c r="BO177" s="64">
        <f t="shared" si="18"/>
        <v>0.14245014245014248</v>
      </c>
      <c r="BP177" s="64">
        <f t="shared" si="19"/>
        <v>0.14529914529914531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221.968253968254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226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1.55182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553</v>
      </c>
      <c r="Y179" s="607">
        <f>IFERROR(SUM(Y167:Y177),"0")</f>
        <v>560.9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34</v>
      </c>
      <c r="Y183" s="606">
        <f>IFERROR(IF(X183="",0,CEILING((X183/$H183),1)*$H183),"")</f>
        <v>34.200000000000003</v>
      </c>
      <c r="Z183" s="36">
        <f>IFERROR(IF(Y183=0,"",ROUNDUP(Y183/H183,0)*0.00651),"")</f>
        <v>0.12369000000000001</v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38.873333333333328</v>
      </c>
      <c r="BN183" s="64">
        <f>IFERROR(Y183*I183/H183,"0")</f>
        <v>39.101999999999997</v>
      </c>
      <c r="BO183" s="64">
        <f>IFERROR(1/J183*(X183/H183),"0")</f>
        <v>0.10378510378510379</v>
      </c>
      <c r="BP183" s="64">
        <f>IFERROR(1/J183*(Y183/H183),"0")</f>
        <v>0.1043956043956044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18.888888888888889</v>
      </c>
      <c r="Y184" s="607">
        <f>IFERROR(Y181/H181,"0")+IFERROR(Y182/H182,"0")+IFERROR(Y183/H183,"0")</f>
        <v>19</v>
      </c>
      <c r="Z184" s="607">
        <f>IFERROR(IF(Z181="",0,Z181),"0")+IFERROR(IF(Z182="",0,Z182),"0")+IFERROR(IF(Z183="",0,Z183),"0")</f>
        <v>0.12369000000000001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34</v>
      </c>
      <c r="Y185" s="607">
        <f>IFERROR(SUM(Y181:Y183),"0")</f>
        <v>34.200000000000003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17</v>
      </c>
      <c r="Y213" s="606">
        <f t="shared" ref="Y213:Y226" si="26">IFERROR(IF(X213="",0,CEILING((X213/$H213),1)*$H213),"")</f>
        <v>21</v>
      </c>
      <c r="Z213" s="36">
        <f>IFERROR(IF(Y213=0,"",ROUNDUP(Y213/H213,0)*0.00902),"")</f>
        <v>4.5100000000000001E-2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18.011904761904763</v>
      </c>
      <c r="BN213" s="64">
        <f t="shared" ref="BN213:BN226" si="28">IFERROR(Y213*I213/H213,"0")</f>
        <v>22.25</v>
      </c>
      <c r="BO213" s="64">
        <f t="shared" ref="BO213:BO226" si="29">IFERROR(1/J213*(X213/H213),"0")</f>
        <v>3.0663780663780664E-2</v>
      </c>
      <c r="BP213" s="64">
        <f t="shared" ref="BP213:BP226" si="30">IFERROR(1/J213*(Y213/H213),"0")</f>
        <v>3.787878787878788E-2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19</v>
      </c>
      <c r="Y216" s="606">
        <f t="shared" si="26"/>
        <v>19.200000000000003</v>
      </c>
      <c r="Z216" s="36">
        <f>IFERROR(IF(Y216=0,"",ROUNDUP(Y216/H216,0)*0.00556),"")</f>
        <v>0.13344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22.087500000000002</v>
      </c>
      <c r="BN216" s="64">
        <f t="shared" si="28"/>
        <v>22.320000000000004</v>
      </c>
      <c r="BO216" s="64">
        <f t="shared" si="29"/>
        <v>9.4246031746031744E-2</v>
      </c>
      <c r="BP216" s="64">
        <f t="shared" si="30"/>
        <v>9.5238095238095247E-2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65</v>
      </c>
      <c r="Y217" s="606">
        <f t="shared" si="26"/>
        <v>65.100000000000009</v>
      </c>
      <c r="Z217" s="36">
        <f t="shared" ref="Z217:Z222" si="31">IFERROR(IF(Y217=0,"",ROUNDUP(Y217/H217,0)*0.00502),"")</f>
        <v>0.15562000000000001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69.023809523809518</v>
      </c>
      <c r="BN217" s="64">
        <f t="shared" si="28"/>
        <v>69.13000000000001</v>
      </c>
      <c r="BO217" s="64">
        <f t="shared" si="29"/>
        <v>0.1322751322751323</v>
      </c>
      <c r="BP217" s="64">
        <f t="shared" si="30"/>
        <v>0.13247863247863251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1</v>
      </c>
      <c r="Y222" s="606">
        <f t="shared" si="26"/>
        <v>1.8</v>
      </c>
      <c r="Z222" s="36">
        <f t="shared" si="31"/>
        <v>5.0200000000000002E-3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1.0722222222222222</v>
      </c>
      <c r="BN222" s="64">
        <f t="shared" si="28"/>
        <v>1.9299999999999997</v>
      </c>
      <c r="BO222" s="64">
        <f t="shared" si="29"/>
        <v>2.3741690408357078E-3</v>
      </c>
      <c r="BP222" s="64">
        <f t="shared" si="30"/>
        <v>4.2735042735042739E-3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10</v>
      </c>
      <c r="Y223" s="606">
        <f t="shared" si="26"/>
        <v>10.4</v>
      </c>
      <c r="Z223" s="36">
        <f>IFERROR(IF(Y223=0,"",ROUNDUP(Y223/H223,0)*0.00417),"")</f>
        <v>5.4210000000000001E-2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12.624999999999998</v>
      </c>
      <c r="BN223" s="64">
        <f t="shared" si="28"/>
        <v>13.13</v>
      </c>
      <c r="BO223" s="64">
        <f t="shared" si="29"/>
        <v>3.7202380952380952E-2</v>
      </c>
      <c r="BP223" s="64">
        <f t="shared" si="30"/>
        <v>3.8690476190476192E-2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71.805555555555557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74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0.39339000000000002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112</v>
      </c>
      <c r="Y228" s="607">
        <f>IFERROR(SUM(Y213:Y226),"0")</f>
        <v>117.50000000000001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10</v>
      </c>
      <c r="Y239" s="606">
        <f>IFERROR(IF(X239="",0,CEILING((X239/$H239),1)*$H239),"")</f>
        <v>10.08</v>
      </c>
      <c r="Z239" s="36">
        <f>IFERROR(IF(Y239=0,"",ROUNDUP(Y239/H239,0)*0.0059),"")</f>
        <v>4.7199999999999999E-2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11.507936507936508</v>
      </c>
      <c r="BN239" s="64">
        <f>IFERROR(Y239*I239/H239,"0")</f>
        <v>11.6</v>
      </c>
      <c r="BO239" s="64">
        <f>IFERROR(1/J239*(X239/H239),"0")</f>
        <v>3.6743092298647854E-2</v>
      </c>
      <c r="BP239" s="64">
        <f>IFERROR(1/J239*(Y239/H239),"0")</f>
        <v>3.7037037037037035E-2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13</v>
      </c>
      <c r="Y240" s="606">
        <f>IFERROR(IF(X240="",0,CEILING((X240/$H240),1)*$H240),"")</f>
        <v>13.86</v>
      </c>
      <c r="Z240" s="36">
        <f>IFERROR(IF(Y240=0,"",ROUNDUP(Y240/H240,0)*0.0059),"")</f>
        <v>6.4899999999999999E-2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14.960317460317459</v>
      </c>
      <c r="BN240" s="64">
        <f>IFERROR(Y240*I240/H240,"0")</f>
        <v>15.949999999999998</v>
      </c>
      <c r="BO240" s="64">
        <f>IFERROR(1/J240*(X240/H240),"0")</f>
        <v>4.776601998824221E-2</v>
      </c>
      <c r="BP240" s="64">
        <f>IFERROR(1/J240*(Y240/H240),"0")</f>
        <v>5.0925925925925923E-2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18.253968253968253</v>
      </c>
      <c r="Y241" s="607">
        <f>IFERROR(Y238/H238,"0")+IFERROR(Y239/H239,"0")+IFERROR(Y240/H240,"0")</f>
        <v>19</v>
      </c>
      <c r="Z241" s="607">
        <f>IFERROR(IF(Z238="",0,Z238),"0")+IFERROR(IF(Z239="",0,Z239),"0")+IFERROR(IF(Z240="",0,Z240),"0")</f>
        <v>0.11210000000000001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23</v>
      </c>
      <c r="Y242" s="607">
        <f>IFERROR(SUM(Y238:Y240),"0")</f>
        <v>23.939999999999998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12</v>
      </c>
      <c r="Y244" s="606">
        <f>IFERROR(IF(X244="",0,CEILING((X244/$H244),1)*$H244),"")</f>
        <v>12.6</v>
      </c>
      <c r="Z244" s="36">
        <f>IFERROR(IF(Y244=0,"",ROUNDUP(Y244/H244,0)*0.0059),"")</f>
        <v>5.8999999999999997E-2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13.809523809523808</v>
      </c>
      <c r="BN244" s="64">
        <f>IFERROR(Y244*I244/H244,"0")</f>
        <v>14.5</v>
      </c>
      <c r="BO244" s="64">
        <f>IFERROR(1/J244*(X244/H244),"0")</f>
        <v>4.4091710758377423E-2</v>
      </c>
      <c r="BP244" s="64">
        <f>IFERROR(1/J244*(Y244/H244),"0")</f>
        <v>4.6296296296296294E-2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9.5238095238095237</v>
      </c>
      <c r="Y245" s="607">
        <f>IFERROR(Y244/H244,"0")</f>
        <v>10</v>
      </c>
      <c r="Z245" s="607">
        <f>IFERROR(IF(Z244="",0,Z244),"0")</f>
        <v>5.8999999999999997E-2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12</v>
      </c>
      <c r="Y246" s="607">
        <f>IFERROR(SUM(Y244:Y244),"0")</f>
        <v>12.6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76</v>
      </c>
      <c r="Y260" s="606">
        <f t="shared" si="32"/>
        <v>81</v>
      </c>
      <c r="Z260" s="36">
        <f>IFERROR(IF(Y260=0,"",ROUNDUP(Y260/H260,0)*0.00902),"")</f>
        <v>0.1353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78.67407407407407</v>
      </c>
      <c r="BN260" s="64">
        <f t="shared" si="34"/>
        <v>83.85</v>
      </c>
      <c r="BO260" s="64">
        <f t="shared" si="35"/>
        <v>0.10662177328843994</v>
      </c>
      <c r="BP260" s="64">
        <f t="shared" si="36"/>
        <v>0.11363636363636363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30</v>
      </c>
      <c r="Y262" s="606">
        <f t="shared" si="32"/>
        <v>32.400000000000006</v>
      </c>
      <c r="Z262" s="36">
        <f>IFERROR(IF(Y262=0,"",ROUNDUP(Y262/H262,0)*0.00902),"")</f>
        <v>5.4120000000000001E-2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31.05555555555555</v>
      </c>
      <c r="BN262" s="64">
        <f t="shared" si="34"/>
        <v>33.54</v>
      </c>
      <c r="BO262" s="64">
        <f t="shared" si="35"/>
        <v>4.208754208754209E-2</v>
      </c>
      <c r="BP262" s="64">
        <f t="shared" si="36"/>
        <v>4.5454545454545463E-2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6</v>
      </c>
      <c r="Y263" s="606">
        <f t="shared" si="32"/>
        <v>7.2</v>
      </c>
      <c r="Z263" s="36">
        <f>IFERROR(IF(Y263=0,"",ROUNDUP(Y263/H263,0)*0.00502),"")</f>
        <v>2.0080000000000001E-2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6.4333333333333336</v>
      </c>
      <c r="BN263" s="64">
        <f t="shared" si="34"/>
        <v>7.7199999999999989</v>
      </c>
      <c r="BO263" s="64">
        <f t="shared" si="35"/>
        <v>1.4245014245014245E-2</v>
      </c>
      <c r="BP263" s="64">
        <f t="shared" si="36"/>
        <v>1.7094017094017096E-2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7</v>
      </c>
      <c r="Y264" s="606">
        <f t="shared" si="32"/>
        <v>7.2</v>
      </c>
      <c r="Z264" s="36">
        <f>IFERROR(IF(Y264=0,"",ROUNDUP(Y264/H264,0)*0.00502),"")</f>
        <v>2.0080000000000001E-2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7.3888888888888884</v>
      </c>
      <c r="BN264" s="64">
        <f t="shared" si="34"/>
        <v>7.6</v>
      </c>
      <c r="BO264" s="64">
        <f t="shared" si="35"/>
        <v>1.6619183285849954E-2</v>
      </c>
      <c r="BP264" s="64">
        <f t="shared" si="36"/>
        <v>1.7094017094017096E-2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26.851851851851848</v>
      </c>
      <c r="Y267" s="607">
        <f>IFERROR(Y259/H259,"0")+IFERROR(Y260/H260,"0")+IFERROR(Y261/H261,"0")+IFERROR(Y262/H262,"0")+IFERROR(Y263/H263,"0")+IFERROR(Y264/H264,"0")+IFERROR(Y265/H265,"0")+IFERROR(Y266/H266,"0")</f>
        <v>29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0.22958000000000001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119</v>
      </c>
      <c r="Y268" s="607">
        <f>IFERROR(SUM(Y259:Y266),"0")</f>
        <v>127.80000000000001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40</v>
      </c>
      <c r="Y270" s="606">
        <f t="shared" ref="Y270:Y281" si="37">IFERROR(IF(X270="",0,CEILING((X270/$H270),1)*$H270),"")</f>
        <v>40.5</v>
      </c>
      <c r="Z270" s="36">
        <f>IFERROR(IF(Y270=0,"",ROUNDUP(Y270/H270,0)*0.01898),"")</f>
        <v>9.4899999999999998E-2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42.439506172839508</v>
      </c>
      <c r="BN270" s="64">
        <f t="shared" ref="BN270:BN281" si="39">IFERROR(Y270*I270/H270,"0")</f>
        <v>42.97</v>
      </c>
      <c r="BO270" s="64">
        <f t="shared" ref="BO270:BO281" si="40">IFERROR(1/J270*(X270/H270),"0")</f>
        <v>7.7160493827160503E-2</v>
      </c>
      <c r="BP270" s="64">
        <f t="shared" ref="BP270:BP281" si="41">IFERROR(1/J270*(Y270/H270),"0")</f>
        <v>7.8125E-2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59</v>
      </c>
      <c r="Y273" s="606">
        <f t="shared" si="37"/>
        <v>60</v>
      </c>
      <c r="Z273" s="36">
        <f>IFERROR(IF(Y273=0,"",ROUNDUP(Y273/H273,0)*0.00651),"")</f>
        <v>0.16275000000000001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65.637500000000003</v>
      </c>
      <c r="BN273" s="64">
        <f t="shared" si="39"/>
        <v>66.75</v>
      </c>
      <c r="BO273" s="64">
        <f t="shared" si="40"/>
        <v>0.13507326007326009</v>
      </c>
      <c r="BP273" s="64">
        <f t="shared" si="41"/>
        <v>0.13736263736263737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574</v>
      </c>
      <c r="Y276" s="606">
        <f t="shared" si="37"/>
        <v>576</v>
      </c>
      <c r="Z276" s="36">
        <f>IFERROR(IF(Y276=0,"",ROUNDUP(Y276/H276,0)*0.00651),"")</f>
        <v>1.5624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634.2700000000001</v>
      </c>
      <c r="BN276" s="64">
        <f t="shared" si="39"/>
        <v>636.48000000000013</v>
      </c>
      <c r="BO276" s="64">
        <f t="shared" si="40"/>
        <v>1.3141025641025643</v>
      </c>
      <c r="BP276" s="64">
        <f t="shared" si="41"/>
        <v>1.3186813186813189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183</v>
      </c>
      <c r="Y278" s="606">
        <f t="shared" si="37"/>
        <v>184.79999999999998</v>
      </c>
      <c r="Z278" s="36">
        <f>IFERROR(IF(Y278=0,"",ROUNDUP(Y278/H278,0)*0.00651),"")</f>
        <v>0.50126999999999999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202.21500000000003</v>
      </c>
      <c r="BN278" s="64">
        <f t="shared" si="39"/>
        <v>204.20399999999998</v>
      </c>
      <c r="BO278" s="64">
        <f t="shared" si="40"/>
        <v>0.41895604395604397</v>
      </c>
      <c r="BP278" s="64">
        <f t="shared" si="41"/>
        <v>0.42307692307692313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92</v>
      </c>
      <c r="Y280" s="606">
        <f t="shared" si="37"/>
        <v>93.6</v>
      </c>
      <c r="Z280" s="36">
        <f>IFERROR(IF(Y280=0,"",ROUNDUP(Y280/H280,0)*0.00651),"")</f>
        <v>0.25389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101.89</v>
      </c>
      <c r="BN280" s="64">
        <f t="shared" si="39"/>
        <v>103.66199999999999</v>
      </c>
      <c r="BO280" s="64">
        <f t="shared" si="40"/>
        <v>0.21062271062271065</v>
      </c>
      <c r="BP280" s="64">
        <f t="shared" si="41"/>
        <v>0.2142857142857143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383.27160493827159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386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2.5752100000000002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948</v>
      </c>
      <c r="Y283" s="607">
        <f>IFERROR(SUM(Y270:Y281),"0")</f>
        <v>954.9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8</v>
      </c>
      <c r="Y305" s="606">
        <f>IFERROR(IF(X305="",0,CEILING((X305/$H305),1)*$H305),"")</f>
        <v>9</v>
      </c>
      <c r="Z305" s="36">
        <f>IFERROR(IF(Y305=0,"",ROUNDUP(Y305/H305,0)*0.0059),"")</f>
        <v>2.9499999999999998E-2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8.7777777777777786</v>
      </c>
      <c r="BN305" s="64">
        <f>IFERROR(Y305*I305/H305,"0")</f>
        <v>9.8750000000000018</v>
      </c>
      <c r="BO305" s="64">
        <f>IFERROR(1/J305*(X305/H305),"0")</f>
        <v>2.0576131687242798E-2</v>
      </c>
      <c r="BP305" s="64">
        <f>IFERROR(1/J305*(Y305/H305),"0")</f>
        <v>2.3148148148148147E-2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4.4444444444444446</v>
      </c>
      <c r="Y306" s="607">
        <f>IFERROR(Y305/H305,"0")</f>
        <v>5</v>
      </c>
      <c r="Z306" s="607">
        <f>IFERROR(IF(Z305="",0,Z305),"0")</f>
        <v>2.9499999999999998E-2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8</v>
      </c>
      <c r="Y307" s="607">
        <f>IFERROR(SUM(Y305:Y305),"0")</f>
        <v>9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5</v>
      </c>
      <c r="Y311" s="606">
        <f>IFERROR(IF(X311="",0,CEILING((X311/$H311),1)*$H311),"")</f>
        <v>5.4</v>
      </c>
      <c r="Z311" s="36">
        <f>IFERROR(IF(Y311=0,"",ROUNDUP(Y311/H311,0)*0.0059),"")</f>
        <v>3.5400000000000001E-2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6.0555555555555554</v>
      </c>
      <c r="BN311" s="64">
        <f>IFERROR(Y311*I311/H311,"0")</f>
        <v>6.5400000000000009</v>
      </c>
      <c r="BO311" s="64">
        <f>IFERROR(1/J311*(X311/H311),"0")</f>
        <v>2.5720164609053495E-2</v>
      </c>
      <c r="BP311" s="64">
        <f>IFERROR(1/J311*(Y311/H311),"0")</f>
        <v>2.7777777777777776E-2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5.5555555555555554</v>
      </c>
      <c r="Y312" s="607">
        <f>IFERROR(Y309/H309,"0")+IFERROR(Y310/H310,"0")+IFERROR(Y311/H311,"0")</f>
        <v>6</v>
      </c>
      <c r="Z312" s="607">
        <f>IFERROR(IF(Z309="",0,Z309),"0")+IFERROR(IF(Z310="",0,Z310),"0")+IFERROR(IF(Z311="",0,Z311),"0")</f>
        <v>3.5400000000000001E-2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5</v>
      </c>
      <c r="Y313" s="607">
        <f>IFERROR(SUM(Y309:Y311),"0")</f>
        <v>5.4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41</v>
      </c>
      <c r="Y327" s="606">
        <f>IFERROR(IF(X327="",0,CEILING((X327/$H327),1)*$H327),"")</f>
        <v>43.199999999999996</v>
      </c>
      <c r="Z327" s="36">
        <f>IFERROR(IF(Y327=0,"",ROUNDUP(Y327/H327,0)*0.00651),"")</f>
        <v>0.11718000000000001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44.075000000000003</v>
      </c>
      <c r="BN327" s="64">
        <f>IFERROR(Y327*I327/H327,"0")</f>
        <v>46.44</v>
      </c>
      <c r="BO327" s="64">
        <f>IFERROR(1/J327*(X327/H327),"0")</f>
        <v>9.3864468864468878E-2</v>
      </c>
      <c r="BP327" s="64">
        <f>IFERROR(1/J327*(Y327/H327),"0")</f>
        <v>9.8901098901098911E-2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17.083333333333336</v>
      </c>
      <c r="Y328" s="607">
        <f>IFERROR(Y325/H325,"0")+IFERROR(Y326/H326,"0")+IFERROR(Y327/H327,"0")</f>
        <v>18</v>
      </c>
      <c r="Z328" s="607">
        <f>IFERROR(IF(Z325="",0,Z325),"0")+IFERROR(IF(Z326="",0,Z326),"0")+IFERROR(IF(Z327="",0,Z327),"0")</f>
        <v>0.11718000000000001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41</v>
      </c>
      <c r="Y329" s="607">
        <f>IFERROR(SUM(Y325:Y327),"0")</f>
        <v>43.199999999999996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228</v>
      </c>
      <c r="Y347" s="606">
        <f>IFERROR(IF(X347="",0,CEILING((X347/$H347),1)*$H347),"")</f>
        <v>234</v>
      </c>
      <c r="Z347" s="36">
        <f>IFERROR(IF(Y347=0,"",ROUNDUP(Y347/H347,0)*0.01898),"")</f>
        <v>0.56940000000000002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239.98461538461541</v>
      </c>
      <c r="BN347" s="64">
        <f>IFERROR(Y347*I347/H347,"0")</f>
        <v>246.3</v>
      </c>
      <c r="BO347" s="64">
        <f>IFERROR(1/J347*(X347/H347),"0")</f>
        <v>0.45673076923076922</v>
      </c>
      <c r="BP347" s="64">
        <f>IFERROR(1/J347*(Y347/H347),"0")</f>
        <v>0.46875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29.23076923076923</v>
      </c>
      <c r="Y349" s="607">
        <f>IFERROR(Y346/H346,"0")+IFERROR(Y347/H347,"0")+IFERROR(Y348/H348,"0")</f>
        <v>30</v>
      </c>
      <c r="Z349" s="607">
        <f>IFERROR(IF(Z346="",0,Z346),"0")+IFERROR(IF(Z347="",0,Z347),"0")+IFERROR(IF(Z348="",0,Z348),"0")</f>
        <v>0.56940000000000002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228</v>
      </c>
      <c r="Y350" s="607">
        <f>IFERROR(SUM(Y346:Y348),"0")</f>
        <v>234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32</v>
      </c>
      <c r="Y355" s="606">
        <f>IFERROR(IF(X355="",0,CEILING((X355/$H355),1)*$H355),"")</f>
        <v>32.400000000000006</v>
      </c>
      <c r="Z355" s="36">
        <f>IFERROR(IF(Y355=0,"",ROUNDUP(Y355/H355,0)*0.01898),"")</f>
        <v>5.6940000000000004E-2</v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33.214814814814815</v>
      </c>
      <c r="BN355" s="64">
        <f>IFERROR(Y355*I355/H355,"0")</f>
        <v>33.630000000000003</v>
      </c>
      <c r="BO355" s="64">
        <f>IFERROR(1/J355*(X355/H355),"0")</f>
        <v>4.6296296296296294E-2</v>
      </c>
      <c r="BP355" s="64">
        <f>IFERROR(1/J355*(Y355/H355),"0")</f>
        <v>4.6875000000000007E-2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2.9629629629629628</v>
      </c>
      <c r="Y358" s="607">
        <f>IFERROR(Y353/H353,"0")+IFERROR(Y354/H354,"0")+IFERROR(Y355/H355,"0")+IFERROR(Y356/H356,"0")+IFERROR(Y357/H357,"0")</f>
        <v>3.0000000000000004</v>
      </c>
      <c r="Z358" s="607">
        <f>IFERROR(IF(Z353="",0,Z353),"0")+IFERROR(IF(Z354="",0,Z354),"0")+IFERROR(IF(Z355="",0,Z355),"0")+IFERROR(IF(Z356="",0,Z356),"0")+IFERROR(IF(Z357="",0,Z357),"0")</f>
        <v>5.6940000000000004E-2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32</v>
      </c>
      <c r="Y359" s="607">
        <f>IFERROR(SUM(Y353:Y357),"0")</f>
        <v>32.400000000000006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34</v>
      </c>
      <c r="Y362" s="606">
        <f t="shared" si="47"/>
        <v>37.800000000000004</v>
      </c>
      <c r="Z362" s="36">
        <f>IFERROR(IF(Y362=0,"",ROUNDUP(Y362/H362,0)*0.00902),"")</f>
        <v>8.1180000000000002E-2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36.023809523809526</v>
      </c>
      <c r="BN362" s="64">
        <f t="shared" si="49"/>
        <v>40.050000000000004</v>
      </c>
      <c r="BO362" s="64">
        <f t="shared" si="50"/>
        <v>6.1327561327561328E-2</v>
      </c>
      <c r="BP362" s="64">
        <f t="shared" si="51"/>
        <v>6.8181818181818177E-2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8.0952380952380949</v>
      </c>
      <c r="Y368" s="607">
        <f>IFERROR(Y361/H361,"0")+IFERROR(Y362/H362,"0")+IFERROR(Y363/H363,"0")+IFERROR(Y364/H364,"0")+IFERROR(Y365/H365,"0")+IFERROR(Y366/H366,"0")+IFERROR(Y367/H367,"0")</f>
        <v>9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8.1180000000000002E-2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34</v>
      </c>
      <c r="Y369" s="607">
        <f>IFERROR(SUM(Y361:Y367),"0")</f>
        <v>37.800000000000004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38</v>
      </c>
      <c r="Y371" s="606">
        <f>IFERROR(IF(X371="",0,CEILING((X371/$H371),1)*$H371),"")</f>
        <v>39</v>
      </c>
      <c r="Z371" s="36">
        <f>IFERROR(IF(Y371=0,"",ROUNDUP(Y371/H371,0)*0.01898),"")</f>
        <v>9.4899999999999998E-2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40.377435897435902</v>
      </c>
      <c r="BN371" s="64">
        <f>IFERROR(Y371*I371/H371,"0")</f>
        <v>41.440000000000005</v>
      </c>
      <c r="BO371" s="64">
        <f>IFERROR(1/J371*(X371/H371),"0")</f>
        <v>7.6121794871794879E-2</v>
      </c>
      <c r="BP371" s="64">
        <f>IFERROR(1/J371*(Y371/H371),"0")</f>
        <v>7.8125E-2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4.8717948717948723</v>
      </c>
      <c r="Y375" s="607">
        <f>IFERROR(Y371/H371,"0")+IFERROR(Y372/H372,"0")+IFERROR(Y373/H373,"0")+IFERROR(Y374/H374,"0")</f>
        <v>5</v>
      </c>
      <c r="Z375" s="607">
        <f>IFERROR(IF(Z371="",0,Z371),"0")+IFERROR(IF(Z372="",0,Z372),"0")+IFERROR(IF(Z373="",0,Z373),"0")+IFERROR(IF(Z374="",0,Z374),"0")</f>
        <v>9.4899999999999998E-2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38</v>
      </c>
      <c r="Y376" s="607">
        <f>IFERROR(SUM(Y371:Y374),"0")</f>
        <v>39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742</v>
      </c>
      <c r="Y379" s="606">
        <f>IFERROR(IF(X379="",0,CEILING((X379/$H379),1)*$H379),"")</f>
        <v>748.8</v>
      </c>
      <c r="Z379" s="36">
        <f>IFERROR(IF(Y379=0,"",ROUNDUP(Y379/H379,0)*0.01898),"")</f>
        <v>1.8220800000000001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788.99333333333334</v>
      </c>
      <c r="BN379" s="64">
        <f>IFERROR(Y379*I379/H379,"0")</f>
        <v>796.22400000000005</v>
      </c>
      <c r="BO379" s="64">
        <f>IFERROR(1/J379*(X379/H379),"0")</f>
        <v>1.4863782051282051</v>
      </c>
      <c r="BP379" s="64">
        <f>IFERROR(1/J379*(Y379/H379),"0")</f>
        <v>1.5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95.128205128205124</v>
      </c>
      <c r="Y381" s="607">
        <f>IFERROR(Y378/H378,"0")+IFERROR(Y379/H379,"0")+IFERROR(Y380/H380,"0")</f>
        <v>96</v>
      </c>
      <c r="Z381" s="607">
        <f>IFERROR(IF(Z378="",0,Z378),"0")+IFERROR(IF(Z379="",0,Z379),"0")+IFERROR(IF(Z380="",0,Z380),"0")</f>
        <v>1.8220800000000001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742</v>
      </c>
      <c r="Y382" s="607">
        <f>IFERROR(SUM(Y378:Y380),"0")</f>
        <v>748.8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11</v>
      </c>
      <c r="Y386" s="606">
        <f>IFERROR(IF(X386="",0,CEILING((X386/$H386),1)*$H386),"")</f>
        <v>12.75</v>
      </c>
      <c r="Z386" s="36">
        <f>IFERROR(IF(Y386=0,"",ROUNDUP(Y386/H386,0)*0.00651),"")</f>
        <v>3.2550000000000003E-2</v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12.747058823529414</v>
      </c>
      <c r="BN386" s="64">
        <f>IFERROR(Y386*I386/H386,"0")</f>
        <v>14.775000000000002</v>
      </c>
      <c r="BO386" s="64">
        <f>IFERROR(1/J386*(X386/H386),"0")</f>
        <v>2.3701788407670767E-2</v>
      </c>
      <c r="BP386" s="64">
        <f>IFERROR(1/J386*(Y386/H386),"0")</f>
        <v>2.7472527472527476E-2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37</v>
      </c>
      <c r="Y387" s="606">
        <f>IFERROR(IF(X387="",0,CEILING((X387/$H387),1)*$H387),"")</f>
        <v>38.25</v>
      </c>
      <c r="Z387" s="36">
        <f>IFERROR(IF(Y387=0,"",ROUNDUP(Y387/H387,0)*0.00651),"")</f>
        <v>9.7650000000000001E-2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41.788235294117648</v>
      </c>
      <c r="BN387" s="64">
        <f>IFERROR(Y387*I387/H387,"0")</f>
        <v>43.2</v>
      </c>
      <c r="BO387" s="64">
        <f>IFERROR(1/J387*(X387/H387),"0")</f>
        <v>7.9724197371256217E-2</v>
      </c>
      <c r="BP387" s="64">
        <f>IFERROR(1/J387*(Y387/H387),"0")</f>
        <v>8.241758241758243E-2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18.82352941176471</v>
      </c>
      <c r="Y388" s="607">
        <f>IFERROR(Y384/H384,"0")+IFERROR(Y385/H385,"0")+IFERROR(Y386/H386,"0")+IFERROR(Y387/H387,"0")</f>
        <v>20</v>
      </c>
      <c r="Z388" s="607">
        <f>IFERROR(IF(Z384="",0,Z384),"0")+IFERROR(IF(Z385="",0,Z385),"0")+IFERROR(IF(Z386="",0,Z386),"0")+IFERROR(IF(Z387="",0,Z387),"0")</f>
        <v>0.13020000000000001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48</v>
      </c>
      <c r="Y389" s="607">
        <f>IFERROR(SUM(Y384:Y387),"0")</f>
        <v>51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14</v>
      </c>
      <c r="Y391" s="606">
        <f>IFERROR(IF(X391="",0,CEILING((X391/$H391),1)*$H391),"")</f>
        <v>14</v>
      </c>
      <c r="Z391" s="36">
        <f>IFERROR(IF(Y391=0,"",ROUNDUP(Y391/H391,0)*0.00474),"")</f>
        <v>3.3180000000000001E-2</v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15.680000000000001</v>
      </c>
      <c r="BN391" s="64">
        <f>IFERROR(Y391*I391/H391,"0")</f>
        <v>15.680000000000001</v>
      </c>
      <c r="BO391" s="64">
        <f>IFERROR(1/J391*(X391/H391),"0")</f>
        <v>2.9411764705882353E-2</v>
      </c>
      <c r="BP391" s="64">
        <f>IFERROR(1/J391*(Y391/H391),"0")</f>
        <v>2.9411764705882353E-2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13</v>
      </c>
      <c r="Y392" s="606">
        <f>IFERROR(IF(X392="",0,CEILING((X392/$H392),1)*$H392),"")</f>
        <v>14</v>
      </c>
      <c r="Z392" s="36">
        <f>IFERROR(IF(Y392=0,"",ROUNDUP(Y392/H392,0)*0.00474),"")</f>
        <v>3.3180000000000001E-2</v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14.560000000000002</v>
      </c>
      <c r="BN392" s="64">
        <f>IFERROR(Y392*I392/H392,"0")</f>
        <v>15.680000000000001</v>
      </c>
      <c r="BO392" s="64">
        <f>IFERROR(1/J392*(X392/H392),"0")</f>
        <v>2.7310924369747899E-2</v>
      </c>
      <c r="BP392" s="64">
        <f>IFERROR(1/J392*(Y392/H392),"0")</f>
        <v>2.9411764705882353E-2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17</v>
      </c>
      <c r="Y393" s="606">
        <f>IFERROR(IF(X393="",0,CEILING((X393/$H393),1)*$H393),"")</f>
        <v>18</v>
      </c>
      <c r="Z393" s="36">
        <f>IFERROR(IF(Y393=0,"",ROUNDUP(Y393/H393,0)*0.00474),"")</f>
        <v>4.2660000000000003E-2</v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19.040000000000003</v>
      </c>
      <c r="BN393" s="64">
        <f>IFERROR(Y393*I393/H393,"0")</f>
        <v>20.160000000000004</v>
      </c>
      <c r="BO393" s="64">
        <f>IFERROR(1/J393*(X393/H393),"0")</f>
        <v>3.5714285714285712E-2</v>
      </c>
      <c r="BP393" s="64">
        <f>IFERROR(1/J393*(Y393/H393),"0")</f>
        <v>3.7815126050420166E-2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22</v>
      </c>
      <c r="Y394" s="607">
        <f>IFERROR(Y391/H391,"0")+IFERROR(Y392/H392,"0")+IFERROR(Y393/H393,"0")</f>
        <v>23</v>
      </c>
      <c r="Z394" s="607">
        <f>IFERROR(IF(Z391="",0,Z391),"0")+IFERROR(IF(Z392="",0,Z392),"0")+IFERROR(IF(Z393="",0,Z393),"0")</f>
        <v>0.10902000000000001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44</v>
      </c>
      <c r="Y395" s="607">
        <f>IFERROR(SUM(Y391:Y393),"0")</f>
        <v>46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43</v>
      </c>
      <c r="Y399" s="606">
        <f>IFERROR(IF(X399="",0,CEILING((X399/$H399),1)*$H399),"")</f>
        <v>44.1</v>
      </c>
      <c r="Z399" s="36">
        <f>IFERROR(IF(Y399=0,"",ROUNDUP(Y399/H399,0)*0.00651),"")</f>
        <v>0.13671</v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48.16</v>
      </c>
      <c r="BN399" s="64">
        <f>IFERROR(Y399*I399/H399,"0")</f>
        <v>49.391999999999996</v>
      </c>
      <c r="BO399" s="64">
        <f>IFERROR(1/J399*(X399/H399),"0")</f>
        <v>0.11250654107796965</v>
      </c>
      <c r="BP399" s="64">
        <f>IFERROR(1/J399*(Y399/H399),"0")</f>
        <v>0.11538461538461539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57</v>
      </c>
      <c r="Y400" s="606">
        <f>IFERROR(IF(X400="",0,CEILING((X400/$H400),1)*$H400),"")</f>
        <v>58.800000000000004</v>
      </c>
      <c r="Z400" s="36">
        <f>IFERROR(IF(Y400=0,"",ROUNDUP(Y400/H400,0)*0.00651),"")</f>
        <v>0.18228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63.514285714285712</v>
      </c>
      <c r="BN400" s="64">
        <f>IFERROR(Y400*I400/H400,"0")</f>
        <v>65.52000000000001</v>
      </c>
      <c r="BO400" s="64">
        <f>IFERROR(1/J400*(X400/H400),"0")</f>
        <v>0.14913657770800628</v>
      </c>
      <c r="BP400" s="64">
        <f>IFERROR(1/J400*(Y400/H400),"0")</f>
        <v>0.15384615384615385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47.61904761904762</v>
      </c>
      <c r="Y401" s="607">
        <f>IFERROR(Y398/H398,"0")+IFERROR(Y399/H399,"0")+IFERROR(Y400/H400,"0")</f>
        <v>49</v>
      </c>
      <c r="Z401" s="607">
        <f>IFERROR(IF(Z398="",0,Z398),"0")+IFERROR(IF(Z399="",0,Z399),"0")+IFERROR(IF(Z400="",0,Z400),"0")</f>
        <v>0.31899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100</v>
      </c>
      <c r="Y402" s="607">
        <f>IFERROR(SUM(Y398:Y400),"0")</f>
        <v>102.9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1551</v>
      </c>
      <c r="Y407" s="606">
        <f t="shared" si="52"/>
        <v>1560</v>
      </c>
      <c r="Z407" s="36">
        <f>IFERROR(IF(Y407=0,"",ROUNDUP(Y407/H407,0)*0.02175),"")</f>
        <v>2.262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1599.5980000000002</v>
      </c>
      <c r="BN407" s="64">
        <f t="shared" si="54"/>
        <v>1608.88</v>
      </c>
      <c r="BO407" s="64">
        <f t="shared" si="55"/>
        <v>2.1541666666666668</v>
      </c>
      <c r="BP407" s="64">
        <f t="shared" si="56"/>
        <v>2.1666666666666665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199</v>
      </c>
      <c r="Y408" s="606">
        <f t="shared" si="52"/>
        <v>210</v>
      </c>
      <c r="Z408" s="36">
        <f>IFERROR(IF(Y408=0,"",ROUNDUP(Y408/H408,0)*0.02175),"")</f>
        <v>0.30449999999999999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205.23533333333336</v>
      </c>
      <c r="BN408" s="64">
        <f t="shared" si="54"/>
        <v>216.58</v>
      </c>
      <c r="BO408" s="64">
        <f t="shared" si="55"/>
        <v>0.27638888888888891</v>
      </c>
      <c r="BP408" s="64">
        <f t="shared" si="56"/>
        <v>0.29166666666666663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418</v>
      </c>
      <c r="Y409" s="606">
        <f t="shared" si="52"/>
        <v>420</v>
      </c>
      <c r="Z409" s="36">
        <f>IFERROR(IF(Y409=0,"",ROUNDUP(Y409/H409,0)*0.02175),"")</f>
        <v>0.60899999999999999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431.09733333333332</v>
      </c>
      <c r="BN409" s="64">
        <f t="shared" si="54"/>
        <v>433.16</v>
      </c>
      <c r="BO409" s="64">
        <f t="shared" si="55"/>
        <v>0.58055555555555549</v>
      </c>
      <c r="BP409" s="64">
        <f t="shared" si="56"/>
        <v>0.58333333333333326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144.53333333333333</v>
      </c>
      <c r="Y414" s="607">
        <f>IFERROR(Y406/H406,"0")+IFERROR(Y407/H407,"0")+IFERROR(Y408/H408,"0")+IFERROR(Y409/H409,"0")+IFERROR(Y410/H410,"0")+IFERROR(Y411/H411,"0")+IFERROR(Y412/H412,"0")+IFERROR(Y413/H413,"0")</f>
        <v>146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3.1755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2168</v>
      </c>
      <c r="Y415" s="607">
        <f>IFERROR(SUM(Y406:Y413),"0")</f>
        <v>2190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683</v>
      </c>
      <c r="Y417" s="606">
        <f>IFERROR(IF(X417="",0,CEILING((X417/$H417),1)*$H417),"")</f>
        <v>690</v>
      </c>
      <c r="Z417" s="36">
        <f>IFERROR(IF(Y417=0,"",ROUNDUP(Y417/H417,0)*0.02175),"")</f>
        <v>1.0004999999999999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704.40066666666667</v>
      </c>
      <c r="BN417" s="64">
        <f>IFERROR(Y417*I417/H417,"0")</f>
        <v>711.62000000000012</v>
      </c>
      <c r="BO417" s="64">
        <f>IFERROR(1/J417*(X417/H417),"0")</f>
        <v>0.94861111111111107</v>
      </c>
      <c r="BP417" s="64">
        <f>IFERROR(1/J417*(Y417/H417),"0")</f>
        <v>0.95833333333333326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45.533333333333331</v>
      </c>
      <c r="Y420" s="607">
        <f>IFERROR(Y417/H417,"0")+IFERROR(Y418/H418,"0")+IFERROR(Y419/H419,"0")</f>
        <v>46</v>
      </c>
      <c r="Z420" s="607">
        <f>IFERROR(IF(Z417="",0,Z417),"0")+IFERROR(IF(Z418="",0,Z418),"0")+IFERROR(IF(Z419="",0,Z419),"0")</f>
        <v>1.0004999999999999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683</v>
      </c>
      <c r="Y421" s="607">
        <f>IFERROR(SUM(Y417:Y419),"0")</f>
        <v>690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2556</v>
      </c>
      <c r="Y442" s="606">
        <f>IFERROR(IF(X442="",0,CEILING((X442/$H442),1)*$H442),"")</f>
        <v>2556</v>
      </c>
      <c r="Z442" s="36">
        <f>IFERROR(IF(Y442=0,"",ROUNDUP(Y442/H442,0)*0.01898),"")</f>
        <v>5.39032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2696.2960000000003</v>
      </c>
      <c r="BN442" s="64">
        <f>IFERROR(Y442*I442/H442,"0")</f>
        <v>2696.2960000000003</v>
      </c>
      <c r="BO442" s="64">
        <f>IFERROR(1/J442*(X442/H442),"0")</f>
        <v>4.4375</v>
      </c>
      <c r="BP442" s="64">
        <f>IFERROR(1/J442*(Y442/H442),"0")</f>
        <v>4.4375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284</v>
      </c>
      <c r="Y445" s="607">
        <f>IFERROR(Y442/H442,"0")+IFERROR(Y443/H443,"0")+IFERROR(Y444/H444,"0")</f>
        <v>284</v>
      </c>
      <c r="Z445" s="607">
        <f>IFERROR(IF(Z442="",0,Z442),"0")+IFERROR(IF(Z443="",0,Z443),"0")+IFERROR(IF(Z444="",0,Z444),"0")</f>
        <v>5.39032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2556</v>
      </c>
      <c r="Y446" s="607">
        <f>IFERROR(SUM(Y442:Y444),"0")</f>
        <v>2556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621</v>
      </c>
      <c r="Y480" s="606">
        <f t="shared" si="62"/>
        <v>623.04000000000008</v>
      </c>
      <c r="Z480" s="36">
        <f t="shared" si="63"/>
        <v>1.4112800000000001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662.16477272727275</v>
      </c>
      <c r="BN480" s="64">
        <f t="shared" si="65"/>
        <v>664.34</v>
      </c>
      <c r="BO480" s="64">
        <f t="shared" si="66"/>
        <v>1.1309003496503496</v>
      </c>
      <c r="BP480" s="64">
        <f t="shared" si="67"/>
        <v>1.1346153846153848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1163</v>
      </c>
      <c r="Y482" s="606">
        <f t="shared" si="62"/>
        <v>1166.8800000000001</v>
      </c>
      <c r="Z482" s="36">
        <f t="shared" si="63"/>
        <v>2.64316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1240.092803030303</v>
      </c>
      <c r="BN482" s="64">
        <f t="shared" si="65"/>
        <v>1244.23</v>
      </c>
      <c r="BO482" s="64">
        <f t="shared" si="66"/>
        <v>2.117934149184149</v>
      </c>
      <c r="BP482" s="64">
        <f t="shared" si="67"/>
        <v>2.125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43</v>
      </c>
      <c r="Y484" s="606">
        <f t="shared" si="62"/>
        <v>43.199999999999996</v>
      </c>
      <c r="Z484" s="36">
        <f>IFERROR(IF(Y484=0,"",ROUNDUP(Y484/H484,0)*0.00902),"")</f>
        <v>8.1180000000000002E-2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61.902083333333337</v>
      </c>
      <c r="BN484" s="64">
        <f t="shared" si="65"/>
        <v>62.190000000000005</v>
      </c>
      <c r="BO484" s="64">
        <f t="shared" si="66"/>
        <v>6.7866161616161616E-2</v>
      </c>
      <c r="BP484" s="64">
        <f t="shared" si="67"/>
        <v>6.8181818181818177E-2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103</v>
      </c>
      <c r="Y485" s="606">
        <f t="shared" si="62"/>
        <v>105.6</v>
      </c>
      <c r="Z485" s="36">
        <f>IFERROR(IF(Y485=0,"",ROUNDUP(Y485/H485,0)*0.00902),"")</f>
        <v>0.19844000000000001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148.27708333333334</v>
      </c>
      <c r="BN485" s="64">
        <f t="shared" si="65"/>
        <v>152.02000000000001</v>
      </c>
      <c r="BO485" s="64">
        <f t="shared" si="66"/>
        <v>0.16256313131313133</v>
      </c>
      <c r="BP485" s="64">
        <f t="shared" si="67"/>
        <v>0.16666666666666669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368.2954545454545</v>
      </c>
      <c r="Y486" s="607">
        <f>IFERROR(Y477/H477,"0")+IFERROR(Y478/H478,"0")+IFERROR(Y479/H479,"0")+IFERROR(Y480/H480,"0")+IFERROR(Y481/H481,"0")+IFERROR(Y482/H482,"0")+IFERROR(Y483/H483,"0")+IFERROR(Y484/H484,"0")+IFERROR(Y485/H485,"0")</f>
        <v>370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4.3340599999999991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1930</v>
      </c>
      <c r="Y487" s="607">
        <f>IFERROR(SUM(Y477:Y485),"0")</f>
        <v>1938.72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1000</v>
      </c>
      <c r="Y489" s="606">
        <f>IFERROR(IF(X489="",0,CEILING((X489/$H489),1)*$H489),"")</f>
        <v>1003.2</v>
      </c>
      <c r="Z489" s="36">
        <f>IFERROR(IF(Y489=0,"",ROUNDUP(Y489/H489,0)*0.01196),"")</f>
        <v>2.2724000000000002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1066.2878787878788</v>
      </c>
      <c r="BN489" s="64">
        <f>IFERROR(Y489*I489/H489,"0")</f>
        <v>1069.7</v>
      </c>
      <c r="BO489" s="64">
        <f>IFERROR(1/J489*(X489/H489),"0")</f>
        <v>1.821095571095571</v>
      </c>
      <c r="BP489" s="64">
        <f>IFERROR(1/J489*(Y489/H489),"0")</f>
        <v>1.8269230769230771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120</v>
      </c>
      <c r="Y491" s="606">
        <f>IFERROR(IF(X491="",0,CEILING((X491/$H491),1)*$H491),"")</f>
        <v>120</v>
      </c>
      <c r="Z491" s="36">
        <f>IFERROR(IF(Y491=0,"",ROUNDUP(Y491/H491,0)*0.00902),"")</f>
        <v>0.22550000000000001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172.75000000000003</v>
      </c>
      <c r="BN491" s="64">
        <f>IFERROR(Y491*I491/H491,"0")</f>
        <v>172.75000000000003</v>
      </c>
      <c r="BO491" s="64">
        <f>IFERROR(1/J491*(X491/H491),"0")</f>
        <v>0.18939393939393939</v>
      </c>
      <c r="BP491" s="64">
        <f>IFERROR(1/J491*(Y491/H491),"0")</f>
        <v>0.18939393939393939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214.39393939393938</v>
      </c>
      <c r="Y492" s="607">
        <f>IFERROR(Y489/H489,"0")+IFERROR(Y490/H490,"0")+IFERROR(Y491/H491,"0")</f>
        <v>215</v>
      </c>
      <c r="Z492" s="607">
        <f>IFERROR(IF(Z489="",0,Z489),"0")+IFERROR(IF(Z490="",0,Z490),"0")+IFERROR(IF(Z491="",0,Z491),"0")</f>
        <v>2.4979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1120</v>
      </c>
      <c r="Y493" s="607">
        <f>IFERROR(SUM(Y489:Y491),"0")</f>
        <v>1123.2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192</v>
      </c>
      <c r="Y495" s="606">
        <f t="shared" ref="Y495:Y501" si="68">IFERROR(IF(X495="",0,CEILING((X495/$H495),1)*$H495),"")</f>
        <v>195.36</v>
      </c>
      <c r="Z495" s="36">
        <f>IFERROR(IF(Y495=0,"",ROUNDUP(Y495/H495,0)*0.01196),"")</f>
        <v>0.44252000000000002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204.72727272727272</v>
      </c>
      <c r="BN495" s="64">
        <f t="shared" ref="BN495:BN501" si="70">IFERROR(Y495*I495/H495,"0")</f>
        <v>208.31</v>
      </c>
      <c r="BO495" s="64">
        <f t="shared" ref="BO495:BO501" si="71">IFERROR(1/J495*(X495/H495),"0")</f>
        <v>0.34965034965034963</v>
      </c>
      <c r="BP495" s="64">
        <f t="shared" ref="BP495:BP501" si="72">IFERROR(1/J495*(Y495/H495),"0")</f>
        <v>0.35576923076923078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189</v>
      </c>
      <c r="Y496" s="606">
        <f t="shared" si="68"/>
        <v>190.08</v>
      </c>
      <c r="Z496" s="36">
        <f>IFERROR(IF(Y496=0,"",ROUNDUP(Y496/H496,0)*0.01196),"")</f>
        <v>0.43056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201.52840909090907</v>
      </c>
      <c r="BN496" s="64">
        <f t="shared" si="70"/>
        <v>202.67999999999998</v>
      </c>
      <c r="BO496" s="64">
        <f t="shared" si="71"/>
        <v>0.34418706293706297</v>
      </c>
      <c r="BP496" s="64">
        <f t="shared" si="72"/>
        <v>0.34615384615384615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529</v>
      </c>
      <c r="Y497" s="606">
        <f t="shared" si="68"/>
        <v>533.28</v>
      </c>
      <c r="Z497" s="36">
        <f>IFERROR(IF(Y497=0,"",ROUNDUP(Y497/H497,0)*0.01196),"")</f>
        <v>1.2079599999999999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564.06628787878788</v>
      </c>
      <c r="BN497" s="64">
        <f t="shared" si="70"/>
        <v>568.63</v>
      </c>
      <c r="BO497" s="64">
        <f t="shared" si="71"/>
        <v>0.96335955710955712</v>
      </c>
      <c r="BP497" s="64">
        <f t="shared" si="72"/>
        <v>0.97115384615384603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172.34848484848484</v>
      </c>
      <c r="Y502" s="607">
        <f>IFERROR(Y495/H495,"0")+IFERROR(Y496/H496,"0")+IFERROR(Y497/H497,"0")+IFERROR(Y498/H498,"0")+IFERROR(Y499/H499,"0")+IFERROR(Y500/H500,"0")+IFERROR(Y501/H501,"0")</f>
        <v>174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2.0810399999999998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910</v>
      </c>
      <c r="Y503" s="607">
        <f>IFERROR(SUM(Y495:Y501),"0")</f>
        <v>918.72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15515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15658.579999999998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16554.528950552303</v>
      </c>
      <c r="Y534" s="607">
        <f>IFERROR(SUM(BN22:BN530),"0")</f>
        <v>16709.174000000003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29</v>
      </c>
      <c r="Y535" s="38">
        <f>ROUNDUP(SUM(BP22:BP530),0)</f>
        <v>29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17279.528950552303</v>
      </c>
      <c r="Y536" s="607">
        <f>GrossWeightTotalR+PalletQtyTotalR*25</f>
        <v>17434.174000000003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2856.3228335110689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2890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33.691409999999998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23.4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491.2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502.3</v>
      </c>
      <c r="F543" s="46">
        <f>IFERROR(Y88*1,"0")+IFERROR(Y89*1,"0")+IFERROR(Y90*1,"0")+IFERROR(Y91*1,"0")+IFERROR(Y95*1,"0")+IFERROR(Y96*1,"0")+IFERROR(Y97*1,"0")+IFERROR(Y98*1,"0")</f>
        <v>475.2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1551.7</v>
      </c>
      <c r="H543" s="46">
        <f>IFERROR(Y134*1,"0")+IFERROR(Y135*1,"0")+IFERROR(Y139*1,"0")+IFERROR(Y140*1,"0")+IFERROR(Y144*1,"0")+IFERROR(Y145*1,"0")</f>
        <v>16.799999999999997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595.1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154.04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1082.6999999999998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14.4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43.199999999999996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234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955</v>
      </c>
      <c r="U543" s="46">
        <f>IFERROR(Y398*1,"0")+IFERROR(Y399*1,"0")+IFERROR(Y400*1,"0")</f>
        <v>102.9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2880</v>
      </c>
      <c r="W543" s="46">
        <f>IFERROR(Y433*1,"0")+IFERROR(Y434*1,"0")+IFERROR(Y438*1,"0")+IFERROR(Y442*1,"0")+IFERROR(Y443*1,"0")+IFERROR(Y444*1,"0")</f>
        <v>2556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3980.6400000000003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2026-07-10T07:41:33Z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