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4241848-979A-42C3-BF22-1A84D0D004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Y312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N249" i="1"/>
  <c r="BM249" i="1"/>
  <c r="Z249" i="1"/>
  <c r="Z251" i="1" s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8" i="1" s="1"/>
  <c r="P213" i="1"/>
  <c r="X211" i="1"/>
  <c r="X210" i="1"/>
  <c r="BO209" i="1"/>
  <c r="BM209" i="1"/>
  <c r="Y209" i="1"/>
  <c r="L543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43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J543" i="1" s="1"/>
  <c r="P158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P139" i="1"/>
  <c r="BO139" i="1"/>
  <c r="BN139" i="1"/>
  <c r="BM139" i="1"/>
  <c r="Z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H543" i="1" s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P122" i="1"/>
  <c r="BO122" i="1"/>
  <c r="BN122" i="1"/>
  <c r="BM122" i="1"/>
  <c r="Z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20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Y22" i="1"/>
  <c r="B543" i="1" s="1"/>
  <c r="P22" i="1"/>
  <c r="H10" i="1"/>
  <c r="A9" i="1"/>
  <c r="F10" i="1" s="1"/>
  <c r="D7" i="1"/>
  <c r="Q6" i="1"/>
  <c r="P2" i="1"/>
  <c r="X536" i="1" l="1"/>
  <c r="Y32" i="1"/>
  <c r="Y75" i="1"/>
  <c r="Y79" i="1"/>
  <c r="Y100" i="1"/>
  <c r="Y109" i="1"/>
  <c r="Y119" i="1"/>
  <c r="Y142" i="1"/>
  <c r="Y178" i="1"/>
  <c r="Y184" i="1"/>
  <c r="Y190" i="1"/>
  <c r="Y206" i="1"/>
  <c r="Y211" i="1"/>
  <c r="Y235" i="1"/>
  <c r="Y241" i="1"/>
  <c r="BP263" i="1"/>
  <c r="BN263" i="1"/>
  <c r="Z263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BP348" i="1"/>
  <c r="BN348" i="1"/>
  <c r="Z348" i="1"/>
  <c r="Y350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BP385" i="1"/>
  <c r="BN385" i="1"/>
  <c r="Z385" i="1"/>
  <c r="Z388" i="1" s="1"/>
  <c r="BP393" i="1"/>
  <c r="BN393" i="1"/>
  <c r="Z393" i="1"/>
  <c r="Y395" i="1"/>
  <c r="U543" i="1"/>
  <c r="Y401" i="1"/>
  <c r="BP398" i="1"/>
  <c r="BN398" i="1"/>
  <c r="Z398" i="1"/>
  <c r="O543" i="1"/>
  <c r="H9" i="1"/>
  <c r="A10" i="1"/>
  <c r="Y24" i="1"/>
  <c r="Y46" i="1"/>
  <c r="Y56" i="1"/>
  <c r="Y67" i="1"/>
  <c r="Y85" i="1"/>
  <c r="Y92" i="1"/>
  <c r="Y127" i="1"/>
  <c r="Y131" i="1"/>
  <c r="Y136" i="1"/>
  <c r="Y146" i="1"/>
  <c r="Y155" i="1"/>
  <c r="Y160" i="1"/>
  <c r="Y194" i="1"/>
  <c r="Y227" i="1"/>
  <c r="BP255" i="1"/>
  <c r="BN255" i="1"/>
  <c r="Z255" i="1"/>
  <c r="Z256" i="1" s="1"/>
  <c r="Y268" i="1"/>
  <c r="BP259" i="1"/>
  <c r="BN259" i="1"/>
  <c r="Z259" i="1"/>
  <c r="BP271" i="1"/>
  <c r="BN271" i="1"/>
  <c r="Z271" i="1"/>
  <c r="Z282" i="1" s="1"/>
  <c r="F9" i="1"/>
  <c r="J9" i="1"/>
  <c r="Z22" i="1"/>
  <c r="Z24" i="1" s="1"/>
  <c r="BN22" i="1"/>
  <c r="BP22" i="1"/>
  <c r="X537" i="1"/>
  <c r="Y25" i="1"/>
  <c r="Z28" i="1"/>
  <c r="Z32" i="1" s="1"/>
  <c r="BN28" i="1"/>
  <c r="Z30" i="1"/>
  <c r="BN30" i="1"/>
  <c r="C543" i="1"/>
  <c r="Z42" i="1"/>
  <c r="Z46" i="1" s="1"/>
  <c r="BN42" i="1"/>
  <c r="Z44" i="1"/>
  <c r="BN44" i="1"/>
  <c r="Y47" i="1"/>
  <c r="D543" i="1"/>
  <c r="Z52" i="1"/>
  <c r="Z55" i="1" s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9" i="1" s="1"/>
  <c r="BN113" i="1"/>
  <c r="Z115" i="1"/>
  <c r="BN115" i="1"/>
  <c r="Z117" i="1"/>
  <c r="BN117" i="1"/>
  <c r="Z123" i="1"/>
  <c r="Z126" i="1" s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43" i="1"/>
  <c r="Z151" i="1"/>
  <c r="Z154" i="1" s="1"/>
  <c r="BN151" i="1"/>
  <c r="Z153" i="1"/>
  <c r="BN153" i="1"/>
  <c r="Y154" i="1"/>
  <c r="Z158" i="1"/>
  <c r="Z160" i="1" s="1"/>
  <c r="BN158" i="1"/>
  <c r="BP158" i="1"/>
  <c r="Y161" i="1"/>
  <c r="Z168" i="1"/>
  <c r="Z178" i="1" s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Z205" i="1" s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Z227" i="1" s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Z239" i="1"/>
  <c r="Z241" i="1" s="1"/>
  <c r="BN239" i="1"/>
  <c r="M543" i="1"/>
  <c r="Y252" i="1"/>
  <c r="BP249" i="1"/>
  <c r="Y256" i="1"/>
  <c r="BP261" i="1"/>
  <c r="BN261" i="1"/>
  <c r="Z261" i="1"/>
  <c r="BP265" i="1"/>
  <c r="BN265" i="1"/>
  <c r="Z265" i="1"/>
  <c r="Y282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99" i="1"/>
  <c r="BP294" i="1"/>
  <c r="BN294" i="1"/>
  <c r="Z294" i="1"/>
  <c r="Z298" i="1" s="1"/>
  <c r="Y298" i="1"/>
  <c r="BP310" i="1"/>
  <c r="BN310" i="1"/>
  <c r="Z310" i="1"/>
  <c r="Z312" i="1" s="1"/>
  <c r="BP319" i="1"/>
  <c r="BN319" i="1"/>
  <c r="Z319" i="1"/>
  <c r="Y328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Y388" i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Z414" i="1" s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456" i="1"/>
  <c r="Z502" i="1"/>
  <c r="Z445" i="1"/>
  <c r="Z420" i="1"/>
  <c r="Z109" i="1"/>
  <c r="Z92" i="1"/>
  <c r="Y533" i="1"/>
  <c r="Y535" i="1"/>
  <c r="Z267" i="1"/>
  <c r="Z538" i="1" s="1"/>
  <c r="Y537" i="1"/>
  <c r="Z401" i="1"/>
  <c r="Z368" i="1"/>
  <c r="Z358" i="1"/>
  <c r="Z472" i="1"/>
  <c r="Y534" i="1"/>
  <c r="Y536" i="1" s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<sst xmlns="http://schemas.openxmlformats.org/spreadsheetml/2006/main" count="2407" uniqueCount="872">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</sst>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400</v>
      </c>
      <c r="Y51" s="606">
        <f>IFERROR(IF(X51="",0,CEILING((X51/$H51),1)*$H51),"")</f>
        <v>410.40000000000003</v>
      </c>
      <c r="Z51" s="36">
        <f>IFERROR(IF(Y51=0,"",ROUNDUP(Y51/H51,0)*0.01898),"")</f>
        <v>0.72123999999999999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415.18518518518516</v>
      </c>
      <c r="BN51" s="64">
        <f>IFERROR(Y51*I51/H51,"0")</f>
        <v>425.98</v>
      </c>
      <c r="BO51" s="64">
        <f>IFERROR(1/J51*(X51/H51),"0")</f>
        <v>0.57870370370370372</v>
      </c>
      <c r="BP51" s="64">
        <f>IFERROR(1/J51*(Y51/H51),"0")</f>
        <v>0.59375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37.037037037037038</v>
      </c>
      <c r="Y55" s="607">
        <f>IFERROR(Y51/H51,"0")+IFERROR(Y52/H52,"0")+IFERROR(Y53/H53,"0")+IFERROR(Y54/H54,"0")</f>
        <v>38</v>
      </c>
      <c r="Z55" s="607">
        <f>IFERROR(IF(Z51="",0,Z51),"0")+IFERROR(IF(Z52="",0,Z52),"0")+IFERROR(IF(Z53="",0,Z53),"0")+IFERROR(IF(Z54="",0,Z54),"0")</f>
        <v>0.72123999999999999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400</v>
      </c>
      <c r="Y56" s="607">
        <f>IFERROR(SUM(Y51:Y54),"0")</f>
        <v>410.40000000000003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100</v>
      </c>
      <c r="Y61" s="606">
        <f t="shared" si="0"/>
        <v>108</v>
      </c>
      <c r="Z61" s="36">
        <f>IFERROR(IF(Y61=0,"",ROUNDUP(Y61/H61,0)*0.01898),"")</f>
        <v>0.1898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103.79629629629629</v>
      </c>
      <c r="BN61" s="64">
        <f t="shared" si="2"/>
        <v>112.1</v>
      </c>
      <c r="BO61" s="64">
        <f t="shared" si="3"/>
        <v>0.14467592592592593</v>
      </c>
      <c r="BP61" s="64">
        <f t="shared" si="4"/>
        <v>0.15625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9.2592592592592595</v>
      </c>
      <c r="Y67" s="607">
        <f>IFERROR(Y59/H59,"0")+IFERROR(Y60/H60,"0")+IFERROR(Y61/H61,"0")+IFERROR(Y62/H62,"0")+IFERROR(Y63/H63,"0")+IFERROR(Y64/H64,"0")+IFERROR(Y65/H65,"0")+IFERROR(Y66/H66,"0")</f>
        <v>10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0.1898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100</v>
      </c>
      <c r="Y68" s="607">
        <f>IFERROR(SUM(Y59:Y66),"0")</f>
        <v>108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45</v>
      </c>
      <c r="Y91" s="606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46.900000000000006</v>
      </c>
      <c r="BN91" s="64">
        <f>IFERROR(Y91*I91/H91,"0")</f>
        <v>46.900000000000006</v>
      </c>
      <c r="BO91" s="64">
        <f>IFERROR(1/J91*(X91/H91),"0")</f>
        <v>7.575757575757576E-2</v>
      </c>
      <c r="BP91" s="64">
        <f>IFERROR(1/J91*(Y91/H91),"0")</f>
        <v>7.575757575757576E-2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10</v>
      </c>
      <c r="Y92" s="607">
        <f>IFERROR(Y88/H88,"0")+IFERROR(Y89/H89,"0")+IFERROR(Y90/H90,"0")+IFERROR(Y91/H91,"0")</f>
        <v>10</v>
      </c>
      <c r="Z92" s="607">
        <f>IFERROR(IF(Z88="",0,Z88),"0")+IFERROR(IF(Z89="",0,Z89),"0")+IFERROR(IF(Z90="",0,Z90),"0")+IFERROR(IF(Z91="",0,Z91),"0")</f>
        <v>9.0200000000000002E-2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45</v>
      </c>
      <c r="Y93" s="607">
        <f>IFERROR(SUM(Y88:Y91),"0")</f>
        <v>45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100</v>
      </c>
      <c r="Y95" s="606">
        <f>IFERROR(IF(X95="",0,CEILING((X95/$H95),1)*$H95),"")</f>
        <v>105.3</v>
      </c>
      <c r="Z95" s="36">
        <f>IFERROR(IF(Y95=0,"",ROUNDUP(Y95/H95,0)*0.01898),"")</f>
        <v>0.24674000000000001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106.09876543209877</v>
      </c>
      <c r="BN95" s="64">
        <f>IFERROR(Y95*I95/H95,"0")</f>
        <v>111.72199999999999</v>
      </c>
      <c r="BO95" s="64">
        <f>IFERROR(1/J95*(X95/H95),"0")</f>
        <v>0.19290123456790123</v>
      </c>
      <c r="BP95" s="64">
        <f>IFERROR(1/J95*(Y95/H95),"0")</f>
        <v>0.203125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45</v>
      </c>
      <c r="Y97" s="606">
        <f>IFERROR(IF(X97="",0,CEILING((X97/$H97),1)*$H97),"")</f>
        <v>45.900000000000006</v>
      </c>
      <c r="Z97" s="36">
        <f>IFERROR(IF(Y97=0,"",ROUNDUP(Y97/H97,0)*0.00651),"")</f>
        <v>0.11067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49.199999999999996</v>
      </c>
      <c r="BN97" s="64">
        <f>IFERROR(Y97*I97/H97,"0")</f>
        <v>50.183999999999997</v>
      </c>
      <c r="BO97" s="64">
        <f>IFERROR(1/J97*(X97/H97),"0")</f>
        <v>9.1575091575091569E-2</v>
      </c>
      <c r="BP97" s="64">
        <f>IFERROR(1/J97*(Y97/H97),"0")</f>
        <v>9.3406593406593408E-2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29.012345679012341</v>
      </c>
      <c r="Y99" s="607">
        <f>IFERROR(Y95/H95,"0")+IFERROR(Y96/H96,"0")+IFERROR(Y97/H97,"0")+IFERROR(Y98/H98,"0")</f>
        <v>30</v>
      </c>
      <c r="Z99" s="607">
        <f>IFERROR(IF(Z95="",0,Z95),"0")+IFERROR(IF(Z96="",0,Z96),"0")+IFERROR(IF(Z97="",0,Z97),"0")+IFERROR(IF(Z98="",0,Z98),"0")</f>
        <v>0.35741000000000001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145</v>
      </c>
      <c r="Y100" s="607">
        <f>IFERROR(SUM(Y95:Y98),"0")</f>
        <v>151.19999999999999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360</v>
      </c>
      <c r="Y107" s="606">
        <f t="shared" si="5"/>
        <v>360</v>
      </c>
      <c r="Z107" s="36">
        <f>IFERROR(IF(Y107=0,"",ROUNDUP(Y107/H107,0)*0.00902),"")</f>
        <v>0.72160000000000002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375.20000000000005</v>
      </c>
      <c r="BN107" s="64">
        <f t="shared" si="7"/>
        <v>375.20000000000005</v>
      </c>
      <c r="BO107" s="64">
        <f t="shared" si="8"/>
        <v>0.60606060606060608</v>
      </c>
      <c r="BP107" s="64">
        <f t="shared" si="9"/>
        <v>0.60606060606060608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80</v>
      </c>
      <c r="Y109" s="607">
        <f>IFERROR(Y103/H103,"0")+IFERROR(Y104/H104,"0")+IFERROR(Y105/H105,"0")+IFERROR(Y106/H106,"0")+IFERROR(Y107/H107,"0")+IFERROR(Y108/H108,"0")</f>
        <v>80</v>
      </c>
      <c r="Z109" s="607">
        <f>IFERROR(IF(Z103="",0,Z103),"0")+IFERROR(IF(Z104="",0,Z104),"0")+IFERROR(IF(Z105="",0,Z105),"0")+IFERROR(IF(Z106="",0,Z106),"0")+IFERROR(IF(Z107="",0,Z107),"0")+IFERROR(IF(Z108="",0,Z108),"0")</f>
        <v>0.72160000000000002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360</v>
      </c>
      <c r="Y110" s="607">
        <f>IFERROR(SUM(Y103:Y108),"0")</f>
        <v>360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600</v>
      </c>
      <c r="Y122" s="606">
        <f>IFERROR(IF(X122="",0,CEILING((X122/$H122),1)*$H122),"")</f>
        <v>607.5</v>
      </c>
      <c r="Z122" s="36">
        <f>IFERROR(IF(Y122=0,"",ROUNDUP(Y122/H122,0)*0.01898),"")</f>
        <v>1.4235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636.14814814814804</v>
      </c>
      <c r="BN122" s="64">
        <f>IFERROR(Y122*I122/H122,"0")</f>
        <v>644.09999999999991</v>
      </c>
      <c r="BO122" s="64">
        <f>IFERROR(1/J122*(X122/H122),"0")</f>
        <v>1.1574074074074074</v>
      </c>
      <c r="BP122" s="64">
        <f>IFERROR(1/J122*(Y122/H122),"0")</f>
        <v>1.171875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495</v>
      </c>
      <c r="Y124" s="606">
        <f>IFERROR(IF(X124="",0,CEILING((X124/$H124),1)*$H124),"")</f>
        <v>496.8</v>
      </c>
      <c r="Z124" s="36">
        <f>IFERROR(IF(Y124=0,"",ROUNDUP(Y124/H124,0)*0.00651),"")</f>
        <v>1.19784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541.19999999999993</v>
      </c>
      <c r="BN124" s="64">
        <f>IFERROR(Y124*I124/H124,"0")</f>
        <v>543.16800000000001</v>
      </c>
      <c r="BO124" s="64">
        <f>IFERROR(1/J124*(X124/H124),"0")</f>
        <v>1.0073260073260073</v>
      </c>
      <c r="BP124" s="64">
        <f>IFERROR(1/J124*(Y124/H124),"0")</f>
        <v>1.0109890109890112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257.40740740740739</v>
      </c>
      <c r="Y126" s="607">
        <f>IFERROR(Y122/H122,"0")+IFERROR(Y123/H123,"0")+IFERROR(Y124/H124,"0")+IFERROR(Y125/H125,"0")</f>
        <v>259</v>
      </c>
      <c r="Z126" s="607">
        <f>IFERROR(IF(Z122="",0,Z122),"0")+IFERROR(IF(Z123="",0,Z123),"0")+IFERROR(IF(Z124="",0,Z124),"0")+IFERROR(IF(Z125="",0,Z125),"0")</f>
        <v>2.62134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1095</v>
      </c>
      <c r="Y127" s="607">
        <f>IFERROR(SUM(Y122:Y125),"0")</f>
        <v>1104.3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28</v>
      </c>
      <c r="Y172" s="606">
        <f t="shared" si="15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29.666666666666671</v>
      </c>
      <c r="BN172" s="64">
        <f t="shared" si="17"/>
        <v>30.259999999999998</v>
      </c>
      <c r="BO172" s="64">
        <f t="shared" si="18"/>
        <v>7.122507122507124E-2</v>
      </c>
      <c r="BP172" s="64">
        <f t="shared" si="19"/>
        <v>7.2649572649572655E-2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0.25602000000000003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84</v>
      </c>
      <c r="Y179" s="607">
        <f>IFERROR(SUM(Y167:Y177),"0")</f>
        <v>85.679999999999993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40</v>
      </c>
      <c r="Y273" s="606">
        <f t="shared" si="37"/>
        <v>40.799999999999997</v>
      </c>
      <c r="Z273" s="36">
        <f>IFERROR(IF(Y273=0,"",ROUNDUP(Y273/H273,0)*0.00651),"")</f>
        <v>0.11067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44.5</v>
      </c>
      <c r="BN273" s="64">
        <f t="shared" si="39"/>
        <v>45.39</v>
      </c>
      <c r="BO273" s="64">
        <f t="shared" si="40"/>
        <v>9.1575091575091583E-2</v>
      </c>
      <c r="BP273" s="64">
        <f t="shared" si="41"/>
        <v>9.3406593406593408E-2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400</v>
      </c>
      <c r="Y276" s="606">
        <f t="shared" si="37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442</v>
      </c>
      <c r="BN276" s="64">
        <f t="shared" si="39"/>
        <v>442.88400000000007</v>
      </c>
      <c r="BO276" s="64">
        <f t="shared" si="40"/>
        <v>0.91575091575091594</v>
      </c>
      <c r="BP276" s="64">
        <f t="shared" si="41"/>
        <v>0.91758241758241765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160</v>
      </c>
      <c r="Y278" s="606">
        <f t="shared" si="37"/>
        <v>160.79999999999998</v>
      </c>
      <c r="Z278" s="36">
        <f>IFERROR(IF(Y278=0,"",ROUNDUP(Y278/H278,0)*0.00651),"")</f>
        <v>0.43617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176.80000000000004</v>
      </c>
      <c r="BN278" s="64">
        <f t="shared" si="39"/>
        <v>177.684</v>
      </c>
      <c r="BO278" s="64">
        <f t="shared" si="40"/>
        <v>0.36630036630036633</v>
      </c>
      <c r="BP278" s="64">
        <f t="shared" si="41"/>
        <v>0.36813186813186816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250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251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1.63401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600</v>
      </c>
      <c r="Y283" s="607">
        <f>IFERROR(SUM(Y270:Y281),"0")</f>
        <v>602.4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40</v>
      </c>
      <c r="Y327" s="606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43</v>
      </c>
      <c r="BN327" s="64">
        <f>IFERROR(Y327*I327/H327,"0")</f>
        <v>43.86</v>
      </c>
      <c r="BO327" s="64">
        <f>IFERROR(1/J327*(X327/H327),"0")</f>
        <v>9.1575091575091583E-2</v>
      </c>
      <c r="BP327" s="64">
        <f>IFERROR(1/J327*(Y327/H327),"0")</f>
        <v>9.3406593406593408E-2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16.666666666666668</v>
      </c>
      <c r="Y328" s="607">
        <f>IFERROR(Y325/H325,"0")+IFERROR(Y326/H326,"0")+IFERROR(Y327/H327,"0")</f>
        <v>17</v>
      </c>
      <c r="Z328" s="607">
        <f>IFERROR(IF(Z325="",0,Z325),"0")+IFERROR(IF(Z326="",0,Z326),"0")+IFERROR(IF(Z327="",0,Z327),"0")</f>
        <v>0.11067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40</v>
      </c>
      <c r="Y329" s="607">
        <f>IFERROR(SUM(Y325:Y327),"0")</f>
        <v>40.799999999999997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600</v>
      </c>
      <c r="Y379" s="606">
        <f>IFERROR(IF(X379="",0,CEILING((X379/$H379),1)*$H379),"")</f>
        <v>600.6</v>
      </c>
      <c r="Z379" s="36">
        <f>IFERROR(IF(Y379=0,"",ROUNDUP(Y379/H379,0)*0.01898),"")</f>
        <v>1.46146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638.00000000000011</v>
      </c>
      <c r="BN379" s="64">
        <f>IFERROR(Y379*I379/H379,"0")</f>
        <v>638.63800000000003</v>
      </c>
      <c r="BO379" s="64">
        <f>IFERROR(1/J379*(X379/H379),"0")</f>
        <v>1.2019230769230769</v>
      </c>
      <c r="BP379" s="64">
        <f>IFERROR(1/J379*(Y379/H379),"0")</f>
        <v>1.203125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76.92307692307692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600</v>
      </c>
      <c r="Y382" s="607">
        <f>IFERROR(SUM(Y378:Y380),"0")</f>
        <v>600.6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34</v>
      </c>
      <c r="Y387" s="606">
        <f>IFERROR(IF(X387="",0,CEILING((X387/$H387),1)*$H387),"")</f>
        <v>35.699999999999996</v>
      </c>
      <c r="Z387" s="36">
        <f>IFERROR(IF(Y387=0,"",ROUNDUP(Y387/H387,0)*0.00651),"")</f>
        <v>9.1139999999999999E-2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38.400000000000006</v>
      </c>
      <c r="BN387" s="64">
        <f>IFERROR(Y387*I387/H387,"0")</f>
        <v>40.32</v>
      </c>
      <c r="BO387" s="64">
        <f>IFERROR(1/J387*(X387/H387),"0")</f>
        <v>7.3260073260073263E-2</v>
      </c>
      <c r="BP387" s="64">
        <f>IFERROR(1/J387*(Y387/H387),"0")</f>
        <v>7.6923076923076927E-2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13.333333333333334</v>
      </c>
      <c r="Y388" s="607">
        <f>IFERROR(Y384/H384,"0")+IFERROR(Y385/H385,"0")+IFERROR(Y386/H386,"0")+IFERROR(Y387/H387,"0")</f>
        <v>14</v>
      </c>
      <c r="Z388" s="607">
        <f>IFERROR(IF(Z384="",0,Z384),"0")+IFERROR(IF(Z385="",0,Z385),"0")+IFERROR(IF(Z386="",0,Z386),"0")+IFERROR(IF(Z387="",0,Z387),"0")</f>
        <v>9.1139999999999999E-2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34</v>
      </c>
      <c r="Y389" s="607">
        <f>IFERROR(SUM(Y384:Y387),"0")</f>
        <v>35.699999999999996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1200</v>
      </c>
      <c r="Y407" s="606">
        <f t="shared" si="52"/>
        <v>1200</v>
      </c>
      <c r="Z407" s="36">
        <f>IFERROR(IF(Y407=0,"",ROUNDUP(Y407/H407,0)*0.02175),"")</f>
        <v>1.7399999999999998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1237.5999999999999</v>
      </c>
      <c r="BN407" s="64">
        <f t="shared" si="54"/>
        <v>1237.5999999999999</v>
      </c>
      <c r="BO407" s="64">
        <f t="shared" si="55"/>
        <v>1.6666666666666665</v>
      </c>
      <c r="BP407" s="64">
        <f t="shared" si="56"/>
        <v>1.6666666666666665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300</v>
      </c>
      <c r="Y409" s="606">
        <f t="shared" si="52"/>
        <v>300</v>
      </c>
      <c r="Z409" s="36">
        <f>IFERROR(IF(Y409=0,"",ROUNDUP(Y409/H409,0)*0.02175),"")</f>
        <v>0.43499999999999994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309.39999999999998</v>
      </c>
      <c r="BN409" s="64">
        <f t="shared" si="54"/>
        <v>309.39999999999998</v>
      </c>
      <c r="BO409" s="64">
        <f t="shared" si="55"/>
        <v>0.41666666666666663</v>
      </c>
      <c r="BP409" s="64">
        <f t="shared" si="56"/>
        <v>0.41666666666666663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100</v>
      </c>
      <c r="Y414" s="607">
        <f>IFERROR(Y406/H406,"0")+IFERROR(Y407/H407,"0")+IFERROR(Y408/H408,"0")+IFERROR(Y409/H409,"0")+IFERROR(Y410/H410,"0")+IFERROR(Y411/H411,"0")+IFERROR(Y412/H412,"0")+IFERROR(Y413/H413,"0")</f>
        <v>100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2.1749999999999998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1500</v>
      </c>
      <c r="Y415" s="607">
        <f>IFERROR(SUM(Y406:Y413),"0")</f>
        <v>1500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600</v>
      </c>
      <c r="Y417" s="606">
        <f>IFERROR(IF(X417="",0,CEILING((X417/$H417),1)*$H417),"")</f>
        <v>600</v>
      </c>
      <c r="Z417" s="36">
        <f>IFERROR(IF(Y417=0,"",ROUNDUP(Y417/H417,0)*0.02175),"")</f>
        <v>0.86999999999999988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618.79999999999995</v>
      </c>
      <c r="BN417" s="64">
        <f>IFERROR(Y417*I417/H417,"0")</f>
        <v>618.79999999999995</v>
      </c>
      <c r="BO417" s="64">
        <f>IFERROR(1/J417*(X417/H417),"0")</f>
        <v>0.83333333333333326</v>
      </c>
      <c r="BP417" s="64">
        <f>IFERROR(1/J417*(Y417/H417),"0")</f>
        <v>0.83333333333333326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40</v>
      </c>
      <c r="Y420" s="607">
        <f>IFERROR(Y417/H417,"0")+IFERROR(Y418/H418,"0")+IFERROR(Y419/H419,"0")</f>
        <v>40</v>
      </c>
      <c r="Z420" s="607">
        <f>IFERROR(IF(Z417="",0,Z417),"0")+IFERROR(IF(Z418="",0,Z418),"0")+IFERROR(IF(Z419="",0,Z419),"0")</f>
        <v>0.86999999999999988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600</v>
      </c>
      <c r="Y421" s="607">
        <f>IFERROR(SUM(Y417:Y419),"0")</f>
        <v>600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2500</v>
      </c>
      <c r="Y442" s="606">
        <f>IFERROR(IF(X442="",0,CEILING((X442/$H442),1)*$H442),"")</f>
        <v>2502</v>
      </c>
      <c r="Z442" s="36">
        <f>IFERROR(IF(Y442=0,"",ROUNDUP(Y442/H442,0)*0.01898),"")</f>
        <v>5.27644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2637.2222222222222</v>
      </c>
      <c r="BN442" s="64">
        <f>IFERROR(Y442*I442/H442,"0")</f>
        <v>2639.3320000000003</v>
      </c>
      <c r="BO442" s="64">
        <f>IFERROR(1/J442*(X442/H442),"0")</f>
        <v>4.3402777777777777</v>
      </c>
      <c r="BP442" s="64">
        <f>IFERROR(1/J442*(Y442/H442),"0")</f>
        <v>4.34375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277.77777777777777</v>
      </c>
      <c r="Y445" s="607">
        <f>IFERROR(Y442/H442,"0")+IFERROR(Y443/H443,"0")+IFERROR(Y444/H444,"0")</f>
        <v>278</v>
      </c>
      <c r="Z445" s="607">
        <f>IFERROR(IF(Z442="",0,Z442),"0")+IFERROR(IF(Z443="",0,Z443),"0")+IFERROR(IF(Z444="",0,Z444),"0")</f>
        <v>5.27644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2500</v>
      </c>
      <c r="Y446" s="607">
        <f>IFERROR(SUM(Y442:Y444),"0")</f>
        <v>2502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500</v>
      </c>
      <c r="Y480" s="606">
        <f t="shared" si="62"/>
        <v>501.6</v>
      </c>
      <c r="Z480" s="36">
        <f t="shared" si="63"/>
        <v>1.1362000000000001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533.14393939393938</v>
      </c>
      <c r="BN480" s="64">
        <f t="shared" si="65"/>
        <v>534.85</v>
      </c>
      <c r="BO480" s="64">
        <f t="shared" si="66"/>
        <v>0.91054778554778548</v>
      </c>
      <c r="BP480" s="64">
        <f t="shared" si="67"/>
        <v>0.91346153846153855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1000</v>
      </c>
      <c r="Y482" s="606">
        <f t="shared" si="62"/>
        <v>1003.2</v>
      </c>
      <c r="Z482" s="36">
        <f t="shared" si="63"/>
        <v>2.2724000000000002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1066.2878787878788</v>
      </c>
      <c r="BN482" s="64">
        <f t="shared" si="65"/>
        <v>1069.7</v>
      </c>
      <c r="BO482" s="64">
        <f t="shared" si="66"/>
        <v>1.821095571095571</v>
      </c>
      <c r="BP482" s="64">
        <f t="shared" si="67"/>
        <v>1.8269230769230771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60</v>
      </c>
      <c r="Y485" s="606">
        <f t="shared" si="62"/>
        <v>62.4</v>
      </c>
      <c r="Z485" s="36">
        <f>IFERROR(IF(Y485=0,"",ROUNDUP(Y485/H485,0)*0.00902),"")</f>
        <v>0.11726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86.375000000000014</v>
      </c>
      <c r="BN485" s="64">
        <f t="shared" si="65"/>
        <v>89.830000000000013</v>
      </c>
      <c r="BO485" s="64">
        <f t="shared" si="66"/>
        <v>9.4696969696969696E-2</v>
      </c>
      <c r="BP485" s="64">
        <f t="shared" si="67"/>
        <v>9.8484848484848481E-2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296.59090909090907</v>
      </c>
      <c r="Y486" s="607">
        <f>IFERROR(Y477/H477,"0")+IFERROR(Y478/H478,"0")+IFERROR(Y479/H479,"0")+IFERROR(Y480/H480,"0")+IFERROR(Y481/H481,"0")+IFERROR(Y482/H482,"0")+IFERROR(Y483/H483,"0")+IFERROR(Y484/H484,"0")+IFERROR(Y485/H485,"0")</f>
        <v>298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3.5258600000000002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1560</v>
      </c>
      <c r="Y487" s="607">
        <f>IFERROR(SUM(Y477:Y485),"0")</f>
        <v>1567.2000000000003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750</v>
      </c>
      <c r="Y489" s="606">
        <f>IFERROR(IF(X489="",0,CEILING((X489/$H489),1)*$H489),"")</f>
        <v>755.04000000000008</v>
      </c>
      <c r="Z489" s="36">
        <f>IFERROR(IF(Y489=0,"",ROUNDUP(Y489/H489,0)*0.01196),"")</f>
        <v>1.71028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799.71590909090901</v>
      </c>
      <c r="BN489" s="64">
        <f>IFERROR(Y489*I489/H489,"0")</f>
        <v>805.09</v>
      </c>
      <c r="BO489" s="64">
        <f>IFERROR(1/J489*(X489/H489),"0")</f>
        <v>1.3658216783216783</v>
      </c>
      <c r="BP489" s="64">
        <f>IFERROR(1/J489*(Y489/H489),"0")</f>
        <v>1.375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142.04545454545453</v>
      </c>
      <c r="Y492" s="607">
        <f>IFERROR(Y489/H489,"0")+IFERROR(Y490/H490,"0")+IFERROR(Y491/H491,"0")</f>
        <v>143</v>
      </c>
      <c r="Z492" s="607">
        <f>IFERROR(IF(Z489="",0,Z489),"0")+IFERROR(IF(Z490="",0,Z490),"0")+IFERROR(IF(Z491="",0,Z491),"0")</f>
        <v>1.71028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750</v>
      </c>
      <c r="Y493" s="607">
        <f>IFERROR(SUM(Y489:Y491),"0")</f>
        <v>755.04000000000008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100</v>
      </c>
      <c r="Y495" s="606">
        <f t="shared" ref="Y495:Y501" si="68">IFERROR(IF(X495="",0,CEILING((X495/$H495),1)*$H495),"")</f>
        <v>100.32000000000001</v>
      </c>
      <c r="Z495" s="36">
        <f>IFERROR(IF(Y495=0,"",ROUNDUP(Y495/H495,0)*0.01196),"")</f>
        <v>0.22724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106.62878787878788</v>
      </c>
      <c r="BN495" s="64">
        <f t="shared" ref="BN495:BN501" si="70">IFERROR(Y495*I495/H495,"0")</f>
        <v>106.97</v>
      </c>
      <c r="BO495" s="64">
        <f t="shared" ref="BO495:BO501" si="71">IFERROR(1/J495*(X495/H495),"0")</f>
        <v>0.18210955710955709</v>
      </c>
      <c r="BP495" s="64">
        <f t="shared" ref="BP495:BP501" si="72">IFERROR(1/J495*(Y495/H495),"0")</f>
        <v>0.18269230769230771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500</v>
      </c>
      <c r="Y497" s="606">
        <f t="shared" si="68"/>
        <v>501.6</v>
      </c>
      <c r="Z497" s="36">
        <f>IFERROR(IF(Y497=0,"",ROUNDUP(Y497/H497,0)*0.01196),"")</f>
        <v>1.1362000000000001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533.14393939393938</v>
      </c>
      <c r="BN497" s="64">
        <f t="shared" si="70"/>
        <v>534.85</v>
      </c>
      <c r="BO497" s="64">
        <f t="shared" si="71"/>
        <v>0.91054778554778548</v>
      </c>
      <c r="BP497" s="64">
        <f t="shared" si="72"/>
        <v>0.91346153846153855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113.63636363636363</v>
      </c>
      <c r="Y502" s="607">
        <f>IFERROR(Y495/H495,"0")+IFERROR(Y496/H496,"0")+IFERROR(Y497/H497,"0")+IFERROR(Y498/H498,"0")+IFERROR(Y499/H499,"0")+IFERROR(Y500/H500,"0")+IFERROR(Y501/H501,"0")</f>
        <v>114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1.3634400000000002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600</v>
      </c>
      <c r="Y503" s="607">
        <f>IFERROR(SUM(Y495:Y501),"0")</f>
        <v>601.92000000000007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11013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11070.240000000002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11673.746071829406</v>
      </c>
      <c r="Y534" s="607">
        <f>IFERROR(SUM(BN22:BN530),"0")</f>
        <v>11735.332000000002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20</v>
      </c>
      <c r="Y535" s="38">
        <f>ROUNDUP(SUM(BP22:BP530),0)</f>
        <v>20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12173.746071829406</v>
      </c>
      <c r="Y536" s="607">
        <f>GrossWeightTotalR+PalletQtyTotalR*25</f>
        <v>12235.332000000002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1799.6896313562979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1810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23.175910000000002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410.40000000000003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</v>
      </c>
      <c r="F543" s="46">
        <f>IFERROR(Y88*1,"0")+IFERROR(Y89*1,"0")+IFERROR(Y90*1,"0")+IFERROR(Y91*1,"0")+IFERROR(Y95*1,"0")+IFERROR(Y96*1,"0")+IFERROR(Y97*1,"0")+IFERROR(Y98*1,"0")</f>
        <v>196.20000000000002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1464.3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85.679999999999993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602.4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40.799999999999997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636.30000000000007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2100</v>
      </c>
      <c r="W543" s="46">
        <f>IFERROR(Y433*1,"0")+IFERROR(Y434*1,"0")+IFERROR(Y438*1,"0")+IFERROR(Y442*1,"0")+IFERROR(Y443*1,"0")+IFERROR(Y444*1,"0")</f>
        <v>2502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2924.1600000000003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