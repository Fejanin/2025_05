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BDBC3E5C-AB2E-420E-9F6D-3DC33B4DE8E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P524" i="1"/>
  <c r="BO524" i="1"/>
  <c r="BN524" i="1"/>
  <c r="BM524" i="1"/>
  <c r="Z524" i="1"/>
  <c r="Y524" i="1"/>
  <c r="P524" i="1"/>
  <c r="X522" i="1"/>
  <c r="Y521" i="1"/>
  <c r="X521" i="1"/>
  <c r="BP520" i="1"/>
  <c r="BO520" i="1"/>
  <c r="BN520" i="1"/>
  <c r="BM520" i="1"/>
  <c r="Z520" i="1"/>
  <c r="Z521" i="1" s="1"/>
  <c r="Y520" i="1"/>
  <c r="Y522" i="1" s="1"/>
  <c r="P520" i="1"/>
  <c r="X518" i="1"/>
  <c r="Y517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P433" i="1"/>
  <c r="BO433" i="1"/>
  <c r="BN433" i="1"/>
  <c r="BM433" i="1"/>
  <c r="Z433" i="1"/>
  <c r="Y433" i="1"/>
  <c r="P433" i="1"/>
  <c r="X430" i="1"/>
  <c r="Y429" i="1"/>
  <c r="X429" i="1"/>
  <c r="BP428" i="1"/>
  <c r="BO428" i="1"/>
  <c r="BN428" i="1"/>
  <c r="BM428" i="1"/>
  <c r="Z428" i="1"/>
  <c r="Z429" i="1" s="1"/>
  <c r="Y428" i="1"/>
  <c r="Y430" i="1" s="1"/>
  <c r="P428" i="1"/>
  <c r="X426" i="1"/>
  <c r="Y425" i="1"/>
  <c r="X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2" i="1"/>
  <c r="X401" i="1"/>
  <c r="BO400" i="1"/>
  <c r="BM400" i="1"/>
  <c r="Y400" i="1"/>
  <c r="BP400" i="1" s="1"/>
  <c r="P400" i="1"/>
  <c r="BP399" i="1"/>
  <c r="BO399" i="1"/>
  <c r="BN399" i="1"/>
  <c r="BM399" i="1"/>
  <c r="Z399" i="1"/>
  <c r="Y399" i="1"/>
  <c r="P399" i="1"/>
  <c r="BO398" i="1"/>
  <c r="BM398" i="1"/>
  <c r="Y398" i="1"/>
  <c r="U543" i="1" s="1"/>
  <c r="P398" i="1"/>
  <c r="X395" i="1"/>
  <c r="X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Y389" i="1" s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Y382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Y369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Y342" i="1" s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P332" i="1"/>
  <c r="BO332" i="1"/>
  <c r="BN332" i="1"/>
  <c r="BM332" i="1"/>
  <c r="Z332" i="1"/>
  <c r="Y332" i="1"/>
  <c r="P332" i="1"/>
  <c r="X329" i="1"/>
  <c r="Y328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Y313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Y299" i="1" s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Y283" i="1" s="1"/>
  <c r="P271" i="1"/>
  <c r="BP270" i="1"/>
  <c r="BO270" i="1"/>
  <c r="BN270" i="1"/>
  <c r="BM270" i="1"/>
  <c r="Z270" i="1"/>
  <c r="Y270" i="1"/>
  <c r="Y282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Y241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Y235" i="1" s="1"/>
  <c r="P230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Y227" i="1" s="1"/>
  <c r="P213" i="1"/>
  <c r="X211" i="1"/>
  <c r="Y210" i="1"/>
  <c r="X210" i="1"/>
  <c r="BP209" i="1"/>
  <c r="BO209" i="1"/>
  <c r="BN209" i="1"/>
  <c r="BM209" i="1"/>
  <c r="Z209" i="1"/>
  <c r="Z210" i="1" s="1"/>
  <c r="Y209" i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Y205" i="1" s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Y190" i="1" s="1"/>
  <c r="P187" i="1"/>
  <c r="X185" i="1"/>
  <c r="X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Y184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Y178" i="1" s="1"/>
  <c r="P167" i="1"/>
  <c r="X165" i="1"/>
  <c r="X164" i="1"/>
  <c r="BO163" i="1"/>
  <c r="BM163" i="1"/>
  <c r="Y163" i="1"/>
  <c r="Y164" i="1" s="1"/>
  <c r="P163" i="1"/>
  <c r="X161" i="1"/>
  <c r="X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I543" i="1" s="1"/>
  <c r="P150" i="1"/>
  <c r="X147" i="1"/>
  <c r="X146" i="1"/>
  <c r="BO145" i="1"/>
  <c r="BM145" i="1"/>
  <c r="Y145" i="1"/>
  <c r="BP145" i="1" s="1"/>
  <c r="P145" i="1"/>
  <c r="BP144" i="1"/>
  <c r="BO144" i="1"/>
  <c r="BN144" i="1"/>
  <c r="BM144" i="1"/>
  <c r="Z144" i="1"/>
  <c r="Y144" i="1"/>
  <c r="Y146" i="1" s="1"/>
  <c r="P144" i="1"/>
  <c r="X142" i="1"/>
  <c r="X141" i="1"/>
  <c r="BP140" i="1"/>
  <c r="BO140" i="1"/>
  <c r="BN140" i="1"/>
  <c r="BM140" i="1"/>
  <c r="Z140" i="1"/>
  <c r="Y140" i="1"/>
  <c r="P140" i="1"/>
  <c r="BO139" i="1"/>
  <c r="BM139" i="1"/>
  <c r="Y139" i="1"/>
  <c r="Y142" i="1" s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BO122" i="1"/>
  <c r="BM122" i="1"/>
  <c r="Y122" i="1"/>
  <c r="Y127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9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43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43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3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Z205" i="1" l="1"/>
  <c r="Z67" i="1"/>
  <c r="Z92" i="1"/>
  <c r="F9" i="1"/>
  <c r="J9" i="1"/>
  <c r="F10" i="1"/>
  <c r="Y25" i="1"/>
  <c r="Y33" i="1"/>
  <c r="Y37" i="1"/>
  <c r="Y47" i="1"/>
  <c r="Y55" i="1"/>
  <c r="Y68" i="1"/>
  <c r="Y74" i="1"/>
  <c r="Y80" i="1"/>
  <c r="Y84" i="1"/>
  <c r="Y93" i="1"/>
  <c r="Y99" i="1"/>
  <c r="Y110" i="1"/>
  <c r="Y120" i="1"/>
  <c r="Y126" i="1"/>
  <c r="Y137" i="1"/>
  <c r="Y141" i="1"/>
  <c r="Y147" i="1"/>
  <c r="Y154" i="1"/>
  <c r="Y161" i="1"/>
  <c r="Y165" i="1"/>
  <c r="Y179" i="1"/>
  <c r="Y185" i="1"/>
  <c r="Y189" i="1"/>
  <c r="Y228" i="1"/>
  <c r="Y236" i="1"/>
  <c r="Y242" i="1"/>
  <c r="Y246" i="1"/>
  <c r="M543" i="1"/>
  <c r="Y252" i="1"/>
  <c r="BP249" i="1"/>
  <c r="BP261" i="1"/>
  <c r="BN261" i="1"/>
  <c r="Z261" i="1"/>
  <c r="BP265" i="1"/>
  <c r="BN265" i="1"/>
  <c r="Z265" i="1"/>
  <c r="BP273" i="1"/>
  <c r="BN273" i="1"/>
  <c r="Z273" i="1"/>
  <c r="BP277" i="1"/>
  <c r="BN277" i="1"/>
  <c r="Z277" i="1"/>
  <c r="BP281" i="1"/>
  <c r="BN281" i="1"/>
  <c r="Z281" i="1"/>
  <c r="Y288" i="1"/>
  <c r="BP285" i="1"/>
  <c r="BN285" i="1"/>
  <c r="Z285" i="1"/>
  <c r="Z287" i="1" s="1"/>
  <c r="BP294" i="1"/>
  <c r="BN294" i="1"/>
  <c r="Z294" i="1"/>
  <c r="Y298" i="1"/>
  <c r="Z312" i="1"/>
  <c r="BP310" i="1"/>
  <c r="BN310" i="1"/>
  <c r="Z310" i="1"/>
  <c r="BP319" i="1"/>
  <c r="BN319" i="1"/>
  <c r="Z319" i="1"/>
  <c r="BP333" i="1"/>
  <c r="BN333" i="1"/>
  <c r="Z333" i="1"/>
  <c r="Z337" i="1" s="1"/>
  <c r="Y337" i="1"/>
  <c r="BP341" i="1"/>
  <c r="BN341" i="1"/>
  <c r="Z341" i="1"/>
  <c r="Z342" i="1" s="1"/>
  <c r="Y343" i="1"/>
  <c r="S543" i="1"/>
  <c r="Y349" i="1"/>
  <c r="BP346" i="1"/>
  <c r="BN346" i="1"/>
  <c r="Z346" i="1"/>
  <c r="BP355" i="1"/>
  <c r="BN355" i="1"/>
  <c r="Z355" i="1"/>
  <c r="BP363" i="1"/>
  <c r="BN363" i="1"/>
  <c r="Z363" i="1"/>
  <c r="BP367" i="1"/>
  <c r="BN367" i="1"/>
  <c r="Z367" i="1"/>
  <c r="Y376" i="1"/>
  <c r="BP371" i="1"/>
  <c r="BN371" i="1"/>
  <c r="Z371" i="1"/>
  <c r="Y375" i="1"/>
  <c r="BP379" i="1"/>
  <c r="BN379" i="1"/>
  <c r="Z379" i="1"/>
  <c r="Z381" i="1" s="1"/>
  <c r="BP387" i="1"/>
  <c r="BN387" i="1"/>
  <c r="Z387" i="1"/>
  <c r="Y394" i="1"/>
  <c r="BP391" i="1"/>
  <c r="BN391" i="1"/>
  <c r="Z391" i="1"/>
  <c r="Y395" i="1"/>
  <c r="H9" i="1"/>
  <c r="B543" i="1"/>
  <c r="X534" i="1"/>
  <c r="X536" i="1" s="1"/>
  <c r="X535" i="1"/>
  <c r="Z23" i="1"/>
  <c r="Z24" i="1" s="1"/>
  <c r="BN23" i="1"/>
  <c r="Y534" i="1" s="1"/>
  <c r="Y536" i="1" s="1"/>
  <c r="Y24" i="1"/>
  <c r="X533" i="1"/>
  <c r="Z27" i="1"/>
  <c r="Z32" i="1" s="1"/>
  <c r="BN27" i="1"/>
  <c r="BP27" i="1"/>
  <c r="Y535" i="1" s="1"/>
  <c r="Z29" i="1"/>
  <c r="BN29" i="1"/>
  <c r="Z31" i="1"/>
  <c r="BN31" i="1"/>
  <c r="Z35" i="1"/>
  <c r="Z36" i="1" s="1"/>
  <c r="BN35" i="1"/>
  <c r="BP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43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Z84" i="1" s="1"/>
  <c r="BN82" i="1"/>
  <c r="BP82" i="1"/>
  <c r="F543" i="1"/>
  <c r="Z89" i="1"/>
  <c r="BN89" i="1"/>
  <c r="Z91" i="1"/>
  <c r="BN91" i="1"/>
  <c r="Y92" i="1"/>
  <c r="Z95" i="1"/>
  <c r="Z99" i="1" s="1"/>
  <c r="BN95" i="1"/>
  <c r="BP95" i="1"/>
  <c r="Z97" i="1"/>
  <c r="BN97" i="1"/>
  <c r="G543" i="1"/>
  <c r="Z104" i="1"/>
  <c r="Z109" i="1" s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18" i="1"/>
  <c r="BN118" i="1"/>
  <c r="Z122" i="1"/>
  <c r="Z126" i="1" s="1"/>
  <c r="BN122" i="1"/>
  <c r="BP122" i="1"/>
  <c r="Z124" i="1"/>
  <c r="BN124" i="1"/>
  <c r="H543" i="1"/>
  <c r="Z135" i="1"/>
  <c r="Z136" i="1" s="1"/>
  <c r="BN135" i="1"/>
  <c r="Y136" i="1"/>
  <c r="Z139" i="1"/>
  <c r="Z141" i="1" s="1"/>
  <c r="BN139" i="1"/>
  <c r="BP139" i="1"/>
  <c r="Z145" i="1"/>
  <c r="Z146" i="1" s="1"/>
  <c r="BN145" i="1"/>
  <c r="Z150" i="1"/>
  <c r="Z154" i="1" s="1"/>
  <c r="BN150" i="1"/>
  <c r="BP150" i="1"/>
  <c r="Z152" i="1"/>
  <c r="BN152" i="1"/>
  <c r="Y155" i="1"/>
  <c r="J543" i="1"/>
  <c r="Z159" i="1"/>
  <c r="Z160" i="1" s="1"/>
  <c r="BN159" i="1"/>
  <c r="Y160" i="1"/>
  <c r="Z163" i="1"/>
  <c r="Z164" i="1" s="1"/>
  <c r="BN163" i="1"/>
  <c r="BP163" i="1"/>
  <c r="Z167" i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Z181" i="1"/>
  <c r="Z184" i="1" s="1"/>
  <c r="BN181" i="1"/>
  <c r="BP181" i="1"/>
  <c r="Z183" i="1"/>
  <c r="BN183" i="1"/>
  <c r="Z187" i="1"/>
  <c r="Z189" i="1" s="1"/>
  <c r="BN187" i="1"/>
  <c r="BP187" i="1"/>
  <c r="K543" i="1"/>
  <c r="Z199" i="1"/>
  <c r="BN199" i="1"/>
  <c r="Z201" i="1"/>
  <c r="BN201" i="1"/>
  <c r="Z203" i="1"/>
  <c r="BN203" i="1"/>
  <c r="Y206" i="1"/>
  <c r="L543" i="1"/>
  <c r="Y211" i="1"/>
  <c r="Z214" i="1"/>
  <c r="Z227" i="1" s="1"/>
  <c r="BN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Z230" i="1"/>
  <c r="Z235" i="1" s="1"/>
  <c r="BN230" i="1"/>
  <c r="BP230" i="1"/>
  <c r="Z232" i="1"/>
  <c r="BN232" i="1"/>
  <c r="Z234" i="1"/>
  <c r="BN234" i="1"/>
  <c r="Z238" i="1"/>
  <c r="BN238" i="1"/>
  <c r="BP238" i="1"/>
  <c r="Z240" i="1"/>
  <c r="BN240" i="1"/>
  <c r="Z244" i="1"/>
  <c r="Z245" i="1" s="1"/>
  <c r="BN244" i="1"/>
  <c r="BP244" i="1"/>
  <c r="Z249" i="1"/>
  <c r="Z251" i="1" s="1"/>
  <c r="BN249" i="1"/>
  <c r="Y251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Z282" i="1" s="1"/>
  <c r="BP275" i="1"/>
  <c r="BN275" i="1"/>
  <c r="Z275" i="1"/>
  <c r="BP279" i="1"/>
  <c r="BN279" i="1"/>
  <c r="Z279" i="1"/>
  <c r="Y287" i="1"/>
  <c r="BP292" i="1"/>
  <c r="BN292" i="1"/>
  <c r="Z292" i="1"/>
  <c r="BP296" i="1"/>
  <c r="BN296" i="1"/>
  <c r="Z296" i="1"/>
  <c r="Z298" i="1" s="1"/>
  <c r="Y312" i="1"/>
  <c r="Z321" i="1"/>
  <c r="BP317" i="1"/>
  <c r="BN317" i="1"/>
  <c r="Z317" i="1"/>
  <c r="Y321" i="1"/>
  <c r="BP326" i="1"/>
  <c r="BN326" i="1"/>
  <c r="Z326" i="1"/>
  <c r="Z328" i="1" s="1"/>
  <c r="BP335" i="1"/>
  <c r="BN335" i="1"/>
  <c r="Z335" i="1"/>
  <c r="BP348" i="1"/>
  <c r="BN348" i="1"/>
  <c r="Z348" i="1"/>
  <c r="Y350" i="1"/>
  <c r="T543" i="1"/>
  <c r="Y358" i="1"/>
  <c r="BP353" i="1"/>
  <c r="BN353" i="1"/>
  <c r="Z353" i="1"/>
  <c r="Z358" i="1" s="1"/>
  <c r="BP357" i="1"/>
  <c r="BN357" i="1"/>
  <c r="Z357" i="1"/>
  <c r="Y359" i="1"/>
  <c r="Y368" i="1"/>
  <c r="BP361" i="1"/>
  <c r="BN361" i="1"/>
  <c r="Z361" i="1"/>
  <c r="Z368" i="1" s="1"/>
  <c r="BP365" i="1"/>
  <c r="BN365" i="1"/>
  <c r="Z365" i="1"/>
  <c r="BP373" i="1"/>
  <c r="BN373" i="1"/>
  <c r="Z373" i="1"/>
  <c r="Y381" i="1"/>
  <c r="BP385" i="1"/>
  <c r="BN385" i="1"/>
  <c r="Z385" i="1"/>
  <c r="Z388" i="1" s="1"/>
  <c r="Z526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Z420" i="1" s="1"/>
  <c r="BP434" i="1"/>
  <c r="BN434" i="1"/>
  <c r="Z434" i="1"/>
  <c r="Z435" i="1" s="1"/>
  <c r="Y436" i="1"/>
  <c r="Y439" i="1"/>
  <c r="BP438" i="1"/>
  <c r="BN438" i="1"/>
  <c r="Z438" i="1"/>
  <c r="Z439" i="1" s="1"/>
  <c r="Y440" i="1"/>
  <c r="Y445" i="1"/>
  <c r="BP442" i="1"/>
  <c r="BN442" i="1"/>
  <c r="Z442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Y527" i="1"/>
  <c r="AB543" i="1"/>
  <c r="Y531" i="1"/>
  <c r="BP530" i="1"/>
  <c r="BN530" i="1"/>
  <c r="Z530" i="1"/>
  <c r="Z531" i="1" s="1"/>
  <c r="Y532" i="1"/>
  <c r="O543" i="1"/>
  <c r="W543" i="1"/>
  <c r="P543" i="1"/>
  <c r="Y322" i="1"/>
  <c r="Q543" i="1"/>
  <c r="Y329" i="1"/>
  <c r="R543" i="1"/>
  <c r="Y338" i="1"/>
  <c r="Z393" i="1"/>
  <c r="BN393" i="1"/>
  <c r="Z398" i="1"/>
  <c r="BN398" i="1"/>
  <c r="BP398" i="1"/>
  <c r="Z400" i="1"/>
  <c r="BN400" i="1"/>
  <c r="Y401" i="1"/>
  <c r="BP407" i="1"/>
  <c r="BN407" i="1"/>
  <c r="Z407" i="1"/>
  <c r="BP411" i="1"/>
  <c r="BN411" i="1"/>
  <c r="Z411" i="1"/>
  <c r="BP419" i="1"/>
  <c r="BN419" i="1"/>
  <c r="Z419" i="1"/>
  <c r="Y421" i="1"/>
  <c r="Y426" i="1"/>
  <c r="BP423" i="1"/>
  <c r="BN423" i="1"/>
  <c r="Z423" i="1"/>
  <c r="Z425" i="1" s="1"/>
  <c r="Y435" i="1"/>
  <c r="BP444" i="1"/>
  <c r="BN444" i="1"/>
  <c r="Z444" i="1"/>
  <c r="Y446" i="1"/>
  <c r="X543" i="1"/>
  <c r="Y457" i="1"/>
  <c r="BP450" i="1"/>
  <c r="BN450" i="1"/>
  <c r="Z450" i="1"/>
  <c r="Z456" i="1" s="1"/>
  <c r="BP454" i="1"/>
  <c r="BN454" i="1"/>
  <c r="Z454" i="1"/>
  <c r="Y461" i="1"/>
  <c r="AA543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Z492" i="1" s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502" i="1" l="1"/>
  <c r="Y537" i="1"/>
  <c r="Z349" i="1"/>
  <c r="Z486" i="1"/>
  <c r="Z414" i="1"/>
  <c r="Z401" i="1"/>
  <c r="Z472" i="1"/>
  <c r="Z445" i="1"/>
  <c r="Z267" i="1"/>
  <c r="Z241" i="1"/>
  <c r="Z178" i="1"/>
  <c r="Z119" i="1"/>
  <c r="Z538" i="1" s="1"/>
  <c r="Z394" i="1"/>
  <c r="Z375" i="1"/>
  <c r="Y533" i="1"/>
</calcChain>
</file>

<file path=xl/sharedStrings.xml><?xml version="1.0" encoding="utf-8"?>
<sst xmlns="http://schemas.openxmlformats.org/spreadsheetml/2006/main" count="2407" uniqueCount="872">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</sst>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86" t="s">
        <v>0</v>
      </c>
      <c r="E1" s="638"/>
      <c r="F1" s="638"/>
      <c r="G1" s="12" t="s">
        <v>1</v>
      </c>
      <c r="H1" s="686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7"/>
      <c r="R2" s="617"/>
      <c r="S2" s="617"/>
      <c r="T2" s="617"/>
      <c r="U2" s="617"/>
      <c r="V2" s="617"/>
      <c r="W2" s="617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7"/>
      <c r="Q3" s="617"/>
      <c r="R3" s="617"/>
      <c r="S3" s="617"/>
      <c r="T3" s="617"/>
      <c r="U3" s="617"/>
      <c r="V3" s="617"/>
      <c r="W3" s="617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1" t="s">
        <v>8</v>
      </c>
      <c r="B5" s="655"/>
      <c r="C5" s="656"/>
      <c r="D5" s="690"/>
      <c r="E5" s="691"/>
      <c r="F5" s="915" t="s">
        <v>9</v>
      </c>
      <c r="G5" s="656"/>
      <c r="H5" s="690"/>
      <c r="I5" s="847"/>
      <c r="J5" s="847"/>
      <c r="K5" s="847"/>
      <c r="L5" s="847"/>
      <c r="M5" s="691"/>
      <c r="N5" s="58"/>
      <c r="P5" s="24" t="s">
        <v>10</v>
      </c>
      <c r="Q5" s="927">
        <v>46216</v>
      </c>
      <c r="R5" s="730"/>
      <c r="T5" s="775" t="s">
        <v>11</v>
      </c>
      <c r="U5" s="776"/>
      <c r="V5" s="777" t="s">
        <v>12</v>
      </c>
      <c r="W5" s="730"/>
      <c r="AB5" s="51"/>
      <c r="AC5" s="51"/>
      <c r="AD5" s="51"/>
      <c r="AE5" s="51"/>
    </row>
    <row r="6" spans="1:32" s="602" customFormat="1" ht="24" customHeight="1" x14ac:dyDescent="0.2">
      <c r="A6" s="731" t="s">
        <v>13</v>
      </c>
      <c r="B6" s="655"/>
      <c r="C6" s="656"/>
      <c r="D6" s="850"/>
      <c r="E6" s="851"/>
      <c r="F6" s="851"/>
      <c r="G6" s="851"/>
      <c r="H6" s="851"/>
      <c r="I6" s="851"/>
      <c r="J6" s="851"/>
      <c r="K6" s="851"/>
      <c r="L6" s="851"/>
      <c r="M6" s="730"/>
      <c r="N6" s="59"/>
      <c r="P6" s="24" t="s">
        <v>14</v>
      </c>
      <c r="Q6" s="940" t="str">
        <f>IF(Q5=0," ",CHOOSE(WEEKDAY(Q5,2),"Понедельник","Вторник","Среда","Четверг","Пятница","Суббота","Воскресенье"))</f>
        <v>Понедельник</v>
      </c>
      <c r="R6" s="610"/>
      <c r="T6" s="785" t="s">
        <v>15</v>
      </c>
      <c r="U6" s="776"/>
      <c r="V6" s="836" t="s">
        <v>16</v>
      </c>
      <c r="W6" s="658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70">
        <f>IFERROR(VLOOKUP(DeliveryAddress,Table,3,0),1)</f>
        <v>1</v>
      </c>
      <c r="E7" s="671"/>
      <c r="F7" s="671"/>
      <c r="G7" s="671"/>
      <c r="H7" s="671"/>
      <c r="I7" s="671"/>
      <c r="J7" s="671"/>
      <c r="K7" s="671"/>
      <c r="L7" s="671"/>
      <c r="M7" s="672"/>
      <c r="N7" s="60"/>
      <c r="P7" s="24"/>
      <c r="Q7" s="42"/>
      <c r="R7" s="42"/>
      <c r="T7" s="617"/>
      <c r="U7" s="776"/>
      <c r="V7" s="837"/>
      <c r="W7" s="838"/>
      <c r="AB7" s="51"/>
      <c r="AC7" s="51"/>
      <c r="AD7" s="51"/>
      <c r="AE7" s="51"/>
    </row>
    <row r="8" spans="1:32" s="602" customFormat="1" ht="25.5" customHeight="1" x14ac:dyDescent="0.2">
      <c r="A8" s="953" t="s">
        <v>17</v>
      </c>
      <c r="B8" s="622"/>
      <c r="C8" s="623"/>
      <c r="D8" s="678"/>
      <c r="E8" s="679"/>
      <c r="F8" s="679"/>
      <c r="G8" s="679"/>
      <c r="H8" s="679"/>
      <c r="I8" s="679"/>
      <c r="J8" s="679"/>
      <c r="K8" s="679"/>
      <c r="L8" s="679"/>
      <c r="M8" s="680"/>
      <c r="N8" s="61"/>
      <c r="P8" s="24" t="s">
        <v>18</v>
      </c>
      <c r="Q8" s="738">
        <v>0.41666666666666669</v>
      </c>
      <c r="R8" s="672"/>
      <c r="T8" s="617"/>
      <c r="U8" s="776"/>
      <c r="V8" s="837"/>
      <c r="W8" s="838"/>
      <c r="AB8" s="51"/>
      <c r="AC8" s="51"/>
      <c r="AD8" s="51"/>
      <c r="AE8" s="51"/>
    </row>
    <row r="9" spans="1:32" s="602" customFormat="1" ht="39.950000000000003" customHeight="1" x14ac:dyDescent="0.2">
      <c r="A9" s="75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7"/>
      <c r="C9" s="617"/>
      <c r="D9" s="749"/>
      <c r="E9" s="625"/>
      <c r="F9" s="75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7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5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5"/>
      <c r="L9" s="625"/>
      <c r="M9" s="625"/>
      <c r="N9" s="603"/>
      <c r="P9" s="26" t="s">
        <v>19</v>
      </c>
      <c r="Q9" s="726"/>
      <c r="R9" s="727"/>
      <c r="T9" s="617"/>
      <c r="U9" s="776"/>
      <c r="V9" s="839"/>
      <c r="W9" s="840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7"/>
      <c r="C10" s="617"/>
      <c r="D10" s="749"/>
      <c r="E10" s="625"/>
      <c r="F10" s="75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7"/>
      <c r="H10" s="825" t="str">
        <f>IFERROR(VLOOKUP($D$10,Proxy,2,FALSE),"")</f>
        <v/>
      </c>
      <c r="I10" s="617"/>
      <c r="J10" s="617"/>
      <c r="K10" s="617"/>
      <c r="L10" s="617"/>
      <c r="M10" s="617"/>
      <c r="N10" s="601"/>
      <c r="P10" s="26" t="s">
        <v>20</v>
      </c>
      <c r="Q10" s="786"/>
      <c r="R10" s="787"/>
      <c r="U10" s="24" t="s">
        <v>21</v>
      </c>
      <c r="V10" s="657" t="s">
        <v>22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9"/>
      <c r="R11" s="730"/>
      <c r="U11" s="24" t="s">
        <v>25</v>
      </c>
      <c r="V11" s="874" t="s">
        <v>26</v>
      </c>
      <c r="W11" s="727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9" t="s">
        <v>27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28</v>
      </c>
      <c r="Q12" s="738"/>
      <c r="R12" s="672"/>
      <c r="S12" s="23"/>
      <c r="U12" s="24"/>
      <c r="V12" s="638"/>
      <c r="W12" s="617"/>
      <c r="AB12" s="51"/>
      <c r="AC12" s="51"/>
      <c r="AD12" s="51"/>
      <c r="AE12" s="51"/>
    </row>
    <row r="13" spans="1:32" s="602" customFormat="1" ht="23.25" customHeight="1" x14ac:dyDescent="0.2">
      <c r="A13" s="769" t="s">
        <v>29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30</v>
      </c>
      <c r="Q13" s="874"/>
      <c r="R13" s="72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9" t="s">
        <v>31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806" t="s">
        <v>32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58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9"/>
      <c r="Q16" s="759"/>
      <c r="R16" s="759"/>
      <c r="S16" s="759"/>
      <c r="T16" s="75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2" t="s">
        <v>34</v>
      </c>
      <c r="B17" s="652" t="s">
        <v>35</v>
      </c>
      <c r="C17" s="746" t="s">
        <v>36</v>
      </c>
      <c r="D17" s="652" t="s">
        <v>37</v>
      </c>
      <c r="E17" s="709"/>
      <c r="F17" s="652" t="s">
        <v>38</v>
      </c>
      <c r="G17" s="652" t="s">
        <v>39</v>
      </c>
      <c r="H17" s="652" t="s">
        <v>40</v>
      </c>
      <c r="I17" s="652" t="s">
        <v>41</v>
      </c>
      <c r="J17" s="652" t="s">
        <v>42</v>
      </c>
      <c r="K17" s="652" t="s">
        <v>43</v>
      </c>
      <c r="L17" s="652" t="s">
        <v>44</v>
      </c>
      <c r="M17" s="652" t="s">
        <v>45</v>
      </c>
      <c r="N17" s="652" t="s">
        <v>46</v>
      </c>
      <c r="O17" s="652" t="s">
        <v>47</v>
      </c>
      <c r="P17" s="652" t="s">
        <v>48</v>
      </c>
      <c r="Q17" s="708"/>
      <c r="R17" s="708"/>
      <c r="S17" s="708"/>
      <c r="T17" s="709"/>
      <c r="U17" s="949" t="s">
        <v>49</v>
      </c>
      <c r="V17" s="656"/>
      <c r="W17" s="652" t="s">
        <v>50</v>
      </c>
      <c r="X17" s="652" t="s">
        <v>51</v>
      </c>
      <c r="Y17" s="950" t="s">
        <v>52</v>
      </c>
      <c r="Z17" s="845" t="s">
        <v>53</v>
      </c>
      <c r="AA17" s="826" t="s">
        <v>54</v>
      </c>
      <c r="AB17" s="826" t="s">
        <v>55</v>
      </c>
      <c r="AC17" s="826" t="s">
        <v>56</v>
      </c>
      <c r="AD17" s="826" t="s">
        <v>57</v>
      </c>
      <c r="AE17" s="910"/>
      <c r="AF17" s="911"/>
      <c r="AG17" s="66"/>
      <c r="BD17" s="65" t="s">
        <v>58</v>
      </c>
    </row>
    <row r="18" spans="1:68" ht="14.25" customHeight="1" x14ac:dyDescent="0.2">
      <c r="A18" s="653"/>
      <c r="B18" s="653"/>
      <c r="C18" s="653"/>
      <c r="D18" s="710"/>
      <c r="E18" s="712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710"/>
      <c r="Q18" s="711"/>
      <c r="R18" s="711"/>
      <c r="S18" s="711"/>
      <c r="T18" s="712"/>
      <c r="U18" s="67" t="s">
        <v>59</v>
      </c>
      <c r="V18" s="67" t="s">
        <v>60</v>
      </c>
      <c r="W18" s="653"/>
      <c r="X18" s="653"/>
      <c r="Y18" s="951"/>
      <c r="Z18" s="846"/>
      <c r="AA18" s="827"/>
      <c r="AB18" s="827"/>
      <c r="AC18" s="827"/>
      <c r="AD18" s="912"/>
      <c r="AE18" s="913"/>
      <c r="AF18" s="914"/>
      <c r="AG18" s="66"/>
      <c r="BD18" s="65"/>
    </row>
    <row r="19" spans="1:68" ht="27.75" customHeight="1" x14ac:dyDescent="0.2">
      <c r="A19" s="667" t="s">
        <v>61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customHeight="1" x14ac:dyDescent="0.25">
      <c r="A20" s="626" t="s">
        <v>61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00"/>
      <c r="AB20" s="600"/>
      <c r="AC20" s="600"/>
    </row>
    <row r="21" spans="1:68" ht="14.25" customHeight="1" x14ac:dyDescent="0.25">
      <c r="A21" s="616" t="s">
        <v>62</v>
      </c>
      <c r="B21" s="617"/>
      <c r="C21" s="617"/>
      <c r="D21" s="617"/>
      <c r="E21" s="617"/>
      <c r="F21" s="617"/>
      <c r="G21" s="617"/>
      <c r="H21" s="617"/>
      <c r="I21" s="617"/>
      <c r="J21" s="617"/>
      <c r="K21" s="617"/>
      <c r="L21" s="617"/>
      <c r="M21" s="617"/>
      <c r="N21" s="617"/>
      <c r="O21" s="617"/>
      <c r="P21" s="617"/>
      <c r="Q21" s="617"/>
      <c r="R21" s="617"/>
      <c r="S21" s="617"/>
      <c r="T21" s="617"/>
      <c r="U21" s="617"/>
      <c r="V21" s="617"/>
      <c r="W21" s="617"/>
      <c r="X21" s="617"/>
      <c r="Y21" s="617"/>
      <c r="Z21" s="617"/>
      <c r="AA21" s="599"/>
      <c r="AB21" s="599"/>
      <c r="AC21" s="59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9">
        <v>4680115886643</v>
      </c>
      <c r="E22" s="61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9">
        <v>4680115889071</v>
      </c>
      <c r="E23" s="61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8"/>
      <c r="B24" s="617"/>
      <c r="C24" s="617"/>
      <c r="D24" s="617"/>
      <c r="E24" s="617"/>
      <c r="F24" s="617"/>
      <c r="G24" s="617"/>
      <c r="H24" s="617"/>
      <c r="I24" s="617"/>
      <c r="J24" s="617"/>
      <c r="K24" s="617"/>
      <c r="L24" s="617"/>
      <c r="M24" s="617"/>
      <c r="N24" s="617"/>
      <c r="O24" s="629"/>
      <c r="P24" s="621" t="s">
        <v>72</v>
      </c>
      <c r="Q24" s="622"/>
      <c r="R24" s="622"/>
      <c r="S24" s="622"/>
      <c r="T24" s="622"/>
      <c r="U24" s="622"/>
      <c r="V24" s="623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x14ac:dyDescent="0.2">
      <c r="A25" s="617"/>
      <c r="B25" s="617"/>
      <c r="C25" s="617"/>
      <c r="D25" s="617"/>
      <c r="E25" s="617"/>
      <c r="F25" s="617"/>
      <c r="G25" s="617"/>
      <c r="H25" s="617"/>
      <c r="I25" s="617"/>
      <c r="J25" s="617"/>
      <c r="K25" s="617"/>
      <c r="L25" s="617"/>
      <c r="M25" s="617"/>
      <c r="N25" s="617"/>
      <c r="O25" s="629"/>
      <c r="P25" s="621" t="s">
        <v>72</v>
      </c>
      <c r="Q25" s="622"/>
      <c r="R25" s="622"/>
      <c r="S25" s="622"/>
      <c r="T25" s="622"/>
      <c r="U25" s="622"/>
      <c r="V25" s="623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customHeight="1" x14ac:dyDescent="0.25">
      <c r="A26" s="616" t="s">
        <v>74</v>
      </c>
      <c r="B26" s="617"/>
      <c r="C26" s="617"/>
      <c r="D26" s="617"/>
      <c r="E26" s="617"/>
      <c r="F26" s="617"/>
      <c r="G26" s="617"/>
      <c r="H26" s="617"/>
      <c r="I26" s="617"/>
      <c r="J26" s="617"/>
      <c r="K26" s="617"/>
      <c r="L26" s="617"/>
      <c r="M26" s="617"/>
      <c r="N26" s="617"/>
      <c r="O26" s="617"/>
      <c r="P26" s="617"/>
      <c r="Q26" s="617"/>
      <c r="R26" s="617"/>
      <c r="S26" s="617"/>
      <c r="T26" s="617"/>
      <c r="U26" s="617"/>
      <c r="V26" s="617"/>
      <c r="W26" s="617"/>
      <c r="X26" s="617"/>
      <c r="Y26" s="617"/>
      <c r="Z26" s="617"/>
      <c r="AA26" s="599"/>
      <c r="AB26" s="599"/>
      <c r="AC26" s="59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9">
        <v>4680115885912</v>
      </c>
      <c r="E27" s="61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9">
        <v>4607091388237</v>
      </c>
      <c r="E28" s="61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9">
        <v>4680115887350</v>
      </c>
      <c r="E29" s="61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9">
        <v>4680115885905</v>
      </c>
      <c r="E30" s="61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0</v>
      </c>
      <c r="Y30" s="60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09">
        <v>4680115887619</v>
      </c>
      <c r="E31" s="61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8"/>
      <c r="B32" s="617"/>
      <c r="C32" s="617"/>
      <c r="D32" s="617"/>
      <c r="E32" s="617"/>
      <c r="F32" s="617"/>
      <c r="G32" s="617"/>
      <c r="H32" s="617"/>
      <c r="I32" s="617"/>
      <c r="J32" s="617"/>
      <c r="K32" s="617"/>
      <c r="L32" s="617"/>
      <c r="M32" s="617"/>
      <c r="N32" s="617"/>
      <c r="O32" s="629"/>
      <c r="P32" s="621" t="s">
        <v>72</v>
      </c>
      <c r="Q32" s="622"/>
      <c r="R32" s="622"/>
      <c r="S32" s="622"/>
      <c r="T32" s="622"/>
      <c r="U32" s="622"/>
      <c r="V32" s="623"/>
      <c r="W32" s="37" t="s">
        <v>73</v>
      </c>
      <c r="X32" s="607">
        <f>IFERROR(X27/H27,"0")+IFERROR(X28/H28,"0")+IFERROR(X29/H29,"0")+IFERROR(X30/H30,"0")+IFERROR(X31/H31,"0")</f>
        <v>0</v>
      </c>
      <c r="Y32" s="607">
        <f>IFERROR(Y27/H27,"0")+IFERROR(Y28/H28,"0")+IFERROR(Y29/H29,"0")+IFERROR(Y30/H30,"0")+IFERROR(Y31/H31,"0")</f>
        <v>0</v>
      </c>
      <c r="Z32" s="607">
        <f>IFERROR(IF(Z27="",0,Z27),"0")+IFERROR(IF(Z28="",0,Z28),"0")+IFERROR(IF(Z29="",0,Z29),"0")+IFERROR(IF(Z30="",0,Z30),"0")+IFERROR(IF(Z31="",0,Z31),"0")</f>
        <v>0</v>
      </c>
      <c r="AA32" s="608"/>
      <c r="AB32" s="608"/>
      <c r="AC32" s="608"/>
    </row>
    <row r="33" spans="1:68" x14ac:dyDescent="0.2">
      <c r="A33" s="617"/>
      <c r="B33" s="617"/>
      <c r="C33" s="617"/>
      <c r="D33" s="617"/>
      <c r="E33" s="617"/>
      <c r="F33" s="617"/>
      <c r="G33" s="617"/>
      <c r="H33" s="617"/>
      <c r="I33" s="617"/>
      <c r="J33" s="617"/>
      <c r="K33" s="617"/>
      <c r="L33" s="617"/>
      <c r="M33" s="617"/>
      <c r="N33" s="617"/>
      <c r="O33" s="629"/>
      <c r="P33" s="621" t="s">
        <v>72</v>
      </c>
      <c r="Q33" s="622"/>
      <c r="R33" s="622"/>
      <c r="S33" s="622"/>
      <c r="T33" s="622"/>
      <c r="U33" s="622"/>
      <c r="V33" s="623"/>
      <c r="W33" s="37" t="s">
        <v>67</v>
      </c>
      <c r="X33" s="607">
        <f>IFERROR(SUM(X27:X31),"0")</f>
        <v>0</v>
      </c>
      <c r="Y33" s="607">
        <f>IFERROR(SUM(Y27:Y31),"0")</f>
        <v>0</v>
      </c>
      <c r="Z33" s="37"/>
      <c r="AA33" s="608"/>
      <c r="AB33" s="608"/>
      <c r="AC33" s="608"/>
    </row>
    <row r="34" spans="1:68" ht="14.25" customHeight="1" x14ac:dyDescent="0.25">
      <c r="A34" s="616" t="s">
        <v>92</v>
      </c>
      <c r="B34" s="617"/>
      <c r="C34" s="617"/>
      <c r="D34" s="617"/>
      <c r="E34" s="617"/>
      <c r="F34" s="617"/>
      <c r="G34" s="617"/>
      <c r="H34" s="617"/>
      <c r="I34" s="617"/>
      <c r="J34" s="617"/>
      <c r="K34" s="617"/>
      <c r="L34" s="617"/>
      <c r="M34" s="617"/>
      <c r="N34" s="617"/>
      <c r="O34" s="617"/>
      <c r="P34" s="617"/>
      <c r="Q34" s="617"/>
      <c r="R34" s="617"/>
      <c r="S34" s="617"/>
      <c r="T34" s="617"/>
      <c r="U34" s="617"/>
      <c r="V34" s="617"/>
      <c r="W34" s="617"/>
      <c r="X34" s="617"/>
      <c r="Y34" s="617"/>
      <c r="Z34" s="617"/>
      <c r="AA34" s="599"/>
      <c r="AB34" s="599"/>
      <c r="AC34" s="599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09">
        <v>4607091388503</v>
      </c>
      <c r="E35" s="610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2"/>
      <c r="R35" s="612"/>
      <c r="S35" s="612"/>
      <c r="T35" s="613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8"/>
      <c r="B36" s="617"/>
      <c r="C36" s="617"/>
      <c r="D36" s="617"/>
      <c r="E36" s="617"/>
      <c r="F36" s="617"/>
      <c r="G36" s="617"/>
      <c r="H36" s="617"/>
      <c r="I36" s="617"/>
      <c r="J36" s="617"/>
      <c r="K36" s="617"/>
      <c r="L36" s="617"/>
      <c r="M36" s="617"/>
      <c r="N36" s="617"/>
      <c r="O36" s="629"/>
      <c r="P36" s="621" t="s">
        <v>72</v>
      </c>
      <c r="Q36" s="622"/>
      <c r="R36" s="622"/>
      <c r="S36" s="622"/>
      <c r="T36" s="622"/>
      <c r="U36" s="622"/>
      <c r="V36" s="623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x14ac:dyDescent="0.2">
      <c r="A37" s="617"/>
      <c r="B37" s="617"/>
      <c r="C37" s="617"/>
      <c r="D37" s="617"/>
      <c r="E37" s="617"/>
      <c r="F37" s="617"/>
      <c r="G37" s="617"/>
      <c r="H37" s="617"/>
      <c r="I37" s="617"/>
      <c r="J37" s="617"/>
      <c r="K37" s="617"/>
      <c r="L37" s="617"/>
      <c r="M37" s="617"/>
      <c r="N37" s="617"/>
      <c r="O37" s="629"/>
      <c r="P37" s="621" t="s">
        <v>72</v>
      </c>
      <c r="Q37" s="622"/>
      <c r="R37" s="622"/>
      <c r="S37" s="622"/>
      <c r="T37" s="622"/>
      <c r="U37" s="622"/>
      <c r="V37" s="623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customHeight="1" x14ac:dyDescent="0.2">
      <c r="A38" s="667" t="s">
        <v>98</v>
      </c>
      <c r="B38" s="668"/>
      <c r="C38" s="668"/>
      <c r="D38" s="668"/>
      <c r="E38" s="668"/>
      <c r="F38" s="668"/>
      <c r="G38" s="668"/>
      <c r="H38" s="668"/>
      <c r="I38" s="668"/>
      <c r="J38" s="668"/>
      <c r="K38" s="668"/>
      <c r="L38" s="668"/>
      <c r="M38" s="668"/>
      <c r="N38" s="668"/>
      <c r="O38" s="668"/>
      <c r="P38" s="668"/>
      <c r="Q38" s="668"/>
      <c r="R38" s="668"/>
      <c r="S38" s="668"/>
      <c r="T38" s="668"/>
      <c r="U38" s="668"/>
      <c r="V38" s="668"/>
      <c r="W38" s="668"/>
      <c r="X38" s="668"/>
      <c r="Y38" s="668"/>
      <c r="Z38" s="668"/>
      <c r="AA38" s="48"/>
      <c r="AB38" s="48"/>
      <c r="AC38" s="48"/>
    </row>
    <row r="39" spans="1:68" ht="16.5" customHeight="1" x14ac:dyDescent="0.25">
      <c r="A39" s="626" t="s">
        <v>99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600"/>
      <c r="AB39" s="600"/>
      <c r="AC39" s="600"/>
    </row>
    <row r="40" spans="1:68" ht="14.25" customHeight="1" x14ac:dyDescent="0.25">
      <c r="A40" s="616" t="s">
        <v>74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599"/>
      <c r="AB40" s="599"/>
      <c r="AC40" s="599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09">
        <v>4680115889354</v>
      </c>
      <c r="E41" s="610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7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2"/>
      <c r="R41" s="612"/>
      <c r="S41" s="612"/>
      <c r="T41" s="613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104</v>
      </c>
      <c r="B42" s="54" t="s">
        <v>105</v>
      </c>
      <c r="C42" s="31">
        <v>4301052198</v>
      </c>
      <c r="D42" s="609">
        <v>4680115888463</v>
      </c>
      <c r="E42" s="61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107</v>
      </c>
      <c r="B43" s="54" t="s">
        <v>108</v>
      </c>
      <c r="C43" s="31">
        <v>4301052202</v>
      </c>
      <c r="D43" s="609">
        <v>4680115888494</v>
      </c>
      <c r="E43" s="61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110</v>
      </c>
      <c r="B44" s="54" t="s">
        <v>111</v>
      </c>
      <c r="C44" s="31">
        <v>4301052184</v>
      </c>
      <c r="D44" s="609">
        <v>4680115888272</v>
      </c>
      <c r="E44" s="61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113</v>
      </c>
      <c r="B45" s="54" t="s">
        <v>114</v>
      </c>
      <c r="C45" s="31">
        <v>4301052188</v>
      </c>
      <c r="D45" s="609">
        <v>4680115888364</v>
      </c>
      <c r="E45" s="61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8"/>
      <c r="B46" s="617"/>
      <c r="C46" s="617"/>
      <c r="D46" s="617"/>
      <c r="E46" s="617"/>
      <c r="F46" s="617"/>
      <c r="G46" s="617"/>
      <c r="H46" s="617"/>
      <c r="I46" s="617"/>
      <c r="J46" s="617"/>
      <c r="K46" s="617"/>
      <c r="L46" s="617"/>
      <c r="M46" s="617"/>
      <c r="N46" s="617"/>
      <c r="O46" s="629"/>
      <c r="P46" s="621" t="s">
        <v>72</v>
      </c>
      <c r="Q46" s="622"/>
      <c r="R46" s="622"/>
      <c r="S46" s="622"/>
      <c r="T46" s="622"/>
      <c r="U46" s="622"/>
      <c r="V46" s="623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x14ac:dyDescent="0.2">
      <c r="A47" s="617"/>
      <c r="B47" s="617"/>
      <c r="C47" s="617"/>
      <c r="D47" s="617"/>
      <c r="E47" s="617"/>
      <c r="F47" s="617"/>
      <c r="G47" s="617"/>
      <c r="H47" s="617"/>
      <c r="I47" s="617"/>
      <c r="J47" s="617"/>
      <c r="K47" s="617"/>
      <c r="L47" s="617"/>
      <c r="M47" s="617"/>
      <c r="N47" s="617"/>
      <c r="O47" s="629"/>
      <c r="P47" s="621" t="s">
        <v>72</v>
      </c>
      <c r="Q47" s="622"/>
      <c r="R47" s="622"/>
      <c r="S47" s="622"/>
      <c r="T47" s="622"/>
      <c r="U47" s="622"/>
      <c r="V47" s="623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customHeight="1" x14ac:dyDescent="0.2">
      <c r="A48" s="667" t="s">
        <v>116</v>
      </c>
      <c r="B48" s="668"/>
      <c r="C48" s="668"/>
      <c r="D48" s="668"/>
      <c r="E48" s="668"/>
      <c r="F48" s="668"/>
      <c r="G48" s="668"/>
      <c r="H48" s="668"/>
      <c r="I48" s="668"/>
      <c r="J48" s="668"/>
      <c r="K48" s="668"/>
      <c r="L48" s="668"/>
      <c r="M48" s="668"/>
      <c r="N48" s="668"/>
      <c r="O48" s="668"/>
      <c r="P48" s="668"/>
      <c r="Q48" s="668"/>
      <c r="R48" s="668"/>
      <c r="S48" s="668"/>
      <c r="T48" s="668"/>
      <c r="U48" s="668"/>
      <c r="V48" s="668"/>
      <c r="W48" s="668"/>
      <c r="X48" s="668"/>
      <c r="Y48" s="668"/>
      <c r="Z48" s="668"/>
      <c r="AA48" s="48"/>
      <c r="AB48" s="48"/>
      <c r="AC48" s="48"/>
    </row>
    <row r="49" spans="1:68" ht="16.5" customHeight="1" x14ac:dyDescent="0.25">
      <c r="A49" s="626" t="s">
        <v>117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00"/>
      <c r="AB49" s="600"/>
      <c r="AC49" s="600"/>
    </row>
    <row r="50" spans="1:68" ht="14.25" customHeight="1" x14ac:dyDescent="0.25">
      <c r="A50" s="616" t="s">
        <v>118</v>
      </c>
      <c r="B50" s="617"/>
      <c r="C50" s="617"/>
      <c r="D50" s="617"/>
      <c r="E50" s="617"/>
      <c r="F50" s="617"/>
      <c r="G50" s="617"/>
      <c r="H50" s="617"/>
      <c r="I50" s="617"/>
      <c r="J50" s="617"/>
      <c r="K50" s="617"/>
      <c r="L50" s="617"/>
      <c r="M50" s="617"/>
      <c r="N50" s="617"/>
      <c r="O50" s="617"/>
      <c r="P50" s="617"/>
      <c r="Q50" s="617"/>
      <c r="R50" s="617"/>
      <c r="S50" s="617"/>
      <c r="T50" s="617"/>
      <c r="U50" s="617"/>
      <c r="V50" s="617"/>
      <c r="W50" s="617"/>
      <c r="X50" s="617"/>
      <c r="Y50" s="617"/>
      <c r="Z50" s="617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09">
        <v>4607091385670</v>
      </c>
      <c r="E51" s="610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80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2"/>
      <c r="R51" s="612"/>
      <c r="S51" s="612"/>
      <c r="T51" s="613"/>
      <c r="U51" s="34"/>
      <c r="V51" s="34"/>
      <c r="W51" s="35" t="s">
        <v>67</v>
      </c>
      <c r="X51" s="605">
        <v>0</v>
      </c>
      <c r="Y51" s="60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124</v>
      </c>
      <c r="B52" s="54" t="s">
        <v>125</v>
      </c>
      <c r="C52" s="31">
        <v>4301012053</v>
      </c>
      <c r="D52" s="609">
        <v>4680115887725</v>
      </c>
      <c r="E52" s="610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128</v>
      </c>
      <c r="B53" s="54" t="s">
        <v>129</v>
      </c>
      <c r="C53" s="31">
        <v>4301011382</v>
      </c>
      <c r="D53" s="609">
        <v>4607091385687</v>
      </c>
      <c r="E53" s="610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4301011565</v>
      </c>
      <c r="D54" s="609">
        <v>4680115882539</v>
      </c>
      <c r="E54" s="610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2"/>
      <c r="R54" s="612"/>
      <c r="S54" s="612"/>
      <c r="T54" s="613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28"/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  <c r="M55" s="617"/>
      <c r="N55" s="617"/>
      <c r="O55" s="629"/>
      <c r="P55" s="621" t="s">
        <v>72</v>
      </c>
      <c r="Q55" s="622"/>
      <c r="R55" s="622"/>
      <c r="S55" s="622"/>
      <c r="T55" s="622"/>
      <c r="U55" s="622"/>
      <c r="V55" s="623"/>
      <c r="W55" s="37" t="s">
        <v>73</v>
      </c>
      <c r="X55" s="607">
        <f>IFERROR(X51/H51,"0")+IFERROR(X52/H52,"0")+IFERROR(X53/H53,"0")+IFERROR(X54/H54,"0")</f>
        <v>0</v>
      </c>
      <c r="Y55" s="607">
        <f>IFERROR(Y51/H51,"0")+IFERROR(Y52/H52,"0")+IFERROR(Y53/H53,"0")+IFERROR(Y54/H54,"0")</f>
        <v>0</v>
      </c>
      <c r="Z55" s="607">
        <f>IFERROR(IF(Z51="",0,Z51),"0")+IFERROR(IF(Z52="",0,Z52),"0")+IFERROR(IF(Z53="",0,Z53),"0")+IFERROR(IF(Z54="",0,Z54),"0")</f>
        <v>0</v>
      </c>
      <c r="AA55" s="608"/>
      <c r="AB55" s="608"/>
      <c r="AC55" s="608"/>
    </row>
    <row r="56" spans="1:68" x14ac:dyDescent="0.2">
      <c r="A56" s="617"/>
      <c r="B56" s="617"/>
      <c r="C56" s="617"/>
      <c r="D56" s="617"/>
      <c r="E56" s="617"/>
      <c r="F56" s="617"/>
      <c r="G56" s="617"/>
      <c r="H56" s="617"/>
      <c r="I56" s="617"/>
      <c r="J56" s="617"/>
      <c r="K56" s="617"/>
      <c r="L56" s="617"/>
      <c r="M56" s="617"/>
      <c r="N56" s="617"/>
      <c r="O56" s="629"/>
      <c r="P56" s="621" t="s">
        <v>72</v>
      </c>
      <c r="Q56" s="622"/>
      <c r="R56" s="622"/>
      <c r="S56" s="622"/>
      <c r="T56" s="622"/>
      <c r="U56" s="622"/>
      <c r="V56" s="623"/>
      <c r="W56" s="37" t="s">
        <v>67</v>
      </c>
      <c r="X56" s="607">
        <f>IFERROR(SUM(X51:X54),"0")</f>
        <v>0</v>
      </c>
      <c r="Y56" s="607">
        <f>IFERROR(SUM(Y51:Y54),"0")</f>
        <v>0</v>
      </c>
      <c r="Z56" s="37"/>
      <c r="AA56" s="608"/>
      <c r="AB56" s="608"/>
      <c r="AC56" s="608"/>
    </row>
    <row r="57" spans="1:68" ht="16.5" customHeight="1" x14ac:dyDescent="0.25">
      <c r="A57" s="626" t="s">
        <v>133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00"/>
      <c r="AB57" s="600"/>
      <c r="AC57" s="600"/>
    </row>
    <row r="58" spans="1:68" ht="14.25" customHeight="1" x14ac:dyDescent="0.25">
      <c r="A58" s="616" t="s">
        <v>118</v>
      </c>
      <c r="B58" s="617"/>
      <c r="C58" s="617"/>
      <c r="D58" s="617"/>
      <c r="E58" s="617"/>
      <c r="F58" s="617"/>
      <c r="G58" s="617"/>
      <c r="H58" s="617"/>
      <c r="I58" s="617"/>
      <c r="J58" s="617"/>
      <c r="K58" s="617"/>
      <c r="L58" s="617"/>
      <c r="M58" s="617"/>
      <c r="N58" s="617"/>
      <c r="O58" s="617"/>
      <c r="P58" s="617"/>
      <c r="Q58" s="617"/>
      <c r="R58" s="617"/>
      <c r="S58" s="617"/>
      <c r="T58" s="617"/>
      <c r="U58" s="617"/>
      <c r="V58" s="617"/>
      <c r="W58" s="617"/>
      <c r="X58" s="617"/>
      <c r="Y58" s="617"/>
      <c r="Z58" s="617"/>
      <c r="AA58" s="599"/>
      <c r="AB58" s="599"/>
      <c r="AC58" s="599"/>
    </row>
    <row r="59" spans="1:68" ht="27" customHeight="1" x14ac:dyDescent="0.25">
      <c r="A59" s="54" t="s">
        <v>134</v>
      </c>
      <c r="B59" s="54" t="s">
        <v>135</v>
      </c>
      <c r="C59" s="31">
        <v>4301012030</v>
      </c>
      <c r="D59" s="609">
        <v>4680115885882</v>
      </c>
      <c r="E59" s="610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2"/>
      <c r="R59" s="612"/>
      <c r="S59" s="612"/>
      <c r="T59" s="613"/>
      <c r="U59" s="34"/>
      <c r="V59" s="34"/>
      <c r="W59" s="35" t="s">
        <v>67</v>
      </c>
      <c r="X59" s="605">
        <v>0</v>
      </c>
      <c r="Y59" s="60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134</v>
      </c>
      <c r="B60" s="54" t="s">
        <v>137</v>
      </c>
      <c r="C60" s="31">
        <v>4301012161</v>
      </c>
      <c r="D60" s="609">
        <v>4680115885882</v>
      </c>
      <c r="E60" s="61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139</v>
      </c>
      <c r="B61" s="54" t="s">
        <v>140</v>
      </c>
      <c r="C61" s="31">
        <v>4301011816</v>
      </c>
      <c r="D61" s="609">
        <v>4680115881426</v>
      </c>
      <c r="E61" s="610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0</v>
      </c>
      <c r="Y61" s="60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4301011386</v>
      </c>
      <c r="D62" s="609">
        <v>4680115880283</v>
      </c>
      <c r="E62" s="610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8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142</v>
      </c>
      <c r="B63" s="54" t="s">
        <v>145</v>
      </c>
      <c r="C63" s="31">
        <v>4301012259</v>
      </c>
      <c r="D63" s="609">
        <v>4680115880283</v>
      </c>
      <c r="E63" s="61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71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2"/>
      <c r="R63" s="612"/>
      <c r="S63" s="612"/>
      <c r="T63" s="613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4301011806</v>
      </c>
      <c r="D64" s="609">
        <v>4680115881525</v>
      </c>
      <c r="E64" s="61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0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0</v>
      </c>
      <c r="Y64" s="60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150</v>
      </c>
      <c r="B65" s="54" t="s">
        <v>151</v>
      </c>
      <c r="C65" s="31">
        <v>4301012165</v>
      </c>
      <c r="D65" s="609">
        <v>4680115885899</v>
      </c>
      <c r="E65" s="61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9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09">
        <v>4680115881419</v>
      </c>
      <c r="E66" s="61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41</v>
      </c>
      <c r="Y66" s="606">
        <f t="shared" si="0"/>
        <v>45</v>
      </c>
      <c r="Z66" s="36">
        <f>IFERROR(IF(Y66=0,"",ROUNDUP(Y66/H66,0)*0.00902),"")</f>
        <v>9.0200000000000002E-2</v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42.731111111111119</v>
      </c>
      <c r="BN66" s="64">
        <f t="shared" si="2"/>
        <v>46.900000000000006</v>
      </c>
      <c r="BO66" s="64">
        <f t="shared" si="3"/>
        <v>6.9023569023569029E-2</v>
      </c>
      <c r="BP66" s="64">
        <f t="shared" si="4"/>
        <v>7.575757575757576E-2</v>
      </c>
    </row>
    <row r="67" spans="1:68" x14ac:dyDescent="0.2">
      <c r="A67" s="628"/>
      <c r="B67" s="617"/>
      <c r="C67" s="617"/>
      <c r="D67" s="617"/>
      <c r="E67" s="617"/>
      <c r="F67" s="617"/>
      <c r="G67" s="617"/>
      <c r="H67" s="617"/>
      <c r="I67" s="617"/>
      <c r="J67" s="617"/>
      <c r="K67" s="617"/>
      <c r="L67" s="617"/>
      <c r="M67" s="617"/>
      <c r="N67" s="617"/>
      <c r="O67" s="629"/>
      <c r="P67" s="621" t="s">
        <v>72</v>
      </c>
      <c r="Q67" s="622"/>
      <c r="R67" s="622"/>
      <c r="S67" s="622"/>
      <c r="T67" s="622"/>
      <c r="U67" s="622"/>
      <c r="V67" s="623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9.1111111111111107</v>
      </c>
      <c r="Y67" s="607">
        <f>IFERROR(Y59/H59,"0")+IFERROR(Y60/H60,"0")+IFERROR(Y61/H61,"0")+IFERROR(Y62/H62,"0")+IFERROR(Y63/H63,"0")+IFERROR(Y64/H64,"0")+IFERROR(Y65/H65,"0")+IFERROR(Y66/H66,"0")</f>
        <v>10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9.0200000000000002E-2</v>
      </c>
      <c r="AA67" s="608"/>
      <c r="AB67" s="608"/>
      <c r="AC67" s="608"/>
    </row>
    <row r="68" spans="1:68" x14ac:dyDescent="0.2">
      <c r="A68" s="617"/>
      <c r="B68" s="617"/>
      <c r="C68" s="617"/>
      <c r="D68" s="617"/>
      <c r="E68" s="617"/>
      <c r="F68" s="617"/>
      <c r="G68" s="617"/>
      <c r="H68" s="617"/>
      <c r="I68" s="617"/>
      <c r="J68" s="617"/>
      <c r="K68" s="617"/>
      <c r="L68" s="617"/>
      <c r="M68" s="617"/>
      <c r="N68" s="617"/>
      <c r="O68" s="629"/>
      <c r="P68" s="621" t="s">
        <v>72</v>
      </c>
      <c r="Q68" s="622"/>
      <c r="R68" s="622"/>
      <c r="S68" s="622"/>
      <c r="T68" s="622"/>
      <c r="U68" s="622"/>
      <c r="V68" s="623"/>
      <c r="W68" s="37" t="s">
        <v>67</v>
      </c>
      <c r="X68" s="607">
        <f>IFERROR(SUM(X59:X66),"0")</f>
        <v>41</v>
      </c>
      <c r="Y68" s="607">
        <f>IFERROR(SUM(Y59:Y66),"0")</f>
        <v>45</v>
      </c>
      <c r="Z68" s="37"/>
      <c r="AA68" s="608"/>
      <c r="AB68" s="608"/>
      <c r="AC68" s="608"/>
    </row>
    <row r="69" spans="1:68" ht="14.25" customHeight="1" x14ac:dyDescent="0.25">
      <c r="A69" s="616" t="s">
        <v>155</v>
      </c>
      <c r="B69" s="617"/>
      <c r="C69" s="617"/>
      <c r="D69" s="617"/>
      <c r="E69" s="617"/>
      <c r="F69" s="617"/>
      <c r="G69" s="617"/>
      <c r="H69" s="617"/>
      <c r="I69" s="617"/>
      <c r="J69" s="617"/>
      <c r="K69" s="617"/>
      <c r="L69" s="617"/>
      <c r="M69" s="617"/>
      <c r="N69" s="617"/>
      <c r="O69" s="617"/>
      <c r="P69" s="617"/>
      <c r="Q69" s="617"/>
      <c r="R69" s="617"/>
      <c r="S69" s="617"/>
      <c r="T69" s="617"/>
      <c r="U69" s="617"/>
      <c r="V69" s="617"/>
      <c r="W69" s="617"/>
      <c r="X69" s="617"/>
      <c r="Y69" s="617"/>
      <c r="Z69" s="617"/>
      <c r="AA69" s="599"/>
      <c r="AB69" s="599"/>
      <c r="AC69" s="599"/>
    </row>
    <row r="70" spans="1:68" ht="16.5" customHeight="1" x14ac:dyDescent="0.25">
      <c r="A70" s="54" t="s">
        <v>156</v>
      </c>
      <c r="B70" s="54" t="s">
        <v>157</v>
      </c>
      <c r="C70" s="31">
        <v>4301020298</v>
      </c>
      <c r="D70" s="609">
        <v>4680115881440</v>
      </c>
      <c r="E70" s="61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53</v>
      </c>
      <c r="Y70" s="606">
        <f>IFERROR(IF(X70="",0,CEILING((X70/$H70),1)*$H70),"")</f>
        <v>54</v>
      </c>
      <c r="Z70" s="36">
        <f>IFERROR(IF(Y70=0,"",ROUNDUP(Y70/H70,0)*0.01898),"")</f>
        <v>9.4899999999999998E-2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55.012037037037032</v>
      </c>
      <c r="BN70" s="64">
        <f>IFERROR(Y70*I70/H70,"0")</f>
        <v>56.05</v>
      </c>
      <c r="BO70" s="64">
        <f>IFERROR(1/J70*(X70/H70),"0")</f>
        <v>7.6678240740740741E-2</v>
      </c>
      <c r="BP70" s="64">
        <f>IFERROR(1/J70*(Y70/H70),"0")</f>
        <v>7.8125E-2</v>
      </c>
    </row>
    <row r="71" spans="1:68" ht="16.5" customHeight="1" x14ac:dyDescent="0.25">
      <c r="A71" s="54" t="s">
        <v>159</v>
      </c>
      <c r="B71" s="54" t="s">
        <v>160</v>
      </c>
      <c r="C71" s="31">
        <v>4301020358</v>
      </c>
      <c r="D71" s="609">
        <v>4680115885950</v>
      </c>
      <c r="E71" s="61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161</v>
      </c>
      <c r="B72" s="54" t="s">
        <v>162</v>
      </c>
      <c r="C72" s="31">
        <v>4301020371</v>
      </c>
      <c r="D72" s="609">
        <v>4680115887688</v>
      </c>
      <c r="E72" s="61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164</v>
      </c>
      <c r="B73" s="54" t="s">
        <v>165</v>
      </c>
      <c r="C73" s="31">
        <v>4301020296</v>
      </c>
      <c r="D73" s="609">
        <v>4680115881433</v>
      </c>
      <c r="E73" s="61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8"/>
      <c r="B74" s="617"/>
      <c r="C74" s="617"/>
      <c r="D74" s="617"/>
      <c r="E74" s="617"/>
      <c r="F74" s="617"/>
      <c r="G74" s="617"/>
      <c r="H74" s="617"/>
      <c r="I74" s="617"/>
      <c r="J74" s="617"/>
      <c r="K74" s="617"/>
      <c r="L74" s="617"/>
      <c r="M74" s="617"/>
      <c r="N74" s="617"/>
      <c r="O74" s="629"/>
      <c r="P74" s="621" t="s">
        <v>72</v>
      </c>
      <c r="Q74" s="622"/>
      <c r="R74" s="622"/>
      <c r="S74" s="622"/>
      <c r="T74" s="622"/>
      <c r="U74" s="622"/>
      <c r="V74" s="623"/>
      <c r="W74" s="37" t="s">
        <v>73</v>
      </c>
      <c r="X74" s="607">
        <f>IFERROR(X70/H70,"0")+IFERROR(X71/H71,"0")+IFERROR(X72/H72,"0")+IFERROR(X73/H73,"0")</f>
        <v>4.9074074074074074</v>
      </c>
      <c r="Y74" s="607">
        <f>IFERROR(Y70/H70,"0")+IFERROR(Y71/H71,"0")+IFERROR(Y72/H72,"0")+IFERROR(Y73/H73,"0")</f>
        <v>5</v>
      </c>
      <c r="Z74" s="607">
        <f>IFERROR(IF(Z70="",0,Z70),"0")+IFERROR(IF(Z71="",0,Z71),"0")+IFERROR(IF(Z72="",0,Z72),"0")+IFERROR(IF(Z73="",0,Z73),"0")</f>
        <v>9.4899999999999998E-2</v>
      </c>
      <c r="AA74" s="608"/>
      <c r="AB74" s="608"/>
      <c r="AC74" s="608"/>
    </row>
    <row r="75" spans="1:68" x14ac:dyDescent="0.2">
      <c r="A75" s="617"/>
      <c r="B75" s="617"/>
      <c r="C75" s="617"/>
      <c r="D75" s="617"/>
      <c r="E75" s="617"/>
      <c r="F75" s="617"/>
      <c r="G75" s="617"/>
      <c r="H75" s="617"/>
      <c r="I75" s="617"/>
      <c r="J75" s="617"/>
      <c r="K75" s="617"/>
      <c r="L75" s="617"/>
      <c r="M75" s="617"/>
      <c r="N75" s="617"/>
      <c r="O75" s="629"/>
      <c r="P75" s="621" t="s">
        <v>72</v>
      </c>
      <c r="Q75" s="622"/>
      <c r="R75" s="622"/>
      <c r="S75" s="622"/>
      <c r="T75" s="622"/>
      <c r="U75" s="622"/>
      <c r="V75" s="623"/>
      <c r="W75" s="37" t="s">
        <v>67</v>
      </c>
      <c r="X75" s="607">
        <f>IFERROR(SUM(X70:X73),"0")</f>
        <v>53</v>
      </c>
      <c r="Y75" s="607">
        <f>IFERROR(SUM(Y70:Y73),"0")</f>
        <v>54</v>
      </c>
      <c r="Z75" s="37"/>
      <c r="AA75" s="608"/>
      <c r="AB75" s="608"/>
      <c r="AC75" s="608"/>
    </row>
    <row r="76" spans="1:68" ht="14.25" customHeight="1" x14ac:dyDescent="0.25">
      <c r="A76" s="616" t="s">
        <v>74</v>
      </c>
      <c r="B76" s="617"/>
      <c r="C76" s="617"/>
      <c r="D76" s="617"/>
      <c r="E76" s="617"/>
      <c r="F76" s="617"/>
      <c r="G76" s="617"/>
      <c r="H76" s="617"/>
      <c r="I76" s="617"/>
      <c r="J76" s="617"/>
      <c r="K76" s="617"/>
      <c r="L76" s="617"/>
      <c r="M76" s="617"/>
      <c r="N76" s="617"/>
      <c r="O76" s="617"/>
      <c r="P76" s="617"/>
      <c r="Q76" s="617"/>
      <c r="R76" s="617"/>
      <c r="S76" s="617"/>
      <c r="T76" s="617"/>
      <c r="U76" s="617"/>
      <c r="V76" s="617"/>
      <c r="W76" s="617"/>
      <c r="X76" s="617"/>
      <c r="Y76" s="617"/>
      <c r="Z76" s="617"/>
      <c r="AA76" s="599"/>
      <c r="AB76" s="599"/>
      <c r="AC76" s="599"/>
    </row>
    <row r="77" spans="1:68" ht="16.5" customHeight="1" x14ac:dyDescent="0.25">
      <c r="A77" s="54" t="s">
        <v>166</v>
      </c>
      <c r="B77" s="54" t="s">
        <v>167</v>
      </c>
      <c r="C77" s="31">
        <v>4301051837</v>
      </c>
      <c r="D77" s="609">
        <v>4680115884311</v>
      </c>
      <c r="E77" s="61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169</v>
      </c>
      <c r="B78" s="54" t="s">
        <v>170</v>
      </c>
      <c r="C78" s="31">
        <v>4301051929</v>
      </c>
      <c r="D78" s="609">
        <v>4680115884403</v>
      </c>
      <c r="E78" s="61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8"/>
      <c r="B79" s="617"/>
      <c r="C79" s="617"/>
      <c r="D79" s="617"/>
      <c r="E79" s="617"/>
      <c r="F79" s="617"/>
      <c r="G79" s="617"/>
      <c r="H79" s="617"/>
      <c r="I79" s="617"/>
      <c r="J79" s="617"/>
      <c r="K79" s="617"/>
      <c r="L79" s="617"/>
      <c r="M79" s="617"/>
      <c r="N79" s="617"/>
      <c r="O79" s="629"/>
      <c r="P79" s="621" t="s">
        <v>72</v>
      </c>
      <c r="Q79" s="622"/>
      <c r="R79" s="622"/>
      <c r="S79" s="622"/>
      <c r="T79" s="622"/>
      <c r="U79" s="622"/>
      <c r="V79" s="623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x14ac:dyDescent="0.2">
      <c r="A80" s="617"/>
      <c r="B80" s="617"/>
      <c r="C80" s="617"/>
      <c r="D80" s="617"/>
      <c r="E80" s="617"/>
      <c r="F80" s="617"/>
      <c r="G80" s="617"/>
      <c r="H80" s="617"/>
      <c r="I80" s="617"/>
      <c r="J80" s="617"/>
      <c r="K80" s="617"/>
      <c r="L80" s="617"/>
      <c r="M80" s="617"/>
      <c r="N80" s="617"/>
      <c r="O80" s="629"/>
      <c r="P80" s="621" t="s">
        <v>72</v>
      </c>
      <c r="Q80" s="622"/>
      <c r="R80" s="622"/>
      <c r="S80" s="622"/>
      <c r="T80" s="622"/>
      <c r="U80" s="622"/>
      <c r="V80" s="623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customHeight="1" x14ac:dyDescent="0.25">
      <c r="A81" s="616" t="s">
        <v>172</v>
      </c>
      <c r="B81" s="617"/>
      <c r="C81" s="617"/>
      <c r="D81" s="617"/>
      <c r="E81" s="617"/>
      <c r="F81" s="617"/>
      <c r="G81" s="617"/>
      <c r="H81" s="617"/>
      <c r="I81" s="617"/>
      <c r="J81" s="617"/>
      <c r="K81" s="617"/>
      <c r="L81" s="617"/>
      <c r="M81" s="617"/>
      <c r="N81" s="617"/>
      <c r="O81" s="617"/>
      <c r="P81" s="617"/>
      <c r="Q81" s="617"/>
      <c r="R81" s="617"/>
      <c r="S81" s="617"/>
      <c r="T81" s="617"/>
      <c r="U81" s="617"/>
      <c r="V81" s="617"/>
      <c r="W81" s="617"/>
      <c r="X81" s="617"/>
      <c r="Y81" s="617"/>
      <c r="Z81" s="617"/>
      <c r="AA81" s="599"/>
      <c r="AB81" s="599"/>
      <c r="AC81" s="59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09">
        <v>4680115881532</v>
      </c>
      <c r="E82" s="61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24</v>
      </c>
      <c r="Y82" s="606">
        <f>IFERROR(IF(X82="",0,CEILING((X82/$H82),1)*$H82),"")</f>
        <v>31.2</v>
      </c>
      <c r="Z82" s="36">
        <f>IFERROR(IF(Y82=0,"",ROUNDUP(Y82/H82,0)*0.01898),"")</f>
        <v>7.5920000000000001E-2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25.261538461538464</v>
      </c>
      <c r="BN82" s="64">
        <f>IFERROR(Y82*I82/H82,"0")</f>
        <v>32.840000000000003</v>
      </c>
      <c r="BO82" s="64">
        <f>IFERROR(1/J82*(X82/H82),"0")</f>
        <v>4.807692307692308E-2</v>
      </c>
      <c r="BP82" s="64">
        <f>IFERROR(1/J82*(Y82/H82),"0")</f>
        <v>6.25E-2</v>
      </c>
    </row>
    <row r="83" spans="1:68" ht="27" customHeight="1" x14ac:dyDescent="0.25">
      <c r="A83" s="54" t="s">
        <v>176</v>
      </c>
      <c r="B83" s="54" t="s">
        <v>177</v>
      </c>
      <c r="C83" s="31">
        <v>4301060351</v>
      </c>
      <c r="D83" s="609">
        <v>4680115881464</v>
      </c>
      <c r="E83" s="61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8"/>
      <c r="B84" s="617"/>
      <c r="C84" s="617"/>
      <c r="D84" s="617"/>
      <c r="E84" s="617"/>
      <c r="F84" s="617"/>
      <c r="G84" s="617"/>
      <c r="H84" s="617"/>
      <c r="I84" s="617"/>
      <c r="J84" s="617"/>
      <c r="K84" s="617"/>
      <c r="L84" s="617"/>
      <c r="M84" s="617"/>
      <c r="N84" s="617"/>
      <c r="O84" s="629"/>
      <c r="P84" s="621" t="s">
        <v>72</v>
      </c>
      <c r="Q84" s="622"/>
      <c r="R84" s="622"/>
      <c r="S84" s="622"/>
      <c r="T84" s="622"/>
      <c r="U84" s="622"/>
      <c r="V84" s="623"/>
      <c r="W84" s="37" t="s">
        <v>73</v>
      </c>
      <c r="X84" s="607">
        <f>IFERROR(X82/H82,"0")+IFERROR(X83/H83,"0")</f>
        <v>3.0769230769230771</v>
      </c>
      <c r="Y84" s="607">
        <f>IFERROR(Y82/H82,"0")+IFERROR(Y83/H83,"0")</f>
        <v>4</v>
      </c>
      <c r="Z84" s="607">
        <f>IFERROR(IF(Z82="",0,Z82),"0")+IFERROR(IF(Z83="",0,Z83),"0")</f>
        <v>7.5920000000000001E-2</v>
      </c>
      <c r="AA84" s="608"/>
      <c r="AB84" s="608"/>
      <c r="AC84" s="608"/>
    </row>
    <row r="85" spans="1:68" x14ac:dyDescent="0.2">
      <c r="A85" s="617"/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29"/>
      <c r="P85" s="621" t="s">
        <v>72</v>
      </c>
      <c r="Q85" s="622"/>
      <c r="R85" s="622"/>
      <c r="S85" s="622"/>
      <c r="T85" s="622"/>
      <c r="U85" s="622"/>
      <c r="V85" s="623"/>
      <c r="W85" s="37" t="s">
        <v>67</v>
      </c>
      <c r="X85" s="607">
        <f>IFERROR(SUM(X82:X83),"0")</f>
        <v>24</v>
      </c>
      <c r="Y85" s="607">
        <f>IFERROR(SUM(Y82:Y83),"0")</f>
        <v>31.2</v>
      </c>
      <c r="Z85" s="37"/>
      <c r="AA85" s="608"/>
      <c r="AB85" s="608"/>
      <c r="AC85" s="608"/>
    </row>
    <row r="86" spans="1:68" ht="16.5" customHeight="1" x14ac:dyDescent="0.25">
      <c r="A86" s="626" t="s">
        <v>179</v>
      </c>
      <c r="B86" s="617"/>
      <c r="C86" s="617"/>
      <c r="D86" s="617"/>
      <c r="E86" s="617"/>
      <c r="F86" s="617"/>
      <c r="G86" s="617"/>
      <c r="H86" s="617"/>
      <c r="I86" s="617"/>
      <c r="J86" s="617"/>
      <c r="K86" s="617"/>
      <c r="L86" s="617"/>
      <c r="M86" s="617"/>
      <c r="N86" s="617"/>
      <c r="O86" s="617"/>
      <c r="P86" s="617"/>
      <c r="Q86" s="617"/>
      <c r="R86" s="617"/>
      <c r="S86" s="617"/>
      <c r="T86" s="617"/>
      <c r="U86" s="617"/>
      <c r="V86" s="617"/>
      <c r="W86" s="617"/>
      <c r="X86" s="617"/>
      <c r="Y86" s="617"/>
      <c r="Z86" s="617"/>
      <c r="AA86" s="600"/>
      <c r="AB86" s="600"/>
      <c r="AC86" s="600"/>
    </row>
    <row r="87" spans="1:68" ht="14.25" customHeight="1" x14ac:dyDescent="0.25">
      <c r="A87" s="616" t="s">
        <v>118</v>
      </c>
      <c r="B87" s="617"/>
      <c r="C87" s="617"/>
      <c r="D87" s="617"/>
      <c r="E87" s="617"/>
      <c r="F87" s="617"/>
      <c r="G87" s="617"/>
      <c r="H87" s="617"/>
      <c r="I87" s="617"/>
      <c r="J87" s="617"/>
      <c r="K87" s="617"/>
      <c r="L87" s="617"/>
      <c r="M87" s="617"/>
      <c r="N87" s="617"/>
      <c r="O87" s="617"/>
      <c r="P87" s="617"/>
      <c r="Q87" s="617"/>
      <c r="R87" s="617"/>
      <c r="S87" s="617"/>
      <c r="T87" s="617"/>
      <c r="U87" s="617"/>
      <c r="V87" s="617"/>
      <c r="W87" s="617"/>
      <c r="X87" s="617"/>
      <c r="Y87" s="617"/>
      <c r="Z87" s="617"/>
      <c r="AA87" s="599"/>
      <c r="AB87" s="599"/>
      <c r="AC87" s="599"/>
    </row>
    <row r="88" spans="1:68" ht="27" customHeight="1" x14ac:dyDescent="0.25">
      <c r="A88" s="54" t="s">
        <v>180</v>
      </c>
      <c r="B88" s="54" t="s">
        <v>181</v>
      </c>
      <c r="C88" s="31">
        <v>4301011468</v>
      </c>
      <c r="D88" s="609">
        <v>4680115881327</v>
      </c>
      <c r="E88" s="61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80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183</v>
      </c>
      <c r="B89" s="54" t="s">
        <v>184</v>
      </c>
      <c r="C89" s="31">
        <v>4301011261</v>
      </c>
      <c r="D89" s="609">
        <v>4680115887732</v>
      </c>
      <c r="E89" s="61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186</v>
      </c>
      <c r="B90" s="54" t="s">
        <v>187</v>
      </c>
      <c r="C90" s="31">
        <v>4301011476</v>
      </c>
      <c r="D90" s="609">
        <v>4680115881518</v>
      </c>
      <c r="E90" s="61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09">
        <v>4680115881303</v>
      </c>
      <c r="E91" s="61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91</v>
      </c>
      <c r="Y91" s="606">
        <f>IFERROR(IF(X91="",0,CEILING((X91/$H91),1)*$H91),"")</f>
        <v>94.5</v>
      </c>
      <c r="Z91" s="36">
        <f>IFERROR(IF(Y91=0,"",ROUNDUP(Y91/H91,0)*0.00902),"")</f>
        <v>0.18942000000000001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94.842222222222233</v>
      </c>
      <c r="BN91" s="64">
        <f>IFERROR(Y91*I91/H91,"0")</f>
        <v>98.490000000000009</v>
      </c>
      <c r="BO91" s="64">
        <f>IFERROR(1/J91*(X91/H91),"0")</f>
        <v>0.1531986531986532</v>
      </c>
      <c r="BP91" s="64">
        <f>IFERROR(1/J91*(Y91/H91),"0")</f>
        <v>0.15909090909090909</v>
      </c>
    </row>
    <row r="92" spans="1:68" x14ac:dyDescent="0.2">
      <c r="A92" s="628"/>
      <c r="B92" s="617"/>
      <c r="C92" s="617"/>
      <c r="D92" s="617"/>
      <c r="E92" s="617"/>
      <c r="F92" s="617"/>
      <c r="G92" s="617"/>
      <c r="H92" s="617"/>
      <c r="I92" s="617"/>
      <c r="J92" s="617"/>
      <c r="K92" s="617"/>
      <c r="L92" s="617"/>
      <c r="M92" s="617"/>
      <c r="N92" s="617"/>
      <c r="O92" s="629"/>
      <c r="P92" s="621" t="s">
        <v>72</v>
      </c>
      <c r="Q92" s="622"/>
      <c r="R92" s="622"/>
      <c r="S92" s="622"/>
      <c r="T92" s="622"/>
      <c r="U92" s="622"/>
      <c r="V92" s="623"/>
      <c r="W92" s="37" t="s">
        <v>73</v>
      </c>
      <c r="X92" s="607">
        <f>IFERROR(X88/H88,"0")+IFERROR(X89/H89,"0")+IFERROR(X90/H90,"0")+IFERROR(X91/H91,"0")</f>
        <v>20.222222222222221</v>
      </c>
      <c r="Y92" s="607">
        <f>IFERROR(Y88/H88,"0")+IFERROR(Y89/H89,"0")+IFERROR(Y90/H90,"0")+IFERROR(Y91/H91,"0")</f>
        <v>21</v>
      </c>
      <c r="Z92" s="607">
        <f>IFERROR(IF(Z88="",0,Z88),"0")+IFERROR(IF(Z89="",0,Z89),"0")+IFERROR(IF(Z90="",0,Z90),"0")+IFERROR(IF(Z91="",0,Z91),"0")</f>
        <v>0.18942000000000001</v>
      </c>
      <c r="AA92" s="608"/>
      <c r="AB92" s="608"/>
      <c r="AC92" s="608"/>
    </row>
    <row r="93" spans="1:68" x14ac:dyDescent="0.2">
      <c r="A93" s="617"/>
      <c r="B93" s="617"/>
      <c r="C93" s="617"/>
      <c r="D93" s="617"/>
      <c r="E93" s="617"/>
      <c r="F93" s="617"/>
      <c r="G93" s="617"/>
      <c r="H93" s="617"/>
      <c r="I93" s="617"/>
      <c r="J93" s="617"/>
      <c r="K93" s="617"/>
      <c r="L93" s="617"/>
      <c r="M93" s="617"/>
      <c r="N93" s="617"/>
      <c r="O93" s="629"/>
      <c r="P93" s="621" t="s">
        <v>72</v>
      </c>
      <c r="Q93" s="622"/>
      <c r="R93" s="622"/>
      <c r="S93" s="622"/>
      <c r="T93" s="622"/>
      <c r="U93" s="622"/>
      <c r="V93" s="623"/>
      <c r="W93" s="37" t="s">
        <v>67</v>
      </c>
      <c r="X93" s="607">
        <f>IFERROR(SUM(X88:X91),"0")</f>
        <v>91</v>
      </c>
      <c r="Y93" s="607">
        <f>IFERROR(SUM(Y88:Y91),"0")</f>
        <v>94.5</v>
      </c>
      <c r="Z93" s="37"/>
      <c r="AA93" s="608"/>
      <c r="AB93" s="608"/>
      <c r="AC93" s="608"/>
    </row>
    <row r="94" spans="1:68" ht="14.25" customHeight="1" x14ac:dyDescent="0.25">
      <c r="A94" s="616" t="s">
        <v>74</v>
      </c>
      <c r="B94" s="617"/>
      <c r="C94" s="617"/>
      <c r="D94" s="617"/>
      <c r="E94" s="617"/>
      <c r="F94" s="617"/>
      <c r="G94" s="617"/>
      <c r="H94" s="617"/>
      <c r="I94" s="617"/>
      <c r="J94" s="617"/>
      <c r="K94" s="617"/>
      <c r="L94" s="617"/>
      <c r="M94" s="617"/>
      <c r="N94" s="617"/>
      <c r="O94" s="617"/>
      <c r="P94" s="617"/>
      <c r="Q94" s="617"/>
      <c r="R94" s="617"/>
      <c r="S94" s="617"/>
      <c r="T94" s="617"/>
      <c r="U94" s="617"/>
      <c r="V94" s="617"/>
      <c r="W94" s="617"/>
      <c r="X94" s="617"/>
      <c r="Y94" s="617"/>
      <c r="Z94" s="617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09">
        <v>4607091386967</v>
      </c>
      <c r="E95" s="61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8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19</v>
      </c>
      <c r="Y95" s="606">
        <f>IFERROR(IF(X95="",0,CEILING((X95/$H95),1)*$H95),"")</f>
        <v>24.299999999999997</v>
      </c>
      <c r="Z95" s="36">
        <f>IFERROR(IF(Y95=0,"",ROUNDUP(Y95/H95,0)*0.01898),"")</f>
        <v>5.6940000000000004E-2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20.158765432098768</v>
      </c>
      <c r="BN95" s="64">
        <f>IFERROR(Y95*I95/H95,"0")</f>
        <v>25.781999999999996</v>
      </c>
      <c r="BO95" s="64">
        <f>IFERROR(1/J95*(X95/H95),"0")</f>
        <v>3.6651234567901238E-2</v>
      </c>
      <c r="BP95" s="64">
        <f>IFERROR(1/J95*(Y95/H95),"0")</f>
        <v>4.6875E-2</v>
      </c>
    </row>
    <row r="96" spans="1:68" ht="27" customHeight="1" x14ac:dyDescent="0.25">
      <c r="A96" s="54" t="s">
        <v>193</v>
      </c>
      <c r="B96" s="54" t="s">
        <v>194</v>
      </c>
      <c r="C96" s="31">
        <v>4301051788</v>
      </c>
      <c r="D96" s="609">
        <v>4680115884953</v>
      </c>
      <c r="E96" s="61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09">
        <v>4607091385731</v>
      </c>
      <c r="E97" s="61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97</v>
      </c>
      <c r="Y97" s="606">
        <f>IFERROR(IF(X97="",0,CEILING((X97/$H97),1)*$H97),"")</f>
        <v>97.2</v>
      </c>
      <c r="Z97" s="36">
        <f>IFERROR(IF(Y97=0,"",ROUNDUP(Y97/H97,0)*0.00651),"")</f>
        <v>0.23436000000000001</v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106.05333333333333</v>
      </c>
      <c r="BN97" s="64">
        <f>IFERROR(Y97*I97/H97,"0")</f>
        <v>106.27199999999999</v>
      </c>
      <c r="BO97" s="64">
        <f>IFERROR(1/J97*(X97/H97),"0")</f>
        <v>0.1973951973951974</v>
      </c>
      <c r="BP97" s="64">
        <f>IFERROR(1/J97*(Y97/H97),"0")</f>
        <v>0.19780219780219782</v>
      </c>
    </row>
    <row r="98" spans="1:68" ht="16.5" customHeight="1" x14ac:dyDescent="0.25">
      <c r="A98" s="54" t="s">
        <v>197</v>
      </c>
      <c r="B98" s="54" t="s">
        <v>198</v>
      </c>
      <c r="C98" s="31">
        <v>4301052092</v>
      </c>
      <c r="D98" s="609">
        <v>4680115880894</v>
      </c>
      <c r="E98" s="61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8"/>
      <c r="B99" s="617"/>
      <c r="C99" s="617"/>
      <c r="D99" s="617"/>
      <c r="E99" s="617"/>
      <c r="F99" s="617"/>
      <c r="G99" s="617"/>
      <c r="H99" s="617"/>
      <c r="I99" s="617"/>
      <c r="J99" s="617"/>
      <c r="K99" s="617"/>
      <c r="L99" s="617"/>
      <c r="M99" s="617"/>
      <c r="N99" s="617"/>
      <c r="O99" s="629"/>
      <c r="P99" s="621" t="s">
        <v>72</v>
      </c>
      <c r="Q99" s="622"/>
      <c r="R99" s="622"/>
      <c r="S99" s="622"/>
      <c r="T99" s="622"/>
      <c r="U99" s="622"/>
      <c r="V99" s="623"/>
      <c r="W99" s="37" t="s">
        <v>73</v>
      </c>
      <c r="X99" s="607">
        <f>IFERROR(X95/H95,"0")+IFERROR(X96/H96,"0")+IFERROR(X97/H97,"0")+IFERROR(X98/H98,"0")</f>
        <v>38.271604938271601</v>
      </c>
      <c r="Y99" s="607">
        <f>IFERROR(Y95/H95,"0")+IFERROR(Y96/H96,"0")+IFERROR(Y97/H97,"0")+IFERROR(Y98/H98,"0")</f>
        <v>39</v>
      </c>
      <c r="Z99" s="607">
        <f>IFERROR(IF(Z95="",0,Z95),"0")+IFERROR(IF(Z96="",0,Z96),"0")+IFERROR(IF(Z97="",0,Z97),"0")+IFERROR(IF(Z98="",0,Z98),"0")</f>
        <v>0.2913</v>
      </c>
      <c r="AA99" s="608"/>
      <c r="AB99" s="608"/>
      <c r="AC99" s="608"/>
    </row>
    <row r="100" spans="1:68" x14ac:dyDescent="0.2">
      <c r="A100" s="617"/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29"/>
      <c r="P100" s="621" t="s">
        <v>72</v>
      </c>
      <c r="Q100" s="622"/>
      <c r="R100" s="622"/>
      <c r="S100" s="622"/>
      <c r="T100" s="622"/>
      <c r="U100" s="622"/>
      <c r="V100" s="623"/>
      <c r="W100" s="37" t="s">
        <v>67</v>
      </c>
      <c r="X100" s="607">
        <f>IFERROR(SUM(X95:X98),"0")</f>
        <v>116</v>
      </c>
      <c r="Y100" s="607">
        <f>IFERROR(SUM(Y95:Y98),"0")</f>
        <v>121.5</v>
      </c>
      <c r="Z100" s="37"/>
      <c r="AA100" s="608"/>
      <c r="AB100" s="608"/>
      <c r="AC100" s="608"/>
    </row>
    <row r="101" spans="1:68" ht="16.5" customHeight="1" x14ac:dyDescent="0.25">
      <c r="A101" s="626" t="s">
        <v>200</v>
      </c>
      <c r="B101" s="617"/>
      <c r="C101" s="617"/>
      <c r="D101" s="617"/>
      <c r="E101" s="617"/>
      <c r="F101" s="617"/>
      <c r="G101" s="617"/>
      <c r="H101" s="617"/>
      <c r="I101" s="617"/>
      <c r="J101" s="617"/>
      <c r="K101" s="617"/>
      <c r="L101" s="617"/>
      <c r="M101" s="617"/>
      <c r="N101" s="617"/>
      <c r="O101" s="617"/>
      <c r="P101" s="617"/>
      <c r="Q101" s="617"/>
      <c r="R101" s="617"/>
      <c r="S101" s="617"/>
      <c r="T101" s="617"/>
      <c r="U101" s="617"/>
      <c r="V101" s="617"/>
      <c r="W101" s="617"/>
      <c r="X101" s="617"/>
      <c r="Y101" s="617"/>
      <c r="Z101" s="617"/>
      <c r="AA101" s="600"/>
      <c r="AB101" s="600"/>
      <c r="AC101" s="600"/>
    </row>
    <row r="102" spans="1:68" ht="14.25" customHeight="1" x14ac:dyDescent="0.25">
      <c r="A102" s="616" t="s">
        <v>118</v>
      </c>
      <c r="B102" s="617"/>
      <c r="C102" s="617"/>
      <c r="D102" s="617"/>
      <c r="E102" s="617"/>
      <c r="F102" s="617"/>
      <c r="G102" s="617"/>
      <c r="H102" s="617"/>
      <c r="I102" s="617"/>
      <c r="J102" s="617"/>
      <c r="K102" s="617"/>
      <c r="L102" s="617"/>
      <c r="M102" s="617"/>
      <c r="N102" s="617"/>
      <c r="O102" s="617"/>
      <c r="P102" s="617"/>
      <c r="Q102" s="617"/>
      <c r="R102" s="617"/>
      <c r="S102" s="617"/>
      <c r="T102" s="617"/>
      <c r="U102" s="617"/>
      <c r="V102" s="617"/>
      <c r="W102" s="617"/>
      <c r="X102" s="617"/>
      <c r="Y102" s="617"/>
      <c r="Z102" s="617"/>
      <c r="AA102" s="599"/>
      <c r="AB102" s="599"/>
      <c r="AC102" s="599"/>
    </row>
    <row r="103" spans="1:68" ht="37.5" customHeight="1" x14ac:dyDescent="0.25">
      <c r="A103" s="54" t="s">
        <v>201</v>
      </c>
      <c r="B103" s="54" t="s">
        <v>202</v>
      </c>
      <c r="C103" s="31">
        <v>4301011514</v>
      </c>
      <c r="D103" s="609">
        <v>4680115882133</v>
      </c>
      <c r="E103" s="61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0</v>
      </c>
      <c r="Y103" s="60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204</v>
      </c>
      <c r="B104" s="54" t="s">
        <v>205</v>
      </c>
      <c r="C104" s="31">
        <v>4301012051</v>
      </c>
      <c r="D104" s="609">
        <v>4680115887718</v>
      </c>
      <c r="E104" s="61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204</v>
      </c>
      <c r="B105" s="54" t="s">
        <v>207</v>
      </c>
      <c r="C105" s="31">
        <v>4301012334</v>
      </c>
      <c r="D105" s="609">
        <v>4680115887718</v>
      </c>
      <c r="E105" s="61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8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208</v>
      </c>
      <c r="B106" s="54" t="s">
        <v>209</v>
      </c>
      <c r="C106" s="31">
        <v>4301011417</v>
      </c>
      <c r="D106" s="609">
        <v>4680115880269</v>
      </c>
      <c r="E106" s="610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13</v>
      </c>
      <c r="Y106" s="606">
        <f t="shared" si="5"/>
        <v>15</v>
      </c>
      <c r="Z106" s="36">
        <f>IFERROR(IF(Y106=0,"",ROUNDUP(Y106/H106,0)*0.00902),"")</f>
        <v>3.6080000000000001E-2</v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13.658666666666667</v>
      </c>
      <c r="BN106" s="64">
        <f t="shared" si="7"/>
        <v>15.76</v>
      </c>
      <c r="BO106" s="64">
        <f t="shared" si="8"/>
        <v>2.6262626262626265E-2</v>
      </c>
      <c r="BP106" s="64">
        <f t="shared" si="9"/>
        <v>3.0303030303030304E-2</v>
      </c>
    </row>
    <row r="107" spans="1:68" ht="37.5" customHeight="1" x14ac:dyDescent="0.25">
      <c r="A107" s="54" t="s">
        <v>210</v>
      </c>
      <c r="B107" s="54" t="s">
        <v>211</v>
      </c>
      <c r="C107" s="31">
        <v>4301011415</v>
      </c>
      <c r="D107" s="609">
        <v>4680115880429</v>
      </c>
      <c r="E107" s="610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9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46</v>
      </c>
      <c r="Y107" s="606">
        <f t="shared" si="5"/>
        <v>49.5</v>
      </c>
      <c r="Z107" s="36">
        <f>IFERROR(IF(Y107=0,"",ROUNDUP(Y107/H107,0)*0.00902),"")</f>
        <v>9.9220000000000003E-2</v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47.942222222222227</v>
      </c>
      <c r="BN107" s="64">
        <f t="shared" si="7"/>
        <v>51.59</v>
      </c>
      <c r="BO107" s="64">
        <f t="shared" si="8"/>
        <v>7.7441077441077436E-2</v>
      </c>
      <c r="BP107" s="64">
        <f t="shared" si="9"/>
        <v>8.3333333333333343E-2</v>
      </c>
    </row>
    <row r="108" spans="1:68" ht="37.5" customHeight="1" x14ac:dyDescent="0.25">
      <c r="A108" s="54" t="s">
        <v>212</v>
      </c>
      <c r="B108" s="54" t="s">
        <v>213</v>
      </c>
      <c r="C108" s="31">
        <v>4301011462</v>
      </c>
      <c r="D108" s="609">
        <v>4680115881457</v>
      </c>
      <c r="E108" s="610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8"/>
      <c r="B109" s="617"/>
      <c r="C109" s="617"/>
      <c r="D109" s="617"/>
      <c r="E109" s="617"/>
      <c r="F109" s="617"/>
      <c r="G109" s="617"/>
      <c r="H109" s="617"/>
      <c r="I109" s="617"/>
      <c r="J109" s="617"/>
      <c r="K109" s="617"/>
      <c r="L109" s="617"/>
      <c r="M109" s="617"/>
      <c r="N109" s="617"/>
      <c r="O109" s="629"/>
      <c r="P109" s="621" t="s">
        <v>72</v>
      </c>
      <c r="Q109" s="622"/>
      <c r="R109" s="622"/>
      <c r="S109" s="622"/>
      <c r="T109" s="622"/>
      <c r="U109" s="622"/>
      <c r="V109" s="623"/>
      <c r="W109" s="37" t="s">
        <v>73</v>
      </c>
      <c r="X109" s="607">
        <f>IFERROR(X103/H103,"0")+IFERROR(X104/H104,"0")+IFERROR(X105/H105,"0")+IFERROR(X106/H106,"0")+IFERROR(X107/H107,"0")+IFERROR(X108/H108,"0")</f>
        <v>13.688888888888888</v>
      </c>
      <c r="Y109" s="607">
        <f>IFERROR(Y103/H103,"0")+IFERROR(Y104/H104,"0")+IFERROR(Y105/H105,"0")+IFERROR(Y106/H106,"0")+IFERROR(Y107/H107,"0")+IFERROR(Y108/H108,"0")</f>
        <v>15</v>
      </c>
      <c r="Z109" s="607">
        <f>IFERROR(IF(Z103="",0,Z103),"0")+IFERROR(IF(Z104="",0,Z104),"0")+IFERROR(IF(Z105="",0,Z105),"0")+IFERROR(IF(Z106="",0,Z106),"0")+IFERROR(IF(Z107="",0,Z107),"0")+IFERROR(IF(Z108="",0,Z108),"0")</f>
        <v>0.1353</v>
      </c>
      <c r="AA109" s="608"/>
      <c r="AB109" s="608"/>
      <c r="AC109" s="608"/>
    </row>
    <row r="110" spans="1:68" x14ac:dyDescent="0.2">
      <c r="A110" s="617"/>
      <c r="B110" s="617"/>
      <c r="C110" s="617"/>
      <c r="D110" s="617"/>
      <c r="E110" s="617"/>
      <c r="F110" s="617"/>
      <c r="G110" s="617"/>
      <c r="H110" s="617"/>
      <c r="I110" s="617"/>
      <c r="J110" s="617"/>
      <c r="K110" s="617"/>
      <c r="L110" s="617"/>
      <c r="M110" s="617"/>
      <c r="N110" s="617"/>
      <c r="O110" s="629"/>
      <c r="P110" s="621" t="s">
        <v>72</v>
      </c>
      <c r="Q110" s="622"/>
      <c r="R110" s="622"/>
      <c r="S110" s="622"/>
      <c r="T110" s="622"/>
      <c r="U110" s="622"/>
      <c r="V110" s="623"/>
      <c r="W110" s="37" t="s">
        <v>67</v>
      </c>
      <c r="X110" s="607">
        <f>IFERROR(SUM(X103:X108),"0")</f>
        <v>59</v>
      </c>
      <c r="Y110" s="607">
        <f>IFERROR(SUM(Y103:Y108),"0")</f>
        <v>64.5</v>
      </c>
      <c r="Z110" s="37"/>
      <c r="AA110" s="608"/>
      <c r="AB110" s="608"/>
      <c r="AC110" s="608"/>
    </row>
    <row r="111" spans="1:68" ht="14.25" customHeight="1" x14ac:dyDescent="0.25">
      <c r="A111" s="616" t="s">
        <v>155</v>
      </c>
      <c r="B111" s="617"/>
      <c r="C111" s="617"/>
      <c r="D111" s="617"/>
      <c r="E111" s="617"/>
      <c r="F111" s="617"/>
      <c r="G111" s="617"/>
      <c r="H111" s="617"/>
      <c r="I111" s="617"/>
      <c r="J111" s="617"/>
      <c r="K111" s="617"/>
      <c r="L111" s="617"/>
      <c r="M111" s="617"/>
      <c r="N111" s="617"/>
      <c r="O111" s="617"/>
      <c r="P111" s="617"/>
      <c r="Q111" s="617"/>
      <c r="R111" s="617"/>
      <c r="S111" s="617"/>
      <c r="T111" s="617"/>
      <c r="U111" s="617"/>
      <c r="V111" s="617"/>
      <c r="W111" s="617"/>
      <c r="X111" s="617"/>
      <c r="Y111" s="617"/>
      <c r="Z111" s="617"/>
      <c r="AA111" s="599"/>
      <c r="AB111" s="599"/>
      <c r="AC111" s="599"/>
    </row>
    <row r="112" spans="1:68" ht="16.5" customHeight="1" x14ac:dyDescent="0.25">
      <c r="A112" s="54" t="s">
        <v>214</v>
      </c>
      <c r="B112" s="54" t="s">
        <v>215</v>
      </c>
      <c r="C112" s="31">
        <v>4301020345</v>
      </c>
      <c r="D112" s="609">
        <v>4680115881488</v>
      </c>
      <c r="E112" s="610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2"/>
      <c r="R112" s="612"/>
      <c r="S112" s="612"/>
      <c r="T112" s="613"/>
      <c r="U112" s="34"/>
      <c r="V112" s="34"/>
      <c r="W112" s="35" t="s">
        <v>67</v>
      </c>
      <c r="X112" s="605">
        <v>0</v>
      </c>
      <c r="Y112" s="606">
        <f t="shared" ref="Y112:Y118" si="10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0</v>
      </c>
      <c r="BN112" s="64">
        <f t="shared" ref="BN112:BN118" si="12">IFERROR(Y112*I112/H112,"0")</f>
        <v>0</v>
      </c>
      <c r="BO112" s="64">
        <f t="shared" ref="BO112:BO118" si="13">IFERROR(1/J112*(X112/H112),"0")</f>
        <v>0</v>
      </c>
      <c r="BP112" s="64">
        <f t="shared" ref="BP112:BP118" si="14">IFERROR(1/J112*(Y112/H112),"0")</f>
        <v>0</v>
      </c>
    </row>
    <row r="113" spans="1:68" ht="27" customHeight="1" x14ac:dyDescent="0.25">
      <c r="A113" s="54" t="s">
        <v>214</v>
      </c>
      <c r="B113" s="54" t="s">
        <v>217</v>
      </c>
      <c r="C113" s="31">
        <v>4301020391</v>
      </c>
      <c r="D113" s="609">
        <v>4680115881488</v>
      </c>
      <c r="E113" s="61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7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customHeight="1" x14ac:dyDescent="0.25">
      <c r="A114" s="54" t="s">
        <v>219</v>
      </c>
      <c r="B114" s="54" t="s">
        <v>220</v>
      </c>
      <c r="C114" s="31">
        <v>4301020186</v>
      </c>
      <c r="D114" s="609">
        <v>4680115887664</v>
      </c>
      <c r="E114" s="610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customHeight="1" x14ac:dyDescent="0.25">
      <c r="A115" s="54" t="s">
        <v>219</v>
      </c>
      <c r="B115" s="54" t="s">
        <v>223</v>
      </c>
      <c r="C115" s="31">
        <v>4301020430</v>
      </c>
      <c r="D115" s="609">
        <v>4680115887664</v>
      </c>
      <c r="E115" s="610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customHeight="1" x14ac:dyDescent="0.25">
      <c r="A116" s="54" t="s">
        <v>224</v>
      </c>
      <c r="B116" s="54" t="s">
        <v>225</v>
      </c>
      <c r="C116" s="31">
        <v>4301020393</v>
      </c>
      <c r="D116" s="609">
        <v>4680115882775</v>
      </c>
      <c r="E116" s="610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customHeight="1" x14ac:dyDescent="0.25">
      <c r="A117" s="54" t="s">
        <v>226</v>
      </c>
      <c r="B117" s="54" t="s">
        <v>227</v>
      </c>
      <c r="C117" s="31">
        <v>4301020344</v>
      </c>
      <c r="D117" s="609">
        <v>4680115880658</v>
      </c>
      <c r="E117" s="610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3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10</v>
      </c>
      <c r="Y117" s="606">
        <f t="shared" si="10"/>
        <v>12</v>
      </c>
      <c r="Z117" s="36">
        <f>IFERROR(IF(Y117=0,"",ROUNDUP(Y117/H117,0)*0.00651),"")</f>
        <v>3.2550000000000003E-2</v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10.75</v>
      </c>
      <c r="BN117" s="64">
        <f t="shared" si="12"/>
        <v>12.9</v>
      </c>
      <c r="BO117" s="64">
        <f t="shared" si="13"/>
        <v>2.2893772893772896E-2</v>
      </c>
      <c r="BP117" s="64">
        <f t="shared" si="14"/>
        <v>2.7472527472527476E-2</v>
      </c>
    </row>
    <row r="118" spans="1:68" ht="27" customHeight="1" x14ac:dyDescent="0.25">
      <c r="A118" s="54" t="s">
        <v>226</v>
      </c>
      <c r="B118" s="54" t="s">
        <v>228</v>
      </c>
      <c r="C118" s="31">
        <v>4301020392</v>
      </c>
      <c r="D118" s="609">
        <v>4680115880658</v>
      </c>
      <c r="E118" s="61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3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x14ac:dyDescent="0.2">
      <c r="A119" s="628"/>
      <c r="B119" s="617"/>
      <c r="C119" s="617"/>
      <c r="D119" s="617"/>
      <c r="E119" s="617"/>
      <c r="F119" s="617"/>
      <c r="G119" s="617"/>
      <c r="H119" s="617"/>
      <c r="I119" s="617"/>
      <c r="J119" s="617"/>
      <c r="K119" s="617"/>
      <c r="L119" s="617"/>
      <c r="M119" s="617"/>
      <c r="N119" s="617"/>
      <c r="O119" s="629"/>
      <c r="P119" s="621" t="s">
        <v>72</v>
      </c>
      <c r="Q119" s="622"/>
      <c r="R119" s="622"/>
      <c r="S119" s="622"/>
      <c r="T119" s="622"/>
      <c r="U119" s="622"/>
      <c r="V119" s="623"/>
      <c r="W119" s="37" t="s">
        <v>73</v>
      </c>
      <c r="X119" s="607">
        <f>IFERROR(X112/H112,"0")+IFERROR(X113/H113,"0")+IFERROR(X114/H114,"0")+IFERROR(X115/H115,"0")+IFERROR(X116/H116,"0")+IFERROR(X117/H117,"0")+IFERROR(X118/H118,"0")</f>
        <v>4.166666666666667</v>
      </c>
      <c r="Y119" s="607">
        <f>IFERROR(Y112/H112,"0")+IFERROR(Y113/H113,"0")+IFERROR(Y114/H114,"0")+IFERROR(Y115/H115,"0")+IFERROR(Y116/H116,"0")+IFERROR(Y117/H117,"0")+IFERROR(Y118/H118,"0")</f>
        <v>5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3.2550000000000003E-2</v>
      </c>
      <c r="AA119" s="608"/>
      <c r="AB119" s="608"/>
      <c r="AC119" s="608"/>
    </row>
    <row r="120" spans="1:68" x14ac:dyDescent="0.2">
      <c r="A120" s="617"/>
      <c r="B120" s="617"/>
      <c r="C120" s="617"/>
      <c r="D120" s="617"/>
      <c r="E120" s="617"/>
      <c r="F120" s="617"/>
      <c r="G120" s="617"/>
      <c r="H120" s="617"/>
      <c r="I120" s="617"/>
      <c r="J120" s="617"/>
      <c r="K120" s="617"/>
      <c r="L120" s="617"/>
      <c r="M120" s="617"/>
      <c r="N120" s="617"/>
      <c r="O120" s="629"/>
      <c r="P120" s="621" t="s">
        <v>72</v>
      </c>
      <c r="Q120" s="622"/>
      <c r="R120" s="622"/>
      <c r="S120" s="622"/>
      <c r="T120" s="622"/>
      <c r="U120" s="622"/>
      <c r="V120" s="623"/>
      <c r="W120" s="37" t="s">
        <v>67</v>
      </c>
      <c r="X120" s="607">
        <f>IFERROR(SUM(X112:X118),"0")</f>
        <v>10</v>
      </c>
      <c r="Y120" s="607">
        <f>IFERROR(SUM(Y112:Y118),"0")</f>
        <v>12</v>
      </c>
      <c r="Z120" s="37"/>
      <c r="AA120" s="608"/>
      <c r="AB120" s="608"/>
      <c r="AC120" s="608"/>
    </row>
    <row r="121" spans="1:68" ht="14.25" customHeight="1" x14ac:dyDescent="0.25">
      <c r="A121" s="616" t="s">
        <v>74</v>
      </c>
      <c r="B121" s="617"/>
      <c r="C121" s="617"/>
      <c r="D121" s="617"/>
      <c r="E121" s="617"/>
      <c r="F121" s="617"/>
      <c r="G121" s="617"/>
      <c r="H121" s="617"/>
      <c r="I121" s="617"/>
      <c r="J121" s="617"/>
      <c r="K121" s="617"/>
      <c r="L121" s="617"/>
      <c r="M121" s="617"/>
      <c r="N121" s="617"/>
      <c r="O121" s="617"/>
      <c r="P121" s="617"/>
      <c r="Q121" s="617"/>
      <c r="R121" s="617"/>
      <c r="S121" s="617"/>
      <c r="T121" s="617"/>
      <c r="U121" s="617"/>
      <c r="V121" s="617"/>
      <c r="W121" s="617"/>
      <c r="X121" s="617"/>
      <c r="Y121" s="617"/>
      <c r="Z121" s="617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09">
        <v>4607091385168</v>
      </c>
      <c r="E122" s="610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2"/>
      <c r="R122" s="612"/>
      <c r="S122" s="612"/>
      <c r="T122" s="613"/>
      <c r="U122" s="34"/>
      <c r="V122" s="34"/>
      <c r="W122" s="35" t="s">
        <v>67</v>
      </c>
      <c r="X122" s="605">
        <v>80</v>
      </c>
      <c r="Y122" s="606">
        <f>IFERROR(IF(X122="",0,CEILING((X122/$H122),1)*$H122),"")</f>
        <v>81</v>
      </c>
      <c r="Z122" s="36">
        <f>IFERROR(IF(Y122=0,"",ROUNDUP(Y122/H122,0)*0.01898),"")</f>
        <v>0.1898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84.819753086419752</v>
      </c>
      <c r="BN122" s="64">
        <f>IFERROR(Y122*I122/H122,"0")</f>
        <v>85.88</v>
      </c>
      <c r="BO122" s="64">
        <f>IFERROR(1/J122*(X122/H122),"0")</f>
        <v>0.15432098765432101</v>
      </c>
      <c r="BP122" s="64">
        <f>IFERROR(1/J122*(Y122/H122),"0")</f>
        <v>0.15625</v>
      </c>
    </row>
    <row r="123" spans="1:68" ht="27" customHeight="1" x14ac:dyDescent="0.25">
      <c r="A123" s="54" t="s">
        <v>232</v>
      </c>
      <c r="B123" s="54" t="s">
        <v>233</v>
      </c>
      <c r="C123" s="31">
        <v>4301051730</v>
      </c>
      <c r="D123" s="609">
        <v>4607091383256</v>
      </c>
      <c r="E123" s="610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2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09">
        <v>4607091385748</v>
      </c>
      <c r="E124" s="610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379</v>
      </c>
      <c r="Y124" s="606">
        <f>IFERROR(IF(X124="",0,CEILING((X124/$H124),1)*$H124),"")</f>
        <v>380.70000000000005</v>
      </c>
      <c r="Z124" s="36">
        <f>IFERROR(IF(Y124=0,"",ROUNDUP(Y124/H124,0)*0.00651),"")</f>
        <v>0.91791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414.37333333333328</v>
      </c>
      <c r="BN124" s="64">
        <f>IFERROR(Y124*I124/H124,"0")</f>
        <v>416.23200000000003</v>
      </c>
      <c r="BO124" s="64">
        <f>IFERROR(1/J124*(X124/H124),"0")</f>
        <v>0.77126577126577123</v>
      </c>
      <c r="BP124" s="64">
        <f>IFERROR(1/J124*(Y124/H124),"0")</f>
        <v>0.77472527472527475</v>
      </c>
    </row>
    <row r="125" spans="1:68" ht="16.5" customHeight="1" x14ac:dyDescent="0.25">
      <c r="A125" s="54" t="s">
        <v>236</v>
      </c>
      <c r="B125" s="54" t="s">
        <v>237</v>
      </c>
      <c r="C125" s="31">
        <v>4301051740</v>
      </c>
      <c r="D125" s="609">
        <v>4680115884533</v>
      </c>
      <c r="E125" s="610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6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28"/>
      <c r="B126" s="617"/>
      <c r="C126" s="617"/>
      <c r="D126" s="617"/>
      <c r="E126" s="617"/>
      <c r="F126" s="617"/>
      <c r="G126" s="617"/>
      <c r="H126" s="617"/>
      <c r="I126" s="617"/>
      <c r="J126" s="617"/>
      <c r="K126" s="617"/>
      <c r="L126" s="617"/>
      <c r="M126" s="617"/>
      <c r="N126" s="617"/>
      <c r="O126" s="629"/>
      <c r="P126" s="621" t="s">
        <v>72</v>
      </c>
      <c r="Q126" s="622"/>
      <c r="R126" s="622"/>
      <c r="S126" s="622"/>
      <c r="T126" s="622"/>
      <c r="U126" s="622"/>
      <c r="V126" s="623"/>
      <c r="W126" s="37" t="s">
        <v>73</v>
      </c>
      <c r="X126" s="607">
        <f>IFERROR(X122/H122,"0")+IFERROR(X123/H123,"0")+IFERROR(X124/H124,"0")+IFERROR(X125/H125,"0")</f>
        <v>150.24691358024688</v>
      </c>
      <c r="Y126" s="607">
        <f>IFERROR(Y122/H122,"0")+IFERROR(Y123/H123,"0")+IFERROR(Y124/H124,"0")+IFERROR(Y125/H125,"0")</f>
        <v>151</v>
      </c>
      <c r="Z126" s="607">
        <f>IFERROR(IF(Z122="",0,Z122),"0")+IFERROR(IF(Z123="",0,Z123),"0")+IFERROR(IF(Z124="",0,Z124),"0")+IFERROR(IF(Z125="",0,Z125),"0")</f>
        <v>1.10771</v>
      </c>
      <c r="AA126" s="608"/>
      <c r="AB126" s="608"/>
      <c r="AC126" s="608"/>
    </row>
    <row r="127" spans="1:68" x14ac:dyDescent="0.2">
      <c r="A127" s="617"/>
      <c r="B127" s="617"/>
      <c r="C127" s="617"/>
      <c r="D127" s="617"/>
      <c r="E127" s="617"/>
      <c r="F127" s="617"/>
      <c r="G127" s="617"/>
      <c r="H127" s="617"/>
      <c r="I127" s="617"/>
      <c r="J127" s="617"/>
      <c r="K127" s="617"/>
      <c r="L127" s="617"/>
      <c r="M127" s="617"/>
      <c r="N127" s="617"/>
      <c r="O127" s="629"/>
      <c r="P127" s="621" t="s">
        <v>72</v>
      </c>
      <c r="Q127" s="622"/>
      <c r="R127" s="622"/>
      <c r="S127" s="622"/>
      <c r="T127" s="622"/>
      <c r="U127" s="622"/>
      <c r="V127" s="623"/>
      <c r="W127" s="37" t="s">
        <v>67</v>
      </c>
      <c r="X127" s="607">
        <f>IFERROR(SUM(X122:X125),"0")</f>
        <v>459</v>
      </c>
      <c r="Y127" s="607">
        <f>IFERROR(SUM(Y122:Y125),"0")</f>
        <v>461.70000000000005</v>
      </c>
      <c r="Z127" s="37"/>
      <c r="AA127" s="608"/>
      <c r="AB127" s="608"/>
      <c r="AC127" s="608"/>
    </row>
    <row r="128" spans="1:68" ht="14.25" customHeight="1" x14ac:dyDescent="0.25">
      <c r="A128" s="616" t="s">
        <v>172</v>
      </c>
      <c r="B128" s="617"/>
      <c r="C128" s="617"/>
      <c r="D128" s="617"/>
      <c r="E128" s="617"/>
      <c r="F128" s="617"/>
      <c r="G128" s="617"/>
      <c r="H128" s="617"/>
      <c r="I128" s="617"/>
      <c r="J128" s="617"/>
      <c r="K128" s="617"/>
      <c r="L128" s="617"/>
      <c r="M128" s="617"/>
      <c r="N128" s="617"/>
      <c r="O128" s="617"/>
      <c r="P128" s="617"/>
      <c r="Q128" s="617"/>
      <c r="R128" s="617"/>
      <c r="S128" s="617"/>
      <c r="T128" s="617"/>
      <c r="U128" s="617"/>
      <c r="V128" s="617"/>
      <c r="W128" s="617"/>
      <c r="X128" s="617"/>
      <c r="Y128" s="617"/>
      <c r="Z128" s="617"/>
      <c r="AA128" s="599"/>
      <c r="AB128" s="599"/>
      <c r="AC128" s="599"/>
    </row>
    <row r="129" spans="1:68" ht="16.5" customHeight="1" x14ac:dyDescent="0.25">
      <c r="A129" s="54" t="s">
        <v>239</v>
      </c>
      <c r="B129" s="54" t="s">
        <v>240</v>
      </c>
      <c r="C129" s="31">
        <v>4301060317</v>
      </c>
      <c r="D129" s="609">
        <v>4680115880238</v>
      </c>
      <c r="E129" s="610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1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2"/>
      <c r="R129" s="612"/>
      <c r="S129" s="612"/>
      <c r="T129" s="613"/>
      <c r="U129" s="34"/>
      <c r="V129" s="34"/>
      <c r="W129" s="35" t="s">
        <v>67</v>
      </c>
      <c r="X129" s="605">
        <v>26</v>
      </c>
      <c r="Y129" s="606">
        <f>IFERROR(IF(X129="",0,CEILING((X129/$H129),1)*$H129),"")</f>
        <v>27.72</v>
      </c>
      <c r="Z129" s="36">
        <f>IFERROR(IF(Y129=0,"",ROUNDUP(Y129/H129,0)*0.00651),"")</f>
        <v>9.1139999999999999E-2</v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29.38787878787879</v>
      </c>
      <c r="BN129" s="64">
        <f>IFERROR(Y129*I129/H129,"0")</f>
        <v>31.332000000000001</v>
      </c>
      <c r="BO129" s="64">
        <f>IFERROR(1/J129*(X129/H129),"0")</f>
        <v>7.2150072150072159E-2</v>
      </c>
      <c r="BP129" s="64">
        <f>IFERROR(1/J129*(Y129/H129),"0")</f>
        <v>7.6923076923076927E-2</v>
      </c>
    </row>
    <row r="130" spans="1:68" x14ac:dyDescent="0.2">
      <c r="A130" s="628"/>
      <c r="B130" s="617"/>
      <c r="C130" s="617"/>
      <c r="D130" s="617"/>
      <c r="E130" s="617"/>
      <c r="F130" s="617"/>
      <c r="G130" s="617"/>
      <c r="H130" s="617"/>
      <c r="I130" s="617"/>
      <c r="J130" s="617"/>
      <c r="K130" s="617"/>
      <c r="L130" s="617"/>
      <c r="M130" s="617"/>
      <c r="N130" s="617"/>
      <c r="O130" s="629"/>
      <c r="P130" s="621" t="s">
        <v>72</v>
      </c>
      <c r="Q130" s="622"/>
      <c r="R130" s="622"/>
      <c r="S130" s="622"/>
      <c r="T130" s="622"/>
      <c r="U130" s="622"/>
      <c r="V130" s="623"/>
      <c r="W130" s="37" t="s">
        <v>73</v>
      </c>
      <c r="X130" s="607">
        <f>IFERROR(X129/H129,"0")</f>
        <v>13.131313131313131</v>
      </c>
      <c r="Y130" s="607">
        <f>IFERROR(Y129/H129,"0")</f>
        <v>14</v>
      </c>
      <c r="Z130" s="607">
        <f>IFERROR(IF(Z129="",0,Z129),"0")</f>
        <v>9.1139999999999999E-2</v>
      </c>
      <c r="AA130" s="608"/>
      <c r="AB130" s="608"/>
      <c r="AC130" s="608"/>
    </row>
    <row r="131" spans="1:68" x14ac:dyDescent="0.2">
      <c r="A131" s="617"/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29"/>
      <c r="P131" s="621" t="s">
        <v>72</v>
      </c>
      <c r="Q131" s="622"/>
      <c r="R131" s="622"/>
      <c r="S131" s="622"/>
      <c r="T131" s="622"/>
      <c r="U131" s="622"/>
      <c r="V131" s="623"/>
      <c r="W131" s="37" t="s">
        <v>67</v>
      </c>
      <c r="X131" s="607">
        <f>IFERROR(SUM(X129:X129),"0")</f>
        <v>26</v>
      </c>
      <c r="Y131" s="607">
        <f>IFERROR(SUM(Y129:Y129),"0")</f>
        <v>27.72</v>
      </c>
      <c r="Z131" s="37"/>
      <c r="AA131" s="608"/>
      <c r="AB131" s="608"/>
      <c r="AC131" s="608"/>
    </row>
    <row r="132" spans="1:68" ht="16.5" customHeight="1" x14ac:dyDescent="0.25">
      <c r="A132" s="626" t="s">
        <v>242</v>
      </c>
      <c r="B132" s="617"/>
      <c r="C132" s="617"/>
      <c r="D132" s="617"/>
      <c r="E132" s="617"/>
      <c r="F132" s="617"/>
      <c r="G132" s="617"/>
      <c r="H132" s="617"/>
      <c r="I132" s="617"/>
      <c r="J132" s="617"/>
      <c r="K132" s="617"/>
      <c r="L132" s="617"/>
      <c r="M132" s="617"/>
      <c r="N132" s="617"/>
      <c r="O132" s="617"/>
      <c r="P132" s="617"/>
      <c r="Q132" s="617"/>
      <c r="R132" s="617"/>
      <c r="S132" s="617"/>
      <c r="T132" s="617"/>
      <c r="U132" s="617"/>
      <c r="V132" s="617"/>
      <c r="W132" s="617"/>
      <c r="X132" s="617"/>
      <c r="Y132" s="617"/>
      <c r="Z132" s="617"/>
      <c r="AA132" s="600"/>
      <c r="AB132" s="600"/>
      <c r="AC132" s="600"/>
    </row>
    <row r="133" spans="1:68" ht="14.25" customHeight="1" x14ac:dyDescent="0.25">
      <c r="A133" s="616" t="s">
        <v>118</v>
      </c>
      <c r="B133" s="617"/>
      <c r="C133" s="617"/>
      <c r="D133" s="617"/>
      <c r="E133" s="617"/>
      <c r="F133" s="617"/>
      <c r="G133" s="617"/>
      <c r="H133" s="617"/>
      <c r="I133" s="617"/>
      <c r="J133" s="617"/>
      <c r="K133" s="617"/>
      <c r="L133" s="617"/>
      <c r="M133" s="617"/>
      <c r="N133" s="617"/>
      <c r="O133" s="617"/>
      <c r="P133" s="617"/>
      <c r="Q133" s="617"/>
      <c r="R133" s="617"/>
      <c r="S133" s="617"/>
      <c r="T133" s="617"/>
      <c r="U133" s="617"/>
      <c r="V133" s="617"/>
      <c r="W133" s="617"/>
      <c r="X133" s="617"/>
      <c r="Y133" s="617"/>
      <c r="Z133" s="617"/>
      <c r="AA133" s="599"/>
      <c r="AB133" s="599"/>
      <c r="AC133" s="599"/>
    </row>
    <row r="134" spans="1:68" ht="27" customHeight="1" x14ac:dyDescent="0.25">
      <c r="A134" s="54" t="s">
        <v>243</v>
      </c>
      <c r="B134" s="54" t="s">
        <v>244</v>
      </c>
      <c r="C134" s="31">
        <v>4301011562</v>
      </c>
      <c r="D134" s="609">
        <v>4680115882577</v>
      </c>
      <c r="E134" s="610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2"/>
      <c r="R134" s="612"/>
      <c r="S134" s="612"/>
      <c r="T134" s="613"/>
      <c r="U134" s="34"/>
      <c r="V134" s="34"/>
      <c r="W134" s="35" t="s">
        <v>67</v>
      </c>
      <c r="X134" s="605">
        <v>49</v>
      </c>
      <c r="Y134" s="606">
        <f>IFERROR(IF(X134="",0,CEILING((X134/$H134),1)*$H134),"")</f>
        <v>51.2</v>
      </c>
      <c r="Z134" s="36">
        <f>IFERROR(IF(Y134=0,"",ROUNDUP(Y134/H134,0)*0.00651),"")</f>
        <v>0.10416</v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51.756250000000001</v>
      </c>
      <c r="BN134" s="64">
        <f>IFERROR(Y134*I134/H134,"0")</f>
        <v>54.08</v>
      </c>
      <c r="BO134" s="64">
        <f>IFERROR(1/J134*(X134/H134),"0")</f>
        <v>8.4134615384615391E-2</v>
      </c>
      <c r="BP134" s="64">
        <f>IFERROR(1/J134*(Y134/H134),"0")</f>
        <v>8.7912087912087919E-2</v>
      </c>
    </row>
    <row r="135" spans="1:68" ht="27" customHeight="1" x14ac:dyDescent="0.25">
      <c r="A135" s="54" t="s">
        <v>243</v>
      </c>
      <c r="B135" s="54" t="s">
        <v>246</v>
      </c>
      <c r="C135" s="31">
        <v>4301011564</v>
      </c>
      <c r="D135" s="609">
        <v>4680115882577</v>
      </c>
      <c r="E135" s="61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0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28"/>
      <c r="B136" s="617"/>
      <c r="C136" s="617"/>
      <c r="D136" s="617"/>
      <c r="E136" s="617"/>
      <c r="F136" s="617"/>
      <c r="G136" s="617"/>
      <c r="H136" s="617"/>
      <c r="I136" s="617"/>
      <c r="J136" s="617"/>
      <c r="K136" s="617"/>
      <c r="L136" s="617"/>
      <c r="M136" s="617"/>
      <c r="N136" s="617"/>
      <c r="O136" s="629"/>
      <c r="P136" s="621" t="s">
        <v>72</v>
      </c>
      <c r="Q136" s="622"/>
      <c r="R136" s="622"/>
      <c r="S136" s="622"/>
      <c r="T136" s="622"/>
      <c r="U136" s="622"/>
      <c r="V136" s="623"/>
      <c r="W136" s="37" t="s">
        <v>73</v>
      </c>
      <c r="X136" s="607">
        <f>IFERROR(X134/H134,"0")+IFERROR(X135/H135,"0")</f>
        <v>15.3125</v>
      </c>
      <c r="Y136" s="607">
        <f>IFERROR(Y134/H134,"0")+IFERROR(Y135/H135,"0")</f>
        <v>16</v>
      </c>
      <c r="Z136" s="607">
        <f>IFERROR(IF(Z134="",0,Z134),"0")+IFERROR(IF(Z135="",0,Z135),"0")</f>
        <v>0.10416</v>
      </c>
      <c r="AA136" s="608"/>
      <c r="AB136" s="608"/>
      <c r="AC136" s="608"/>
    </row>
    <row r="137" spans="1:68" x14ac:dyDescent="0.2">
      <c r="A137" s="617"/>
      <c r="B137" s="617"/>
      <c r="C137" s="617"/>
      <c r="D137" s="617"/>
      <c r="E137" s="617"/>
      <c r="F137" s="617"/>
      <c r="G137" s="617"/>
      <c r="H137" s="617"/>
      <c r="I137" s="617"/>
      <c r="J137" s="617"/>
      <c r="K137" s="617"/>
      <c r="L137" s="617"/>
      <c r="M137" s="617"/>
      <c r="N137" s="617"/>
      <c r="O137" s="629"/>
      <c r="P137" s="621" t="s">
        <v>72</v>
      </c>
      <c r="Q137" s="622"/>
      <c r="R137" s="622"/>
      <c r="S137" s="622"/>
      <c r="T137" s="622"/>
      <c r="U137" s="622"/>
      <c r="V137" s="623"/>
      <c r="W137" s="37" t="s">
        <v>67</v>
      </c>
      <c r="X137" s="607">
        <f>IFERROR(SUM(X134:X135),"0")</f>
        <v>49</v>
      </c>
      <c r="Y137" s="607">
        <f>IFERROR(SUM(Y134:Y135),"0")</f>
        <v>51.2</v>
      </c>
      <c r="Z137" s="37"/>
      <c r="AA137" s="608"/>
      <c r="AB137" s="608"/>
      <c r="AC137" s="608"/>
    </row>
    <row r="138" spans="1:68" ht="14.25" customHeight="1" x14ac:dyDescent="0.25">
      <c r="A138" s="616" t="s">
        <v>62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599"/>
      <c r="AB138" s="599"/>
      <c r="AC138" s="599"/>
    </row>
    <row r="139" spans="1:68" ht="27" customHeight="1" x14ac:dyDescent="0.25">
      <c r="A139" s="54" t="s">
        <v>247</v>
      </c>
      <c r="B139" s="54" t="s">
        <v>248</v>
      </c>
      <c r="C139" s="31">
        <v>4301031234</v>
      </c>
      <c r="D139" s="609">
        <v>4680115883444</v>
      </c>
      <c r="E139" s="610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2"/>
      <c r="R139" s="612"/>
      <c r="S139" s="612"/>
      <c r="T139" s="613"/>
      <c r="U139" s="34"/>
      <c r="V139" s="34"/>
      <c r="W139" s="35" t="s">
        <v>67</v>
      </c>
      <c r="X139" s="605">
        <v>54</v>
      </c>
      <c r="Y139" s="606">
        <f>IFERROR(IF(X139="",0,CEILING((X139/$H139),1)*$H139),"")</f>
        <v>56</v>
      </c>
      <c r="Z139" s="36">
        <f>IFERROR(IF(Y139=0,"",ROUNDUP(Y139/H139,0)*0.00651),"")</f>
        <v>0.13020000000000001</v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59.168571428571433</v>
      </c>
      <c r="BN139" s="64">
        <f>IFERROR(Y139*I139/H139,"0")</f>
        <v>61.36</v>
      </c>
      <c r="BO139" s="64">
        <f>IFERROR(1/J139*(X139/H139),"0")</f>
        <v>0.10596546310832028</v>
      </c>
      <c r="BP139" s="64">
        <f>IFERROR(1/J139*(Y139/H139),"0")</f>
        <v>0.1098901098901099</v>
      </c>
    </row>
    <row r="140" spans="1:68" ht="27" customHeight="1" x14ac:dyDescent="0.25">
      <c r="A140" s="54" t="s">
        <v>247</v>
      </c>
      <c r="B140" s="54" t="s">
        <v>250</v>
      </c>
      <c r="C140" s="31">
        <v>4301031235</v>
      </c>
      <c r="D140" s="609">
        <v>4680115883444</v>
      </c>
      <c r="E140" s="61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28"/>
      <c r="B141" s="617"/>
      <c r="C141" s="617"/>
      <c r="D141" s="617"/>
      <c r="E141" s="617"/>
      <c r="F141" s="617"/>
      <c r="G141" s="617"/>
      <c r="H141" s="617"/>
      <c r="I141" s="617"/>
      <c r="J141" s="617"/>
      <c r="K141" s="617"/>
      <c r="L141" s="617"/>
      <c r="M141" s="617"/>
      <c r="N141" s="617"/>
      <c r="O141" s="629"/>
      <c r="P141" s="621" t="s">
        <v>72</v>
      </c>
      <c r="Q141" s="622"/>
      <c r="R141" s="622"/>
      <c r="S141" s="622"/>
      <c r="T141" s="622"/>
      <c r="U141" s="622"/>
      <c r="V141" s="623"/>
      <c r="W141" s="37" t="s">
        <v>73</v>
      </c>
      <c r="X141" s="607">
        <f>IFERROR(X139/H139,"0")+IFERROR(X140/H140,"0")</f>
        <v>19.285714285714288</v>
      </c>
      <c r="Y141" s="607">
        <f>IFERROR(Y139/H139,"0")+IFERROR(Y140/H140,"0")</f>
        <v>20</v>
      </c>
      <c r="Z141" s="607">
        <f>IFERROR(IF(Z139="",0,Z139),"0")+IFERROR(IF(Z140="",0,Z140),"0")</f>
        <v>0.13020000000000001</v>
      </c>
      <c r="AA141" s="608"/>
      <c r="AB141" s="608"/>
      <c r="AC141" s="608"/>
    </row>
    <row r="142" spans="1:68" x14ac:dyDescent="0.2">
      <c r="A142" s="617"/>
      <c r="B142" s="617"/>
      <c r="C142" s="617"/>
      <c r="D142" s="617"/>
      <c r="E142" s="617"/>
      <c r="F142" s="617"/>
      <c r="G142" s="617"/>
      <c r="H142" s="617"/>
      <c r="I142" s="617"/>
      <c r="J142" s="617"/>
      <c r="K142" s="617"/>
      <c r="L142" s="617"/>
      <c r="M142" s="617"/>
      <c r="N142" s="617"/>
      <c r="O142" s="629"/>
      <c r="P142" s="621" t="s">
        <v>72</v>
      </c>
      <c r="Q142" s="622"/>
      <c r="R142" s="622"/>
      <c r="S142" s="622"/>
      <c r="T142" s="622"/>
      <c r="U142" s="622"/>
      <c r="V142" s="623"/>
      <c r="W142" s="37" t="s">
        <v>67</v>
      </c>
      <c r="X142" s="607">
        <f>IFERROR(SUM(X139:X140),"0")</f>
        <v>54</v>
      </c>
      <c r="Y142" s="607">
        <f>IFERROR(SUM(Y139:Y140),"0")</f>
        <v>56</v>
      </c>
      <c r="Z142" s="37"/>
      <c r="AA142" s="608"/>
      <c r="AB142" s="608"/>
      <c r="AC142" s="608"/>
    </row>
    <row r="143" spans="1:68" ht="14.25" customHeight="1" x14ac:dyDescent="0.25">
      <c r="A143" s="616" t="s">
        <v>74</v>
      </c>
      <c r="B143" s="617"/>
      <c r="C143" s="617"/>
      <c r="D143" s="617"/>
      <c r="E143" s="617"/>
      <c r="F143" s="617"/>
      <c r="G143" s="617"/>
      <c r="H143" s="617"/>
      <c r="I143" s="617"/>
      <c r="J143" s="617"/>
      <c r="K143" s="617"/>
      <c r="L143" s="617"/>
      <c r="M143" s="617"/>
      <c r="N143" s="617"/>
      <c r="O143" s="617"/>
      <c r="P143" s="617"/>
      <c r="Q143" s="617"/>
      <c r="R143" s="617"/>
      <c r="S143" s="617"/>
      <c r="T143" s="617"/>
      <c r="U143" s="617"/>
      <c r="V143" s="617"/>
      <c r="W143" s="617"/>
      <c r="X143" s="617"/>
      <c r="Y143" s="617"/>
      <c r="Z143" s="617"/>
      <c r="AA143" s="599"/>
      <c r="AB143" s="599"/>
      <c r="AC143" s="599"/>
    </row>
    <row r="144" spans="1:68" ht="16.5" customHeight="1" x14ac:dyDescent="0.25">
      <c r="A144" s="54" t="s">
        <v>251</v>
      </c>
      <c r="B144" s="54" t="s">
        <v>252</v>
      </c>
      <c r="C144" s="31">
        <v>4301051476</v>
      </c>
      <c r="D144" s="609">
        <v>4680115882584</v>
      </c>
      <c r="E144" s="610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2"/>
      <c r="R144" s="612"/>
      <c r="S144" s="612"/>
      <c r="T144" s="613"/>
      <c r="U144" s="34"/>
      <c r="V144" s="34"/>
      <c r="W144" s="35" t="s">
        <v>67</v>
      </c>
      <c r="X144" s="605">
        <v>21</v>
      </c>
      <c r="Y144" s="606">
        <f>IFERROR(IF(X144="",0,CEILING((X144/$H144),1)*$H144),"")</f>
        <v>21.12</v>
      </c>
      <c r="Z144" s="36">
        <f>IFERROR(IF(Y144=0,"",ROUNDUP(Y144/H144,0)*0.00651),"")</f>
        <v>5.2080000000000001E-2</v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23.131818181818179</v>
      </c>
      <c r="BN144" s="64">
        <f>IFERROR(Y144*I144/H144,"0")</f>
        <v>23.263999999999999</v>
      </c>
      <c r="BO144" s="64">
        <f>IFERROR(1/J144*(X144/H144),"0")</f>
        <v>4.3706293706293704E-2</v>
      </c>
      <c r="BP144" s="64">
        <f>IFERROR(1/J144*(Y144/H144),"0")</f>
        <v>4.3956043956043959E-2</v>
      </c>
    </row>
    <row r="145" spans="1:68" ht="16.5" customHeight="1" x14ac:dyDescent="0.25">
      <c r="A145" s="54" t="s">
        <v>251</v>
      </c>
      <c r="B145" s="54" t="s">
        <v>253</v>
      </c>
      <c r="C145" s="31">
        <v>4301051477</v>
      </c>
      <c r="D145" s="609">
        <v>4680115882584</v>
      </c>
      <c r="E145" s="61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28"/>
      <c r="B146" s="617"/>
      <c r="C146" s="617"/>
      <c r="D146" s="617"/>
      <c r="E146" s="617"/>
      <c r="F146" s="617"/>
      <c r="G146" s="617"/>
      <c r="H146" s="617"/>
      <c r="I146" s="617"/>
      <c r="J146" s="617"/>
      <c r="K146" s="617"/>
      <c r="L146" s="617"/>
      <c r="M146" s="617"/>
      <c r="N146" s="617"/>
      <c r="O146" s="629"/>
      <c r="P146" s="621" t="s">
        <v>72</v>
      </c>
      <c r="Q146" s="622"/>
      <c r="R146" s="622"/>
      <c r="S146" s="622"/>
      <c r="T146" s="622"/>
      <c r="U146" s="622"/>
      <c r="V146" s="623"/>
      <c r="W146" s="37" t="s">
        <v>73</v>
      </c>
      <c r="X146" s="607">
        <f>IFERROR(X144/H144,"0")+IFERROR(X145/H145,"0")</f>
        <v>7.9545454545454541</v>
      </c>
      <c r="Y146" s="607">
        <f>IFERROR(Y144/H144,"0")+IFERROR(Y145/H145,"0")</f>
        <v>8</v>
      </c>
      <c r="Z146" s="607">
        <f>IFERROR(IF(Z144="",0,Z144),"0")+IFERROR(IF(Z145="",0,Z145),"0")</f>
        <v>5.2080000000000001E-2</v>
      </c>
      <c r="AA146" s="608"/>
      <c r="AB146" s="608"/>
      <c r="AC146" s="608"/>
    </row>
    <row r="147" spans="1:68" x14ac:dyDescent="0.2">
      <c r="A147" s="617"/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29"/>
      <c r="P147" s="621" t="s">
        <v>72</v>
      </c>
      <c r="Q147" s="622"/>
      <c r="R147" s="622"/>
      <c r="S147" s="622"/>
      <c r="T147" s="622"/>
      <c r="U147" s="622"/>
      <c r="V147" s="623"/>
      <c r="W147" s="37" t="s">
        <v>67</v>
      </c>
      <c r="X147" s="607">
        <f>IFERROR(SUM(X144:X145),"0")</f>
        <v>21</v>
      </c>
      <c r="Y147" s="607">
        <f>IFERROR(SUM(Y144:Y145),"0")</f>
        <v>21.12</v>
      </c>
      <c r="Z147" s="37"/>
      <c r="AA147" s="608"/>
      <c r="AB147" s="608"/>
      <c r="AC147" s="608"/>
    </row>
    <row r="148" spans="1:68" ht="16.5" customHeight="1" x14ac:dyDescent="0.25">
      <c r="A148" s="626" t="s">
        <v>254</v>
      </c>
      <c r="B148" s="617"/>
      <c r="C148" s="617"/>
      <c r="D148" s="617"/>
      <c r="E148" s="617"/>
      <c r="F148" s="617"/>
      <c r="G148" s="617"/>
      <c r="H148" s="617"/>
      <c r="I148" s="617"/>
      <c r="J148" s="617"/>
      <c r="K148" s="617"/>
      <c r="L148" s="617"/>
      <c r="M148" s="617"/>
      <c r="N148" s="617"/>
      <c r="O148" s="617"/>
      <c r="P148" s="617"/>
      <c r="Q148" s="617"/>
      <c r="R148" s="617"/>
      <c r="S148" s="617"/>
      <c r="T148" s="617"/>
      <c r="U148" s="617"/>
      <c r="V148" s="617"/>
      <c r="W148" s="617"/>
      <c r="X148" s="617"/>
      <c r="Y148" s="617"/>
      <c r="Z148" s="617"/>
      <c r="AA148" s="600"/>
      <c r="AB148" s="600"/>
      <c r="AC148" s="600"/>
    </row>
    <row r="149" spans="1:68" ht="14.25" customHeight="1" x14ac:dyDescent="0.25">
      <c r="A149" s="616" t="s">
        <v>74</v>
      </c>
      <c r="B149" s="617"/>
      <c r="C149" s="617"/>
      <c r="D149" s="617"/>
      <c r="E149" s="617"/>
      <c r="F149" s="617"/>
      <c r="G149" s="617"/>
      <c r="H149" s="617"/>
      <c r="I149" s="617"/>
      <c r="J149" s="617"/>
      <c r="K149" s="617"/>
      <c r="L149" s="617"/>
      <c r="M149" s="617"/>
      <c r="N149" s="617"/>
      <c r="O149" s="617"/>
      <c r="P149" s="617"/>
      <c r="Q149" s="617"/>
      <c r="R149" s="617"/>
      <c r="S149" s="617"/>
      <c r="T149" s="617"/>
      <c r="U149" s="617"/>
      <c r="V149" s="617"/>
      <c r="W149" s="617"/>
      <c r="X149" s="617"/>
      <c r="Y149" s="617"/>
      <c r="Z149" s="617"/>
      <c r="AA149" s="599"/>
      <c r="AB149" s="599"/>
      <c r="AC149" s="599"/>
    </row>
    <row r="150" spans="1:68" ht="27" customHeight="1" x14ac:dyDescent="0.25">
      <c r="A150" s="54" t="s">
        <v>255</v>
      </c>
      <c r="B150" s="54" t="s">
        <v>256</v>
      </c>
      <c r="C150" s="31">
        <v>4301052174</v>
      </c>
      <c r="D150" s="609">
        <v>4680115888203</v>
      </c>
      <c r="E150" s="610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2"/>
      <c r="R150" s="612"/>
      <c r="S150" s="612"/>
      <c r="T150" s="613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258</v>
      </c>
      <c r="B151" s="54" t="s">
        <v>259</v>
      </c>
      <c r="C151" s="31">
        <v>4301052172</v>
      </c>
      <c r="D151" s="609">
        <v>4680115888180</v>
      </c>
      <c r="E151" s="61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261</v>
      </c>
      <c r="B152" s="54" t="s">
        <v>262</v>
      </c>
      <c r="C152" s="31">
        <v>4301052173</v>
      </c>
      <c r="D152" s="609">
        <v>4680115888197</v>
      </c>
      <c r="E152" s="61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264</v>
      </c>
      <c r="B153" s="54" t="s">
        <v>265</v>
      </c>
      <c r="C153" s="31">
        <v>4301052175</v>
      </c>
      <c r="D153" s="609">
        <v>4680115888210</v>
      </c>
      <c r="E153" s="61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28"/>
      <c r="B154" s="617"/>
      <c r="C154" s="617"/>
      <c r="D154" s="617"/>
      <c r="E154" s="617"/>
      <c r="F154" s="617"/>
      <c r="G154" s="617"/>
      <c r="H154" s="617"/>
      <c r="I154" s="617"/>
      <c r="J154" s="617"/>
      <c r="K154" s="617"/>
      <c r="L154" s="617"/>
      <c r="M154" s="617"/>
      <c r="N154" s="617"/>
      <c r="O154" s="629"/>
      <c r="P154" s="621" t="s">
        <v>72</v>
      </c>
      <c r="Q154" s="622"/>
      <c r="R154" s="622"/>
      <c r="S154" s="622"/>
      <c r="T154" s="622"/>
      <c r="U154" s="622"/>
      <c r="V154" s="623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x14ac:dyDescent="0.2">
      <c r="A155" s="617"/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29"/>
      <c r="P155" s="621" t="s">
        <v>72</v>
      </c>
      <c r="Q155" s="622"/>
      <c r="R155" s="622"/>
      <c r="S155" s="622"/>
      <c r="T155" s="622"/>
      <c r="U155" s="622"/>
      <c r="V155" s="623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customHeight="1" x14ac:dyDescent="0.25">
      <c r="A156" s="626" t="s">
        <v>116</v>
      </c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00"/>
      <c r="AB156" s="600"/>
      <c r="AC156" s="600"/>
    </row>
    <row r="157" spans="1:68" ht="14.25" customHeight="1" x14ac:dyDescent="0.25">
      <c r="A157" s="616" t="s">
        <v>118</v>
      </c>
      <c r="B157" s="617"/>
      <c r="C157" s="617"/>
      <c r="D157" s="617"/>
      <c r="E157" s="617"/>
      <c r="F157" s="617"/>
      <c r="G157" s="617"/>
      <c r="H157" s="617"/>
      <c r="I157" s="617"/>
      <c r="J157" s="617"/>
      <c r="K157" s="617"/>
      <c r="L157" s="617"/>
      <c r="M157" s="617"/>
      <c r="N157" s="617"/>
      <c r="O157" s="617"/>
      <c r="P157" s="617"/>
      <c r="Q157" s="617"/>
      <c r="R157" s="617"/>
      <c r="S157" s="617"/>
      <c r="T157" s="617"/>
      <c r="U157" s="617"/>
      <c r="V157" s="617"/>
      <c r="W157" s="617"/>
      <c r="X157" s="617"/>
      <c r="Y157" s="617"/>
      <c r="Z157" s="617"/>
      <c r="AA157" s="599"/>
      <c r="AB157" s="599"/>
      <c r="AC157" s="599"/>
    </row>
    <row r="158" spans="1:68" ht="27" customHeight="1" x14ac:dyDescent="0.25">
      <c r="A158" s="54" t="s">
        <v>267</v>
      </c>
      <c r="B158" s="54" t="s">
        <v>268</v>
      </c>
      <c r="C158" s="31">
        <v>4301012244</v>
      </c>
      <c r="D158" s="609">
        <v>4680115887374</v>
      </c>
      <c r="E158" s="610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2"/>
      <c r="R158" s="612"/>
      <c r="S158" s="612"/>
      <c r="T158" s="613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270</v>
      </c>
      <c r="B159" s="54" t="s">
        <v>271</v>
      </c>
      <c r="C159" s="31">
        <v>4301011705</v>
      </c>
      <c r="D159" s="609">
        <v>4607091384604</v>
      </c>
      <c r="E159" s="610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28"/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29"/>
      <c r="P160" s="621" t="s">
        <v>72</v>
      </c>
      <c r="Q160" s="622"/>
      <c r="R160" s="622"/>
      <c r="S160" s="622"/>
      <c r="T160" s="622"/>
      <c r="U160" s="622"/>
      <c r="V160" s="623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x14ac:dyDescent="0.2">
      <c r="A161" s="617"/>
      <c r="B161" s="617"/>
      <c r="C161" s="617"/>
      <c r="D161" s="617"/>
      <c r="E161" s="617"/>
      <c r="F161" s="617"/>
      <c r="G161" s="617"/>
      <c r="H161" s="617"/>
      <c r="I161" s="617"/>
      <c r="J161" s="617"/>
      <c r="K161" s="617"/>
      <c r="L161" s="617"/>
      <c r="M161" s="617"/>
      <c r="N161" s="617"/>
      <c r="O161" s="629"/>
      <c r="P161" s="621" t="s">
        <v>72</v>
      </c>
      <c r="Q161" s="622"/>
      <c r="R161" s="622"/>
      <c r="S161" s="622"/>
      <c r="T161" s="622"/>
      <c r="U161" s="622"/>
      <c r="V161" s="623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customHeight="1" x14ac:dyDescent="0.25">
      <c r="A162" s="616" t="s">
        <v>155</v>
      </c>
      <c r="B162" s="617"/>
      <c r="C162" s="617"/>
      <c r="D162" s="617"/>
      <c r="E162" s="617"/>
      <c r="F162" s="617"/>
      <c r="G162" s="617"/>
      <c r="H162" s="617"/>
      <c r="I162" s="617"/>
      <c r="J162" s="617"/>
      <c r="K162" s="617"/>
      <c r="L162" s="617"/>
      <c r="M162" s="617"/>
      <c r="N162" s="617"/>
      <c r="O162" s="617"/>
      <c r="P162" s="617"/>
      <c r="Q162" s="617"/>
      <c r="R162" s="617"/>
      <c r="S162" s="617"/>
      <c r="T162" s="617"/>
      <c r="U162" s="617"/>
      <c r="V162" s="617"/>
      <c r="W162" s="617"/>
      <c r="X162" s="617"/>
      <c r="Y162" s="617"/>
      <c r="Z162" s="617"/>
      <c r="AA162" s="599"/>
      <c r="AB162" s="599"/>
      <c r="AC162" s="599"/>
    </row>
    <row r="163" spans="1:68" ht="16.5" customHeight="1" x14ac:dyDescent="0.25">
      <c r="A163" s="54" t="s">
        <v>273</v>
      </c>
      <c r="B163" s="54" t="s">
        <v>274</v>
      </c>
      <c r="C163" s="31">
        <v>4301020410</v>
      </c>
      <c r="D163" s="609">
        <v>4680115887695</v>
      </c>
      <c r="E163" s="610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2"/>
      <c r="R163" s="612"/>
      <c r="S163" s="612"/>
      <c r="T163" s="613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28"/>
      <c r="B164" s="617"/>
      <c r="C164" s="617"/>
      <c r="D164" s="617"/>
      <c r="E164" s="617"/>
      <c r="F164" s="617"/>
      <c r="G164" s="617"/>
      <c r="H164" s="617"/>
      <c r="I164" s="617"/>
      <c r="J164" s="617"/>
      <c r="K164" s="617"/>
      <c r="L164" s="617"/>
      <c r="M164" s="617"/>
      <c r="N164" s="617"/>
      <c r="O164" s="629"/>
      <c r="P164" s="621" t="s">
        <v>72</v>
      </c>
      <c r="Q164" s="622"/>
      <c r="R164" s="622"/>
      <c r="S164" s="622"/>
      <c r="T164" s="622"/>
      <c r="U164" s="622"/>
      <c r="V164" s="623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x14ac:dyDescent="0.2">
      <c r="A165" s="617"/>
      <c r="B165" s="617"/>
      <c r="C165" s="617"/>
      <c r="D165" s="617"/>
      <c r="E165" s="617"/>
      <c r="F165" s="617"/>
      <c r="G165" s="617"/>
      <c r="H165" s="617"/>
      <c r="I165" s="617"/>
      <c r="J165" s="617"/>
      <c r="K165" s="617"/>
      <c r="L165" s="617"/>
      <c r="M165" s="617"/>
      <c r="N165" s="617"/>
      <c r="O165" s="629"/>
      <c r="P165" s="621" t="s">
        <v>72</v>
      </c>
      <c r="Q165" s="622"/>
      <c r="R165" s="622"/>
      <c r="S165" s="622"/>
      <c r="T165" s="622"/>
      <c r="U165" s="622"/>
      <c r="V165" s="623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customHeight="1" x14ac:dyDescent="0.25">
      <c r="A166" s="616" t="s">
        <v>62</v>
      </c>
      <c r="B166" s="617"/>
      <c r="C166" s="617"/>
      <c r="D166" s="617"/>
      <c r="E166" s="617"/>
      <c r="F166" s="617"/>
      <c r="G166" s="617"/>
      <c r="H166" s="617"/>
      <c r="I166" s="617"/>
      <c r="J166" s="617"/>
      <c r="K166" s="617"/>
      <c r="L166" s="617"/>
      <c r="M166" s="617"/>
      <c r="N166" s="617"/>
      <c r="O166" s="617"/>
      <c r="P166" s="617"/>
      <c r="Q166" s="617"/>
      <c r="R166" s="617"/>
      <c r="S166" s="617"/>
      <c r="T166" s="617"/>
      <c r="U166" s="617"/>
      <c r="V166" s="617"/>
      <c r="W166" s="617"/>
      <c r="X166" s="617"/>
      <c r="Y166" s="617"/>
      <c r="Z166" s="617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09">
        <v>4680115887428</v>
      </c>
      <c r="E167" s="610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3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2"/>
      <c r="R167" s="612"/>
      <c r="S167" s="612"/>
      <c r="T167" s="613"/>
      <c r="U167" s="34"/>
      <c r="V167" s="34"/>
      <c r="W167" s="35" t="s">
        <v>67</v>
      </c>
      <c r="X167" s="605">
        <v>62</v>
      </c>
      <c r="Y167" s="606">
        <f t="shared" ref="Y167:Y177" si="15">IFERROR(IF(X167="",0,CEILING((X167/$H167),1)*$H167),"")</f>
        <v>63</v>
      </c>
      <c r="Z167" s="36">
        <f>IFERROR(IF(Y167=0,"",ROUNDUP(Y167/H167,0)*0.00902),"")</f>
        <v>0.16236</v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65.36571428571429</v>
      </c>
      <c r="BN167" s="64">
        <f t="shared" ref="BN167:BN177" si="17">IFERROR(Y167*I167/H167,"0")</f>
        <v>66.42</v>
      </c>
      <c r="BO167" s="64">
        <f t="shared" ref="BO167:BO177" si="18">IFERROR(1/J167*(X167/H167),"0")</f>
        <v>0.13419913419913421</v>
      </c>
      <c r="BP167" s="64">
        <f t="shared" ref="BP167:BP177" si="19">IFERROR(1/J167*(Y167/H167),"0")</f>
        <v>0.13636363636363635</v>
      </c>
    </row>
    <row r="168" spans="1:68" ht="27" customHeight="1" x14ac:dyDescent="0.25">
      <c r="A168" s="54" t="s">
        <v>279</v>
      </c>
      <c r="B168" s="54" t="s">
        <v>280</v>
      </c>
      <c r="C168" s="31">
        <v>4301030963</v>
      </c>
      <c r="D168" s="609">
        <v>4607091382426</v>
      </c>
      <c r="E168" s="610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4301031498</v>
      </c>
      <c r="D169" s="609">
        <v>4680115887398</v>
      </c>
      <c r="E169" s="610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0</v>
      </c>
      <c r="Y169" s="606">
        <f t="shared" si="15"/>
        <v>0</v>
      </c>
      <c r="Z169" s="36" t="str">
        <f>IFERROR(IF(Y169=0,"",ROUNDUP(Y169/H169,0)*0.00902),"")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0</v>
      </c>
      <c r="BN169" s="64">
        <f t="shared" si="17"/>
        <v>0</v>
      </c>
      <c r="BO169" s="64">
        <f t="shared" si="18"/>
        <v>0</v>
      </c>
      <c r="BP169" s="64">
        <f t="shared" si="19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09">
        <v>4680115887336</v>
      </c>
      <c r="E170" s="61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55</v>
      </c>
      <c r="Y170" s="606">
        <f t="shared" si="15"/>
        <v>56</v>
      </c>
      <c r="Z170" s="36">
        <f>IFERROR(IF(Y170=0,"",ROUNDUP(Y170/H170,0)*0.00902),"")</f>
        <v>0.14432</v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57.98571428571428</v>
      </c>
      <c r="BN170" s="64">
        <f t="shared" si="17"/>
        <v>59.04</v>
      </c>
      <c r="BO170" s="64">
        <f t="shared" si="18"/>
        <v>0.11904761904761904</v>
      </c>
      <c r="BP170" s="64">
        <f t="shared" si="19"/>
        <v>0.12121212121212122</v>
      </c>
    </row>
    <row r="171" spans="1:68" ht="16.5" customHeight="1" x14ac:dyDescent="0.25">
      <c r="A171" s="54" t="s">
        <v>288</v>
      </c>
      <c r="B171" s="54" t="s">
        <v>289</v>
      </c>
      <c r="C171" s="31">
        <v>4301032049</v>
      </c>
      <c r="D171" s="609">
        <v>4680115887787</v>
      </c>
      <c r="E171" s="610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8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customHeight="1" x14ac:dyDescent="0.25">
      <c r="A172" s="54" t="s">
        <v>291</v>
      </c>
      <c r="B172" s="54" t="s">
        <v>292</v>
      </c>
      <c r="C172" s="31">
        <v>4301031448</v>
      </c>
      <c r="D172" s="609">
        <v>4680115887503</v>
      </c>
      <c r="E172" s="610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3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0</v>
      </c>
      <c r="Y172" s="606">
        <f t="shared" si="15"/>
        <v>0</v>
      </c>
      <c r="Z172" s="36" t="str">
        <f>IFERROR(IF(Y172=0,"",ROUNDUP(Y172/H172,0)*0.00502),"")</f>
        <v/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293</v>
      </c>
      <c r="B173" s="54" t="s">
        <v>294</v>
      </c>
      <c r="C173" s="31">
        <v>4301031389</v>
      </c>
      <c r="D173" s="609">
        <v>4680115887763</v>
      </c>
      <c r="E173" s="610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293</v>
      </c>
      <c r="B174" s="54" t="s">
        <v>296</v>
      </c>
      <c r="C174" s="31">
        <v>4301031510</v>
      </c>
      <c r="D174" s="609">
        <v>4680115887763</v>
      </c>
      <c r="E174" s="610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4301031454</v>
      </c>
      <c r="D175" s="609">
        <v>4680115887480</v>
      </c>
      <c r="E175" s="610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0</v>
      </c>
      <c r="Y175" s="606">
        <f t="shared" si="15"/>
        <v>0</v>
      </c>
      <c r="Z175" s="36" t="str">
        <f>IFERROR(IF(Y175=0,"",ROUNDUP(Y175/H175,0)*0.00502),"")</f>
        <v/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4301031434</v>
      </c>
      <c r="D176" s="609">
        <v>4680115888067</v>
      </c>
      <c r="E176" s="610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0</v>
      </c>
      <c r="Y176" s="606">
        <f t="shared" si="15"/>
        <v>0</v>
      </c>
      <c r="Z176" s="36" t="str">
        <f>IFERROR(IF(Y176=0,"",ROUNDUP(Y176/H176,0)*0.00417),"")</f>
        <v/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4301031451</v>
      </c>
      <c r="D177" s="609">
        <v>4680115887435</v>
      </c>
      <c r="E177" s="610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5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0</v>
      </c>
      <c r="Y177" s="606">
        <f t="shared" si="15"/>
        <v>0</v>
      </c>
      <c r="Z177" s="36" t="str">
        <f>IFERROR(IF(Y177=0,"",ROUNDUP(Y177/H177,0)*0.00502),"")</f>
        <v/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x14ac:dyDescent="0.2">
      <c r="A178" s="628"/>
      <c r="B178" s="617"/>
      <c r="C178" s="617"/>
      <c r="D178" s="617"/>
      <c r="E178" s="617"/>
      <c r="F178" s="617"/>
      <c r="G178" s="617"/>
      <c r="H178" s="617"/>
      <c r="I178" s="617"/>
      <c r="J178" s="617"/>
      <c r="K178" s="617"/>
      <c r="L178" s="617"/>
      <c r="M178" s="617"/>
      <c r="N178" s="617"/>
      <c r="O178" s="629"/>
      <c r="P178" s="621" t="s">
        <v>72</v>
      </c>
      <c r="Q178" s="622"/>
      <c r="R178" s="622"/>
      <c r="S178" s="622"/>
      <c r="T178" s="622"/>
      <c r="U178" s="622"/>
      <c r="V178" s="623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33.428571428571431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34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0.30668000000000001</v>
      </c>
      <c r="AA178" s="608"/>
      <c r="AB178" s="608"/>
      <c r="AC178" s="608"/>
    </row>
    <row r="179" spans="1:68" x14ac:dyDescent="0.2">
      <c r="A179" s="617"/>
      <c r="B179" s="617"/>
      <c r="C179" s="617"/>
      <c r="D179" s="617"/>
      <c r="E179" s="617"/>
      <c r="F179" s="617"/>
      <c r="G179" s="617"/>
      <c r="H179" s="617"/>
      <c r="I179" s="617"/>
      <c r="J179" s="617"/>
      <c r="K179" s="617"/>
      <c r="L179" s="617"/>
      <c r="M179" s="617"/>
      <c r="N179" s="617"/>
      <c r="O179" s="629"/>
      <c r="P179" s="621" t="s">
        <v>72</v>
      </c>
      <c r="Q179" s="622"/>
      <c r="R179" s="622"/>
      <c r="S179" s="622"/>
      <c r="T179" s="622"/>
      <c r="U179" s="622"/>
      <c r="V179" s="623"/>
      <c r="W179" s="37" t="s">
        <v>67</v>
      </c>
      <c r="X179" s="607">
        <f>IFERROR(SUM(X167:X177),"0")</f>
        <v>117</v>
      </c>
      <c r="Y179" s="607">
        <f>IFERROR(SUM(Y167:Y177),"0")</f>
        <v>119</v>
      </c>
      <c r="Z179" s="37"/>
      <c r="AA179" s="608"/>
      <c r="AB179" s="608"/>
      <c r="AC179" s="608"/>
    </row>
    <row r="180" spans="1:68" ht="14.25" customHeight="1" x14ac:dyDescent="0.25">
      <c r="A180" s="616" t="s">
        <v>74</v>
      </c>
      <c r="B180" s="617"/>
      <c r="C180" s="617"/>
      <c r="D180" s="617"/>
      <c r="E180" s="617"/>
      <c r="F180" s="617"/>
      <c r="G180" s="617"/>
      <c r="H180" s="617"/>
      <c r="I180" s="617"/>
      <c r="J180" s="617"/>
      <c r="K180" s="617"/>
      <c r="L180" s="617"/>
      <c r="M180" s="617"/>
      <c r="N180" s="617"/>
      <c r="O180" s="617"/>
      <c r="P180" s="617"/>
      <c r="Q180" s="617"/>
      <c r="R180" s="617"/>
      <c r="S180" s="617"/>
      <c r="T180" s="617"/>
      <c r="U180" s="617"/>
      <c r="V180" s="617"/>
      <c r="W180" s="617"/>
      <c r="X180" s="617"/>
      <c r="Y180" s="617"/>
      <c r="Z180" s="617"/>
      <c r="AA180" s="599"/>
      <c r="AB180" s="599"/>
      <c r="AC180" s="599"/>
    </row>
    <row r="181" spans="1:68" ht="16.5" customHeight="1" x14ac:dyDescent="0.25">
      <c r="A181" s="54" t="s">
        <v>304</v>
      </c>
      <c r="B181" s="54" t="s">
        <v>305</v>
      </c>
      <c r="C181" s="31">
        <v>4301052193</v>
      </c>
      <c r="D181" s="609">
        <v>4680115888395</v>
      </c>
      <c r="E181" s="610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2"/>
      <c r="R181" s="612"/>
      <c r="S181" s="612"/>
      <c r="T181" s="613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307</v>
      </c>
      <c r="B182" s="54" t="s">
        <v>308</v>
      </c>
      <c r="C182" s="31">
        <v>4301052191</v>
      </c>
      <c r="D182" s="609">
        <v>4680115888371</v>
      </c>
      <c r="E182" s="61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4301052064</v>
      </c>
      <c r="D183" s="609">
        <v>4680115887459</v>
      </c>
      <c r="E183" s="610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8"/>
      <c r="B184" s="617"/>
      <c r="C184" s="617"/>
      <c r="D184" s="617"/>
      <c r="E184" s="617"/>
      <c r="F184" s="617"/>
      <c r="G184" s="617"/>
      <c r="H184" s="617"/>
      <c r="I184" s="617"/>
      <c r="J184" s="617"/>
      <c r="K184" s="617"/>
      <c r="L184" s="617"/>
      <c r="M184" s="617"/>
      <c r="N184" s="617"/>
      <c r="O184" s="629"/>
      <c r="P184" s="621" t="s">
        <v>72</v>
      </c>
      <c r="Q184" s="622"/>
      <c r="R184" s="622"/>
      <c r="S184" s="622"/>
      <c r="T184" s="622"/>
      <c r="U184" s="622"/>
      <c r="V184" s="623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x14ac:dyDescent="0.2">
      <c r="A185" s="617"/>
      <c r="B185" s="617"/>
      <c r="C185" s="617"/>
      <c r="D185" s="617"/>
      <c r="E185" s="617"/>
      <c r="F185" s="617"/>
      <c r="G185" s="617"/>
      <c r="H185" s="617"/>
      <c r="I185" s="617"/>
      <c r="J185" s="617"/>
      <c r="K185" s="617"/>
      <c r="L185" s="617"/>
      <c r="M185" s="617"/>
      <c r="N185" s="617"/>
      <c r="O185" s="629"/>
      <c r="P185" s="621" t="s">
        <v>72</v>
      </c>
      <c r="Q185" s="622"/>
      <c r="R185" s="622"/>
      <c r="S185" s="622"/>
      <c r="T185" s="622"/>
      <c r="U185" s="622"/>
      <c r="V185" s="623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customHeight="1" x14ac:dyDescent="0.25">
      <c r="A186" s="616" t="s">
        <v>92</v>
      </c>
      <c r="B186" s="617"/>
      <c r="C186" s="617"/>
      <c r="D186" s="617"/>
      <c r="E186" s="617"/>
      <c r="F186" s="617"/>
      <c r="G186" s="617"/>
      <c r="H186" s="617"/>
      <c r="I186" s="617"/>
      <c r="J186" s="617"/>
      <c r="K186" s="617"/>
      <c r="L186" s="617"/>
      <c r="M186" s="617"/>
      <c r="N186" s="617"/>
      <c r="O186" s="617"/>
      <c r="P186" s="617"/>
      <c r="Q186" s="617"/>
      <c r="R186" s="617"/>
      <c r="S186" s="617"/>
      <c r="T186" s="617"/>
      <c r="U186" s="617"/>
      <c r="V186" s="617"/>
      <c r="W186" s="617"/>
      <c r="X186" s="617"/>
      <c r="Y186" s="617"/>
      <c r="Z186" s="617"/>
      <c r="AA186" s="599"/>
      <c r="AB186" s="599"/>
      <c r="AC186" s="599"/>
    </row>
    <row r="187" spans="1:68" ht="16.5" customHeight="1" x14ac:dyDescent="0.25">
      <c r="A187" s="54" t="s">
        <v>313</v>
      </c>
      <c r="B187" s="54" t="s">
        <v>314</v>
      </c>
      <c r="C187" s="31">
        <v>4301032058</v>
      </c>
      <c r="D187" s="609">
        <v>4680115889026</v>
      </c>
      <c r="E187" s="610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2"/>
      <c r="R187" s="612"/>
      <c r="S187" s="612"/>
      <c r="T187" s="613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318</v>
      </c>
      <c r="B188" s="54" t="s">
        <v>319</v>
      </c>
      <c r="C188" s="31">
        <v>4301032057</v>
      </c>
      <c r="D188" s="609">
        <v>4680115889088</v>
      </c>
      <c r="E188" s="61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6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8"/>
      <c r="B189" s="617"/>
      <c r="C189" s="617"/>
      <c r="D189" s="617"/>
      <c r="E189" s="617"/>
      <c r="F189" s="617"/>
      <c r="G189" s="617"/>
      <c r="H189" s="617"/>
      <c r="I189" s="617"/>
      <c r="J189" s="617"/>
      <c r="K189" s="617"/>
      <c r="L189" s="617"/>
      <c r="M189" s="617"/>
      <c r="N189" s="617"/>
      <c r="O189" s="629"/>
      <c r="P189" s="621" t="s">
        <v>72</v>
      </c>
      <c r="Q189" s="622"/>
      <c r="R189" s="622"/>
      <c r="S189" s="622"/>
      <c r="T189" s="622"/>
      <c r="U189" s="622"/>
      <c r="V189" s="623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x14ac:dyDescent="0.2">
      <c r="A190" s="617"/>
      <c r="B190" s="617"/>
      <c r="C190" s="617"/>
      <c r="D190" s="617"/>
      <c r="E190" s="617"/>
      <c r="F190" s="617"/>
      <c r="G190" s="617"/>
      <c r="H190" s="617"/>
      <c r="I190" s="617"/>
      <c r="J190" s="617"/>
      <c r="K190" s="617"/>
      <c r="L190" s="617"/>
      <c r="M190" s="617"/>
      <c r="N190" s="617"/>
      <c r="O190" s="629"/>
      <c r="P190" s="621" t="s">
        <v>72</v>
      </c>
      <c r="Q190" s="622"/>
      <c r="R190" s="622"/>
      <c r="S190" s="622"/>
      <c r="T190" s="622"/>
      <c r="U190" s="622"/>
      <c r="V190" s="623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customHeight="1" x14ac:dyDescent="0.25">
      <c r="A191" s="616" t="s">
        <v>321</v>
      </c>
      <c r="B191" s="617"/>
      <c r="C191" s="617"/>
      <c r="D191" s="617"/>
      <c r="E191" s="617"/>
      <c r="F191" s="617"/>
      <c r="G191" s="617"/>
      <c r="H191" s="617"/>
      <c r="I191" s="617"/>
      <c r="J191" s="617"/>
      <c r="K191" s="617"/>
      <c r="L191" s="617"/>
      <c r="M191" s="617"/>
      <c r="N191" s="617"/>
      <c r="O191" s="617"/>
      <c r="P191" s="617"/>
      <c r="Q191" s="617"/>
      <c r="R191" s="617"/>
      <c r="S191" s="617"/>
      <c r="T191" s="617"/>
      <c r="U191" s="617"/>
      <c r="V191" s="617"/>
      <c r="W191" s="617"/>
      <c r="X191" s="617"/>
      <c r="Y191" s="617"/>
      <c r="Z191" s="617"/>
      <c r="AA191" s="599"/>
      <c r="AB191" s="599"/>
      <c r="AC191" s="599"/>
    </row>
    <row r="192" spans="1:68" ht="27" customHeight="1" x14ac:dyDescent="0.25">
      <c r="A192" s="54" t="s">
        <v>322</v>
      </c>
      <c r="B192" s="54" t="s">
        <v>323</v>
      </c>
      <c r="C192" s="31">
        <v>4301041009</v>
      </c>
      <c r="D192" s="609">
        <v>4680115889033</v>
      </c>
      <c r="E192" s="610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2"/>
      <c r="R192" s="612"/>
      <c r="S192" s="612"/>
      <c r="T192" s="613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8"/>
      <c r="B193" s="617"/>
      <c r="C193" s="617"/>
      <c r="D193" s="617"/>
      <c r="E193" s="617"/>
      <c r="F193" s="617"/>
      <c r="G193" s="617"/>
      <c r="H193" s="617"/>
      <c r="I193" s="617"/>
      <c r="J193" s="617"/>
      <c r="K193" s="617"/>
      <c r="L193" s="617"/>
      <c r="M193" s="617"/>
      <c r="N193" s="617"/>
      <c r="O193" s="629"/>
      <c r="P193" s="621" t="s">
        <v>72</v>
      </c>
      <c r="Q193" s="622"/>
      <c r="R193" s="622"/>
      <c r="S193" s="622"/>
      <c r="T193" s="622"/>
      <c r="U193" s="622"/>
      <c r="V193" s="623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x14ac:dyDescent="0.2">
      <c r="A194" s="617"/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29"/>
      <c r="P194" s="621" t="s">
        <v>72</v>
      </c>
      <c r="Q194" s="622"/>
      <c r="R194" s="622"/>
      <c r="S194" s="622"/>
      <c r="T194" s="622"/>
      <c r="U194" s="622"/>
      <c r="V194" s="623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customHeight="1" x14ac:dyDescent="0.2">
      <c r="A195" s="667" t="s">
        <v>325</v>
      </c>
      <c r="B195" s="668"/>
      <c r="C195" s="668"/>
      <c r="D195" s="668"/>
      <c r="E195" s="668"/>
      <c r="F195" s="668"/>
      <c r="G195" s="668"/>
      <c r="H195" s="668"/>
      <c r="I195" s="668"/>
      <c r="J195" s="668"/>
      <c r="K195" s="668"/>
      <c r="L195" s="668"/>
      <c r="M195" s="668"/>
      <c r="N195" s="668"/>
      <c r="O195" s="668"/>
      <c r="P195" s="668"/>
      <c r="Q195" s="668"/>
      <c r="R195" s="668"/>
      <c r="S195" s="668"/>
      <c r="T195" s="668"/>
      <c r="U195" s="668"/>
      <c r="V195" s="668"/>
      <c r="W195" s="668"/>
      <c r="X195" s="668"/>
      <c r="Y195" s="668"/>
      <c r="Z195" s="668"/>
      <c r="AA195" s="48"/>
      <c r="AB195" s="48"/>
      <c r="AC195" s="48"/>
    </row>
    <row r="196" spans="1:68" ht="16.5" customHeight="1" x14ac:dyDescent="0.25">
      <c r="A196" s="626" t="s">
        <v>326</v>
      </c>
      <c r="B196" s="617"/>
      <c r="C196" s="617"/>
      <c r="D196" s="617"/>
      <c r="E196" s="617"/>
      <c r="F196" s="617"/>
      <c r="G196" s="617"/>
      <c r="H196" s="617"/>
      <c r="I196" s="617"/>
      <c r="J196" s="617"/>
      <c r="K196" s="617"/>
      <c r="L196" s="617"/>
      <c r="M196" s="617"/>
      <c r="N196" s="617"/>
      <c r="O196" s="617"/>
      <c r="P196" s="617"/>
      <c r="Q196" s="617"/>
      <c r="R196" s="617"/>
      <c r="S196" s="617"/>
      <c r="T196" s="617"/>
      <c r="U196" s="617"/>
      <c r="V196" s="617"/>
      <c r="W196" s="617"/>
      <c r="X196" s="617"/>
      <c r="Y196" s="617"/>
      <c r="Z196" s="617"/>
      <c r="AA196" s="600"/>
      <c r="AB196" s="600"/>
      <c r="AC196" s="600"/>
    </row>
    <row r="197" spans="1:68" ht="14.25" customHeight="1" x14ac:dyDescent="0.25">
      <c r="A197" s="616" t="s">
        <v>118</v>
      </c>
      <c r="B197" s="617"/>
      <c r="C197" s="617"/>
      <c r="D197" s="617"/>
      <c r="E197" s="617"/>
      <c r="F197" s="617"/>
      <c r="G197" s="617"/>
      <c r="H197" s="617"/>
      <c r="I197" s="617"/>
      <c r="J197" s="617"/>
      <c r="K197" s="617"/>
      <c r="L197" s="617"/>
      <c r="M197" s="617"/>
      <c r="N197" s="617"/>
      <c r="O197" s="617"/>
      <c r="P197" s="617"/>
      <c r="Q197" s="617"/>
      <c r="R197" s="617"/>
      <c r="S197" s="617"/>
      <c r="T197" s="617"/>
      <c r="U197" s="617"/>
      <c r="V197" s="617"/>
      <c r="W197" s="617"/>
      <c r="X197" s="617"/>
      <c r="Y197" s="617"/>
      <c r="Z197" s="617"/>
      <c r="AA197" s="599"/>
      <c r="AB197" s="599"/>
      <c r="AC197" s="599"/>
    </row>
    <row r="198" spans="1:68" ht="27" customHeight="1" x14ac:dyDescent="0.25">
      <c r="A198" s="54" t="s">
        <v>327</v>
      </c>
      <c r="B198" s="54" t="s">
        <v>328</v>
      </c>
      <c r="C198" s="31">
        <v>4301012340</v>
      </c>
      <c r="D198" s="609">
        <v>4680115888760</v>
      </c>
      <c r="E198" s="610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2"/>
      <c r="R198" s="612"/>
      <c r="S198" s="612"/>
      <c r="T198" s="613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customHeight="1" x14ac:dyDescent="0.25">
      <c r="A199" s="54" t="s">
        <v>330</v>
      </c>
      <c r="B199" s="54" t="s">
        <v>331</v>
      </c>
      <c r="C199" s="31">
        <v>4301012341</v>
      </c>
      <c r="D199" s="609">
        <v>4680115888807</v>
      </c>
      <c r="E199" s="61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customHeight="1" x14ac:dyDescent="0.25">
      <c r="A200" s="54" t="s">
        <v>333</v>
      </c>
      <c r="B200" s="54" t="s">
        <v>334</v>
      </c>
      <c r="C200" s="31">
        <v>4301012342</v>
      </c>
      <c r="D200" s="609">
        <v>4680115888852</v>
      </c>
      <c r="E200" s="610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customHeight="1" x14ac:dyDescent="0.25">
      <c r="A201" s="54" t="s">
        <v>336</v>
      </c>
      <c r="B201" s="54" t="s">
        <v>337</v>
      </c>
      <c r="C201" s="31">
        <v>4301011223</v>
      </c>
      <c r="D201" s="609">
        <v>4607091383423</v>
      </c>
      <c r="E201" s="610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customHeight="1" x14ac:dyDescent="0.25">
      <c r="A202" s="54" t="s">
        <v>338</v>
      </c>
      <c r="B202" s="54" t="s">
        <v>339</v>
      </c>
      <c r="C202" s="31">
        <v>4301012370</v>
      </c>
      <c r="D202" s="609">
        <v>4680115886957</v>
      </c>
      <c r="E202" s="610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4301012098</v>
      </c>
      <c r="D203" s="609">
        <v>4680115885660</v>
      </c>
      <c r="E203" s="610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4301012369</v>
      </c>
      <c r="D204" s="609">
        <v>4680115886773</v>
      </c>
      <c r="E204" s="610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x14ac:dyDescent="0.2">
      <c r="A205" s="628"/>
      <c r="B205" s="617"/>
      <c r="C205" s="617"/>
      <c r="D205" s="617"/>
      <c r="E205" s="617"/>
      <c r="F205" s="617"/>
      <c r="G205" s="617"/>
      <c r="H205" s="617"/>
      <c r="I205" s="617"/>
      <c r="J205" s="617"/>
      <c r="K205" s="617"/>
      <c r="L205" s="617"/>
      <c r="M205" s="617"/>
      <c r="N205" s="617"/>
      <c r="O205" s="629"/>
      <c r="P205" s="621" t="s">
        <v>72</v>
      </c>
      <c r="Q205" s="622"/>
      <c r="R205" s="622"/>
      <c r="S205" s="622"/>
      <c r="T205" s="622"/>
      <c r="U205" s="622"/>
      <c r="V205" s="623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x14ac:dyDescent="0.2">
      <c r="A206" s="617"/>
      <c r="B206" s="617"/>
      <c r="C206" s="617"/>
      <c r="D206" s="617"/>
      <c r="E206" s="617"/>
      <c r="F206" s="617"/>
      <c r="G206" s="617"/>
      <c r="H206" s="617"/>
      <c r="I206" s="617"/>
      <c r="J206" s="617"/>
      <c r="K206" s="617"/>
      <c r="L206" s="617"/>
      <c r="M206" s="617"/>
      <c r="N206" s="617"/>
      <c r="O206" s="629"/>
      <c r="P206" s="621" t="s">
        <v>72</v>
      </c>
      <c r="Q206" s="622"/>
      <c r="R206" s="622"/>
      <c r="S206" s="622"/>
      <c r="T206" s="622"/>
      <c r="U206" s="622"/>
      <c r="V206" s="623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customHeight="1" x14ac:dyDescent="0.25">
      <c r="A207" s="626" t="s">
        <v>347</v>
      </c>
      <c r="B207" s="617"/>
      <c r="C207" s="617"/>
      <c r="D207" s="617"/>
      <c r="E207" s="617"/>
      <c r="F207" s="617"/>
      <c r="G207" s="617"/>
      <c r="H207" s="617"/>
      <c r="I207" s="617"/>
      <c r="J207" s="617"/>
      <c r="K207" s="617"/>
      <c r="L207" s="617"/>
      <c r="M207" s="617"/>
      <c r="N207" s="617"/>
      <c r="O207" s="617"/>
      <c r="P207" s="617"/>
      <c r="Q207" s="617"/>
      <c r="R207" s="617"/>
      <c r="S207" s="617"/>
      <c r="T207" s="617"/>
      <c r="U207" s="617"/>
      <c r="V207" s="617"/>
      <c r="W207" s="617"/>
      <c r="X207" s="617"/>
      <c r="Y207" s="617"/>
      <c r="Z207" s="617"/>
      <c r="AA207" s="600"/>
      <c r="AB207" s="600"/>
      <c r="AC207" s="600"/>
    </row>
    <row r="208" spans="1:68" ht="14.25" customHeight="1" x14ac:dyDescent="0.25">
      <c r="A208" s="616" t="s">
        <v>155</v>
      </c>
      <c r="B208" s="617"/>
      <c r="C208" s="617"/>
      <c r="D208" s="617"/>
      <c r="E208" s="617"/>
      <c r="F208" s="617"/>
      <c r="G208" s="617"/>
      <c r="H208" s="617"/>
      <c r="I208" s="617"/>
      <c r="J208" s="617"/>
      <c r="K208" s="617"/>
      <c r="L208" s="617"/>
      <c r="M208" s="617"/>
      <c r="N208" s="617"/>
      <c r="O208" s="617"/>
      <c r="P208" s="617"/>
      <c r="Q208" s="617"/>
      <c r="R208" s="617"/>
      <c r="S208" s="617"/>
      <c r="T208" s="617"/>
      <c r="U208" s="617"/>
      <c r="V208" s="617"/>
      <c r="W208" s="617"/>
      <c r="X208" s="617"/>
      <c r="Y208" s="617"/>
      <c r="Z208" s="617"/>
      <c r="AA208" s="599"/>
      <c r="AB208" s="599"/>
      <c r="AC208" s="599"/>
    </row>
    <row r="209" spans="1:68" ht="27" customHeight="1" x14ac:dyDescent="0.25">
      <c r="A209" s="54" t="s">
        <v>348</v>
      </c>
      <c r="B209" s="54" t="s">
        <v>349</v>
      </c>
      <c r="C209" s="31">
        <v>4301020323</v>
      </c>
      <c r="D209" s="609">
        <v>4680115886223</v>
      </c>
      <c r="E209" s="610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2"/>
      <c r="R209" s="612"/>
      <c r="S209" s="612"/>
      <c r="T209" s="613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8"/>
      <c r="B210" s="617"/>
      <c r="C210" s="617"/>
      <c r="D210" s="617"/>
      <c r="E210" s="617"/>
      <c r="F210" s="617"/>
      <c r="G210" s="617"/>
      <c r="H210" s="617"/>
      <c r="I210" s="617"/>
      <c r="J210" s="617"/>
      <c r="K210" s="617"/>
      <c r="L210" s="617"/>
      <c r="M210" s="617"/>
      <c r="N210" s="617"/>
      <c r="O210" s="629"/>
      <c r="P210" s="621" t="s">
        <v>72</v>
      </c>
      <c r="Q210" s="622"/>
      <c r="R210" s="622"/>
      <c r="S210" s="622"/>
      <c r="T210" s="622"/>
      <c r="U210" s="622"/>
      <c r="V210" s="623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x14ac:dyDescent="0.2">
      <c r="A211" s="617"/>
      <c r="B211" s="617"/>
      <c r="C211" s="617"/>
      <c r="D211" s="617"/>
      <c r="E211" s="617"/>
      <c r="F211" s="617"/>
      <c r="G211" s="617"/>
      <c r="H211" s="617"/>
      <c r="I211" s="617"/>
      <c r="J211" s="617"/>
      <c r="K211" s="617"/>
      <c r="L211" s="617"/>
      <c r="M211" s="617"/>
      <c r="N211" s="617"/>
      <c r="O211" s="629"/>
      <c r="P211" s="621" t="s">
        <v>72</v>
      </c>
      <c r="Q211" s="622"/>
      <c r="R211" s="622"/>
      <c r="S211" s="622"/>
      <c r="T211" s="622"/>
      <c r="U211" s="622"/>
      <c r="V211" s="623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customHeight="1" x14ac:dyDescent="0.25">
      <c r="A212" s="616" t="s">
        <v>62</v>
      </c>
      <c r="B212" s="617"/>
      <c r="C212" s="617"/>
      <c r="D212" s="617"/>
      <c r="E212" s="617"/>
      <c r="F212" s="617"/>
      <c r="G212" s="617"/>
      <c r="H212" s="617"/>
      <c r="I212" s="617"/>
      <c r="J212" s="617"/>
      <c r="K212" s="617"/>
      <c r="L212" s="617"/>
      <c r="M212" s="617"/>
      <c r="N212" s="617"/>
      <c r="O212" s="617"/>
      <c r="P212" s="617"/>
      <c r="Q212" s="617"/>
      <c r="R212" s="617"/>
      <c r="S212" s="617"/>
      <c r="T212" s="617"/>
      <c r="U212" s="617"/>
      <c r="V212" s="617"/>
      <c r="W212" s="617"/>
      <c r="X212" s="617"/>
      <c r="Y212" s="617"/>
      <c r="Z212" s="617"/>
      <c r="AA212" s="599"/>
      <c r="AB212" s="599"/>
      <c r="AC212" s="599"/>
    </row>
    <row r="213" spans="1:68" ht="27" customHeight="1" x14ac:dyDescent="0.25">
      <c r="A213" s="54" t="s">
        <v>351</v>
      </c>
      <c r="B213" s="54" t="s">
        <v>352</v>
      </c>
      <c r="C213" s="31">
        <v>4301031191</v>
      </c>
      <c r="D213" s="609">
        <v>4680115880993</v>
      </c>
      <c r="E213" s="610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2"/>
      <c r="R213" s="612"/>
      <c r="S213" s="612"/>
      <c r="T213" s="613"/>
      <c r="U213" s="34"/>
      <c r="V213" s="34"/>
      <c r="W213" s="35" t="s">
        <v>67</v>
      </c>
      <c r="X213" s="605">
        <v>0</v>
      </c>
      <c r="Y213" s="606">
        <f t="shared" ref="Y213:Y226" si="26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0</v>
      </c>
      <c r="BN213" s="64">
        <f t="shared" ref="BN213:BN226" si="28">IFERROR(Y213*I213/H213,"0")</f>
        <v>0</v>
      </c>
      <c r="BO213" s="64">
        <f t="shared" ref="BO213:BO226" si="29">IFERROR(1/J213*(X213/H213),"0")</f>
        <v>0</v>
      </c>
      <c r="BP213" s="64">
        <f t="shared" ref="BP213:BP226" si="30">IFERROR(1/J213*(Y213/H213),"0")</f>
        <v>0</v>
      </c>
    </row>
    <row r="214" spans="1:68" ht="27" customHeight="1" x14ac:dyDescent="0.25">
      <c r="A214" s="54" t="s">
        <v>354</v>
      </c>
      <c r="B214" s="54" t="s">
        <v>355</v>
      </c>
      <c r="C214" s="31">
        <v>4301031204</v>
      </c>
      <c r="D214" s="609">
        <v>4680115881761</v>
      </c>
      <c r="E214" s="61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4301031201</v>
      </c>
      <c r="D215" s="609">
        <v>4680115881563</v>
      </c>
      <c r="E215" s="610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0</v>
      </c>
      <c r="Y215" s="60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37.5" customHeight="1" x14ac:dyDescent="0.25">
      <c r="A216" s="54" t="s">
        <v>360</v>
      </c>
      <c r="B216" s="54" t="s">
        <v>361</v>
      </c>
      <c r="C216" s="31">
        <v>4301031447</v>
      </c>
      <c r="D216" s="609">
        <v>4680115887565</v>
      </c>
      <c r="E216" s="610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9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6</v>
      </c>
      <c r="Y216" s="606">
        <f t="shared" si="26"/>
        <v>6.4</v>
      </c>
      <c r="Z216" s="36">
        <f>IFERROR(IF(Y216=0,"",ROUNDUP(Y216/H216,0)*0.00556),"")</f>
        <v>4.4479999999999999E-2</v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6.9749999999999996</v>
      </c>
      <c r="BN216" s="64">
        <f t="shared" si="28"/>
        <v>7.44</v>
      </c>
      <c r="BO216" s="64">
        <f t="shared" si="29"/>
        <v>2.976190476190476E-2</v>
      </c>
      <c r="BP216" s="64">
        <f t="shared" si="30"/>
        <v>3.1746031746031744E-2</v>
      </c>
    </row>
    <row r="217" spans="1:68" ht="27" customHeight="1" x14ac:dyDescent="0.25">
      <c r="A217" s="54" t="s">
        <v>363</v>
      </c>
      <c r="B217" s="54" t="s">
        <v>364</v>
      </c>
      <c r="C217" s="31">
        <v>4301031199</v>
      </c>
      <c r="D217" s="609">
        <v>4680115880986</v>
      </c>
      <c r="E217" s="610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18</v>
      </c>
      <c r="Y217" s="606">
        <f t="shared" si="26"/>
        <v>18.900000000000002</v>
      </c>
      <c r="Z217" s="36">
        <f t="shared" ref="Z217:Z222" si="31">IFERROR(IF(Y217=0,"",ROUNDUP(Y217/H217,0)*0.00502),"")</f>
        <v>4.5179999999999998E-2</v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19.114285714285714</v>
      </c>
      <c r="BN217" s="64">
        <f t="shared" si="28"/>
        <v>20.07</v>
      </c>
      <c r="BO217" s="64">
        <f t="shared" si="29"/>
        <v>3.6630036630036632E-2</v>
      </c>
      <c r="BP217" s="64">
        <f t="shared" si="30"/>
        <v>3.8461538461538464E-2</v>
      </c>
    </row>
    <row r="218" spans="1:68" ht="27" customHeight="1" x14ac:dyDescent="0.25">
      <c r="A218" s="54" t="s">
        <v>365</v>
      </c>
      <c r="B218" s="54" t="s">
        <v>366</v>
      </c>
      <c r="C218" s="31">
        <v>4301031443</v>
      </c>
      <c r="D218" s="609">
        <v>4680115887213</v>
      </c>
      <c r="E218" s="610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4301031205</v>
      </c>
      <c r="D219" s="609">
        <v>4680115881785</v>
      </c>
      <c r="E219" s="610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4301031499</v>
      </c>
      <c r="D220" s="609">
        <v>4680115888432</v>
      </c>
      <c r="E220" s="610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customHeight="1" x14ac:dyDescent="0.25">
      <c r="A221" s="54" t="s">
        <v>373</v>
      </c>
      <c r="B221" s="54" t="s">
        <v>374</v>
      </c>
      <c r="C221" s="31">
        <v>4301031427</v>
      </c>
      <c r="D221" s="609">
        <v>4680115888104</v>
      </c>
      <c r="E221" s="610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4301031399</v>
      </c>
      <c r="D222" s="609">
        <v>4680115886537</v>
      </c>
      <c r="E222" s="610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43</v>
      </c>
      <c r="Y222" s="606">
        <f t="shared" si="26"/>
        <v>43.2</v>
      </c>
      <c r="Z222" s="36">
        <f t="shared" si="31"/>
        <v>0.12048</v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46.105555555555554</v>
      </c>
      <c r="BN222" s="64">
        <f t="shared" si="28"/>
        <v>46.32</v>
      </c>
      <c r="BO222" s="64">
        <f t="shared" si="29"/>
        <v>0.10208926875593544</v>
      </c>
      <c r="BP222" s="64">
        <f t="shared" si="30"/>
        <v>0.10256410256410257</v>
      </c>
    </row>
    <row r="223" spans="1:68" ht="27" customHeight="1" x14ac:dyDescent="0.25">
      <c r="A223" s="54" t="s">
        <v>379</v>
      </c>
      <c r="B223" s="54" t="s">
        <v>380</v>
      </c>
      <c r="C223" s="31">
        <v>4301031279</v>
      </c>
      <c r="D223" s="609">
        <v>4680115887596</v>
      </c>
      <c r="E223" s="610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0</v>
      </c>
      <c r="Y223" s="60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09">
        <v>4680115881679</v>
      </c>
      <c r="E224" s="610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80</v>
      </c>
      <c r="Y224" s="606">
        <f t="shared" si="26"/>
        <v>81.900000000000006</v>
      </c>
      <c r="Z224" s="36">
        <f>IFERROR(IF(Y224=0,"",ROUNDUP(Y224/H224,0)*0.00502),"")</f>
        <v>0.19578000000000001</v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83.80952380952381</v>
      </c>
      <c r="BN224" s="64">
        <f t="shared" si="28"/>
        <v>85.800000000000011</v>
      </c>
      <c r="BO224" s="64">
        <f t="shared" si="29"/>
        <v>0.16280016280016282</v>
      </c>
      <c r="BP224" s="64">
        <f t="shared" si="30"/>
        <v>0.16666666666666669</v>
      </c>
    </row>
    <row r="225" spans="1:68" ht="27" customHeight="1" x14ac:dyDescent="0.25">
      <c r="A225" s="54" t="s">
        <v>384</v>
      </c>
      <c r="B225" s="54" t="s">
        <v>385</v>
      </c>
      <c r="C225" s="31">
        <v>4301031158</v>
      </c>
      <c r="D225" s="609">
        <v>4680115880191</v>
      </c>
      <c r="E225" s="610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customHeight="1" x14ac:dyDescent="0.25">
      <c r="A226" s="54" t="s">
        <v>386</v>
      </c>
      <c r="B226" s="54" t="s">
        <v>387</v>
      </c>
      <c r="C226" s="31">
        <v>4301031245</v>
      </c>
      <c r="D226" s="609">
        <v>4680115883963</v>
      </c>
      <c r="E226" s="610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5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28"/>
      <c r="B227" s="617"/>
      <c r="C227" s="617"/>
      <c r="D227" s="617"/>
      <c r="E227" s="617"/>
      <c r="F227" s="617"/>
      <c r="G227" s="617"/>
      <c r="H227" s="617"/>
      <c r="I227" s="617"/>
      <c r="J227" s="617"/>
      <c r="K227" s="617"/>
      <c r="L227" s="617"/>
      <c r="M227" s="617"/>
      <c r="N227" s="617"/>
      <c r="O227" s="629"/>
      <c r="P227" s="621" t="s">
        <v>72</v>
      </c>
      <c r="Q227" s="622"/>
      <c r="R227" s="622"/>
      <c r="S227" s="622"/>
      <c r="T227" s="622"/>
      <c r="U227" s="622"/>
      <c r="V227" s="623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78.055555555555543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80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0.40592</v>
      </c>
      <c r="AA227" s="608"/>
      <c r="AB227" s="608"/>
      <c r="AC227" s="608"/>
    </row>
    <row r="228" spans="1:68" x14ac:dyDescent="0.2">
      <c r="A228" s="617"/>
      <c r="B228" s="617"/>
      <c r="C228" s="617"/>
      <c r="D228" s="617"/>
      <c r="E228" s="617"/>
      <c r="F228" s="617"/>
      <c r="G228" s="617"/>
      <c r="H228" s="617"/>
      <c r="I228" s="617"/>
      <c r="J228" s="617"/>
      <c r="K228" s="617"/>
      <c r="L228" s="617"/>
      <c r="M228" s="617"/>
      <c r="N228" s="617"/>
      <c r="O228" s="629"/>
      <c r="P228" s="621" t="s">
        <v>72</v>
      </c>
      <c r="Q228" s="622"/>
      <c r="R228" s="622"/>
      <c r="S228" s="622"/>
      <c r="T228" s="622"/>
      <c r="U228" s="622"/>
      <c r="V228" s="623"/>
      <c r="W228" s="37" t="s">
        <v>67</v>
      </c>
      <c r="X228" s="607">
        <f>IFERROR(SUM(X213:X226),"0")</f>
        <v>147</v>
      </c>
      <c r="Y228" s="607">
        <f>IFERROR(SUM(Y213:Y226),"0")</f>
        <v>150.4</v>
      </c>
      <c r="Z228" s="37"/>
      <c r="AA228" s="608"/>
      <c r="AB228" s="608"/>
      <c r="AC228" s="608"/>
    </row>
    <row r="229" spans="1:68" ht="14.25" customHeight="1" x14ac:dyDescent="0.25">
      <c r="A229" s="616" t="s">
        <v>74</v>
      </c>
      <c r="B229" s="617"/>
      <c r="C229" s="617"/>
      <c r="D229" s="617"/>
      <c r="E229" s="617"/>
      <c r="F229" s="617"/>
      <c r="G229" s="617"/>
      <c r="H229" s="617"/>
      <c r="I229" s="617"/>
      <c r="J229" s="617"/>
      <c r="K229" s="617"/>
      <c r="L229" s="617"/>
      <c r="M229" s="617"/>
      <c r="N229" s="617"/>
      <c r="O229" s="617"/>
      <c r="P229" s="617"/>
      <c r="Q229" s="617"/>
      <c r="R229" s="617"/>
      <c r="S229" s="617"/>
      <c r="T229" s="617"/>
      <c r="U229" s="617"/>
      <c r="V229" s="617"/>
      <c r="W229" s="617"/>
      <c r="X229" s="617"/>
      <c r="Y229" s="617"/>
      <c r="Z229" s="617"/>
      <c r="AA229" s="599"/>
      <c r="AB229" s="599"/>
      <c r="AC229" s="599"/>
    </row>
    <row r="230" spans="1:68" ht="27" customHeight="1" x14ac:dyDescent="0.25">
      <c r="A230" s="54" t="s">
        <v>389</v>
      </c>
      <c r="B230" s="54" t="s">
        <v>390</v>
      </c>
      <c r="C230" s="31">
        <v>4301052178</v>
      </c>
      <c r="D230" s="609">
        <v>4680115888975</v>
      </c>
      <c r="E230" s="610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2"/>
      <c r="R230" s="612"/>
      <c r="S230" s="612"/>
      <c r="T230" s="613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392</v>
      </c>
      <c r="B231" s="54" t="s">
        <v>393</v>
      </c>
      <c r="C231" s="31">
        <v>4301052209</v>
      </c>
      <c r="D231" s="609">
        <v>4680115888692</v>
      </c>
      <c r="E231" s="61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2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395</v>
      </c>
      <c r="B232" s="54" t="s">
        <v>396</v>
      </c>
      <c r="C232" s="31">
        <v>4301052213</v>
      </c>
      <c r="D232" s="609">
        <v>4680115888722</v>
      </c>
      <c r="E232" s="61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398</v>
      </c>
      <c r="B233" s="54" t="s">
        <v>399</v>
      </c>
      <c r="C233" s="31">
        <v>4301052177</v>
      </c>
      <c r="D233" s="609">
        <v>4680115888951</v>
      </c>
      <c r="E233" s="61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401</v>
      </c>
      <c r="B234" s="54" t="s">
        <v>402</v>
      </c>
      <c r="C234" s="31">
        <v>4301052176</v>
      </c>
      <c r="D234" s="609">
        <v>4680115888982</v>
      </c>
      <c r="E234" s="61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6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8"/>
      <c r="B235" s="617"/>
      <c r="C235" s="617"/>
      <c r="D235" s="617"/>
      <c r="E235" s="617"/>
      <c r="F235" s="617"/>
      <c r="G235" s="617"/>
      <c r="H235" s="617"/>
      <c r="I235" s="617"/>
      <c r="J235" s="617"/>
      <c r="K235" s="617"/>
      <c r="L235" s="617"/>
      <c r="M235" s="617"/>
      <c r="N235" s="617"/>
      <c r="O235" s="629"/>
      <c r="P235" s="621" t="s">
        <v>72</v>
      </c>
      <c r="Q235" s="622"/>
      <c r="R235" s="622"/>
      <c r="S235" s="622"/>
      <c r="T235" s="622"/>
      <c r="U235" s="622"/>
      <c r="V235" s="623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x14ac:dyDescent="0.2">
      <c r="A236" s="617"/>
      <c r="B236" s="617"/>
      <c r="C236" s="617"/>
      <c r="D236" s="617"/>
      <c r="E236" s="617"/>
      <c r="F236" s="617"/>
      <c r="G236" s="617"/>
      <c r="H236" s="617"/>
      <c r="I236" s="617"/>
      <c r="J236" s="617"/>
      <c r="K236" s="617"/>
      <c r="L236" s="617"/>
      <c r="M236" s="617"/>
      <c r="N236" s="617"/>
      <c r="O236" s="629"/>
      <c r="P236" s="621" t="s">
        <v>72</v>
      </c>
      <c r="Q236" s="622"/>
      <c r="R236" s="622"/>
      <c r="S236" s="622"/>
      <c r="T236" s="622"/>
      <c r="U236" s="622"/>
      <c r="V236" s="623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customHeight="1" x14ac:dyDescent="0.25">
      <c r="A237" s="616" t="s">
        <v>92</v>
      </c>
      <c r="B237" s="617"/>
      <c r="C237" s="617"/>
      <c r="D237" s="617"/>
      <c r="E237" s="617"/>
      <c r="F237" s="617"/>
      <c r="G237" s="617"/>
      <c r="H237" s="617"/>
      <c r="I237" s="617"/>
      <c r="J237" s="617"/>
      <c r="K237" s="617"/>
      <c r="L237" s="617"/>
      <c r="M237" s="617"/>
      <c r="N237" s="617"/>
      <c r="O237" s="617"/>
      <c r="P237" s="617"/>
      <c r="Q237" s="617"/>
      <c r="R237" s="617"/>
      <c r="S237" s="617"/>
      <c r="T237" s="617"/>
      <c r="U237" s="617"/>
      <c r="V237" s="617"/>
      <c r="W237" s="617"/>
      <c r="X237" s="617"/>
      <c r="Y237" s="617"/>
      <c r="Z237" s="617"/>
      <c r="AA237" s="599"/>
      <c r="AB237" s="599"/>
      <c r="AC237" s="599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09">
        <v>4680115886780</v>
      </c>
      <c r="E238" s="61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09">
        <v>4680115886742</v>
      </c>
      <c r="E239" s="61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3</v>
      </c>
      <c r="Y239" s="606">
        <f>IFERROR(IF(X239="",0,CEILING((X239/$H239),1)*$H239),"")</f>
        <v>3.7800000000000002</v>
      </c>
      <c r="Z239" s="36">
        <f>IFERROR(IF(Y239=0,"",ROUNDUP(Y239/H239,0)*0.0059),"")</f>
        <v>1.77E-2</v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3.4523809523809521</v>
      </c>
      <c r="BN239" s="64">
        <f>IFERROR(Y239*I239/H239,"0")</f>
        <v>4.3499999999999996</v>
      </c>
      <c r="BO239" s="64">
        <f>IFERROR(1/J239*(X239/H239),"0")</f>
        <v>1.1022927689594356E-2</v>
      </c>
      <c r="BP239" s="64">
        <f>IFERROR(1/J239*(Y239/H239),"0")</f>
        <v>1.3888888888888888E-2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09">
        <v>4680115886766</v>
      </c>
      <c r="E240" s="61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6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6</v>
      </c>
      <c r="Y240" s="606">
        <f>IFERROR(IF(X240="",0,CEILING((X240/$H240),1)*$H240),"")</f>
        <v>6.3</v>
      </c>
      <c r="Z240" s="36">
        <f>IFERROR(IF(Y240=0,"",ROUNDUP(Y240/H240,0)*0.0059),"")</f>
        <v>2.9499999999999998E-2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6.9047619047619042</v>
      </c>
      <c r="BN240" s="64">
        <f>IFERROR(Y240*I240/H240,"0")</f>
        <v>7.25</v>
      </c>
      <c r="BO240" s="64">
        <f>IFERROR(1/J240*(X240/H240),"0")</f>
        <v>2.2045855379188711E-2</v>
      </c>
      <c r="BP240" s="64">
        <f>IFERROR(1/J240*(Y240/H240),"0")</f>
        <v>2.3148148148148147E-2</v>
      </c>
    </row>
    <row r="241" spans="1:68" x14ac:dyDescent="0.2">
      <c r="A241" s="628"/>
      <c r="B241" s="617"/>
      <c r="C241" s="617"/>
      <c r="D241" s="617"/>
      <c r="E241" s="617"/>
      <c r="F241" s="617"/>
      <c r="G241" s="617"/>
      <c r="H241" s="617"/>
      <c r="I241" s="617"/>
      <c r="J241" s="617"/>
      <c r="K241" s="617"/>
      <c r="L241" s="617"/>
      <c r="M241" s="617"/>
      <c r="N241" s="617"/>
      <c r="O241" s="629"/>
      <c r="P241" s="621" t="s">
        <v>72</v>
      </c>
      <c r="Q241" s="622"/>
      <c r="R241" s="622"/>
      <c r="S241" s="622"/>
      <c r="T241" s="622"/>
      <c r="U241" s="622"/>
      <c r="V241" s="623"/>
      <c r="W241" s="37" t="s">
        <v>73</v>
      </c>
      <c r="X241" s="607">
        <f>IFERROR(X238/H238,"0")+IFERROR(X239/H239,"0")+IFERROR(X240/H240,"0")</f>
        <v>7.1428571428571423</v>
      </c>
      <c r="Y241" s="607">
        <f>IFERROR(Y238/H238,"0")+IFERROR(Y239/H239,"0")+IFERROR(Y240/H240,"0")</f>
        <v>8</v>
      </c>
      <c r="Z241" s="607">
        <f>IFERROR(IF(Z238="",0,Z238),"0")+IFERROR(IF(Z239="",0,Z239),"0")+IFERROR(IF(Z240="",0,Z240),"0")</f>
        <v>4.7199999999999999E-2</v>
      </c>
      <c r="AA241" s="608"/>
      <c r="AB241" s="608"/>
      <c r="AC241" s="608"/>
    </row>
    <row r="242" spans="1:68" x14ac:dyDescent="0.2">
      <c r="A242" s="617"/>
      <c r="B242" s="617"/>
      <c r="C242" s="617"/>
      <c r="D242" s="617"/>
      <c r="E242" s="617"/>
      <c r="F242" s="617"/>
      <c r="G242" s="617"/>
      <c r="H242" s="617"/>
      <c r="I242" s="617"/>
      <c r="J242" s="617"/>
      <c r="K242" s="617"/>
      <c r="L242" s="617"/>
      <c r="M242" s="617"/>
      <c r="N242" s="617"/>
      <c r="O242" s="629"/>
      <c r="P242" s="621" t="s">
        <v>72</v>
      </c>
      <c r="Q242" s="622"/>
      <c r="R242" s="622"/>
      <c r="S242" s="622"/>
      <c r="T242" s="622"/>
      <c r="U242" s="622"/>
      <c r="V242" s="623"/>
      <c r="W242" s="37" t="s">
        <v>67</v>
      </c>
      <c r="X242" s="607">
        <f>IFERROR(SUM(X238:X240),"0")</f>
        <v>9</v>
      </c>
      <c r="Y242" s="607">
        <f>IFERROR(SUM(Y238:Y240),"0")</f>
        <v>10.08</v>
      </c>
      <c r="Z242" s="37"/>
      <c r="AA242" s="608"/>
      <c r="AB242" s="608"/>
      <c r="AC242" s="608"/>
    </row>
    <row r="243" spans="1:68" ht="14.25" customHeight="1" x14ac:dyDescent="0.25">
      <c r="A243" s="616" t="s">
        <v>411</v>
      </c>
      <c r="B243" s="617"/>
      <c r="C243" s="617"/>
      <c r="D243" s="617"/>
      <c r="E243" s="617"/>
      <c r="F243" s="617"/>
      <c r="G243" s="617"/>
      <c r="H243" s="617"/>
      <c r="I243" s="617"/>
      <c r="J243" s="617"/>
      <c r="K243" s="617"/>
      <c r="L243" s="617"/>
      <c r="M243" s="617"/>
      <c r="N243" s="617"/>
      <c r="O243" s="617"/>
      <c r="P243" s="617"/>
      <c r="Q243" s="617"/>
      <c r="R243" s="617"/>
      <c r="S243" s="617"/>
      <c r="T243" s="617"/>
      <c r="U243" s="617"/>
      <c r="V243" s="617"/>
      <c r="W243" s="617"/>
      <c r="X243" s="617"/>
      <c r="Y243" s="617"/>
      <c r="Z243" s="617"/>
      <c r="AA243" s="599"/>
      <c r="AB243" s="599"/>
      <c r="AC243" s="599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09">
        <v>4680115886797</v>
      </c>
      <c r="E244" s="61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3</v>
      </c>
      <c r="Y244" s="606">
        <f>IFERROR(IF(X244="",0,CEILING((X244/$H244),1)*$H244),"")</f>
        <v>3.7800000000000002</v>
      </c>
      <c r="Z244" s="36">
        <f>IFERROR(IF(Y244=0,"",ROUNDUP(Y244/H244,0)*0.0059),"")</f>
        <v>1.77E-2</v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3.4523809523809521</v>
      </c>
      <c r="BN244" s="64">
        <f>IFERROR(Y244*I244/H244,"0")</f>
        <v>4.3499999999999996</v>
      </c>
      <c r="BO244" s="64">
        <f>IFERROR(1/J244*(X244/H244),"0")</f>
        <v>1.1022927689594356E-2</v>
      </c>
      <c r="BP244" s="64">
        <f>IFERROR(1/J244*(Y244/H244),"0")</f>
        <v>1.3888888888888888E-2</v>
      </c>
    </row>
    <row r="245" spans="1:68" x14ac:dyDescent="0.2">
      <c r="A245" s="628"/>
      <c r="B245" s="617"/>
      <c r="C245" s="617"/>
      <c r="D245" s="617"/>
      <c r="E245" s="617"/>
      <c r="F245" s="617"/>
      <c r="G245" s="617"/>
      <c r="H245" s="617"/>
      <c r="I245" s="617"/>
      <c r="J245" s="617"/>
      <c r="K245" s="617"/>
      <c r="L245" s="617"/>
      <c r="M245" s="617"/>
      <c r="N245" s="617"/>
      <c r="O245" s="629"/>
      <c r="P245" s="621" t="s">
        <v>72</v>
      </c>
      <c r="Q245" s="622"/>
      <c r="R245" s="622"/>
      <c r="S245" s="622"/>
      <c r="T245" s="622"/>
      <c r="U245" s="622"/>
      <c r="V245" s="623"/>
      <c r="W245" s="37" t="s">
        <v>73</v>
      </c>
      <c r="X245" s="607">
        <f>IFERROR(X244/H244,"0")</f>
        <v>2.3809523809523809</v>
      </c>
      <c r="Y245" s="607">
        <f>IFERROR(Y244/H244,"0")</f>
        <v>3</v>
      </c>
      <c r="Z245" s="607">
        <f>IFERROR(IF(Z244="",0,Z244),"0")</f>
        <v>1.77E-2</v>
      </c>
      <c r="AA245" s="608"/>
      <c r="AB245" s="608"/>
      <c r="AC245" s="608"/>
    </row>
    <row r="246" spans="1:68" x14ac:dyDescent="0.2">
      <c r="A246" s="617"/>
      <c r="B246" s="617"/>
      <c r="C246" s="617"/>
      <c r="D246" s="617"/>
      <c r="E246" s="617"/>
      <c r="F246" s="617"/>
      <c r="G246" s="617"/>
      <c r="H246" s="617"/>
      <c r="I246" s="617"/>
      <c r="J246" s="617"/>
      <c r="K246" s="617"/>
      <c r="L246" s="617"/>
      <c r="M246" s="617"/>
      <c r="N246" s="617"/>
      <c r="O246" s="629"/>
      <c r="P246" s="621" t="s">
        <v>72</v>
      </c>
      <c r="Q246" s="622"/>
      <c r="R246" s="622"/>
      <c r="S246" s="622"/>
      <c r="T246" s="622"/>
      <c r="U246" s="622"/>
      <c r="V246" s="623"/>
      <c r="W246" s="37" t="s">
        <v>67</v>
      </c>
      <c r="X246" s="607">
        <f>IFERROR(SUM(X244:X244),"0")</f>
        <v>3</v>
      </c>
      <c r="Y246" s="607">
        <f>IFERROR(SUM(Y244:Y244),"0")</f>
        <v>3.7800000000000002</v>
      </c>
      <c r="Z246" s="37"/>
      <c r="AA246" s="608"/>
      <c r="AB246" s="608"/>
      <c r="AC246" s="608"/>
    </row>
    <row r="247" spans="1:68" ht="16.5" customHeight="1" x14ac:dyDescent="0.25">
      <c r="A247" s="626" t="s">
        <v>414</v>
      </c>
      <c r="B247" s="617"/>
      <c r="C247" s="617"/>
      <c r="D247" s="617"/>
      <c r="E247" s="617"/>
      <c r="F247" s="617"/>
      <c r="G247" s="617"/>
      <c r="H247" s="617"/>
      <c r="I247" s="617"/>
      <c r="J247" s="617"/>
      <c r="K247" s="617"/>
      <c r="L247" s="617"/>
      <c r="M247" s="617"/>
      <c r="N247" s="617"/>
      <c r="O247" s="617"/>
      <c r="P247" s="617"/>
      <c r="Q247" s="617"/>
      <c r="R247" s="617"/>
      <c r="S247" s="617"/>
      <c r="T247" s="617"/>
      <c r="U247" s="617"/>
      <c r="V247" s="617"/>
      <c r="W247" s="617"/>
      <c r="X247" s="617"/>
      <c r="Y247" s="617"/>
      <c r="Z247" s="617"/>
      <c r="AA247" s="600"/>
      <c r="AB247" s="600"/>
      <c r="AC247" s="600"/>
    </row>
    <row r="248" spans="1:68" ht="14.25" customHeight="1" x14ac:dyDescent="0.25">
      <c r="A248" s="616" t="s">
        <v>118</v>
      </c>
      <c r="B248" s="617"/>
      <c r="C248" s="617"/>
      <c r="D248" s="617"/>
      <c r="E248" s="617"/>
      <c r="F248" s="617"/>
      <c r="G248" s="617"/>
      <c r="H248" s="617"/>
      <c r="I248" s="617"/>
      <c r="J248" s="617"/>
      <c r="K248" s="617"/>
      <c r="L248" s="617"/>
      <c r="M248" s="617"/>
      <c r="N248" s="617"/>
      <c r="O248" s="617"/>
      <c r="P248" s="617"/>
      <c r="Q248" s="617"/>
      <c r="R248" s="617"/>
      <c r="S248" s="617"/>
      <c r="T248" s="617"/>
      <c r="U248" s="617"/>
      <c r="V248" s="617"/>
      <c r="W248" s="617"/>
      <c r="X248" s="617"/>
      <c r="Y248" s="617"/>
      <c r="Z248" s="617"/>
      <c r="AA248" s="599"/>
      <c r="AB248" s="599"/>
      <c r="AC248" s="599"/>
    </row>
    <row r="249" spans="1:68" ht="27" customHeight="1" x14ac:dyDescent="0.25">
      <c r="A249" s="54" t="s">
        <v>415</v>
      </c>
      <c r="B249" s="54" t="s">
        <v>416</v>
      </c>
      <c r="C249" s="31">
        <v>4301011450</v>
      </c>
      <c r="D249" s="609">
        <v>4680115881402</v>
      </c>
      <c r="E249" s="61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418</v>
      </c>
      <c r="B250" s="54" t="s">
        <v>419</v>
      </c>
      <c r="C250" s="31">
        <v>4301011768</v>
      </c>
      <c r="D250" s="609">
        <v>4680115881396</v>
      </c>
      <c r="E250" s="61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7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8"/>
      <c r="B251" s="617"/>
      <c r="C251" s="617"/>
      <c r="D251" s="617"/>
      <c r="E251" s="617"/>
      <c r="F251" s="617"/>
      <c r="G251" s="617"/>
      <c r="H251" s="617"/>
      <c r="I251" s="617"/>
      <c r="J251" s="617"/>
      <c r="K251" s="617"/>
      <c r="L251" s="617"/>
      <c r="M251" s="617"/>
      <c r="N251" s="617"/>
      <c r="O251" s="629"/>
      <c r="P251" s="621" t="s">
        <v>72</v>
      </c>
      <c r="Q251" s="622"/>
      <c r="R251" s="622"/>
      <c r="S251" s="622"/>
      <c r="T251" s="622"/>
      <c r="U251" s="622"/>
      <c r="V251" s="623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x14ac:dyDescent="0.2">
      <c r="A252" s="617"/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29"/>
      <c r="P252" s="621" t="s">
        <v>72</v>
      </c>
      <c r="Q252" s="622"/>
      <c r="R252" s="622"/>
      <c r="S252" s="622"/>
      <c r="T252" s="622"/>
      <c r="U252" s="622"/>
      <c r="V252" s="623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customHeight="1" x14ac:dyDescent="0.25">
      <c r="A253" s="616" t="s">
        <v>155</v>
      </c>
      <c r="B253" s="617"/>
      <c r="C253" s="617"/>
      <c r="D253" s="617"/>
      <c r="E253" s="617"/>
      <c r="F253" s="617"/>
      <c r="G253" s="617"/>
      <c r="H253" s="617"/>
      <c r="I253" s="617"/>
      <c r="J253" s="617"/>
      <c r="K253" s="617"/>
      <c r="L253" s="617"/>
      <c r="M253" s="617"/>
      <c r="N253" s="617"/>
      <c r="O253" s="617"/>
      <c r="P253" s="617"/>
      <c r="Q253" s="617"/>
      <c r="R253" s="617"/>
      <c r="S253" s="617"/>
      <c r="T253" s="617"/>
      <c r="U253" s="617"/>
      <c r="V253" s="617"/>
      <c r="W253" s="617"/>
      <c r="X253" s="617"/>
      <c r="Y253" s="617"/>
      <c r="Z253" s="617"/>
      <c r="AA253" s="599"/>
      <c r="AB253" s="599"/>
      <c r="AC253" s="599"/>
    </row>
    <row r="254" spans="1:68" ht="16.5" customHeight="1" x14ac:dyDescent="0.25">
      <c r="A254" s="54" t="s">
        <v>420</v>
      </c>
      <c r="B254" s="54" t="s">
        <v>421</v>
      </c>
      <c r="C254" s="31">
        <v>4301020261</v>
      </c>
      <c r="D254" s="609">
        <v>4680115882935</v>
      </c>
      <c r="E254" s="61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423</v>
      </c>
      <c r="B255" s="54" t="s">
        <v>424</v>
      </c>
      <c r="C255" s="31">
        <v>4301020220</v>
      </c>
      <c r="D255" s="609">
        <v>4680115880764</v>
      </c>
      <c r="E255" s="61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8"/>
      <c r="B256" s="617"/>
      <c r="C256" s="617"/>
      <c r="D256" s="617"/>
      <c r="E256" s="617"/>
      <c r="F256" s="617"/>
      <c r="G256" s="617"/>
      <c r="H256" s="617"/>
      <c r="I256" s="617"/>
      <c r="J256" s="617"/>
      <c r="K256" s="617"/>
      <c r="L256" s="617"/>
      <c r="M256" s="617"/>
      <c r="N256" s="617"/>
      <c r="O256" s="629"/>
      <c r="P256" s="621" t="s">
        <v>72</v>
      </c>
      <c r="Q256" s="622"/>
      <c r="R256" s="622"/>
      <c r="S256" s="622"/>
      <c r="T256" s="622"/>
      <c r="U256" s="622"/>
      <c r="V256" s="623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x14ac:dyDescent="0.2">
      <c r="A257" s="617"/>
      <c r="B257" s="617"/>
      <c r="C257" s="617"/>
      <c r="D257" s="617"/>
      <c r="E257" s="617"/>
      <c r="F257" s="617"/>
      <c r="G257" s="617"/>
      <c r="H257" s="617"/>
      <c r="I257" s="617"/>
      <c r="J257" s="617"/>
      <c r="K257" s="617"/>
      <c r="L257" s="617"/>
      <c r="M257" s="617"/>
      <c r="N257" s="617"/>
      <c r="O257" s="629"/>
      <c r="P257" s="621" t="s">
        <v>72</v>
      </c>
      <c r="Q257" s="622"/>
      <c r="R257" s="622"/>
      <c r="S257" s="622"/>
      <c r="T257" s="622"/>
      <c r="U257" s="622"/>
      <c r="V257" s="623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customHeight="1" x14ac:dyDescent="0.25">
      <c r="A258" s="616" t="s">
        <v>62</v>
      </c>
      <c r="B258" s="617"/>
      <c r="C258" s="617"/>
      <c r="D258" s="617"/>
      <c r="E258" s="617"/>
      <c r="F258" s="617"/>
      <c r="G258" s="617"/>
      <c r="H258" s="617"/>
      <c r="I258" s="617"/>
      <c r="J258" s="617"/>
      <c r="K258" s="617"/>
      <c r="L258" s="617"/>
      <c r="M258" s="617"/>
      <c r="N258" s="617"/>
      <c r="O258" s="617"/>
      <c r="P258" s="617"/>
      <c r="Q258" s="617"/>
      <c r="R258" s="617"/>
      <c r="S258" s="617"/>
      <c r="T258" s="617"/>
      <c r="U258" s="617"/>
      <c r="V258" s="617"/>
      <c r="W258" s="617"/>
      <c r="X258" s="617"/>
      <c r="Y258" s="617"/>
      <c r="Z258" s="617"/>
      <c r="AA258" s="599"/>
      <c r="AB258" s="599"/>
      <c r="AC258" s="599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09">
        <v>4680115882683</v>
      </c>
      <c r="E259" s="61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131</v>
      </c>
      <c r="Y259" s="606">
        <f t="shared" ref="Y259:Y266" si="32">IFERROR(IF(X259="",0,CEILING((X259/$H259),1)*$H259),"")</f>
        <v>135</v>
      </c>
      <c r="Z259" s="36">
        <f>IFERROR(IF(Y259=0,"",ROUNDUP(Y259/H259,0)*0.00902),"")</f>
        <v>0.22550000000000001</v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135.60925925925923</v>
      </c>
      <c r="BN259" s="64">
        <f t="shared" ref="BN259:BN266" si="34">IFERROR(Y259*I259/H259,"0")</f>
        <v>139.75</v>
      </c>
      <c r="BO259" s="64">
        <f t="shared" ref="BO259:BO266" si="35">IFERROR(1/J259*(X259/H259),"0")</f>
        <v>0.18378226711560042</v>
      </c>
      <c r="BP259" s="64">
        <f t="shared" ref="BP259:BP266" si="36">IFERROR(1/J259*(Y259/H259),"0")</f>
        <v>0.18939393939393939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09">
        <v>4680115882690</v>
      </c>
      <c r="E260" s="61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49</v>
      </c>
      <c r="Y260" s="606">
        <f t="shared" si="32"/>
        <v>54</v>
      </c>
      <c r="Z260" s="36">
        <f>IFERROR(IF(Y260=0,"",ROUNDUP(Y260/H260,0)*0.00902),"")</f>
        <v>9.0200000000000002E-2</v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50.724074074074068</v>
      </c>
      <c r="BN260" s="64">
        <f t="shared" si="34"/>
        <v>55.9</v>
      </c>
      <c r="BO260" s="64">
        <f t="shared" si="35"/>
        <v>6.8742985409652069E-2</v>
      </c>
      <c r="BP260" s="64">
        <f t="shared" si="36"/>
        <v>7.575757575757576E-2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09">
        <v>4680115882669</v>
      </c>
      <c r="E261" s="61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112</v>
      </c>
      <c r="Y261" s="606">
        <f t="shared" si="32"/>
        <v>113.4</v>
      </c>
      <c r="Z261" s="36">
        <f>IFERROR(IF(Y261=0,"",ROUNDUP(Y261/H261,0)*0.00902),"")</f>
        <v>0.18942000000000001</v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115.94074074074072</v>
      </c>
      <c r="BN261" s="64">
        <f t="shared" si="34"/>
        <v>117.39</v>
      </c>
      <c r="BO261" s="64">
        <f t="shared" si="35"/>
        <v>0.15712682379349047</v>
      </c>
      <c r="BP261" s="64">
        <f t="shared" si="36"/>
        <v>0.15909090909090909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09">
        <v>4680115882676</v>
      </c>
      <c r="E262" s="61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0</v>
      </c>
      <c r="Y262" s="606">
        <f t="shared" si="32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0</v>
      </c>
      <c r="BN262" s="64">
        <f t="shared" si="34"/>
        <v>0</v>
      </c>
      <c r="BO262" s="64">
        <f t="shared" si="35"/>
        <v>0</v>
      </c>
      <c r="BP262" s="64">
        <f t="shared" si="36"/>
        <v>0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09">
        <v>4680115884014</v>
      </c>
      <c r="E263" s="61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51</v>
      </c>
      <c r="Y263" s="606">
        <f t="shared" si="32"/>
        <v>52.2</v>
      </c>
      <c r="Z263" s="36">
        <f>IFERROR(IF(Y263=0,"",ROUNDUP(Y263/H263,0)*0.00502),"")</f>
        <v>0.14558000000000001</v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54.68333333333333</v>
      </c>
      <c r="BN263" s="64">
        <f t="shared" si="34"/>
        <v>55.970000000000006</v>
      </c>
      <c r="BO263" s="64">
        <f t="shared" si="35"/>
        <v>0.12108262108262109</v>
      </c>
      <c r="BP263" s="64">
        <f t="shared" si="36"/>
        <v>0.12393162393162395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09">
        <v>4680115884007</v>
      </c>
      <c r="E264" s="61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54</v>
      </c>
      <c r="Y264" s="606">
        <f t="shared" si="32"/>
        <v>54</v>
      </c>
      <c r="Z264" s="36">
        <f>IFERROR(IF(Y264=0,"",ROUNDUP(Y264/H264,0)*0.00502),"")</f>
        <v>0.15060000000000001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56.999999999999993</v>
      </c>
      <c r="BN264" s="64">
        <f t="shared" si="34"/>
        <v>56.999999999999993</v>
      </c>
      <c r="BO264" s="64">
        <f t="shared" si="35"/>
        <v>0.12820512820512822</v>
      </c>
      <c r="BP264" s="64">
        <f t="shared" si="36"/>
        <v>0.12820512820512822</v>
      </c>
    </row>
    <row r="265" spans="1:68" ht="27" customHeight="1" x14ac:dyDescent="0.25">
      <c r="A265" s="54" t="s">
        <v>441</v>
      </c>
      <c r="B265" s="54" t="s">
        <v>442</v>
      </c>
      <c r="C265" s="31">
        <v>4301031229</v>
      </c>
      <c r="D265" s="609">
        <v>4680115884038</v>
      </c>
      <c r="E265" s="61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09">
        <v>4680115884021</v>
      </c>
      <c r="E266" s="61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40</v>
      </c>
      <c r="Y266" s="606">
        <f t="shared" si="32"/>
        <v>41.4</v>
      </c>
      <c r="Z266" s="36">
        <f>IFERROR(IF(Y266=0,"",ROUNDUP(Y266/H266,0)*0.00502),"")</f>
        <v>0.11546000000000001</v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42.222222222222221</v>
      </c>
      <c r="BN266" s="64">
        <f t="shared" si="34"/>
        <v>43.699999999999996</v>
      </c>
      <c r="BO266" s="64">
        <f t="shared" si="35"/>
        <v>9.4966761633428307E-2</v>
      </c>
      <c r="BP266" s="64">
        <f t="shared" si="36"/>
        <v>9.8290598290598302E-2</v>
      </c>
    </row>
    <row r="267" spans="1:68" x14ac:dyDescent="0.2">
      <c r="A267" s="628"/>
      <c r="B267" s="617"/>
      <c r="C267" s="617"/>
      <c r="D267" s="617"/>
      <c r="E267" s="617"/>
      <c r="F267" s="617"/>
      <c r="G267" s="617"/>
      <c r="H267" s="617"/>
      <c r="I267" s="617"/>
      <c r="J267" s="617"/>
      <c r="K267" s="617"/>
      <c r="L267" s="617"/>
      <c r="M267" s="617"/>
      <c r="N267" s="617"/>
      <c r="O267" s="629"/>
      <c r="P267" s="621" t="s">
        <v>72</v>
      </c>
      <c r="Q267" s="622"/>
      <c r="R267" s="622"/>
      <c r="S267" s="622"/>
      <c r="T267" s="622"/>
      <c r="U267" s="622"/>
      <c r="V267" s="623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134.62962962962962</v>
      </c>
      <c r="Y267" s="607">
        <f>IFERROR(Y259/H259,"0")+IFERROR(Y260/H260,"0")+IFERROR(Y261/H261,"0")+IFERROR(Y262/H262,"0")+IFERROR(Y263/H263,"0")+IFERROR(Y264/H264,"0")+IFERROR(Y265/H265,"0")+IFERROR(Y266/H266,"0")</f>
        <v>138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0.91676000000000013</v>
      </c>
      <c r="AA267" s="608"/>
      <c r="AB267" s="608"/>
      <c r="AC267" s="608"/>
    </row>
    <row r="268" spans="1:68" x14ac:dyDescent="0.2">
      <c r="A268" s="617"/>
      <c r="B268" s="617"/>
      <c r="C268" s="617"/>
      <c r="D268" s="617"/>
      <c r="E268" s="617"/>
      <c r="F268" s="617"/>
      <c r="G268" s="617"/>
      <c r="H268" s="617"/>
      <c r="I268" s="617"/>
      <c r="J268" s="617"/>
      <c r="K268" s="617"/>
      <c r="L268" s="617"/>
      <c r="M268" s="617"/>
      <c r="N268" s="617"/>
      <c r="O268" s="629"/>
      <c r="P268" s="621" t="s">
        <v>72</v>
      </c>
      <c r="Q268" s="622"/>
      <c r="R268" s="622"/>
      <c r="S268" s="622"/>
      <c r="T268" s="622"/>
      <c r="U268" s="622"/>
      <c r="V268" s="623"/>
      <c r="W268" s="37" t="s">
        <v>67</v>
      </c>
      <c r="X268" s="607">
        <f>IFERROR(SUM(X259:X266),"0")</f>
        <v>437</v>
      </c>
      <c r="Y268" s="607">
        <f>IFERROR(SUM(Y259:Y266),"0")</f>
        <v>449.99999999999994</v>
      </c>
      <c r="Z268" s="37"/>
      <c r="AA268" s="608"/>
      <c r="AB268" s="608"/>
      <c r="AC268" s="608"/>
    </row>
    <row r="269" spans="1:68" ht="14.25" customHeight="1" x14ac:dyDescent="0.25">
      <c r="A269" s="616" t="s">
        <v>74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599"/>
      <c r="AB269" s="599"/>
      <c r="AC269" s="599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09">
        <v>4680115881594</v>
      </c>
      <c r="E270" s="61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120</v>
      </c>
      <c r="Y270" s="606">
        <f t="shared" ref="Y270:Y281" si="37">IFERROR(IF(X270="",0,CEILING((X270/$H270),1)*$H270),"")</f>
        <v>121.5</v>
      </c>
      <c r="Z270" s="36">
        <f>IFERROR(IF(Y270=0,"",ROUNDUP(Y270/H270,0)*0.01898),"")</f>
        <v>0.28470000000000001</v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127.31851851851852</v>
      </c>
      <c r="BN270" s="64">
        <f t="shared" ref="BN270:BN281" si="39">IFERROR(Y270*I270/H270,"0")</f>
        <v>128.91</v>
      </c>
      <c r="BO270" s="64">
        <f t="shared" ref="BO270:BO281" si="40">IFERROR(1/J270*(X270/H270),"0")</f>
        <v>0.23148148148148148</v>
      </c>
      <c r="BP270" s="64">
        <f t="shared" ref="BP270:BP281" si="41">IFERROR(1/J270*(Y270/H270),"0")</f>
        <v>0.234375</v>
      </c>
    </row>
    <row r="271" spans="1:68" ht="27" customHeight="1" x14ac:dyDescent="0.25">
      <c r="A271" s="54" t="s">
        <v>448</v>
      </c>
      <c r="B271" s="54" t="s">
        <v>449</v>
      </c>
      <c r="C271" s="31">
        <v>4301051411</v>
      </c>
      <c r="D271" s="609">
        <v>4680115881617</v>
      </c>
      <c r="E271" s="61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19</v>
      </c>
      <c r="Y271" s="606">
        <f t="shared" si="37"/>
        <v>24.299999999999997</v>
      </c>
      <c r="Z271" s="36">
        <f>IFERROR(IF(Y271=0,"",ROUNDUP(Y271/H271,0)*0.01898),"")</f>
        <v>5.6940000000000004E-2</v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20.116543209876546</v>
      </c>
      <c r="BN271" s="64">
        <f t="shared" si="39"/>
        <v>25.727999999999998</v>
      </c>
      <c r="BO271" s="64">
        <f t="shared" si="40"/>
        <v>3.6651234567901238E-2</v>
      </c>
      <c r="BP271" s="64">
        <f t="shared" si="41"/>
        <v>4.6875E-2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09">
        <v>4680115880573</v>
      </c>
      <c r="E272" s="61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6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10</v>
      </c>
      <c r="Y272" s="606">
        <f t="shared" si="37"/>
        <v>17.399999999999999</v>
      </c>
      <c r="Z272" s="36">
        <f>IFERROR(IF(Y272=0,"",ROUNDUP(Y272/H272,0)*0.01898),"")</f>
        <v>3.7960000000000001E-2</v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10.567816091954025</v>
      </c>
      <c r="BN272" s="64">
        <f t="shared" si="39"/>
        <v>18.388000000000002</v>
      </c>
      <c r="BO272" s="64">
        <f t="shared" si="40"/>
        <v>1.7959770114942531E-2</v>
      </c>
      <c r="BP272" s="64">
        <f t="shared" si="41"/>
        <v>3.125E-2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09">
        <v>4680115882195</v>
      </c>
      <c r="E273" s="61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291</v>
      </c>
      <c r="Y273" s="606">
        <f t="shared" si="37"/>
        <v>292.8</v>
      </c>
      <c r="Z273" s="36">
        <f>IFERROR(IF(Y273=0,"",ROUNDUP(Y273/H273,0)*0.00651),"")</f>
        <v>0.79422000000000004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323.73750000000001</v>
      </c>
      <c r="BN273" s="64">
        <f t="shared" si="39"/>
        <v>325.74</v>
      </c>
      <c r="BO273" s="64">
        <f t="shared" si="40"/>
        <v>0.66620879120879128</v>
      </c>
      <c r="BP273" s="64">
        <f t="shared" si="41"/>
        <v>0.6703296703296705</v>
      </c>
    </row>
    <row r="274" spans="1:68" ht="27" customHeight="1" x14ac:dyDescent="0.25">
      <c r="A274" s="54" t="s">
        <v>456</v>
      </c>
      <c r="B274" s="54" t="s">
        <v>457</v>
      </c>
      <c r="C274" s="31">
        <v>4301051752</v>
      </c>
      <c r="D274" s="609">
        <v>4680115882607</v>
      </c>
      <c r="E274" s="61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4301052143</v>
      </c>
      <c r="D275" s="609">
        <v>4680115882607</v>
      </c>
      <c r="E275" s="61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5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09">
        <v>4680115880092</v>
      </c>
      <c r="E276" s="61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651</v>
      </c>
      <c r="Y276" s="606">
        <f t="shared" si="37"/>
        <v>652.79999999999995</v>
      </c>
      <c r="Z276" s="36">
        <f>IFERROR(IF(Y276=0,"",ROUNDUP(Y276/H276,0)*0.00651),"")</f>
        <v>1.7707200000000001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719.35500000000002</v>
      </c>
      <c r="BN276" s="64">
        <f t="shared" si="39"/>
        <v>721.34400000000005</v>
      </c>
      <c r="BO276" s="64">
        <f t="shared" si="40"/>
        <v>1.4903846153846154</v>
      </c>
      <c r="BP276" s="64">
        <f t="shared" si="41"/>
        <v>1.4945054945054945</v>
      </c>
    </row>
    <row r="277" spans="1:68" ht="27" customHeight="1" x14ac:dyDescent="0.25">
      <c r="A277" s="54" t="s">
        <v>463</v>
      </c>
      <c r="B277" s="54" t="s">
        <v>464</v>
      </c>
      <c r="C277" s="31">
        <v>4301052214</v>
      </c>
      <c r="D277" s="609">
        <v>4680115889064</v>
      </c>
      <c r="E277" s="61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7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09">
        <v>4680115880221</v>
      </c>
      <c r="E278" s="61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322</v>
      </c>
      <c r="Y278" s="606">
        <f t="shared" si="37"/>
        <v>324</v>
      </c>
      <c r="Z278" s="36">
        <f>IFERROR(IF(Y278=0,"",ROUNDUP(Y278/H278,0)*0.00651),"")</f>
        <v>0.87885000000000002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355.81000000000006</v>
      </c>
      <c r="BN278" s="64">
        <f t="shared" si="39"/>
        <v>358.02000000000004</v>
      </c>
      <c r="BO278" s="64">
        <f t="shared" si="40"/>
        <v>0.73717948717948734</v>
      </c>
      <c r="BP278" s="64">
        <f t="shared" si="41"/>
        <v>0.74175824175824179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09">
        <v>4680115880504</v>
      </c>
      <c r="E279" s="61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78</v>
      </c>
      <c r="Y279" s="606">
        <f t="shared" si="37"/>
        <v>79.2</v>
      </c>
      <c r="Z279" s="36">
        <f>IFERROR(IF(Y279=0,"",ROUNDUP(Y279/H279,0)*0.00651),"")</f>
        <v>0.21482999999999999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86.190000000000012</v>
      </c>
      <c r="BN279" s="64">
        <f t="shared" si="39"/>
        <v>87.51600000000002</v>
      </c>
      <c r="BO279" s="64">
        <f t="shared" si="40"/>
        <v>0.17857142857142858</v>
      </c>
      <c r="BP279" s="64">
        <f t="shared" si="41"/>
        <v>0.18131868131868134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09">
        <v>4680115882164</v>
      </c>
      <c r="E280" s="61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60</v>
      </c>
      <c r="Y280" s="606">
        <f t="shared" si="37"/>
        <v>60</v>
      </c>
      <c r="Z280" s="36">
        <f>IFERROR(IF(Y280=0,"",ROUNDUP(Y280/H280,0)*0.00651),"")</f>
        <v>0.16275000000000001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66.45</v>
      </c>
      <c r="BN280" s="64">
        <f t="shared" si="39"/>
        <v>66.45</v>
      </c>
      <c r="BO280" s="64">
        <f t="shared" si="40"/>
        <v>0.13736263736263737</v>
      </c>
      <c r="BP280" s="64">
        <f t="shared" si="41"/>
        <v>0.13736263736263737</v>
      </c>
    </row>
    <row r="281" spans="1:68" ht="27" customHeight="1" x14ac:dyDescent="0.25">
      <c r="A281" s="54" t="s">
        <v>473</v>
      </c>
      <c r="B281" s="54" t="s">
        <v>474</v>
      </c>
      <c r="C281" s="31">
        <v>4301052180</v>
      </c>
      <c r="D281" s="609">
        <v>4680115888340</v>
      </c>
      <c r="E281" s="61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28"/>
      <c r="B282" s="617"/>
      <c r="C282" s="617"/>
      <c r="D282" s="617"/>
      <c r="E282" s="617"/>
      <c r="F282" s="617"/>
      <c r="G282" s="617"/>
      <c r="H282" s="617"/>
      <c r="I282" s="617"/>
      <c r="J282" s="617"/>
      <c r="K282" s="617"/>
      <c r="L282" s="617"/>
      <c r="M282" s="617"/>
      <c r="N282" s="617"/>
      <c r="O282" s="629"/>
      <c r="P282" s="621" t="s">
        <v>72</v>
      </c>
      <c r="Q282" s="622"/>
      <c r="R282" s="622"/>
      <c r="S282" s="622"/>
      <c r="T282" s="622"/>
      <c r="U282" s="622"/>
      <c r="V282" s="623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602.47658578118353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607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4.2009699999999999</v>
      </c>
      <c r="AA282" s="608"/>
      <c r="AB282" s="608"/>
      <c r="AC282" s="608"/>
    </row>
    <row r="283" spans="1:68" x14ac:dyDescent="0.2">
      <c r="A283" s="617"/>
      <c r="B283" s="617"/>
      <c r="C283" s="617"/>
      <c r="D283" s="617"/>
      <c r="E283" s="617"/>
      <c r="F283" s="617"/>
      <c r="G283" s="617"/>
      <c r="H283" s="617"/>
      <c r="I283" s="617"/>
      <c r="J283" s="617"/>
      <c r="K283" s="617"/>
      <c r="L283" s="617"/>
      <c r="M283" s="617"/>
      <c r="N283" s="617"/>
      <c r="O283" s="629"/>
      <c r="P283" s="621" t="s">
        <v>72</v>
      </c>
      <c r="Q283" s="622"/>
      <c r="R283" s="622"/>
      <c r="S283" s="622"/>
      <c r="T283" s="622"/>
      <c r="U283" s="622"/>
      <c r="V283" s="623"/>
      <c r="W283" s="37" t="s">
        <v>67</v>
      </c>
      <c r="X283" s="607">
        <f>IFERROR(SUM(X270:X281),"0")</f>
        <v>1551</v>
      </c>
      <c r="Y283" s="607">
        <f>IFERROR(SUM(Y270:Y281),"0")</f>
        <v>1572</v>
      </c>
      <c r="Z283" s="37"/>
      <c r="AA283" s="608"/>
      <c r="AB283" s="608"/>
      <c r="AC283" s="608"/>
    </row>
    <row r="284" spans="1:68" ht="14.25" customHeight="1" x14ac:dyDescent="0.25">
      <c r="A284" s="616" t="s">
        <v>172</v>
      </c>
      <c r="B284" s="617"/>
      <c r="C284" s="617"/>
      <c r="D284" s="617"/>
      <c r="E284" s="617"/>
      <c r="F284" s="617"/>
      <c r="G284" s="617"/>
      <c r="H284" s="617"/>
      <c r="I284" s="617"/>
      <c r="J284" s="617"/>
      <c r="K284" s="617"/>
      <c r="L284" s="617"/>
      <c r="M284" s="617"/>
      <c r="N284" s="617"/>
      <c r="O284" s="617"/>
      <c r="P284" s="617"/>
      <c r="Q284" s="617"/>
      <c r="R284" s="617"/>
      <c r="S284" s="617"/>
      <c r="T284" s="617"/>
      <c r="U284" s="617"/>
      <c r="V284" s="617"/>
      <c r="W284" s="617"/>
      <c r="X284" s="617"/>
      <c r="Y284" s="617"/>
      <c r="Z284" s="617"/>
      <c r="AA284" s="599"/>
      <c r="AB284" s="599"/>
      <c r="AC284" s="599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09">
        <v>4680115880818</v>
      </c>
      <c r="E285" s="61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18</v>
      </c>
      <c r="Y285" s="606">
        <f>IFERROR(IF(X285="",0,CEILING((X285/$H285),1)*$H285),"")</f>
        <v>19.2</v>
      </c>
      <c r="Z285" s="36">
        <f>IFERROR(IF(Y285=0,"",ROUNDUP(Y285/H285,0)*0.00651),"")</f>
        <v>5.2080000000000001E-2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19.890000000000004</v>
      </c>
      <c r="BN285" s="64">
        <f>IFERROR(Y285*I285/H285,"0")</f>
        <v>21.216000000000001</v>
      </c>
      <c r="BO285" s="64">
        <f>IFERROR(1/J285*(X285/H285),"0")</f>
        <v>4.1208791208791215E-2</v>
      </c>
      <c r="BP285" s="64">
        <f>IFERROR(1/J285*(Y285/H285),"0")</f>
        <v>4.3956043956043959E-2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09">
        <v>4680115880801</v>
      </c>
      <c r="E286" s="61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1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13</v>
      </c>
      <c r="Y286" s="606">
        <f>IFERROR(IF(X286="",0,CEILING((X286/$H286),1)*$H286),"")</f>
        <v>14.399999999999999</v>
      </c>
      <c r="Z286" s="36">
        <f>IFERROR(IF(Y286=0,"",ROUNDUP(Y286/H286,0)*0.00651),"")</f>
        <v>3.9059999999999997E-2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14.365</v>
      </c>
      <c r="BN286" s="64">
        <f>IFERROR(Y286*I286/H286,"0")</f>
        <v>15.912000000000001</v>
      </c>
      <c r="BO286" s="64">
        <f>IFERROR(1/J286*(X286/H286),"0")</f>
        <v>2.9761904761904767E-2</v>
      </c>
      <c r="BP286" s="64">
        <f>IFERROR(1/J286*(Y286/H286),"0")</f>
        <v>3.2967032967032968E-2</v>
      </c>
    </row>
    <row r="287" spans="1:68" x14ac:dyDescent="0.2">
      <c r="A287" s="628"/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29"/>
      <c r="P287" s="621" t="s">
        <v>72</v>
      </c>
      <c r="Q287" s="622"/>
      <c r="R287" s="622"/>
      <c r="S287" s="622"/>
      <c r="T287" s="622"/>
      <c r="U287" s="622"/>
      <c r="V287" s="623"/>
      <c r="W287" s="37" t="s">
        <v>73</v>
      </c>
      <c r="X287" s="607">
        <f>IFERROR(X285/H285,"0")+IFERROR(X286/H286,"0")</f>
        <v>12.916666666666668</v>
      </c>
      <c r="Y287" s="607">
        <f>IFERROR(Y285/H285,"0")+IFERROR(Y286/H286,"0")</f>
        <v>14</v>
      </c>
      <c r="Z287" s="607">
        <f>IFERROR(IF(Z285="",0,Z285),"0")+IFERROR(IF(Z286="",0,Z286),"0")</f>
        <v>9.1139999999999999E-2</v>
      </c>
      <c r="AA287" s="608"/>
      <c r="AB287" s="608"/>
      <c r="AC287" s="608"/>
    </row>
    <row r="288" spans="1:68" x14ac:dyDescent="0.2">
      <c r="A288" s="617"/>
      <c r="B288" s="617"/>
      <c r="C288" s="617"/>
      <c r="D288" s="617"/>
      <c r="E288" s="617"/>
      <c r="F288" s="617"/>
      <c r="G288" s="617"/>
      <c r="H288" s="617"/>
      <c r="I288" s="617"/>
      <c r="J288" s="617"/>
      <c r="K288" s="617"/>
      <c r="L288" s="617"/>
      <c r="M288" s="617"/>
      <c r="N288" s="617"/>
      <c r="O288" s="629"/>
      <c r="P288" s="621" t="s">
        <v>72</v>
      </c>
      <c r="Q288" s="622"/>
      <c r="R288" s="622"/>
      <c r="S288" s="622"/>
      <c r="T288" s="622"/>
      <c r="U288" s="622"/>
      <c r="V288" s="623"/>
      <c r="W288" s="37" t="s">
        <v>67</v>
      </c>
      <c r="X288" s="607">
        <f>IFERROR(SUM(X285:X286),"0")</f>
        <v>31</v>
      </c>
      <c r="Y288" s="607">
        <f>IFERROR(SUM(Y285:Y286),"0")</f>
        <v>33.599999999999994</v>
      </c>
      <c r="Z288" s="37"/>
      <c r="AA288" s="608"/>
      <c r="AB288" s="608"/>
      <c r="AC288" s="608"/>
    </row>
    <row r="289" spans="1:68" ht="16.5" customHeight="1" x14ac:dyDescent="0.25">
      <c r="A289" s="626" t="s">
        <v>482</v>
      </c>
      <c r="B289" s="617"/>
      <c r="C289" s="617"/>
      <c r="D289" s="617"/>
      <c r="E289" s="617"/>
      <c r="F289" s="617"/>
      <c r="G289" s="617"/>
      <c r="H289" s="617"/>
      <c r="I289" s="617"/>
      <c r="J289" s="617"/>
      <c r="K289" s="617"/>
      <c r="L289" s="617"/>
      <c r="M289" s="617"/>
      <c r="N289" s="617"/>
      <c r="O289" s="617"/>
      <c r="P289" s="617"/>
      <c r="Q289" s="617"/>
      <c r="R289" s="617"/>
      <c r="S289" s="617"/>
      <c r="T289" s="617"/>
      <c r="U289" s="617"/>
      <c r="V289" s="617"/>
      <c r="W289" s="617"/>
      <c r="X289" s="617"/>
      <c r="Y289" s="617"/>
      <c r="Z289" s="617"/>
      <c r="AA289" s="600"/>
      <c r="AB289" s="600"/>
      <c r="AC289" s="600"/>
    </row>
    <row r="290" spans="1:68" ht="14.25" customHeight="1" x14ac:dyDescent="0.25">
      <c r="A290" s="616" t="s">
        <v>118</v>
      </c>
      <c r="B290" s="617"/>
      <c r="C290" s="617"/>
      <c r="D290" s="617"/>
      <c r="E290" s="617"/>
      <c r="F290" s="617"/>
      <c r="G290" s="617"/>
      <c r="H290" s="617"/>
      <c r="I290" s="617"/>
      <c r="J290" s="617"/>
      <c r="K290" s="617"/>
      <c r="L290" s="617"/>
      <c r="M290" s="617"/>
      <c r="N290" s="617"/>
      <c r="O290" s="617"/>
      <c r="P290" s="617"/>
      <c r="Q290" s="617"/>
      <c r="R290" s="617"/>
      <c r="S290" s="617"/>
      <c r="T290" s="617"/>
      <c r="U290" s="617"/>
      <c r="V290" s="617"/>
      <c r="W290" s="617"/>
      <c r="X290" s="617"/>
      <c r="Y290" s="617"/>
      <c r="Z290" s="617"/>
      <c r="AA290" s="599"/>
      <c r="AB290" s="599"/>
      <c r="AC290" s="599"/>
    </row>
    <row r="291" spans="1:68" ht="27" customHeight="1" x14ac:dyDescent="0.25">
      <c r="A291" s="54" t="s">
        <v>483</v>
      </c>
      <c r="B291" s="54" t="s">
        <v>484</v>
      </c>
      <c r="C291" s="31">
        <v>4301011826</v>
      </c>
      <c r="D291" s="609">
        <v>4680115884137</v>
      </c>
      <c r="E291" s="61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9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4301011724</v>
      </c>
      <c r="D292" s="609">
        <v>4680115884236</v>
      </c>
      <c r="E292" s="61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4301011721</v>
      </c>
      <c r="D293" s="609">
        <v>4680115884175</v>
      </c>
      <c r="E293" s="61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09">
        <v>4680115884144</v>
      </c>
      <c r="E294" s="61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customHeight="1" x14ac:dyDescent="0.25">
      <c r="A295" s="54" t="s">
        <v>493</v>
      </c>
      <c r="B295" s="54" t="s">
        <v>494</v>
      </c>
      <c r="C295" s="31">
        <v>4301012149</v>
      </c>
      <c r="D295" s="609">
        <v>4680115886551</v>
      </c>
      <c r="E295" s="61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customHeight="1" x14ac:dyDescent="0.25">
      <c r="A296" s="54" t="s">
        <v>496</v>
      </c>
      <c r="B296" s="54" t="s">
        <v>497</v>
      </c>
      <c r="C296" s="31">
        <v>4301012228</v>
      </c>
      <c r="D296" s="609">
        <v>4680115887282</v>
      </c>
      <c r="E296" s="61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09">
        <v>4680115884205</v>
      </c>
      <c r="E297" s="61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0</v>
      </c>
      <c r="Y297" s="606">
        <f t="shared" si="42"/>
        <v>0</v>
      </c>
      <c r="Z297" s="36" t="str">
        <f>IFERROR(IF(Y297=0,"",ROUNDUP(Y297/H297,0)*0.00902),"")</f>
        <v/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0</v>
      </c>
      <c r="BN297" s="64">
        <f t="shared" si="44"/>
        <v>0</v>
      </c>
      <c r="BO297" s="64">
        <f t="shared" si="45"/>
        <v>0</v>
      </c>
      <c r="BP297" s="64">
        <f t="shared" si="46"/>
        <v>0</v>
      </c>
    </row>
    <row r="298" spans="1:68" x14ac:dyDescent="0.2">
      <c r="A298" s="628"/>
      <c r="B298" s="617"/>
      <c r="C298" s="617"/>
      <c r="D298" s="617"/>
      <c r="E298" s="617"/>
      <c r="F298" s="617"/>
      <c r="G298" s="617"/>
      <c r="H298" s="617"/>
      <c r="I298" s="617"/>
      <c r="J298" s="617"/>
      <c r="K298" s="617"/>
      <c r="L298" s="617"/>
      <c r="M298" s="617"/>
      <c r="N298" s="617"/>
      <c r="O298" s="629"/>
      <c r="P298" s="621" t="s">
        <v>72</v>
      </c>
      <c r="Q298" s="622"/>
      <c r="R298" s="622"/>
      <c r="S298" s="622"/>
      <c r="T298" s="622"/>
      <c r="U298" s="622"/>
      <c r="V298" s="623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x14ac:dyDescent="0.2">
      <c r="A299" s="617"/>
      <c r="B299" s="617"/>
      <c r="C299" s="617"/>
      <c r="D299" s="617"/>
      <c r="E299" s="617"/>
      <c r="F299" s="617"/>
      <c r="G299" s="617"/>
      <c r="H299" s="617"/>
      <c r="I299" s="617"/>
      <c r="J299" s="617"/>
      <c r="K299" s="617"/>
      <c r="L299" s="617"/>
      <c r="M299" s="617"/>
      <c r="N299" s="617"/>
      <c r="O299" s="629"/>
      <c r="P299" s="621" t="s">
        <v>72</v>
      </c>
      <c r="Q299" s="622"/>
      <c r="R299" s="622"/>
      <c r="S299" s="622"/>
      <c r="T299" s="622"/>
      <c r="U299" s="622"/>
      <c r="V299" s="623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customHeight="1" x14ac:dyDescent="0.25">
      <c r="A300" s="616" t="s">
        <v>155</v>
      </c>
      <c r="B300" s="617"/>
      <c r="C300" s="617"/>
      <c r="D300" s="617"/>
      <c r="E300" s="617"/>
      <c r="F300" s="617"/>
      <c r="G300" s="617"/>
      <c r="H300" s="617"/>
      <c r="I300" s="617"/>
      <c r="J300" s="617"/>
      <c r="K300" s="617"/>
      <c r="L300" s="617"/>
      <c r="M300" s="617"/>
      <c r="N300" s="617"/>
      <c r="O300" s="617"/>
      <c r="P300" s="617"/>
      <c r="Q300" s="617"/>
      <c r="R300" s="617"/>
      <c r="S300" s="617"/>
      <c r="T300" s="617"/>
      <c r="U300" s="617"/>
      <c r="V300" s="617"/>
      <c r="W300" s="617"/>
      <c r="X300" s="617"/>
      <c r="Y300" s="617"/>
      <c r="Z300" s="617"/>
      <c r="AA300" s="599"/>
      <c r="AB300" s="599"/>
      <c r="AC300" s="599"/>
    </row>
    <row r="301" spans="1:68" ht="27" customHeight="1" x14ac:dyDescent="0.25">
      <c r="A301" s="54" t="s">
        <v>501</v>
      </c>
      <c r="B301" s="54" t="s">
        <v>502</v>
      </c>
      <c r="C301" s="31">
        <v>4301020377</v>
      </c>
      <c r="D301" s="609">
        <v>4680115885981</v>
      </c>
      <c r="E301" s="61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8"/>
      <c r="B302" s="617"/>
      <c r="C302" s="617"/>
      <c r="D302" s="617"/>
      <c r="E302" s="617"/>
      <c r="F302" s="617"/>
      <c r="G302" s="617"/>
      <c r="H302" s="617"/>
      <c r="I302" s="617"/>
      <c r="J302" s="617"/>
      <c r="K302" s="617"/>
      <c r="L302" s="617"/>
      <c r="M302" s="617"/>
      <c r="N302" s="617"/>
      <c r="O302" s="629"/>
      <c r="P302" s="621" t="s">
        <v>72</v>
      </c>
      <c r="Q302" s="622"/>
      <c r="R302" s="622"/>
      <c r="S302" s="622"/>
      <c r="T302" s="622"/>
      <c r="U302" s="622"/>
      <c r="V302" s="623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x14ac:dyDescent="0.2">
      <c r="A303" s="617"/>
      <c r="B303" s="617"/>
      <c r="C303" s="617"/>
      <c r="D303" s="617"/>
      <c r="E303" s="617"/>
      <c r="F303" s="617"/>
      <c r="G303" s="617"/>
      <c r="H303" s="617"/>
      <c r="I303" s="617"/>
      <c r="J303" s="617"/>
      <c r="K303" s="617"/>
      <c r="L303" s="617"/>
      <c r="M303" s="617"/>
      <c r="N303" s="617"/>
      <c r="O303" s="629"/>
      <c r="P303" s="621" t="s">
        <v>72</v>
      </c>
      <c r="Q303" s="622"/>
      <c r="R303" s="622"/>
      <c r="S303" s="622"/>
      <c r="T303" s="622"/>
      <c r="U303" s="622"/>
      <c r="V303" s="623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customHeight="1" x14ac:dyDescent="0.25">
      <c r="A304" s="616" t="s">
        <v>504</v>
      </c>
      <c r="B304" s="617"/>
      <c r="C304" s="617"/>
      <c r="D304" s="617"/>
      <c r="E304" s="617"/>
      <c r="F304" s="617"/>
      <c r="G304" s="617"/>
      <c r="H304" s="617"/>
      <c r="I304" s="617"/>
      <c r="J304" s="617"/>
      <c r="K304" s="617"/>
      <c r="L304" s="617"/>
      <c r="M304" s="617"/>
      <c r="N304" s="617"/>
      <c r="O304" s="617"/>
      <c r="P304" s="617"/>
      <c r="Q304" s="617"/>
      <c r="R304" s="617"/>
      <c r="S304" s="617"/>
      <c r="T304" s="617"/>
      <c r="U304" s="617"/>
      <c r="V304" s="617"/>
      <c r="W304" s="617"/>
      <c r="X304" s="617"/>
      <c r="Y304" s="617"/>
      <c r="Z304" s="617"/>
      <c r="AA304" s="599"/>
      <c r="AB304" s="599"/>
      <c r="AC304" s="599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09">
        <v>4680115886803</v>
      </c>
      <c r="E305" s="61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4</v>
      </c>
      <c r="Y305" s="606">
        <f>IFERROR(IF(X305="",0,CEILING((X305/$H305),1)*$H305),"")</f>
        <v>5.4</v>
      </c>
      <c r="Z305" s="36">
        <f>IFERROR(IF(Y305=0,"",ROUNDUP(Y305/H305,0)*0.0059),"")</f>
        <v>1.77E-2</v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4.3888888888888893</v>
      </c>
      <c r="BN305" s="64">
        <f>IFERROR(Y305*I305/H305,"0")</f>
        <v>5.9250000000000007</v>
      </c>
      <c r="BO305" s="64">
        <f>IFERROR(1/J305*(X305/H305),"0")</f>
        <v>1.0288065843621399E-2</v>
      </c>
      <c r="BP305" s="64">
        <f>IFERROR(1/J305*(Y305/H305),"0")</f>
        <v>1.3888888888888888E-2</v>
      </c>
    </row>
    <row r="306" spans="1:68" x14ac:dyDescent="0.2">
      <c r="A306" s="628"/>
      <c r="B306" s="617"/>
      <c r="C306" s="617"/>
      <c r="D306" s="617"/>
      <c r="E306" s="617"/>
      <c r="F306" s="617"/>
      <c r="G306" s="617"/>
      <c r="H306" s="617"/>
      <c r="I306" s="617"/>
      <c r="J306" s="617"/>
      <c r="K306" s="617"/>
      <c r="L306" s="617"/>
      <c r="M306" s="617"/>
      <c r="N306" s="617"/>
      <c r="O306" s="629"/>
      <c r="P306" s="621" t="s">
        <v>72</v>
      </c>
      <c r="Q306" s="622"/>
      <c r="R306" s="622"/>
      <c r="S306" s="622"/>
      <c r="T306" s="622"/>
      <c r="U306" s="622"/>
      <c r="V306" s="623"/>
      <c r="W306" s="37" t="s">
        <v>73</v>
      </c>
      <c r="X306" s="607">
        <f>IFERROR(X305/H305,"0")</f>
        <v>2.2222222222222223</v>
      </c>
      <c r="Y306" s="607">
        <f>IFERROR(Y305/H305,"0")</f>
        <v>3</v>
      </c>
      <c r="Z306" s="607">
        <f>IFERROR(IF(Z305="",0,Z305),"0")</f>
        <v>1.77E-2</v>
      </c>
      <c r="AA306" s="608"/>
      <c r="AB306" s="608"/>
      <c r="AC306" s="608"/>
    </row>
    <row r="307" spans="1:68" x14ac:dyDescent="0.2">
      <c r="A307" s="617"/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29"/>
      <c r="P307" s="621" t="s">
        <v>72</v>
      </c>
      <c r="Q307" s="622"/>
      <c r="R307" s="622"/>
      <c r="S307" s="622"/>
      <c r="T307" s="622"/>
      <c r="U307" s="622"/>
      <c r="V307" s="623"/>
      <c r="W307" s="37" t="s">
        <v>67</v>
      </c>
      <c r="X307" s="607">
        <f>IFERROR(SUM(X305:X305),"0")</f>
        <v>4</v>
      </c>
      <c r="Y307" s="607">
        <f>IFERROR(SUM(Y305:Y305),"0")</f>
        <v>5.4</v>
      </c>
      <c r="Z307" s="37"/>
      <c r="AA307" s="608"/>
      <c r="AB307" s="608"/>
      <c r="AC307" s="608"/>
    </row>
    <row r="308" spans="1:68" ht="14.25" customHeight="1" x14ac:dyDescent="0.25">
      <c r="A308" s="616" t="s">
        <v>321</v>
      </c>
      <c r="B308" s="617"/>
      <c r="C308" s="617"/>
      <c r="D308" s="617"/>
      <c r="E308" s="617"/>
      <c r="F308" s="617"/>
      <c r="G308" s="617"/>
      <c r="H308" s="617"/>
      <c r="I308" s="617"/>
      <c r="J308" s="617"/>
      <c r="K308" s="617"/>
      <c r="L308" s="617"/>
      <c r="M308" s="617"/>
      <c r="N308" s="617"/>
      <c r="O308" s="617"/>
      <c r="P308" s="617"/>
      <c r="Q308" s="617"/>
      <c r="R308" s="617"/>
      <c r="S308" s="617"/>
      <c r="T308" s="617"/>
      <c r="U308" s="617"/>
      <c r="V308" s="617"/>
      <c r="W308" s="617"/>
      <c r="X308" s="617"/>
      <c r="Y308" s="617"/>
      <c r="Z308" s="617"/>
      <c r="AA308" s="599"/>
      <c r="AB308" s="599"/>
      <c r="AC308" s="599"/>
    </row>
    <row r="309" spans="1:68" ht="27" customHeight="1" x14ac:dyDescent="0.25">
      <c r="A309" s="54" t="s">
        <v>508</v>
      </c>
      <c r="B309" s="54" t="s">
        <v>509</v>
      </c>
      <c r="C309" s="31">
        <v>4301041004</v>
      </c>
      <c r="D309" s="609">
        <v>4680115886704</v>
      </c>
      <c r="E309" s="61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511</v>
      </c>
      <c r="B310" s="54" t="s">
        <v>512</v>
      </c>
      <c r="C310" s="31">
        <v>4301041008</v>
      </c>
      <c r="D310" s="609">
        <v>4680115886681</v>
      </c>
      <c r="E310" s="61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09">
        <v>4680115886735</v>
      </c>
      <c r="E311" s="61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8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4</v>
      </c>
      <c r="Y311" s="606">
        <f>IFERROR(IF(X311="",0,CEILING((X311/$H311),1)*$H311),"")</f>
        <v>4.5</v>
      </c>
      <c r="Z311" s="36">
        <f>IFERROR(IF(Y311=0,"",ROUNDUP(Y311/H311,0)*0.0059),"")</f>
        <v>2.9499999999999998E-2</v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4.844444444444445</v>
      </c>
      <c r="BN311" s="64">
        <f>IFERROR(Y311*I311/H311,"0")</f>
        <v>5.45</v>
      </c>
      <c r="BO311" s="64">
        <f>IFERROR(1/J311*(X311/H311),"0")</f>
        <v>2.0576131687242798E-2</v>
      </c>
      <c r="BP311" s="64">
        <f>IFERROR(1/J311*(Y311/H311),"0")</f>
        <v>2.3148148148148147E-2</v>
      </c>
    </row>
    <row r="312" spans="1:68" x14ac:dyDescent="0.2">
      <c r="A312" s="628"/>
      <c r="B312" s="617"/>
      <c r="C312" s="617"/>
      <c r="D312" s="617"/>
      <c r="E312" s="617"/>
      <c r="F312" s="617"/>
      <c r="G312" s="617"/>
      <c r="H312" s="617"/>
      <c r="I312" s="617"/>
      <c r="J312" s="617"/>
      <c r="K312" s="617"/>
      <c r="L312" s="617"/>
      <c r="M312" s="617"/>
      <c r="N312" s="617"/>
      <c r="O312" s="629"/>
      <c r="P312" s="621" t="s">
        <v>72</v>
      </c>
      <c r="Q312" s="622"/>
      <c r="R312" s="622"/>
      <c r="S312" s="622"/>
      <c r="T312" s="622"/>
      <c r="U312" s="622"/>
      <c r="V312" s="623"/>
      <c r="W312" s="37" t="s">
        <v>73</v>
      </c>
      <c r="X312" s="607">
        <f>IFERROR(X309/H309,"0")+IFERROR(X310/H310,"0")+IFERROR(X311/H311,"0")</f>
        <v>4.4444444444444446</v>
      </c>
      <c r="Y312" s="607">
        <f>IFERROR(Y309/H309,"0")+IFERROR(Y310/H310,"0")+IFERROR(Y311/H311,"0")</f>
        <v>5</v>
      </c>
      <c r="Z312" s="607">
        <f>IFERROR(IF(Z309="",0,Z309),"0")+IFERROR(IF(Z310="",0,Z310),"0")+IFERROR(IF(Z311="",0,Z311),"0")</f>
        <v>2.9499999999999998E-2</v>
      </c>
      <c r="AA312" s="608"/>
      <c r="AB312" s="608"/>
      <c r="AC312" s="608"/>
    </row>
    <row r="313" spans="1:68" x14ac:dyDescent="0.2">
      <c r="A313" s="617"/>
      <c r="B313" s="617"/>
      <c r="C313" s="617"/>
      <c r="D313" s="617"/>
      <c r="E313" s="617"/>
      <c r="F313" s="617"/>
      <c r="G313" s="617"/>
      <c r="H313" s="617"/>
      <c r="I313" s="617"/>
      <c r="J313" s="617"/>
      <c r="K313" s="617"/>
      <c r="L313" s="617"/>
      <c r="M313" s="617"/>
      <c r="N313" s="617"/>
      <c r="O313" s="629"/>
      <c r="P313" s="621" t="s">
        <v>72</v>
      </c>
      <c r="Q313" s="622"/>
      <c r="R313" s="622"/>
      <c r="S313" s="622"/>
      <c r="T313" s="622"/>
      <c r="U313" s="622"/>
      <c r="V313" s="623"/>
      <c r="W313" s="37" t="s">
        <v>67</v>
      </c>
      <c r="X313" s="607">
        <f>IFERROR(SUM(X309:X311),"0")</f>
        <v>4</v>
      </c>
      <c r="Y313" s="607">
        <f>IFERROR(SUM(Y309:Y311),"0")</f>
        <v>4.5</v>
      </c>
      <c r="Z313" s="37"/>
      <c r="AA313" s="608"/>
      <c r="AB313" s="608"/>
      <c r="AC313" s="608"/>
    </row>
    <row r="314" spans="1:68" ht="16.5" customHeight="1" x14ac:dyDescent="0.25">
      <c r="A314" s="626" t="s">
        <v>515</v>
      </c>
      <c r="B314" s="617"/>
      <c r="C314" s="617"/>
      <c r="D314" s="617"/>
      <c r="E314" s="617"/>
      <c r="F314" s="617"/>
      <c r="G314" s="617"/>
      <c r="H314" s="617"/>
      <c r="I314" s="617"/>
      <c r="J314" s="617"/>
      <c r="K314" s="617"/>
      <c r="L314" s="617"/>
      <c r="M314" s="617"/>
      <c r="N314" s="617"/>
      <c r="O314" s="617"/>
      <c r="P314" s="617"/>
      <c r="Q314" s="617"/>
      <c r="R314" s="617"/>
      <c r="S314" s="617"/>
      <c r="T314" s="617"/>
      <c r="U314" s="617"/>
      <c r="V314" s="617"/>
      <c r="W314" s="617"/>
      <c r="X314" s="617"/>
      <c r="Y314" s="617"/>
      <c r="Z314" s="617"/>
      <c r="AA314" s="600"/>
      <c r="AB314" s="600"/>
      <c r="AC314" s="600"/>
    </row>
    <row r="315" spans="1:68" ht="14.25" customHeight="1" x14ac:dyDescent="0.25">
      <c r="A315" s="616" t="s">
        <v>118</v>
      </c>
      <c r="B315" s="617"/>
      <c r="C315" s="617"/>
      <c r="D315" s="617"/>
      <c r="E315" s="617"/>
      <c r="F315" s="617"/>
      <c r="G315" s="617"/>
      <c r="H315" s="617"/>
      <c r="I315" s="617"/>
      <c r="J315" s="617"/>
      <c r="K315" s="617"/>
      <c r="L315" s="617"/>
      <c r="M315" s="617"/>
      <c r="N315" s="617"/>
      <c r="O315" s="617"/>
      <c r="P315" s="617"/>
      <c r="Q315" s="617"/>
      <c r="R315" s="617"/>
      <c r="S315" s="617"/>
      <c r="T315" s="617"/>
      <c r="U315" s="617"/>
      <c r="V315" s="617"/>
      <c r="W315" s="617"/>
      <c r="X315" s="617"/>
      <c r="Y315" s="617"/>
      <c r="Z315" s="617"/>
      <c r="AA315" s="599"/>
      <c r="AB315" s="599"/>
      <c r="AC315" s="599"/>
    </row>
    <row r="316" spans="1:68" ht="27" customHeight="1" x14ac:dyDescent="0.25">
      <c r="A316" s="54" t="s">
        <v>516</v>
      </c>
      <c r="B316" s="54" t="s">
        <v>517</v>
      </c>
      <c r="C316" s="31">
        <v>4301011855</v>
      </c>
      <c r="D316" s="609">
        <v>4680115885837</v>
      </c>
      <c r="E316" s="61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6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519</v>
      </c>
      <c r="B317" s="54" t="s">
        <v>520</v>
      </c>
      <c r="C317" s="31">
        <v>4301012234</v>
      </c>
      <c r="D317" s="609">
        <v>4680115887237</v>
      </c>
      <c r="E317" s="61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522</v>
      </c>
      <c r="B318" s="54" t="s">
        <v>523</v>
      </c>
      <c r="C318" s="31">
        <v>4301011850</v>
      </c>
      <c r="D318" s="609">
        <v>4680115885806</v>
      </c>
      <c r="E318" s="61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525</v>
      </c>
      <c r="B319" s="54" t="s">
        <v>526</v>
      </c>
      <c r="C319" s="31">
        <v>4301011852</v>
      </c>
      <c r="D319" s="609">
        <v>4680115885844</v>
      </c>
      <c r="E319" s="61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528</v>
      </c>
      <c r="B320" s="54" t="s">
        <v>529</v>
      </c>
      <c r="C320" s="31">
        <v>4301011851</v>
      </c>
      <c r="D320" s="609">
        <v>4680115885820</v>
      </c>
      <c r="E320" s="61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8"/>
      <c r="B321" s="617"/>
      <c r="C321" s="617"/>
      <c r="D321" s="617"/>
      <c r="E321" s="617"/>
      <c r="F321" s="617"/>
      <c r="G321" s="617"/>
      <c r="H321" s="617"/>
      <c r="I321" s="617"/>
      <c r="J321" s="617"/>
      <c r="K321" s="617"/>
      <c r="L321" s="617"/>
      <c r="M321" s="617"/>
      <c r="N321" s="617"/>
      <c r="O321" s="629"/>
      <c r="P321" s="621" t="s">
        <v>72</v>
      </c>
      <c r="Q321" s="622"/>
      <c r="R321" s="622"/>
      <c r="S321" s="622"/>
      <c r="T321" s="622"/>
      <c r="U321" s="622"/>
      <c r="V321" s="623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x14ac:dyDescent="0.2">
      <c r="A322" s="617"/>
      <c r="B322" s="617"/>
      <c r="C322" s="617"/>
      <c r="D322" s="617"/>
      <c r="E322" s="617"/>
      <c r="F322" s="617"/>
      <c r="G322" s="617"/>
      <c r="H322" s="617"/>
      <c r="I322" s="617"/>
      <c r="J322" s="617"/>
      <c r="K322" s="617"/>
      <c r="L322" s="617"/>
      <c r="M322" s="617"/>
      <c r="N322" s="617"/>
      <c r="O322" s="629"/>
      <c r="P322" s="621" t="s">
        <v>72</v>
      </c>
      <c r="Q322" s="622"/>
      <c r="R322" s="622"/>
      <c r="S322" s="622"/>
      <c r="T322" s="622"/>
      <c r="U322" s="622"/>
      <c r="V322" s="623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customHeight="1" x14ac:dyDescent="0.25">
      <c r="A323" s="626" t="s">
        <v>531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00"/>
      <c r="AB323" s="600"/>
      <c r="AC323" s="600"/>
    </row>
    <row r="324" spans="1:68" ht="14.25" customHeight="1" x14ac:dyDescent="0.25">
      <c r="A324" s="616" t="s">
        <v>74</v>
      </c>
      <c r="B324" s="617"/>
      <c r="C324" s="617"/>
      <c r="D324" s="617"/>
      <c r="E324" s="617"/>
      <c r="F324" s="617"/>
      <c r="G324" s="617"/>
      <c r="H324" s="617"/>
      <c r="I324" s="617"/>
      <c r="J324" s="617"/>
      <c r="K324" s="617"/>
      <c r="L324" s="617"/>
      <c r="M324" s="617"/>
      <c r="N324" s="617"/>
      <c r="O324" s="617"/>
      <c r="P324" s="617"/>
      <c r="Q324" s="617"/>
      <c r="R324" s="617"/>
      <c r="S324" s="617"/>
      <c r="T324" s="617"/>
      <c r="U324" s="617"/>
      <c r="V324" s="617"/>
      <c r="W324" s="617"/>
      <c r="X324" s="617"/>
      <c r="Y324" s="617"/>
      <c r="Z324" s="617"/>
      <c r="AA324" s="599"/>
      <c r="AB324" s="599"/>
      <c r="AC324" s="599"/>
    </row>
    <row r="325" spans="1:68" ht="27" customHeight="1" x14ac:dyDescent="0.25">
      <c r="A325" s="54" t="s">
        <v>532</v>
      </c>
      <c r="B325" s="54" t="s">
        <v>533</v>
      </c>
      <c r="C325" s="31">
        <v>4301051893</v>
      </c>
      <c r="D325" s="609">
        <v>4680115886186</v>
      </c>
      <c r="E325" s="61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09">
        <v>4680115881228</v>
      </c>
      <c r="E326" s="61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09">
        <v>4680115881211</v>
      </c>
      <c r="E327" s="61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38</v>
      </c>
      <c r="Y327" s="606">
        <f>IFERROR(IF(X327="",0,CEILING((X327/$H327),1)*$H327),"")</f>
        <v>38.4</v>
      </c>
      <c r="Z327" s="36">
        <f>IFERROR(IF(Y327=0,"",ROUNDUP(Y327/H327,0)*0.00651),"")</f>
        <v>0.10416</v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40.85</v>
      </c>
      <c r="BN327" s="64">
        <f>IFERROR(Y327*I327/H327,"0")</f>
        <v>41.28</v>
      </c>
      <c r="BO327" s="64">
        <f>IFERROR(1/J327*(X327/H327),"0")</f>
        <v>8.6996336996337006E-2</v>
      </c>
      <c r="BP327" s="64">
        <f>IFERROR(1/J327*(Y327/H327),"0")</f>
        <v>8.7912087912087919E-2</v>
      </c>
    </row>
    <row r="328" spans="1:68" x14ac:dyDescent="0.2">
      <c r="A328" s="628"/>
      <c r="B328" s="617"/>
      <c r="C328" s="617"/>
      <c r="D328" s="617"/>
      <c r="E328" s="617"/>
      <c r="F328" s="617"/>
      <c r="G328" s="617"/>
      <c r="H328" s="617"/>
      <c r="I328" s="617"/>
      <c r="J328" s="617"/>
      <c r="K328" s="617"/>
      <c r="L328" s="617"/>
      <c r="M328" s="617"/>
      <c r="N328" s="617"/>
      <c r="O328" s="629"/>
      <c r="P328" s="621" t="s">
        <v>72</v>
      </c>
      <c r="Q328" s="622"/>
      <c r="R328" s="622"/>
      <c r="S328" s="622"/>
      <c r="T328" s="622"/>
      <c r="U328" s="622"/>
      <c r="V328" s="623"/>
      <c r="W328" s="37" t="s">
        <v>73</v>
      </c>
      <c r="X328" s="607">
        <f>IFERROR(X325/H325,"0")+IFERROR(X326/H326,"0")+IFERROR(X327/H327,"0")</f>
        <v>15.833333333333334</v>
      </c>
      <c r="Y328" s="607">
        <f>IFERROR(Y325/H325,"0")+IFERROR(Y326/H326,"0")+IFERROR(Y327/H327,"0")</f>
        <v>16</v>
      </c>
      <c r="Z328" s="607">
        <f>IFERROR(IF(Z325="",0,Z325),"0")+IFERROR(IF(Z326="",0,Z326),"0")+IFERROR(IF(Z327="",0,Z327),"0")</f>
        <v>0.10416</v>
      </c>
      <c r="AA328" s="608"/>
      <c r="AB328" s="608"/>
      <c r="AC328" s="608"/>
    </row>
    <row r="329" spans="1:68" x14ac:dyDescent="0.2">
      <c r="A329" s="617"/>
      <c r="B329" s="617"/>
      <c r="C329" s="617"/>
      <c r="D329" s="617"/>
      <c r="E329" s="617"/>
      <c r="F329" s="617"/>
      <c r="G329" s="617"/>
      <c r="H329" s="617"/>
      <c r="I329" s="617"/>
      <c r="J329" s="617"/>
      <c r="K329" s="617"/>
      <c r="L329" s="617"/>
      <c r="M329" s="617"/>
      <c r="N329" s="617"/>
      <c r="O329" s="629"/>
      <c r="P329" s="621" t="s">
        <v>72</v>
      </c>
      <c r="Q329" s="622"/>
      <c r="R329" s="622"/>
      <c r="S329" s="622"/>
      <c r="T329" s="622"/>
      <c r="U329" s="622"/>
      <c r="V329" s="623"/>
      <c r="W329" s="37" t="s">
        <v>67</v>
      </c>
      <c r="X329" s="607">
        <f>IFERROR(SUM(X325:X327),"0")</f>
        <v>38</v>
      </c>
      <c r="Y329" s="607">
        <f>IFERROR(SUM(Y325:Y327),"0")</f>
        <v>38.4</v>
      </c>
      <c r="Z329" s="37"/>
      <c r="AA329" s="608"/>
      <c r="AB329" s="608"/>
      <c r="AC329" s="608"/>
    </row>
    <row r="330" spans="1:68" ht="16.5" customHeight="1" x14ac:dyDescent="0.25">
      <c r="A330" s="626" t="s">
        <v>540</v>
      </c>
      <c r="B330" s="617"/>
      <c r="C330" s="617"/>
      <c r="D330" s="617"/>
      <c r="E330" s="617"/>
      <c r="F330" s="617"/>
      <c r="G330" s="617"/>
      <c r="H330" s="617"/>
      <c r="I330" s="617"/>
      <c r="J330" s="617"/>
      <c r="K330" s="617"/>
      <c r="L330" s="617"/>
      <c r="M330" s="617"/>
      <c r="N330" s="617"/>
      <c r="O330" s="617"/>
      <c r="P330" s="617"/>
      <c r="Q330" s="617"/>
      <c r="R330" s="617"/>
      <c r="S330" s="617"/>
      <c r="T330" s="617"/>
      <c r="U330" s="617"/>
      <c r="V330" s="617"/>
      <c r="W330" s="617"/>
      <c r="X330" s="617"/>
      <c r="Y330" s="617"/>
      <c r="Z330" s="617"/>
      <c r="AA330" s="600"/>
      <c r="AB330" s="600"/>
      <c r="AC330" s="600"/>
    </row>
    <row r="331" spans="1:68" ht="14.25" customHeight="1" x14ac:dyDescent="0.25">
      <c r="A331" s="616" t="s">
        <v>62</v>
      </c>
      <c r="B331" s="617"/>
      <c r="C331" s="617"/>
      <c r="D331" s="617"/>
      <c r="E331" s="617"/>
      <c r="F331" s="617"/>
      <c r="G331" s="617"/>
      <c r="H331" s="617"/>
      <c r="I331" s="617"/>
      <c r="J331" s="617"/>
      <c r="K331" s="617"/>
      <c r="L331" s="617"/>
      <c r="M331" s="617"/>
      <c r="N331" s="617"/>
      <c r="O331" s="617"/>
      <c r="P331" s="617"/>
      <c r="Q331" s="617"/>
      <c r="R331" s="617"/>
      <c r="S331" s="617"/>
      <c r="T331" s="617"/>
      <c r="U331" s="617"/>
      <c r="V331" s="617"/>
      <c r="W331" s="617"/>
      <c r="X331" s="617"/>
      <c r="Y331" s="617"/>
      <c r="Z331" s="617"/>
      <c r="AA331" s="599"/>
      <c r="AB331" s="599"/>
      <c r="AC331" s="599"/>
    </row>
    <row r="332" spans="1:68" ht="27" customHeight="1" x14ac:dyDescent="0.25">
      <c r="A332" s="54" t="s">
        <v>541</v>
      </c>
      <c r="B332" s="54" t="s">
        <v>542</v>
      </c>
      <c r="C332" s="31">
        <v>4301031445</v>
      </c>
      <c r="D332" s="609">
        <v>4680115888319</v>
      </c>
      <c r="E332" s="61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543</v>
      </c>
      <c r="B333" s="54" t="s">
        <v>544</v>
      </c>
      <c r="C333" s="31">
        <v>4301031502</v>
      </c>
      <c r="D333" s="609">
        <v>4680115884700</v>
      </c>
      <c r="E333" s="61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546</v>
      </c>
      <c r="B334" s="54" t="s">
        <v>547</v>
      </c>
      <c r="C334" s="31">
        <v>4301031307</v>
      </c>
      <c r="D334" s="609">
        <v>4680115880344</v>
      </c>
      <c r="E334" s="61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549</v>
      </c>
      <c r="B335" s="54" t="s">
        <v>550</v>
      </c>
      <c r="C335" s="31">
        <v>4301031501</v>
      </c>
      <c r="D335" s="609">
        <v>4680115886919</v>
      </c>
      <c r="E335" s="61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552</v>
      </c>
      <c r="B336" s="54" t="s">
        <v>553</v>
      </c>
      <c r="C336" s="31">
        <v>4301031246</v>
      </c>
      <c r="D336" s="609">
        <v>4680115883970</v>
      </c>
      <c r="E336" s="61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8"/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29"/>
      <c r="P337" s="621" t="s">
        <v>72</v>
      </c>
      <c r="Q337" s="622"/>
      <c r="R337" s="622"/>
      <c r="S337" s="622"/>
      <c r="T337" s="622"/>
      <c r="U337" s="622"/>
      <c r="V337" s="623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x14ac:dyDescent="0.2">
      <c r="A338" s="617"/>
      <c r="B338" s="617"/>
      <c r="C338" s="617"/>
      <c r="D338" s="617"/>
      <c r="E338" s="617"/>
      <c r="F338" s="617"/>
      <c r="G338" s="617"/>
      <c r="H338" s="617"/>
      <c r="I338" s="617"/>
      <c r="J338" s="617"/>
      <c r="K338" s="617"/>
      <c r="L338" s="617"/>
      <c r="M338" s="617"/>
      <c r="N338" s="617"/>
      <c r="O338" s="629"/>
      <c r="P338" s="621" t="s">
        <v>72</v>
      </c>
      <c r="Q338" s="622"/>
      <c r="R338" s="622"/>
      <c r="S338" s="622"/>
      <c r="T338" s="622"/>
      <c r="U338" s="622"/>
      <c r="V338" s="623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customHeight="1" x14ac:dyDescent="0.25">
      <c r="A339" s="616" t="s">
        <v>74</v>
      </c>
      <c r="B339" s="617"/>
      <c r="C339" s="617"/>
      <c r="D339" s="617"/>
      <c r="E339" s="617"/>
      <c r="F339" s="617"/>
      <c r="G339" s="617"/>
      <c r="H339" s="617"/>
      <c r="I339" s="617"/>
      <c r="J339" s="617"/>
      <c r="K339" s="617"/>
      <c r="L339" s="617"/>
      <c r="M339" s="617"/>
      <c r="N339" s="617"/>
      <c r="O339" s="617"/>
      <c r="P339" s="617"/>
      <c r="Q339" s="617"/>
      <c r="R339" s="617"/>
      <c r="S339" s="617"/>
      <c r="T339" s="617"/>
      <c r="U339" s="617"/>
      <c r="V339" s="617"/>
      <c r="W339" s="617"/>
      <c r="X339" s="617"/>
      <c r="Y339" s="617"/>
      <c r="Z339" s="617"/>
      <c r="AA339" s="599"/>
      <c r="AB339" s="599"/>
      <c r="AC339" s="599"/>
    </row>
    <row r="340" spans="1:68" ht="27" customHeight="1" x14ac:dyDescent="0.25">
      <c r="A340" s="54" t="s">
        <v>555</v>
      </c>
      <c r="B340" s="54" t="s">
        <v>556</v>
      </c>
      <c r="C340" s="31">
        <v>4301051782</v>
      </c>
      <c r="D340" s="609">
        <v>4680115884618</v>
      </c>
      <c r="E340" s="61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558</v>
      </c>
      <c r="B341" s="54" t="s">
        <v>559</v>
      </c>
      <c r="C341" s="31">
        <v>4301052057</v>
      </c>
      <c r="D341" s="609">
        <v>4680115887114</v>
      </c>
      <c r="E341" s="61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8"/>
      <c r="B342" s="617"/>
      <c r="C342" s="617"/>
      <c r="D342" s="617"/>
      <c r="E342" s="617"/>
      <c r="F342" s="617"/>
      <c r="G342" s="617"/>
      <c r="H342" s="617"/>
      <c r="I342" s="617"/>
      <c r="J342" s="617"/>
      <c r="K342" s="617"/>
      <c r="L342" s="617"/>
      <c r="M342" s="617"/>
      <c r="N342" s="617"/>
      <c r="O342" s="629"/>
      <c r="P342" s="621" t="s">
        <v>72</v>
      </c>
      <c r="Q342" s="622"/>
      <c r="R342" s="622"/>
      <c r="S342" s="622"/>
      <c r="T342" s="622"/>
      <c r="U342" s="622"/>
      <c r="V342" s="623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x14ac:dyDescent="0.2">
      <c r="A343" s="617"/>
      <c r="B343" s="617"/>
      <c r="C343" s="617"/>
      <c r="D343" s="617"/>
      <c r="E343" s="617"/>
      <c r="F343" s="617"/>
      <c r="G343" s="617"/>
      <c r="H343" s="617"/>
      <c r="I343" s="617"/>
      <c r="J343" s="617"/>
      <c r="K343" s="617"/>
      <c r="L343" s="617"/>
      <c r="M343" s="617"/>
      <c r="N343" s="617"/>
      <c r="O343" s="629"/>
      <c r="P343" s="621" t="s">
        <v>72</v>
      </c>
      <c r="Q343" s="622"/>
      <c r="R343" s="622"/>
      <c r="S343" s="622"/>
      <c r="T343" s="622"/>
      <c r="U343" s="622"/>
      <c r="V343" s="623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customHeight="1" x14ac:dyDescent="0.25">
      <c r="A344" s="626" t="s">
        <v>561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00"/>
      <c r="AB344" s="600"/>
      <c r="AC344" s="600"/>
    </row>
    <row r="345" spans="1:68" ht="14.25" customHeight="1" x14ac:dyDescent="0.25">
      <c r="A345" s="616" t="s">
        <v>118</v>
      </c>
      <c r="B345" s="617"/>
      <c r="C345" s="617"/>
      <c r="D345" s="617"/>
      <c r="E345" s="617"/>
      <c r="F345" s="617"/>
      <c r="G345" s="617"/>
      <c r="H345" s="617"/>
      <c r="I345" s="617"/>
      <c r="J345" s="617"/>
      <c r="K345" s="617"/>
      <c r="L345" s="617"/>
      <c r="M345" s="617"/>
      <c r="N345" s="617"/>
      <c r="O345" s="617"/>
      <c r="P345" s="617"/>
      <c r="Q345" s="617"/>
      <c r="R345" s="617"/>
      <c r="S345" s="617"/>
      <c r="T345" s="617"/>
      <c r="U345" s="617"/>
      <c r="V345" s="617"/>
      <c r="W345" s="617"/>
      <c r="X345" s="617"/>
      <c r="Y345" s="617"/>
      <c r="Z345" s="617"/>
      <c r="AA345" s="599"/>
      <c r="AB345" s="599"/>
      <c r="AC345" s="599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09">
        <v>4680115887947</v>
      </c>
      <c r="E346" s="61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09">
        <v>4680115887978</v>
      </c>
      <c r="E347" s="61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0</v>
      </c>
      <c r="Y347" s="60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09">
        <v>4680115887992</v>
      </c>
      <c r="E348" s="61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8"/>
      <c r="B349" s="617"/>
      <c r="C349" s="617"/>
      <c r="D349" s="617"/>
      <c r="E349" s="617"/>
      <c r="F349" s="617"/>
      <c r="G349" s="617"/>
      <c r="H349" s="617"/>
      <c r="I349" s="617"/>
      <c r="J349" s="617"/>
      <c r="K349" s="617"/>
      <c r="L349" s="617"/>
      <c r="M349" s="617"/>
      <c r="N349" s="617"/>
      <c r="O349" s="629"/>
      <c r="P349" s="621" t="s">
        <v>72</v>
      </c>
      <c r="Q349" s="622"/>
      <c r="R349" s="622"/>
      <c r="S349" s="622"/>
      <c r="T349" s="622"/>
      <c r="U349" s="622"/>
      <c r="V349" s="623"/>
      <c r="W349" s="37" t="s">
        <v>73</v>
      </c>
      <c r="X349" s="607">
        <f>IFERROR(X346/H346,"0")+IFERROR(X347/H347,"0")+IFERROR(X348/H348,"0")</f>
        <v>0</v>
      </c>
      <c r="Y349" s="607">
        <f>IFERROR(Y346/H346,"0")+IFERROR(Y347/H347,"0")+IFERROR(Y348/H348,"0")</f>
        <v>0</v>
      </c>
      <c r="Z349" s="607">
        <f>IFERROR(IF(Z346="",0,Z346),"0")+IFERROR(IF(Z347="",0,Z347),"0")+IFERROR(IF(Z348="",0,Z348),"0")</f>
        <v>0</v>
      </c>
      <c r="AA349" s="608"/>
      <c r="AB349" s="608"/>
      <c r="AC349" s="608"/>
    </row>
    <row r="350" spans="1:68" x14ac:dyDescent="0.2">
      <c r="A350" s="617"/>
      <c r="B350" s="617"/>
      <c r="C350" s="617"/>
      <c r="D350" s="617"/>
      <c r="E350" s="617"/>
      <c r="F350" s="617"/>
      <c r="G350" s="617"/>
      <c r="H350" s="617"/>
      <c r="I350" s="617"/>
      <c r="J350" s="617"/>
      <c r="K350" s="617"/>
      <c r="L350" s="617"/>
      <c r="M350" s="617"/>
      <c r="N350" s="617"/>
      <c r="O350" s="629"/>
      <c r="P350" s="621" t="s">
        <v>72</v>
      </c>
      <c r="Q350" s="622"/>
      <c r="R350" s="622"/>
      <c r="S350" s="622"/>
      <c r="T350" s="622"/>
      <c r="U350" s="622"/>
      <c r="V350" s="623"/>
      <c r="W350" s="37" t="s">
        <v>67</v>
      </c>
      <c r="X350" s="607">
        <f>IFERROR(SUM(X346:X348),"0")</f>
        <v>0</v>
      </c>
      <c r="Y350" s="607">
        <f>IFERROR(SUM(Y346:Y348),"0")</f>
        <v>0</v>
      </c>
      <c r="Z350" s="37"/>
      <c r="AA350" s="608"/>
      <c r="AB350" s="608"/>
      <c r="AC350" s="608"/>
    </row>
    <row r="351" spans="1:68" ht="16.5" customHeight="1" x14ac:dyDescent="0.25">
      <c r="A351" s="626" t="s">
        <v>570</v>
      </c>
      <c r="B351" s="617"/>
      <c r="C351" s="617"/>
      <c r="D351" s="617"/>
      <c r="E351" s="617"/>
      <c r="F351" s="617"/>
      <c r="G351" s="617"/>
      <c r="H351" s="617"/>
      <c r="I351" s="617"/>
      <c r="J351" s="617"/>
      <c r="K351" s="617"/>
      <c r="L351" s="617"/>
      <c r="M351" s="617"/>
      <c r="N351" s="617"/>
      <c r="O351" s="617"/>
      <c r="P351" s="617"/>
      <c r="Q351" s="617"/>
      <c r="R351" s="617"/>
      <c r="S351" s="617"/>
      <c r="T351" s="617"/>
      <c r="U351" s="617"/>
      <c r="V351" s="617"/>
      <c r="W351" s="617"/>
      <c r="X351" s="617"/>
      <c r="Y351" s="617"/>
      <c r="Z351" s="617"/>
      <c r="AA351" s="600"/>
      <c r="AB351" s="600"/>
      <c r="AC351" s="600"/>
    </row>
    <row r="352" spans="1:68" ht="14.25" customHeight="1" x14ac:dyDescent="0.25">
      <c r="A352" s="616" t="s">
        <v>118</v>
      </c>
      <c r="B352" s="617"/>
      <c r="C352" s="617"/>
      <c r="D352" s="617"/>
      <c r="E352" s="617"/>
      <c r="F352" s="617"/>
      <c r="G352" s="617"/>
      <c r="H352" s="617"/>
      <c r="I352" s="617"/>
      <c r="J352" s="617"/>
      <c r="K352" s="617"/>
      <c r="L352" s="617"/>
      <c r="M352" s="617"/>
      <c r="N352" s="617"/>
      <c r="O352" s="617"/>
      <c r="P352" s="617"/>
      <c r="Q352" s="617"/>
      <c r="R352" s="617"/>
      <c r="S352" s="617"/>
      <c r="T352" s="617"/>
      <c r="U352" s="617"/>
      <c r="V352" s="617"/>
      <c r="W352" s="617"/>
      <c r="X352" s="617"/>
      <c r="Y352" s="617"/>
      <c r="Z352" s="617"/>
      <c r="AA352" s="599"/>
      <c r="AB352" s="599"/>
      <c r="AC352" s="599"/>
    </row>
    <row r="353" spans="1:68" ht="27" customHeight="1" x14ac:dyDescent="0.25">
      <c r="A353" s="54" t="s">
        <v>571</v>
      </c>
      <c r="B353" s="54" t="s">
        <v>572</v>
      </c>
      <c r="C353" s="31">
        <v>4301012235</v>
      </c>
      <c r="D353" s="609">
        <v>4680115887190</v>
      </c>
      <c r="E353" s="61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09">
        <v>4680115887138</v>
      </c>
      <c r="E354" s="61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09">
        <v>4680115885554</v>
      </c>
      <c r="E355" s="61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580</v>
      </c>
      <c r="B356" s="54" t="s">
        <v>581</v>
      </c>
      <c r="C356" s="31">
        <v>4301012236</v>
      </c>
      <c r="D356" s="609">
        <v>4680115887220</v>
      </c>
      <c r="E356" s="61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78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4301011859</v>
      </c>
      <c r="D357" s="609">
        <v>4680115885608</v>
      </c>
      <c r="E357" s="61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8"/>
      <c r="B358" s="617"/>
      <c r="C358" s="617"/>
      <c r="D358" s="617"/>
      <c r="E358" s="617"/>
      <c r="F358" s="617"/>
      <c r="G358" s="617"/>
      <c r="H358" s="617"/>
      <c r="I358" s="617"/>
      <c r="J358" s="617"/>
      <c r="K358" s="617"/>
      <c r="L358" s="617"/>
      <c r="M358" s="617"/>
      <c r="N358" s="617"/>
      <c r="O358" s="629"/>
      <c r="P358" s="621" t="s">
        <v>72</v>
      </c>
      <c r="Q358" s="622"/>
      <c r="R358" s="622"/>
      <c r="S358" s="622"/>
      <c r="T358" s="622"/>
      <c r="U358" s="622"/>
      <c r="V358" s="623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x14ac:dyDescent="0.2">
      <c r="A359" s="617"/>
      <c r="B359" s="617"/>
      <c r="C359" s="617"/>
      <c r="D359" s="617"/>
      <c r="E359" s="617"/>
      <c r="F359" s="617"/>
      <c r="G359" s="617"/>
      <c r="H359" s="617"/>
      <c r="I359" s="617"/>
      <c r="J359" s="617"/>
      <c r="K359" s="617"/>
      <c r="L359" s="617"/>
      <c r="M359" s="617"/>
      <c r="N359" s="617"/>
      <c r="O359" s="629"/>
      <c r="P359" s="621" t="s">
        <v>72</v>
      </c>
      <c r="Q359" s="622"/>
      <c r="R359" s="622"/>
      <c r="S359" s="622"/>
      <c r="T359" s="622"/>
      <c r="U359" s="622"/>
      <c r="V359" s="623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customHeight="1" x14ac:dyDescent="0.25">
      <c r="A360" s="616" t="s">
        <v>62</v>
      </c>
      <c r="B360" s="617"/>
      <c r="C360" s="617"/>
      <c r="D360" s="617"/>
      <c r="E360" s="617"/>
      <c r="F360" s="617"/>
      <c r="G360" s="617"/>
      <c r="H360" s="617"/>
      <c r="I360" s="617"/>
      <c r="J360" s="617"/>
      <c r="K360" s="617"/>
      <c r="L360" s="617"/>
      <c r="M360" s="617"/>
      <c r="N360" s="617"/>
      <c r="O360" s="617"/>
      <c r="P360" s="617"/>
      <c r="Q360" s="617"/>
      <c r="R360" s="617"/>
      <c r="S360" s="617"/>
      <c r="T360" s="617"/>
      <c r="U360" s="617"/>
      <c r="V360" s="617"/>
      <c r="W360" s="617"/>
      <c r="X360" s="617"/>
      <c r="Y360" s="617"/>
      <c r="Z360" s="617"/>
      <c r="AA360" s="599"/>
      <c r="AB360" s="599"/>
      <c r="AC360" s="599"/>
    </row>
    <row r="361" spans="1:68" ht="27" customHeight="1" x14ac:dyDescent="0.25">
      <c r="A361" s="54" t="s">
        <v>585</v>
      </c>
      <c r="B361" s="54" t="s">
        <v>586</v>
      </c>
      <c r="C361" s="31">
        <v>4301030878</v>
      </c>
      <c r="D361" s="609">
        <v>4607091387193</v>
      </c>
      <c r="E361" s="61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09">
        <v>4607091387230</v>
      </c>
      <c r="E362" s="61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0</v>
      </c>
      <c r="Y362" s="606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customHeight="1" x14ac:dyDescent="0.25">
      <c r="A363" s="54" t="s">
        <v>591</v>
      </c>
      <c r="B363" s="54" t="s">
        <v>592</v>
      </c>
      <c r="C363" s="31">
        <v>4301031154</v>
      </c>
      <c r="D363" s="609">
        <v>4607091387292</v>
      </c>
      <c r="E363" s="61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customHeight="1" x14ac:dyDescent="0.25">
      <c r="A364" s="54" t="s">
        <v>594</v>
      </c>
      <c r="B364" s="54" t="s">
        <v>595</v>
      </c>
      <c r="C364" s="31">
        <v>4301031152</v>
      </c>
      <c r="D364" s="609">
        <v>4607091387285</v>
      </c>
      <c r="E364" s="61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customHeight="1" x14ac:dyDescent="0.25">
      <c r="A365" s="54" t="s">
        <v>596</v>
      </c>
      <c r="B365" s="54" t="s">
        <v>597</v>
      </c>
      <c r="C365" s="31">
        <v>4301031305</v>
      </c>
      <c r="D365" s="609">
        <v>4607091389845</v>
      </c>
      <c r="E365" s="61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customHeight="1" x14ac:dyDescent="0.25">
      <c r="A366" s="54" t="s">
        <v>599</v>
      </c>
      <c r="B366" s="54" t="s">
        <v>600</v>
      </c>
      <c r="C366" s="31">
        <v>4301031460</v>
      </c>
      <c r="D366" s="609">
        <v>4680115887442</v>
      </c>
      <c r="E366" s="61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09">
        <v>4607091383836</v>
      </c>
      <c r="E367" s="61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54</v>
      </c>
      <c r="Y367" s="606">
        <f t="shared" si="47"/>
        <v>54</v>
      </c>
      <c r="Z367" s="36">
        <f>IFERROR(IF(Y367=0,"",ROUNDUP(Y367/H367,0)*0.00651),"")</f>
        <v>0.1953</v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60.839999999999996</v>
      </c>
      <c r="BN367" s="64">
        <f t="shared" si="49"/>
        <v>60.839999999999996</v>
      </c>
      <c r="BO367" s="64">
        <f t="shared" si="50"/>
        <v>0.16483516483516486</v>
      </c>
      <c r="BP367" s="64">
        <f t="shared" si="51"/>
        <v>0.16483516483516486</v>
      </c>
    </row>
    <row r="368" spans="1:68" x14ac:dyDescent="0.2">
      <c r="A368" s="628"/>
      <c r="B368" s="617"/>
      <c r="C368" s="617"/>
      <c r="D368" s="617"/>
      <c r="E368" s="617"/>
      <c r="F368" s="617"/>
      <c r="G368" s="617"/>
      <c r="H368" s="617"/>
      <c r="I368" s="617"/>
      <c r="J368" s="617"/>
      <c r="K368" s="617"/>
      <c r="L368" s="617"/>
      <c r="M368" s="617"/>
      <c r="N368" s="617"/>
      <c r="O368" s="629"/>
      <c r="P368" s="621" t="s">
        <v>72</v>
      </c>
      <c r="Q368" s="622"/>
      <c r="R368" s="622"/>
      <c r="S368" s="622"/>
      <c r="T368" s="622"/>
      <c r="U368" s="622"/>
      <c r="V368" s="623"/>
      <c r="W368" s="37" t="s">
        <v>73</v>
      </c>
      <c r="X368" s="607">
        <f>IFERROR(X361/H361,"0")+IFERROR(X362/H362,"0")+IFERROR(X363/H363,"0")+IFERROR(X364/H364,"0")+IFERROR(X365/H365,"0")+IFERROR(X366/H366,"0")+IFERROR(X367/H367,"0")</f>
        <v>30</v>
      </c>
      <c r="Y368" s="607">
        <f>IFERROR(Y361/H361,"0")+IFERROR(Y362/H362,"0")+IFERROR(Y363/H363,"0")+IFERROR(Y364/H364,"0")+IFERROR(Y365/H365,"0")+IFERROR(Y366/H366,"0")+IFERROR(Y367/H367,"0")</f>
        <v>30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0.1953</v>
      </c>
      <c r="AA368" s="608"/>
      <c r="AB368" s="608"/>
      <c r="AC368" s="608"/>
    </row>
    <row r="369" spans="1:68" x14ac:dyDescent="0.2">
      <c r="A369" s="617"/>
      <c r="B369" s="617"/>
      <c r="C369" s="617"/>
      <c r="D369" s="617"/>
      <c r="E369" s="617"/>
      <c r="F369" s="617"/>
      <c r="G369" s="617"/>
      <c r="H369" s="617"/>
      <c r="I369" s="617"/>
      <c r="J369" s="617"/>
      <c r="K369" s="617"/>
      <c r="L369" s="617"/>
      <c r="M369" s="617"/>
      <c r="N369" s="617"/>
      <c r="O369" s="629"/>
      <c r="P369" s="621" t="s">
        <v>72</v>
      </c>
      <c r="Q369" s="622"/>
      <c r="R369" s="622"/>
      <c r="S369" s="622"/>
      <c r="T369" s="622"/>
      <c r="U369" s="622"/>
      <c r="V369" s="623"/>
      <c r="W369" s="37" t="s">
        <v>67</v>
      </c>
      <c r="X369" s="607">
        <f>IFERROR(SUM(X361:X367),"0")</f>
        <v>54</v>
      </c>
      <c r="Y369" s="607">
        <f>IFERROR(SUM(Y361:Y367),"0")</f>
        <v>54</v>
      </c>
      <c r="Z369" s="37"/>
      <c r="AA369" s="608"/>
      <c r="AB369" s="608"/>
      <c r="AC369" s="608"/>
    </row>
    <row r="370" spans="1:68" ht="14.25" customHeight="1" x14ac:dyDescent="0.25">
      <c r="A370" s="616" t="s">
        <v>74</v>
      </c>
      <c r="B370" s="617"/>
      <c r="C370" s="617"/>
      <c r="D370" s="617"/>
      <c r="E370" s="617"/>
      <c r="F370" s="617"/>
      <c r="G370" s="617"/>
      <c r="H370" s="617"/>
      <c r="I370" s="617"/>
      <c r="J370" s="617"/>
      <c r="K370" s="617"/>
      <c r="L370" s="617"/>
      <c r="M370" s="617"/>
      <c r="N370" s="617"/>
      <c r="O370" s="617"/>
      <c r="P370" s="617"/>
      <c r="Q370" s="617"/>
      <c r="R370" s="617"/>
      <c r="S370" s="617"/>
      <c r="T370" s="617"/>
      <c r="U370" s="617"/>
      <c r="V370" s="617"/>
      <c r="W370" s="617"/>
      <c r="X370" s="617"/>
      <c r="Y370" s="617"/>
      <c r="Z370" s="617"/>
      <c r="AA370" s="599"/>
      <c r="AB370" s="599"/>
      <c r="AC370" s="599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09">
        <v>4607091387766</v>
      </c>
      <c r="E371" s="61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607</v>
      </c>
      <c r="B372" s="54" t="s">
        <v>608</v>
      </c>
      <c r="C372" s="31">
        <v>4301051818</v>
      </c>
      <c r="D372" s="609">
        <v>4607091387957</v>
      </c>
      <c r="E372" s="61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7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610</v>
      </c>
      <c r="B373" s="54" t="s">
        <v>611</v>
      </c>
      <c r="C373" s="31">
        <v>4301051819</v>
      </c>
      <c r="D373" s="609">
        <v>4607091387964</v>
      </c>
      <c r="E373" s="61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613</v>
      </c>
      <c r="B374" s="54" t="s">
        <v>614</v>
      </c>
      <c r="C374" s="31">
        <v>4301051734</v>
      </c>
      <c r="D374" s="609">
        <v>4680115884588</v>
      </c>
      <c r="E374" s="61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8"/>
      <c r="B375" s="617"/>
      <c r="C375" s="617"/>
      <c r="D375" s="617"/>
      <c r="E375" s="617"/>
      <c r="F375" s="617"/>
      <c r="G375" s="617"/>
      <c r="H375" s="617"/>
      <c r="I375" s="617"/>
      <c r="J375" s="617"/>
      <c r="K375" s="617"/>
      <c r="L375" s="617"/>
      <c r="M375" s="617"/>
      <c r="N375" s="617"/>
      <c r="O375" s="629"/>
      <c r="P375" s="621" t="s">
        <v>72</v>
      </c>
      <c r="Q375" s="622"/>
      <c r="R375" s="622"/>
      <c r="S375" s="622"/>
      <c r="T375" s="622"/>
      <c r="U375" s="622"/>
      <c r="V375" s="623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x14ac:dyDescent="0.2">
      <c r="A376" s="617"/>
      <c r="B376" s="617"/>
      <c r="C376" s="617"/>
      <c r="D376" s="617"/>
      <c r="E376" s="617"/>
      <c r="F376" s="617"/>
      <c r="G376" s="617"/>
      <c r="H376" s="617"/>
      <c r="I376" s="617"/>
      <c r="J376" s="617"/>
      <c r="K376" s="617"/>
      <c r="L376" s="617"/>
      <c r="M376" s="617"/>
      <c r="N376" s="617"/>
      <c r="O376" s="629"/>
      <c r="P376" s="621" t="s">
        <v>72</v>
      </c>
      <c r="Q376" s="622"/>
      <c r="R376" s="622"/>
      <c r="S376" s="622"/>
      <c r="T376" s="622"/>
      <c r="U376" s="622"/>
      <c r="V376" s="623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customHeight="1" x14ac:dyDescent="0.25">
      <c r="A377" s="616" t="s">
        <v>172</v>
      </c>
      <c r="B377" s="617"/>
      <c r="C377" s="617"/>
      <c r="D377" s="617"/>
      <c r="E377" s="617"/>
      <c r="F377" s="617"/>
      <c r="G377" s="617"/>
      <c r="H377" s="617"/>
      <c r="I377" s="617"/>
      <c r="J377" s="617"/>
      <c r="K377" s="617"/>
      <c r="L377" s="617"/>
      <c r="M377" s="617"/>
      <c r="N377" s="617"/>
      <c r="O377" s="617"/>
      <c r="P377" s="617"/>
      <c r="Q377" s="617"/>
      <c r="R377" s="617"/>
      <c r="S377" s="617"/>
      <c r="T377" s="617"/>
      <c r="U377" s="617"/>
      <c r="V377" s="617"/>
      <c r="W377" s="617"/>
      <c r="X377" s="617"/>
      <c r="Y377" s="617"/>
      <c r="Z377" s="617"/>
      <c r="AA377" s="599"/>
      <c r="AB377" s="599"/>
      <c r="AC377" s="599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09">
        <v>4607091380880</v>
      </c>
      <c r="E378" s="61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09">
        <v>4607091384482</v>
      </c>
      <c r="E379" s="61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180</v>
      </c>
      <c r="Y379" s="606">
        <f>IFERROR(IF(X379="",0,CEILING((X379/$H379),1)*$H379),"")</f>
        <v>187.2</v>
      </c>
      <c r="Z379" s="36">
        <f>IFERROR(IF(Y379=0,"",ROUNDUP(Y379/H379,0)*0.01898),"")</f>
        <v>0.45552000000000004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191.4</v>
      </c>
      <c r="BN379" s="64">
        <f>IFERROR(Y379*I379/H379,"0")</f>
        <v>199.05600000000001</v>
      </c>
      <c r="BO379" s="64">
        <f>IFERROR(1/J379*(X379/H379),"0")</f>
        <v>0.36057692307692307</v>
      </c>
      <c r="BP379" s="64">
        <f>IFERROR(1/J379*(Y379/H379),"0")</f>
        <v>0.375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09">
        <v>4607091380897</v>
      </c>
      <c r="E380" s="61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28"/>
      <c r="B381" s="617"/>
      <c r="C381" s="617"/>
      <c r="D381" s="617"/>
      <c r="E381" s="617"/>
      <c r="F381" s="617"/>
      <c r="G381" s="617"/>
      <c r="H381" s="617"/>
      <c r="I381" s="617"/>
      <c r="J381" s="617"/>
      <c r="K381" s="617"/>
      <c r="L381" s="617"/>
      <c r="M381" s="617"/>
      <c r="N381" s="617"/>
      <c r="O381" s="629"/>
      <c r="P381" s="621" t="s">
        <v>72</v>
      </c>
      <c r="Q381" s="622"/>
      <c r="R381" s="622"/>
      <c r="S381" s="622"/>
      <c r="T381" s="622"/>
      <c r="U381" s="622"/>
      <c r="V381" s="623"/>
      <c r="W381" s="37" t="s">
        <v>73</v>
      </c>
      <c r="X381" s="607">
        <f>IFERROR(X378/H378,"0")+IFERROR(X379/H379,"0")+IFERROR(X380/H380,"0")</f>
        <v>23.076923076923077</v>
      </c>
      <c r="Y381" s="607">
        <f>IFERROR(Y378/H378,"0")+IFERROR(Y379/H379,"0")+IFERROR(Y380/H380,"0")</f>
        <v>24</v>
      </c>
      <c r="Z381" s="607">
        <f>IFERROR(IF(Z378="",0,Z378),"0")+IFERROR(IF(Z379="",0,Z379),"0")+IFERROR(IF(Z380="",0,Z380),"0")</f>
        <v>0.45552000000000004</v>
      </c>
      <c r="AA381" s="608"/>
      <c r="AB381" s="608"/>
      <c r="AC381" s="608"/>
    </row>
    <row r="382" spans="1:68" x14ac:dyDescent="0.2">
      <c r="A382" s="617"/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29"/>
      <c r="P382" s="621" t="s">
        <v>72</v>
      </c>
      <c r="Q382" s="622"/>
      <c r="R382" s="622"/>
      <c r="S382" s="622"/>
      <c r="T382" s="622"/>
      <c r="U382" s="622"/>
      <c r="V382" s="623"/>
      <c r="W382" s="37" t="s">
        <v>67</v>
      </c>
      <c r="X382" s="607">
        <f>IFERROR(SUM(X378:X380),"0")</f>
        <v>180</v>
      </c>
      <c r="Y382" s="607">
        <f>IFERROR(SUM(Y378:Y380),"0")</f>
        <v>187.2</v>
      </c>
      <c r="Z382" s="37"/>
      <c r="AA382" s="608"/>
      <c r="AB382" s="608"/>
      <c r="AC382" s="608"/>
    </row>
    <row r="383" spans="1:68" ht="14.25" customHeight="1" x14ac:dyDescent="0.25">
      <c r="A383" s="616" t="s">
        <v>92</v>
      </c>
      <c r="B383" s="617"/>
      <c r="C383" s="617"/>
      <c r="D383" s="617"/>
      <c r="E383" s="617"/>
      <c r="F383" s="617"/>
      <c r="G383" s="617"/>
      <c r="H383" s="617"/>
      <c r="I383" s="617"/>
      <c r="J383" s="617"/>
      <c r="K383" s="617"/>
      <c r="L383" s="617"/>
      <c r="M383" s="617"/>
      <c r="N383" s="617"/>
      <c r="O383" s="617"/>
      <c r="P383" s="617"/>
      <c r="Q383" s="617"/>
      <c r="R383" s="617"/>
      <c r="S383" s="617"/>
      <c r="T383" s="617"/>
      <c r="U383" s="617"/>
      <c r="V383" s="617"/>
      <c r="W383" s="617"/>
      <c r="X383" s="617"/>
      <c r="Y383" s="617"/>
      <c r="Z383" s="617"/>
      <c r="AA383" s="599"/>
      <c r="AB383" s="599"/>
      <c r="AC383" s="599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09">
        <v>4607091388381</v>
      </c>
      <c r="E384" s="61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12</v>
      </c>
      <c r="Y384" s="606">
        <f>IFERROR(IF(X384="",0,CEILING((X384/$H384),1)*$H384),"")</f>
        <v>12.16</v>
      </c>
      <c r="Z384" s="36">
        <f>IFERROR(IF(Y384=0,"",ROUNDUP(Y384/H384,0)*0.00902),"")</f>
        <v>3.6080000000000001E-2</v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13.065789473684211</v>
      </c>
      <c r="BN384" s="64">
        <f>IFERROR(Y384*I384/H384,"0")</f>
        <v>13.24</v>
      </c>
      <c r="BO384" s="64">
        <f>IFERROR(1/J384*(X384/H384),"0")</f>
        <v>2.9904306220095694E-2</v>
      </c>
      <c r="BP384" s="64">
        <f>IFERROR(1/J384*(Y384/H384),"0")</f>
        <v>3.0303030303030304E-2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09">
        <v>4607091388374</v>
      </c>
      <c r="E385" s="61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14</v>
      </c>
      <c r="Y385" s="606">
        <f>IFERROR(IF(X385="",0,CEILING((X385/$H385),1)*$H385),"")</f>
        <v>15.2</v>
      </c>
      <c r="Z385" s="36">
        <f>IFERROR(IF(Y385=0,"",ROUNDUP(Y385/H385,0)*0.00902),"")</f>
        <v>4.5100000000000001E-2</v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15.059210526315789</v>
      </c>
      <c r="BN385" s="64">
        <f>IFERROR(Y385*I385/H385,"0")</f>
        <v>16.350000000000001</v>
      </c>
      <c r="BO385" s="64">
        <f>IFERROR(1/J385*(X385/H385),"0")</f>
        <v>3.4888357256778316E-2</v>
      </c>
      <c r="BP385" s="64">
        <f>IFERROR(1/J385*(Y385/H385),"0")</f>
        <v>3.787878787878788E-2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09">
        <v>4607091383102</v>
      </c>
      <c r="E386" s="61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09">
        <v>4607091388404</v>
      </c>
      <c r="E387" s="61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28"/>
      <c r="B388" s="617"/>
      <c r="C388" s="617"/>
      <c r="D388" s="617"/>
      <c r="E388" s="617"/>
      <c r="F388" s="617"/>
      <c r="G388" s="617"/>
      <c r="H388" s="617"/>
      <c r="I388" s="617"/>
      <c r="J388" s="617"/>
      <c r="K388" s="617"/>
      <c r="L388" s="617"/>
      <c r="M388" s="617"/>
      <c r="N388" s="617"/>
      <c r="O388" s="629"/>
      <c r="P388" s="621" t="s">
        <v>72</v>
      </c>
      <c r="Q388" s="622"/>
      <c r="R388" s="622"/>
      <c r="S388" s="622"/>
      <c r="T388" s="622"/>
      <c r="U388" s="622"/>
      <c r="V388" s="623"/>
      <c r="W388" s="37" t="s">
        <v>73</v>
      </c>
      <c r="X388" s="607">
        <f>IFERROR(X384/H384,"0")+IFERROR(X385/H385,"0")+IFERROR(X386/H386,"0")+IFERROR(X387/H387,"0")</f>
        <v>8.5526315789473681</v>
      </c>
      <c r="Y388" s="607">
        <f>IFERROR(Y384/H384,"0")+IFERROR(Y385/H385,"0")+IFERROR(Y386/H386,"0")+IFERROR(Y387/H387,"0")</f>
        <v>9</v>
      </c>
      <c r="Z388" s="607">
        <f>IFERROR(IF(Z384="",0,Z384),"0")+IFERROR(IF(Z385="",0,Z385),"0")+IFERROR(IF(Z386="",0,Z386),"0")+IFERROR(IF(Z387="",0,Z387),"0")</f>
        <v>8.1180000000000002E-2</v>
      </c>
      <c r="AA388" s="608"/>
      <c r="AB388" s="608"/>
      <c r="AC388" s="608"/>
    </row>
    <row r="389" spans="1:68" x14ac:dyDescent="0.2">
      <c r="A389" s="617"/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29"/>
      <c r="P389" s="621" t="s">
        <v>72</v>
      </c>
      <c r="Q389" s="622"/>
      <c r="R389" s="622"/>
      <c r="S389" s="622"/>
      <c r="T389" s="622"/>
      <c r="U389" s="622"/>
      <c r="V389" s="623"/>
      <c r="W389" s="37" t="s">
        <v>67</v>
      </c>
      <c r="X389" s="607">
        <f>IFERROR(SUM(X384:X387),"0")</f>
        <v>26</v>
      </c>
      <c r="Y389" s="607">
        <f>IFERROR(SUM(Y384:Y387),"0")</f>
        <v>27.36</v>
      </c>
      <c r="Z389" s="37"/>
      <c r="AA389" s="608"/>
      <c r="AB389" s="608"/>
      <c r="AC389" s="608"/>
    </row>
    <row r="390" spans="1:68" ht="14.25" customHeight="1" x14ac:dyDescent="0.25">
      <c r="A390" s="616" t="s">
        <v>633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599"/>
      <c r="AB390" s="599"/>
      <c r="AC390" s="599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09">
        <v>4680115881808</v>
      </c>
      <c r="E391" s="61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09">
        <v>4680115881822</v>
      </c>
      <c r="E392" s="61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09">
        <v>4680115880016</v>
      </c>
      <c r="E393" s="61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28"/>
      <c r="B394" s="617"/>
      <c r="C394" s="617"/>
      <c r="D394" s="617"/>
      <c r="E394" s="617"/>
      <c r="F394" s="617"/>
      <c r="G394" s="617"/>
      <c r="H394" s="617"/>
      <c r="I394" s="617"/>
      <c r="J394" s="617"/>
      <c r="K394" s="617"/>
      <c r="L394" s="617"/>
      <c r="M394" s="617"/>
      <c r="N394" s="617"/>
      <c r="O394" s="629"/>
      <c r="P394" s="621" t="s">
        <v>72</v>
      </c>
      <c r="Q394" s="622"/>
      <c r="R394" s="622"/>
      <c r="S394" s="622"/>
      <c r="T394" s="622"/>
      <c r="U394" s="622"/>
      <c r="V394" s="623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x14ac:dyDescent="0.2">
      <c r="A395" s="617"/>
      <c r="B395" s="617"/>
      <c r="C395" s="617"/>
      <c r="D395" s="617"/>
      <c r="E395" s="617"/>
      <c r="F395" s="617"/>
      <c r="G395" s="617"/>
      <c r="H395" s="617"/>
      <c r="I395" s="617"/>
      <c r="J395" s="617"/>
      <c r="K395" s="617"/>
      <c r="L395" s="617"/>
      <c r="M395" s="617"/>
      <c r="N395" s="617"/>
      <c r="O395" s="629"/>
      <c r="P395" s="621" t="s">
        <v>72</v>
      </c>
      <c r="Q395" s="622"/>
      <c r="R395" s="622"/>
      <c r="S395" s="622"/>
      <c r="T395" s="622"/>
      <c r="U395" s="622"/>
      <c r="V395" s="623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customHeight="1" x14ac:dyDescent="0.25">
      <c r="A396" s="626" t="s">
        <v>642</v>
      </c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  <c r="Y396" s="617"/>
      <c r="Z396" s="617"/>
      <c r="AA396" s="600"/>
      <c r="AB396" s="600"/>
      <c r="AC396" s="600"/>
    </row>
    <row r="397" spans="1:68" ht="14.25" customHeight="1" x14ac:dyDescent="0.25">
      <c r="A397" s="616" t="s">
        <v>74</v>
      </c>
      <c r="B397" s="617"/>
      <c r="C397" s="617"/>
      <c r="D397" s="617"/>
      <c r="E397" s="617"/>
      <c r="F397" s="617"/>
      <c r="G397" s="617"/>
      <c r="H397" s="617"/>
      <c r="I397" s="617"/>
      <c r="J397" s="617"/>
      <c r="K397" s="617"/>
      <c r="L397" s="617"/>
      <c r="M397" s="617"/>
      <c r="N397" s="617"/>
      <c r="O397" s="617"/>
      <c r="P397" s="617"/>
      <c r="Q397" s="617"/>
      <c r="R397" s="617"/>
      <c r="S397" s="617"/>
      <c r="T397" s="617"/>
      <c r="U397" s="617"/>
      <c r="V397" s="617"/>
      <c r="W397" s="617"/>
      <c r="X397" s="617"/>
      <c r="Y397" s="617"/>
      <c r="Z397" s="617"/>
      <c r="AA397" s="599"/>
      <c r="AB397" s="599"/>
      <c r="AC397" s="599"/>
    </row>
    <row r="398" spans="1:68" ht="27" customHeight="1" x14ac:dyDescent="0.25">
      <c r="A398" s="54" t="s">
        <v>643</v>
      </c>
      <c r="B398" s="54" t="s">
        <v>644</v>
      </c>
      <c r="C398" s="31">
        <v>4301051489</v>
      </c>
      <c r="D398" s="609">
        <v>4607091387919</v>
      </c>
      <c r="E398" s="61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09">
        <v>4680115883604</v>
      </c>
      <c r="E399" s="61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09">
        <v>4680115883567</v>
      </c>
      <c r="E400" s="61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0</v>
      </c>
      <c r="Y400" s="60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28"/>
      <c r="B401" s="617"/>
      <c r="C401" s="617"/>
      <c r="D401" s="617"/>
      <c r="E401" s="617"/>
      <c r="F401" s="617"/>
      <c r="G401" s="617"/>
      <c r="H401" s="617"/>
      <c r="I401" s="617"/>
      <c r="J401" s="617"/>
      <c r="K401" s="617"/>
      <c r="L401" s="617"/>
      <c r="M401" s="617"/>
      <c r="N401" s="617"/>
      <c r="O401" s="629"/>
      <c r="P401" s="621" t="s">
        <v>72</v>
      </c>
      <c r="Q401" s="622"/>
      <c r="R401" s="622"/>
      <c r="S401" s="622"/>
      <c r="T401" s="622"/>
      <c r="U401" s="622"/>
      <c r="V401" s="623"/>
      <c r="W401" s="37" t="s">
        <v>73</v>
      </c>
      <c r="X401" s="607">
        <f>IFERROR(X398/H398,"0")+IFERROR(X399/H399,"0")+IFERROR(X400/H400,"0")</f>
        <v>0</v>
      </c>
      <c r="Y401" s="607">
        <f>IFERROR(Y398/H398,"0")+IFERROR(Y399/H399,"0")+IFERROR(Y400/H400,"0")</f>
        <v>0</v>
      </c>
      <c r="Z401" s="607">
        <f>IFERROR(IF(Z398="",0,Z398),"0")+IFERROR(IF(Z399="",0,Z399),"0")+IFERROR(IF(Z400="",0,Z400),"0")</f>
        <v>0</v>
      </c>
      <c r="AA401" s="608"/>
      <c r="AB401" s="608"/>
      <c r="AC401" s="608"/>
    </row>
    <row r="402" spans="1:68" x14ac:dyDescent="0.2">
      <c r="A402" s="617"/>
      <c r="B402" s="617"/>
      <c r="C402" s="617"/>
      <c r="D402" s="617"/>
      <c r="E402" s="617"/>
      <c r="F402" s="617"/>
      <c r="G402" s="617"/>
      <c r="H402" s="617"/>
      <c r="I402" s="617"/>
      <c r="J402" s="617"/>
      <c r="K402" s="617"/>
      <c r="L402" s="617"/>
      <c r="M402" s="617"/>
      <c r="N402" s="617"/>
      <c r="O402" s="629"/>
      <c r="P402" s="621" t="s">
        <v>72</v>
      </c>
      <c r="Q402" s="622"/>
      <c r="R402" s="622"/>
      <c r="S402" s="622"/>
      <c r="T402" s="622"/>
      <c r="U402" s="622"/>
      <c r="V402" s="623"/>
      <c r="W402" s="37" t="s">
        <v>67</v>
      </c>
      <c r="X402" s="607">
        <f>IFERROR(SUM(X398:X400),"0")</f>
        <v>0</v>
      </c>
      <c r="Y402" s="607">
        <f>IFERROR(SUM(Y398:Y400),"0")</f>
        <v>0</v>
      </c>
      <c r="Z402" s="37"/>
      <c r="AA402" s="608"/>
      <c r="AB402" s="608"/>
      <c r="AC402" s="608"/>
    </row>
    <row r="403" spans="1:68" ht="27.75" customHeight="1" x14ac:dyDescent="0.2">
      <c r="A403" s="667" t="s">
        <v>652</v>
      </c>
      <c r="B403" s="668"/>
      <c r="C403" s="668"/>
      <c r="D403" s="668"/>
      <c r="E403" s="668"/>
      <c r="F403" s="668"/>
      <c r="G403" s="668"/>
      <c r="H403" s="668"/>
      <c r="I403" s="668"/>
      <c r="J403" s="668"/>
      <c r="K403" s="668"/>
      <c r="L403" s="668"/>
      <c r="M403" s="668"/>
      <c r="N403" s="668"/>
      <c r="O403" s="668"/>
      <c r="P403" s="668"/>
      <c r="Q403" s="668"/>
      <c r="R403" s="668"/>
      <c r="S403" s="668"/>
      <c r="T403" s="668"/>
      <c r="U403" s="668"/>
      <c r="V403" s="668"/>
      <c r="W403" s="668"/>
      <c r="X403" s="668"/>
      <c r="Y403" s="668"/>
      <c r="Z403" s="668"/>
      <c r="AA403" s="48"/>
      <c r="AB403" s="48"/>
      <c r="AC403" s="48"/>
    </row>
    <row r="404" spans="1:68" ht="16.5" customHeight="1" x14ac:dyDescent="0.25">
      <c r="A404" s="626" t="s">
        <v>653</v>
      </c>
      <c r="B404" s="617"/>
      <c r="C404" s="617"/>
      <c r="D404" s="617"/>
      <c r="E404" s="617"/>
      <c r="F404" s="617"/>
      <c r="G404" s="617"/>
      <c r="H404" s="617"/>
      <c r="I404" s="617"/>
      <c r="J404" s="617"/>
      <c r="K404" s="617"/>
      <c r="L404" s="617"/>
      <c r="M404" s="617"/>
      <c r="N404" s="617"/>
      <c r="O404" s="617"/>
      <c r="P404" s="617"/>
      <c r="Q404" s="617"/>
      <c r="R404" s="617"/>
      <c r="S404" s="617"/>
      <c r="T404" s="617"/>
      <c r="U404" s="617"/>
      <c r="V404" s="617"/>
      <c r="W404" s="617"/>
      <c r="X404" s="617"/>
      <c r="Y404" s="617"/>
      <c r="Z404" s="617"/>
      <c r="AA404" s="600"/>
      <c r="AB404" s="600"/>
      <c r="AC404" s="600"/>
    </row>
    <row r="405" spans="1:68" ht="14.25" customHeight="1" x14ac:dyDescent="0.25">
      <c r="A405" s="616" t="s">
        <v>118</v>
      </c>
      <c r="B405" s="617"/>
      <c r="C405" s="617"/>
      <c r="D405" s="617"/>
      <c r="E405" s="617"/>
      <c r="F405" s="617"/>
      <c r="G405" s="617"/>
      <c r="H405" s="617"/>
      <c r="I405" s="617"/>
      <c r="J405" s="617"/>
      <c r="K405" s="617"/>
      <c r="L405" s="617"/>
      <c r="M405" s="617"/>
      <c r="N405" s="617"/>
      <c r="O405" s="617"/>
      <c r="P405" s="617"/>
      <c r="Q405" s="617"/>
      <c r="R405" s="617"/>
      <c r="S405" s="617"/>
      <c r="T405" s="617"/>
      <c r="U405" s="617"/>
      <c r="V405" s="617"/>
      <c r="W405" s="617"/>
      <c r="X405" s="617"/>
      <c r="Y405" s="617"/>
      <c r="Z405" s="617"/>
      <c r="AA405" s="599"/>
      <c r="AB405" s="599"/>
      <c r="AC405" s="599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09">
        <v>4680115888401</v>
      </c>
      <c r="E406" s="61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6</v>
      </c>
      <c r="Y406" s="606">
        <f t="shared" ref="Y406:Y413" si="52">IFERROR(IF(X406="",0,CEILING((X406/$H406),1)*$H406),"")</f>
        <v>15</v>
      </c>
      <c r="Z406" s="36">
        <f>IFERROR(IF(Y406=0,"",ROUNDUP(Y406/H406,0)*0.02175),"")</f>
        <v>2.1749999999999999E-2</v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6.1880000000000006</v>
      </c>
      <c r="BN406" s="64">
        <f t="shared" ref="BN406:BN413" si="54">IFERROR(Y406*I406/H406,"0")</f>
        <v>15.47</v>
      </c>
      <c r="BO406" s="64">
        <f t="shared" ref="BO406:BO413" si="55">IFERROR(1/J406*(X406/H406),"0")</f>
        <v>8.3333333333333332E-3</v>
      </c>
      <c r="BP406" s="64">
        <f t="shared" ref="BP406:BP413" si="56">IFERROR(1/J406*(Y406/H406),"0")</f>
        <v>2.0833333333333332E-2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09">
        <v>4680115884847</v>
      </c>
      <c r="E407" s="61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1093</v>
      </c>
      <c r="Y407" s="606">
        <f t="shared" si="52"/>
        <v>1095</v>
      </c>
      <c r="Z407" s="36">
        <f>IFERROR(IF(Y407=0,"",ROUNDUP(Y407/H407,0)*0.02175),"")</f>
        <v>1.58775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1127.2473333333332</v>
      </c>
      <c r="BN407" s="64">
        <f t="shared" si="54"/>
        <v>1129.3100000000002</v>
      </c>
      <c r="BO407" s="64">
        <f t="shared" si="55"/>
        <v>1.5180555555555553</v>
      </c>
      <c r="BP407" s="64">
        <f t="shared" si="56"/>
        <v>1.5208333333333333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09">
        <v>4680115884854</v>
      </c>
      <c r="E408" s="61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466</v>
      </c>
      <c r="Y408" s="606">
        <f t="shared" si="52"/>
        <v>480</v>
      </c>
      <c r="Z408" s="36">
        <f>IFERROR(IF(Y408=0,"",ROUNDUP(Y408/H408,0)*0.02175),"")</f>
        <v>0.69599999999999995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480.60133333333334</v>
      </c>
      <c r="BN408" s="64">
        <f t="shared" si="54"/>
        <v>495.04</v>
      </c>
      <c r="BO408" s="64">
        <f t="shared" si="55"/>
        <v>0.64722222222222214</v>
      </c>
      <c r="BP408" s="64">
        <f t="shared" si="56"/>
        <v>0.66666666666666663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09">
        <v>4680115884830</v>
      </c>
      <c r="E409" s="61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0</v>
      </c>
      <c r="Y409" s="606">
        <f t="shared" si="52"/>
        <v>0</v>
      </c>
      <c r="Z409" s="36" t="str">
        <f>IFERROR(IF(Y409=0,"",ROUNDUP(Y409/H409,0)*0.02175),"")</f>
        <v/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0</v>
      </c>
      <c r="BN409" s="64">
        <f t="shared" si="54"/>
        <v>0</v>
      </c>
      <c r="BO409" s="64">
        <f t="shared" si="55"/>
        <v>0</v>
      </c>
      <c r="BP409" s="64">
        <f t="shared" si="56"/>
        <v>0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09">
        <v>4680115889231</v>
      </c>
      <c r="E410" s="61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9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0</v>
      </c>
      <c r="Y410" s="606">
        <f t="shared" si="52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0</v>
      </c>
      <c r="BN410" s="64">
        <f t="shared" si="54"/>
        <v>0</v>
      </c>
      <c r="BO410" s="64">
        <f t="shared" si="55"/>
        <v>0</v>
      </c>
      <c r="BP410" s="64">
        <f t="shared" si="56"/>
        <v>0</v>
      </c>
    </row>
    <row r="411" spans="1:68" ht="27" customHeight="1" x14ac:dyDescent="0.25">
      <c r="A411" s="54" t="s">
        <v>669</v>
      </c>
      <c r="B411" s="54" t="s">
        <v>670</v>
      </c>
      <c r="C411" s="31">
        <v>4301011433</v>
      </c>
      <c r="D411" s="609">
        <v>4680115882638</v>
      </c>
      <c r="E411" s="61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customHeight="1" x14ac:dyDescent="0.25">
      <c r="A412" s="54" t="s">
        <v>672</v>
      </c>
      <c r="B412" s="54" t="s">
        <v>673</v>
      </c>
      <c r="C412" s="31">
        <v>4301011952</v>
      </c>
      <c r="D412" s="609">
        <v>4680115884922</v>
      </c>
      <c r="E412" s="61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customHeight="1" x14ac:dyDescent="0.25">
      <c r="A413" s="54" t="s">
        <v>675</v>
      </c>
      <c r="B413" s="54" t="s">
        <v>676</v>
      </c>
      <c r="C413" s="31">
        <v>4301011868</v>
      </c>
      <c r="D413" s="609">
        <v>4680115884861</v>
      </c>
      <c r="E413" s="61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28"/>
      <c r="B414" s="617"/>
      <c r="C414" s="617"/>
      <c r="D414" s="617"/>
      <c r="E414" s="617"/>
      <c r="F414" s="617"/>
      <c r="G414" s="617"/>
      <c r="H414" s="617"/>
      <c r="I414" s="617"/>
      <c r="J414" s="617"/>
      <c r="K414" s="617"/>
      <c r="L414" s="617"/>
      <c r="M414" s="617"/>
      <c r="N414" s="617"/>
      <c r="O414" s="629"/>
      <c r="P414" s="621" t="s">
        <v>72</v>
      </c>
      <c r="Q414" s="622"/>
      <c r="R414" s="622"/>
      <c r="S414" s="622"/>
      <c r="T414" s="622"/>
      <c r="U414" s="622"/>
      <c r="V414" s="623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104.33333333333333</v>
      </c>
      <c r="Y414" s="607">
        <f>IFERROR(Y406/H406,"0")+IFERROR(Y407/H407,"0")+IFERROR(Y408/H408,"0")+IFERROR(Y409/H409,"0")+IFERROR(Y410/H410,"0")+IFERROR(Y411/H411,"0")+IFERROR(Y412/H412,"0")+IFERROR(Y413/H413,"0")</f>
        <v>106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2.3054999999999999</v>
      </c>
      <c r="AA414" s="608"/>
      <c r="AB414" s="608"/>
      <c r="AC414" s="608"/>
    </row>
    <row r="415" spans="1:68" x14ac:dyDescent="0.2">
      <c r="A415" s="617"/>
      <c r="B415" s="617"/>
      <c r="C415" s="617"/>
      <c r="D415" s="617"/>
      <c r="E415" s="617"/>
      <c r="F415" s="617"/>
      <c r="G415" s="617"/>
      <c r="H415" s="617"/>
      <c r="I415" s="617"/>
      <c r="J415" s="617"/>
      <c r="K415" s="617"/>
      <c r="L415" s="617"/>
      <c r="M415" s="617"/>
      <c r="N415" s="617"/>
      <c r="O415" s="629"/>
      <c r="P415" s="621" t="s">
        <v>72</v>
      </c>
      <c r="Q415" s="622"/>
      <c r="R415" s="622"/>
      <c r="S415" s="622"/>
      <c r="T415" s="622"/>
      <c r="U415" s="622"/>
      <c r="V415" s="623"/>
      <c r="W415" s="37" t="s">
        <v>67</v>
      </c>
      <c r="X415" s="607">
        <f>IFERROR(SUM(X406:X413),"0")</f>
        <v>1565</v>
      </c>
      <c r="Y415" s="607">
        <f>IFERROR(SUM(Y406:Y413),"0")</f>
        <v>1590</v>
      </c>
      <c r="Z415" s="37"/>
      <c r="AA415" s="608"/>
      <c r="AB415" s="608"/>
      <c r="AC415" s="608"/>
    </row>
    <row r="416" spans="1:68" ht="14.25" customHeight="1" x14ac:dyDescent="0.25">
      <c r="A416" s="616" t="s">
        <v>155</v>
      </c>
      <c r="B416" s="617"/>
      <c r="C416" s="617"/>
      <c r="D416" s="617"/>
      <c r="E416" s="617"/>
      <c r="F416" s="617"/>
      <c r="G416" s="617"/>
      <c r="H416" s="617"/>
      <c r="I416" s="617"/>
      <c r="J416" s="617"/>
      <c r="K416" s="617"/>
      <c r="L416" s="617"/>
      <c r="M416" s="617"/>
      <c r="N416" s="617"/>
      <c r="O416" s="617"/>
      <c r="P416" s="617"/>
      <c r="Q416" s="617"/>
      <c r="R416" s="617"/>
      <c r="S416" s="617"/>
      <c r="T416" s="617"/>
      <c r="U416" s="617"/>
      <c r="V416" s="617"/>
      <c r="W416" s="617"/>
      <c r="X416" s="617"/>
      <c r="Y416" s="617"/>
      <c r="Z416" s="617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09">
        <v>4607091383980</v>
      </c>
      <c r="E417" s="61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1280</v>
      </c>
      <c r="Y417" s="606">
        <f>IFERROR(IF(X417="",0,CEILING((X417/$H417),1)*$H417),"")</f>
        <v>1290</v>
      </c>
      <c r="Z417" s="36">
        <f>IFERROR(IF(Y417=0,"",ROUNDUP(Y417/H417,0)*0.02175),"")</f>
        <v>1.8704999999999998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1320.1066666666668</v>
      </c>
      <c r="BN417" s="64">
        <f>IFERROR(Y417*I417/H417,"0")</f>
        <v>1330.4199999999998</v>
      </c>
      <c r="BO417" s="64">
        <f>IFERROR(1/J417*(X417/H417),"0")</f>
        <v>1.7777777777777777</v>
      </c>
      <c r="BP417" s="64">
        <f>IFERROR(1/J417*(Y417/H417),"0")</f>
        <v>1.7916666666666665</v>
      </c>
    </row>
    <row r="418" spans="1:68" ht="27" customHeight="1" x14ac:dyDescent="0.25">
      <c r="A418" s="54" t="s">
        <v>681</v>
      </c>
      <c r="B418" s="54" t="s">
        <v>682</v>
      </c>
      <c r="C418" s="31">
        <v>4301020355</v>
      </c>
      <c r="D418" s="609">
        <v>4680115888425</v>
      </c>
      <c r="E418" s="61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0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4301020179</v>
      </c>
      <c r="D419" s="609">
        <v>4607091384178</v>
      </c>
      <c r="E419" s="61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28"/>
      <c r="B420" s="617"/>
      <c r="C420" s="617"/>
      <c r="D420" s="617"/>
      <c r="E420" s="617"/>
      <c r="F420" s="617"/>
      <c r="G420" s="617"/>
      <c r="H420" s="617"/>
      <c r="I420" s="617"/>
      <c r="J420" s="617"/>
      <c r="K420" s="617"/>
      <c r="L420" s="617"/>
      <c r="M420" s="617"/>
      <c r="N420" s="617"/>
      <c r="O420" s="629"/>
      <c r="P420" s="621" t="s">
        <v>72</v>
      </c>
      <c r="Q420" s="622"/>
      <c r="R420" s="622"/>
      <c r="S420" s="622"/>
      <c r="T420" s="622"/>
      <c r="U420" s="622"/>
      <c r="V420" s="623"/>
      <c r="W420" s="37" t="s">
        <v>73</v>
      </c>
      <c r="X420" s="607">
        <f>IFERROR(X417/H417,"0")+IFERROR(X418/H418,"0")+IFERROR(X419/H419,"0")</f>
        <v>85.333333333333329</v>
      </c>
      <c r="Y420" s="607">
        <f>IFERROR(Y417/H417,"0")+IFERROR(Y418/H418,"0")+IFERROR(Y419/H419,"0")</f>
        <v>86</v>
      </c>
      <c r="Z420" s="607">
        <f>IFERROR(IF(Z417="",0,Z417),"0")+IFERROR(IF(Z418="",0,Z418),"0")+IFERROR(IF(Z419="",0,Z419),"0")</f>
        <v>1.8704999999999998</v>
      </c>
      <c r="AA420" s="608"/>
      <c r="AB420" s="608"/>
      <c r="AC420" s="608"/>
    </row>
    <row r="421" spans="1:68" x14ac:dyDescent="0.2">
      <c r="A421" s="617"/>
      <c r="B421" s="617"/>
      <c r="C421" s="617"/>
      <c r="D421" s="617"/>
      <c r="E421" s="617"/>
      <c r="F421" s="617"/>
      <c r="G421" s="617"/>
      <c r="H421" s="617"/>
      <c r="I421" s="617"/>
      <c r="J421" s="617"/>
      <c r="K421" s="617"/>
      <c r="L421" s="617"/>
      <c r="M421" s="617"/>
      <c r="N421" s="617"/>
      <c r="O421" s="629"/>
      <c r="P421" s="621" t="s">
        <v>72</v>
      </c>
      <c r="Q421" s="622"/>
      <c r="R421" s="622"/>
      <c r="S421" s="622"/>
      <c r="T421" s="622"/>
      <c r="U421" s="622"/>
      <c r="V421" s="623"/>
      <c r="W421" s="37" t="s">
        <v>67</v>
      </c>
      <c r="X421" s="607">
        <f>IFERROR(SUM(X417:X419),"0")</f>
        <v>1280</v>
      </c>
      <c r="Y421" s="607">
        <f>IFERROR(SUM(Y417:Y419),"0")</f>
        <v>1290</v>
      </c>
      <c r="Z421" s="37"/>
      <c r="AA421" s="608"/>
      <c r="AB421" s="608"/>
      <c r="AC421" s="608"/>
    </row>
    <row r="422" spans="1:68" ht="14.25" customHeight="1" x14ac:dyDescent="0.25">
      <c r="A422" s="616" t="s">
        <v>74</v>
      </c>
      <c r="B422" s="617"/>
      <c r="C422" s="617"/>
      <c r="D422" s="617"/>
      <c r="E422" s="617"/>
      <c r="F422" s="617"/>
      <c r="G422" s="617"/>
      <c r="H422" s="617"/>
      <c r="I422" s="617"/>
      <c r="J422" s="617"/>
      <c r="K422" s="617"/>
      <c r="L422" s="617"/>
      <c r="M422" s="617"/>
      <c r="N422" s="617"/>
      <c r="O422" s="617"/>
      <c r="P422" s="617"/>
      <c r="Q422" s="617"/>
      <c r="R422" s="617"/>
      <c r="S422" s="617"/>
      <c r="T422" s="617"/>
      <c r="U422" s="617"/>
      <c r="V422" s="617"/>
      <c r="W422" s="617"/>
      <c r="X422" s="617"/>
      <c r="Y422" s="617"/>
      <c r="Z422" s="617"/>
      <c r="AA422" s="599"/>
      <c r="AB422" s="599"/>
      <c r="AC422" s="599"/>
    </row>
    <row r="423" spans="1:68" ht="27" customHeight="1" x14ac:dyDescent="0.25">
      <c r="A423" s="54" t="s">
        <v>687</v>
      </c>
      <c r="B423" s="54" t="s">
        <v>688</v>
      </c>
      <c r="C423" s="31">
        <v>4301051903</v>
      </c>
      <c r="D423" s="609">
        <v>4607091383928</v>
      </c>
      <c r="E423" s="61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4301051897</v>
      </c>
      <c r="D424" s="609">
        <v>4607091384260</v>
      </c>
      <c r="E424" s="61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28"/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29"/>
      <c r="P425" s="621" t="s">
        <v>72</v>
      </c>
      <c r="Q425" s="622"/>
      <c r="R425" s="622"/>
      <c r="S425" s="622"/>
      <c r="T425" s="622"/>
      <c r="U425" s="622"/>
      <c r="V425" s="623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x14ac:dyDescent="0.2">
      <c r="A426" s="617"/>
      <c r="B426" s="617"/>
      <c r="C426" s="617"/>
      <c r="D426" s="617"/>
      <c r="E426" s="617"/>
      <c r="F426" s="617"/>
      <c r="G426" s="617"/>
      <c r="H426" s="617"/>
      <c r="I426" s="617"/>
      <c r="J426" s="617"/>
      <c r="K426" s="617"/>
      <c r="L426" s="617"/>
      <c r="M426" s="617"/>
      <c r="N426" s="617"/>
      <c r="O426" s="629"/>
      <c r="P426" s="621" t="s">
        <v>72</v>
      </c>
      <c r="Q426" s="622"/>
      <c r="R426" s="622"/>
      <c r="S426" s="622"/>
      <c r="T426" s="622"/>
      <c r="U426" s="622"/>
      <c r="V426" s="623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customHeight="1" x14ac:dyDescent="0.25">
      <c r="A427" s="616" t="s">
        <v>172</v>
      </c>
      <c r="B427" s="617"/>
      <c r="C427" s="617"/>
      <c r="D427" s="617"/>
      <c r="E427" s="617"/>
      <c r="F427" s="617"/>
      <c r="G427" s="617"/>
      <c r="H427" s="617"/>
      <c r="I427" s="617"/>
      <c r="J427" s="617"/>
      <c r="K427" s="617"/>
      <c r="L427" s="617"/>
      <c r="M427" s="617"/>
      <c r="N427" s="617"/>
      <c r="O427" s="617"/>
      <c r="P427" s="617"/>
      <c r="Q427" s="617"/>
      <c r="R427" s="617"/>
      <c r="S427" s="617"/>
      <c r="T427" s="617"/>
      <c r="U427" s="617"/>
      <c r="V427" s="617"/>
      <c r="W427" s="617"/>
      <c r="X427" s="617"/>
      <c r="Y427" s="617"/>
      <c r="Z427" s="617"/>
      <c r="AA427" s="599"/>
      <c r="AB427" s="599"/>
      <c r="AC427" s="599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09">
        <v>4607091384673</v>
      </c>
      <c r="E428" s="61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358</v>
      </c>
      <c r="Y428" s="606">
        <f>IFERROR(IF(X428="",0,CEILING((X428/$H428),1)*$H428),"")</f>
        <v>360</v>
      </c>
      <c r="Z428" s="36">
        <f>IFERROR(IF(Y428=0,"",ROUNDUP(Y428/H428,0)*0.01898),"")</f>
        <v>0.75919999999999999</v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377.65022222222223</v>
      </c>
      <c r="BN428" s="64">
        <f>IFERROR(Y428*I428/H428,"0")</f>
        <v>379.76</v>
      </c>
      <c r="BO428" s="64">
        <f>IFERROR(1/J428*(X428/H428),"0")</f>
        <v>0.62152777777777779</v>
      </c>
      <c r="BP428" s="64">
        <f>IFERROR(1/J428*(Y428/H428),"0")</f>
        <v>0.625</v>
      </c>
    </row>
    <row r="429" spans="1:68" x14ac:dyDescent="0.2">
      <c r="A429" s="628"/>
      <c r="B429" s="617"/>
      <c r="C429" s="617"/>
      <c r="D429" s="617"/>
      <c r="E429" s="617"/>
      <c r="F429" s="617"/>
      <c r="G429" s="617"/>
      <c r="H429" s="617"/>
      <c r="I429" s="617"/>
      <c r="J429" s="617"/>
      <c r="K429" s="617"/>
      <c r="L429" s="617"/>
      <c r="M429" s="617"/>
      <c r="N429" s="617"/>
      <c r="O429" s="629"/>
      <c r="P429" s="621" t="s">
        <v>72</v>
      </c>
      <c r="Q429" s="622"/>
      <c r="R429" s="622"/>
      <c r="S429" s="622"/>
      <c r="T429" s="622"/>
      <c r="U429" s="622"/>
      <c r="V429" s="623"/>
      <c r="W429" s="37" t="s">
        <v>73</v>
      </c>
      <c r="X429" s="607">
        <f>IFERROR(X428/H428,"0")</f>
        <v>39.777777777777779</v>
      </c>
      <c r="Y429" s="607">
        <f>IFERROR(Y428/H428,"0")</f>
        <v>40</v>
      </c>
      <c r="Z429" s="607">
        <f>IFERROR(IF(Z428="",0,Z428),"0")</f>
        <v>0.75919999999999999</v>
      </c>
      <c r="AA429" s="608"/>
      <c r="AB429" s="608"/>
      <c r="AC429" s="608"/>
    </row>
    <row r="430" spans="1:68" x14ac:dyDescent="0.2">
      <c r="A430" s="617"/>
      <c r="B430" s="617"/>
      <c r="C430" s="617"/>
      <c r="D430" s="617"/>
      <c r="E430" s="617"/>
      <c r="F430" s="617"/>
      <c r="G430" s="617"/>
      <c r="H430" s="617"/>
      <c r="I430" s="617"/>
      <c r="J430" s="617"/>
      <c r="K430" s="617"/>
      <c r="L430" s="617"/>
      <c r="M430" s="617"/>
      <c r="N430" s="617"/>
      <c r="O430" s="629"/>
      <c r="P430" s="621" t="s">
        <v>72</v>
      </c>
      <c r="Q430" s="622"/>
      <c r="R430" s="622"/>
      <c r="S430" s="622"/>
      <c r="T430" s="622"/>
      <c r="U430" s="622"/>
      <c r="V430" s="623"/>
      <c r="W430" s="37" t="s">
        <v>67</v>
      </c>
      <c r="X430" s="607">
        <f>IFERROR(SUM(X428:X428),"0")</f>
        <v>358</v>
      </c>
      <c r="Y430" s="607">
        <f>IFERROR(SUM(Y428:Y428),"0")</f>
        <v>360</v>
      </c>
      <c r="Z430" s="37"/>
      <c r="AA430" s="608"/>
      <c r="AB430" s="608"/>
      <c r="AC430" s="608"/>
    </row>
    <row r="431" spans="1:68" ht="16.5" customHeight="1" x14ac:dyDescent="0.25">
      <c r="A431" s="626" t="s">
        <v>696</v>
      </c>
      <c r="B431" s="617"/>
      <c r="C431" s="617"/>
      <c r="D431" s="617"/>
      <c r="E431" s="617"/>
      <c r="F431" s="617"/>
      <c r="G431" s="617"/>
      <c r="H431" s="617"/>
      <c r="I431" s="617"/>
      <c r="J431" s="617"/>
      <c r="K431" s="617"/>
      <c r="L431" s="617"/>
      <c r="M431" s="617"/>
      <c r="N431" s="617"/>
      <c r="O431" s="617"/>
      <c r="P431" s="617"/>
      <c r="Q431" s="617"/>
      <c r="R431" s="617"/>
      <c r="S431" s="617"/>
      <c r="T431" s="617"/>
      <c r="U431" s="617"/>
      <c r="V431" s="617"/>
      <c r="W431" s="617"/>
      <c r="X431" s="617"/>
      <c r="Y431" s="617"/>
      <c r="Z431" s="617"/>
      <c r="AA431" s="600"/>
      <c r="AB431" s="600"/>
      <c r="AC431" s="600"/>
    </row>
    <row r="432" spans="1:68" ht="14.25" customHeight="1" x14ac:dyDescent="0.25">
      <c r="A432" s="616" t="s">
        <v>118</v>
      </c>
      <c r="B432" s="617"/>
      <c r="C432" s="617"/>
      <c r="D432" s="617"/>
      <c r="E432" s="617"/>
      <c r="F432" s="617"/>
      <c r="G432" s="617"/>
      <c r="H432" s="617"/>
      <c r="I432" s="617"/>
      <c r="J432" s="617"/>
      <c r="K432" s="617"/>
      <c r="L432" s="617"/>
      <c r="M432" s="617"/>
      <c r="N432" s="617"/>
      <c r="O432" s="617"/>
      <c r="P432" s="617"/>
      <c r="Q432" s="617"/>
      <c r="R432" s="617"/>
      <c r="S432" s="617"/>
      <c r="T432" s="617"/>
      <c r="U432" s="617"/>
      <c r="V432" s="617"/>
      <c r="W432" s="617"/>
      <c r="X432" s="617"/>
      <c r="Y432" s="617"/>
      <c r="Z432" s="617"/>
      <c r="AA432" s="599"/>
      <c r="AB432" s="599"/>
      <c r="AC432" s="599"/>
    </row>
    <row r="433" spans="1:68" ht="27" customHeight="1" x14ac:dyDescent="0.25">
      <c r="A433" s="54" t="s">
        <v>697</v>
      </c>
      <c r="B433" s="54" t="s">
        <v>698</v>
      </c>
      <c r="C433" s="31">
        <v>4301011875</v>
      </c>
      <c r="D433" s="609">
        <v>4680115884885</v>
      </c>
      <c r="E433" s="61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4301011871</v>
      </c>
      <c r="D434" s="609">
        <v>4680115884908</v>
      </c>
      <c r="E434" s="61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9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28"/>
      <c r="B435" s="617"/>
      <c r="C435" s="617"/>
      <c r="D435" s="617"/>
      <c r="E435" s="617"/>
      <c r="F435" s="617"/>
      <c r="G435" s="617"/>
      <c r="H435" s="617"/>
      <c r="I435" s="617"/>
      <c r="J435" s="617"/>
      <c r="K435" s="617"/>
      <c r="L435" s="617"/>
      <c r="M435" s="617"/>
      <c r="N435" s="617"/>
      <c r="O435" s="629"/>
      <c r="P435" s="621" t="s">
        <v>72</v>
      </c>
      <c r="Q435" s="622"/>
      <c r="R435" s="622"/>
      <c r="S435" s="622"/>
      <c r="T435" s="622"/>
      <c r="U435" s="622"/>
      <c r="V435" s="623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x14ac:dyDescent="0.2">
      <c r="A436" s="617"/>
      <c r="B436" s="617"/>
      <c r="C436" s="617"/>
      <c r="D436" s="617"/>
      <c r="E436" s="617"/>
      <c r="F436" s="617"/>
      <c r="G436" s="617"/>
      <c r="H436" s="617"/>
      <c r="I436" s="617"/>
      <c r="J436" s="617"/>
      <c r="K436" s="617"/>
      <c r="L436" s="617"/>
      <c r="M436" s="617"/>
      <c r="N436" s="617"/>
      <c r="O436" s="629"/>
      <c r="P436" s="621" t="s">
        <v>72</v>
      </c>
      <c r="Q436" s="622"/>
      <c r="R436" s="622"/>
      <c r="S436" s="622"/>
      <c r="T436" s="622"/>
      <c r="U436" s="622"/>
      <c r="V436" s="623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customHeight="1" x14ac:dyDescent="0.25">
      <c r="A437" s="616" t="s">
        <v>62</v>
      </c>
      <c r="B437" s="617"/>
      <c r="C437" s="617"/>
      <c r="D437" s="617"/>
      <c r="E437" s="617"/>
      <c r="F437" s="617"/>
      <c r="G437" s="617"/>
      <c r="H437" s="617"/>
      <c r="I437" s="617"/>
      <c r="J437" s="617"/>
      <c r="K437" s="617"/>
      <c r="L437" s="617"/>
      <c r="M437" s="617"/>
      <c r="N437" s="617"/>
      <c r="O437" s="617"/>
      <c r="P437" s="617"/>
      <c r="Q437" s="617"/>
      <c r="R437" s="617"/>
      <c r="S437" s="617"/>
      <c r="T437" s="617"/>
      <c r="U437" s="617"/>
      <c r="V437" s="617"/>
      <c r="W437" s="617"/>
      <c r="X437" s="617"/>
      <c r="Y437" s="617"/>
      <c r="Z437" s="617"/>
      <c r="AA437" s="599"/>
      <c r="AB437" s="599"/>
      <c r="AC437" s="599"/>
    </row>
    <row r="438" spans="1:68" ht="27" customHeight="1" x14ac:dyDescent="0.25">
      <c r="A438" s="54" t="s">
        <v>702</v>
      </c>
      <c r="B438" s="54" t="s">
        <v>703</v>
      </c>
      <c r="C438" s="31">
        <v>4301031457</v>
      </c>
      <c r="D438" s="609">
        <v>4607091384802</v>
      </c>
      <c r="E438" s="61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628"/>
      <c r="B439" s="617"/>
      <c r="C439" s="617"/>
      <c r="D439" s="617"/>
      <c r="E439" s="617"/>
      <c r="F439" s="617"/>
      <c r="G439" s="617"/>
      <c r="H439" s="617"/>
      <c r="I439" s="617"/>
      <c r="J439" s="617"/>
      <c r="K439" s="617"/>
      <c r="L439" s="617"/>
      <c r="M439" s="617"/>
      <c r="N439" s="617"/>
      <c r="O439" s="629"/>
      <c r="P439" s="621" t="s">
        <v>72</v>
      </c>
      <c r="Q439" s="622"/>
      <c r="R439" s="622"/>
      <c r="S439" s="622"/>
      <c r="T439" s="622"/>
      <c r="U439" s="622"/>
      <c r="V439" s="623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x14ac:dyDescent="0.2">
      <c r="A440" s="617"/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29"/>
      <c r="P440" s="621" t="s">
        <v>72</v>
      </c>
      <c r="Q440" s="622"/>
      <c r="R440" s="622"/>
      <c r="S440" s="622"/>
      <c r="T440" s="622"/>
      <c r="U440" s="622"/>
      <c r="V440" s="623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customHeight="1" x14ac:dyDescent="0.25">
      <c r="A441" s="616" t="s">
        <v>74</v>
      </c>
      <c r="B441" s="617"/>
      <c r="C441" s="617"/>
      <c r="D441" s="617"/>
      <c r="E441" s="617"/>
      <c r="F441" s="617"/>
      <c r="G441" s="617"/>
      <c r="H441" s="617"/>
      <c r="I441" s="617"/>
      <c r="J441" s="617"/>
      <c r="K441" s="617"/>
      <c r="L441" s="617"/>
      <c r="M441" s="617"/>
      <c r="N441" s="617"/>
      <c r="O441" s="617"/>
      <c r="P441" s="617"/>
      <c r="Q441" s="617"/>
      <c r="R441" s="617"/>
      <c r="S441" s="617"/>
      <c r="T441" s="617"/>
      <c r="U441" s="617"/>
      <c r="V441" s="617"/>
      <c r="W441" s="617"/>
      <c r="X441" s="617"/>
      <c r="Y441" s="617"/>
      <c r="Z441" s="617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09">
        <v>4607091384246</v>
      </c>
      <c r="E442" s="61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732</v>
      </c>
      <c r="Y442" s="606">
        <f>IFERROR(IF(X442="",0,CEILING((X442/$H442),1)*$H442),"")</f>
        <v>738</v>
      </c>
      <c r="Z442" s="36">
        <f>IFERROR(IF(Y442=0,"",ROUNDUP(Y442/H442,0)*0.01898),"")</f>
        <v>1.55636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772.17866666666669</v>
      </c>
      <c r="BN442" s="64">
        <f>IFERROR(Y442*I442/H442,"0")</f>
        <v>778.50800000000004</v>
      </c>
      <c r="BO442" s="64">
        <f>IFERROR(1/J442*(X442/H442),"0")</f>
        <v>1.2708333333333333</v>
      </c>
      <c r="BP442" s="64">
        <f>IFERROR(1/J442*(Y442/H442),"0")</f>
        <v>1.28125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09">
        <v>4607091384253</v>
      </c>
      <c r="E443" s="61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79</v>
      </c>
      <c r="Y443" s="606">
        <f>IFERROR(IF(X443="",0,CEILING((X443/$H443),1)*$H443),"")</f>
        <v>79.2</v>
      </c>
      <c r="Z443" s="36">
        <f>IFERROR(IF(Y443=0,"",ROUNDUP(Y443/H443,0)*0.00651),"")</f>
        <v>0.21482999999999999</v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87.690000000000012</v>
      </c>
      <c r="BN443" s="64">
        <f>IFERROR(Y443*I443/H443,"0")</f>
        <v>87.91200000000002</v>
      </c>
      <c r="BO443" s="64">
        <f>IFERROR(1/J443*(X443/H443),"0")</f>
        <v>0.18086080586080591</v>
      </c>
      <c r="BP443" s="64">
        <f>IFERROR(1/J443*(Y443/H443),"0")</f>
        <v>0.18131868131868134</v>
      </c>
    </row>
    <row r="444" spans="1:68" ht="27" customHeight="1" x14ac:dyDescent="0.25">
      <c r="A444" s="54" t="s">
        <v>708</v>
      </c>
      <c r="B444" s="54" t="s">
        <v>710</v>
      </c>
      <c r="C444" s="31">
        <v>4301052069</v>
      </c>
      <c r="D444" s="609">
        <v>4607091384253</v>
      </c>
      <c r="E444" s="61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28"/>
      <c r="B445" s="617"/>
      <c r="C445" s="617"/>
      <c r="D445" s="617"/>
      <c r="E445" s="617"/>
      <c r="F445" s="617"/>
      <c r="G445" s="617"/>
      <c r="H445" s="617"/>
      <c r="I445" s="617"/>
      <c r="J445" s="617"/>
      <c r="K445" s="617"/>
      <c r="L445" s="617"/>
      <c r="M445" s="617"/>
      <c r="N445" s="617"/>
      <c r="O445" s="629"/>
      <c r="P445" s="621" t="s">
        <v>72</v>
      </c>
      <c r="Q445" s="622"/>
      <c r="R445" s="622"/>
      <c r="S445" s="622"/>
      <c r="T445" s="622"/>
      <c r="U445" s="622"/>
      <c r="V445" s="623"/>
      <c r="W445" s="37" t="s">
        <v>73</v>
      </c>
      <c r="X445" s="607">
        <f>IFERROR(X442/H442,"0")+IFERROR(X443/H443,"0")+IFERROR(X444/H444,"0")</f>
        <v>114.25</v>
      </c>
      <c r="Y445" s="607">
        <f>IFERROR(Y442/H442,"0")+IFERROR(Y443/H443,"0")+IFERROR(Y444/H444,"0")</f>
        <v>115</v>
      </c>
      <c r="Z445" s="607">
        <f>IFERROR(IF(Z442="",0,Z442),"0")+IFERROR(IF(Z443="",0,Z443),"0")+IFERROR(IF(Z444="",0,Z444),"0")</f>
        <v>1.77119</v>
      </c>
      <c r="AA445" s="608"/>
      <c r="AB445" s="608"/>
      <c r="AC445" s="608"/>
    </row>
    <row r="446" spans="1:68" x14ac:dyDescent="0.2">
      <c r="A446" s="617"/>
      <c r="B446" s="617"/>
      <c r="C446" s="617"/>
      <c r="D446" s="617"/>
      <c r="E446" s="617"/>
      <c r="F446" s="617"/>
      <c r="G446" s="617"/>
      <c r="H446" s="617"/>
      <c r="I446" s="617"/>
      <c r="J446" s="617"/>
      <c r="K446" s="617"/>
      <c r="L446" s="617"/>
      <c r="M446" s="617"/>
      <c r="N446" s="617"/>
      <c r="O446" s="629"/>
      <c r="P446" s="621" t="s">
        <v>72</v>
      </c>
      <c r="Q446" s="622"/>
      <c r="R446" s="622"/>
      <c r="S446" s="622"/>
      <c r="T446" s="622"/>
      <c r="U446" s="622"/>
      <c r="V446" s="623"/>
      <c r="W446" s="37" t="s">
        <v>67</v>
      </c>
      <c r="X446" s="607">
        <f>IFERROR(SUM(X442:X444),"0")</f>
        <v>811</v>
      </c>
      <c r="Y446" s="607">
        <f>IFERROR(SUM(Y442:Y444),"0")</f>
        <v>817.2</v>
      </c>
      <c r="Z446" s="37"/>
      <c r="AA446" s="608"/>
      <c r="AB446" s="608"/>
      <c r="AC446" s="608"/>
    </row>
    <row r="447" spans="1:68" ht="27.75" customHeight="1" x14ac:dyDescent="0.2">
      <c r="A447" s="667" t="s">
        <v>712</v>
      </c>
      <c r="B447" s="668"/>
      <c r="C447" s="668"/>
      <c r="D447" s="668"/>
      <c r="E447" s="668"/>
      <c r="F447" s="668"/>
      <c r="G447" s="668"/>
      <c r="H447" s="668"/>
      <c r="I447" s="668"/>
      <c r="J447" s="668"/>
      <c r="K447" s="668"/>
      <c r="L447" s="668"/>
      <c r="M447" s="668"/>
      <c r="N447" s="668"/>
      <c r="O447" s="668"/>
      <c r="P447" s="668"/>
      <c r="Q447" s="668"/>
      <c r="R447" s="668"/>
      <c r="S447" s="668"/>
      <c r="T447" s="668"/>
      <c r="U447" s="668"/>
      <c r="V447" s="668"/>
      <c r="W447" s="668"/>
      <c r="X447" s="668"/>
      <c r="Y447" s="668"/>
      <c r="Z447" s="668"/>
      <c r="AA447" s="48"/>
      <c r="AB447" s="48"/>
      <c r="AC447" s="48"/>
    </row>
    <row r="448" spans="1:68" ht="16.5" customHeight="1" x14ac:dyDescent="0.25">
      <c r="A448" s="626" t="s">
        <v>713</v>
      </c>
      <c r="B448" s="617"/>
      <c r="C448" s="617"/>
      <c r="D448" s="617"/>
      <c r="E448" s="617"/>
      <c r="F448" s="617"/>
      <c r="G448" s="617"/>
      <c r="H448" s="617"/>
      <c r="I448" s="617"/>
      <c r="J448" s="617"/>
      <c r="K448" s="617"/>
      <c r="L448" s="617"/>
      <c r="M448" s="617"/>
      <c r="N448" s="617"/>
      <c r="O448" s="617"/>
      <c r="P448" s="617"/>
      <c r="Q448" s="617"/>
      <c r="R448" s="617"/>
      <c r="S448" s="617"/>
      <c r="T448" s="617"/>
      <c r="U448" s="617"/>
      <c r="V448" s="617"/>
      <c r="W448" s="617"/>
      <c r="X448" s="617"/>
      <c r="Y448" s="617"/>
      <c r="Z448" s="617"/>
      <c r="AA448" s="600"/>
      <c r="AB448" s="600"/>
      <c r="AC448" s="600"/>
    </row>
    <row r="449" spans="1:68" ht="14.25" customHeight="1" x14ac:dyDescent="0.25">
      <c r="A449" s="616" t="s">
        <v>62</v>
      </c>
      <c r="B449" s="617"/>
      <c r="C449" s="617"/>
      <c r="D449" s="617"/>
      <c r="E449" s="617"/>
      <c r="F449" s="617"/>
      <c r="G449" s="617"/>
      <c r="H449" s="617"/>
      <c r="I449" s="617"/>
      <c r="J449" s="617"/>
      <c r="K449" s="617"/>
      <c r="L449" s="617"/>
      <c r="M449" s="617"/>
      <c r="N449" s="617"/>
      <c r="O449" s="617"/>
      <c r="P449" s="617"/>
      <c r="Q449" s="617"/>
      <c r="R449" s="617"/>
      <c r="S449" s="617"/>
      <c r="T449" s="617"/>
      <c r="U449" s="617"/>
      <c r="V449" s="617"/>
      <c r="W449" s="617"/>
      <c r="X449" s="617"/>
      <c r="Y449" s="617"/>
      <c r="Z449" s="617"/>
      <c r="AA449" s="599"/>
      <c r="AB449" s="599"/>
      <c r="AC449" s="599"/>
    </row>
    <row r="450" spans="1:68" ht="27" customHeight="1" x14ac:dyDescent="0.25">
      <c r="A450" s="54" t="s">
        <v>714</v>
      </c>
      <c r="B450" s="54" t="s">
        <v>715</v>
      </c>
      <c r="C450" s="31">
        <v>4301031405</v>
      </c>
      <c r="D450" s="609">
        <v>4680115886100</v>
      </c>
      <c r="E450" s="61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52</v>
      </c>
      <c r="Y450" s="606">
        <f t="shared" ref="Y450:Y455" si="57">IFERROR(IF(X450="",0,CEILING((X450/$H450),1)*$H450),"")</f>
        <v>54</v>
      </c>
      <c r="Z450" s="36">
        <f>IFERROR(IF(Y450=0,"",ROUNDUP(Y450/H450,0)*0.00902),"")</f>
        <v>9.0200000000000002E-2</v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53.829629629629629</v>
      </c>
      <c r="BN450" s="64">
        <f t="shared" ref="BN450:BN455" si="59">IFERROR(Y450*I450/H450,"0")</f>
        <v>55.9</v>
      </c>
      <c r="BO450" s="64">
        <f t="shared" ref="BO450:BO455" si="60">IFERROR(1/J450*(X450/H450),"0")</f>
        <v>7.2951739618406286E-2</v>
      </c>
      <c r="BP450" s="64">
        <f t="shared" ref="BP450:BP455" si="61">IFERROR(1/J450*(Y450/H450),"0")</f>
        <v>7.575757575757576E-2</v>
      </c>
    </row>
    <row r="451" spans="1:68" ht="27" customHeight="1" x14ac:dyDescent="0.25">
      <c r="A451" s="54" t="s">
        <v>717</v>
      </c>
      <c r="B451" s="54" t="s">
        <v>718</v>
      </c>
      <c r="C451" s="31">
        <v>4301031402</v>
      </c>
      <c r="D451" s="609">
        <v>4680115886124</v>
      </c>
      <c r="E451" s="61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customHeight="1" x14ac:dyDescent="0.25">
      <c r="A452" s="54" t="s">
        <v>720</v>
      </c>
      <c r="B452" s="54" t="s">
        <v>721</v>
      </c>
      <c r="C452" s="31">
        <v>4301031362</v>
      </c>
      <c r="D452" s="609">
        <v>4607091384338</v>
      </c>
      <c r="E452" s="61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customHeight="1" x14ac:dyDescent="0.25">
      <c r="A453" s="54" t="s">
        <v>722</v>
      </c>
      <c r="B453" s="54" t="s">
        <v>723</v>
      </c>
      <c r="C453" s="31">
        <v>4301031364</v>
      </c>
      <c r="D453" s="609">
        <v>4680115883161</v>
      </c>
      <c r="E453" s="61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customHeight="1" x14ac:dyDescent="0.25">
      <c r="A454" s="54" t="s">
        <v>725</v>
      </c>
      <c r="B454" s="54" t="s">
        <v>726</v>
      </c>
      <c r="C454" s="31">
        <v>4301031358</v>
      </c>
      <c r="D454" s="609">
        <v>4607091389531</v>
      </c>
      <c r="E454" s="61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2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customHeight="1" x14ac:dyDescent="0.25">
      <c r="A455" s="54" t="s">
        <v>728</v>
      </c>
      <c r="B455" s="54" t="s">
        <v>729</v>
      </c>
      <c r="C455" s="31">
        <v>4301031360</v>
      </c>
      <c r="D455" s="609">
        <v>4607091384345</v>
      </c>
      <c r="E455" s="61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x14ac:dyDescent="0.2">
      <c r="A456" s="628"/>
      <c r="B456" s="617"/>
      <c r="C456" s="617"/>
      <c r="D456" s="617"/>
      <c r="E456" s="617"/>
      <c r="F456" s="617"/>
      <c r="G456" s="617"/>
      <c r="H456" s="617"/>
      <c r="I456" s="617"/>
      <c r="J456" s="617"/>
      <c r="K456" s="617"/>
      <c r="L456" s="617"/>
      <c r="M456" s="617"/>
      <c r="N456" s="617"/>
      <c r="O456" s="629"/>
      <c r="P456" s="621" t="s">
        <v>72</v>
      </c>
      <c r="Q456" s="622"/>
      <c r="R456" s="622"/>
      <c r="S456" s="622"/>
      <c r="T456" s="622"/>
      <c r="U456" s="622"/>
      <c r="V456" s="623"/>
      <c r="W456" s="37" t="s">
        <v>73</v>
      </c>
      <c r="X456" s="607">
        <f>IFERROR(X450/H450,"0")+IFERROR(X451/H451,"0")+IFERROR(X452/H452,"0")+IFERROR(X453/H453,"0")+IFERROR(X454/H454,"0")+IFERROR(X455/H455,"0")</f>
        <v>9.6296296296296298</v>
      </c>
      <c r="Y456" s="607">
        <f>IFERROR(Y450/H450,"0")+IFERROR(Y451/H451,"0")+IFERROR(Y452/H452,"0")+IFERROR(Y453/H453,"0")+IFERROR(Y454/H454,"0")+IFERROR(Y455/H455,"0")</f>
        <v>10</v>
      </c>
      <c r="Z456" s="607">
        <f>IFERROR(IF(Z450="",0,Z450),"0")+IFERROR(IF(Z451="",0,Z451),"0")+IFERROR(IF(Z452="",0,Z452),"0")+IFERROR(IF(Z453="",0,Z453),"0")+IFERROR(IF(Z454="",0,Z454),"0")+IFERROR(IF(Z455="",0,Z455),"0")</f>
        <v>9.0200000000000002E-2</v>
      </c>
      <c r="AA456" s="608"/>
      <c r="AB456" s="608"/>
      <c r="AC456" s="608"/>
    </row>
    <row r="457" spans="1:68" x14ac:dyDescent="0.2">
      <c r="A457" s="617"/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29"/>
      <c r="P457" s="621" t="s">
        <v>72</v>
      </c>
      <c r="Q457" s="622"/>
      <c r="R457" s="622"/>
      <c r="S457" s="622"/>
      <c r="T457" s="622"/>
      <c r="U457" s="622"/>
      <c r="V457" s="623"/>
      <c r="W457" s="37" t="s">
        <v>67</v>
      </c>
      <c r="X457" s="607">
        <f>IFERROR(SUM(X450:X455),"0")</f>
        <v>52</v>
      </c>
      <c r="Y457" s="607">
        <f>IFERROR(SUM(Y450:Y455),"0")</f>
        <v>54</v>
      </c>
      <c r="Z457" s="37"/>
      <c r="AA457" s="608"/>
      <c r="AB457" s="608"/>
      <c r="AC457" s="608"/>
    </row>
    <row r="458" spans="1:68" ht="14.25" customHeight="1" x14ac:dyDescent="0.25">
      <c r="A458" s="616" t="s">
        <v>74</v>
      </c>
      <c r="B458" s="617"/>
      <c r="C458" s="617"/>
      <c r="D458" s="617"/>
      <c r="E458" s="617"/>
      <c r="F458" s="617"/>
      <c r="G458" s="617"/>
      <c r="H458" s="617"/>
      <c r="I458" s="617"/>
      <c r="J458" s="617"/>
      <c r="K458" s="617"/>
      <c r="L458" s="617"/>
      <c r="M458" s="617"/>
      <c r="N458" s="617"/>
      <c r="O458" s="617"/>
      <c r="P458" s="617"/>
      <c r="Q458" s="617"/>
      <c r="R458" s="617"/>
      <c r="S458" s="617"/>
      <c r="T458" s="617"/>
      <c r="U458" s="617"/>
      <c r="V458" s="617"/>
      <c r="W458" s="617"/>
      <c r="X458" s="617"/>
      <c r="Y458" s="617"/>
      <c r="Z458" s="617"/>
      <c r="AA458" s="599"/>
      <c r="AB458" s="599"/>
      <c r="AC458" s="599"/>
    </row>
    <row r="459" spans="1:68" ht="27" customHeight="1" x14ac:dyDescent="0.25">
      <c r="A459" s="54" t="s">
        <v>730</v>
      </c>
      <c r="B459" s="54" t="s">
        <v>731</v>
      </c>
      <c r="C459" s="31">
        <v>4301051284</v>
      </c>
      <c r="D459" s="609">
        <v>4607091384352</v>
      </c>
      <c r="E459" s="61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733</v>
      </c>
      <c r="B460" s="54" t="s">
        <v>734</v>
      </c>
      <c r="C460" s="31">
        <v>4301051431</v>
      </c>
      <c r="D460" s="609">
        <v>4607091389654</v>
      </c>
      <c r="E460" s="61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28"/>
      <c r="B461" s="617"/>
      <c r="C461" s="617"/>
      <c r="D461" s="617"/>
      <c r="E461" s="617"/>
      <c r="F461" s="617"/>
      <c r="G461" s="617"/>
      <c r="H461" s="617"/>
      <c r="I461" s="617"/>
      <c r="J461" s="617"/>
      <c r="K461" s="617"/>
      <c r="L461" s="617"/>
      <c r="M461" s="617"/>
      <c r="N461" s="617"/>
      <c r="O461" s="629"/>
      <c r="P461" s="621" t="s">
        <v>72</v>
      </c>
      <c r="Q461" s="622"/>
      <c r="R461" s="622"/>
      <c r="S461" s="622"/>
      <c r="T461" s="622"/>
      <c r="U461" s="622"/>
      <c r="V461" s="623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x14ac:dyDescent="0.2">
      <c r="A462" s="617"/>
      <c r="B462" s="617"/>
      <c r="C462" s="617"/>
      <c r="D462" s="617"/>
      <c r="E462" s="617"/>
      <c r="F462" s="617"/>
      <c r="G462" s="617"/>
      <c r="H462" s="617"/>
      <c r="I462" s="617"/>
      <c r="J462" s="617"/>
      <c r="K462" s="617"/>
      <c r="L462" s="617"/>
      <c r="M462" s="617"/>
      <c r="N462" s="617"/>
      <c r="O462" s="629"/>
      <c r="P462" s="621" t="s">
        <v>72</v>
      </c>
      <c r="Q462" s="622"/>
      <c r="R462" s="622"/>
      <c r="S462" s="622"/>
      <c r="T462" s="622"/>
      <c r="U462" s="622"/>
      <c r="V462" s="623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customHeight="1" x14ac:dyDescent="0.25">
      <c r="A463" s="626" t="s">
        <v>736</v>
      </c>
      <c r="B463" s="617"/>
      <c r="C463" s="617"/>
      <c r="D463" s="617"/>
      <c r="E463" s="617"/>
      <c r="F463" s="617"/>
      <c r="G463" s="617"/>
      <c r="H463" s="617"/>
      <c r="I463" s="617"/>
      <c r="J463" s="617"/>
      <c r="K463" s="617"/>
      <c r="L463" s="617"/>
      <c r="M463" s="617"/>
      <c r="N463" s="617"/>
      <c r="O463" s="617"/>
      <c r="P463" s="617"/>
      <c r="Q463" s="617"/>
      <c r="R463" s="617"/>
      <c r="S463" s="617"/>
      <c r="T463" s="617"/>
      <c r="U463" s="617"/>
      <c r="V463" s="617"/>
      <c r="W463" s="617"/>
      <c r="X463" s="617"/>
      <c r="Y463" s="617"/>
      <c r="Z463" s="617"/>
      <c r="AA463" s="600"/>
      <c r="AB463" s="600"/>
      <c r="AC463" s="600"/>
    </row>
    <row r="464" spans="1:68" ht="14.25" customHeight="1" x14ac:dyDescent="0.25">
      <c r="A464" s="616" t="s">
        <v>155</v>
      </c>
      <c r="B464" s="617"/>
      <c r="C464" s="617"/>
      <c r="D464" s="617"/>
      <c r="E464" s="617"/>
      <c r="F464" s="617"/>
      <c r="G464" s="617"/>
      <c r="H464" s="617"/>
      <c r="I464" s="617"/>
      <c r="J464" s="617"/>
      <c r="K464" s="617"/>
      <c r="L464" s="617"/>
      <c r="M464" s="617"/>
      <c r="N464" s="617"/>
      <c r="O464" s="617"/>
      <c r="P464" s="617"/>
      <c r="Q464" s="617"/>
      <c r="R464" s="617"/>
      <c r="S464" s="617"/>
      <c r="T464" s="617"/>
      <c r="U464" s="617"/>
      <c r="V464" s="617"/>
      <c r="W464" s="617"/>
      <c r="X464" s="617"/>
      <c r="Y464" s="617"/>
      <c r="Z464" s="617"/>
      <c r="AA464" s="599"/>
      <c r="AB464" s="599"/>
      <c r="AC464" s="599"/>
    </row>
    <row r="465" spans="1:68" ht="27" customHeight="1" x14ac:dyDescent="0.25">
      <c r="A465" s="54" t="s">
        <v>737</v>
      </c>
      <c r="B465" s="54" t="s">
        <v>738</v>
      </c>
      <c r="C465" s="31">
        <v>4301020416</v>
      </c>
      <c r="D465" s="609">
        <v>4680115885240</v>
      </c>
      <c r="E465" s="61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28"/>
      <c r="B466" s="617"/>
      <c r="C466" s="617"/>
      <c r="D466" s="617"/>
      <c r="E466" s="617"/>
      <c r="F466" s="617"/>
      <c r="G466" s="617"/>
      <c r="H466" s="617"/>
      <c r="I466" s="617"/>
      <c r="J466" s="617"/>
      <c r="K466" s="617"/>
      <c r="L466" s="617"/>
      <c r="M466" s="617"/>
      <c r="N466" s="617"/>
      <c r="O466" s="629"/>
      <c r="P466" s="621" t="s">
        <v>72</v>
      </c>
      <c r="Q466" s="622"/>
      <c r="R466" s="622"/>
      <c r="S466" s="622"/>
      <c r="T466" s="622"/>
      <c r="U466" s="622"/>
      <c r="V466" s="623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x14ac:dyDescent="0.2">
      <c r="A467" s="617"/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29"/>
      <c r="P467" s="621" t="s">
        <v>72</v>
      </c>
      <c r="Q467" s="622"/>
      <c r="R467" s="622"/>
      <c r="S467" s="622"/>
      <c r="T467" s="622"/>
      <c r="U467" s="622"/>
      <c r="V467" s="623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customHeight="1" x14ac:dyDescent="0.25">
      <c r="A468" s="616" t="s">
        <v>62</v>
      </c>
      <c r="B468" s="617"/>
      <c r="C468" s="617"/>
      <c r="D468" s="617"/>
      <c r="E468" s="617"/>
      <c r="F468" s="617"/>
      <c r="G468" s="617"/>
      <c r="H468" s="617"/>
      <c r="I468" s="617"/>
      <c r="J468" s="617"/>
      <c r="K468" s="617"/>
      <c r="L468" s="617"/>
      <c r="M468" s="617"/>
      <c r="N468" s="617"/>
      <c r="O468" s="617"/>
      <c r="P468" s="617"/>
      <c r="Q468" s="617"/>
      <c r="R468" s="617"/>
      <c r="S468" s="617"/>
      <c r="T468" s="617"/>
      <c r="U468" s="617"/>
      <c r="V468" s="617"/>
      <c r="W468" s="617"/>
      <c r="X468" s="617"/>
      <c r="Y468" s="617"/>
      <c r="Z468" s="617"/>
      <c r="AA468" s="599"/>
      <c r="AB468" s="599"/>
      <c r="AC468" s="599"/>
    </row>
    <row r="469" spans="1:68" ht="27" customHeight="1" x14ac:dyDescent="0.25">
      <c r="A469" s="54" t="s">
        <v>740</v>
      </c>
      <c r="B469" s="54" t="s">
        <v>741</v>
      </c>
      <c r="C469" s="31">
        <v>4301031407</v>
      </c>
      <c r="D469" s="609">
        <v>4680115886094</v>
      </c>
      <c r="E469" s="61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4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743</v>
      </c>
      <c r="B470" s="54" t="s">
        <v>744</v>
      </c>
      <c r="C470" s="31">
        <v>4301031373</v>
      </c>
      <c r="D470" s="609">
        <v>4680115880771</v>
      </c>
      <c r="E470" s="61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746</v>
      </c>
      <c r="B471" s="54" t="s">
        <v>747</v>
      </c>
      <c r="C471" s="31">
        <v>4301031359</v>
      </c>
      <c r="D471" s="609">
        <v>4607091389500</v>
      </c>
      <c r="E471" s="61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28"/>
      <c r="B472" s="617"/>
      <c r="C472" s="617"/>
      <c r="D472" s="617"/>
      <c r="E472" s="617"/>
      <c r="F472" s="617"/>
      <c r="G472" s="617"/>
      <c r="H472" s="617"/>
      <c r="I472" s="617"/>
      <c r="J472" s="617"/>
      <c r="K472" s="617"/>
      <c r="L472" s="617"/>
      <c r="M472" s="617"/>
      <c r="N472" s="617"/>
      <c r="O472" s="629"/>
      <c r="P472" s="621" t="s">
        <v>72</v>
      </c>
      <c r="Q472" s="622"/>
      <c r="R472" s="622"/>
      <c r="S472" s="622"/>
      <c r="T472" s="622"/>
      <c r="U472" s="622"/>
      <c r="V472" s="623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x14ac:dyDescent="0.2">
      <c r="A473" s="617"/>
      <c r="B473" s="617"/>
      <c r="C473" s="617"/>
      <c r="D473" s="617"/>
      <c r="E473" s="617"/>
      <c r="F473" s="617"/>
      <c r="G473" s="617"/>
      <c r="H473" s="617"/>
      <c r="I473" s="617"/>
      <c r="J473" s="617"/>
      <c r="K473" s="617"/>
      <c r="L473" s="617"/>
      <c r="M473" s="617"/>
      <c r="N473" s="617"/>
      <c r="O473" s="629"/>
      <c r="P473" s="621" t="s">
        <v>72</v>
      </c>
      <c r="Q473" s="622"/>
      <c r="R473" s="622"/>
      <c r="S473" s="622"/>
      <c r="T473" s="622"/>
      <c r="U473" s="622"/>
      <c r="V473" s="623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customHeight="1" x14ac:dyDescent="0.2">
      <c r="A474" s="667" t="s">
        <v>748</v>
      </c>
      <c r="B474" s="668"/>
      <c r="C474" s="668"/>
      <c r="D474" s="668"/>
      <c r="E474" s="668"/>
      <c r="F474" s="668"/>
      <c r="G474" s="668"/>
      <c r="H474" s="668"/>
      <c r="I474" s="668"/>
      <c r="J474" s="668"/>
      <c r="K474" s="668"/>
      <c r="L474" s="668"/>
      <c r="M474" s="668"/>
      <c r="N474" s="668"/>
      <c r="O474" s="668"/>
      <c r="P474" s="668"/>
      <c r="Q474" s="668"/>
      <c r="R474" s="668"/>
      <c r="S474" s="668"/>
      <c r="T474" s="668"/>
      <c r="U474" s="668"/>
      <c r="V474" s="668"/>
      <c r="W474" s="668"/>
      <c r="X474" s="668"/>
      <c r="Y474" s="668"/>
      <c r="Z474" s="668"/>
      <c r="AA474" s="48"/>
      <c r="AB474" s="48"/>
      <c r="AC474" s="48"/>
    </row>
    <row r="475" spans="1:68" ht="16.5" customHeight="1" x14ac:dyDescent="0.25">
      <c r="A475" s="626" t="s">
        <v>748</v>
      </c>
      <c r="B475" s="617"/>
      <c r="C475" s="617"/>
      <c r="D475" s="617"/>
      <c r="E475" s="617"/>
      <c r="F475" s="617"/>
      <c r="G475" s="617"/>
      <c r="H475" s="617"/>
      <c r="I475" s="617"/>
      <c r="J475" s="617"/>
      <c r="K475" s="617"/>
      <c r="L475" s="617"/>
      <c r="M475" s="617"/>
      <c r="N475" s="617"/>
      <c r="O475" s="617"/>
      <c r="P475" s="617"/>
      <c r="Q475" s="617"/>
      <c r="R475" s="617"/>
      <c r="S475" s="617"/>
      <c r="T475" s="617"/>
      <c r="U475" s="617"/>
      <c r="V475" s="617"/>
      <c r="W475" s="617"/>
      <c r="X475" s="617"/>
      <c r="Y475" s="617"/>
      <c r="Z475" s="617"/>
      <c r="AA475" s="600"/>
      <c r="AB475" s="600"/>
      <c r="AC475" s="600"/>
    </row>
    <row r="476" spans="1:68" ht="14.25" customHeight="1" x14ac:dyDescent="0.25">
      <c r="A476" s="616" t="s">
        <v>118</v>
      </c>
      <c r="B476" s="617"/>
      <c r="C476" s="617"/>
      <c r="D476" s="617"/>
      <c r="E476" s="617"/>
      <c r="F476" s="617"/>
      <c r="G476" s="617"/>
      <c r="H476" s="617"/>
      <c r="I476" s="617"/>
      <c r="J476" s="617"/>
      <c r="K476" s="617"/>
      <c r="L476" s="617"/>
      <c r="M476" s="617"/>
      <c r="N476" s="617"/>
      <c r="O476" s="617"/>
      <c r="P476" s="617"/>
      <c r="Q476" s="617"/>
      <c r="R476" s="617"/>
      <c r="S476" s="617"/>
      <c r="T476" s="617"/>
      <c r="U476" s="617"/>
      <c r="V476" s="617"/>
      <c r="W476" s="617"/>
      <c r="X476" s="617"/>
      <c r="Y476" s="617"/>
      <c r="Z476" s="617"/>
      <c r="AA476" s="599"/>
      <c r="AB476" s="599"/>
      <c r="AC476" s="599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09">
        <v>4607091389067</v>
      </c>
      <c r="E477" s="61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51</v>
      </c>
      <c r="Y477" s="606">
        <f t="shared" ref="Y477:Y485" si="62">IFERROR(IF(X477="",0,CEILING((X477/$H477),1)*$H477),"")</f>
        <v>52.800000000000004</v>
      </c>
      <c r="Z477" s="36">
        <f t="shared" ref="Z477:Z482" si="63">IFERROR(IF(Y477=0,"",ROUNDUP(Y477/H477,0)*0.01196),"")</f>
        <v>0.1196</v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54.380681818181813</v>
      </c>
      <c r="BN477" s="64">
        <f t="shared" ref="BN477:BN485" si="65">IFERROR(Y477*I477/H477,"0")</f>
        <v>56.3</v>
      </c>
      <c r="BO477" s="64">
        <f t="shared" ref="BO477:BO485" si="66">IFERROR(1/J477*(X477/H477),"0")</f>
        <v>9.2875874125874128E-2</v>
      </c>
      <c r="BP477" s="64">
        <f t="shared" ref="BP477:BP485" si="67">IFERROR(1/J477*(Y477/H477),"0")</f>
        <v>9.6153846153846159E-2</v>
      </c>
    </row>
    <row r="478" spans="1:68" ht="16.5" customHeight="1" x14ac:dyDescent="0.25">
      <c r="A478" s="54" t="s">
        <v>751</v>
      </c>
      <c r="B478" s="54" t="s">
        <v>752</v>
      </c>
      <c r="C478" s="31">
        <v>4301012380</v>
      </c>
      <c r="D478" s="609">
        <v>4680115889576</v>
      </c>
      <c r="E478" s="61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customHeight="1" x14ac:dyDescent="0.25">
      <c r="A479" s="54" t="s">
        <v>754</v>
      </c>
      <c r="B479" s="54" t="s">
        <v>755</v>
      </c>
      <c r="C479" s="31">
        <v>4301011961</v>
      </c>
      <c r="D479" s="609">
        <v>4680115885271</v>
      </c>
      <c r="E479" s="61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34</v>
      </c>
      <c r="Y479" s="606">
        <f t="shared" si="62"/>
        <v>36.96</v>
      </c>
      <c r="Z479" s="36">
        <f t="shared" si="63"/>
        <v>8.3720000000000003E-2</v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36.253787878787875</v>
      </c>
      <c r="BN479" s="64">
        <f t="shared" si="65"/>
        <v>39.409999999999997</v>
      </c>
      <c r="BO479" s="64">
        <f t="shared" si="66"/>
        <v>6.1917249417249423E-2</v>
      </c>
      <c r="BP479" s="64">
        <f t="shared" si="67"/>
        <v>6.7307692307692318E-2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09">
        <v>4680115885226</v>
      </c>
      <c r="E480" s="61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0</v>
      </c>
      <c r="Y480" s="606">
        <f t="shared" si="62"/>
        <v>0</v>
      </c>
      <c r="Z480" s="36" t="str">
        <f t="shared" si="63"/>
        <v/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0</v>
      </c>
      <c r="BN480" s="64">
        <f t="shared" si="65"/>
        <v>0</v>
      </c>
      <c r="BO480" s="64">
        <f t="shared" si="66"/>
        <v>0</v>
      </c>
      <c r="BP480" s="64">
        <f t="shared" si="67"/>
        <v>0</v>
      </c>
    </row>
    <row r="481" spans="1:68" ht="16.5" customHeight="1" x14ac:dyDescent="0.25">
      <c r="A481" s="54" t="s">
        <v>760</v>
      </c>
      <c r="B481" s="54" t="s">
        <v>761</v>
      </c>
      <c r="C481" s="31">
        <v>4301011797</v>
      </c>
      <c r="D481" s="609">
        <v>4680115884502</v>
      </c>
      <c r="E481" s="61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09">
        <v>4607091389104</v>
      </c>
      <c r="E482" s="61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0</v>
      </c>
      <c r="Y482" s="606">
        <f t="shared" si="62"/>
        <v>0</v>
      </c>
      <c r="Z482" s="36" t="str">
        <f t="shared" si="63"/>
        <v/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0</v>
      </c>
      <c r="BN482" s="64">
        <f t="shared" si="65"/>
        <v>0</v>
      </c>
      <c r="BO482" s="64">
        <f t="shared" si="66"/>
        <v>0</v>
      </c>
      <c r="BP482" s="64">
        <f t="shared" si="67"/>
        <v>0</v>
      </c>
    </row>
    <row r="483" spans="1:68" ht="27" customHeight="1" x14ac:dyDescent="0.25">
      <c r="A483" s="54" t="s">
        <v>766</v>
      </c>
      <c r="B483" s="54" t="s">
        <v>767</v>
      </c>
      <c r="C483" s="31">
        <v>4301012125</v>
      </c>
      <c r="D483" s="609">
        <v>4680115886391</v>
      </c>
      <c r="E483" s="61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09">
        <v>4680115880603</v>
      </c>
      <c r="E484" s="61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9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93</v>
      </c>
      <c r="Y484" s="606">
        <f t="shared" si="62"/>
        <v>96</v>
      </c>
      <c r="Z484" s="36">
        <f>IFERROR(IF(Y484=0,"",ROUNDUP(Y484/H484,0)*0.00902),"")</f>
        <v>0.1804</v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133.88124999999999</v>
      </c>
      <c r="BN484" s="64">
        <f t="shared" si="65"/>
        <v>138.20000000000002</v>
      </c>
      <c r="BO484" s="64">
        <f t="shared" si="66"/>
        <v>0.14678030303030304</v>
      </c>
      <c r="BP484" s="64">
        <f t="shared" si="67"/>
        <v>0.15151515151515152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09">
        <v>4607091389982</v>
      </c>
      <c r="E485" s="61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2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34</v>
      </c>
      <c r="Y485" s="606">
        <f t="shared" si="62"/>
        <v>38.4</v>
      </c>
      <c r="Z485" s="36">
        <f>IFERROR(IF(Y485=0,"",ROUNDUP(Y485/H485,0)*0.00902),"")</f>
        <v>7.2160000000000002E-2</v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48.945833333333333</v>
      </c>
      <c r="BN485" s="64">
        <f t="shared" si="65"/>
        <v>55.28</v>
      </c>
      <c r="BO485" s="64">
        <f t="shared" si="66"/>
        <v>5.3661616161616167E-2</v>
      </c>
      <c r="BP485" s="64">
        <f t="shared" si="67"/>
        <v>6.0606060606060608E-2</v>
      </c>
    </row>
    <row r="486" spans="1:68" x14ac:dyDescent="0.2">
      <c r="A486" s="628"/>
      <c r="B486" s="617"/>
      <c r="C486" s="617"/>
      <c r="D486" s="617"/>
      <c r="E486" s="617"/>
      <c r="F486" s="617"/>
      <c r="G486" s="617"/>
      <c r="H486" s="617"/>
      <c r="I486" s="617"/>
      <c r="J486" s="617"/>
      <c r="K486" s="617"/>
      <c r="L486" s="617"/>
      <c r="M486" s="617"/>
      <c r="N486" s="617"/>
      <c r="O486" s="629"/>
      <c r="P486" s="621" t="s">
        <v>72</v>
      </c>
      <c r="Q486" s="622"/>
      <c r="R486" s="622"/>
      <c r="S486" s="622"/>
      <c r="T486" s="622"/>
      <c r="U486" s="622"/>
      <c r="V486" s="623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42.55681818181818</v>
      </c>
      <c r="Y486" s="607">
        <f>IFERROR(Y477/H477,"0")+IFERROR(Y478/H478,"0")+IFERROR(Y479/H479,"0")+IFERROR(Y480/H480,"0")+IFERROR(Y481/H481,"0")+IFERROR(Y482/H482,"0")+IFERROR(Y483/H483,"0")+IFERROR(Y484/H484,"0")+IFERROR(Y485/H485,"0")</f>
        <v>45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0.45588000000000001</v>
      </c>
      <c r="AA486" s="608"/>
      <c r="AB486" s="608"/>
      <c r="AC486" s="608"/>
    </row>
    <row r="487" spans="1:68" x14ac:dyDescent="0.2">
      <c r="A487" s="617"/>
      <c r="B487" s="617"/>
      <c r="C487" s="617"/>
      <c r="D487" s="617"/>
      <c r="E487" s="617"/>
      <c r="F487" s="617"/>
      <c r="G487" s="617"/>
      <c r="H487" s="617"/>
      <c r="I487" s="617"/>
      <c r="J487" s="617"/>
      <c r="K487" s="617"/>
      <c r="L487" s="617"/>
      <c r="M487" s="617"/>
      <c r="N487" s="617"/>
      <c r="O487" s="629"/>
      <c r="P487" s="621" t="s">
        <v>72</v>
      </c>
      <c r="Q487" s="622"/>
      <c r="R487" s="622"/>
      <c r="S487" s="622"/>
      <c r="T487" s="622"/>
      <c r="U487" s="622"/>
      <c r="V487" s="623"/>
      <c r="W487" s="37" t="s">
        <v>67</v>
      </c>
      <c r="X487" s="607">
        <f>IFERROR(SUM(X477:X485),"0")</f>
        <v>212</v>
      </c>
      <c r="Y487" s="607">
        <f>IFERROR(SUM(Y477:Y485),"0")</f>
        <v>224.16</v>
      </c>
      <c r="Z487" s="37"/>
      <c r="AA487" s="608"/>
      <c r="AB487" s="608"/>
      <c r="AC487" s="608"/>
    </row>
    <row r="488" spans="1:68" ht="14.25" customHeight="1" x14ac:dyDescent="0.25">
      <c r="A488" s="616" t="s">
        <v>155</v>
      </c>
      <c r="B488" s="617"/>
      <c r="C488" s="617"/>
      <c r="D488" s="617"/>
      <c r="E488" s="617"/>
      <c r="F488" s="617"/>
      <c r="G488" s="617"/>
      <c r="H488" s="617"/>
      <c r="I488" s="617"/>
      <c r="J488" s="617"/>
      <c r="K488" s="617"/>
      <c r="L488" s="617"/>
      <c r="M488" s="617"/>
      <c r="N488" s="617"/>
      <c r="O488" s="617"/>
      <c r="P488" s="617"/>
      <c r="Q488" s="617"/>
      <c r="R488" s="617"/>
      <c r="S488" s="617"/>
      <c r="T488" s="617"/>
      <c r="U488" s="617"/>
      <c r="V488" s="617"/>
      <c r="W488" s="617"/>
      <c r="X488" s="617"/>
      <c r="Y488" s="617"/>
      <c r="Z488" s="617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09">
        <v>4607091388930</v>
      </c>
      <c r="E489" s="61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0</v>
      </c>
      <c r="Y489" s="606">
        <f>IFERROR(IF(X489="",0,CEILING((X489/$H489),1)*$H489),"")</f>
        <v>0</v>
      </c>
      <c r="Z489" s="36" t="str">
        <f>IFERROR(IF(Y489=0,"",ROUNDUP(Y489/H489,0)*0.01196),"")</f>
        <v/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16.5" customHeight="1" x14ac:dyDescent="0.25">
      <c r="A490" s="54" t="s">
        <v>775</v>
      </c>
      <c r="B490" s="54" t="s">
        <v>776</v>
      </c>
      <c r="C490" s="31">
        <v>4301020374</v>
      </c>
      <c r="D490" s="609">
        <v>4680115886407</v>
      </c>
      <c r="E490" s="61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09">
        <v>4680115880054</v>
      </c>
      <c r="E491" s="61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9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16</v>
      </c>
      <c r="Y491" s="606">
        <f>IFERROR(IF(X491="",0,CEILING((X491/$H491),1)*$H491),"")</f>
        <v>19.2</v>
      </c>
      <c r="Z491" s="36">
        <f>IFERROR(IF(Y491=0,"",ROUNDUP(Y491/H491,0)*0.00902),"")</f>
        <v>3.6080000000000001E-2</v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23.033333333333335</v>
      </c>
      <c r="BN491" s="64">
        <f>IFERROR(Y491*I491/H491,"0")</f>
        <v>27.64</v>
      </c>
      <c r="BO491" s="64">
        <f>IFERROR(1/J491*(X491/H491),"0")</f>
        <v>2.5252525252525256E-2</v>
      </c>
      <c r="BP491" s="64">
        <f>IFERROR(1/J491*(Y491/H491),"0")</f>
        <v>3.0303030303030304E-2</v>
      </c>
    </row>
    <row r="492" spans="1:68" x14ac:dyDescent="0.2">
      <c r="A492" s="628"/>
      <c r="B492" s="617"/>
      <c r="C492" s="617"/>
      <c r="D492" s="617"/>
      <c r="E492" s="617"/>
      <c r="F492" s="617"/>
      <c r="G492" s="617"/>
      <c r="H492" s="617"/>
      <c r="I492" s="617"/>
      <c r="J492" s="617"/>
      <c r="K492" s="617"/>
      <c r="L492" s="617"/>
      <c r="M492" s="617"/>
      <c r="N492" s="617"/>
      <c r="O492" s="629"/>
      <c r="P492" s="621" t="s">
        <v>72</v>
      </c>
      <c r="Q492" s="622"/>
      <c r="R492" s="622"/>
      <c r="S492" s="622"/>
      <c r="T492" s="622"/>
      <c r="U492" s="622"/>
      <c r="V492" s="623"/>
      <c r="W492" s="37" t="s">
        <v>73</v>
      </c>
      <c r="X492" s="607">
        <f>IFERROR(X489/H489,"0")+IFERROR(X490/H490,"0")+IFERROR(X491/H491,"0")</f>
        <v>3.3333333333333335</v>
      </c>
      <c r="Y492" s="607">
        <f>IFERROR(Y489/H489,"0")+IFERROR(Y490/H490,"0")+IFERROR(Y491/H491,"0")</f>
        <v>4</v>
      </c>
      <c r="Z492" s="607">
        <f>IFERROR(IF(Z489="",0,Z489),"0")+IFERROR(IF(Z490="",0,Z490),"0")+IFERROR(IF(Z491="",0,Z491),"0")</f>
        <v>3.6080000000000001E-2</v>
      </c>
      <c r="AA492" s="608"/>
      <c r="AB492" s="608"/>
      <c r="AC492" s="608"/>
    </row>
    <row r="493" spans="1:68" x14ac:dyDescent="0.2">
      <c r="A493" s="617"/>
      <c r="B493" s="617"/>
      <c r="C493" s="617"/>
      <c r="D493" s="617"/>
      <c r="E493" s="617"/>
      <c r="F493" s="617"/>
      <c r="G493" s="617"/>
      <c r="H493" s="617"/>
      <c r="I493" s="617"/>
      <c r="J493" s="617"/>
      <c r="K493" s="617"/>
      <c r="L493" s="617"/>
      <c r="M493" s="617"/>
      <c r="N493" s="617"/>
      <c r="O493" s="629"/>
      <c r="P493" s="621" t="s">
        <v>72</v>
      </c>
      <c r="Q493" s="622"/>
      <c r="R493" s="622"/>
      <c r="S493" s="622"/>
      <c r="T493" s="622"/>
      <c r="U493" s="622"/>
      <c r="V493" s="623"/>
      <c r="W493" s="37" t="s">
        <v>67</v>
      </c>
      <c r="X493" s="607">
        <f>IFERROR(SUM(X489:X491),"0")</f>
        <v>16</v>
      </c>
      <c r="Y493" s="607">
        <f>IFERROR(SUM(Y489:Y491),"0")</f>
        <v>19.2</v>
      </c>
      <c r="Z493" s="37"/>
      <c r="AA493" s="608"/>
      <c r="AB493" s="608"/>
      <c r="AC493" s="608"/>
    </row>
    <row r="494" spans="1:68" ht="14.25" customHeight="1" x14ac:dyDescent="0.25">
      <c r="A494" s="616" t="s">
        <v>62</v>
      </c>
      <c r="B494" s="617"/>
      <c r="C494" s="617"/>
      <c r="D494" s="617"/>
      <c r="E494" s="617"/>
      <c r="F494" s="617"/>
      <c r="G494" s="617"/>
      <c r="H494" s="617"/>
      <c r="I494" s="617"/>
      <c r="J494" s="617"/>
      <c r="K494" s="617"/>
      <c r="L494" s="617"/>
      <c r="M494" s="617"/>
      <c r="N494" s="617"/>
      <c r="O494" s="617"/>
      <c r="P494" s="617"/>
      <c r="Q494" s="617"/>
      <c r="R494" s="617"/>
      <c r="S494" s="617"/>
      <c r="T494" s="617"/>
      <c r="U494" s="617"/>
      <c r="V494" s="617"/>
      <c r="W494" s="617"/>
      <c r="X494" s="617"/>
      <c r="Y494" s="617"/>
      <c r="Z494" s="617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09">
        <v>4680115883116</v>
      </c>
      <c r="E495" s="61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117</v>
      </c>
      <c r="Y495" s="606">
        <f t="shared" ref="Y495:Y501" si="68">IFERROR(IF(X495="",0,CEILING((X495/$H495),1)*$H495),"")</f>
        <v>121.44000000000001</v>
      </c>
      <c r="Z495" s="36">
        <f>IFERROR(IF(Y495=0,"",ROUNDUP(Y495/H495,0)*0.01196),"")</f>
        <v>0.27507999999999999</v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124.75568181818181</v>
      </c>
      <c r="BN495" s="64">
        <f t="shared" ref="BN495:BN501" si="70">IFERROR(Y495*I495/H495,"0")</f>
        <v>129.49</v>
      </c>
      <c r="BO495" s="64">
        <f t="shared" ref="BO495:BO501" si="71">IFERROR(1/J495*(X495/H495),"0")</f>
        <v>0.2130681818181818</v>
      </c>
      <c r="BP495" s="64">
        <f t="shared" ref="BP495:BP501" si="72">IFERROR(1/J495*(Y495/H495),"0")</f>
        <v>0.22115384615384617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09">
        <v>4680115883093</v>
      </c>
      <c r="E496" s="61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0</v>
      </c>
      <c r="Y496" s="606">
        <f t="shared" si="68"/>
        <v>0</v>
      </c>
      <c r="Z496" s="36" t="str">
        <f>IFERROR(IF(Y496=0,"",ROUNDUP(Y496/H496,0)*0.01196),"")</f>
        <v/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09">
        <v>4680115883109</v>
      </c>
      <c r="E497" s="61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0</v>
      </c>
      <c r="Y497" s="606">
        <f t="shared" si="68"/>
        <v>0</v>
      </c>
      <c r="Z497" s="36" t="str">
        <f>IFERROR(IF(Y497=0,"",ROUNDUP(Y497/H497,0)*0.01196),"")</f>
        <v/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0</v>
      </c>
      <c r="BN497" s="64">
        <f t="shared" si="70"/>
        <v>0</v>
      </c>
      <c r="BO497" s="64">
        <f t="shared" si="71"/>
        <v>0</v>
      </c>
      <c r="BP497" s="64">
        <f t="shared" si="72"/>
        <v>0</v>
      </c>
    </row>
    <row r="498" spans="1:68" ht="27" customHeight="1" x14ac:dyDescent="0.25">
      <c r="A498" s="54" t="s">
        <v>788</v>
      </c>
      <c r="B498" s="54" t="s">
        <v>789</v>
      </c>
      <c r="C498" s="31">
        <v>4301031419</v>
      </c>
      <c r="D498" s="609">
        <v>4680115882072</v>
      </c>
      <c r="E498" s="61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customHeight="1" x14ac:dyDescent="0.25">
      <c r="A499" s="54" t="s">
        <v>790</v>
      </c>
      <c r="B499" s="54" t="s">
        <v>791</v>
      </c>
      <c r="C499" s="31">
        <v>4301031352</v>
      </c>
      <c r="D499" s="609">
        <v>4680115882102</v>
      </c>
      <c r="E499" s="61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3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customHeight="1" x14ac:dyDescent="0.25">
      <c r="A500" s="54" t="s">
        <v>790</v>
      </c>
      <c r="B500" s="54" t="s">
        <v>792</v>
      </c>
      <c r="C500" s="31">
        <v>4301031418</v>
      </c>
      <c r="D500" s="609">
        <v>4680115882102</v>
      </c>
      <c r="E500" s="61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customHeight="1" x14ac:dyDescent="0.25">
      <c r="A501" s="54" t="s">
        <v>793</v>
      </c>
      <c r="B501" s="54" t="s">
        <v>794</v>
      </c>
      <c r="C501" s="31">
        <v>4301031417</v>
      </c>
      <c r="D501" s="609">
        <v>4680115882096</v>
      </c>
      <c r="E501" s="61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28"/>
      <c r="B502" s="617"/>
      <c r="C502" s="617"/>
      <c r="D502" s="617"/>
      <c r="E502" s="617"/>
      <c r="F502" s="617"/>
      <c r="G502" s="617"/>
      <c r="H502" s="617"/>
      <c r="I502" s="617"/>
      <c r="J502" s="617"/>
      <c r="K502" s="617"/>
      <c r="L502" s="617"/>
      <c r="M502" s="617"/>
      <c r="N502" s="617"/>
      <c r="O502" s="629"/>
      <c r="P502" s="621" t="s">
        <v>72</v>
      </c>
      <c r="Q502" s="622"/>
      <c r="R502" s="622"/>
      <c r="S502" s="622"/>
      <c r="T502" s="622"/>
      <c r="U502" s="622"/>
      <c r="V502" s="623"/>
      <c r="W502" s="37" t="s">
        <v>73</v>
      </c>
      <c r="X502" s="607">
        <f>IFERROR(X495/H495,"0")+IFERROR(X496/H496,"0")+IFERROR(X497/H497,"0")+IFERROR(X498/H498,"0")+IFERROR(X499/H499,"0")+IFERROR(X500/H500,"0")+IFERROR(X501/H501,"0")</f>
        <v>22.159090909090907</v>
      </c>
      <c r="Y502" s="607">
        <f>IFERROR(Y495/H495,"0")+IFERROR(Y496/H496,"0")+IFERROR(Y497/H497,"0")+IFERROR(Y498/H498,"0")+IFERROR(Y499/H499,"0")+IFERROR(Y500/H500,"0")+IFERROR(Y501/H501,"0")</f>
        <v>23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0.27507999999999999</v>
      </c>
      <c r="AA502" s="608"/>
      <c r="AB502" s="608"/>
      <c r="AC502" s="608"/>
    </row>
    <row r="503" spans="1:68" x14ac:dyDescent="0.2">
      <c r="A503" s="617"/>
      <c r="B503" s="617"/>
      <c r="C503" s="617"/>
      <c r="D503" s="617"/>
      <c r="E503" s="617"/>
      <c r="F503" s="617"/>
      <c r="G503" s="617"/>
      <c r="H503" s="617"/>
      <c r="I503" s="617"/>
      <c r="J503" s="617"/>
      <c r="K503" s="617"/>
      <c r="L503" s="617"/>
      <c r="M503" s="617"/>
      <c r="N503" s="617"/>
      <c r="O503" s="629"/>
      <c r="P503" s="621" t="s">
        <v>72</v>
      </c>
      <c r="Q503" s="622"/>
      <c r="R503" s="622"/>
      <c r="S503" s="622"/>
      <c r="T503" s="622"/>
      <c r="U503" s="622"/>
      <c r="V503" s="623"/>
      <c r="W503" s="37" t="s">
        <v>67</v>
      </c>
      <c r="X503" s="607">
        <f>IFERROR(SUM(X495:X501),"0")</f>
        <v>117</v>
      </c>
      <c r="Y503" s="607">
        <f>IFERROR(SUM(Y495:Y501),"0")</f>
        <v>121.44000000000001</v>
      </c>
      <c r="Z503" s="37"/>
      <c r="AA503" s="608"/>
      <c r="AB503" s="608"/>
      <c r="AC503" s="608"/>
    </row>
    <row r="504" spans="1:68" ht="27.75" customHeight="1" x14ac:dyDescent="0.2">
      <c r="A504" s="667" t="s">
        <v>795</v>
      </c>
      <c r="B504" s="668"/>
      <c r="C504" s="668"/>
      <c r="D504" s="668"/>
      <c r="E504" s="668"/>
      <c r="F504" s="668"/>
      <c r="G504" s="668"/>
      <c r="H504" s="668"/>
      <c r="I504" s="668"/>
      <c r="J504" s="668"/>
      <c r="K504" s="668"/>
      <c r="L504" s="668"/>
      <c r="M504" s="668"/>
      <c r="N504" s="668"/>
      <c r="O504" s="668"/>
      <c r="P504" s="668"/>
      <c r="Q504" s="668"/>
      <c r="R504" s="668"/>
      <c r="S504" s="668"/>
      <c r="T504" s="668"/>
      <c r="U504" s="668"/>
      <c r="V504" s="668"/>
      <c r="W504" s="668"/>
      <c r="X504" s="668"/>
      <c r="Y504" s="668"/>
      <c r="Z504" s="668"/>
      <c r="AA504" s="48"/>
      <c r="AB504" s="48"/>
      <c r="AC504" s="48"/>
    </row>
    <row r="505" spans="1:68" ht="16.5" customHeight="1" x14ac:dyDescent="0.25">
      <c r="A505" s="626" t="s">
        <v>795</v>
      </c>
      <c r="B505" s="617"/>
      <c r="C505" s="617"/>
      <c r="D505" s="617"/>
      <c r="E505" s="617"/>
      <c r="F505" s="617"/>
      <c r="G505" s="617"/>
      <c r="H505" s="617"/>
      <c r="I505" s="617"/>
      <c r="J505" s="617"/>
      <c r="K505" s="617"/>
      <c r="L505" s="617"/>
      <c r="M505" s="617"/>
      <c r="N505" s="617"/>
      <c r="O505" s="617"/>
      <c r="P505" s="617"/>
      <c r="Q505" s="617"/>
      <c r="R505" s="617"/>
      <c r="S505" s="617"/>
      <c r="T505" s="617"/>
      <c r="U505" s="617"/>
      <c r="V505" s="617"/>
      <c r="W505" s="617"/>
      <c r="X505" s="617"/>
      <c r="Y505" s="617"/>
      <c r="Z505" s="617"/>
      <c r="AA505" s="600"/>
      <c r="AB505" s="600"/>
      <c r="AC505" s="600"/>
    </row>
    <row r="506" spans="1:68" ht="14.25" customHeight="1" x14ac:dyDescent="0.25">
      <c r="A506" s="616" t="s">
        <v>118</v>
      </c>
      <c r="B506" s="617"/>
      <c r="C506" s="617"/>
      <c r="D506" s="617"/>
      <c r="E506" s="617"/>
      <c r="F506" s="617"/>
      <c r="G506" s="617"/>
      <c r="H506" s="617"/>
      <c r="I506" s="617"/>
      <c r="J506" s="617"/>
      <c r="K506" s="617"/>
      <c r="L506" s="617"/>
      <c r="M506" s="617"/>
      <c r="N506" s="617"/>
      <c r="O506" s="617"/>
      <c r="P506" s="617"/>
      <c r="Q506" s="617"/>
      <c r="R506" s="617"/>
      <c r="S506" s="617"/>
      <c r="T506" s="617"/>
      <c r="U506" s="617"/>
      <c r="V506" s="617"/>
      <c r="W506" s="617"/>
      <c r="X506" s="617"/>
      <c r="Y506" s="617"/>
      <c r="Z506" s="617"/>
      <c r="AA506" s="599"/>
      <c r="AB506" s="599"/>
      <c r="AC506" s="599"/>
    </row>
    <row r="507" spans="1:68" ht="27" customHeight="1" x14ac:dyDescent="0.25">
      <c r="A507" s="54" t="s">
        <v>796</v>
      </c>
      <c r="B507" s="54" t="s">
        <v>797</v>
      </c>
      <c r="C507" s="31">
        <v>4301011584</v>
      </c>
      <c r="D507" s="609">
        <v>4640242180564</v>
      </c>
      <c r="E507" s="61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28"/>
      <c r="B508" s="617"/>
      <c r="C508" s="617"/>
      <c r="D508" s="617"/>
      <c r="E508" s="617"/>
      <c r="F508" s="617"/>
      <c r="G508" s="617"/>
      <c r="H508" s="617"/>
      <c r="I508" s="617"/>
      <c r="J508" s="617"/>
      <c r="K508" s="617"/>
      <c r="L508" s="617"/>
      <c r="M508" s="617"/>
      <c r="N508" s="617"/>
      <c r="O508" s="629"/>
      <c r="P508" s="621" t="s">
        <v>72</v>
      </c>
      <c r="Q508" s="622"/>
      <c r="R508" s="622"/>
      <c r="S508" s="622"/>
      <c r="T508" s="622"/>
      <c r="U508" s="622"/>
      <c r="V508" s="623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x14ac:dyDescent="0.2">
      <c r="A509" s="617"/>
      <c r="B509" s="617"/>
      <c r="C509" s="617"/>
      <c r="D509" s="617"/>
      <c r="E509" s="617"/>
      <c r="F509" s="617"/>
      <c r="G509" s="617"/>
      <c r="H509" s="617"/>
      <c r="I509" s="617"/>
      <c r="J509" s="617"/>
      <c r="K509" s="617"/>
      <c r="L509" s="617"/>
      <c r="M509" s="617"/>
      <c r="N509" s="617"/>
      <c r="O509" s="629"/>
      <c r="P509" s="621" t="s">
        <v>72</v>
      </c>
      <c r="Q509" s="622"/>
      <c r="R509" s="622"/>
      <c r="S509" s="622"/>
      <c r="T509" s="622"/>
      <c r="U509" s="622"/>
      <c r="V509" s="623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customHeight="1" x14ac:dyDescent="0.25">
      <c r="A510" s="616" t="s">
        <v>155</v>
      </c>
      <c r="B510" s="617"/>
      <c r="C510" s="617"/>
      <c r="D510" s="617"/>
      <c r="E510" s="617"/>
      <c r="F510" s="617"/>
      <c r="G510" s="617"/>
      <c r="H510" s="617"/>
      <c r="I510" s="617"/>
      <c r="J510" s="617"/>
      <c r="K510" s="617"/>
      <c r="L510" s="617"/>
      <c r="M510" s="617"/>
      <c r="N510" s="617"/>
      <c r="O510" s="617"/>
      <c r="P510" s="617"/>
      <c r="Q510" s="617"/>
      <c r="R510" s="617"/>
      <c r="S510" s="617"/>
      <c r="T510" s="617"/>
      <c r="U510" s="617"/>
      <c r="V510" s="617"/>
      <c r="W510" s="617"/>
      <c r="X510" s="617"/>
      <c r="Y510" s="617"/>
      <c r="Z510" s="617"/>
      <c r="AA510" s="599"/>
      <c r="AB510" s="599"/>
      <c r="AC510" s="599"/>
    </row>
    <row r="511" spans="1:68" ht="27" customHeight="1" x14ac:dyDescent="0.25">
      <c r="A511" s="54" t="s">
        <v>799</v>
      </c>
      <c r="B511" s="54" t="s">
        <v>800</v>
      </c>
      <c r="C511" s="31">
        <v>4301020400</v>
      </c>
      <c r="D511" s="609">
        <v>4640242180519</v>
      </c>
      <c r="E511" s="61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28"/>
      <c r="B512" s="617"/>
      <c r="C512" s="617"/>
      <c r="D512" s="617"/>
      <c r="E512" s="617"/>
      <c r="F512" s="617"/>
      <c r="G512" s="617"/>
      <c r="H512" s="617"/>
      <c r="I512" s="617"/>
      <c r="J512" s="617"/>
      <c r="K512" s="617"/>
      <c r="L512" s="617"/>
      <c r="M512" s="617"/>
      <c r="N512" s="617"/>
      <c r="O512" s="629"/>
      <c r="P512" s="621" t="s">
        <v>72</v>
      </c>
      <c r="Q512" s="622"/>
      <c r="R512" s="622"/>
      <c r="S512" s="622"/>
      <c r="T512" s="622"/>
      <c r="U512" s="622"/>
      <c r="V512" s="623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x14ac:dyDescent="0.2">
      <c r="A513" s="617"/>
      <c r="B513" s="617"/>
      <c r="C513" s="617"/>
      <c r="D513" s="617"/>
      <c r="E513" s="617"/>
      <c r="F513" s="617"/>
      <c r="G513" s="617"/>
      <c r="H513" s="617"/>
      <c r="I513" s="617"/>
      <c r="J513" s="617"/>
      <c r="K513" s="617"/>
      <c r="L513" s="617"/>
      <c r="M513" s="617"/>
      <c r="N513" s="617"/>
      <c r="O513" s="629"/>
      <c r="P513" s="621" t="s">
        <v>72</v>
      </c>
      <c r="Q513" s="622"/>
      <c r="R513" s="622"/>
      <c r="S513" s="622"/>
      <c r="T513" s="622"/>
      <c r="U513" s="622"/>
      <c r="V513" s="623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customHeight="1" x14ac:dyDescent="0.25">
      <c r="A514" s="616" t="s">
        <v>62</v>
      </c>
      <c r="B514" s="617"/>
      <c r="C514" s="617"/>
      <c r="D514" s="617"/>
      <c r="E514" s="617"/>
      <c r="F514" s="617"/>
      <c r="G514" s="617"/>
      <c r="H514" s="617"/>
      <c r="I514" s="617"/>
      <c r="J514" s="617"/>
      <c r="K514" s="617"/>
      <c r="L514" s="617"/>
      <c r="M514" s="617"/>
      <c r="N514" s="617"/>
      <c r="O514" s="617"/>
      <c r="P514" s="617"/>
      <c r="Q514" s="617"/>
      <c r="R514" s="617"/>
      <c r="S514" s="617"/>
      <c r="T514" s="617"/>
      <c r="U514" s="617"/>
      <c r="V514" s="617"/>
      <c r="W514" s="617"/>
      <c r="X514" s="617"/>
      <c r="Y514" s="617"/>
      <c r="Z514" s="617"/>
      <c r="AA514" s="599"/>
      <c r="AB514" s="599"/>
      <c r="AC514" s="599"/>
    </row>
    <row r="515" spans="1:68" ht="27" customHeight="1" x14ac:dyDescent="0.25">
      <c r="A515" s="54" t="s">
        <v>802</v>
      </c>
      <c r="B515" s="54" t="s">
        <v>803</v>
      </c>
      <c r="C515" s="31">
        <v>4301031467</v>
      </c>
      <c r="D515" s="609">
        <v>4640242180595</v>
      </c>
      <c r="E515" s="61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2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customHeight="1" x14ac:dyDescent="0.25">
      <c r="A516" s="54" t="s">
        <v>802</v>
      </c>
      <c r="B516" s="54" t="s">
        <v>805</v>
      </c>
      <c r="C516" s="31">
        <v>4301031500</v>
      </c>
      <c r="D516" s="609">
        <v>4640242180595</v>
      </c>
      <c r="E516" s="61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28"/>
      <c r="B517" s="617"/>
      <c r="C517" s="617"/>
      <c r="D517" s="617"/>
      <c r="E517" s="617"/>
      <c r="F517" s="617"/>
      <c r="G517" s="617"/>
      <c r="H517" s="617"/>
      <c r="I517" s="617"/>
      <c r="J517" s="617"/>
      <c r="K517" s="617"/>
      <c r="L517" s="617"/>
      <c r="M517" s="617"/>
      <c r="N517" s="617"/>
      <c r="O517" s="629"/>
      <c r="P517" s="621" t="s">
        <v>72</v>
      </c>
      <c r="Q517" s="622"/>
      <c r="R517" s="622"/>
      <c r="S517" s="622"/>
      <c r="T517" s="622"/>
      <c r="U517" s="622"/>
      <c r="V517" s="623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x14ac:dyDescent="0.2">
      <c r="A518" s="617"/>
      <c r="B518" s="617"/>
      <c r="C518" s="617"/>
      <c r="D518" s="617"/>
      <c r="E518" s="617"/>
      <c r="F518" s="617"/>
      <c r="G518" s="617"/>
      <c r="H518" s="617"/>
      <c r="I518" s="617"/>
      <c r="J518" s="617"/>
      <c r="K518" s="617"/>
      <c r="L518" s="617"/>
      <c r="M518" s="617"/>
      <c r="N518" s="617"/>
      <c r="O518" s="629"/>
      <c r="P518" s="621" t="s">
        <v>72</v>
      </c>
      <c r="Q518" s="622"/>
      <c r="R518" s="622"/>
      <c r="S518" s="622"/>
      <c r="T518" s="622"/>
      <c r="U518" s="622"/>
      <c r="V518" s="623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customHeight="1" x14ac:dyDescent="0.25">
      <c r="A519" s="616" t="s">
        <v>74</v>
      </c>
      <c r="B519" s="617"/>
      <c r="C519" s="617"/>
      <c r="D519" s="617"/>
      <c r="E519" s="617"/>
      <c r="F519" s="617"/>
      <c r="G519" s="617"/>
      <c r="H519" s="617"/>
      <c r="I519" s="617"/>
      <c r="J519" s="617"/>
      <c r="K519" s="617"/>
      <c r="L519" s="617"/>
      <c r="M519" s="617"/>
      <c r="N519" s="617"/>
      <c r="O519" s="617"/>
      <c r="P519" s="617"/>
      <c r="Q519" s="617"/>
      <c r="R519" s="617"/>
      <c r="S519" s="617"/>
      <c r="T519" s="617"/>
      <c r="U519" s="617"/>
      <c r="V519" s="617"/>
      <c r="W519" s="617"/>
      <c r="X519" s="617"/>
      <c r="Y519" s="617"/>
      <c r="Z519" s="617"/>
      <c r="AA519" s="599"/>
      <c r="AB519" s="599"/>
      <c r="AC519" s="599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09">
        <v>4640242180533</v>
      </c>
      <c r="E520" s="61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124</v>
      </c>
      <c r="Y520" s="606">
        <f>IFERROR(IF(X520="",0,CEILING((X520/$H520),1)*$H520),"")</f>
        <v>126</v>
      </c>
      <c r="Z520" s="36">
        <f>IFERROR(IF(Y520=0,"",ROUNDUP(Y520/H520,0)*0.01898),"")</f>
        <v>0.26572000000000001</v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130.8062222222222</v>
      </c>
      <c r="BN520" s="64">
        <f>IFERROR(Y520*I520/H520,"0")</f>
        <v>132.916</v>
      </c>
      <c r="BO520" s="64">
        <f>IFERROR(1/J520*(X520/H520),"0")</f>
        <v>0.21527777777777779</v>
      </c>
      <c r="BP520" s="64">
        <f>IFERROR(1/J520*(Y520/H520),"0")</f>
        <v>0.21875</v>
      </c>
    </row>
    <row r="521" spans="1:68" x14ac:dyDescent="0.2">
      <c r="A521" s="628"/>
      <c r="B521" s="617"/>
      <c r="C521" s="617"/>
      <c r="D521" s="617"/>
      <c r="E521" s="617"/>
      <c r="F521" s="617"/>
      <c r="G521" s="617"/>
      <c r="H521" s="617"/>
      <c r="I521" s="617"/>
      <c r="J521" s="617"/>
      <c r="K521" s="617"/>
      <c r="L521" s="617"/>
      <c r="M521" s="617"/>
      <c r="N521" s="617"/>
      <c r="O521" s="629"/>
      <c r="P521" s="621" t="s">
        <v>72</v>
      </c>
      <c r="Q521" s="622"/>
      <c r="R521" s="622"/>
      <c r="S521" s="622"/>
      <c r="T521" s="622"/>
      <c r="U521" s="622"/>
      <c r="V521" s="623"/>
      <c r="W521" s="37" t="s">
        <v>73</v>
      </c>
      <c r="X521" s="607">
        <f>IFERROR(X520/H520,"0")</f>
        <v>13.777777777777779</v>
      </c>
      <c r="Y521" s="607">
        <f>IFERROR(Y520/H520,"0")</f>
        <v>14</v>
      </c>
      <c r="Z521" s="607">
        <f>IFERROR(IF(Z520="",0,Z520),"0")</f>
        <v>0.26572000000000001</v>
      </c>
      <c r="AA521" s="608"/>
      <c r="AB521" s="608"/>
      <c r="AC521" s="608"/>
    </row>
    <row r="522" spans="1:68" x14ac:dyDescent="0.2">
      <c r="A522" s="617"/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29"/>
      <c r="P522" s="621" t="s">
        <v>72</v>
      </c>
      <c r="Q522" s="622"/>
      <c r="R522" s="622"/>
      <c r="S522" s="622"/>
      <c r="T522" s="622"/>
      <c r="U522" s="622"/>
      <c r="V522" s="623"/>
      <c r="W522" s="37" t="s">
        <v>67</v>
      </c>
      <c r="X522" s="607">
        <f>IFERROR(SUM(X520:X520),"0")</f>
        <v>124</v>
      </c>
      <c r="Y522" s="607">
        <f>IFERROR(SUM(Y520:Y520),"0")</f>
        <v>126</v>
      </c>
      <c r="Z522" s="37"/>
      <c r="AA522" s="608"/>
      <c r="AB522" s="608"/>
      <c r="AC522" s="608"/>
    </row>
    <row r="523" spans="1:68" ht="14.25" customHeight="1" x14ac:dyDescent="0.25">
      <c r="A523" s="616" t="s">
        <v>172</v>
      </c>
      <c r="B523" s="617"/>
      <c r="C523" s="617"/>
      <c r="D523" s="617"/>
      <c r="E523" s="617"/>
      <c r="F523" s="617"/>
      <c r="G523" s="617"/>
      <c r="H523" s="617"/>
      <c r="I523" s="617"/>
      <c r="J523" s="617"/>
      <c r="K523" s="617"/>
      <c r="L523" s="617"/>
      <c r="M523" s="617"/>
      <c r="N523" s="617"/>
      <c r="O523" s="617"/>
      <c r="P523" s="617"/>
      <c r="Q523" s="617"/>
      <c r="R523" s="617"/>
      <c r="S523" s="617"/>
      <c r="T523" s="617"/>
      <c r="U523" s="617"/>
      <c r="V523" s="617"/>
      <c r="W523" s="617"/>
      <c r="X523" s="617"/>
      <c r="Y523" s="617"/>
      <c r="Z523" s="617"/>
      <c r="AA523" s="599"/>
      <c r="AB523" s="599"/>
      <c r="AC523" s="599"/>
    </row>
    <row r="524" spans="1:68" ht="27" customHeight="1" x14ac:dyDescent="0.25">
      <c r="A524" s="54" t="s">
        <v>810</v>
      </c>
      <c r="B524" s="54" t="s">
        <v>811</v>
      </c>
      <c r="C524" s="31">
        <v>4301060535</v>
      </c>
      <c r="D524" s="609">
        <v>4640242180120</v>
      </c>
      <c r="E524" s="61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5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813</v>
      </c>
      <c r="B525" s="54" t="s">
        <v>814</v>
      </c>
      <c r="C525" s="31">
        <v>4301060536</v>
      </c>
      <c r="D525" s="609">
        <v>4640242180137</v>
      </c>
      <c r="E525" s="61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28"/>
      <c r="B526" s="617"/>
      <c r="C526" s="617"/>
      <c r="D526" s="617"/>
      <c r="E526" s="617"/>
      <c r="F526" s="617"/>
      <c r="G526" s="617"/>
      <c r="H526" s="617"/>
      <c r="I526" s="617"/>
      <c r="J526" s="617"/>
      <c r="K526" s="617"/>
      <c r="L526" s="617"/>
      <c r="M526" s="617"/>
      <c r="N526" s="617"/>
      <c r="O526" s="629"/>
      <c r="P526" s="621" t="s">
        <v>72</v>
      </c>
      <c r="Q526" s="622"/>
      <c r="R526" s="622"/>
      <c r="S526" s="622"/>
      <c r="T526" s="622"/>
      <c r="U526" s="622"/>
      <c r="V526" s="623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x14ac:dyDescent="0.2">
      <c r="A527" s="617"/>
      <c r="B527" s="617"/>
      <c r="C527" s="617"/>
      <c r="D527" s="617"/>
      <c r="E527" s="617"/>
      <c r="F527" s="617"/>
      <c r="G527" s="617"/>
      <c r="H527" s="617"/>
      <c r="I527" s="617"/>
      <c r="J527" s="617"/>
      <c r="K527" s="617"/>
      <c r="L527" s="617"/>
      <c r="M527" s="617"/>
      <c r="N527" s="617"/>
      <c r="O527" s="629"/>
      <c r="P527" s="621" t="s">
        <v>72</v>
      </c>
      <c r="Q527" s="622"/>
      <c r="R527" s="622"/>
      <c r="S527" s="622"/>
      <c r="T527" s="622"/>
      <c r="U527" s="622"/>
      <c r="V527" s="623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customHeight="1" x14ac:dyDescent="0.25">
      <c r="A528" s="626" t="s">
        <v>816</v>
      </c>
      <c r="B528" s="617"/>
      <c r="C528" s="617"/>
      <c r="D528" s="617"/>
      <c r="E528" s="617"/>
      <c r="F528" s="617"/>
      <c r="G528" s="617"/>
      <c r="H528" s="617"/>
      <c r="I528" s="617"/>
      <c r="J528" s="617"/>
      <c r="K528" s="617"/>
      <c r="L528" s="617"/>
      <c r="M528" s="617"/>
      <c r="N528" s="617"/>
      <c r="O528" s="617"/>
      <c r="P528" s="617"/>
      <c r="Q528" s="617"/>
      <c r="R528" s="617"/>
      <c r="S528" s="617"/>
      <c r="T528" s="617"/>
      <c r="U528" s="617"/>
      <c r="V528" s="617"/>
      <c r="W528" s="617"/>
      <c r="X528" s="617"/>
      <c r="Y528" s="617"/>
      <c r="Z528" s="617"/>
      <c r="AA528" s="600"/>
      <c r="AB528" s="600"/>
      <c r="AC528" s="600"/>
    </row>
    <row r="529" spans="1:68" ht="14.25" customHeight="1" x14ac:dyDescent="0.25">
      <c r="A529" s="616" t="s">
        <v>155</v>
      </c>
      <c r="B529" s="617"/>
      <c r="C529" s="617"/>
      <c r="D529" s="617"/>
      <c r="E529" s="617"/>
      <c r="F529" s="617"/>
      <c r="G529" s="617"/>
      <c r="H529" s="617"/>
      <c r="I529" s="617"/>
      <c r="J529" s="617"/>
      <c r="K529" s="617"/>
      <c r="L529" s="617"/>
      <c r="M529" s="617"/>
      <c r="N529" s="617"/>
      <c r="O529" s="617"/>
      <c r="P529" s="617"/>
      <c r="Q529" s="617"/>
      <c r="R529" s="617"/>
      <c r="S529" s="617"/>
      <c r="T529" s="617"/>
      <c r="U529" s="617"/>
      <c r="V529" s="617"/>
      <c r="W529" s="617"/>
      <c r="X529" s="617"/>
      <c r="Y529" s="617"/>
      <c r="Z529" s="617"/>
      <c r="AA529" s="599"/>
      <c r="AB529" s="599"/>
      <c r="AC529" s="599"/>
    </row>
    <row r="530" spans="1:68" ht="27" customHeight="1" x14ac:dyDescent="0.25">
      <c r="A530" s="54" t="s">
        <v>817</v>
      </c>
      <c r="B530" s="54" t="s">
        <v>818</v>
      </c>
      <c r="C530" s="31">
        <v>4301020428</v>
      </c>
      <c r="D530" s="609">
        <v>4640242180090</v>
      </c>
      <c r="E530" s="61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x14ac:dyDescent="0.2">
      <c r="A531" s="628"/>
      <c r="B531" s="617"/>
      <c r="C531" s="617"/>
      <c r="D531" s="617"/>
      <c r="E531" s="617"/>
      <c r="F531" s="617"/>
      <c r="G531" s="617"/>
      <c r="H531" s="617"/>
      <c r="I531" s="617"/>
      <c r="J531" s="617"/>
      <c r="K531" s="617"/>
      <c r="L531" s="617"/>
      <c r="M531" s="617"/>
      <c r="N531" s="617"/>
      <c r="O531" s="629"/>
      <c r="P531" s="621" t="s">
        <v>72</v>
      </c>
      <c r="Q531" s="622"/>
      <c r="R531" s="622"/>
      <c r="S531" s="622"/>
      <c r="T531" s="622"/>
      <c r="U531" s="622"/>
      <c r="V531" s="623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x14ac:dyDescent="0.2">
      <c r="A532" s="617"/>
      <c r="B532" s="617"/>
      <c r="C532" s="617"/>
      <c r="D532" s="617"/>
      <c r="E532" s="617"/>
      <c r="F532" s="617"/>
      <c r="G532" s="617"/>
      <c r="H532" s="617"/>
      <c r="I532" s="617"/>
      <c r="J532" s="617"/>
      <c r="K532" s="617"/>
      <c r="L532" s="617"/>
      <c r="M532" s="617"/>
      <c r="N532" s="617"/>
      <c r="O532" s="629"/>
      <c r="P532" s="621" t="s">
        <v>72</v>
      </c>
      <c r="Q532" s="622"/>
      <c r="R532" s="622"/>
      <c r="S532" s="622"/>
      <c r="T532" s="622"/>
      <c r="U532" s="622"/>
      <c r="V532" s="623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6"/>
      <c r="B533" s="617"/>
      <c r="C533" s="617"/>
      <c r="D533" s="617"/>
      <c r="E533" s="617"/>
      <c r="F533" s="617"/>
      <c r="G533" s="617"/>
      <c r="H533" s="617"/>
      <c r="I533" s="617"/>
      <c r="J533" s="617"/>
      <c r="K533" s="617"/>
      <c r="L533" s="617"/>
      <c r="M533" s="617"/>
      <c r="N533" s="617"/>
      <c r="O533" s="776"/>
      <c r="P533" s="654" t="s">
        <v>820</v>
      </c>
      <c r="Q533" s="655"/>
      <c r="R533" s="655"/>
      <c r="S533" s="655"/>
      <c r="T533" s="655"/>
      <c r="U533" s="655"/>
      <c r="V533" s="656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8139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8298.16</v>
      </c>
      <c r="Z533" s="37"/>
      <c r="AA533" s="608"/>
      <c r="AB533" s="608"/>
      <c r="AC533" s="608"/>
    </row>
    <row r="534" spans="1:68" x14ac:dyDescent="0.2">
      <c r="A534" s="617"/>
      <c r="B534" s="617"/>
      <c r="C534" s="617"/>
      <c r="D534" s="617"/>
      <c r="E534" s="617"/>
      <c r="F534" s="617"/>
      <c r="G534" s="617"/>
      <c r="H534" s="617"/>
      <c r="I534" s="617"/>
      <c r="J534" s="617"/>
      <c r="K534" s="617"/>
      <c r="L534" s="617"/>
      <c r="M534" s="617"/>
      <c r="N534" s="617"/>
      <c r="O534" s="776"/>
      <c r="P534" s="654" t="s">
        <v>821</v>
      </c>
      <c r="Q534" s="655"/>
      <c r="R534" s="655"/>
      <c r="S534" s="655"/>
      <c r="T534" s="655"/>
      <c r="U534" s="655"/>
      <c r="V534" s="656"/>
      <c r="W534" s="37" t="s">
        <v>67</v>
      </c>
      <c r="X534" s="607">
        <f>IFERROR(SUM(BM22:BM530),"0")</f>
        <v>8680.18980180377</v>
      </c>
      <c r="Y534" s="607">
        <f>IFERROR(SUM(BN22:BN530),"0")</f>
        <v>8852.4029999999984</v>
      </c>
      <c r="Z534" s="37"/>
      <c r="AA534" s="608"/>
      <c r="AB534" s="608"/>
      <c r="AC534" s="608"/>
    </row>
    <row r="535" spans="1:68" x14ac:dyDescent="0.2">
      <c r="A535" s="617"/>
      <c r="B535" s="617"/>
      <c r="C535" s="617"/>
      <c r="D535" s="617"/>
      <c r="E535" s="617"/>
      <c r="F535" s="617"/>
      <c r="G535" s="617"/>
      <c r="H535" s="617"/>
      <c r="I535" s="617"/>
      <c r="J535" s="617"/>
      <c r="K535" s="617"/>
      <c r="L535" s="617"/>
      <c r="M535" s="617"/>
      <c r="N535" s="617"/>
      <c r="O535" s="776"/>
      <c r="P535" s="654" t="s">
        <v>822</v>
      </c>
      <c r="Q535" s="655"/>
      <c r="R535" s="655"/>
      <c r="S535" s="655"/>
      <c r="T535" s="655"/>
      <c r="U535" s="655"/>
      <c r="V535" s="656"/>
      <c r="W535" s="37" t="s">
        <v>823</v>
      </c>
      <c r="X535" s="38">
        <f>ROUNDUP(SUM(BO22:BO530),0)</f>
        <v>15</v>
      </c>
      <c r="Y535" s="38">
        <f>ROUNDUP(SUM(BP22:BP530),0)</f>
        <v>15</v>
      </c>
      <c r="Z535" s="37"/>
      <c r="AA535" s="608"/>
      <c r="AB535" s="608"/>
      <c r="AC535" s="608"/>
    </row>
    <row r="536" spans="1:68" x14ac:dyDescent="0.2">
      <c r="A536" s="617"/>
      <c r="B536" s="617"/>
      <c r="C536" s="617"/>
      <c r="D536" s="617"/>
      <c r="E536" s="617"/>
      <c r="F536" s="617"/>
      <c r="G536" s="617"/>
      <c r="H536" s="617"/>
      <c r="I536" s="617"/>
      <c r="J536" s="617"/>
      <c r="K536" s="617"/>
      <c r="L536" s="617"/>
      <c r="M536" s="617"/>
      <c r="N536" s="617"/>
      <c r="O536" s="776"/>
      <c r="P536" s="654" t="s">
        <v>824</v>
      </c>
      <c r="Q536" s="655"/>
      <c r="R536" s="655"/>
      <c r="S536" s="655"/>
      <c r="T536" s="655"/>
      <c r="U536" s="655"/>
      <c r="V536" s="656"/>
      <c r="W536" s="37" t="s">
        <v>67</v>
      </c>
      <c r="X536" s="607">
        <f>GrossWeightTotal+PalletQtyTotal*25</f>
        <v>9055.18980180377</v>
      </c>
      <c r="Y536" s="607">
        <f>GrossWeightTotalR+PalletQtyTotalR*25</f>
        <v>9227.4029999999984</v>
      </c>
      <c r="Z536" s="37"/>
      <c r="AA536" s="608"/>
      <c r="AB536" s="608"/>
      <c r="AC536" s="608"/>
    </row>
    <row r="537" spans="1:68" x14ac:dyDescent="0.2">
      <c r="A537" s="617"/>
      <c r="B537" s="617"/>
      <c r="C537" s="617"/>
      <c r="D537" s="617"/>
      <c r="E537" s="617"/>
      <c r="F537" s="617"/>
      <c r="G537" s="617"/>
      <c r="H537" s="617"/>
      <c r="I537" s="617"/>
      <c r="J537" s="617"/>
      <c r="K537" s="617"/>
      <c r="L537" s="617"/>
      <c r="M537" s="617"/>
      <c r="N537" s="617"/>
      <c r="O537" s="776"/>
      <c r="P537" s="654" t="s">
        <v>825</v>
      </c>
      <c r="Q537" s="655"/>
      <c r="R537" s="655"/>
      <c r="S537" s="655"/>
      <c r="T537" s="655"/>
      <c r="U537" s="655"/>
      <c r="V537" s="656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1689.6872782806915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1722</v>
      </c>
      <c r="Z537" s="37"/>
      <c r="AA537" s="608"/>
      <c r="AB537" s="608"/>
      <c r="AC537" s="608"/>
    </row>
    <row r="538" spans="1:68" ht="14.25" customHeight="1" x14ac:dyDescent="0.2">
      <c r="A538" s="617"/>
      <c r="B538" s="617"/>
      <c r="C538" s="617"/>
      <c r="D538" s="617"/>
      <c r="E538" s="617"/>
      <c r="F538" s="617"/>
      <c r="G538" s="617"/>
      <c r="H538" s="617"/>
      <c r="I538" s="617"/>
      <c r="J538" s="617"/>
      <c r="K538" s="617"/>
      <c r="L538" s="617"/>
      <c r="M538" s="617"/>
      <c r="N538" s="617"/>
      <c r="O538" s="776"/>
      <c r="P538" s="654" t="s">
        <v>826</v>
      </c>
      <c r="Q538" s="655"/>
      <c r="R538" s="655"/>
      <c r="S538" s="655"/>
      <c r="T538" s="655"/>
      <c r="U538" s="655"/>
      <c r="V538" s="656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17.093959999999999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8" t="s">
        <v>116</v>
      </c>
      <c r="E540" s="835"/>
      <c r="F540" s="835"/>
      <c r="G540" s="835"/>
      <c r="H540" s="835"/>
      <c r="I540" s="835"/>
      <c r="J540" s="662"/>
      <c r="K540" s="618" t="s">
        <v>325</v>
      </c>
      <c r="L540" s="835"/>
      <c r="M540" s="835"/>
      <c r="N540" s="835"/>
      <c r="O540" s="835"/>
      <c r="P540" s="835"/>
      <c r="Q540" s="835"/>
      <c r="R540" s="835"/>
      <c r="S540" s="835"/>
      <c r="T540" s="835"/>
      <c r="U540" s="662"/>
      <c r="V540" s="618" t="s">
        <v>652</v>
      </c>
      <c r="W540" s="662"/>
      <c r="X540" s="618" t="s">
        <v>712</v>
      </c>
      <c r="Y540" s="662"/>
      <c r="Z540" s="597" t="s">
        <v>748</v>
      </c>
      <c r="AA540" s="618" t="s">
        <v>795</v>
      </c>
      <c r="AB540" s="662"/>
      <c r="AC540" s="52"/>
      <c r="AF540" s="598"/>
    </row>
    <row r="541" spans="1:68" ht="14.25" customHeight="1" thickTop="1" x14ac:dyDescent="0.2">
      <c r="A541" s="872" t="s">
        <v>829</v>
      </c>
      <c r="B541" s="618" t="s">
        <v>61</v>
      </c>
      <c r="C541" s="618" t="s">
        <v>99</v>
      </c>
      <c r="D541" s="618" t="s">
        <v>117</v>
      </c>
      <c r="E541" s="618" t="s">
        <v>133</v>
      </c>
      <c r="F541" s="618" t="s">
        <v>179</v>
      </c>
      <c r="G541" s="618" t="s">
        <v>200</v>
      </c>
      <c r="H541" s="618" t="s">
        <v>242</v>
      </c>
      <c r="I541" s="618" t="s">
        <v>254</v>
      </c>
      <c r="J541" s="618" t="s">
        <v>116</v>
      </c>
      <c r="K541" s="618" t="s">
        <v>326</v>
      </c>
      <c r="L541" s="618" t="s">
        <v>347</v>
      </c>
      <c r="M541" s="618" t="s">
        <v>414</v>
      </c>
      <c r="N541" s="598"/>
      <c r="O541" s="618" t="s">
        <v>482</v>
      </c>
      <c r="P541" s="618" t="s">
        <v>515</v>
      </c>
      <c r="Q541" s="618" t="s">
        <v>531</v>
      </c>
      <c r="R541" s="618" t="s">
        <v>540</v>
      </c>
      <c r="S541" s="618" t="s">
        <v>561</v>
      </c>
      <c r="T541" s="618" t="s">
        <v>570</v>
      </c>
      <c r="U541" s="618" t="s">
        <v>642</v>
      </c>
      <c r="V541" s="618" t="s">
        <v>653</v>
      </c>
      <c r="W541" s="618" t="s">
        <v>696</v>
      </c>
      <c r="X541" s="618" t="s">
        <v>713</v>
      </c>
      <c r="Y541" s="618" t="s">
        <v>736</v>
      </c>
      <c r="Z541" s="618" t="s">
        <v>748</v>
      </c>
      <c r="AA541" s="618" t="s">
        <v>795</v>
      </c>
      <c r="AB541" s="618" t="s">
        <v>816</v>
      </c>
      <c r="AC541" s="52"/>
      <c r="AF541" s="598"/>
    </row>
    <row r="542" spans="1:68" ht="13.5" customHeight="1" thickBot="1" x14ac:dyDescent="0.25">
      <c r="A542" s="873"/>
      <c r="B542" s="619"/>
      <c r="C542" s="619"/>
      <c r="D542" s="619"/>
      <c r="E542" s="619"/>
      <c r="F542" s="619"/>
      <c r="G542" s="619"/>
      <c r="H542" s="619"/>
      <c r="I542" s="619"/>
      <c r="J542" s="619"/>
      <c r="K542" s="619"/>
      <c r="L542" s="619"/>
      <c r="M542" s="619"/>
      <c r="N542" s="598"/>
      <c r="O542" s="619"/>
      <c r="P542" s="619"/>
      <c r="Q542" s="619"/>
      <c r="R542" s="619"/>
      <c r="S542" s="619"/>
      <c r="T542" s="619"/>
      <c r="U542" s="619"/>
      <c r="V542" s="619"/>
      <c r="W542" s="619"/>
      <c r="X542" s="619"/>
      <c r="Y542" s="619"/>
      <c r="Z542" s="619"/>
      <c r="AA542" s="619"/>
      <c r="AB542" s="619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0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0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130.19999999999999</v>
      </c>
      <c r="F543" s="46">
        <f>IFERROR(Y88*1,"0")+IFERROR(Y89*1,"0")+IFERROR(Y90*1,"0")+IFERROR(Y91*1,"0")+IFERROR(Y95*1,"0")+IFERROR(Y96*1,"0")+IFERROR(Y97*1,"0")+IFERROR(Y98*1,"0")</f>
        <v>216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565.92000000000007</v>
      </c>
      <c r="H543" s="46">
        <f>IFERROR(Y134*1,"0")+IFERROR(Y135*1,"0")+IFERROR(Y139*1,"0")+IFERROR(Y140*1,"0")+IFERROR(Y144*1,"0")+IFERROR(Y145*1,"0")</f>
        <v>128.32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119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164.26000000000002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2055.6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9.9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38.4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0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268.56</v>
      </c>
      <c r="U543" s="46">
        <f>IFERROR(Y398*1,"0")+IFERROR(Y399*1,"0")+IFERROR(Y400*1,"0")</f>
        <v>0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3240</v>
      </c>
      <c r="W543" s="46">
        <f>IFERROR(Y433*1,"0")+IFERROR(Y434*1,"0")+IFERROR(Y438*1,"0")+IFERROR(Y442*1,"0")+IFERROR(Y443*1,"0")+IFERROR(Y444*1,"0")</f>
        <v>817.2</v>
      </c>
      <c r="X543" s="46">
        <f>IFERROR(Y450*1,"0")+IFERROR(Y451*1,"0")+IFERROR(Y452*1,"0")+IFERROR(Y453*1,"0")+IFERROR(Y454*1,"0")+IFERROR(Y455*1,"0")+IFERROR(Y459*1,"0")+IFERROR(Y460*1,"0")</f>
        <v>54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364.8</v>
      </c>
      <c r="AA543" s="46">
        <f>IFERROR(Y507*1,"0")+IFERROR(Y511*1,"0")+IFERROR(Y515*1,"0")+IFERROR(Y516*1,"0")+IFERROR(Y520*1,"0")+IFERROR(Y524*1,"0")+IFERROR(Y525*1,"0")</f>
        <v>126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55">
    <mergeCell ref="P507:T507"/>
    <mergeCell ref="P363:T363"/>
    <mergeCell ref="P527:V527"/>
    <mergeCell ref="D17:E18"/>
    <mergeCell ref="D173:E173"/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Y541:Y542"/>
    <mergeCell ref="P83:T83"/>
    <mergeCell ref="D271:E271"/>
    <mergeCell ref="P319:T319"/>
    <mergeCell ref="D262:E262"/>
    <mergeCell ref="D433:E433"/>
    <mergeCell ref="A506:Z506"/>
    <mergeCell ref="P541:P542"/>
    <mergeCell ref="P60:T60"/>
    <mergeCell ref="D291:E291"/>
    <mergeCell ref="D239:E239"/>
    <mergeCell ref="D95:E95"/>
    <mergeCell ref="P174:T174"/>
    <mergeCell ref="P74:V74"/>
    <mergeCell ref="D266:E266"/>
    <mergeCell ref="A339:Z339"/>
    <mergeCell ref="P385:T385"/>
    <mergeCell ref="P499:T499"/>
    <mergeCell ref="P293:T293"/>
    <mergeCell ref="D336:E336"/>
    <mergeCell ref="D407:E407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P137:V137"/>
    <mergeCell ref="D218:E218"/>
    <mergeCell ref="K540:U540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D341:E341"/>
    <mergeCell ref="A476:Z476"/>
    <mergeCell ref="P303:V303"/>
    <mergeCell ref="P72:T72"/>
    <mergeCell ref="P199:T199"/>
    <mergeCell ref="A315:Z315"/>
    <mergeCell ref="P497:T497"/>
    <mergeCell ref="P297:T297"/>
    <mergeCell ref="AD17:AF18"/>
    <mergeCell ref="P142:V142"/>
    <mergeCell ref="A337:O338"/>
    <mergeCell ref="A132:Z132"/>
    <mergeCell ref="F5:G5"/>
    <mergeCell ref="P55:V55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A36:O37"/>
    <mergeCell ref="P82:T82"/>
    <mergeCell ref="D221:E22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D450:E450"/>
    <mergeCell ref="P181:T181"/>
    <mergeCell ref="P357:T357"/>
    <mergeCell ref="D29:E29"/>
    <mergeCell ref="D23:E23"/>
    <mergeCell ref="D216:E216"/>
    <mergeCell ref="D265:E265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183:T183"/>
    <mergeCell ref="D226:E226"/>
    <mergeCell ref="P354:T354"/>
    <mergeCell ref="A404:Z404"/>
    <mergeCell ref="P365:T365"/>
    <mergeCell ref="P62:T62"/>
    <mergeCell ref="P70:T70"/>
    <mergeCell ref="P263:T263"/>
    <mergeCell ref="D244:E244"/>
    <mergeCell ref="A358:O359"/>
    <mergeCell ref="A429:O430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A9:C9"/>
    <mergeCell ref="P125:T125"/>
    <mergeCell ref="D202:E202"/>
    <mergeCell ref="D373:E373"/>
    <mergeCell ref="P112:T112"/>
    <mergeCell ref="D500:E500"/>
    <mergeCell ref="D294:E294"/>
    <mergeCell ref="P348:T348"/>
    <mergeCell ref="D231:E231"/>
    <mergeCell ref="P337:V337"/>
    <mergeCell ref="A156:Z156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P483:T483"/>
    <mergeCell ref="D22:E22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V6:W9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22:T22"/>
    <mergeCell ref="D65:E65"/>
    <mergeCell ref="P320:T320"/>
    <mergeCell ref="D428:E428"/>
    <mergeCell ref="P236:V236"/>
    <mergeCell ref="P92:V92"/>
    <mergeCell ref="P394:V394"/>
    <mergeCell ref="P521:V521"/>
    <mergeCell ref="P100:V100"/>
    <mergeCell ref="A212:Z212"/>
    <mergeCell ref="A448:Z448"/>
    <mergeCell ref="A519:Z519"/>
    <mergeCell ref="D367:E367"/>
    <mergeCell ref="H10:M10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H17:H18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P27:T27"/>
    <mergeCell ref="P56:V56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8:Z38"/>
    <mergeCell ref="A302:O303"/>
    <mergeCell ref="A432:Z432"/>
    <mergeCell ref="A40:Z40"/>
    <mergeCell ref="P393:T393"/>
    <mergeCell ref="P457:V457"/>
    <mergeCell ref="D203:E203"/>
    <mergeCell ref="D374:E374"/>
    <mergeCell ref="P165:V165"/>
    <mergeCell ref="A186:Z186"/>
    <mergeCell ref="P232:T232"/>
    <mergeCell ref="P159:T159"/>
    <mergeCell ref="D140:E140"/>
    <mergeCell ref="D438:E438"/>
    <mergeCell ref="P96:T96"/>
    <mergeCell ref="P270:T270"/>
    <mergeCell ref="D213:E213"/>
    <mergeCell ref="P341:T341"/>
    <mergeCell ref="D151:E151"/>
    <mergeCell ref="D384:E384"/>
    <mergeCell ref="P204:T204"/>
    <mergeCell ref="J9:M9"/>
    <mergeCell ref="D112:E112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D51:E51"/>
    <mergeCell ref="P477:T477"/>
    <mergeCell ref="A138:Z138"/>
    <mergeCell ref="P307:V307"/>
    <mergeCell ref="P380:T380"/>
    <mergeCell ref="A13:M13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Q10:R10"/>
    <mergeCell ref="P368:V368"/>
    <mergeCell ref="D41:E41"/>
    <mergeCell ref="P296:T296"/>
    <mergeCell ref="A486:O487"/>
    <mergeCell ref="P25:V25"/>
    <mergeCell ref="D277:E277"/>
    <mergeCell ref="P85:V85"/>
    <mergeCell ref="P256:V256"/>
    <mergeCell ref="P356:T356"/>
    <mergeCell ref="A208:Z208"/>
    <mergeCell ref="D371:E371"/>
    <mergeCell ref="D43:E43"/>
    <mergeCell ref="P84:V84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228:V228"/>
    <mergeCell ref="A12:M12"/>
    <mergeCell ref="A253:Z253"/>
    <mergeCell ref="A324:Z324"/>
    <mergeCell ref="A180:Z18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P450:T450"/>
    <mergeCell ref="D116:E116"/>
    <mergeCell ref="P419:T419"/>
    <mergeCell ref="D91:E91"/>
    <mergeCell ref="P23:T23"/>
    <mergeCell ref="P219:T219"/>
    <mergeCell ref="P272:T272"/>
    <mergeCell ref="D327:E327"/>
    <mergeCell ref="D398:E398"/>
    <mergeCell ref="P439:V439"/>
    <mergeCell ref="A267:O268"/>
    <mergeCell ref="D106:E106"/>
    <mergeCell ref="A146:O147"/>
    <mergeCell ref="D264:E264"/>
    <mergeCell ref="P277:T277"/>
    <mergeCell ref="D220:E220"/>
    <mergeCell ref="D391:E391"/>
    <mergeCell ref="A195:Z195"/>
    <mergeCell ref="A394:O395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D31:E31"/>
    <mergeCell ref="A166:Z166"/>
    <mergeCell ref="D158:E158"/>
    <mergeCell ref="P286:T286"/>
    <mergeCell ref="D400:E400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43:T43"/>
    <mergeCell ref="P285:T285"/>
    <mergeCell ref="P136:V136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P462:V462"/>
    <mergeCell ref="A458:Z458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D479:E479"/>
    <mergeCell ref="A437:Z437"/>
    <mergeCell ref="P235:V235"/>
    <mergeCell ref="A431:Z431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X541:X542"/>
    <mergeCell ref="Z541:Z542"/>
    <mergeCell ref="A46:O47"/>
    <mergeCell ref="D98:E98"/>
    <mergeCell ref="P30:T30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A34:Z34"/>
    <mergeCell ref="D410:E410"/>
    <mergeCell ref="P245:V245"/>
    <mergeCell ref="A441:Z441"/>
    <mergeCell ref="C541:C542"/>
    <mergeCell ref="E541:E542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499:E499"/>
    <mergeCell ref="D60:E60"/>
    <mergeCell ref="P73:T73"/>
    <mergeCell ref="P244:T244"/>
    <mergeCell ref="P144:T144"/>
    <mergeCell ref="D187:E187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2026-07-10T07:53:16Z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