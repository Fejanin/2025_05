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Донецк ПОКОМ КИ\"/>
    </mc:Choice>
  </mc:AlternateContent>
  <xr:revisionPtr revIDLastSave="0" documentId="13_ncr:1_{8D2E2849-6ECA-4330-9967-5F82B54912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Sheet!$A$3:$AV$114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25" i="1" l="1"/>
  <c r="Z27" i="1"/>
  <c r="Z31" i="1"/>
  <c r="Z35" i="1"/>
  <c r="Z36" i="1"/>
  <c r="Z53" i="1"/>
  <c r="Z54" i="1"/>
  <c r="Z67" i="1"/>
  <c r="Z68" i="1"/>
  <c r="AV114" i="1" l="1"/>
  <c r="AU114" i="1"/>
  <c r="AC114" i="1"/>
  <c r="M114" i="1"/>
  <c r="AA114" i="1" s="1"/>
  <c r="AH114" i="1" s="1"/>
  <c r="L114" i="1"/>
  <c r="AV113" i="1"/>
  <c r="AU113" i="1"/>
  <c r="AB113" i="1"/>
  <c r="AC113" i="1" s="1"/>
  <c r="M113" i="1"/>
  <c r="AA113" i="1" s="1"/>
  <c r="AH113" i="1" s="1"/>
  <c r="L113" i="1"/>
  <c r="AV112" i="1"/>
  <c r="AU112" i="1"/>
  <c r="M112" i="1"/>
  <c r="AA112" i="1" s="1"/>
  <c r="L112" i="1"/>
  <c r="AV111" i="1"/>
  <c r="AU111" i="1"/>
  <c r="M111" i="1"/>
  <c r="AA111" i="1" s="1"/>
  <c r="AH111" i="1" s="1"/>
  <c r="L111" i="1"/>
  <c r="AV110" i="1"/>
  <c r="AU110" i="1"/>
  <c r="M110" i="1"/>
  <c r="AA110" i="1" s="1"/>
  <c r="L110" i="1"/>
  <c r="AV109" i="1"/>
  <c r="AU109" i="1"/>
  <c r="M109" i="1"/>
  <c r="AA109" i="1" s="1"/>
  <c r="AH109" i="1" s="1"/>
  <c r="L109" i="1"/>
  <c r="AV108" i="1"/>
  <c r="AU108" i="1"/>
  <c r="AC108" i="1"/>
  <c r="AT108" i="1" s="1"/>
  <c r="M108" i="1"/>
  <c r="AA108" i="1" s="1"/>
  <c r="AH108" i="1" s="1"/>
  <c r="L108" i="1"/>
  <c r="AV107" i="1"/>
  <c r="AU107" i="1"/>
  <c r="M107" i="1"/>
  <c r="AA107" i="1" s="1"/>
  <c r="AB107" i="1" s="1"/>
  <c r="AC107" i="1" s="1"/>
  <c r="L107" i="1"/>
  <c r="AV106" i="1"/>
  <c r="AU106" i="1"/>
  <c r="AC106" i="1"/>
  <c r="M106" i="1"/>
  <c r="AA106" i="1" s="1"/>
  <c r="AH106" i="1" s="1"/>
  <c r="L106" i="1"/>
  <c r="AV105" i="1"/>
  <c r="AU105" i="1"/>
  <c r="AC105" i="1"/>
  <c r="AT105" i="1" s="1"/>
  <c r="M105" i="1"/>
  <c r="AA105" i="1" s="1"/>
  <c r="AH105" i="1" s="1"/>
  <c r="L105" i="1"/>
  <c r="AV104" i="1"/>
  <c r="AU104" i="1"/>
  <c r="AC104" i="1"/>
  <c r="M104" i="1"/>
  <c r="AA104" i="1" s="1"/>
  <c r="AH104" i="1" s="1"/>
  <c r="L104" i="1"/>
  <c r="AV103" i="1"/>
  <c r="AU103" i="1"/>
  <c r="AC103" i="1"/>
  <c r="AT103" i="1" s="1"/>
  <c r="M103" i="1"/>
  <c r="AA103" i="1" s="1"/>
  <c r="AH103" i="1" s="1"/>
  <c r="L103" i="1"/>
  <c r="AV102" i="1"/>
  <c r="AU102" i="1"/>
  <c r="M102" i="1"/>
  <c r="AA102" i="1" s="1"/>
  <c r="L102" i="1"/>
  <c r="AV101" i="1"/>
  <c r="AU101" i="1"/>
  <c r="AC101" i="1"/>
  <c r="M101" i="1"/>
  <c r="AA101" i="1" s="1"/>
  <c r="AH101" i="1" s="1"/>
  <c r="L101" i="1"/>
  <c r="AV100" i="1"/>
  <c r="AU100" i="1"/>
  <c r="M100" i="1"/>
  <c r="AA100" i="1" s="1"/>
  <c r="L100" i="1"/>
  <c r="AV99" i="1"/>
  <c r="AU99" i="1"/>
  <c r="M99" i="1"/>
  <c r="AA99" i="1" s="1"/>
  <c r="AH99" i="1" s="1"/>
  <c r="L99" i="1"/>
  <c r="AV98" i="1"/>
  <c r="AU98" i="1"/>
  <c r="AC98" i="1"/>
  <c r="AT98" i="1" s="1"/>
  <c r="M98" i="1"/>
  <c r="AA98" i="1" s="1"/>
  <c r="AH98" i="1" s="1"/>
  <c r="L98" i="1"/>
  <c r="AV97" i="1"/>
  <c r="AU97" i="1"/>
  <c r="AA97" i="1"/>
  <c r="AB97" i="1" s="1"/>
  <c r="AC97" i="1" s="1"/>
  <c r="M97" i="1"/>
  <c r="L97" i="1"/>
  <c r="AV96" i="1"/>
  <c r="AU96" i="1"/>
  <c r="AC96" i="1"/>
  <c r="M96" i="1"/>
  <c r="AA96" i="1" s="1"/>
  <c r="AH96" i="1" s="1"/>
  <c r="L96" i="1"/>
  <c r="AV95" i="1"/>
  <c r="AU95" i="1"/>
  <c r="AT95" i="1"/>
  <c r="AC95" i="1"/>
  <c r="AA95" i="1"/>
  <c r="AH95" i="1" s="1"/>
  <c r="M95" i="1"/>
  <c r="L95" i="1"/>
  <c r="AV94" i="1"/>
  <c r="AU94" i="1"/>
  <c r="M94" i="1"/>
  <c r="AA94" i="1" s="1"/>
  <c r="AB94" i="1" s="1"/>
  <c r="AC94" i="1" s="1"/>
  <c r="L94" i="1"/>
  <c r="AV93" i="1"/>
  <c r="AU93" i="1"/>
  <c r="AC93" i="1"/>
  <c r="M93" i="1"/>
  <c r="AA93" i="1" s="1"/>
  <c r="AH93" i="1" s="1"/>
  <c r="L93" i="1"/>
  <c r="AV92" i="1"/>
  <c r="AU92" i="1"/>
  <c r="M92" i="1"/>
  <c r="AA92" i="1" s="1"/>
  <c r="L92" i="1"/>
  <c r="AV91" i="1"/>
  <c r="AU91" i="1"/>
  <c r="M91" i="1"/>
  <c r="AA91" i="1" s="1"/>
  <c r="AH91" i="1" s="1"/>
  <c r="L91" i="1"/>
  <c r="AV90" i="1"/>
  <c r="AU90" i="1"/>
  <c r="M90" i="1"/>
  <c r="AA90" i="1" s="1"/>
  <c r="L90" i="1"/>
  <c r="AV89" i="1"/>
  <c r="AU89" i="1"/>
  <c r="M89" i="1"/>
  <c r="AA89" i="1" s="1"/>
  <c r="AH89" i="1" s="1"/>
  <c r="L89" i="1"/>
  <c r="AV88" i="1"/>
  <c r="AU88" i="1"/>
  <c r="AC88" i="1"/>
  <c r="AT88" i="1" s="1"/>
  <c r="M88" i="1"/>
  <c r="AA88" i="1" s="1"/>
  <c r="AH88" i="1" s="1"/>
  <c r="L88" i="1"/>
  <c r="AV87" i="1"/>
  <c r="AU87" i="1"/>
  <c r="AC87" i="1"/>
  <c r="M87" i="1"/>
  <c r="AA87" i="1" s="1"/>
  <c r="AH87" i="1" s="1"/>
  <c r="L87" i="1"/>
  <c r="AV86" i="1"/>
  <c r="AU86" i="1"/>
  <c r="AC86" i="1"/>
  <c r="AT86" i="1" s="1"/>
  <c r="M86" i="1"/>
  <c r="AA86" i="1" s="1"/>
  <c r="AH86" i="1" s="1"/>
  <c r="L86" i="1"/>
  <c r="AV85" i="1"/>
  <c r="AU85" i="1"/>
  <c r="AC85" i="1"/>
  <c r="M85" i="1"/>
  <c r="AA85" i="1" s="1"/>
  <c r="AH85" i="1" s="1"/>
  <c r="L85" i="1"/>
  <c r="AV84" i="1"/>
  <c r="AU84" i="1"/>
  <c r="AC84" i="1"/>
  <c r="AT84" i="1" s="1"/>
  <c r="M84" i="1"/>
  <c r="AA84" i="1" s="1"/>
  <c r="AH84" i="1" s="1"/>
  <c r="L84" i="1"/>
  <c r="AV83" i="1"/>
  <c r="AU83" i="1"/>
  <c r="AC83" i="1"/>
  <c r="M83" i="1"/>
  <c r="AA83" i="1" s="1"/>
  <c r="AH83" i="1" s="1"/>
  <c r="L83" i="1"/>
  <c r="AV82" i="1"/>
  <c r="AU82" i="1"/>
  <c r="M82" i="1"/>
  <c r="AA82" i="1" s="1"/>
  <c r="L82" i="1"/>
  <c r="AV81" i="1"/>
  <c r="AU81" i="1"/>
  <c r="AC81" i="1"/>
  <c r="AT81" i="1" s="1"/>
  <c r="M81" i="1"/>
  <c r="AA81" i="1" s="1"/>
  <c r="AH81" i="1" s="1"/>
  <c r="L81" i="1"/>
  <c r="AV80" i="1"/>
  <c r="AU80" i="1"/>
  <c r="M80" i="1"/>
  <c r="AA80" i="1" s="1"/>
  <c r="L80" i="1"/>
  <c r="AV79" i="1"/>
  <c r="AU79" i="1"/>
  <c r="AC79" i="1"/>
  <c r="M79" i="1"/>
  <c r="AA79" i="1" s="1"/>
  <c r="AH79" i="1" s="1"/>
  <c r="L79" i="1"/>
  <c r="AV78" i="1"/>
  <c r="AU78" i="1"/>
  <c r="M78" i="1"/>
  <c r="AA78" i="1" s="1"/>
  <c r="L78" i="1"/>
  <c r="AV77" i="1"/>
  <c r="AU77" i="1"/>
  <c r="AC77" i="1"/>
  <c r="AT77" i="1" s="1"/>
  <c r="M77" i="1"/>
  <c r="AA77" i="1" s="1"/>
  <c r="AH77" i="1" s="1"/>
  <c r="L77" i="1"/>
  <c r="AV76" i="1"/>
  <c r="AU76" i="1"/>
  <c r="AC76" i="1"/>
  <c r="M76" i="1"/>
  <c r="AA76" i="1" s="1"/>
  <c r="AH76" i="1" s="1"/>
  <c r="L76" i="1"/>
  <c r="AV75" i="1"/>
  <c r="AU75" i="1"/>
  <c r="E75" i="1"/>
  <c r="E5" i="1" s="1"/>
  <c r="AV74" i="1"/>
  <c r="AU74" i="1"/>
  <c r="M74" i="1"/>
  <c r="AA74" i="1" s="1"/>
  <c r="AB74" i="1" s="1"/>
  <c r="AC74" i="1" s="1"/>
  <c r="L74" i="1"/>
  <c r="AV73" i="1"/>
  <c r="AU73" i="1"/>
  <c r="M73" i="1"/>
  <c r="AA73" i="1" s="1"/>
  <c r="L73" i="1"/>
  <c r="AV72" i="1"/>
  <c r="AU72" i="1"/>
  <c r="AC72" i="1"/>
  <c r="M72" i="1"/>
  <c r="AA72" i="1" s="1"/>
  <c r="AH72" i="1" s="1"/>
  <c r="L72" i="1"/>
  <c r="AV71" i="1"/>
  <c r="AU71" i="1"/>
  <c r="M71" i="1"/>
  <c r="AA71" i="1" s="1"/>
  <c r="L71" i="1"/>
  <c r="AV70" i="1"/>
  <c r="AU70" i="1"/>
  <c r="AC70" i="1"/>
  <c r="AT70" i="1" s="1"/>
  <c r="M70" i="1"/>
  <c r="AA70" i="1" s="1"/>
  <c r="AH70" i="1" s="1"/>
  <c r="L70" i="1"/>
  <c r="AV69" i="1"/>
  <c r="AU69" i="1"/>
  <c r="M69" i="1"/>
  <c r="AA69" i="1" s="1"/>
  <c r="AB69" i="1" s="1"/>
  <c r="AC69" i="1" s="1"/>
  <c r="L69" i="1"/>
  <c r="AV68" i="1"/>
  <c r="AU68" i="1"/>
  <c r="M68" i="1"/>
  <c r="AA68" i="1" s="1"/>
  <c r="AB68" i="1" s="1"/>
  <c r="AC68" i="1" s="1"/>
  <c r="L68" i="1"/>
  <c r="AV67" i="1"/>
  <c r="AU67" i="1"/>
  <c r="M67" i="1"/>
  <c r="AA67" i="1" s="1"/>
  <c r="AB67" i="1" s="1"/>
  <c r="AC67" i="1" s="1"/>
  <c r="L67" i="1"/>
  <c r="AV66" i="1"/>
  <c r="AU66" i="1"/>
  <c r="AC66" i="1"/>
  <c r="M66" i="1"/>
  <c r="AA66" i="1" s="1"/>
  <c r="AH66" i="1" s="1"/>
  <c r="L66" i="1"/>
  <c r="AV65" i="1"/>
  <c r="AU65" i="1"/>
  <c r="M65" i="1"/>
  <c r="AA65" i="1" s="1"/>
  <c r="L65" i="1"/>
  <c r="AV64" i="1"/>
  <c r="AU64" i="1"/>
  <c r="AC64" i="1"/>
  <c r="AT64" i="1" s="1"/>
  <c r="M64" i="1"/>
  <c r="AA64" i="1" s="1"/>
  <c r="AH64" i="1" s="1"/>
  <c r="L64" i="1"/>
  <c r="AV63" i="1"/>
  <c r="AU63" i="1"/>
  <c r="M63" i="1"/>
  <c r="AA63" i="1" s="1"/>
  <c r="L63" i="1"/>
  <c r="AV62" i="1"/>
  <c r="AU62" i="1"/>
  <c r="AC62" i="1"/>
  <c r="M62" i="1"/>
  <c r="AA62" i="1" s="1"/>
  <c r="AH62" i="1" s="1"/>
  <c r="L62" i="1"/>
  <c r="AV61" i="1"/>
  <c r="AU61" i="1"/>
  <c r="M61" i="1"/>
  <c r="AA61" i="1" s="1"/>
  <c r="L61" i="1"/>
  <c r="AV60" i="1"/>
  <c r="AU60" i="1"/>
  <c r="M60" i="1"/>
  <c r="AA60" i="1" s="1"/>
  <c r="AB60" i="1" s="1"/>
  <c r="AC60" i="1" s="1"/>
  <c r="L60" i="1"/>
  <c r="AV59" i="1"/>
  <c r="AU59" i="1"/>
  <c r="M59" i="1"/>
  <c r="AA59" i="1" s="1"/>
  <c r="AB59" i="1" s="1"/>
  <c r="AC59" i="1" s="1"/>
  <c r="L59" i="1"/>
  <c r="AV58" i="1"/>
  <c r="AU58" i="1"/>
  <c r="M58" i="1"/>
  <c r="AA58" i="1" s="1"/>
  <c r="AB58" i="1" s="1"/>
  <c r="AC58" i="1" s="1"/>
  <c r="L58" i="1"/>
  <c r="AV57" i="1"/>
  <c r="AU57" i="1"/>
  <c r="M57" i="1"/>
  <c r="AA57" i="1" s="1"/>
  <c r="AB57" i="1" s="1"/>
  <c r="AC57" i="1" s="1"/>
  <c r="L57" i="1"/>
  <c r="AV56" i="1"/>
  <c r="AU56" i="1"/>
  <c r="M56" i="1"/>
  <c r="AA56" i="1" s="1"/>
  <c r="AB56" i="1" s="1"/>
  <c r="AC56" i="1" s="1"/>
  <c r="L56" i="1"/>
  <c r="AV55" i="1"/>
  <c r="AU55" i="1"/>
  <c r="AC55" i="1"/>
  <c r="M55" i="1"/>
  <c r="AA55" i="1" s="1"/>
  <c r="AH55" i="1" s="1"/>
  <c r="L55" i="1"/>
  <c r="AV54" i="1"/>
  <c r="AU54" i="1"/>
  <c r="M54" i="1"/>
  <c r="AA54" i="1" s="1"/>
  <c r="AH54" i="1" s="1"/>
  <c r="L54" i="1"/>
  <c r="AV53" i="1"/>
  <c r="AU53" i="1"/>
  <c r="M53" i="1"/>
  <c r="AA53" i="1" s="1"/>
  <c r="AH53" i="1" s="1"/>
  <c r="L53" i="1"/>
  <c r="AV52" i="1"/>
  <c r="AU52" i="1"/>
  <c r="AC52" i="1"/>
  <c r="AT52" i="1" s="1"/>
  <c r="M52" i="1"/>
  <c r="AA52" i="1" s="1"/>
  <c r="AH52" i="1" s="1"/>
  <c r="L52" i="1"/>
  <c r="AV51" i="1"/>
  <c r="AU51" i="1"/>
  <c r="AC51" i="1"/>
  <c r="M51" i="1"/>
  <c r="AA51" i="1" s="1"/>
  <c r="AH51" i="1" s="1"/>
  <c r="L51" i="1"/>
  <c r="AV50" i="1"/>
  <c r="AU50" i="1"/>
  <c r="AC50" i="1"/>
  <c r="AT50" i="1" s="1"/>
  <c r="M50" i="1"/>
  <c r="AA50" i="1" s="1"/>
  <c r="AH50" i="1" s="1"/>
  <c r="L50" i="1"/>
  <c r="AV49" i="1"/>
  <c r="AU49" i="1"/>
  <c r="M49" i="1"/>
  <c r="AA49" i="1" s="1"/>
  <c r="AB49" i="1" s="1"/>
  <c r="AC49" i="1" s="1"/>
  <c r="L49" i="1"/>
  <c r="AV48" i="1"/>
  <c r="AU48" i="1"/>
  <c r="M48" i="1"/>
  <c r="AA48" i="1" s="1"/>
  <c r="AB48" i="1" s="1"/>
  <c r="AC48" i="1" s="1"/>
  <c r="L48" i="1"/>
  <c r="AV47" i="1"/>
  <c r="AU47" i="1"/>
  <c r="AA47" i="1"/>
  <c r="AB47" i="1" s="1"/>
  <c r="AC47" i="1" s="1"/>
  <c r="M47" i="1"/>
  <c r="L47" i="1"/>
  <c r="AV46" i="1"/>
  <c r="AU46" i="1"/>
  <c r="M46" i="1"/>
  <c r="AA46" i="1" s="1"/>
  <c r="AB46" i="1" s="1"/>
  <c r="AC46" i="1" s="1"/>
  <c r="L46" i="1"/>
  <c r="AV45" i="1"/>
  <c r="AU45" i="1"/>
  <c r="AC45" i="1"/>
  <c r="M45" i="1"/>
  <c r="AA45" i="1" s="1"/>
  <c r="AH45" i="1" s="1"/>
  <c r="L45" i="1"/>
  <c r="AV44" i="1"/>
  <c r="AU44" i="1"/>
  <c r="M44" i="1"/>
  <c r="AA44" i="1" s="1"/>
  <c r="AH44" i="1" s="1"/>
  <c r="L44" i="1"/>
  <c r="AV43" i="1"/>
  <c r="AU43" i="1"/>
  <c r="M43" i="1"/>
  <c r="AA43" i="1" s="1"/>
  <c r="AH43" i="1" s="1"/>
  <c r="L43" i="1"/>
  <c r="AV42" i="1"/>
  <c r="AU42" i="1"/>
  <c r="M42" i="1"/>
  <c r="AA42" i="1" s="1"/>
  <c r="AH42" i="1" s="1"/>
  <c r="L42" i="1"/>
  <c r="AV41" i="1"/>
  <c r="AU41" i="1"/>
  <c r="M41" i="1"/>
  <c r="AA41" i="1" s="1"/>
  <c r="AH41" i="1" s="1"/>
  <c r="L41" i="1"/>
  <c r="AV40" i="1"/>
  <c r="AU40" i="1"/>
  <c r="AB40" i="1"/>
  <c r="AC40" i="1" s="1"/>
  <c r="AG40" i="1" s="1"/>
  <c r="M40" i="1"/>
  <c r="AA40" i="1" s="1"/>
  <c r="AH40" i="1" s="1"/>
  <c r="L40" i="1"/>
  <c r="AV39" i="1"/>
  <c r="AU39" i="1"/>
  <c r="M39" i="1"/>
  <c r="AA39" i="1" s="1"/>
  <c r="AH39" i="1" s="1"/>
  <c r="L39" i="1"/>
  <c r="AV38" i="1"/>
  <c r="AU38" i="1"/>
  <c r="M38" i="1"/>
  <c r="AA38" i="1" s="1"/>
  <c r="AH38" i="1" s="1"/>
  <c r="L38" i="1"/>
  <c r="AV37" i="1"/>
  <c r="AU37" i="1"/>
  <c r="M37" i="1"/>
  <c r="AA37" i="1" s="1"/>
  <c r="AH37" i="1" s="1"/>
  <c r="L37" i="1"/>
  <c r="AV36" i="1"/>
  <c r="AU36" i="1"/>
  <c r="M36" i="1"/>
  <c r="AA36" i="1" s="1"/>
  <c r="AH36" i="1" s="1"/>
  <c r="L36" i="1"/>
  <c r="AV35" i="1"/>
  <c r="AU35" i="1"/>
  <c r="AC35" i="1"/>
  <c r="AT35" i="1" s="1"/>
  <c r="M35" i="1"/>
  <c r="AA35" i="1" s="1"/>
  <c r="AH35" i="1" s="1"/>
  <c r="L35" i="1"/>
  <c r="AV34" i="1"/>
  <c r="AU34" i="1"/>
  <c r="AC34" i="1"/>
  <c r="M34" i="1"/>
  <c r="AA34" i="1" s="1"/>
  <c r="AH34" i="1" s="1"/>
  <c r="L34" i="1"/>
  <c r="AV33" i="1"/>
  <c r="AU33" i="1"/>
  <c r="AC33" i="1"/>
  <c r="AT33" i="1" s="1"/>
  <c r="M33" i="1"/>
  <c r="AA33" i="1" s="1"/>
  <c r="AH33" i="1" s="1"/>
  <c r="L33" i="1"/>
  <c r="AV32" i="1"/>
  <c r="AU32" i="1"/>
  <c r="M32" i="1"/>
  <c r="AA32" i="1" s="1"/>
  <c r="AB32" i="1" s="1"/>
  <c r="AC32" i="1" s="1"/>
  <c r="L32" i="1"/>
  <c r="AV31" i="1"/>
  <c r="AU31" i="1"/>
  <c r="M31" i="1"/>
  <c r="AA31" i="1" s="1"/>
  <c r="AB31" i="1" s="1"/>
  <c r="AC31" i="1" s="1"/>
  <c r="L31" i="1"/>
  <c r="AV30" i="1"/>
  <c r="AU30" i="1"/>
  <c r="AA30" i="1"/>
  <c r="AB30" i="1" s="1"/>
  <c r="AC30" i="1" s="1"/>
  <c r="M30" i="1"/>
  <c r="L30" i="1"/>
  <c r="AV29" i="1"/>
  <c r="AU29" i="1"/>
  <c r="AC29" i="1"/>
  <c r="M29" i="1"/>
  <c r="AA29" i="1" s="1"/>
  <c r="AH29" i="1" s="1"/>
  <c r="L29" i="1"/>
  <c r="AV28" i="1"/>
  <c r="AU28" i="1"/>
  <c r="AB28" i="1"/>
  <c r="AC28" i="1" s="1"/>
  <c r="AG28" i="1" s="1"/>
  <c r="M28" i="1"/>
  <c r="AA28" i="1" s="1"/>
  <c r="AH28" i="1" s="1"/>
  <c r="L28" i="1"/>
  <c r="AV27" i="1"/>
  <c r="AU27" i="1"/>
  <c r="M27" i="1"/>
  <c r="AA27" i="1" s="1"/>
  <c r="AH27" i="1" s="1"/>
  <c r="L27" i="1"/>
  <c r="AV26" i="1"/>
  <c r="AU26" i="1"/>
  <c r="AC26" i="1"/>
  <c r="AT26" i="1" s="1"/>
  <c r="M26" i="1"/>
  <c r="AA26" i="1" s="1"/>
  <c r="AH26" i="1" s="1"/>
  <c r="L26" i="1"/>
  <c r="AV25" i="1"/>
  <c r="AU25" i="1"/>
  <c r="AC25" i="1"/>
  <c r="M25" i="1"/>
  <c r="AA25" i="1" s="1"/>
  <c r="AH25" i="1" s="1"/>
  <c r="L25" i="1"/>
  <c r="AV24" i="1"/>
  <c r="AU24" i="1"/>
  <c r="AC24" i="1"/>
  <c r="AT24" i="1" s="1"/>
  <c r="M24" i="1"/>
  <c r="AA24" i="1" s="1"/>
  <c r="AH24" i="1" s="1"/>
  <c r="L24" i="1"/>
  <c r="AV23" i="1"/>
  <c r="AU23" i="1"/>
  <c r="AA23" i="1"/>
  <c r="AB23" i="1" s="1"/>
  <c r="AC23" i="1" s="1"/>
  <c r="M23" i="1"/>
  <c r="L23" i="1"/>
  <c r="AV22" i="1"/>
  <c r="AU22" i="1"/>
  <c r="M22" i="1"/>
  <c r="AA22" i="1" s="1"/>
  <c r="AB22" i="1" s="1"/>
  <c r="AC22" i="1" s="1"/>
  <c r="L22" i="1"/>
  <c r="AV21" i="1"/>
  <c r="AU21" i="1"/>
  <c r="AC21" i="1"/>
  <c r="M21" i="1"/>
  <c r="AA21" i="1" s="1"/>
  <c r="AH21" i="1" s="1"/>
  <c r="L21" i="1"/>
  <c r="AV20" i="1"/>
  <c r="AU20" i="1"/>
  <c r="AC20" i="1"/>
  <c r="AT20" i="1" s="1"/>
  <c r="M20" i="1"/>
  <c r="AA20" i="1" s="1"/>
  <c r="AH20" i="1" s="1"/>
  <c r="L20" i="1"/>
  <c r="AV19" i="1"/>
  <c r="AU19" i="1"/>
  <c r="M19" i="1"/>
  <c r="AA19" i="1" s="1"/>
  <c r="AB19" i="1" s="1"/>
  <c r="AC19" i="1" s="1"/>
  <c r="L19" i="1"/>
  <c r="AV18" i="1"/>
  <c r="AU18" i="1"/>
  <c r="AC18" i="1"/>
  <c r="M18" i="1"/>
  <c r="AA18" i="1" s="1"/>
  <c r="AH18" i="1" s="1"/>
  <c r="L18" i="1"/>
  <c r="AV17" i="1"/>
  <c r="AU17" i="1"/>
  <c r="M17" i="1"/>
  <c r="AA17" i="1" s="1"/>
  <c r="AH17" i="1" s="1"/>
  <c r="L17" i="1"/>
  <c r="AV16" i="1"/>
  <c r="AU16" i="1"/>
  <c r="M16" i="1"/>
  <c r="AA16" i="1" s="1"/>
  <c r="AH16" i="1" s="1"/>
  <c r="L16" i="1"/>
  <c r="AV15" i="1"/>
  <c r="AU15" i="1"/>
  <c r="AT15" i="1"/>
  <c r="M15" i="1"/>
  <c r="AA15" i="1" s="1"/>
  <c r="AG15" i="1" s="1"/>
  <c r="L15" i="1"/>
  <c r="AV14" i="1"/>
  <c r="AU14" i="1"/>
  <c r="AC14" i="1"/>
  <c r="M14" i="1"/>
  <c r="AA14" i="1" s="1"/>
  <c r="AH14" i="1" s="1"/>
  <c r="L14" i="1"/>
  <c r="AV13" i="1"/>
  <c r="AU13" i="1"/>
  <c r="M13" i="1"/>
  <c r="AA13" i="1" s="1"/>
  <c r="AH13" i="1" s="1"/>
  <c r="L13" i="1"/>
  <c r="AV12" i="1"/>
  <c r="AU12" i="1"/>
  <c r="AC12" i="1"/>
  <c r="AT12" i="1" s="1"/>
  <c r="M12" i="1"/>
  <c r="AA12" i="1" s="1"/>
  <c r="AH12" i="1" s="1"/>
  <c r="L12" i="1"/>
  <c r="AV11" i="1"/>
  <c r="AU11" i="1"/>
  <c r="M11" i="1"/>
  <c r="AA11" i="1" s="1"/>
  <c r="AH11" i="1" s="1"/>
  <c r="L11" i="1"/>
  <c r="AV10" i="1"/>
  <c r="AU10" i="1"/>
  <c r="AC10" i="1"/>
  <c r="AT10" i="1" s="1"/>
  <c r="M10" i="1"/>
  <c r="AA10" i="1" s="1"/>
  <c r="L10" i="1"/>
  <c r="AV9" i="1"/>
  <c r="AU9" i="1"/>
  <c r="AC9" i="1"/>
  <c r="AT9" i="1" s="1"/>
  <c r="M9" i="1"/>
  <c r="AA9" i="1" s="1"/>
  <c r="AH9" i="1" s="1"/>
  <c r="L9" i="1"/>
  <c r="AV8" i="1"/>
  <c r="AU8" i="1"/>
  <c r="M8" i="1"/>
  <c r="AA8" i="1" s="1"/>
  <c r="AB8" i="1" s="1"/>
  <c r="AC8" i="1" s="1"/>
  <c r="L8" i="1"/>
  <c r="AV7" i="1"/>
  <c r="AU7" i="1"/>
  <c r="M7" i="1"/>
  <c r="AA7" i="1" s="1"/>
  <c r="AB7" i="1" s="1"/>
  <c r="AC7" i="1" s="1"/>
  <c r="L7" i="1"/>
  <c r="AV6" i="1"/>
  <c r="AU6" i="1"/>
  <c r="M6" i="1"/>
  <c r="AA6" i="1" s="1"/>
  <c r="AB6" i="1" s="1"/>
  <c r="L6" i="1"/>
  <c r="AU5" i="1"/>
  <c r="AR5" i="1"/>
  <c r="AQ5" i="1"/>
  <c r="AP5" i="1"/>
  <c r="AO5" i="1"/>
  <c r="AN5" i="1"/>
  <c r="AM5" i="1"/>
  <c r="AL5" i="1"/>
  <c r="AK5" i="1"/>
  <c r="AJ5" i="1"/>
  <c r="AI5" i="1"/>
  <c r="AE5" i="1"/>
  <c r="AD5" i="1"/>
  <c r="Z5" i="1"/>
  <c r="Y5" i="1"/>
  <c r="X5" i="1"/>
  <c r="W5" i="1"/>
  <c r="V5" i="1"/>
  <c r="U5" i="1"/>
  <c r="T5" i="1"/>
  <c r="S5" i="1"/>
  <c r="R5" i="1"/>
  <c r="Q5" i="1"/>
  <c r="O5" i="1"/>
  <c r="N5" i="1"/>
  <c r="K5" i="1"/>
  <c r="F5" i="1"/>
  <c r="AB13" i="1" l="1"/>
  <c r="AC13" i="1" s="1"/>
  <c r="AG13" i="1" s="1"/>
  <c r="AB36" i="1"/>
  <c r="AC36" i="1" s="1"/>
  <c r="AG36" i="1" s="1"/>
  <c r="AB44" i="1"/>
  <c r="AC44" i="1" s="1"/>
  <c r="AG44" i="1" s="1"/>
  <c r="AB89" i="1"/>
  <c r="AC89" i="1" s="1"/>
  <c r="AB111" i="1"/>
  <c r="AC111" i="1" s="1"/>
  <c r="AG111" i="1" s="1"/>
  <c r="AB63" i="1"/>
  <c r="AC63" i="1" s="1"/>
  <c r="AH63" i="1"/>
  <c r="AB73" i="1"/>
  <c r="AC73" i="1" s="1"/>
  <c r="AH73" i="1"/>
  <c r="AB80" i="1"/>
  <c r="AC80" i="1" s="1"/>
  <c r="AH80" i="1"/>
  <c r="AV5" i="1"/>
  <c r="AB16" i="1"/>
  <c r="AC16" i="1" s="1"/>
  <c r="AG16" i="1" s="1"/>
  <c r="AB38" i="1"/>
  <c r="AC38" i="1" s="1"/>
  <c r="AG38" i="1" s="1"/>
  <c r="AB42" i="1"/>
  <c r="AC42" i="1" s="1"/>
  <c r="AG42" i="1" s="1"/>
  <c r="AB54" i="1"/>
  <c r="AC54" i="1" s="1"/>
  <c r="AG54" i="1" s="1"/>
  <c r="AB91" i="1"/>
  <c r="AC91" i="1" s="1"/>
  <c r="AH94" i="1"/>
  <c r="AB99" i="1"/>
  <c r="AC99" i="1" s="1"/>
  <c r="AT99" i="1" s="1"/>
  <c r="AB109" i="1"/>
  <c r="AC109" i="1" s="1"/>
  <c r="AT111" i="1"/>
  <c r="AT7" i="1"/>
  <c r="AG7" i="1"/>
  <c r="AH10" i="1"/>
  <c r="AT23" i="1"/>
  <c r="AG23" i="1"/>
  <c r="AT31" i="1"/>
  <c r="AG31" i="1"/>
  <c r="AT47" i="1"/>
  <c r="AG47" i="1"/>
  <c r="AT59" i="1"/>
  <c r="AG59" i="1"/>
  <c r="AC6" i="1"/>
  <c r="AT8" i="1"/>
  <c r="AG8" i="1"/>
  <c r="AT19" i="1"/>
  <c r="AG19" i="1"/>
  <c r="AT49" i="1"/>
  <c r="AG49" i="1"/>
  <c r="AT57" i="1"/>
  <c r="AG57" i="1"/>
  <c r="AH6" i="1"/>
  <c r="AH7" i="1"/>
  <c r="AH8" i="1"/>
  <c r="AG9" i="1"/>
  <c r="AG12" i="1"/>
  <c r="AT13" i="1"/>
  <c r="AT18" i="1"/>
  <c r="AG18" i="1"/>
  <c r="AH19" i="1"/>
  <c r="AT22" i="1"/>
  <c r="AG22" i="1"/>
  <c r="AH23" i="1"/>
  <c r="AT28" i="1"/>
  <c r="AT30" i="1"/>
  <c r="AG30" i="1"/>
  <c r="AH31" i="1"/>
  <c r="AT32" i="1"/>
  <c r="AG32" i="1"/>
  <c r="AG33" i="1"/>
  <c r="AT34" i="1"/>
  <c r="AG34" i="1"/>
  <c r="AG35" i="1"/>
  <c r="AT36" i="1"/>
  <c r="AT38" i="1"/>
  <c r="AT40" i="1"/>
  <c r="AT44" i="1"/>
  <c r="AT46" i="1"/>
  <c r="AG46" i="1"/>
  <c r="AH47" i="1"/>
  <c r="AT48" i="1"/>
  <c r="AG48" i="1"/>
  <c r="AH49" i="1"/>
  <c r="AT54" i="1"/>
  <c r="AT56" i="1"/>
  <c r="AG56" i="1"/>
  <c r="AH57" i="1"/>
  <c r="AT58" i="1"/>
  <c r="AG58" i="1"/>
  <c r="AH59" i="1"/>
  <c r="AT60" i="1"/>
  <c r="AG60" i="1"/>
  <c r="AH61" i="1"/>
  <c r="AB61" i="1"/>
  <c r="AC61" i="1" s="1"/>
  <c r="AT62" i="1"/>
  <c r="AG62" i="1"/>
  <c r="AT67" i="1"/>
  <c r="AG67" i="1"/>
  <c r="AT69" i="1"/>
  <c r="AG69" i="1"/>
  <c r="AH71" i="1"/>
  <c r="AB71" i="1"/>
  <c r="AC71" i="1" s="1"/>
  <c r="AT72" i="1"/>
  <c r="AG72" i="1"/>
  <c r="AT74" i="1"/>
  <c r="AG74" i="1"/>
  <c r="AH78" i="1"/>
  <c r="AB78" i="1"/>
  <c r="AC78" i="1" s="1"/>
  <c r="AT79" i="1"/>
  <c r="AG79" i="1"/>
  <c r="AG84" i="1"/>
  <c r="AT85" i="1"/>
  <c r="AG85" i="1"/>
  <c r="AH92" i="1"/>
  <c r="AB92" i="1"/>
  <c r="AC92" i="1" s="1"/>
  <c r="AG98" i="1"/>
  <c r="AG99" i="1"/>
  <c r="AH112" i="1"/>
  <c r="AB112" i="1"/>
  <c r="AC112" i="1" s="1"/>
  <c r="AG10" i="1"/>
  <c r="AB11" i="1"/>
  <c r="AC11" i="1" s="1"/>
  <c r="AT14" i="1"/>
  <c r="AG14" i="1"/>
  <c r="AH15" i="1"/>
  <c r="AB15" i="1"/>
  <c r="AB17" i="1"/>
  <c r="AC17" i="1" s="1"/>
  <c r="AG20" i="1"/>
  <c r="AT21" i="1"/>
  <c r="AG21" i="1"/>
  <c r="AH22" i="1"/>
  <c r="AG24" i="1"/>
  <c r="AT25" i="1"/>
  <c r="AG25" i="1"/>
  <c r="AG26" i="1"/>
  <c r="AB27" i="1"/>
  <c r="AC27" i="1" s="1"/>
  <c r="AT29" i="1"/>
  <c r="AG29" i="1"/>
  <c r="AH30" i="1"/>
  <c r="AH32" i="1"/>
  <c r="AB37" i="1"/>
  <c r="AC37" i="1" s="1"/>
  <c r="AB39" i="1"/>
  <c r="AC39" i="1" s="1"/>
  <c r="AB41" i="1"/>
  <c r="AC41" i="1" s="1"/>
  <c r="AB43" i="1"/>
  <c r="AC43" i="1" s="1"/>
  <c r="AT45" i="1"/>
  <c r="AG45" i="1"/>
  <c r="AH46" i="1"/>
  <c r="AH48" i="1"/>
  <c r="AG50" i="1"/>
  <c r="AT51" i="1"/>
  <c r="AG51" i="1"/>
  <c r="AG52" i="1"/>
  <c r="AB53" i="1"/>
  <c r="AC53" i="1" s="1"/>
  <c r="AT55" i="1"/>
  <c r="AG55" i="1"/>
  <c r="AH56" i="1"/>
  <c r="AH58" i="1"/>
  <c r="AH60" i="1"/>
  <c r="AT63" i="1"/>
  <c r="AG63" i="1"/>
  <c r="AH65" i="1"/>
  <c r="AB65" i="1"/>
  <c r="AC65" i="1" s="1"/>
  <c r="AT66" i="1"/>
  <c r="AG66" i="1"/>
  <c r="AH67" i="1"/>
  <c r="AT68" i="1"/>
  <c r="AG68" i="1"/>
  <c r="AH69" i="1"/>
  <c r="AT73" i="1"/>
  <c r="AG73" i="1"/>
  <c r="L75" i="1"/>
  <c r="L5" i="1" s="1"/>
  <c r="M75" i="1"/>
  <c r="AA75" i="1" s="1"/>
  <c r="AT80" i="1"/>
  <c r="AG80" i="1"/>
  <c r="AG88" i="1"/>
  <c r="AG89" i="1"/>
  <c r="AT89" i="1"/>
  <c r="AT93" i="1"/>
  <c r="AG93" i="1"/>
  <c r="AB102" i="1"/>
  <c r="AC102" i="1" s="1"/>
  <c r="AH102" i="1"/>
  <c r="AG108" i="1"/>
  <c r="AG109" i="1"/>
  <c r="AT109" i="1"/>
  <c r="AG113" i="1"/>
  <c r="AT113" i="1"/>
  <c r="AG64" i="1"/>
  <c r="AH68" i="1"/>
  <c r="AG70" i="1"/>
  <c r="AH74" i="1"/>
  <c r="AT76" i="1"/>
  <c r="AG76" i="1"/>
  <c r="AG77" i="1"/>
  <c r="AH82" i="1"/>
  <c r="AB82" i="1"/>
  <c r="AC82" i="1" s="1"/>
  <c r="AT83" i="1"/>
  <c r="AG83" i="1"/>
  <c r="AG86" i="1"/>
  <c r="AT87" i="1"/>
  <c r="AG87" i="1"/>
  <c r="AH90" i="1"/>
  <c r="AB90" i="1"/>
  <c r="AC90" i="1" s="1"/>
  <c r="AT94" i="1"/>
  <c r="AG94" i="1"/>
  <c r="AT97" i="1"/>
  <c r="AG97" i="1"/>
  <c r="AH100" i="1"/>
  <c r="AB100" i="1"/>
  <c r="AC100" i="1" s="1"/>
  <c r="AT101" i="1"/>
  <c r="AG101" i="1"/>
  <c r="AT107" i="1"/>
  <c r="AG107" i="1"/>
  <c r="AH110" i="1"/>
  <c r="AB110" i="1"/>
  <c r="AC110" i="1" s="1"/>
  <c r="AG81" i="1"/>
  <c r="AG95" i="1"/>
  <c r="AT96" i="1"/>
  <c r="AG96" i="1"/>
  <c r="AH97" i="1"/>
  <c r="AG103" i="1"/>
  <c r="AT104" i="1"/>
  <c r="AG104" i="1"/>
  <c r="AG105" i="1"/>
  <c r="AT106" i="1"/>
  <c r="AG106" i="1"/>
  <c r="AH107" i="1"/>
  <c r="AT114" i="1"/>
  <c r="AG114" i="1"/>
  <c r="AT42" i="1" l="1"/>
  <c r="AT16" i="1"/>
  <c r="AG91" i="1"/>
  <c r="AT91" i="1"/>
  <c r="AT82" i="1"/>
  <c r="AG82" i="1"/>
  <c r="AT53" i="1"/>
  <c r="AG53" i="1"/>
  <c r="AT41" i="1"/>
  <c r="AG41" i="1"/>
  <c r="AT37" i="1"/>
  <c r="AG37" i="1"/>
  <c r="AT17" i="1"/>
  <c r="AG17" i="1"/>
  <c r="AT112" i="1"/>
  <c r="AG112" i="1"/>
  <c r="AT78" i="1"/>
  <c r="AG78" i="1"/>
  <c r="AT71" i="1"/>
  <c r="AG71" i="1"/>
  <c r="AT61" i="1"/>
  <c r="AG61" i="1"/>
  <c r="AT110" i="1"/>
  <c r="AG110" i="1"/>
  <c r="AT100" i="1"/>
  <c r="AG100" i="1"/>
  <c r="AT90" i="1"/>
  <c r="AG90" i="1"/>
  <c r="AT102" i="1"/>
  <c r="AG102" i="1"/>
  <c r="AH75" i="1"/>
  <c r="AB75" i="1"/>
  <c r="AC75" i="1" s="1"/>
  <c r="AT65" i="1"/>
  <c r="AG65" i="1"/>
  <c r="AT43" i="1"/>
  <c r="AG43" i="1"/>
  <c r="AT39" i="1"/>
  <c r="AG39" i="1"/>
  <c r="AT27" i="1"/>
  <c r="AG27" i="1"/>
  <c r="AT11" i="1"/>
  <c r="AG11" i="1"/>
  <c r="M5" i="1"/>
  <c r="AT92" i="1"/>
  <c r="AG92" i="1"/>
  <c r="AT6" i="1"/>
  <c r="AG6" i="1"/>
  <c r="AC5" i="1"/>
  <c r="AA5" i="1"/>
  <c r="AG75" i="1" l="1"/>
  <c r="AT75" i="1"/>
  <c r="AT5" i="1" s="1"/>
  <c r="AB5" i="1"/>
</calcChain>
</file>

<file path=xl/sharedStrings.xml><?xml version="1.0" encoding="utf-8"?>
<sst xmlns="http://schemas.openxmlformats.org/spreadsheetml/2006/main" count="528" uniqueCount="386">
  <si>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</si>
  <si>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</si>
  <si>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</si>
  <si>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</si>
  <si>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</si>
  <si>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</si>
  <si>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</si>
  <si>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</si>
  <si>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</si>
  <si>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</si>
  <si>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</si>
  <si>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</si>
  <si>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</si>
  <si>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</si>
  <si>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</si>
  <si>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</si>
  <si>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SU</t>
  </si>
  <si>
    <t>ср нов</t>
  </si>
  <si>
    <t>расчет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</si>
  <si>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</si>
  <si>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</si>
  <si>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</si>
  <si>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</si>
  <si>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</si>
  <si>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</si>
  <si>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</si>
  <si>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брак</t>
  </si>
  <si>
    <t>13,07,</t>
  </si>
  <si>
    <t>13,07,(2)</t>
  </si>
  <si>
    <t>14,07,</t>
  </si>
  <si>
    <t>18,07,</t>
  </si>
  <si>
    <t>18,07,(дозаказ)</t>
  </si>
  <si>
    <t>19,07,</t>
  </si>
  <si>
    <t>19,07,(недогруз)</t>
  </si>
  <si>
    <t>19,07,(дозаказ)</t>
  </si>
  <si>
    <t>20,07,(дозаказ)</t>
  </si>
  <si>
    <t>20,07,(недогруз)</t>
  </si>
  <si>
    <t>16,07,</t>
  </si>
  <si>
    <t>20,07,</t>
  </si>
  <si>
    <t>21,07,</t>
  </si>
  <si>
    <t>21,07,(2)</t>
  </si>
  <si>
    <t>Хмель</t>
  </si>
  <si>
    <t>09,07,</t>
  </si>
  <si>
    <t>07,07,</t>
  </si>
  <si>
    <t>02,07,</t>
  </si>
  <si>
    <t>30,06,</t>
  </si>
  <si>
    <t>25,06,</t>
  </si>
  <si>
    <t>23,06,</t>
  </si>
  <si>
    <t>26,05,</t>
  </si>
  <si>
    <t>02,06,</t>
  </si>
  <si>
    <t>09,06,</t>
  </si>
  <si>
    <t xml:space="preserve"> 005  Колбаса Докторская ГОСТ, Вязанка вектор,ВЕС. ПОКОМ</t>
  </si>
  <si>
    <t>кг</t>
  </si>
  <si>
    <t>P003011</t>
  </si>
  <si>
    <t>SU000722</t>
  </si>
  <si>
    <t xml:space="preserve"> 016  Сосиски Вязанка Молочные, Вязанка вискофан  ВЕС.ПОКОМ</t>
  </si>
  <si>
    <t>P003986</t>
  </si>
  <si>
    <t>SU001523</t>
  </si>
  <si>
    <t xml:space="preserve"> 017  Сосиски Вязанка Сливочные, Вязанка амицел ВЕС.ПОКОМ</t>
  </si>
  <si>
    <t>P003988</t>
  </si>
  <si>
    <t>SU001721</t>
  </si>
  <si>
    <t xml:space="preserve"> 023  Колбаса Докторская ГОСТ, Вязанка вектор, 0,4 кг, ПОКОМ</t>
  </si>
  <si>
    <t>шт</t>
  </si>
  <si>
    <t>P003008</t>
  </si>
  <si>
    <t>19 шт списано (12,07,26)</t>
  </si>
  <si>
    <t>SU001485</t>
  </si>
  <si>
    <t xml:space="preserve"> 030  Сосиски Вязанка Молочные, Вязанка вискофан МГС, 0.45кг, ПОКОМ</t>
  </si>
  <si>
    <t>ВНИМАНИЕ / P003985</t>
  </si>
  <si>
    <t>1000шт под ЮТЛ (Хмель 15,07,26)</t>
  </si>
  <si>
    <t>SU001718</t>
  </si>
  <si>
    <t xml:space="preserve"> 032  Сосиски Вязанка Сливочные, Вязанка амицел МГС, 0.45кг, ПОКОМ</t>
  </si>
  <si>
    <t>P003989</t>
  </si>
  <si>
    <t>SU001720</t>
  </si>
  <si>
    <t xml:space="preserve"> 047  Кол Баварская, белков.обол. в термоусад. пакете 0.17 кг, ТМ Стародворье  ПОКОМ</t>
  </si>
  <si>
    <t>P002290</t>
  </si>
  <si>
    <t>SU002092</t>
  </si>
  <si>
    <t xml:space="preserve"> 062  Колбаса Кракушка пряная с сальцем, 0.3кг в/у п/к, БАВАРУШКА ПОКОМ</t>
  </si>
  <si>
    <t>P002461</t>
  </si>
  <si>
    <t>SU002252</t>
  </si>
  <si>
    <t xml:space="preserve"> 083  Колбаса Швейцарская 0,17 кг., ШТ., сырокопченая   ПОКОМ</t>
  </si>
  <si>
    <t>P001909</t>
  </si>
  <si>
    <t>SU001869</t>
  </si>
  <si>
    <t xml:space="preserve"> 200  Ветчина Дугушка ТМ Стародворье, вектор в/у    ПОКОМ</t>
  </si>
  <si>
    <t>P004460</t>
  </si>
  <si>
    <t>SU002035</t>
  </si>
  <si>
    <t xml:space="preserve"> 201  Ветчина Нежная ТМ Особый рецепт, (2,5кг), ПОКОМ</t>
  </si>
  <si>
    <t>P002555</t>
  </si>
  <si>
    <t>SU000126</t>
  </si>
  <si>
    <t xml:space="preserve"> 215  Колбаса Докторская ГОСТ Дугушка, ВЕС, ТМ Стародворье ПОКОМ</t>
  </si>
  <si>
    <t>P004028</t>
  </si>
  <si>
    <t>SU002011</t>
  </si>
  <si>
    <t xml:space="preserve"> 226  Колбаса Княжеская, с/к белков.обол в термоусад. пакете, ВЕС, ТМ Стародворье ПОКОМ</t>
  </si>
  <si>
    <t>P001900</t>
  </si>
  <si>
    <t>SU001920</t>
  </si>
  <si>
    <t xml:space="preserve"> 229  Колбаса Молочная Дугушка, в/у, ВЕС, ТМ Стародворье   ПОКОМ</t>
  </si>
  <si>
    <t>P004030</t>
  </si>
  <si>
    <t>SU002010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</si>
  <si>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</si>
  <si>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</si>
  <si>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</si>
  <si>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</si>
  <si>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</si>
  <si>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P004465</t>
  </si>
  <si>
    <t>SU002150</t>
  </si>
  <si>
    <t xml:space="preserve"> 239  Колбаса Салями запеч Дугушка, оболочка вектор, ВЕС, ТМ Стародворье  ПОКОМ</t>
  </si>
  <si>
    <t>P004466</t>
  </si>
  <si>
    <t>SU002158</t>
  </si>
  <si>
    <t xml:space="preserve"> 242  Колбаса Сервелат ЗАПЕЧ.Дугушка ТМ Стародворье, вектор, в/к     ПОКОМ</t>
  </si>
  <si>
    <t>P004470</t>
  </si>
  <si>
    <t>SU002151</t>
  </si>
  <si>
    <t xml:space="preserve"> 244  Колбаса Сервелат Кремлевский, ВЕС. ПОКОМ</t>
  </si>
  <si>
    <t>P003013</t>
  </si>
  <si>
    <t>SU001822</t>
  </si>
  <si>
    <t xml:space="preserve"> 250  Сардельки стародворские с говядиной в обол. NDX, ВЕС. ПОКОМ</t>
  </si>
  <si>
    <t>P002536</t>
  </si>
  <si>
    <t>2000кг плюсом (Рекуто 15,07,26) / 3500кг БРАК!!!</t>
  </si>
  <si>
    <t>SU000227</t>
  </si>
  <si>
    <t xml:space="preserve"> 253  Сосиски Ганноверские   ПОКОМ</t>
  </si>
  <si>
    <t>P002209</t>
  </si>
  <si>
    <t>SU001340</t>
  </si>
  <si>
    <t xml:space="preserve"> 255  Сосиски Молочные для завтрака ТМ Особый рецепт, п/а МГС, ВЕС, ТМ Стародворье  ПОКОМ</t>
  </si>
  <si>
    <t>P004844</t>
  </si>
  <si>
    <t>SU002074</t>
  </si>
  <si>
    <t xml:space="preserve"> 273  Сосиски Сочинки с сочной грудинкой, МГС 0.4кг,   ПОКОМ</t>
  </si>
  <si>
    <t>P003957</t>
  </si>
  <si>
    <t>SU002618</t>
  </si>
  <si>
    <t xml:space="preserve"> 276  Колбаса Сливушка ТМ Вязанка в оболочке полиамид 0,45 кг  ПОКОМ</t>
  </si>
  <si>
    <t>ВНИМАНИЕ / P003103</t>
  </si>
  <si>
    <t>нужно увеличить продажи / 710шт под клиента отгрузили 02,07,26</t>
  </si>
  <si>
    <t>SU002734</t>
  </si>
  <si>
    <t xml:space="preserve"> 278  Сосиски Сочинки с сочным окороком, МГС 0.4кг,   ПОКОМ</t>
  </si>
  <si>
    <t>P003958</t>
  </si>
  <si>
    <t>SU002621</t>
  </si>
  <si>
    <t xml:space="preserve"> 281  Сосиски Молочные для завтрака ТМ Особый рецепт, 0,4кг  ПОКОМ</t>
  </si>
  <si>
    <t>P005198</t>
  </si>
  <si>
    <t>SU002205</t>
  </si>
  <si>
    <t xml:space="preserve"> 285  Паштет печеночный со слив.маслом ТМ Стародворье ламистер 0,1 кг  ПОКОМ</t>
  </si>
  <si>
    <t>P002648</t>
  </si>
  <si>
    <t>SU002368</t>
  </si>
  <si>
    <t xml:space="preserve"> 296  Колбаса Мясорубская с рубленой грудинкой 0,35кг срез ТМ Стародворье  ПОКОМ</t>
  </si>
  <si>
    <t>P003256</t>
  </si>
  <si>
    <t>SU002660</t>
  </si>
  <si>
    <t xml:space="preserve"> 297  Колбаса Мясорубская с рубленой грудинкой ВЕС ТМ Стародворье  ПОКОМ</t>
  </si>
  <si>
    <t>P003179</t>
  </si>
  <si>
    <t>нужно увеличить продажи</t>
  </si>
  <si>
    <t>SU002756</t>
  </si>
  <si>
    <t xml:space="preserve"> 301  Сосиски Сочинки по-баварски с сыром,  0.4кг, ТМ Стародворье  ПОКОМ</t>
  </si>
  <si>
    <t>P003475</t>
  </si>
  <si>
    <t>SU002801</t>
  </si>
  <si>
    <t xml:space="preserve"> 302  Сосиски Сочинки по-баварски,  0.4кг, ТМ Стародворье  ПОКОМ</t>
  </si>
  <si>
    <t>P003217</t>
  </si>
  <si>
    <t>SU002799</t>
  </si>
  <si>
    <t xml:space="preserve"> 305  Колбаса Сервелат Мясорубский с мелкорубленным окороком в/у  ТМ Стародворье ВЕС   ПОКОМ</t>
  </si>
  <si>
    <t>P003259</t>
  </si>
  <si>
    <t>SU002847</t>
  </si>
  <si>
    <t xml:space="preserve"> 307  Колбаса Сервелат Мясорубский с мелкорубленным окороком 0,35 кг срез ТМ Стародворье   Поком</t>
  </si>
  <si>
    <t>ВНИМАНИЕ / P003260</t>
  </si>
  <si>
    <t>17,07,26 уменьшить до 200 шт (Хмель) / 15,07,26 уменьшить до 200 шт (Хмель)</t>
  </si>
  <si>
    <t>SU002848</t>
  </si>
  <si>
    <t xml:space="preserve"> 309  Сосиски Сочинки с сыром 0,4 кг ТМ Стародворье  ПОКОМ</t>
  </si>
  <si>
    <t>P004178</t>
  </si>
  <si>
    <t>SU002686</t>
  </si>
  <si>
    <t xml:space="preserve"> 312  Ветчина Филейская ВЕС ТМ  Вязанка ТС Столичная  ПОКОМ</t>
  </si>
  <si>
    <t>P003234</t>
  </si>
  <si>
    <t>SU002828</t>
  </si>
  <si>
    <t xml:space="preserve"> 315  Колбаса вареная Молокуша ТМ Вязанка ВЕС, ПОКОМ</t>
  </si>
  <si>
    <t>P003239</t>
  </si>
  <si>
    <t>SU002830</t>
  </si>
  <si>
    <t xml:space="preserve"> 319  Колбаса вареная Филейская ТМ Вязанка ТС Классическая, 0,45 кг. ПОКОМ</t>
  </si>
  <si>
    <t>P003227</t>
  </si>
  <si>
    <t>SU002815</t>
  </si>
  <si>
    <t xml:space="preserve"> 322  Колбаса вареная Молокуша 0,45кг ТМ Вязанка  ПОКОМ</t>
  </si>
  <si>
    <t>P003228</t>
  </si>
  <si>
    <t>SU002816</t>
  </si>
  <si>
    <t xml:space="preserve"> 329  Сардельки Сочинки с сыром Стародворье ТМ, 0,4 кг. ПОКОМ</t>
  </si>
  <si>
    <t>P003961</t>
  </si>
  <si>
    <t>SU002759</t>
  </si>
  <si>
    <t xml:space="preserve"> 330  Колбаса вареная Филейская ТМ Вязанка ТС Классическая ВЕС  ПОКОМ</t>
  </si>
  <si>
    <t>P003235</t>
  </si>
  <si>
    <t>SU002829</t>
  </si>
  <si>
    <t xml:space="preserve"> 334  Паштет Любительский ТМ Стародворье ламистер 0,1 кг  ПОКОМ</t>
  </si>
  <si>
    <t>P003253</t>
  </si>
  <si>
    <t>SU002841</t>
  </si>
  <si>
    <t xml:space="preserve"> 335  Колбаса Сливушка ТМ Вязанка. ВЕС.  ПОКОМ </t>
  </si>
  <si>
    <t>P003357</t>
  </si>
  <si>
    <t>SU002928</t>
  </si>
  <si>
    <t xml:space="preserve"> 336  Ветчина Сливушка с индейкой ТМ Вязанка. ВЕС  ПОКОМ</t>
  </si>
  <si>
    <t>P004607</t>
  </si>
  <si>
    <t>SU002833</t>
  </si>
  <si>
    <t xml:space="preserve"> 338  Паштет печеночный с морковью ТМ Стародворье ламистер 0,1 кг.  ПОКОМ</t>
  </si>
  <si>
    <t>P003252</t>
  </si>
  <si>
    <t>SU002840</t>
  </si>
  <si>
    <t xml:space="preserve"> 339  Колбаса вареная Филейская ТМ Вязанка ТС Классическая, 0,40 кг.  ПОКОМ</t>
  </si>
  <si>
    <t>P003243</t>
  </si>
  <si>
    <t>SU002831</t>
  </si>
  <si>
    <t xml:space="preserve"> 340  Сосиски Сочинки Молочные ТМ Стародворье, ВЕС ПОКОМ</t>
  </si>
  <si>
    <t>P003263</t>
  </si>
  <si>
    <t>SU002843</t>
  </si>
  <si>
    <t xml:space="preserve"> 341 Сосиски Сочинки Сливочные ТМ Стародворье ВЕС ПОКОМ</t>
  </si>
  <si>
    <t>P003266</t>
  </si>
  <si>
    <t>нужно увеличить продажи!!!</t>
  </si>
  <si>
    <t>SU002845</t>
  </si>
  <si>
    <t xml:space="preserve"> 342 Сосиски Сочинки Молочные ТМ Стародворье 0,4 кг ПОКОМ</t>
  </si>
  <si>
    <t>P003262</t>
  </si>
  <si>
    <t>SU002842</t>
  </si>
  <si>
    <t xml:space="preserve"> 343 Сосиски Сочинки Сливочные ТМ Стародворье  0,4 кг ПОКОМ</t>
  </si>
  <si>
    <t>P003265</t>
  </si>
  <si>
    <t>SU002844</t>
  </si>
  <si>
    <t xml:space="preserve"> 344  Колбаса Сочинка по-европейски с сочной грудинкой ТМ Стародворье, ВЕС ПОКОМ</t>
  </si>
  <si>
    <t>P003387</t>
  </si>
  <si>
    <t>SU002941</t>
  </si>
  <si>
    <t xml:space="preserve"> 345  Колбаса Сочинка по-фински с сочным окроком ТМ Стародворье ВЕС ПОКОМ</t>
  </si>
  <si>
    <t>P003401</t>
  </si>
  <si>
    <t>SU002943</t>
  </si>
  <si>
    <t xml:space="preserve"> 346  Колбаса Сочинка зернистая с сочной грудинкой ТМ Стародворье.ВЕС ПОКОМ</t>
  </si>
  <si>
    <t>P003383</t>
  </si>
  <si>
    <t>SU002945</t>
  </si>
  <si>
    <t xml:space="preserve"> 347  Колбаса Сочинка рубленая с сочным окороком ТМ Стародворье ВЕС ПОКОМ</t>
  </si>
  <si>
    <t>P003384</t>
  </si>
  <si>
    <t>SU002947</t>
  </si>
  <si>
    <t xml:space="preserve"> 364  Сардельки Филейские Вязанка ВЕС NDX ТМ Вязанка  ПОКОМ</t>
  </si>
  <si>
    <t>снизить запас / P003883</t>
  </si>
  <si>
    <t>убрать из заказа (Рекуто 15,07,26)</t>
  </si>
  <si>
    <t>SU002835</t>
  </si>
  <si>
    <t xml:space="preserve"> 376  Колбаса Докторская Дугушка 0,6кг ГОСТ ТМ Стародворье  ПОКОМ </t>
  </si>
  <si>
    <t>P004689</t>
  </si>
  <si>
    <t>SU002632</t>
  </si>
  <si>
    <t xml:space="preserve"> 377  Колбаса Молочная Дугушка 0,6кг ТМ Стародворье  ПОКОМ</t>
  </si>
  <si>
    <t>P004688</t>
  </si>
  <si>
    <t>SU002631</t>
  </si>
  <si>
    <t xml:space="preserve"> 394 Колбаса полукопченая Аль-Ислами халяль ТМ Вязанка оболочка фиброуз в в/у 0,35 кг  ПОКОМ</t>
  </si>
  <si>
    <t>P003439</t>
  </si>
  <si>
    <t>SU002985</t>
  </si>
  <si>
    <t xml:space="preserve"> 395  Колбаса Докторская ГОСТ ТМ Вязанка в оболочке полиамид 0,37 кг. ПОКОМ</t>
  </si>
  <si>
    <t>P003429</t>
  </si>
  <si>
    <t>SU002986</t>
  </si>
  <si>
    <t xml:space="preserve"> 397  Ветчина Дугушка ТМ Стародворье ТС Дугушка в полиамидной оболочке 0,6 кг. ПОКОМ</t>
  </si>
  <si>
    <t>ВНИМАНИЕ / P004923</t>
  </si>
  <si>
    <t>500шт под ЮТЛ (Хмель 15,07,26)</t>
  </si>
  <si>
    <t>SU002643</t>
  </si>
  <si>
    <t xml:space="preserve"> 405  Сардельки Сливушки ТМ Вязанка в оболочке айпил 0,33 кг. ПОКОМ</t>
  </si>
  <si>
    <t>P002644</t>
  </si>
  <si>
    <t>SU002367</t>
  </si>
  <si>
    <t xml:space="preserve"> 408  Ветчина Сливушка с индейкой ТМ Вязанка, 0,4кг  ПОКОМ</t>
  </si>
  <si>
    <t>P004586</t>
  </si>
  <si>
    <t>SU002735</t>
  </si>
  <si>
    <t xml:space="preserve"> 410  Сосиски Баварские с сыром ТМ Стародворье 0,35 кг. ПОКОМ</t>
  </si>
  <si>
    <t>P003364</t>
  </si>
  <si>
    <t>SU003168</t>
  </si>
  <si>
    <t xml:space="preserve"> 412  Сосиски Баварские ТМ Стародворье 0,35 кг ПОКОМ</t>
  </si>
  <si>
    <t>P003363</t>
  </si>
  <si>
    <t>SU003167</t>
  </si>
  <si>
    <t xml:space="preserve"> 430  Колбаса Стародворская с окороком 0,4 кг. ТМ Стародворье в оболочке полиамид  ПОКОМ</t>
  </si>
  <si>
    <t>P003947</t>
  </si>
  <si>
    <t>SU003272</t>
  </si>
  <si>
    <t xml:space="preserve"> 433 Колбаса Стародворская со шпиком  в оболочке полиамид. ТМ Стародворье ВЕС ПОКОМ</t>
  </si>
  <si>
    <t>P003950</t>
  </si>
  <si>
    <t>SU003275</t>
  </si>
  <si>
    <t xml:space="preserve"> 449  Колбаса Дугушка Стародворская ВЕС ТС Дугушка ПОКОМ</t>
  </si>
  <si>
    <t>P002989</t>
  </si>
  <si>
    <t>SU002634</t>
  </si>
  <si>
    <t xml:space="preserve"> 451 Сосиски Филейские ТМ Вязанка в оболочке целлофан 0,3 кг. ПОКОМ</t>
  </si>
  <si>
    <t>P004554</t>
  </si>
  <si>
    <t>SU002825</t>
  </si>
  <si>
    <t xml:space="preserve"> 452  Колбаса Со шпиком ВЕС большой батон ТМ Особый рецепт  ПОКОМ</t>
  </si>
  <si>
    <t>P004257</t>
  </si>
  <si>
    <t>SU003423</t>
  </si>
  <si>
    <t xml:space="preserve"> 456  Колбаса Филейная ТМ Особый рецепт ВЕС большой батон  ПОКОМ</t>
  </si>
  <si>
    <t>P004252</t>
  </si>
  <si>
    <t>SU003420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</si>
  <si>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</si>
  <si>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</si>
  <si>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</si>
  <si>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>SU003392</t>
  </si>
  <si>
    <t xml:space="preserve"> 485  Колбаса Молочная по-стародворски ТМ Стародворье в оболочке полиамид. ВЕС ПОКОМ </t>
  </si>
  <si>
    <t>не в матрице</t>
  </si>
  <si>
    <t xml:space="preserve"> 498  Колбаса Сочинка рубленая с сочным окороком 0,3кг ТМ Стародворье  ПОКОМ</t>
  </si>
  <si>
    <t>P003390</t>
  </si>
  <si>
    <t>SU002948</t>
  </si>
  <si>
    <t xml:space="preserve"> 517  Сосиски С сыром ТМ Ядрена копоть 0,3кг  ПОКОМ</t>
  </si>
  <si>
    <t>P004642</t>
  </si>
  <si>
    <t>SU003665</t>
  </si>
  <si>
    <t xml:space="preserve"> 523  Колбаса Сальчичон нарезка 0,07кг ТМ Стародворье  ПОКОМ </t>
  </si>
  <si>
    <t>P004978</t>
  </si>
  <si>
    <t>SU003893</t>
  </si>
  <si>
    <t xml:space="preserve"> 524  Колбаса Сервелат Ореховый нарезка 0,07кг ТМ Стародворье  ПОКОМ</t>
  </si>
  <si>
    <t>P004979</t>
  </si>
  <si>
    <t>SU003894</t>
  </si>
  <si>
    <t xml:space="preserve"> 525  Колбаса Фуэт нарезка 0,07кг ТМ Стародворье  ПОКОМ</t>
  </si>
  <si>
    <t>P004982</t>
  </si>
  <si>
    <t>SU003896</t>
  </si>
  <si>
    <t xml:space="preserve"> 526  Корейка вяленая выдержанная нарезка 0,05кг ТМ Стародворье  ПОКОМ</t>
  </si>
  <si>
    <t>P005023</t>
  </si>
  <si>
    <t>SU003925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</si>
  <si>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</si>
  <si>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</si>
  <si>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</si>
  <si>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>SU003924</t>
  </si>
  <si>
    <t xml:space="preserve"> 530  Окорок Хамон выдержанный нарезка 0,055кг ТМ Стародворье  ПОКОМ</t>
  </si>
  <si>
    <t>P005021</t>
  </si>
  <si>
    <t>SU003923</t>
  </si>
  <si>
    <t xml:space="preserve"> 544  Сосиски Мясные для гриля ТС Ядрена копоть 0,3 кг  ПОКОМ</t>
  </si>
  <si>
    <t>P005150</t>
  </si>
  <si>
    <t>SU004016</t>
  </si>
  <si>
    <t xml:space="preserve"> 547  Колбаса Мясная Классическая ТМ Вязанка в оболочке полиамид. ВЕС  ПОКОМ</t>
  </si>
  <si>
    <t>P005156</t>
  </si>
  <si>
    <t>SU004028</t>
  </si>
  <si>
    <t xml:space="preserve"> 551  Колбаса Сливушка ТМ Вязанка в модифицированной газовой среде 0,11 кг нарезка  ПОКОМ</t>
  </si>
  <si>
    <t>P004758</t>
  </si>
  <si>
    <t>SU003745</t>
  </si>
  <si>
    <t xml:space="preserve"> 553  Ассорти колбас Мясорубская коллекция: Сервелат Делюкс, С балыком 0,08 кг нарезка  ПОКОМ</t>
  </si>
  <si>
    <t>P005155</t>
  </si>
  <si>
    <t>SU004026</t>
  </si>
  <si>
    <t xml:space="preserve"> 554  Колбаса Сервелат Мясорубский ТМ Стародворье в упаковке скин 0,08 кг нарезка  ПОКОМ</t>
  </si>
  <si>
    <t>P003837</t>
  </si>
  <si>
    <t>SU003178</t>
  </si>
  <si>
    <t xml:space="preserve"> 555  Колбаса Молокуша ТМ Вязанка в модифицированной газовой среде 0,17 кг нарезка  ПОКОМ</t>
  </si>
  <si>
    <t>P002641</t>
  </si>
  <si>
    <t>SU002354</t>
  </si>
  <si>
    <t xml:space="preserve"> 556  Колбаса Сервелат Ореховый ТМ Вязанка в оболочке фиброуз в вакуумной упаковке, ВЕС  ПОКОМ</t>
  </si>
  <si>
    <t>P005376</t>
  </si>
  <si>
    <t>SU004044</t>
  </si>
  <si>
    <t xml:space="preserve"> 557  Колбаса Сервелат Финский ТМ Вязанка в оболочке фиброуз в вакуумной упаковке, ВЕС  ПОКОМ</t>
  </si>
  <si>
    <t>P005377</t>
  </si>
  <si>
    <t>SU004047</t>
  </si>
  <si>
    <t xml:space="preserve"> 558  Колбаса Балыковая НОВАЯ ВЕС Вязанка фиброуз в/у ПОКОМ</t>
  </si>
  <si>
    <t>P005375</t>
  </si>
  <si>
    <t>SU004041</t>
  </si>
  <si>
    <t xml:space="preserve"> 564  Сосиски Сочные 0,3 кг ТМ Вязанка  ПОКОМ</t>
  </si>
  <si>
    <t>P005187</t>
  </si>
  <si>
    <t>SU004053</t>
  </si>
  <si>
    <t xml:space="preserve"> 567 Колбаса Со шпиком Стародворская ТМ Стародворье в оболочке полиамид ВЕС  ПОКОМ</t>
  </si>
  <si>
    <t>P005136</t>
  </si>
  <si>
    <t>SU004007</t>
  </si>
  <si>
    <t xml:space="preserve"> 569  Колбаса Балыковая ТМ Вязанка в оболочке фиброуз в вакуумной упаковке 0,28 кг срез.  ПОКОМ</t>
  </si>
  <si>
    <t>P005163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</si>
  <si>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</si>
  <si>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</si>
  <si>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</si>
  <si>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</si>
  <si>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P005166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</si>
  <si>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</si>
  <si>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</si>
  <si>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</si>
  <si>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</si>
  <si>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</si>
  <si>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P005388</t>
  </si>
  <si>
    <t>SU004131</t>
  </si>
  <si>
    <t xml:space="preserve"> 580  Ветчина Нежная с индейкой ТМ Особый рецепт в оболочке полиамид.ВЕС  ПОКОМ</t>
  </si>
  <si>
    <t>P004675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</si>
  <si>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</si>
  <si>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</si>
  <si>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</si>
  <si>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</si>
  <si>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</si>
  <si>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>SU003988</t>
  </si>
  <si>
    <t xml:space="preserve"> 585  Колбаса Молочная ТМ Стародворье в оболочке вектор НД ВЕС.  ПОКОМ</t>
  </si>
  <si>
    <t>P004212</t>
  </si>
  <si>
    <t>нужно увеличить продажи!!! / 08,07,26 +350кг (задача от завода для ТК / просили 450кг)</t>
  </si>
  <si>
    <t>SU004103</t>
  </si>
  <si>
    <t xml:space="preserve"> 586  Колбаса Мясная ТМ Стародворье в оболочке вектор НД ВЕС.  ПОКОМ</t>
  </si>
  <si>
    <t>P005361</t>
  </si>
  <si>
    <t>SU004104</t>
  </si>
  <si>
    <t xml:space="preserve"> 588 Колбаса Со шпиком ТМ Стародворье в оболочке вектор ВЕС  ПОКОМ</t>
  </si>
  <si>
    <t>P005363</t>
  </si>
  <si>
    <t>нужно увеличить продажи!!! / 08,07,26 +250кг (задача от завода для ТК / просили 350кг)</t>
  </si>
  <si>
    <t>SU004106</t>
  </si>
  <si>
    <t xml:space="preserve"> 597  Колбаса Классическая ТМ Особый рецепт в оболочке полиамид ВЕС. ПОКОМ</t>
  </si>
  <si>
    <t>P005467</t>
  </si>
  <si>
    <t>вместо 219</t>
  </si>
  <si>
    <t>SU004238</t>
  </si>
  <si>
    <t>495  Колбаса Сочинка по-европейски с сочной грудинкой 0,3кг ТМ Стародворье  ПОКОМ</t>
  </si>
  <si>
    <t>P003386</t>
  </si>
  <si>
    <t>SU002944</t>
  </si>
  <si>
    <t>496  Колбаса Сочинка по-фински с сочным окроком 0,3кг ТМ Стародворье  ПОКОМ</t>
  </si>
  <si>
    <t>P003385</t>
  </si>
  <si>
    <t>SU002942</t>
  </si>
  <si>
    <t>503 Колбаса Филейская со шпиком ТМ Вязанка в оболочке полиамид.ПОКОМ</t>
  </si>
  <si>
    <t>P004621</t>
  </si>
  <si>
    <t>SU003642</t>
  </si>
  <si>
    <t>515  Колбаса Сервелат Мясорубский Делюкс 0,3кг ТМ Стародворье  ПОКОМ</t>
  </si>
  <si>
    <t>P004890</t>
  </si>
  <si>
    <t>SU003829</t>
  </si>
  <si>
    <t>519  Грудинка 0,12 кг нарезка ТМ Стародворье  ПОКОМ</t>
  </si>
  <si>
    <t>P005060</t>
  </si>
  <si>
    <t>SU003921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</si>
</sst>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2" fillId="0" borderId="1"/>
  </cellStyleXfs>
  <cellXfs count="28">
    <xf numFmtId="0" fontId="0" fillId="0" borderId="0" xfId="0" applyBorder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2" fontId="2" fillId="0" borderId="1" xfId="1" applyNumberFormat="1"/>
    <xf numFmtId="2" fontId="3" fillId="2" borderId="1" xfId="1" applyNumberFormat="1" applyFont="1" applyFill="1"/>
    <xf numFmtId="2" fontId="2" fillId="4" borderId="1" xfId="1" applyNumberFormat="1" applyFill="1"/>
    <xf numFmtId="164" fontId="2" fillId="4" borderId="2" xfId="1" applyNumberFormat="1" applyFill="1" applyBorder="1"/>
    <xf numFmtId="164" fontId="5" fillId="5" borderId="1" xfId="1" applyNumberFormat="1" applyFont="1" applyFill="1"/>
    <xf numFmtId="164" fontId="6" fillId="6" borderId="1" xfId="1" applyNumberFormat="1" applyFont="1" applyFill="1"/>
    <xf numFmtId="2" fontId="2" fillId="7" borderId="1" xfId="1" applyNumberFormat="1" applyFill="1"/>
    <xf numFmtId="164" fontId="2" fillId="7" borderId="2" xfId="1" applyNumberFormat="1" applyFill="1" applyBorder="1"/>
    <xf numFmtId="164" fontId="2" fillId="5" borderId="1" xfId="1" applyNumberFormat="1" applyFill="1"/>
    <xf numFmtId="165" fontId="2" fillId="0" borderId="1" xfId="1" applyNumberFormat="1"/>
    <xf numFmtId="164" fontId="2" fillId="8" borderId="1" xfId="1" applyNumberFormat="1" applyFill="1"/>
    <xf numFmtId="164" fontId="8" fillId="0" borderId="1" xfId="1" applyNumberFormat="1" applyFont="1"/>
    <xf numFmtId="164" fontId="8" fillId="3" borderId="1" xfId="1" applyNumberFormat="1" applyFont="1" applyFill="1"/>
    <xf numFmtId="164" fontId="8" fillId="7" borderId="1" xfId="1" applyNumberFormat="1" applyFont="1" applyFill="1"/>
    <xf numFmtId="164" fontId="8" fillId="4" borderId="1" xfId="1" applyNumberFormat="1" applyFont="1" applyFill="1"/>
    <xf numFmtId="0" fontId="7" fillId="0" borderId="1" xfId="0" applyFont="1"/>
    <xf numFmtId="164" fontId="2" fillId="0" borderId="1" xfId="1" applyNumberFormat="1"/>
    <xf numFmtId="164" fontId="9" fillId="2" borderId="1" xfId="1" applyNumberFormat="1" applyFont="1" applyFill="1"/>
    <xf numFmtId="164" fontId="2" fillId="4" borderId="1" xfId="1" applyNumberFormat="1" applyFill="1"/>
    <xf numFmtId="164" fontId="2" fillId="7" borderId="1" xfId="1" applyNumberFormat="1" applyFill="1"/>
    <xf numFmtId="0" fontId="1" fillId="0" borderId="1" xfId="0" applyFont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5;&#1077;&#1076;&#1086;&#1075;&#1088;&#1091;&#10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SU000126</v>
          </cell>
          <cell r="B1" t="str">
            <v>Ветчины Нежная Особая Особая Весовые П/а Особый рецепт большой батон</v>
          </cell>
          <cell r="C1">
            <v>1230</v>
          </cell>
          <cell r="D1">
            <v>1230</v>
          </cell>
        </row>
        <row r="2">
          <cell r="A2" t="str">
            <v>SU000227</v>
          </cell>
          <cell r="B2" t="str">
            <v>Сардельки «Стародворские с говядиной» Весовые NDX ТМ «Стародворье»</v>
          </cell>
          <cell r="C2">
            <v>405.6</v>
          </cell>
          <cell r="E2">
            <v>-405.6</v>
          </cell>
        </row>
        <row r="3">
          <cell r="A3" t="str">
            <v>SU000722</v>
          </cell>
          <cell r="B3" t="str">
            <v>Вареные колбасы Докторская ГОСТ Вязанка Весовые Вектор Вязанка</v>
          </cell>
          <cell r="C3">
            <v>140.4</v>
          </cell>
          <cell r="D3">
            <v>140.4</v>
          </cell>
        </row>
        <row r="4">
          <cell r="A4" t="str">
            <v>SU001523</v>
          </cell>
          <cell r="B4" t="str">
            <v>Сосиски «Молокуши (Вязанка Молочные)» Весовой п/а мгс ТМ «Вязанка»</v>
          </cell>
          <cell r="C4">
            <v>234.9</v>
          </cell>
          <cell r="D4">
            <v>234.9</v>
          </cell>
        </row>
        <row r="5">
          <cell r="A5" t="str">
            <v>SU001718</v>
          </cell>
          <cell r="B5" t="str">
            <v>Сосиски «Молокуши» ф/в 0,45 п/а мгс ТМ «Вязанка»</v>
          </cell>
          <cell r="C5">
            <v>450.9</v>
          </cell>
          <cell r="D5">
            <v>450.9</v>
          </cell>
        </row>
        <row r="6">
          <cell r="A6" t="str">
            <v>SU001720</v>
          </cell>
          <cell r="B6" t="str">
            <v>Сосиски «Сливочные» ф/в 0,45 п/а мгс ТМ «Вязанка»</v>
          </cell>
          <cell r="C6">
            <v>372.6</v>
          </cell>
          <cell r="D6">
            <v>372.6</v>
          </cell>
        </row>
        <row r="7">
          <cell r="A7" t="str">
            <v>SU001721</v>
          </cell>
          <cell r="B7" t="str">
            <v>Сосиски «Сливочные Вязанка» Весовой п/а мгс ТМ «Вязанка»</v>
          </cell>
          <cell r="C7">
            <v>1020.6</v>
          </cell>
          <cell r="D7">
            <v>1020.6</v>
          </cell>
        </row>
        <row r="8">
          <cell r="A8" t="str">
            <v>SU001920</v>
          </cell>
          <cell r="B8" t="str">
            <v>С/к колбасы Княжеская Бордо Весовые б/о терм/п Стародворье</v>
          </cell>
          <cell r="C8">
            <v>6.08</v>
          </cell>
          <cell r="D8">
            <v>6.08</v>
          </cell>
        </row>
        <row r="9">
          <cell r="A9" t="str">
            <v>SU002010</v>
          </cell>
          <cell r="B9" t="str">
            <v>Вареные колбасы «Молочная Дугушка» Весовые Вектор ТМ «Дугушка»</v>
          </cell>
          <cell r="C9">
            <v>1066.56</v>
          </cell>
          <cell r="D9">
            <v>1066.56</v>
          </cell>
        </row>
        <row r="10">
          <cell r="A10" t="str">
            <v>SU002011</v>
          </cell>
          <cell r="B10" t="str">
            <v>Вареные колбасы Докторская ГОСТ Дугушка Весовые Вектор Дугушка</v>
          </cell>
          <cell r="C10">
            <v>36.96</v>
          </cell>
          <cell r="D10">
            <v>36.96</v>
          </cell>
        </row>
        <row r="11">
          <cell r="A11" t="str">
            <v>SU002035</v>
          </cell>
          <cell r="B11" t="str">
            <v>Ветчины Дугушка Дугушка Вес б/о Дугушка</v>
          </cell>
          <cell r="C11">
            <v>802.56</v>
          </cell>
          <cell r="D11">
            <v>802.56</v>
          </cell>
        </row>
        <row r="12">
          <cell r="A12" t="str">
            <v>SU002074</v>
          </cell>
          <cell r="B12" t="str">
            <v>Сосиски «Молочные для завтрака» Весовой п/а ТМ «Особый рецепт»</v>
          </cell>
          <cell r="C12">
            <v>621</v>
          </cell>
          <cell r="E12">
            <v>-621</v>
          </cell>
        </row>
        <row r="13">
          <cell r="A13" t="str">
            <v>SU002092</v>
          </cell>
          <cell r="B13" t="str">
            <v>С/к колбасы Баварская Бавария Фикс.вес 0,17 б/о терм/п Стародворье</v>
          </cell>
          <cell r="C13">
            <v>2.5499999999999998</v>
          </cell>
          <cell r="D13">
            <v>2.5499999999999998</v>
          </cell>
        </row>
        <row r="14">
          <cell r="A14" t="str">
            <v>SU002151</v>
          </cell>
          <cell r="B14" t="str">
            <v>В/к колбасы «Сервелат Запеченный» Весовые Вектор ТМ «Дугушка»</v>
          </cell>
          <cell r="C14">
            <v>707.52</v>
          </cell>
          <cell r="D14">
            <v>707.52</v>
          </cell>
        </row>
        <row r="15">
          <cell r="A15" t="str">
            <v>SU002158</v>
          </cell>
          <cell r="B15" t="str">
            <v>В/к колбасы «Салями Запеченая» Весовые ТМ «Дугушка»</v>
          </cell>
          <cell r="C15">
            <v>438.24</v>
          </cell>
          <cell r="D15">
            <v>438.24</v>
          </cell>
        </row>
        <row r="16">
          <cell r="A16" t="str">
            <v>SU002205</v>
          </cell>
          <cell r="B16" t="str">
            <v>Сосиски «Молочные для завтрака» Фикс.вес 0,4 П/а мгс ТМ «Особый рецепт»</v>
          </cell>
          <cell r="C16">
            <v>208.8</v>
          </cell>
          <cell r="E16">
            <v>-208.8</v>
          </cell>
        </row>
        <row r="17">
          <cell r="A17" t="str">
            <v>SU002252</v>
          </cell>
          <cell r="B17" t="str">
            <v>П/к колбасы Кракушка пряная с сальцем Бавария Фикс.вес 0,3 н/о в/у Стародворье</v>
          </cell>
          <cell r="C17">
            <v>9</v>
          </cell>
          <cell r="D17">
            <v>9</v>
          </cell>
        </row>
        <row r="18">
          <cell r="A18" t="str">
            <v>SU002354</v>
          </cell>
          <cell r="B18" t="str">
            <v>Вареные колбасы «Молокуша» Фикс.вес 0,17 нарезка ТМ «Вязанка»</v>
          </cell>
          <cell r="C18">
            <v>11.9</v>
          </cell>
          <cell r="D18">
            <v>11.9</v>
          </cell>
        </row>
        <row r="19">
          <cell r="A19" t="str">
            <v>SU002367</v>
          </cell>
          <cell r="B19" t="str">
            <v>Сардельки «Сливушки» фикс.вес 0,33 п/а мгс ТМ «Вязанка»</v>
          </cell>
          <cell r="C19">
            <v>73.260000000000005</v>
          </cell>
          <cell r="D19">
            <v>73.260000000000005</v>
          </cell>
        </row>
        <row r="20">
          <cell r="A20" t="str">
            <v>SU002368</v>
          </cell>
          <cell r="B20" t="str">
            <v>Паштеты Со сливочным маслом ГОСТ Бордо фикс.вес 0,1 Стародворье</v>
          </cell>
          <cell r="C20">
            <v>24</v>
          </cell>
          <cell r="D20">
            <v>24</v>
          </cell>
        </row>
        <row r="21">
          <cell r="A21" t="str">
            <v>SU002618</v>
          </cell>
          <cell r="B21" t="str">
            <v>Сосиски «Сочинки с сочной грудинкой» Фикс.вес 0,4 П/а мгс ТМ «Стародворье»</v>
          </cell>
          <cell r="C21">
            <v>331.2</v>
          </cell>
          <cell r="D21">
            <v>331.2</v>
          </cell>
        </row>
        <row r="22">
          <cell r="A22" t="str">
            <v>SU002621</v>
          </cell>
          <cell r="B22" t="str">
            <v>Сосиски «Сочинки с сочным окороком» Фикс.вес 0,4 П/а мгс ТМ «Стародворье»</v>
          </cell>
          <cell r="C22">
            <v>67.2</v>
          </cell>
          <cell r="D22">
            <v>67.2</v>
          </cell>
        </row>
        <row r="23">
          <cell r="A23" t="str">
            <v>SU002631</v>
          </cell>
          <cell r="B23" t="str">
            <v>Вареные колбасы «Молочная Дугушка» Фикс.вес 0,6 П/а ТМ «Дугушка»</v>
          </cell>
          <cell r="C23">
            <v>168</v>
          </cell>
          <cell r="D23">
            <v>168</v>
          </cell>
        </row>
        <row r="24">
          <cell r="A24" t="str">
            <v>SU002632</v>
          </cell>
          <cell r="B24" t="str">
            <v>Вареные колбасы «Докторская ГОСТ» Фикс.вес 0,6 п/а ТМ «Дугушка»</v>
          </cell>
          <cell r="C24">
            <v>182.4</v>
          </cell>
          <cell r="D24">
            <v>182.4</v>
          </cell>
        </row>
        <row r="25">
          <cell r="A25" t="str">
            <v>SU002634</v>
          </cell>
          <cell r="B25" t="str">
            <v>Вареные колбасы «Дугушка Стародворская» Вес п/а ТМ «Дугушка»</v>
          </cell>
          <cell r="C25">
            <v>1488.96</v>
          </cell>
          <cell r="D25">
            <v>1488.96</v>
          </cell>
        </row>
        <row r="26">
          <cell r="A26" t="str">
            <v>SU002643</v>
          </cell>
          <cell r="B26" t="str">
            <v>Ветчины «Дугушка» Фикс.вес 0,6 полиамид ТМ «Дугушка»</v>
          </cell>
          <cell r="C26">
            <v>62.4</v>
          </cell>
          <cell r="D26">
            <v>62.4</v>
          </cell>
        </row>
        <row r="27">
          <cell r="A27" t="str">
            <v>SU002686</v>
          </cell>
          <cell r="B27" t="str">
            <v>Сосиски Сочинки с сыром Бордо ф/в 0,4 кг п/а Стародворье</v>
          </cell>
          <cell r="C27">
            <v>201.6</v>
          </cell>
          <cell r="D27">
            <v>201.6</v>
          </cell>
        </row>
        <row r="28">
          <cell r="A28" t="str">
            <v>SU002759</v>
          </cell>
          <cell r="B28" t="str">
            <v>Сардельки «Сочинки с сыром» Фикс.вес 0,4 п/а ТМ «Стародворье»</v>
          </cell>
          <cell r="C28">
            <v>7.2</v>
          </cell>
          <cell r="D28">
            <v>7.2</v>
          </cell>
        </row>
        <row r="29">
          <cell r="A29" t="str">
            <v>SU002799</v>
          </cell>
          <cell r="B29" t="str">
            <v>Сосиски Сочинки по-баварски Бавария Фикс.вес 0,4 П/а мгс Стародворье</v>
          </cell>
          <cell r="C29">
            <v>93.6</v>
          </cell>
          <cell r="E29">
            <v>-93.6</v>
          </cell>
        </row>
        <row r="30">
          <cell r="A30" t="str">
            <v>SU002801</v>
          </cell>
          <cell r="B30" t="str">
            <v>Сосиски «Сочинки по-баварски с сыром» Фикс.вес 0,4 П/а мгс ТМ «Стародворье»</v>
          </cell>
          <cell r="C30">
            <v>81.599999999999994</v>
          </cell>
          <cell r="E30">
            <v>-81.599999999999994</v>
          </cell>
        </row>
        <row r="31">
          <cell r="A31" t="str">
            <v>SU002815</v>
          </cell>
          <cell r="B31" t="str">
            <v>Вареные колбасы «Филейская» Фикс.вес 0,45 Вектор ТМ «Вязанка»</v>
          </cell>
          <cell r="C31">
            <v>139.5</v>
          </cell>
          <cell r="D31">
            <v>139.5</v>
          </cell>
        </row>
        <row r="32">
          <cell r="A32" t="str">
            <v>SU002816</v>
          </cell>
          <cell r="B32" t="str">
            <v>Вареные колбасы Молокуша Вязанка Фикс.вес 0,45 п/а Вязанка</v>
          </cell>
          <cell r="C32">
            <v>148.5</v>
          </cell>
          <cell r="D32">
            <v>148.5</v>
          </cell>
        </row>
        <row r="33">
          <cell r="A33" t="str">
            <v>SU002828</v>
          </cell>
          <cell r="B33" t="str">
            <v>Ветчины «Филейская» Весовые Вектор ТМ «Вязанка»</v>
          </cell>
          <cell r="C33">
            <v>86.4</v>
          </cell>
          <cell r="D33">
            <v>86.4</v>
          </cell>
        </row>
        <row r="34">
          <cell r="A34" t="str">
            <v>SU002830</v>
          </cell>
          <cell r="B34" t="str">
            <v>Вареные колбасы Молокуша Вязанка Вес п/а Вязанка</v>
          </cell>
          <cell r="C34">
            <v>194.4</v>
          </cell>
          <cell r="D34">
            <v>194.4</v>
          </cell>
        </row>
        <row r="35">
          <cell r="A35" t="str">
            <v>SU002833</v>
          </cell>
          <cell r="B35" t="str">
            <v>Ветчины «Сливушка с индейкой» Весовой п/а ТМ «Вязанка»</v>
          </cell>
          <cell r="C35">
            <v>10.8</v>
          </cell>
          <cell r="D35">
            <v>10.8</v>
          </cell>
        </row>
        <row r="36">
          <cell r="A36" t="str">
            <v>SU002835</v>
          </cell>
          <cell r="B36" t="str">
            <v>Сардельки «Филейские» Весовые н/о мгс ТМ «Вязанка»</v>
          </cell>
          <cell r="C36">
            <v>920.4</v>
          </cell>
          <cell r="D36">
            <v>920.4</v>
          </cell>
        </row>
        <row r="37">
          <cell r="A37" t="str">
            <v>SU002840</v>
          </cell>
          <cell r="B37" t="str">
            <v>Паштеты «Печеночный с морковью ГОСТ» Фикс.вес 0,1 ТМ «Стародворье»</v>
          </cell>
          <cell r="C37">
            <v>4</v>
          </cell>
          <cell r="D37">
            <v>4</v>
          </cell>
        </row>
        <row r="38">
          <cell r="A38" t="str">
            <v>SU002841</v>
          </cell>
          <cell r="B38" t="str">
            <v>Паштеты «Любительский ГОСТ» Фикс.вес 0,1 ТМ «Стародворье»</v>
          </cell>
          <cell r="C38">
            <v>8</v>
          </cell>
          <cell r="D38">
            <v>8</v>
          </cell>
        </row>
        <row r="39">
          <cell r="A39" t="str">
            <v>SU002842</v>
          </cell>
          <cell r="B39" t="str">
            <v>Сосиски «Сочинки Молочные» Фикс.вес 0,4 п/а мгс ТМ «Стародворье»</v>
          </cell>
          <cell r="C39">
            <v>98.4</v>
          </cell>
          <cell r="E39">
            <v>-98.4</v>
          </cell>
        </row>
        <row r="40">
          <cell r="A40" t="str">
            <v>SU002843</v>
          </cell>
          <cell r="B40" t="str">
            <v>Сосиски «Сочинки Молочные» Весовой п/а мгс ТМ «Стародворье»</v>
          </cell>
          <cell r="C40">
            <v>8.1</v>
          </cell>
          <cell r="D40">
            <v>8.1</v>
          </cell>
        </row>
        <row r="41">
          <cell r="A41" t="str">
            <v>SU002844</v>
          </cell>
          <cell r="B41" t="str">
            <v>Сосиски «Сочинки Сливочные» Фикс.вес 0,4 п/а мгс ТМ «Стародворье»</v>
          </cell>
          <cell r="C41">
            <v>170.4</v>
          </cell>
          <cell r="E41">
            <v>-170.4</v>
          </cell>
        </row>
        <row r="42">
          <cell r="A42" t="str">
            <v>SU002847</v>
          </cell>
          <cell r="B42" t="str">
            <v>В/к колбасы Сервелат Мясорубский с мелкорубленным окороком Бордо Весовой фиброуз Стародворье</v>
          </cell>
          <cell r="C42">
            <v>16.8</v>
          </cell>
          <cell r="D42">
            <v>16.8</v>
          </cell>
        </row>
        <row r="43">
          <cell r="A43" t="str">
            <v>SU002848</v>
          </cell>
          <cell r="B43" t="str">
            <v>В/к колбасы Сервелат Мясорубский с мелкорубленным окороком срез Бордо Фикс.вес 0,35 фиброуз Стародворье</v>
          </cell>
          <cell r="C43">
            <v>172.2</v>
          </cell>
          <cell r="D43">
            <v>172.2</v>
          </cell>
        </row>
        <row r="44">
          <cell r="A44" t="str">
            <v>SU002928</v>
          </cell>
          <cell r="B44" t="str">
            <v>Вареные колбасы «Сливушка» Вес П/а ТМ «Вязанка»</v>
          </cell>
          <cell r="C44">
            <v>162</v>
          </cell>
          <cell r="D44">
            <v>162</v>
          </cell>
        </row>
        <row r="45">
          <cell r="A45" t="str">
            <v>SU002942</v>
          </cell>
          <cell r="B45" t="str">
            <v>В/к колбасы «Сочинка по-фински с сочным окороком» срез Фикс.вес 0,3 фиброуз ТМ «Стародворье»</v>
          </cell>
          <cell r="C45">
            <v>36</v>
          </cell>
          <cell r="D45">
            <v>36</v>
          </cell>
        </row>
        <row r="46">
          <cell r="A46" t="str">
            <v>SU002943</v>
          </cell>
          <cell r="B46" t="str">
            <v>В/к колбасы «Сочинка по-фински с сочным окороком» Весовой фиброуз ТМ «Стародворье»</v>
          </cell>
          <cell r="C46">
            <v>21.6</v>
          </cell>
          <cell r="D46">
            <v>21.6</v>
          </cell>
        </row>
        <row r="47">
          <cell r="A47" t="str">
            <v>SU002944</v>
          </cell>
          <cell r="B47" t="str">
            <v>В/к колбасы «Сочинка по-европейски с сочной грудинкой» срез Фикс.вес 0,3 фиброуз ТМ «Стародворье»</v>
          </cell>
          <cell r="C47">
            <v>25.2</v>
          </cell>
          <cell r="D47">
            <v>25.2</v>
          </cell>
        </row>
        <row r="48">
          <cell r="A48" t="str">
            <v>SU002945</v>
          </cell>
          <cell r="B48" t="str">
            <v>П/к колбасы «Сочинка зернистая с сочной грудинкой» Весовой фиброуз ТМ «Стародворье»</v>
          </cell>
          <cell r="C48">
            <v>691.2</v>
          </cell>
          <cell r="D48">
            <v>691.2</v>
          </cell>
        </row>
        <row r="49">
          <cell r="A49" t="str">
            <v>SU002947</v>
          </cell>
          <cell r="B49" t="str">
            <v>П/к колбасы «Сочинка рубленая с сочным окороком» Весовой фиброуз ТМ «Стародворье»</v>
          </cell>
          <cell r="C49">
            <v>32.4</v>
          </cell>
          <cell r="D49">
            <v>32.4</v>
          </cell>
        </row>
        <row r="50">
          <cell r="A50" t="str">
            <v>SU002948</v>
          </cell>
          <cell r="B50" t="str">
            <v>П/к колбасы «Сочинка рубленая с сочным окороком» срез Фикс.вес 0,3 фиброуз ТМ «Стародворье»</v>
          </cell>
          <cell r="C50">
            <v>43.2</v>
          </cell>
          <cell r="D50">
            <v>43.2</v>
          </cell>
        </row>
        <row r="51">
          <cell r="A51" t="str">
            <v>SU002986</v>
          </cell>
          <cell r="B51" t="str">
            <v>Вареные колбасы «Докторская ГОСТ» Фикс.вес 0,37 п/а ТМ «Вязанка»</v>
          </cell>
          <cell r="C51">
            <v>59.2</v>
          </cell>
          <cell r="D51">
            <v>59.2</v>
          </cell>
        </row>
        <row r="52">
          <cell r="A52" t="str">
            <v>SU003167</v>
          </cell>
          <cell r="B52" t="str">
            <v>Сосиски «Баварские» Фикс.вес 0,35 П/а ТМ «Стародворье»</v>
          </cell>
          <cell r="C52">
            <v>90.3</v>
          </cell>
          <cell r="E52">
            <v>-90.3</v>
          </cell>
        </row>
        <row r="53">
          <cell r="A53" t="str">
            <v>SU003168</v>
          </cell>
          <cell r="B53" t="str">
            <v>Сосиски «Баварские с сыром» Фикс.вес 0,35 п/а ТМ «Стародворье»</v>
          </cell>
          <cell r="C53">
            <v>111.3</v>
          </cell>
          <cell r="E53">
            <v>-111.3</v>
          </cell>
        </row>
        <row r="54">
          <cell r="A54" t="str">
            <v>SU003178</v>
          </cell>
          <cell r="B54" t="str">
            <v>Копченые колбасы «Сервелат Мясорубский» Фикс.вес 0,08 нарезка ТМ «Стародворье»</v>
          </cell>
          <cell r="C54">
            <v>20</v>
          </cell>
          <cell r="D54">
            <v>20</v>
          </cell>
        </row>
        <row r="55">
          <cell r="A55" t="str">
            <v>SU003272</v>
          </cell>
          <cell r="B55" t="str">
            <v>Вареные колбасы «Стародворская с окороком» ф/в 0,4 п/а ТМ «Стародворье»</v>
          </cell>
          <cell r="C55">
            <v>8</v>
          </cell>
          <cell r="D55">
            <v>8</v>
          </cell>
        </row>
        <row r="56">
          <cell r="A56" t="str">
            <v>SU003420</v>
          </cell>
          <cell r="B56" t="str">
            <v>Вареные колбасы «Филейная» Весовой п/а ТМ «Особый рецепт» большой батон</v>
          </cell>
          <cell r="C56">
            <v>60</v>
          </cell>
          <cell r="D56">
            <v>60</v>
          </cell>
        </row>
        <row r="57">
          <cell r="A57" t="str">
            <v>SU003422</v>
          </cell>
          <cell r="B57" t="str">
            <v>Вареные колбасы «Молочная» Весовой п/а ТМ «Особый рецепт»</v>
          </cell>
          <cell r="C57">
            <v>45</v>
          </cell>
          <cell r="D57">
            <v>45</v>
          </cell>
        </row>
        <row r="58">
          <cell r="A58" t="str">
            <v>SU003423</v>
          </cell>
          <cell r="B58" t="str">
            <v>Вареные колбасы «Со шпиком» Весовой п/а ТМ «Особый рецепт» большой батон</v>
          </cell>
          <cell r="C58">
            <v>180</v>
          </cell>
          <cell r="D58">
            <v>180</v>
          </cell>
        </row>
        <row r="59">
          <cell r="A59" t="str">
            <v>SU003642</v>
          </cell>
          <cell r="B59" t="str">
            <v>Вареные колбасы «Филейская со шпиком» Весовые п/а ТМ «Вязанка»</v>
          </cell>
          <cell r="C59">
            <v>22.4</v>
          </cell>
          <cell r="D59">
            <v>22.4</v>
          </cell>
        </row>
        <row r="60">
          <cell r="A60" t="str">
            <v>SU003751</v>
          </cell>
          <cell r="B60" t="str">
            <v>Копченые колбасы «Сервелат Финский» Фикс.вес 0,09 нарезка ТМ «Вязанка»</v>
          </cell>
          <cell r="C60">
            <v>6.3</v>
          </cell>
          <cell r="D60">
            <v>6.3</v>
          </cell>
        </row>
        <row r="61">
          <cell r="A61" t="str">
            <v>SU003829</v>
          </cell>
          <cell r="B61" t="str">
            <v>Копченые колбасы «Сервелат Мясорубский Делюкс» Фикс.вес 0,3 фиброуз ТМ «Стародворье»</v>
          </cell>
          <cell r="C61">
            <v>16.2</v>
          </cell>
          <cell r="D61">
            <v>16.2</v>
          </cell>
        </row>
        <row r="62">
          <cell r="A62" t="str">
            <v>SU003893</v>
          </cell>
          <cell r="B62" t="str">
            <v>Сырокопченые колбасы «Сальчичон» Фикс.вес 0,07 нарезка ТМ «Стародворье»</v>
          </cell>
          <cell r="C62">
            <v>10.08</v>
          </cell>
          <cell r="D62">
            <v>10.08</v>
          </cell>
        </row>
        <row r="63">
          <cell r="A63" t="str">
            <v>SU003896</v>
          </cell>
          <cell r="B63" t="str">
            <v>Сыровяленые колбасы «Фуэт» Фикс.вес 0,07 нарезка ТМ «Стародворье»</v>
          </cell>
          <cell r="C63">
            <v>7.56</v>
          </cell>
          <cell r="D63">
            <v>7.56</v>
          </cell>
        </row>
        <row r="64">
          <cell r="A64" t="str">
            <v>SU004007</v>
          </cell>
          <cell r="B64" t="str">
            <v>Вареные колбасы «Со шпиком Стародворская» Весовой п/а ТМ «Стародворье»</v>
          </cell>
          <cell r="C64">
            <v>10.8</v>
          </cell>
          <cell r="D64">
            <v>10.8</v>
          </cell>
        </row>
        <row r="65">
          <cell r="A65" t="str">
            <v>SU004026</v>
          </cell>
          <cell r="B65" t="str">
            <v>Копченые колбасы «Ассорти Мясорубская коллекция: Сервелат Делюкс, С балыком» Фикс.вес 0,08 нарезка ТМ «Стародворье»</v>
          </cell>
          <cell r="C65">
            <v>20</v>
          </cell>
          <cell r="D65">
            <v>20</v>
          </cell>
        </row>
        <row r="66">
          <cell r="A66" t="str">
            <v>SU004039</v>
          </cell>
          <cell r="B66" t="str">
            <v>Копченые колбасы «Балыковая» Фикс.вес 0,28 фиброуз срез ТМ «Вязанка»</v>
          </cell>
          <cell r="C66">
            <v>48.72</v>
          </cell>
          <cell r="D66">
            <v>48.72</v>
          </cell>
        </row>
        <row r="67">
          <cell r="A67" t="str">
            <v>SU004041</v>
          </cell>
          <cell r="B67" t="str">
            <v>Копченые колбасы «Балыковая» Весовой фиброуз ТМ «Вязанка»</v>
          </cell>
          <cell r="C67">
            <v>70</v>
          </cell>
          <cell r="D67">
            <v>70</v>
          </cell>
        </row>
        <row r="68">
          <cell r="A68" t="str">
            <v>SU004042</v>
          </cell>
          <cell r="B68" t="str">
            <v>Копченые колбасы «Сервелат Ореховый» Фикс.вес 0,28 фиброуз срез ТМ «Вязанка»</v>
          </cell>
          <cell r="C68">
            <v>107.52</v>
          </cell>
          <cell r="D68">
            <v>107.52</v>
          </cell>
        </row>
        <row r="69">
          <cell r="A69" t="str">
            <v>SU004044</v>
          </cell>
          <cell r="B69" t="str">
            <v>Копченые колбасы «Сервелат Ореховый» Весовой фиброуз ТМ «Вязанка»</v>
          </cell>
          <cell r="C69">
            <v>171.5</v>
          </cell>
          <cell r="D69">
            <v>171.5</v>
          </cell>
        </row>
        <row r="70">
          <cell r="A70" t="str">
            <v>SU004104</v>
          </cell>
          <cell r="B70" t="str">
            <v>Вареные колбасы «Мясная» Весовой п/а ТМ «Стародворье»</v>
          </cell>
          <cell r="C70">
            <v>288.60000000000002</v>
          </cell>
          <cell r="D70">
            <v>288.60000000000002</v>
          </cell>
        </row>
        <row r="71">
          <cell r="A71" t="str">
            <v>SU004131</v>
          </cell>
          <cell r="B71" t="str">
            <v>Вареные колбасы «Ветчинно-рубленая» Весовой п/а ТМ «Особый рецепт»</v>
          </cell>
          <cell r="C71">
            <v>60</v>
          </cell>
          <cell r="D71">
            <v>60</v>
          </cell>
        </row>
        <row r="72">
          <cell r="A72" t="str">
            <v>SU004238</v>
          </cell>
          <cell r="B72" t="str">
            <v>Вареные колбасы «Докторская Классическая» Весовой п/а ТМ «Особый рецепт»</v>
          </cell>
          <cell r="C72">
            <v>1035</v>
          </cell>
          <cell r="D72">
            <v>1035</v>
          </cell>
        </row>
        <row r="73">
          <cell r="C73">
            <v>15985.569999999998</v>
          </cell>
          <cell r="D73">
            <v>14104.569999999998</v>
          </cell>
          <cell r="E73">
            <v>-1880.9999999999998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496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L1" sqref="AL1"/>
    </sheetView>
  </sheetViews>
  <sheetFormatPr defaultRowHeight="15" x14ac:dyDescent="0.25"/>
  <cols>
    <col min="1" max="1" width="32.8554687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85546875" customWidth="1"/>
    <col min="10" max="10" width="1" customWidth="1"/>
    <col min="11" max="15" width="7" customWidth="1"/>
    <col min="16" max="16" width="12" style="27" customWidth="1"/>
    <col min="17" max="20" width="7" customWidth="1"/>
    <col min="21" max="21" width="7" style="21" customWidth="1"/>
    <col min="22" max="22" width="7" customWidth="1"/>
    <col min="23" max="23" width="7" style="27" customWidth="1"/>
    <col min="24" max="25" width="7" style="21" customWidth="1"/>
    <col min="26" max="26" width="7" style="26" customWidth="1"/>
    <col min="27" max="31" width="7" customWidth="1"/>
    <col min="32" max="32" width="6.85546875" customWidth="1"/>
    <col min="33" max="34" width="5" customWidth="1"/>
    <col min="35" max="44" width="5.5703125" customWidth="1"/>
    <col min="45" max="45" width="9.5703125" customWidth="1"/>
    <col min="46" max="48" width="7" customWidth="1"/>
  </cols>
  <sheetData>
    <row r="1" spans="1:48" x14ac:dyDescent="0.25">
      <c r="A1" s="22"/>
      <c r="B1" s="22"/>
      <c r="C1" s="22"/>
      <c r="D1" s="22"/>
      <c r="E1" s="22"/>
      <c r="F1" s="22"/>
      <c r="G1" s="6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17"/>
      <c r="V1" s="22"/>
      <c r="W1" s="22"/>
      <c r="X1" s="17"/>
      <c r="Y1" s="17"/>
      <c r="Z1" s="22"/>
      <c r="AA1" s="22"/>
      <c r="AB1" s="15">
        <v>-0.65</v>
      </c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</row>
    <row r="2" spans="1:48" x14ac:dyDescent="0.25">
      <c r="A2" s="22"/>
      <c r="B2" s="22"/>
      <c r="C2" s="22"/>
      <c r="D2" s="22"/>
      <c r="E2" s="22"/>
      <c r="F2" s="22"/>
      <c r="G2" s="6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17"/>
      <c r="V2" s="22"/>
      <c r="W2" s="22"/>
      <c r="X2" s="17"/>
      <c r="Y2" s="17"/>
      <c r="Z2" s="22"/>
      <c r="AA2" s="22"/>
      <c r="AB2" s="22" t="s">
        <v>0</v>
      </c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>
        <v>17200</v>
      </c>
      <c r="AU2" s="22">
        <v>4013</v>
      </c>
      <c r="AV2" s="22">
        <v>3380</v>
      </c>
    </row>
    <row r="3" spans="1:4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15</v>
      </c>
      <c r="R3" s="1" t="s">
        <v>15</v>
      </c>
      <c r="S3" s="1" t="s">
        <v>15</v>
      </c>
      <c r="T3" s="1" t="s">
        <v>15</v>
      </c>
      <c r="U3" s="1" t="s">
        <v>15</v>
      </c>
      <c r="V3" s="1" t="s">
        <v>15</v>
      </c>
      <c r="W3" s="1" t="s">
        <v>15</v>
      </c>
      <c r="X3" s="1" t="s">
        <v>15</v>
      </c>
      <c r="Y3" s="1" t="s">
        <v>15</v>
      </c>
      <c r="Z3" s="23" t="s">
        <v>15</v>
      </c>
      <c r="AA3" s="1" t="s">
        <v>17</v>
      </c>
      <c r="AB3" s="2" t="s">
        <v>18</v>
      </c>
      <c r="AC3" s="2" t="s">
        <v>19</v>
      </c>
      <c r="AD3" s="2" t="s">
        <v>19</v>
      </c>
      <c r="AE3" s="2" t="s">
        <v>19</v>
      </c>
      <c r="AF3" s="1" t="s">
        <v>20</v>
      </c>
      <c r="AG3" s="1" t="s">
        <v>21</v>
      </c>
      <c r="AH3" s="1" t="s">
        <v>22</v>
      </c>
      <c r="AI3" s="1" t="s">
        <v>23</v>
      </c>
      <c r="AJ3" s="1" t="s">
        <v>23</v>
      </c>
      <c r="AK3" s="1" t="s">
        <v>23</v>
      </c>
      <c r="AL3" s="1" t="s">
        <v>23</v>
      </c>
      <c r="AM3" s="1" t="s">
        <v>23</v>
      </c>
      <c r="AN3" s="1" t="s">
        <v>23</v>
      </c>
      <c r="AO3" s="1" t="s">
        <v>23</v>
      </c>
      <c r="AP3" s="1" t="s">
        <v>23</v>
      </c>
      <c r="AQ3" s="1" t="s">
        <v>23</v>
      </c>
      <c r="AR3" s="1" t="s">
        <v>23</v>
      </c>
      <c r="AS3" s="1" t="s">
        <v>24</v>
      </c>
      <c r="AT3" s="1" t="s">
        <v>25</v>
      </c>
      <c r="AU3" s="1" t="s">
        <v>25</v>
      </c>
      <c r="AV3" s="1" t="s">
        <v>25</v>
      </c>
    </row>
    <row r="4" spans="1:48" hidden="1" x14ac:dyDescent="0.25">
      <c r="A4" s="22"/>
      <c r="B4" s="22"/>
      <c r="C4" s="22"/>
      <c r="D4" s="22"/>
      <c r="E4" s="22"/>
      <c r="F4" s="22"/>
      <c r="G4" s="6"/>
      <c r="H4" s="22"/>
      <c r="I4" s="22"/>
      <c r="J4" s="22"/>
      <c r="K4" s="22"/>
      <c r="L4" s="22"/>
      <c r="M4" s="22"/>
      <c r="N4" s="22"/>
      <c r="O4" s="22" t="s">
        <v>26</v>
      </c>
      <c r="P4" s="22"/>
      <c r="Q4" s="22" t="s">
        <v>27</v>
      </c>
      <c r="R4" s="22" t="s">
        <v>28</v>
      </c>
      <c r="S4" s="22" t="s">
        <v>29</v>
      </c>
      <c r="T4" s="22" t="s">
        <v>30</v>
      </c>
      <c r="U4" s="17" t="s">
        <v>31</v>
      </c>
      <c r="V4" s="22" t="s">
        <v>32</v>
      </c>
      <c r="W4" s="22" t="s">
        <v>33</v>
      </c>
      <c r="X4" s="17" t="s">
        <v>34</v>
      </c>
      <c r="Y4" s="17" t="s">
        <v>35</v>
      </c>
      <c r="Z4" s="22" t="s">
        <v>36</v>
      </c>
      <c r="AA4" s="22" t="s">
        <v>37</v>
      </c>
      <c r="AB4" s="22"/>
      <c r="AC4" s="22" t="s">
        <v>38</v>
      </c>
      <c r="AD4" s="22" t="s">
        <v>39</v>
      </c>
      <c r="AE4" s="22" t="s">
        <v>40</v>
      </c>
      <c r="AF4" s="22" t="s">
        <v>41</v>
      </c>
      <c r="AG4" s="22"/>
      <c r="AH4" s="22"/>
      <c r="AI4" s="22" t="s">
        <v>29</v>
      </c>
      <c r="AJ4" s="22" t="s">
        <v>42</v>
      </c>
      <c r="AK4" s="22" t="s">
        <v>43</v>
      </c>
      <c r="AL4" s="22" t="s">
        <v>44</v>
      </c>
      <c r="AM4" s="22" t="s">
        <v>45</v>
      </c>
      <c r="AN4" s="22" t="s">
        <v>46</v>
      </c>
      <c r="AO4" s="22" t="s">
        <v>47</v>
      </c>
      <c r="AP4" s="22" t="s">
        <v>48</v>
      </c>
      <c r="AQ4" s="22" t="s">
        <v>49</v>
      </c>
      <c r="AR4" s="22" t="s">
        <v>50</v>
      </c>
      <c r="AS4" s="22"/>
      <c r="AT4" s="22" t="s">
        <v>38</v>
      </c>
      <c r="AU4" s="22" t="s">
        <v>39</v>
      </c>
      <c r="AV4" s="22" t="s">
        <v>40</v>
      </c>
    </row>
    <row r="5" spans="1:48" x14ac:dyDescent="0.25">
      <c r="A5" s="22"/>
      <c r="B5" s="22"/>
      <c r="C5" s="22"/>
      <c r="D5" s="22"/>
      <c r="E5" s="3">
        <f>SUM(E6:E496)</f>
        <v>73628.851999999999</v>
      </c>
      <c r="F5" s="3">
        <f>SUM(F6:F496)</f>
        <v>53861.307999999997</v>
      </c>
      <c r="G5" s="6"/>
      <c r="H5" s="22"/>
      <c r="I5" s="22"/>
      <c r="J5" s="22"/>
      <c r="K5" s="3">
        <f>SUM(K6:K496)</f>
        <v>80313.207000000009</v>
      </c>
      <c r="L5" s="3">
        <f>SUM(L6:L496)</f>
        <v>-6684.3549999999968</v>
      </c>
      <c r="M5" s="3">
        <f>SUM(M6:M496)</f>
        <v>70696.337</v>
      </c>
      <c r="N5" s="3">
        <f>SUM(N6:N496)</f>
        <v>2932.5150000000003</v>
      </c>
      <c r="O5" s="3">
        <f>SUM(O6:O496)</f>
        <v>-3500</v>
      </c>
      <c r="P5" s="22"/>
      <c r="Q5" s="3">
        <f t="shared" ref="Q5:AE5" si="0">SUM(Q6:Q496)</f>
        <v>21569.381680978269</v>
      </c>
      <c r="R5" s="3">
        <f t="shared" si="0"/>
        <v>13550</v>
      </c>
      <c r="S5" s="3">
        <f t="shared" si="0"/>
        <v>21100</v>
      </c>
      <c r="T5" s="3">
        <f t="shared" si="0"/>
        <v>21673.42295480047</v>
      </c>
      <c r="U5" s="18">
        <f t="shared" si="0"/>
        <v>4000</v>
      </c>
      <c r="V5" s="3">
        <f t="shared" si="0"/>
        <v>15680.571047421266</v>
      </c>
      <c r="W5" s="3">
        <f t="shared" si="0"/>
        <v>-4381</v>
      </c>
      <c r="X5" s="18">
        <f t="shared" si="0"/>
        <v>4000</v>
      </c>
      <c r="Y5" s="18">
        <f t="shared" si="0"/>
        <v>1700</v>
      </c>
      <c r="Z5" s="3">
        <f t="shared" si="0"/>
        <v>-1880.9999999999998</v>
      </c>
      <c r="AA5" s="3">
        <f t="shared" si="0"/>
        <v>14139.267400000004</v>
      </c>
      <c r="AB5" s="3">
        <f t="shared" si="0"/>
        <v>31028.41196999999</v>
      </c>
      <c r="AC5" s="3">
        <f t="shared" si="0"/>
        <v>22072.497033999993</v>
      </c>
      <c r="AD5" s="3">
        <f t="shared" si="0"/>
        <v>4563</v>
      </c>
      <c r="AE5" s="3">
        <f t="shared" si="0"/>
        <v>4230</v>
      </c>
      <c r="AF5" s="22"/>
      <c r="AG5" s="22"/>
      <c r="AH5" s="22"/>
      <c r="AI5" s="3">
        <f t="shared" ref="AI5:AR5" si="1">SUM(AI6:AI496)</f>
        <v>14539.5342</v>
      </c>
      <c r="AJ5" s="3">
        <f t="shared" si="1"/>
        <v>14055.493399999999</v>
      </c>
      <c r="AK5" s="3">
        <f t="shared" si="1"/>
        <v>13132.7868</v>
      </c>
      <c r="AL5" s="3">
        <f t="shared" si="1"/>
        <v>13790.886000000006</v>
      </c>
      <c r="AM5" s="3">
        <f t="shared" si="1"/>
        <v>14807.386599999994</v>
      </c>
      <c r="AN5" s="3">
        <f t="shared" si="1"/>
        <v>14449.542000000005</v>
      </c>
      <c r="AO5" s="3">
        <f t="shared" si="1"/>
        <v>14334.903199999997</v>
      </c>
      <c r="AP5" s="3">
        <f t="shared" si="1"/>
        <v>12027.3902</v>
      </c>
      <c r="AQ5" s="3">
        <f t="shared" si="1"/>
        <v>13549.45000000001</v>
      </c>
      <c r="AR5" s="3">
        <f t="shared" si="1"/>
        <v>14678.959400000003</v>
      </c>
      <c r="AS5" s="22"/>
      <c r="AT5" s="3">
        <f>SUM(AT6:AT496)</f>
        <v>15812</v>
      </c>
      <c r="AU5" s="3">
        <f>SUM(AU6:AU496)</f>
        <v>4013</v>
      </c>
      <c r="AV5" s="3">
        <f>SUM(AV6:AV496)</f>
        <v>3380</v>
      </c>
    </row>
    <row r="6" spans="1:48" x14ac:dyDescent="0.25">
      <c r="A6" s="22" t="s">
        <v>51</v>
      </c>
      <c r="B6" s="22" t="s">
        <v>52</v>
      </c>
      <c r="C6" s="22">
        <v>3397.3710000000001</v>
      </c>
      <c r="D6" s="22">
        <v>2919.4760000000001</v>
      </c>
      <c r="E6" s="22">
        <v>2893.8029999999999</v>
      </c>
      <c r="F6" s="22">
        <v>1018.439</v>
      </c>
      <c r="G6" s="6">
        <v>1</v>
      </c>
      <c r="H6" s="22">
        <v>50</v>
      </c>
      <c r="I6" s="22" t="s">
        <v>53</v>
      </c>
      <c r="J6" s="22"/>
      <c r="K6" s="22">
        <v>3012.1770000000001</v>
      </c>
      <c r="L6" s="22">
        <f t="shared" ref="L6:L37" si="2">E6-K6</f>
        <v>-118.37400000000025</v>
      </c>
      <c r="M6" s="22">
        <f t="shared" ref="M6:M37" si="3">E6-N6</f>
        <v>2376.5259999999998</v>
      </c>
      <c r="N6" s="22">
        <v>517.27700000000004</v>
      </c>
      <c r="O6" s="22"/>
      <c r="P6" s="22" t="s">
        <v>54</v>
      </c>
      <c r="Q6" s="22">
        <v>426.48199759999989</v>
      </c>
      <c r="R6" s="22">
        <v>400</v>
      </c>
      <c r="S6" s="22">
        <v>700</v>
      </c>
      <c r="T6" s="22">
        <v>1462.6171972223999</v>
      </c>
      <c r="U6" s="17"/>
      <c r="V6" s="22">
        <v>1486.2077971776</v>
      </c>
      <c r="W6" s="22"/>
      <c r="X6" s="17"/>
      <c r="Y6" s="17"/>
      <c r="Z6" s="22"/>
      <c r="AA6" s="22">
        <f t="shared" ref="AA6:AA37" si="4">M6/5</f>
        <v>475.30519999999996</v>
      </c>
      <c r="AB6" s="4">
        <f>12.5*AA6-V6-T6-S6-R6-Q6-O6-F6+$AB$1*AA6</f>
        <v>138.62062799999984</v>
      </c>
      <c r="AC6" s="4">
        <f t="shared" ref="AC6:AC14" si="5">AB6-AD6-AE6</f>
        <v>138.62062799999984</v>
      </c>
      <c r="AD6" s="4"/>
      <c r="AE6" s="4"/>
      <c r="AF6" s="22"/>
      <c r="AG6" s="22">
        <f t="shared" ref="AG6:AG37" si="6">(F6+O6+Q6+R6+S6+T6+U6+V6+W6+X6+Y6+AC6+AD6+AE6)/AA6</f>
        <v>11.849999999999998</v>
      </c>
      <c r="AH6" s="22">
        <f t="shared" ref="AH6:AH37" si="7">(F6+O6+Q6+R6+S6+T6+U6+V6+W6+X6+Y6)/AA6</f>
        <v>11.558354488863156</v>
      </c>
      <c r="AI6" s="22">
        <v>548.64239999999995</v>
      </c>
      <c r="AJ6" s="22">
        <v>471.7946</v>
      </c>
      <c r="AK6" s="22">
        <v>438.9076</v>
      </c>
      <c r="AL6" s="22">
        <v>507.63760000000002</v>
      </c>
      <c r="AM6" s="22">
        <v>550.45600000000002</v>
      </c>
      <c r="AN6" s="22">
        <v>574.12580000000003</v>
      </c>
      <c r="AO6" s="22">
        <v>568.09579999999994</v>
      </c>
      <c r="AP6" s="22">
        <v>541.78179999999998</v>
      </c>
      <c r="AQ6" s="22">
        <v>554.71460000000002</v>
      </c>
      <c r="AR6" s="22">
        <v>479.79180000000002</v>
      </c>
      <c r="AS6" s="22"/>
      <c r="AT6" s="22">
        <f t="shared" ref="AT6:AT37" si="8">ROUND(G6*AC6,0)</f>
        <v>139</v>
      </c>
      <c r="AU6" s="22">
        <f t="shared" ref="AU6:AU37" si="9">ROUND(G6*AD6,0)</f>
        <v>0</v>
      </c>
      <c r="AV6" s="22">
        <f t="shared" ref="AV6:AV37" si="10">ROUND(G6*AE6,0)</f>
        <v>0</v>
      </c>
    </row>
    <row r="7" spans="1:48" x14ac:dyDescent="0.25">
      <c r="A7" s="22" t="s">
        <v>55</v>
      </c>
      <c r="B7" s="22" t="s">
        <v>52</v>
      </c>
      <c r="C7" s="22">
        <v>1119.769</v>
      </c>
      <c r="D7" s="22">
        <v>1157.3420000000001</v>
      </c>
      <c r="E7" s="22">
        <v>994.91899999999998</v>
      </c>
      <c r="F7" s="22">
        <v>693.67</v>
      </c>
      <c r="G7" s="6">
        <v>1</v>
      </c>
      <c r="H7" s="22">
        <v>45</v>
      </c>
      <c r="I7" s="22" t="s">
        <v>56</v>
      </c>
      <c r="J7" s="22"/>
      <c r="K7" s="22">
        <v>1035.1969999999999</v>
      </c>
      <c r="L7" s="22">
        <f t="shared" si="2"/>
        <v>-40.277999999999906</v>
      </c>
      <c r="M7" s="22">
        <f t="shared" si="3"/>
        <v>994.91899999999998</v>
      </c>
      <c r="N7" s="22"/>
      <c r="O7" s="22"/>
      <c r="P7" s="22" t="s">
        <v>57</v>
      </c>
      <c r="Q7" s="22">
        <v>283.05578927599998</v>
      </c>
      <c r="R7" s="22">
        <v>100</v>
      </c>
      <c r="S7" s="22">
        <v>300</v>
      </c>
      <c r="T7" s="22">
        <v>373.73589619910399</v>
      </c>
      <c r="U7" s="17"/>
      <c r="V7" s="22">
        <v>379.7638945248961</v>
      </c>
      <c r="W7" s="22"/>
      <c r="X7" s="17"/>
      <c r="Y7" s="17"/>
      <c r="Z7" s="22"/>
      <c r="AA7" s="22">
        <f t="shared" si="4"/>
        <v>198.9838</v>
      </c>
      <c r="AB7" s="4">
        <f>12.5*AA7-V7-T7-S7-R7-Q7-O7-F7+$AB$1*AA7</f>
        <v>227.7324500000002</v>
      </c>
      <c r="AC7" s="4">
        <f t="shared" si="5"/>
        <v>227.7324500000002</v>
      </c>
      <c r="AD7" s="4"/>
      <c r="AE7" s="4"/>
      <c r="AF7" s="22"/>
      <c r="AG7" s="22">
        <f t="shared" si="6"/>
        <v>11.85</v>
      </c>
      <c r="AH7" s="22">
        <f t="shared" si="7"/>
        <v>10.705522660638705</v>
      </c>
      <c r="AI7" s="22">
        <v>211.20099999999999</v>
      </c>
      <c r="AJ7" s="22">
        <v>193.32560000000001</v>
      </c>
      <c r="AK7" s="22">
        <v>182.81979999999999</v>
      </c>
      <c r="AL7" s="22">
        <v>175.50360000000001</v>
      </c>
      <c r="AM7" s="22">
        <v>191.05959999999999</v>
      </c>
      <c r="AN7" s="22">
        <v>216.93260000000001</v>
      </c>
      <c r="AO7" s="22">
        <v>206.46279999999999</v>
      </c>
      <c r="AP7" s="22">
        <v>142.0986</v>
      </c>
      <c r="AQ7" s="22">
        <v>157.10640000000001</v>
      </c>
      <c r="AR7" s="22">
        <v>162.0754</v>
      </c>
      <c r="AS7" s="22"/>
      <c r="AT7" s="22">
        <f t="shared" si="8"/>
        <v>228</v>
      </c>
      <c r="AU7" s="22">
        <f t="shared" si="9"/>
        <v>0</v>
      </c>
      <c r="AV7" s="22">
        <f t="shared" si="10"/>
        <v>0</v>
      </c>
    </row>
    <row r="8" spans="1:48" x14ac:dyDescent="0.25">
      <c r="A8" s="22" t="s">
        <v>58</v>
      </c>
      <c r="B8" s="22" t="s">
        <v>52</v>
      </c>
      <c r="C8" s="22">
        <v>2421.3969999999999</v>
      </c>
      <c r="D8" s="22">
        <v>4604.9040000000005</v>
      </c>
      <c r="E8" s="22">
        <v>3019.5320000000002</v>
      </c>
      <c r="F8" s="22">
        <v>2021.8150000000001</v>
      </c>
      <c r="G8" s="6">
        <v>1</v>
      </c>
      <c r="H8" s="22">
        <v>45</v>
      </c>
      <c r="I8" s="22" t="s">
        <v>59</v>
      </c>
      <c r="J8" s="22"/>
      <c r="K8" s="22">
        <v>3078.3820000000001</v>
      </c>
      <c r="L8" s="22">
        <f t="shared" si="2"/>
        <v>-58.849999999999909</v>
      </c>
      <c r="M8" s="22">
        <f t="shared" si="3"/>
        <v>3019.5320000000002</v>
      </c>
      <c r="N8" s="22"/>
      <c r="O8" s="22"/>
      <c r="P8" s="22" t="s">
        <v>60</v>
      </c>
      <c r="Q8" s="22">
        <v>601.12828077999893</v>
      </c>
      <c r="R8" s="22">
        <v>600</v>
      </c>
      <c r="S8" s="22">
        <v>800</v>
      </c>
      <c r="T8" s="22">
        <v>998.37705574111988</v>
      </c>
      <c r="U8" s="17"/>
      <c r="V8" s="22">
        <v>1014.47991147888</v>
      </c>
      <c r="W8" s="22"/>
      <c r="X8" s="17"/>
      <c r="Y8" s="17"/>
      <c r="Z8" s="22"/>
      <c r="AA8" s="22">
        <f t="shared" si="4"/>
        <v>603.90640000000008</v>
      </c>
      <c r="AB8" s="4">
        <f>12.5*AA8-V8-T8-S8-R8-Q8-O8-F8</f>
        <v>1513.0297520000017</v>
      </c>
      <c r="AC8" s="4">
        <f t="shared" si="5"/>
        <v>1013.0297520000017</v>
      </c>
      <c r="AD8" s="4"/>
      <c r="AE8" s="4">
        <v>500</v>
      </c>
      <c r="AF8" s="22"/>
      <c r="AG8" s="22">
        <f t="shared" si="6"/>
        <v>12.500000000000002</v>
      </c>
      <c r="AH8" s="22">
        <f t="shared" si="7"/>
        <v>9.9945955995829792</v>
      </c>
      <c r="AI8" s="22">
        <v>611.28559999999993</v>
      </c>
      <c r="AJ8" s="22">
        <v>564.65660000000003</v>
      </c>
      <c r="AK8" s="22">
        <v>559.11500000000001</v>
      </c>
      <c r="AL8" s="22">
        <v>520.86239999999998</v>
      </c>
      <c r="AM8" s="22">
        <v>595.93939999999998</v>
      </c>
      <c r="AN8" s="22">
        <v>645.5598</v>
      </c>
      <c r="AO8" s="22">
        <v>584.85239999999999</v>
      </c>
      <c r="AP8" s="22">
        <v>581.0992</v>
      </c>
      <c r="AQ8" s="22">
        <v>595.59080000000006</v>
      </c>
      <c r="AR8" s="22">
        <v>611.73599999999999</v>
      </c>
      <c r="AS8" s="22"/>
      <c r="AT8" s="22">
        <f t="shared" si="8"/>
        <v>1013</v>
      </c>
      <c r="AU8" s="22">
        <f t="shared" si="9"/>
        <v>0</v>
      </c>
      <c r="AV8" s="22">
        <f t="shared" si="10"/>
        <v>500</v>
      </c>
    </row>
    <row r="9" spans="1:48" x14ac:dyDescent="0.25">
      <c r="A9" s="22" t="s">
        <v>61</v>
      </c>
      <c r="B9" s="22" t="s">
        <v>62</v>
      </c>
      <c r="C9" s="22">
        <v>25</v>
      </c>
      <c r="D9" s="22">
        <v>2</v>
      </c>
      <c r="E9" s="22"/>
      <c r="F9" s="22"/>
      <c r="G9" s="6">
        <v>0.4</v>
      </c>
      <c r="H9" s="22">
        <v>50</v>
      </c>
      <c r="I9" s="22" t="s">
        <v>63</v>
      </c>
      <c r="J9" s="22"/>
      <c r="K9" s="22">
        <v>5</v>
      </c>
      <c r="L9" s="22">
        <f t="shared" si="2"/>
        <v>-5</v>
      </c>
      <c r="M9" s="22">
        <f t="shared" si="3"/>
        <v>0</v>
      </c>
      <c r="N9" s="22"/>
      <c r="O9" s="22"/>
      <c r="P9" s="22" t="s">
        <v>65</v>
      </c>
      <c r="Q9" s="22">
        <v>0</v>
      </c>
      <c r="R9" s="22"/>
      <c r="S9" s="22"/>
      <c r="T9" s="22">
        <v>15</v>
      </c>
      <c r="U9" s="17"/>
      <c r="V9" s="22"/>
      <c r="W9" s="22"/>
      <c r="X9" s="17"/>
      <c r="Y9" s="17"/>
      <c r="Z9" s="22"/>
      <c r="AA9" s="22">
        <f t="shared" si="4"/>
        <v>0</v>
      </c>
      <c r="AB9" s="4"/>
      <c r="AC9" s="4">
        <f t="shared" si="5"/>
        <v>0</v>
      </c>
      <c r="AD9" s="4"/>
      <c r="AE9" s="4"/>
      <c r="AF9" s="22"/>
      <c r="AG9" s="22" t="e">
        <f t="shared" si="6"/>
        <v>#DIV/0!</v>
      </c>
      <c r="AH9" s="22" t="e">
        <f t="shared" si="7"/>
        <v>#DIV/0!</v>
      </c>
      <c r="AI9" s="22">
        <v>0.6</v>
      </c>
      <c r="AJ9" s="22">
        <v>0.6</v>
      </c>
      <c r="AK9" s="22">
        <v>0</v>
      </c>
      <c r="AL9" s="22">
        <v>0</v>
      </c>
      <c r="AM9" s="22">
        <v>0.2</v>
      </c>
      <c r="AN9" s="22">
        <v>4.2</v>
      </c>
      <c r="AO9" s="22">
        <v>5.8</v>
      </c>
      <c r="AP9" s="22">
        <v>4.4000000000000004</v>
      </c>
      <c r="AQ9" s="22">
        <v>4.4000000000000004</v>
      </c>
      <c r="AR9" s="22">
        <v>2</v>
      </c>
      <c r="AS9" s="22" t="s">
        <v>64</v>
      </c>
      <c r="AT9" s="22">
        <f t="shared" si="8"/>
        <v>0</v>
      </c>
      <c r="AU9" s="22">
        <f t="shared" si="9"/>
        <v>0</v>
      </c>
      <c r="AV9" s="22">
        <f t="shared" si="10"/>
        <v>0</v>
      </c>
    </row>
    <row r="10" spans="1:48" x14ac:dyDescent="0.25">
      <c r="A10" s="22" t="s">
        <v>66</v>
      </c>
      <c r="B10" s="22" t="s">
        <v>62</v>
      </c>
      <c r="C10" s="22">
        <v>3252</v>
      </c>
      <c r="D10" s="22">
        <v>3927</v>
      </c>
      <c r="E10" s="22">
        <v>3368</v>
      </c>
      <c r="F10" s="22">
        <v>1112</v>
      </c>
      <c r="G10" s="6">
        <v>0.45</v>
      </c>
      <c r="H10" s="22">
        <v>45</v>
      </c>
      <c r="I10" s="25" t="s">
        <v>67</v>
      </c>
      <c r="J10" s="22"/>
      <c r="K10" s="22">
        <v>3603</v>
      </c>
      <c r="L10" s="22">
        <f t="shared" si="2"/>
        <v>-235</v>
      </c>
      <c r="M10" s="22">
        <f t="shared" si="3"/>
        <v>3368</v>
      </c>
      <c r="N10" s="22"/>
      <c r="O10" s="22"/>
      <c r="P10" s="22" t="s">
        <v>69</v>
      </c>
      <c r="Q10" s="22">
        <v>124.07839999999941</v>
      </c>
      <c r="R10" s="22">
        <v>100</v>
      </c>
      <c r="S10" s="22">
        <v>150</v>
      </c>
      <c r="T10" s="22">
        <v>1000</v>
      </c>
      <c r="U10" s="17"/>
      <c r="V10" s="22"/>
      <c r="W10" s="22"/>
      <c r="X10" s="17"/>
      <c r="Y10" s="17"/>
      <c r="Z10" s="22"/>
      <c r="AA10" s="22">
        <f t="shared" si="4"/>
        <v>673.6</v>
      </c>
      <c r="AB10" s="4">
        <v>2500</v>
      </c>
      <c r="AC10" s="4">
        <f t="shared" si="5"/>
        <v>1000</v>
      </c>
      <c r="AD10" s="4">
        <v>500</v>
      </c>
      <c r="AE10" s="4">
        <v>1000</v>
      </c>
      <c r="AF10" s="22"/>
      <c r="AG10" s="22">
        <f t="shared" si="6"/>
        <v>7.4021353919239896</v>
      </c>
      <c r="AH10" s="22">
        <f t="shared" si="7"/>
        <v>3.6907339667458423</v>
      </c>
      <c r="AI10" s="22">
        <v>380.8</v>
      </c>
      <c r="AJ10" s="22">
        <v>376.4</v>
      </c>
      <c r="AK10" s="22">
        <v>381.8</v>
      </c>
      <c r="AL10" s="22">
        <v>353.6</v>
      </c>
      <c r="AM10" s="22">
        <v>327.60000000000002</v>
      </c>
      <c r="AN10" s="22">
        <v>392</v>
      </c>
      <c r="AO10" s="22">
        <v>376.6</v>
      </c>
      <c r="AP10" s="22">
        <v>460</v>
      </c>
      <c r="AQ10" s="22">
        <v>328.2</v>
      </c>
      <c r="AR10" s="22">
        <v>407</v>
      </c>
      <c r="AS10" s="22" t="s">
        <v>68</v>
      </c>
      <c r="AT10" s="22">
        <f t="shared" si="8"/>
        <v>450</v>
      </c>
      <c r="AU10" s="22">
        <f t="shared" si="9"/>
        <v>225</v>
      </c>
      <c r="AV10" s="22">
        <f t="shared" si="10"/>
        <v>450</v>
      </c>
    </row>
    <row r="11" spans="1:48" x14ac:dyDescent="0.25">
      <c r="A11" s="22" t="s">
        <v>70</v>
      </c>
      <c r="B11" s="22" t="s">
        <v>62</v>
      </c>
      <c r="C11" s="22">
        <v>2791</v>
      </c>
      <c r="D11" s="22">
        <v>4243</v>
      </c>
      <c r="E11" s="22">
        <v>3302.3</v>
      </c>
      <c r="F11" s="22">
        <v>1710</v>
      </c>
      <c r="G11" s="6">
        <v>0.45</v>
      </c>
      <c r="H11" s="22">
        <v>45</v>
      </c>
      <c r="I11" s="22" t="s">
        <v>71</v>
      </c>
      <c r="J11" s="22"/>
      <c r="K11" s="22">
        <v>3686</v>
      </c>
      <c r="L11" s="22">
        <f t="shared" si="2"/>
        <v>-383.69999999999982</v>
      </c>
      <c r="M11" s="22">
        <f t="shared" si="3"/>
        <v>3302.3</v>
      </c>
      <c r="N11" s="22"/>
      <c r="O11" s="22"/>
      <c r="P11" s="22" t="s">
        <v>72</v>
      </c>
      <c r="Q11" s="22">
        <v>1113.8373495522801</v>
      </c>
      <c r="R11" s="22">
        <v>1100</v>
      </c>
      <c r="S11" s="22">
        <v>1700</v>
      </c>
      <c r="T11" s="22">
        <v>649.09806342206957</v>
      </c>
      <c r="U11" s="17"/>
      <c r="V11" s="22">
        <v>659.56738702565144</v>
      </c>
      <c r="W11" s="22"/>
      <c r="X11" s="17"/>
      <c r="Y11" s="17"/>
      <c r="Z11" s="22"/>
      <c r="AA11" s="22">
        <f t="shared" si="4"/>
        <v>660.46</v>
      </c>
      <c r="AB11" s="4">
        <f>12.5*AA11-V11-T11-S11-R11-Q11-O11-F11</f>
        <v>1323.2471999999989</v>
      </c>
      <c r="AC11" s="4">
        <f t="shared" si="5"/>
        <v>823.24719999999888</v>
      </c>
      <c r="AD11" s="4">
        <v>500</v>
      </c>
      <c r="AE11" s="4"/>
      <c r="AF11" s="22"/>
      <c r="AG11" s="22">
        <f t="shared" si="6"/>
        <v>12.5</v>
      </c>
      <c r="AH11" s="22">
        <f t="shared" si="7"/>
        <v>10.496476395239682</v>
      </c>
      <c r="AI11" s="22">
        <v>717.66000000000008</v>
      </c>
      <c r="AJ11" s="22">
        <v>698.8</v>
      </c>
      <c r="AK11" s="22">
        <v>602.20000000000005</v>
      </c>
      <c r="AL11" s="22">
        <v>550.4</v>
      </c>
      <c r="AM11" s="22">
        <v>621.79999999999995</v>
      </c>
      <c r="AN11" s="22">
        <v>638.6</v>
      </c>
      <c r="AO11" s="22">
        <v>583.79999999999995</v>
      </c>
      <c r="AP11" s="22">
        <v>603.6</v>
      </c>
      <c r="AQ11" s="22">
        <v>534.24919999999997</v>
      </c>
      <c r="AR11" s="22">
        <v>630.20000000000005</v>
      </c>
      <c r="AS11" s="22"/>
      <c r="AT11" s="22">
        <f t="shared" si="8"/>
        <v>370</v>
      </c>
      <c r="AU11" s="22">
        <f t="shared" si="9"/>
        <v>225</v>
      </c>
      <c r="AV11" s="22">
        <f t="shared" si="10"/>
        <v>0</v>
      </c>
    </row>
    <row r="12" spans="1:48" x14ac:dyDescent="0.25">
      <c r="A12" s="22" t="s">
        <v>73</v>
      </c>
      <c r="B12" s="22" t="s">
        <v>62</v>
      </c>
      <c r="C12" s="22">
        <v>93</v>
      </c>
      <c r="D12" s="22">
        <v>102</v>
      </c>
      <c r="E12" s="22">
        <v>86</v>
      </c>
      <c r="F12" s="22">
        <v>36</v>
      </c>
      <c r="G12" s="6">
        <v>0.17</v>
      </c>
      <c r="H12" s="22">
        <v>180</v>
      </c>
      <c r="I12" s="22" t="s">
        <v>74</v>
      </c>
      <c r="J12" s="22"/>
      <c r="K12" s="22">
        <v>97</v>
      </c>
      <c r="L12" s="22">
        <f t="shared" si="2"/>
        <v>-11</v>
      </c>
      <c r="M12" s="22">
        <f t="shared" si="3"/>
        <v>86</v>
      </c>
      <c r="N12" s="22"/>
      <c r="O12" s="22"/>
      <c r="P12" s="22" t="s">
        <v>75</v>
      </c>
      <c r="Q12" s="22">
        <v>64.200000000000017</v>
      </c>
      <c r="R12" s="22"/>
      <c r="S12" s="22"/>
      <c r="T12" s="22">
        <v>109.8</v>
      </c>
      <c r="U12" s="17"/>
      <c r="V12" s="22"/>
      <c r="W12" s="22"/>
      <c r="X12" s="17"/>
      <c r="Y12" s="17"/>
      <c r="Z12" s="22"/>
      <c r="AA12" s="22">
        <f t="shared" si="4"/>
        <v>17.2</v>
      </c>
      <c r="AB12" s="4">
        <v>10</v>
      </c>
      <c r="AC12" s="4">
        <f t="shared" si="5"/>
        <v>10</v>
      </c>
      <c r="AD12" s="4"/>
      <c r="AE12" s="4"/>
      <c r="AF12" s="22"/>
      <c r="AG12" s="22">
        <f t="shared" si="6"/>
        <v>12.790697674418606</v>
      </c>
      <c r="AH12" s="22">
        <f t="shared" si="7"/>
        <v>12.209302325581396</v>
      </c>
      <c r="AI12" s="22">
        <v>21</v>
      </c>
      <c r="AJ12" s="22">
        <v>14.4</v>
      </c>
      <c r="AK12" s="22">
        <v>13.6</v>
      </c>
      <c r="AL12" s="22">
        <v>11.2</v>
      </c>
      <c r="AM12" s="22">
        <v>12.6</v>
      </c>
      <c r="AN12" s="22">
        <v>17</v>
      </c>
      <c r="AO12" s="22">
        <v>16.2</v>
      </c>
      <c r="AP12" s="22">
        <v>14.8</v>
      </c>
      <c r="AQ12" s="22">
        <v>14.8</v>
      </c>
      <c r="AR12" s="22">
        <v>35.4</v>
      </c>
      <c r="AS12" s="22"/>
      <c r="AT12" s="22">
        <f t="shared" si="8"/>
        <v>2</v>
      </c>
      <c r="AU12" s="22">
        <f t="shared" si="9"/>
        <v>0</v>
      </c>
      <c r="AV12" s="22">
        <f t="shared" si="10"/>
        <v>0</v>
      </c>
    </row>
    <row r="13" spans="1:48" x14ac:dyDescent="0.25">
      <c r="A13" s="22" t="s">
        <v>76</v>
      </c>
      <c r="B13" s="22" t="s">
        <v>62</v>
      </c>
      <c r="C13" s="22">
        <v>54</v>
      </c>
      <c r="D13" s="22">
        <v>13</v>
      </c>
      <c r="E13" s="22">
        <v>47</v>
      </c>
      <c r="F13" s="22">
        <v>6</v>
      </c>
      <c r="G13" s="6">
        <v>0.3</v>
      </c>
      <c r="H13" s="22">
        <v>40</v>
      </c>
      <c r="I13" s="22" t="s">
        <v>77</v>
      </c>
      <c r="J13" s="22"/>
      <c r="K13" s="22">
        <v>60</v>
      </c>
      <c r="L13" s="22">
        <f t="shared" si="2"/>
        <v>-13</v>
      </c>
      <c r="M13" s="22">
        <f t="shared" si="3"/>
        <v>47</v>
      </c>
      <c r="N13" s="22"/>
      <c r="O13" s="22"/>
      <c r="P13" s="22" t="s">
        <v>78</v>
      </c>
      <c r="Q13" s="22">
        <v>0</v>
      </c>
      <c r="R13" s="22"/>
      <c r="S13" s="22"/>
      <c r="T13" s="22">
        <v>84.8</v>
      </c>
      <c r="U13" s="17"/>
      <c r="V13" s="22"/>
      <c r="W13" s="22"/>
      <c r="X13" s="17"/>
      <c r="Y13" s="17"/>
      <c r="Z13" s="22"/>
      <c r="AA13" s="22">
        <f t="shared" si="4"/>
        <v>9.4</v>
      </c>
      <c r="AB13" s="4">
        <f>12.5*AA13-V13-T13-S13-R13-Q13-O13-F13</f>
        <v>26.700000000000003</v>
      </c>
      <c r="AC13" s="4">
        <f t="shared" si="5"/>
        <v>26.700000000000003</v>
      </c>
      <c r="AD13" s="4"/>
      <c r="AE13" s="4"/>
      <c r="AF13" s="22"/>
      <c r="AG13" s="22">
        <f t="shared" si="6"/>
        <v>12.5</v>
      </c>
      <c r="AH13" s="22">
        <f t="shared" si="7"/>
        <v>9.6595744680851059</v>
      </c>
      <c r="AI13" s="22">
        <v>13.4</v>
      </c>
      <c r="AJ13" s="22">
        <v>4.4000000000000004</v>
      </c>
      <c r="AK13" s="22">
        <v>0.4</v>
      </c>
      <c r="AL13" s="22">
        <v>5.8</v>
      </c>
      <c r="AM13" s="22">
        <v>7</v>
      </c>
      <c r="AN13" s="22">
        <v>1.6</v>
      </c>
      <c r="AO13" s="22">
        <v>-0.4</v>
      </c>
      <c r="AP13" s="22">
        <v>7</v>
      </c>
      <c r="AQ13" s="22">
        <v>6.2</v>
      </c>
      <c r="AR13" s="22">
        <v>7.4</v>
      </c>
      <c r="AS13" s="22"/>
      <c r="AT13" s="22">
        <f t="shared" si="8"/>
        <v>8</v>
      </c>
      <c r="AU13" s="22">
        <f t="shared" si="9"/>
        <v>0</v>
      </c>
      <c r="AV13" s="22">
        <f t="shared" si="10"/>
        <v>0</v>
      </c>
    </row>
    <row r="14" spans="1:48" x14ac:dyDescent="0.25">
      <c r="A14" s="22" t="s">
        <v>79</v>
      </c>
      <c r="B14" s="22" t="s">
        <v>62</v>
      </c>
      <c r="C14" s="22">
        <v>108</v>
      </c>
      <c r="D14" s="22">
        <v>269</v>
      </c>
      <c r="E14" s="22">
        <v>147</v>
      </c>
      <c r="F14" s="22">
        <v>16</v>
      </c>
      <c r="G14" s="6">
        <v>0.17</v>
      </c>
      <c r="H14" s="22">
        <v>180</v>
      </c>
      <c r="I14" s="22" t="s">
        <v>80</v>
      </c>
      <c r="J14" s="22"/>
      <c r="K14" s="22">
        <v>220</v>
      </c>
      <c r="L14" s="22">
        <f t="shared" si="2"/>
        <v>-73</v>
      </c>
      <c r="M14" s="22">
        <f t="shared" si="3"/>
        <v>147</v>
      </c>
      <c r="N14" s="22"/>
      <c r="O14" s="22"/>
      <c r="P14" s="22" t="s">
        <v>81</v>
      </c>
      <c r="Q14" s="22">
        <v>219.99999999999989</v>
      </c>
      <c r="R14" s="22">
        <v>200</v>
      </c>
      <c r="S14" s="22">
        <v>300</v>
      </c>
      <c r="T14" s="22">
        <v>55.200000000000159</v>
      </c>
      <c r="U14" s="17"/>
      <c r="V14" s="22"/>
      <c r="W14" s="22"/>
      <c r="X14" s="17"/>
      <c r="Y14" s="17"/>
      <c r="Z14" s="22"/>
      <c r="AA14" s="22">
        <f t="shared" si="4"/>
        <v>29.4</v>
      </c>
      <c r="AB14" s="4"/>
      <c r="AC14" s="4">
        <f t="shared" si="5"/>
        <v>0</v>
      </c>
      <c r="AD14" s="4"/>
      <c r="AE14" s="4"/>
      <c r="AF14" s="22"/>
      <c r="AG14" s="22">
        <f t="shared" si="6"/>
        <v>26.911564625850342</v>
      </c>
      <c r="AH14" s="22">
        <f t="shared" si="7"/>
        <v>26.911564625850342</v>
      </c>
      <c r="AI14" s="22">
        <v>74.2</v>
      </c>
      <c r="AJ14" s="22">
        <v>73.8</v>
      </c>
      <c r="AK14" s="22">
        <v>37.6</v>
      </c>
      <c r="AL14" s="22">
        <v>35.200000000000003</v>
      </c>
      <c r="AM14" s="22">
        <v>46.2</v>
      </c>
      <c r="AN14" s="22">
        <v>49.6</v>
      </c>
      <c r="AO14" s="22">
        <v>43.2</v>
      </c>
      <c r="AP14" s="22">
        <v>44</v>
      </c>
      <c r="AQ14" s="22">
        <v>46.6</v>
      </c>
      <c r="AR14" s="22">
        <v>48.4</v>
      </c>
      <c r="AS14" s="22"/>
      <c r="AT14" s="22">
        <f t="shared" si="8"/>
        <v>0</v>
      </c>
      <c r="AU14" s="22">
        <f t="shared" si="9"/>
        <v>0</v>
      </c>
      <c r="AV14" s="22">
        <f t="shared" si="10"/>
        <v>0</v>
      </c>
    </row>
    <row r="15" spans="1:48" x14ac:dyDescent="0.25">
      <c r="A15" s="22" t="s">
        <v>82</v>
      </c>
      <c r="B15" s="22" t="s">
        <v>52</v>
      </c>
      <c r="C15" s="22">
        <v>4219.9669999999996</v>
      </c>
      <c r="D15" s="22">
        <v>5059.9009999999998</v>
      </c>
      <c r="E15" s="22">
        <v>3589.93</v>
      </c>
      <c r="F15" s="22">
        <v>2650.5390000000002</v>
      </c>
      <c r="G15" s="6">
        <v>1</v>
      </c>
      <c r="H15" s="22">
        <v>70</v>
      </c>
      <c r="I15" s="22" t="s">
        <v>83</v>
      </c>
      <c r="J15" s="22"/>
      <c r="K15" s="22">
        <v>3595.25</v>
      </c>
      <c r="L15" s="22">
        <f t="shared" si="2"/>
        <v>-5.3200000000001637</v>
      </c>
      <c r="M15" s="22">
        <f t="shared" si="3"/>
        <v>3589.93</v>
      </c>
      <c r="N15" s="22"/>
      <c r="O15" s="22"/>
      <c r="P15" s="22" t="s">
        <v>84</v>
      </c>
      <c r="Q15" s="22">
        <v>1000.238413501905</v>
      </c>
      <c r="R15" s="22">
        <v>750</v>
      </c>
      <c r="S15" s="22">
        <v>1300</v>
      </c>
      <c r="T15" s="22">
        <v>650.32179464705507</v>
      </c>
      <c r="U15" s="17"/>
      <c r="V15" s="22">
        <v>660.81085585103995</v>
      </c>
      <c r="W15" s="22"/>
      <c r="X15" s="17"/>
      <c r="Y15" s="17"/>
      <c r="Z15" s="22"/>
      <c r="AA15" s="22">
        <f t="shared" si="4"/>
        <v>717.98599999999999</v>
      </c>
      <c r="AB15" s="4">
        <f>12.5*AA15-V15-T15-S15-R15-Q15-O15-F15</f>
        <v>1962.9149360000015</v>
      </c>
      <c r="AC15" s="4">
        <v>800</v>
      </c>
      <c r="AD15" s="4">
        <v>500</v>
      </c>
      <c r="AE15" s="4">
        <v>500</v>
      </c>
      <c r="AF15" s="22"/>
      <c r="AG15" s="22">
        <f t="shared" si="6"/>
        <v>12.273094550590123</v>
      </c>
      <c r="AH15" s="22">
        <f t="shared" si="7"/>
        <v>9.7660818790338535</v>
      </c>
      <c r="AI15" s="22">
        <v>729.06079999999997</v>
      </c>
      <c r="AJ15" s="22">
        <v>733.47640000000001</v>
      </c>
      <c r="AK15" s="22">
        <v>698.62239999999997</v>
      </c>
      <c r="AL15" s="22">
        <v>743.16840000000002</v>
      </c>
      <c r="AM15" s="22">
        <v>777.8900000000001</v>
      </c>
      <c r="AN15" s="22">
        <v>793.41980000000001</v>
      </c>
      <c r="AO15" s="22">
        <v>813.2912</v>
      </c>
      <c r="AP15" s="22">
        <v>705.12139999999999</v>
      </c>
      <c r="AQ15" s="22">
        <v>789.39300000000003</v>
      </c>
      <c r="AR15" s="22">
        <v>802.29679999999996</v>
      </c>
      <c r="AS15" s="22"/>
      <c r="AT15" s="22">
        <f t="shared" si="8"/>
        <v>800</v>
      </c>
      <c r="AU15" s="22">
        <f t="shared" si="9"/>
        <v>500</v>
      </c>
      <c r="AV15" s="22">
        <f t="shared" si="10"/>
        <v>500</v>
      </c>
    </row>
    <row r="16" spans="1:48" x14ac:dyDescent="0.25">
      <c r="A16" s="22" t="s">
        <v>85</v>
      </c>
      <c r="B16" s="22" t="s">
        <v>52</v>
      </c>
      <c r="C16" s="22">
        <v>5488.7709999999997</v>
      </c>
      <c r="D16" s="22">
        <v>1809.3</v>
      </c>
      <c r="E16" s="22">
        <v>3254.989</v>
      </c>
      <c r="F16" s="22">
        <v>2463.7669999999998</v>
      </c>
      <c r="G16" s="6">
        <v>1</v>
      </c>
      <c r="H16" s="22">
        <v>50</v>
      </c>
      <c r="I16" s="22" t="s">
        <v>86</v>
      </c>
      <c r="J16" s="22"/>
      <c r="K16" s="22">
        <v>3410.55</v>
      </c>
      <c r="L16" s="22">
        <f t="shared" si="2"/>
        <v>-155.56100000000015</v>
      </c>
      <c r="M16" s="22">
        <f t="shared" si="3"/>
        <v>3254.989</v>
      </c>
      <c r="N16" s="22"/>
      <c r="O16" s="22"/>
      <c r="P16" s="22" t="s">
        <v>87</v>
      </c>
      <c r="Q16" s="22">
        <v>683.07407759999842</v>
      </c>
      <c r="R16" s="22">
        <v>600</v>
      </c>
      <c r="S16" s="22">
        <v>800</v>
      </c>
      <c r="T16" s="22">
        <v>924.85034467840137</v>
      </c>
      <c r="U16" s="17"/>
      <c r="V16" s="25">
        <v>939.76728572160141</v>
      </c>
      <c r="W16" s="25">
        <v>-940</v>
      </c>
      <c r="X16" s="17"/>
      <c r="Y16" s="17"/>
      <c r="Z16" s="22"/>
      <c r="AA16" s="22">
        <f t="shared" si="4"/>
        <v>650.99779999999998</v>
      </c>
      <c r="AB16" s="4">
        <f>12.5*AA16-V16-T16-S16-R16-Q16-O16-F16</f>
        <v>1726.0137919999988</v>
      </c>
      <c r="AC16" s="4">
        <f t="shared" ref="AC16:AC47" si="11">AB16-AD16-AE16</f>
        <v>1226.0137919999988</v>
      </c>
      <c r="AD16" s="4">
        <v>500</v>
      </c>
      <c r="AE16" s="4"/>
      <c r="AF16" s="22"/>
      <c r="AG16" s="22">
        <f t="shared" si="6"/>
        <v>11.056062708660459</v>
      </c>
      <c r="AH16" s="22">
        <f t="shared" si="7"/>
        <v>8.4047268792613448</v>
      </c>
      <c r="AI16" s="22">
        <v>665.4226000000001</v>
      </c>
      <c r="AJ16" s="22">
        <v>618.9745999999999</v>
      </c>
      <c r="AK16" s="22">
        <v>533.11019999999996</v>
      </c>
      <c r="AL16" s="22">
        <v>718.05599999999993</v>
      </c>
      <c r="AM16" s="22">
        <v>883.88040000000001</v>
      </c>
      <c r="AN16" s="22">
        <v>762.78340000000003</v>
      </c>
      <c r="AO16" s="22">
        <v>722.84620000000007</v>
      </c>
      <c r="AP16" s="22">
        <v>706.84280000000001</v>
      </c>
      <c r="AQ16" s="22">
        <v>748.38280000000009</v>
      </c>
      <c r="AR16" s="22">
        <v>655.88239999999996</v>
      </c>
      <c r="AS16" s="22"/>
      <c r="AT16" s="22">
        <f t="shared" si="8"/>
        <v>1226</v>
      </c>
      <c r="AU16" s="22">
        <f t="shared" si="9"/>
        <v>500</v>
      </c>
      <c r="AV16" s="22">
        <f t="shared" si="10"/>
        <v>0</v>
      </c>
    </row>
    <row r="17" spans="1:48" x14ac:dyDescent="0.25">
      <c r="A17" s="22" t="s">
        <v>88</v>
      </c>
      <c r="B17" s="22" t="s">
        <v>52</v>
      </c>
      <c r="C17" s="22">
        <v>602.35699999999997</v>
      </c>
      <c r="D17" s="22">
        <v>301.17200000000003</v>
      </c>
      <c r="E17" s="22">
        <v>263.43099999999998</v>
      </c>
      <c r="F17" s="22">
        <v>626.40599999999995</v>
      </c>
      <c r="G17" s="6">
        <v>1</v>
      </c>
      <c r="H17" s="22">
        <v>60</v>
      </c>
      <c r="I17" s="22" t="s">
        <v>89</v>
      </c>
      <c r="J17" s="22"/>
      <c r="K17" s="22">
        <v>269.64999999999998</v>
      </c>
      <c r="L17" s="22">
        <f t="shared" si="2"/>
        <v>-6.2189999999999941</v>
      </c>
      <c r="M17" s="22">
        <f t="shared" si="3"/>
        <v>263.43099999999998</v>
      </c>
      <c r="N17" s="22"/>
      <c r="O17" s="22"/>
      <c r="P17" s="22" t="s">
        <v>90</v>
      </c>
      <c r="Q17" s="22">
        <v>0</v>
      </c>
      <c r="R17" s="22"/>
      <c r="S17" s="22"/>
      <c r="T17" s="22">
        <v>0</v>
      </c>
      <c r="U17" s="17"/>
      <c r="V17" s="22"/>
      <c r="W17" s="22"/>
      <c r="X17" s="17"/>
      <c r="Y17" s="17"/>
      <c r="Z17" s="22"/>
      <c r="AA17" s="22">
        <f t="shared" si="4"/>
        <v>52.686199999999999</v>
      </c>
      <c r="AB17" s="4">
        <f>12.5*AA17-V17-T17-S17-R17-Q17-O17-F17</f>
        <v>32.171500000000037</v>
      </c>
      <c r="AC17" s="4">
        <f t="shared" si="11"/>
        <v>32.171500000000037</v>
      </c>
      <c r="AD17" s="4"/>
      <c r="AE17" s="4"/>
      <c r="AF17" s="22"/>
      <c r="AG17" s="22">
        <f t="shared" si="6"/>
        <v>12.5</v>
      </c>
      <c r="AH17" s="22">
        <f t="shared" si="7"/>
        <v>11.889375206410786</v>
      </c>
      <c r="AI17" s="22">
        <v>53.1126</v>
      </c>
      <c r="AJ17" s="22">
        <v>49.364400000000003</v>
      </c>
      <c r="AK17" s="22">
        <v>53.144799999999996</v>
      </c>
      <c r="AL17" s="22">
        <v>67.895600000000002</v>
      </c>
      <c r="AM17" s="22">
        <v>65.342600000000004</v>
      </c>
      <c r="AN17" s="22">
        <v>56.481399999999987</v>
      </c>
      <c r="AO17" s="22">
        <v>55.717200000000012</v>
      </c>
      <c r="AP17" s="22">
        <v>68.611000000000004</v>
      </c>
      <c r="AQ17" s="22">
        <v>50.957799999999999</v>
      </c>
      <c r="AR17" s="22">
        <v>50.501199999999997</v>
      </c>
      <c r="AS17" s="22"/>
      <c r="AT17" s="22">
        <f t="shared" si="8"/>
        <v>32</v>
      </c>
      <c r="AU17" s="22">
        <f t="shared" si="9"/>
        <v>0</v>
      </c>
      <c r="AV17" s="22">
        <f t="shared" si="10"/>
        <v>0</v>
      </c>
    </row>
    <row r="18" spans="1:48" x14ac:dyDescent="0.25">
      <c r="A18" s="22" t="s">
        <v>91</v>
      </c>
      <c r="B18" s="22" t="s">
        <v>52</v>
      </c>
      <c r="C18" s="22">
        <v>14.237</v>
      </c>
      <c r="D18" s="22">
        <v>1.429</v>
      </c>
      <c r="E18" s="22">
        <v>5.2670000000000003</v>
      </c>
      <c r="F18" s="22">
        <v>8.6140000000000008</v>
      </c>
      <c r="G18" s="6">
        <v>1</v>
      </c>
      <c r="H18" s="22">
        <v>180</v>
      </c>
      <c r="I18" s="22" t="s">
        <v>92</v>
      </c>
      <c r="J18" s="22"/>
      <c r="K18" s="22">
        <v>6.18</v>
      </c>
      <c r="L18" s="22">
        <f t="shared" si="2"/>
        <v>-0.91299999999999937</v>
      </c>
      <c r="M18" s="22">
        <f t="shared" si="3"/>
        <v>5.2670000000000003</v>
      </c>
      <c r="N18" s="22"/>
      <c r="O18" s="22"/>
      <c r="P18" s="22" t="s">
        <v>93</v>
      </c>
      <c r="Q18" s="22">
        <v>0</v>
      </c>
      <c r="R18" s="22"/>
      <c r="S18" s="22"/>
      <c r="T18" s="22">
        <v>4</v>
      </c>
      <c r="U18" s="17"/>
      <c r="V18" s="22"/>
      <c r="W18" s="22"/>
      <c r="X18" s="17"/>
      <c r="Y18" s="17"/>
      <c r="Z18" s="22"/>
      <c r="AA18" s="22">
        <f t="shared" si="4"/>
        <v>1.0534000000000001</v>
      </c>
      <c r="AB18" s="4">
        <v>4</v>
      </c>
      <c r="AC18" s="4">
        <f t="shared" si="11"/>
        <v>4</v>
      </c>
      <c r="AD18" s="4"/>
      <c r="AE18" s="4"/>
      <c r="AF18" s="22"/>
      <c r="AG18" s="22">
        <f t="shared" si="6"/>
        <v>15.771786595785075</v>
      </c>
      <c r="AH18" s="22">
        <f t="shared" si="7"/>
        <v>11.974558572242262</v>
      </c>
      <c r="AI18" s="22">
        <v>1.054</v>
      </c>
      <c r="AJ18" s="22">
        <v>0.2838</v>
      </c>
      <c r="AK18" s="22">
        <v>6.9999999999999993E-2</v>
      </c>
      <c r="AL18" s="22">
        <v>0.49559999999999998</v>
      </c>
      <c r="AM18" s="22">
        <v>0.99740000000000006</v>
      </c>
      <c r="AN18" s="22">
        <v>1.117</v>
      </c>
      <c r="AO18" s="22">
        <v>0.61639999999999995</v>
      </c>
      <c r="AP18" s="22">
        <v>1.0631999999999999</v>
      </c>
      <c r="AQ18" s="22">
        <v>0.13980000000000001</v>
      </c>
      <c r="AR18" s="22">
        <v>0.50239999999999996</v>
      </c>
      <c r="AS18" s="22"/>
      <c r="AT18" s="22">
        <f t="shared" si="8"/>
        <v>4</v>
      </c>
      <c r="AU18" s="22">
        <f t="shared" si="9"/>
        <v>0</v>
      </c>
      <c r="AV18" s="22">
        <f t="shared" si="10"/>
        <v>0</v>
      </c>
    </row>
    <row r="19" spans="1:48" x14ac:dyDescent="0.25">
      <c r="A19" s="22" t="s">
        <v>94</v>
      </c>
      <c r="B19" s="22" t="s">
        <v>52</v>
      </c>
      <c r="C19" s="22">
        <v>5123.7079999999996</v>
      </c>
      <c r="D19" s="22">
        <v>4940.0609999999997</v>
      </c>
      <c r="E19" s="22">
        <v>4486.3580000000002</v>
      </c>
      <c r="F19" s="22">
        <v>3840.3380000000002</v>
      </c>
      <c r="G19" s="6">
        <v>1</v>
      </c>
      <c r="H19" s="22">
        <v>60</v>
      </c>
      <c r="I19" s="22" t="s">
        <v>95</v>
      </c>
      <c r="J19" s="22"/>
      <c r="K19" s="22">
        <v>4602.1319999999996</v>
      </c>
      <c r="L19" s="22">
        <f t="shared" si="2"/>
        <v>-115.77399999999943</v>
      </c>
      <c r="M19" s="22">
        <f t="shared" si="3"/>
        <v>4385.1260000000002</v>
      </c>
      <c r="N19" s="22">
        <v>101.232</v>
      </c>
      <c r="O19" s="22"/>
      <c r="P19" s="22" t="s">
        <v>96</v>
      </c>
      <c r="Q19" s="22">
        <v>1163.2068591820489</v>
      </c>
      <c r="R19" s="22">
        <v>1000</v>
      </c>
      <c r="S19" s="22">
        <v>1500</v>
      </c>
      <c r="T19" s="22">
        <v>493.59247989370459</v>
      </c>
      <c r="U19" s="17"/>
      <c r="V19" s="22">
        <v>501.55364892424819</v>
      </c>
      <c r="W19" s="22"/>
      <c r="X19" s="17"/>
      <c r="Y19" s="17"/>
      <c r="Z19" s="22"/>
      <c r="AA19" s="22">
        <f t="shared" si="4"/>
        <v>877.02520000000004</v>
      </c>
      <c r="AB19" s="4">
        <f>12.5*AA19-V19-T19-S19-R19-Q19-O19-F19</f>
        <v>2464.1240119999989</v>
      </c>
      <c r="AC19" s="4">
        <f t="shared" si="11"/>
        <v>1064.1240119999989</v>
      </c>
      <c r="AD19" s="4">
        <v>900</v>
      </c>
      <c r="AE19" s="4">
        <v>500</v>
      </c>
      <c r="AF19" s="22"/>
      <c r="AG19" s="22">
        <f t="shared" si="6"/>
        <v>12.5</v>
      </c>
      <c r="AH19" s="22">
        <f t="shared" si="7"/>
        <v>9.6903612210914822</v>
      </c>
      <c r="AI19" s="22">
        <v>881.83860000000004</v>
      </c>
      <c r="AJ19" s="22">
        <v>955.75059999999996</v>
      </c>
      <c r="AK19" s="22">
        <v>939.14380000000006</v>
      </c>
      <c r="AL19" s="22">
        <v>972.13600000000008</v>
      </c>
      <c r="AM19" s="22">
        <v>972.09439999999995</v>
      </c>
      <c r="AN19" s="22">
        <v>939.87340000000006</v>
      </c>
      <c r="AO19" s="22">
        <v>926.64840000000004</v>
      </c>
      <c r="AP19" s="22">
        <v>875.15440000000001</v>
      </c>
      <c r="AQ19" s="22">
        <v>870.96839999999997</v>
      </c>
      <c r="AR19" s="22">
        <v>923.96080000000006</v>
      </c>
      <c r="AS19" s="22"/>
      <c r="AT19" s="22">
        <f t="shared" si="8"/>
        <v>1064</v>
      </c>
      <c r="AU19" s="22">
        <f t="shared" si="9"/>
        <v>900</v>
      </c>
      <c r="AV19" s="22">
        <f t="shared" si="10"/>
        <v>500</v>
      </c>
    </row>
    <row r="20" spans="1:48" x14ac:dyDescent="0.25">
      <c r="A20" s="24" t="s">
        <v>97</v>
      </c>
      <c r="B20" s="24" t="s">
        <v>52</v>
      </c>
      <c r="C20" s="24"/>
      <c r="D20" s="24">
        <v>4.9950000000000001</v>
      </c>
      <c r="E20" s="11">
        <v>4.9950000000000001</v>
      </c>
      <c r="F20" s="24"/>
      <c r="G20" s="8">
        <v>0</v>
      </c>
      <c r="H20" s="24"/>
      <c r="I20" s="24" t="s">
        <v>98</v>
      </c>
      <c r="J20" s="24" t="s">
        <v>99</v>
      </c>
      <c r="K20" s="24">
        <v>5</v>
      </c>
      <c r="L20" s="24">
        <f t="shared" si="2"/>
        <v>-4.9999999999998934E-3</v>
      </c>
      <c r="M20" s="24">
        <f t="shared" si="3"/>
        <v>4.9950000000000001</v>
      </c>
      <c r="N20" s="24"/>
      <c r="O20" s="24"/>
      <c r="P20" s="24" t="s">
        <v>100</v>
      </c>
      <c r="Q20" s="24"/>
      <c r="R20" s="24"/>
      <c r="S20" s="24"/>
      <c r="T20" s="24">
        <v>0</v>
      </c>
      <c r="U20" s="20"/>
      <c r="V20" s="24"/>
      <c r="W20" s="24"/>
      <c r="X20" s="20"/>
      <c r="Y20" s="20"/>
      <c r="Z20" s="22"/>
      <c r="AA20" s="24">
        <f t="shared" si="4"/>
        <v>0.999</v>
      </c>
      <c r="AB20" s="9"/>
      <c r="AC20" s="4">
        <f t="shared" si="11"/>
        <v>0</v>
      </c>
      <c r="AD20" s="9"/>
      <c r="AE20" s="9"/>
      <c r="AF20" s="24"/>
      <c r="AG20" s="22">
        <f t="shared" si="6"/>
        <v>0</v>
      </c>
      <c r="AH20" s="22">
        <f t="shared" si="7"/>
        <v>0</v>
      </c>
      <c r="AI20" s="24">
        <v>0.999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/>
      <c r="AT20" s="22">
        <f t="shared" si="8"/>
        <v>0</v>
      </c>
      <c r="AU20" s="22">
        <f t="shared" si="9"/>
        <v>0</v>
      </c>
      <c r="AV20" s="22">
        <f t="shared" si="10"/>
        <v>0</v>
      </c>
    </row>
    <row r="21" spans="1:48" x14ac:dyDescent="0.25">
      <c r="A21" s="22" t="s">
        <v>101</v>
      </c>
      <c r="B21" s="22" t="s">
        <v>52</v>
      </c>
      <c r="C21" s="22">
        <v>577.77800000000002</v>
      </c>
      <c r="D21" s="22">
        <v>602.89200000000005</v>
      </c>
      <c r="E21" s="22">
        <v>438.83499999999998</v>
      </c>
      <c r="F21" s="22">
        <v>623.55799999999999</v>
      </c>
      <c r="G21" s="6">
        <v>1</v>
      </c>
      <c r="H21" s="22">
        <v>70</v>
      </c>
      <c r="I21" s="22" t="s">
        <v>102</v>
      </c>
      <c r="J21" s="22"/>
      <c r="K21" s="22">
        <v>457</v>
      </c>
      <c r="L21" s="22">
        <f t="shared" si="2"/>
        <v>-18.16500000000002</v>
      </c>
      <c r="M21" s="22">
        <f t="shared" si="3"/>
        <v>438.83499999999998</v>
      </c>
      <c r="N21" s="22"/>
      <c r="O21" s="22"/>
      <c r="P21" s="22" t="s">
        <v>103</v>
      </c>
      <c r="Q21" s="22">
        <v>191.72840000000019</v>
      </c>
      <c r="R21" s="22">
        <v>100</v>
      </c>
      <c r="S21" s="22">
        <v>200</v>
      </c>
      <c r="T21" s="22">
        <v>0</v>
      </c>
      <c r="U21" s="17"/>
      <c r="V21" s="22"/>
      <c r="W21" s="22"/>
      <c r="X21" s="17"/>
      <c r="Y21" s="17"/>
      <c r="Z21" s="22"/>
      <c r="AA21" s="22">
        <f t="shared" si="4"/>
        <v>87.766999999999996</v>
      </c>
      <c r="AB21" s="4"/>
      <c r="AC21" s="4">
        <f t="shared" si="11"/>
        <v>0</v>
      </c>
      <c r="AD21" s="4"/>
      <c r="AE21" s="4"/>
      <c r="AF21" s="22"/>
      <c r="AG21" s="22">
        <f t="shared" si="6"/>
        <v>12.707354700513863</v>
      </c>
      <c r="AH21" s="22">
        <f t="shared" si="7"/>
        <v>12.707354700513863</v>
      </c>
      <c r="AI21" s="22">
        <v>81.984399999999994</v>
      </c>
      <c r="AJ21" s="22">
        <v>105.79219999999999</v>
      </c>
      <c r="AK21" s="22">
        <v>91.558999999999997</v>
      </c>
      <c r="AL21" s="22">
        <v>105.01179999999999</v>
      </c>
      <c r="AM21" s="22">
        <v>101.4824</v>
      </c>
      <c r="AN21" s="22">
        <v>87.5822</v>
      </c>
      <c r="AO21" s="22">
        <v>89.291799999999995</v>
      </c>
      <c r="AP21" s="22">
        <v>91.848800000000011</v>
      </c>
      <c r="AQ21" s="22">
        <v>109.9436</v>
      </c>
      <c r="AR21" s="22">
        <v>85.954800000000006</v>
      </c>
      <c r="AS21" s="22"/>
      <c r="AT21" s="22">
        <f t="shared" si="8"/>
        <v>0</v>
      </c>
      <c r="AU21" s="22">
        <f t="shared" si="9"/>
        <v>0</v>
      </c>
      <c r="AV21" s="22">
        <f t="shared" si="10"/>
        <v>0</v>
      </c>
    </row>
    <row r="22" spans="1:48" x14ac:dyDescent="0.25">
      <c r="A22" s="22" t="s">
        <v>104</v>
      </c>
      <c r="B22" s="22" t="s">
        <v>52</v>
      </c>
      <c r="C22" s="22">
        <v>2077.6869999999999</v>
      </c>
      <c r="D22" s="22">
        <v>1374.2570000000001</v>
      </c>
      <c r="E22" s="22">
        <v>1179.7550000000001</v>
      </c>
      <c r="F22" s="22">
        <v>1298.4380000000001</v>
      </c>
      <c r="G22" s="6">
        <v>1</v>
      </c>
      <c r="H22" s="22">
        <v>70</v>
      </c>
      <c r="I22" s="22" t="s">
        <v>105</v>
      </c>
      <c r="J22" s="22"/>
      <c r="K22" s="22">
        <v>1195.877</v>
      </c>
      <c r="L22" s="22">
        <f t="shared" si="2"/>
        <v>-16.121999999999844</v>
      </c>
      <c r="M22" s="22">
        <f t="shared" si="3"/>
        <v>1179.7550000000001</v>
      </c>
      <c r="N22" s="22"/>
      <c r="O22" s="22"/>
      <c r="P22" s="22" t="s">
        <v>106</v>
      </c>
      <c r="Q22" s="22">
        <v>189.4469703999998</v>
      </c>
      <c r="R22" s="22"/>
      <c r="S22" s="22">
        <v>100</v>
      </c>
      <c r="T22" s="22">
        <v>259.85550588160021</v>
      </c>
      <c r="U22" s="17"/>
      <c r="V22" s="22">
        <v>264.04672371840007</v>
      </c>
      <c r="W22" s="22"/>
      <c r="X22" s="17"/>
      <c r="Y22" s="17"/>
      <c r="Z22" s="22"/>
      <c r="AA22" s="22">
        <f t="shared" si="4"/>
        <v>235.95100000000002</v>
      </c>
      <c r="AB22" s="4">
        <f>12.5*AA22-V22-T22-S22-R22-Q22-O22-F22</f>
        <v>837.60030000000006</v>
      </c>
      <c r="AC22" s="4">
        <f t="shared" si="11"/>
        <v>437.60030000000006</v>
      </c>
      <c r="AD22" s="4">
        <v>400</v>
      </c>
      <c r="AE22" s="4"/>
      <c r="AF22" s="22"/>
      <c r="AG22" s="22">
        <f t="shared" si="6"/>
        <v>12.5</v>
      </c>
      <c r="AH22" s="22">
        <f t="shared" si="7"/>
        <v>8.9501091328284268</v>
      </c>
      <c r="AI22" s="22">
        <v>225.54</v>
      </c>
      <c r="AJ22" s="22">
        <v>220.38339999999999</v>
      </c>
      <c r="AK22" s="22">
        <v>213.50020000000001</v>
      </c>
      <c r="AL22" s="22">
        <v>289.41840000000002</v>
      </c>
      <c r="AM22" s="22">
        <v>307.0924</v>
      </c>
      <c r="AN22" s="22">
        <v>271.95859999999999</v>
      </c>
      <c r="AO22" s="22">
        <v>269.67360000000002</v>
      </c>
      <c r="AP22" s="22">
        <v>231.08519999999999</v>
      </c>
      <c r="AQ22" s="22">
        <v>233.071</v>
      </c>
      <c r="AR22" s="22">
        <v>257.7124</v>
      </c>
      <c r="AS22" s="22"/>
      <c r="AT22" s="22">
        <f t="shared" si="8"/>
        <v>438</v>
      </c>
      <c r="AU22" s="22">
        <f t="shared" si="9"/>
        <v>400</v>
      </c>
      <c r="AV22" s="22">
        <f t="shared" si="10"/>
        <v>0</v>
      </c>
    </row>
    <row r="23" spans="1:48" x14ac:dyDescent="0.25">
      <c r="A23" s="22" t="s">
        <v>107</v>
      </c>
      <c r="B23" s="22" t="s">
        <v>52</v>
      </c>
      <c r="C23" s="22">
        <v>2139.2489999999998</v>
      </c>
      <c r="D23" s="22">
        <v>2797.232</v>
      </c>
      <c r="E23" s="22">
        <v>2145.8820000000001</v>
      </c>
      <c r="F23" s="22">
        <v>1423.508</v>
      </c>
      <c r="G23" s="6">
        <v>1</v>
      </c>
      <c r="H23" s="22">
        <v>70</v>
      </c>
      <c r="I23" s="22" t="s">
        <v>108</v>
      </c>
      <c r="J23" s="22"/>
      <c r="K23" s="22">
        <v>2130.1999999999998</v>
      </c>
      <c r="L23" s="22">
        <f t="shared" si="2"/>
        <v>15.682000000000244</v>
      </c>
      <c r="M23" s="22">
        <f t="shared" si="3"/>
        <v>2145.8820000000001</v>
      </c>
      <c r="N23" s="22"/>
      <c r="O23" s="22"/>
      <c r="P23" s="22" t="s">
        <v>109</v>
      </c>
      <c r="Q23" s="22">
        <v>528.78577171000052</v>
      </c>
      <c r="R23" s="22">
        <v>500</v>
      </c>
      <c r="S23" s="22">
        <v>700</v>
      </c>
      <c r="T23" s="22">
        <v>434.92934343984001</v>
      </c>
      <c r="U23" s="17"/>
      <c r="V23" s="22">
        <v>441.94433285015998</v>
      </c>
      <c r="W23" s="22"/>
      <c r="X23" s="17"/>
      <c r="Y23" s="17"/>
      <c r="Z23" s="22"/>
      <c r="AA23" s="22">
        <f t="shared" si="4"/>
        <v>429.1764</v>
      </c>
      <c r="AB23" s="4">
        <f>12.5*AA23-V23-T23-S23-R23-Q23-O23-F23</f>
        <v>1335.5375519999996</v>
      </c>
      <c r="AC23" s="4">
        <f t="shared" si="11"/>
        <v>705.53755199999955</v>
      </c>
      <c r="AD23" s="4">
        <v>400</v>
      </c>
      <c r="AE23" s="4">
        <v>230</v>
      </c>
      <c r="AF23" s="22"/>
      <c r="AG23" s="22">
        <f t="shared" si="6"/>
        <v>12.5</v>
      </c>
      <c r="AH23" s="22">
        <f t="shared" si="7"/>
        <v>9.3881384158122394</v>
      </c>
      <c r="AI23" s="22">
        <v>423.87560000000002</v>
      </c>
      <c r="AJ23" s="22">
        <v>418.34640000000002</v>
      </c>
      <c r="AK23" s="22">
        <v>400.0342</v>
      </c>
      <c r="AL23" s="22">
        <v>384.5324</v>
      </c>
      <c r="AM23" s="22">
        <v>404.67020000000002</v>
      </c>
      <c r="AN23" s="22">
        <v>469.15940000000001</v>
      </c>
      <c r="AO23" s="22">
        <v>501.86099999999999</v>
      </c>
      <c r="AP23" s="22">
        <v>425.32319999999999</v>
      </c>
      <c r="AQ23" s="22">
        <v>412.91019999999997</v>
      </c>
      <c r="AR23" s="22">
        <v>446.06420000000003</v>
      </c>
      <c r="AS23" s="22"/>
      <c r="AT23" s="22">
        <f t="shared" si="8"/>
        <v>706</v>
      </c>
      <c r="AU23" s="22">
        <f t="shared" si="9"/>
        <v>400</v>
      </c>
      <c r="AV23" s="22">
        <f t="shared" si="10"/>
        <v>230</v>
      </c>
    </row>
    <row r="24" spans="1:48" x14ac:dyDescent="0.25">
      <c r="A24" s="22" t="s">
        <v>110</v>
      </c>
      <c r="B24" s="22" t="s">
        <v>52</v>
      </c>
      <c r="C24" s="22">
        <v>49.999000000000002</v>
      </c>
      <c r="D24" s="22">
        <v>54.85</v>
      </c>
      <c r="E24" s="22">
        <v>37.012</v>
      </c>
      <c r="F24" s="22">
        <v>65.656999999999996</v>
      </c>
      <c r="G24" s="6">
        <v>1</v>
      </c>
      <c r="H24" s="22">
        <v>40</v>
      </c>
      <c r="I24" s="22" t="s">
        <v>111</v>
      </c>
      <c r="J24" s="22"/>
      <c r="K24" s="22">
        <v>39.200000000000003</v>
      </c>
      <c r="L24" s="22">
        <f t="shared" si="2"/>
        <v>-2.1880000000000024</v>
      </c>
      <c r="M24" s="22">
        <f t="shared" si="3"/>
        <v>37.012</v>
      </c>
      <c r="N24" s="22"/>
      <c r="O24" s="22"/>
      <c r="P24" s="22" t="s">
        <v>112</v>
      </c>
      <c r="Q24" s="22">
        <v>34.335599999999992</v>
      </c>
      <c r="R24" s="22"/>
      <c r="S24" s="22"/>
      <c r="T24" s="22">
        <v>0</v>
      </c>
      <c r="U24" s="17"/>
      <c r="V24" s="22"/>
      <c r="W24" s="22"/>
      <c r="X24" s="17"/>
      <c r="Y24" s="17"/>
      <c r="Z24" s="22"/>
      <c r="AA24" s="22">
        <f t="shared" si="4"/>
        <v>7.4024000000000001</v>
      </c>
      <c r="AB24" s="4"/>
      <c r="AC24" s="4">
        <f t="shared" si="11"/>
        <v>0</v>
      </c>
      <c r="AD24" s="4"/>
      <c r="AE24" s="4"/>
      <c r="AF24" s="22"/>
      <c r="AG24" s="22">
        <f t="shared" si="6"/>
        <v>13.508132497568354</v>
      </c>
      <c r="AH24" s="22">
        <f t="shared" si="7"/>
        <v>13.508132497568354</v>
      </c>
      <c r="AI24" s="22">
        <v>6.2479999999999993</v>
      </c>
      <c r="AJ24" s="22">
        <v>11.03</v>
      </c>
      <c r="AK24" s="22">
        <v>9.5733999999999995</v>
      </c>
      <c r="AL24" s="22">
        <v>1.4523999999999999</v>
      </c>
      <c r="AM24" s="22">
        <v>1.8864000000000001</v>
      </c>
      <c r="AN24" s="22">
        <v>3.0478000000000001</v>
      </c>
      <c r="AO24" s="22">
        <v>2.6137999999999999</v>
      </c>
      <c r="AP24" s="22">
        <v>0.58140000000000003</v>
      </c>
      <c r="AQ24" s="22">
        <v>9.3971999999999998</v>
      </c>
      <c r="AR24" s="22">
        <v>6.6224000000000007</v>
      </c>
      <c r="AS24" s="22"/>
      <c r="AT24" s="22">
        <f t="shared" si="8"/>
        <v>0</v>
      </c>
      <c r="AU24" s="22">
        <f t="shared" si="9"/>
        <v>0</v>
      </c>
      <c r="AV24" s="22">
        <f t="shared" si="10"/>
        <v>0</v>
      </c>
    </row>
    <row r="25" spans="1:48" hidden="1" x14ac:dyDescent="0.25">
      <c r="A25" s="22" t="s">
        <v>113</v>
      </c>
      <c r="B25" s="22" t="s">
        <v>52</v>
      </c>
      <c r="C25" s="22">
        <v>3503.9369999999999</v>
      </c>
      <c r="D25" s="22">
        <v>2690.8780000000002</v>
      </c>
      <c r="E25" s="22">
        <v>1724.585</v>
      </c>
      <c r="F25" s="22">
        <v>4105.9790000000003</v>
      </c>
      <c r="G25" s="6">
        <v>1</v>
      </c>
      <c r="H25" s="22">
        <v>30</v>
      </c>
      <c r="I25" s="22" t="s">
        <v>114</v>
      </c>
      <c r="J25" s="22"/>
      <c r="K25" s="22">
        <v>2331.5079999999998</v>
      </c>
      <c r="L25" s="22">
        <f t="shared" si="2"/>
        <v>-606.92299999999977</v>
      </c>
      <c r="M25" s="22">
        <f t="shared" si="3"/>
        <v>1724.585</v>
      </c>
      <c r="N25" s="22"/>
      <c r="O25" s="22">
        <v>-3500</v>
      </c>
      <c r="P25" s="22" t="s">
        <v>116</v>
      </c>
      <c r="Q25" s="22">
        <v>742.46054319999985</v>
      </c>
      <c r="R25" s="22">
        <v>600</v>
      </c>
      <c r="S25" s="22">
        <v>900</v>
      </c>
      <c r="T25" s="22">
        <v>700</v>
      </c>
      <c r="U25" s="17"/>
      <c r="V25" s="25">
        <v>700</v>
      </c>
      <c r="W25" s="25">
        <v>-700</v>
      </c>
      <c r="X25" s="17"/>
      <c r="Y25" s="17"/>
      <c r="Z25" s="22">
        <f>VLOOKUP(P25,[1]Лист1!$A:$E,5,0)</f>
        <v>-405.6</v>
      </c>
      <c r="AA25" s="22">
        <f t="shared" si="4"/>
        <v>344.91700000000003</v>
      </c>
      <c r="AB25" s="4">
        <v>700</v>
      </c>
      <c r="AC25" s="4">
        <f t="shared" si="11"/>
        <v>400</v>
      </c>
      <c r="AD25" s="4">
        <v>300</v>
      </c>
      <c r="AE25" s="4"/>
      <c r="AF25" s="22"/>
      <c r="AG25" s="22">
        <f t="shared" si="6"/>
        <v>12.317280804367426</v>
      </c>
      <c r="AH25" s="22">
        <f t="shared" si="7"/>
        <v>10.287807046912736</v>
      </c>
      <c r="AI25" s="22">
        <v>256.0514</v>
      </c>
      <c r="AJ25" s="22">
        <v>349.7722</v>
      </c>
      <c r="AK25" s="22">
        <v>272.06720000000001</v>
      </c>
      <c r="AL25" s="22">
        <v>228.89760000000001</v>
      </c>
      <c r="AM25" s="22">
        <v>443.47500000000002</v>
      </c>
      <c r="AN25" s="22">
        <v>527.50740000000008</v>
      </c>
      <c r="AO25" s="22">
        <v>438.75599999999997</v>
      </c>
      <c r="AP25" s="22">
        <v>67.332399999999993</v>
      </c>
      <c r="AQ25" s="22">
        <v>-3.8862000000000001</v>
      </c>
      <c r="AR25" s="22">
        <v>293.17079999999999</v>
      </c>
      <c r="AS25" s="22" t="s">
        <v>115</v>
      </c>
      <c r="AT25" s="22">
        <f t="shared" si="8"/>
        <v>400</v>
      </c>
      <c r="AU25" s="22">
        <f t="shared" si="9"/>
        <v>300</v>
      </c>
      <c r="AV25" s="22">
        <f t="shared" si="10"/>
        <v>0</v>
      </c>
    </row>
    <row r="26" spans="1:48" x14ac:dyDescent="0.25">
      <c r="A26" s="22" t="s">
        <v>117</v>
      </c>
      <c r="B26" s="22" t="s">
        <v>52</v>
      </c>
      <c r="C26" s="22">
        <v>42.805</v>
      </c>
      <c r="D26" s="22">
        <v>88.841999999999999</v>
      </c>
      <c r="E26" s="22">
        <v>44.279000000000003</v>
      </c>
      <c r="F26" s="22">
        <v>87.367999999999995</v>
      </c>
      <c r="G26" s="6">
        <v>1</v>
      </c>
      <c r="H26" s="22">
        <v>40</v>
      </c>
      <c r="I26" s="22" t="s">
        <v>118</v>
      </c>
      <c r="J26" s="22"/>
      <c r="K26" s="22">
        <v>61.9</v>
      </c>
      <c r="L26" s="22">
        <f t="shared" si="2"/>
        <v>-17.620999999999995</v>
      </c>
      <c r="M26" s="22">
        <f t="shared" si="3"/>
        <v>44.279000000000003</v>
      </c>
      <c r="N26" s="22"/>
      <c r="O26" s="22"/>
      <c r="P26" s="22" t="s">
        <v>119</v>
      </c>
      <c r="Q26" s="22">
        <v>37.695000000000029</v>
      </c>
      <c r="R26" s="22"/>
      <c r="S26" s="22"/>
      <c r="T26" s="22">
        <v>0</v>
      </c>
      <c r="U26" s="17"/>
      <c r="V26" s="22"/>
      <c r="W26" s="22"/>
      <c r="X26" s="17"/>
      <c r="Y26" s="17"/>
      <c r="Z26" s="22"/>
      <c r="AA26" s="22">
        <f t="shared" si="4"/>
        <v>8.8558000000000003</v>
      </c>
      <c r="AB26" s="4"/>
      <c r="AC26" s="4">
        <f t="shared" si="11"/>
        <v>0</v>
      </c>
      <c r="AD26" s="4"/>
      <c r="AE26" s="4"/>
      <c r="AF26" s="22"/>
      <c r="AG26" s="22">
        <f t="shared" si="6"/>
        <v>14.122157230289755</v>
      </c>
      <c r="AH26" s="22">
        <f t="shared" si="7"/>
        <v>14.122157230289755</v>
      </c>
      <c r="AI26" s="22">
        <v>9.4266000000000005</v>
      </c>
      <c r="AJ26" s="22">
        <v>13.422000000000001</v>
      </c>
      <c r="AK26" s="22">
        <v>12.8826</v>
      </c>
      <c r="AL26" s="22">
        <v>1.8428</v>
      </c>
      <c r="AM26" s="22">
        <v>1.2907999999999999</v>
      </c>
      <c r="AN26" s="22">
        <v>8.7688000000000006</v>
      </c>
      <c r="AO26" s="22">
        <v>8.7688000000000006</v>
      </c>
      <c r="AP26" s="22">
        <v>0.80719999999999992</v>
      </c>
      <c r="AQ26" s="22">
        <v>9.4638000000000009</v>
      </c>
      <c r="AR26" s="22">
        <v>4.7930000000000001</v>
      </c>
      <c r="AS26" s="22"/>
      <c r="AT26" s="22">
        <f t="shared" si="8"/>
        <v>0</v>
      </c>
      <c r="AU26" s="22">
        <f t="shared" si="9"/>
        <v>0</v>
      </c>
      <c r="AV26" s="22">
        <f t="shared" si="10"/>
        <v>0</v>
      </c>
    </row>
    <row r="27" spans="1:48" hidden="1" x14ac:dyDescent="0.25">
      <c r="A27" s="22" t="s">
        <v>120</v>
      </c>
      <c r="B27" s="22" t="s">
        <v>52</v>
      </c>
      <c r="C27" s="22">
        <v>9816.232</v>
      </c>
      <c r="D27" s="22">
        <v>6885.5389999999998</v>
      </c>
      <c r="E27" s="22">
        <v>8319.2790000000005</v>
      </c>
      <c r="F27" s="22">
        <v>1565.1510000000001</v>
      </c>
      <c r="G27" s="6">
        <v>1</v>
      </c>
      <c r="H27" s="22">
        <v>40</v>
      </c>
      <c r="I27" s="22" t="s">
        <v>121</v>
      </c>
      <c r="J27" s="22"/>
      <c r="K27" s="22">
        <v>8323.1939999999995</v>
      </c>
      <c r="L27" s="22">
        <f t="shared" si="2"/>
        <v>-3.9149999999990541</v>
      </c>
      <c r="M27" s="22">
        <f t="shared" si="3"/>
        <v>6869.3910000000005</v>
      </c>
      <c r="N27" s="22">
        <v>1449.8879999999999</v>
      </c>
      <c r="O27" s="22"/>
      <c r="P27" s="22" t="s">
        <v>122</v>
      </c>
      <c r="Q27" s="22">
        <v>2556.382722400002</v>
      </c>
      <c r="R27" s="22">
        <v>2500</v>
      </c>
      <c r="S27" s="22">
        <v>4000</v>
      </c>
      <c r="T27" s="22">
        <v>2697.241814681599</v>
      </c>
      <c r="U27" s="17"/>
      <c r="V27" s="25">
        <v>2740.7457149184002</v>
      </c>
      <c r="W27" s="25">
        <v>-2741</v>
      </c>
      <c r="X27" s="17"/>
      <c r="Y27" s="17"/>
      <c r="Z27" s="22">
        <f>VLOOKUP(P27,[1]Лист1!$A:$E,5,0)</f>
        <v>-621</v>
      </c>
      <c r="AA27" s="22">
        <f t="shared" si="4"/>
        <v>1373.8782000000001</v>
      </c>
      <c r="AB27" s="4">
        <f>12.5*AA27-V27-T27-S27-R27-Q27-O27-F27</f>
        <v>1113.9562479999997</v>
      </c>
      <c r="AC27" s="4">
        <f t="shared" si="11"/>
        <v>613.95624799999973</v>
      </c>
      <c r="AD27" s="4">
        <v>500</v>
      </c>
      <c r="AE27" s="4"/>
      <c r="AF27" s="22"/>
      <c r="AG27" s="22">
        <f t="shared" si="6"/>
        <v>10.504917757629462</v>
      </c>
      <c r="AH27" s="22">
        <f t="shared" si="7"/>
        <v>9.6941062548339438</v>
      </c>
      <c r="AI27" s="22">
        <v>1608.1394</v>
      </c>
      <c r="AJ27" s="22">
        <v>1503.0753999999999</v>
      </c>
      <c r="AK27" s="22">
        <v>1112.3946000000001</v>
      </c>
      <c r="AL27" s="22">
        <v>1252.3152</v>
      </c>
      <c r="AM27" s="22">
        <v>1806.3748000000001</v>
      </c>
      <c r="AN27" s="22">
        <v>1535.5788</v>
      </c>
      <c r="AO27" s="22">
        <v>1474.7154</v>
      </c>
      <c r="AP27" s="22">
        <v>0</v>
      </c>
      <c r="AQ27" s="22">
        <v>1578.2021999999999</v>
      </c>
      <c r="AR27" s="22">
        <v>1492.6122</v>
      </c>
      <c r="AS27" s="22"/>
      <c r="AT27" s="22">
        <f t="shared" si="8"/>
        <v>614</v>
      </c>
      <c r="AU27" s="22">
        <f t="shared" si="9"/>
        <v>500</v>
      </c>
      <c r="AV27" s="22">
        <f t="shared" si="10"/>
        <v>0</v>
      </c>
    </row>
    <row r="28" spans="1:48" x14ac:dyDescent="0.25">
      <c r="A28" s="22" t="s">
        <v>123</v>
      </c>
      <c r="B28" s="22" t="s">
        <v>62</v>
      </c>
      <c r="C28" s="22">
        <v>3878</v>
      </c>
      <c r="D28" s="22">
        <v>6198</v>
      </c>
      <c r="E28" s="22">
        <v>4080</v>
      </c>
      <c r="F28" s="22">
        <v>2693</v>
      </c>
      <c r="G28" s="6">
        <v>0.4</v>
      </c>
      <c r="H28" s="22">
        <v>45</v>
      </c>
      <c r="I28" s="22" t="s">
        <v>124</v>
      </c>
      <c r="J28" s="22"/>
      <c r="K28" s="22">
        <v>4412</v>
      </c>
      <c r="L28" s="22">
        <f t="shared" si="2"/>
        <v>-332</v>
      </c>
      <c r="M28" s="22">
        <f t="shared" si="3"/>
        <v>4080</v>
      </c>
      <c r="N28" s="22"/>
      <c r="O28" s="22"/>
      <c r="P28" s="22" t="s">
        <v>125</v>
      </c>
      <c r="Q28" s="22">
        <v>1434.608663951798</v>
      </c>
      <c r="R28" s="22">
        <v>1000</v>
      </c>
      <c r="S28" s="22">
        <v>1700</v>
      </c>
      <c r="T28" s="22">
        <v>1015.896950679909</v>
      </c>
      <c r="U28" s="17"/>
      <c r="V28" s="22">
        <v>1032.2823853682939</v>
      </c>
      <c r="W28" s="22"/>
      <c r="X28" s="17"/>
      <c r="Y28" s="17"/>
      <c r="Z28" s="22"/>
      <c r="AA28" s="22">
        <f t="shared" si="4"/>
        <v>816</v>
      </c>
      <c r="AB28" s="4">
        <f>12.5*AA28-V28-T28-S28-R28-Q28-O28-F28</f>
        <v>1324.2119999999995</v>
      </c>
      <c r="AC28" s="4">
        <f t="shared" si="11"/>
        <v>824.21199999999953</v>
      </c>
      <c r="AD28" s="4"/>
      <c r="AE28" s="4">
        <v>500</v>
      </c>
      <c r="AF28" s="22"/>
      <c r="AG28" s="22">
        <f t="shared" si="6"/>
        <v>12.5</v>
      </c>
      <c r="AH28" s="22">
        <f t="shared" si="7"/>
        <v>10.877191176470589</v>
      </c>
      <c r="AI28" s="22">
        <v>898.6</v>
      </c>
      <c r="AJ28" s="22">
        <v>865</v>
      </c>
      <c r="AK28" s="22">
        <v>794.6</v>
      </c>
      <c r="AL28" s="22">
        <v>770.4</v>
      </c>
      <c r="AM28" s="22">
        <v>777.8</v>
      </c>
      <c r="AN28" s="22">
        <v>836.4</v>
      </c>
      <c r="AO28" s="22">
        <v>934.6</v>
      </c>
      <c r="AP28" s="22">
        <v>824.4</v>
      </c>
      <c r="AQ28" s="22">
        <v>789</v>
      </c>
      <c r="AR28" s="22">
        <v>1397.2</v>
      </c>
      <c r="AS28" s="22"/>
      <c r="AT28" s="22">
        <f t="shared" si="8"/>
        <v>330</v>
      </c>
      <c r="AU28" s="22">
        <f t="shared" si="9"/>
        <v>0</v>
      </c>
      <c r="AV28" s="22">
        <f t="shared" si="10"/>
        <v>200</v>
      </c>
    </row>
    <row r="29" spans="1:48" x14ac:dyDescent="0.25">
      <c r="A29" s="22" t="s">
        <v>126</v>
      </c>
      <c r="B29" s="22" t="s">
        <v>62</v>
      </c>
      <c r="C29" s="22">
        <v>49</v>
      </c>
      <c r="D29" s="22">
        <v>2673</v>
      </c>
      <c r="E29" s="22">
        <v>548</v>
      </c>
      <c r="F29" s="22">
        <v>204.75</v>
      </c>
      <c r="G29" s="6">
        <v>0.45</v>
      </c>
      <c r="H29" s="22">
        <v>50</v>
      </c>
      <c r="I29" s="25" t="s">
        <v>127</v>
      </c>
      <c r="J29" s="22"/>
      <c r="K29" s="22">
        <v>794</v>
      </c>
      <c r="L29" s="22">
        <f t="shared" si="2"/>
        <v>-246</v>
      </c>
      <c r="M29" s="22">
        <f t="shared" si="3"/>
        <v>548</v>
      </c>
      <c r="N29" s="22"/>
      <c r="O29" s="22"/>
      <c r="P29" s="22" t="s">
        <v>129</v>
      </c>
      <c r="Q29" s="22">
        <v>839.05679999999984</v>
      </c>
      <c r="R29" s="22">
        <v>800</v>
      </c>
      <c r="S29" s="22">
        <v>1100</v>
      </c>
      <c r="T29" s="22">
        <v>0</v>
      </c>
      <c r="U29" s="17"/>
      <c r="V29" s="22"/>
      <c r="W29" s="22"/>
      <c r="X29" s="17"/>
      <c r="Y29" s="17"/>
      <c r="Z29" s="22"/>
      <c r="AA29" s="22">
        <f t="shared" si="4"/>
        <v>109.6</v>
      </c>
      <c r="AB29" s="4"/>
      <c r="AC29" s="4">
        <f t="shared" si="11"/>
        <v>0</v>
      </c>
      <c r="AD29" s="4"/>
      <c r="AE29" s="4"/>
      <c r="AF29" s="22"/>
      <c r="AG29" s="22">
        <f t="shared" si="6"/>
        <v>26.859551094890509</v>
      </c>
      <c r="AH29" s="22">
        <f t="shared" si="7"/>
        <v>26.859551094890509</v>
      </c>
      <c r="AI29" s="22">
        <v>174.8</v>
      </c>
      <c r="AJ29" s="22">
        <v>277.8</v>
      </c>
      <c r="AK29" s="22">
        <v>284.8</v>
      </c>
      <c r="AL29" s="22">
        <v>208.4</v>
      </c>
      <c r="AM29" s="22">
        <v>87.4</v>
      </c>
      <c r="AN29" s="22">
        <v>111.2</v>
      </c>
      <c r="AO29" s="22">
        <v>94.2</v>
      </c>
      <c r="AP29" s="22">
        <v>166</v>
      </c>
      <c r="AQ29" s="22">
        <v>120.8</v>
      </c>
      <c r="AR29" s="22">
        <v>153.6</v>
      </c>
      <c r="AS29" s="14" t="s">
        <v>128</v>
      </c>
      <c r="AT29" s="22">
        <f t="shared" si="8"/>
        <v>0</v>
      </c>
      <c r="AU29" s="22">
        <f t="shared" si="9"/>
        <v>0</v>
      </c>
      <c r="AV29" s="22">
        <f t="shared" si="10"/>
        <v>0</v>
      </c>
    </row>
    <row r="30" spans="1:48" x14ac:dyDescent="0.25">
      <c r="A30" s="22" t="s">
        <v>130</v>
      </c>
      <c r="B30" s="22" t="s">
        <v>62</v>
      </c>
      <c r="C30" s="22">
        <v>1095</v>
      </c>
      <c r="D30" s="22">
        <v>1838</v>
      </c>
      <c r="E30" s="22">
        <v>1021</v>
      </c>
      <c r="F30" s="22">
        <v>218</v>
      </c>
      <c r="G30" s="6">
        <v>0.4</v>
      </c>
      <c r="H30" s="22">
        <v>45</v>
      </c>
      <c r="I30" s="22" t="s">
        <v>131</v>
      </c>
      <c r="J30" s="22"/>
      <c r="K30" s="22">
        <v>1221</v>
      </c>
      <c r="L30" s="22">
        <f t="shared" si="2"/>
        <v>-200</v>
      </c>
      <c r="M30" s="22">
        <f t="shared" si="3"/>
        <v>1021</v>
      </c>
      <c r="N30" s="22"/>
      <c r="O30" s="22"/>
      <c r="P30" s="22" t="s">
        <v>132</v>
      </c>
      <c r="Q30" s="22">
        <v>457.32849141599991</v>
      </c>
      <c r="R30" s="22">
        <v>400</v>
      </c>
      <c r="S30" s="22">
        <v>600</v>
      </c>
      <c r="T30" s="22">
        <v>286.83060425766388</v>
      </c>
      <c r="U30" s="17"/>
      <c r="V30" s="22">
        <v>291.45690432633592</v>
      </c>
      <c r="W30" s="22"/>
      <c r="X30" s="17"/>
      <c r="Y30" s="17"/>
      <c r="Z30" s="22"/>
      <c r="AA30" s="22">
        <f t="shared" si="4"/>
        <v>204.2</v>
      </c>
      <c r="AB30" s="4">
        <f>12.5*AA30-V30-T30-S30-R30-Q30-O30-F30+$AB$1*AA30</f>
        <v>166.15400000000025</v>
      </c>
      <c r="AC30" s="4">
        <f t="shared" si="11"/>
        <v>166.15400000000025</v>
      </c>
      <c r="AD30" s="4"/>
      <c r="AE30" s="4"/>
      <c r="AF30" s="22"/>
      <c r="AG30" s="22">
        <f t="shared" si="6"/>
        <v>11.850000000000003</v>
      </c>
      <c r="AH30" s="22">
        <f t="shared" si="7"/>
        <v>11.036317335945153</v>
      </c>
      <c r="AI30" s="22">
        <v>235.2</v>
      </c>
      <c r="AJ30" s="22">
        <v>211</v>
      </c>
      <c r="AK30" s="22">
        <v>165</v>
      </c>
      <c r="AL30" s="22">
        <v>174</v>
      </c>
      <c r="AM30" s="22">
        <v>215.2</v>
      </c>
      <c r="AN30" s="22">
        <v>201.2</v>
      </c>
      <c r="AO30" s="22">
        <v>198.2</v>
      </c>
      <c r="AP30" s="22">
        <v>204.4</v>
      </c>
      <c r="AQ30" s="22">
        <v>183.2</v>
      </c>
      <c r="AR30" s="22">
        <v>200.6</v>
      </c>
      <c r="AS30" s="22"/>
      <c r="AT30" s="22">
        <f t="shared" si="8"/>
        <v>66</v>
      </c>
      <c r="AU30" s="22">
        <f t="shared" si="9"/>
        <v>0</v>
      </c>
      <c r="AV30" s="22">
        <f t="shared" si="10"/>
        <v>0</v>
      </c>
    </row>
    <row r="31" spans="1:48" hidden="1" x14ac:dyDescent="0.25">
      <c r="A31" s="22" t="s">
        <v>133</v>
      </c>
      <c r="B31" s="22" t="s">
        <v>62</v>
      </c>
      <c r="C31" s="22">
        <v>373</v>
      </c>
      <c r="D31" s="22">
        <v>2006</v>
      </c>
      <c r="E31" s="22">
        <v>587</v>
      </c>
      <c r="F31" s="22">
        <v>874</v>
      </c>
      <c r="G31" s="6">
        <v>0.4</v>
      </c>
      <c r="H31" s="22">
        <v>40</v>
      </c>
      <c r="I31" s="22" t="s">
        <v>134</v>
      </c>
      <c r="J31" s="22"/>
      <c r="K31" s="22">
        <v>660</v>
      </c>
      <c r="L31" s="22">
        <f t="shared" si="2"/>
        <v>-73</v>
      </c>
      <c r="M31" s="22">
        <f t="shared" si="3"/>
        <v>587</v>
      </c>
      <c r="N31" s="22"/>
      <c r="O31" s="22"/>
      <c r="P31" s="22" t="s">
        <v>135</v>
      </c>
      <c r="Q31" s="22">
        <v>0</v>
      </c>
      <c r="R31" s="22"/>
      <c r="S31" s="22"/>
      <c r="T31" s="22">
        <v>0</v>
      </c>
      <c r="U31" s="17"/>
      <c r="V31" s="22"/>
      <c r="W31" s="22"/>
      <c r="X31" s="17"/>
      <c r="Y31" s="17"/>
      <c r="Z31" s="22">
        <f>VLOOKUP(P31,[1]Лист1!$A:$E,5,0)</f>
        <v>-208.8</v>
      </c>
      <c r="AA31" s="22">
        <f t="shared" si="4"/>
        <v>117.4</v>
      </c>
      <c r="AB31" s="4">
        <f>12.5*AA31-V31-T31-S31-R31-Q31-O31-F31+$AB$1*AA31</f>
        <v>517.19000000000005</v>
      </c>
      <c r="AC31" s="4">
        <f t="shared" si="11"/>
        <v>517.19000000000005</v>
      </c>
      <c r="AD31" s="4"/>
      <c r="AE31" s="4"/>
      <c r="AF31" s="22"/>
      <c r="AG31" s="22">
        <f t="shared" si="6"/>
        <v>11.85</v>
      </c>
      <c r="AH31" s="22">
        <f t="shared" si="7"/>
        <v>7.4446337308347523</v>
      </c>
      <c r="AI31" s="22">
        <v>80.400000000000006</v>
      </c>
      <c r="AJ31" s="22">
        <v>83.2</v>
      </c>
      <c r="AK31" s="22">
        <v>136</v>
      </c>
      <c r="AL31" s="22">
        <v>101.6</v>
      </c>
      <c r="AM31" s="22">
        <v>63.2</v>
      </c>
      <c r="AN31" s="22">
        <v>73.2</v>
      </c>
      <c r="AO31" s="22">
        <v>81.8</v>
      </c>
      <c r="AP31" s="22">
        <v>99.388999999999996</v>
      </c>
      <c r="AQ31" s="22">
        <v>77.164000000000001</v>
      </c>
      <c r="AR31" s="22">
        <v>80.400000000000006</v>
      </c>
      <c r="AS31" s="22"/>
      <c r="AT31" s="22">
        <f t="shared" si="8"/>
        <v>207</v>
      </c>
      <c r="AU31" s="22">
        <f t="shared" si="9"/>
        <v>0</v>
      </c>
      <c r="AV31" s="22">
        <f t="shared" si="10"/>
        <v>0</v>
      </c>
    </row>
    <row r="32" spans="1:48" x14ac:dyDescent="0.25">
      <c r="A32" s="22" t="s">
        <v>136</v>
      </c>
      <c r="B32" s="22" t="s">
        <v>62</v>
      </c>
      <c r="C32" s="22">
        <v>378</v>
      </c>
      <c r="D32" s="22">
        <v>14</v>
      </c>
      <c r="E32" s="22">
        <v>230</v>
      </c>
      <c r="F32" s="22">
        <v>151</v>
      </c>
      <c r="G32" s="6">
        <v>0.1</v>
      </c>
      <c r="H32" s="22">
        <v>731</v>
      </c>
      <c r="I32" s="22" t="s">
        <v>137</v>
      </c>
      <c r="J32" s="22"/>
      <c r="K32" s="22">
        <v>243</v>
      </c>
      <c r="L32" s="22">
        <f t="shared" si="2"/>
        <v>-13</v>
      </c>
      <c r="M32" s="22">
        <f t="shared" si="3"/>
        <v>230</v>
      </c>
      <c r="N32" s="22"/>
      <c r="O32" s="22"/>
      <c r="P32" s="22" t="s">
        <v>138</v>
      </c>
      <c r="Q32" s="22">
        <v>174</v>
      </c>
      <c r="R32" s="22"/>
      <c r="S32" s="22"/>
      <c r="T32" s="22">
        <v>14</v>
      </c>
      <c r="U32" s="17"/>
      <c r="V32" s="22"/>
      <c r="W32" s="22"/>
      <c r="X32" s="17"/>
      <c r="Y32" s="17"/>
      <c r="Z32" s="22"/>
      <c r="AA32" s="22">
        <f t="shared" si="4"/>
        <v>46</v>
      </c>
      <c r="AB32" s="4">
        <f>12.5*AA32-V32-T32-S32-R32-Q32-O32-F32</f>
        <v>236</v>
      </c>
      <c r="AC32" s="4">
        <f t="shared" si="11"/>
        <v>236</v>
      </c>
      <c r="AD32" s="4"/>
      <c r="AE32" s="4"/>
      <c r="AF32" s="22"/>
      <c r="AG32" s="22">
        <f t="shared" si="6"/>
        <v>12.5</v>
      </c>
      <c r="AH32" s="22">
        <f t="shared" si="7"/>
        <v>7.3695652173913047</v>
      </c>
      <c r="AI32" s="22">
        <v>42</v>
      </c>
      <c r="AJ32" s="22">
        <v>46</v>
      </c>
      <c r="AK32" s="22">
        <v>39</v>
      </c>
      <c r="AL32" s="22">
        <v>48.2</v>
      </c>
      <c r="AM32" s="22">
        <v>46.8</v>
      </c>
      <c r="AN32" s="22">
        <v>41.2</v>
      </c>
      <c r="AO32" s="22">
        <v>42.4</v>
      </c>
      <c r="AP32" s="22">
        <v>33.200000000000003</v>
      </c>
      <c r="AQ32" s="22">
        <v>46.8</v>
      </c>
      <c r="AR32" s="22">
        <v>35.6</v>
      </c>
      <c r="AS32" s="22"/>
      <c r="AT32" s="22">
        <f t="shared" si="8"/>
        <v>24</v>
      </c>
      <c r="AU32" s="22">
        <f t="shared" si="9"/>
        <v>0</v>
      </c>
      <c r="AV32" s="22">
        <f t="shared" si="10"/>
        <v>0</v>
      </c>
    </row>
    <row r="33" spans="1:48" x14ac:dyDescent="0.25">
      <c r="A33" s="22" t="s">
        <v>139</v>
      </c>
      <c r="B33" s="22" t="s">
        <v>62</v>
      </c>
      <c r="C33" s="22">
        <v>97</v>
      </c>
      <c r="D33" s="22">
        <v>109</v>
      </c>
      <c r="E33" s="22">
        <v>65</v>
      </c>
      <c r="F33" s="22">
        <v>5</v>
      </c>
      <c r="G33" s="6">
        <v>0.35</v>
      </c>
      <c r="H33" s="22">
        <v>40</v>
      </c>
      <c r="I33" s="22" t="s">
        <v>140</v>
      </c>
      <c r="J33" s="22"/>
      <c r="K33" s="22">
        <v>111</v>
      </c>
      <c r="L33" s="22">
        <f t="shared" si="2"/>
        <v>-46</v>
      </c>
      <c r="M33" s="22">
        <f t="shared" si="3"/>
        <v>65</v>
      </c>
      <c r="N33" s="22"/>
      <c r="O33" s="22"/>
      <c r="P33" s="22" t="s">
        <v>141</v>
      </c>
      <c r="Q33" s="22">
        <v>185.4</v>
      </c>
      <c r="R33" s="22"/>
      <c r="S33" s="22"/>
      <c r="T33" s="22">
        <v>118</v>
      </c>
      <c r="U33" s="17"/>
      <c r="V33" s="22"/>
      <c r="W33" s="22"/>
      <c r="X33" s="17"/>
      <c r="Y33" s="17"/>
      <c r="Z33" s="22"/>
      <c r="AA33" s="22">
        <f t="shared" si="4"/>
        <v>13</v>
      </c>
      <c r="AB33" s="4"/>
      <c r="AC33" s="4">
        <f t="shared" si="11"/>
        <v>0</v>
      </c>
      <c r="AD33" s="4"/>
      <c r="AE33" s="4"/>
      <c r="AF33" s="22"/>
      <c r="AG33" s="22">
        <f t="shared" si="6"/>
        <v>23.723076923076921</v>
      </c>
      <c r="AH33" s="22">
        <f t="shared" si="7"/>
        <v>23.723076923076921</v>
      </c>
      <c r="AI33" s="22">
        <v>28.4</v>
      </c>
      <c r="AJ33" s="22">
        <v>24.2</v>
      </c>
      <c r="AK33" s="22">
        <v>16.399999999999999</v>
      </c>
      <c r="AL33" s="22">
        <v>18.399999999999999</v>
      </c>
      <c r="AM33" s="22">
        <v>15.6</v>
      </c>
      <c r="AN33" s="22">
        <v>17.2</v>
      </c>
      <c r="AO33" s="22">
        <v>15</v>
      </c>
      <c r="AP33" s="22">
        <v>18</v>
      </c>
      <c r="AQ33" s="22">
        <v>26</v>
      </c>
      <c r="AR33" s="22">
        <v>14.8</v>
      </c>
      <c r="AS33" s="22"/>
      <c r="AT33" s="22">
        <f t="shared" si="8"/>
        <v>0</v>
      </c>
      <c r="AU33" s="22">
        <f t="shared" si="9"/>
        <v>0</v>
      </c>
      <c r="AV33" s="22">
        <f t="shared" si="10"/>
        <v>0</v>
      </c>
    </row>
    <row r="34" spans="1:48" x14ac:dyDescent="0.25">
      <c r="A34" s="22" t="s">
        <v>142</v>
      </c>
      <c r="B34" s="22" t="s">
        <v>52</v>
      </c>
      <c r="C34" s="22">
        <v>21.553000000000001</v>
      </c>
      <c r="D34" s="22">
        <v>5.7930000000000001</v>
      </c>
      <c r="E34" s="22">
        <v>7.1980000000000004</v>
      </c>
      <c r="F34" s="22">
        <v>19.129000000000001</v>
      </c>
      <c r="G34" s="6">
        <v>1</v>
      </c>
      <c r="H34" s="22">
        <v>40</v>
      </c>
      <c r="I34" s="22" t="s">
        <v>143</v>
      </c>
      <c r="J34" s="22"/>
      <c r="K34" s="22">
        <v>7.6</v>
      </c>
      <c r="L34" s="22">
        <f t="shared" si="2"/>
        <v>-0.40199999999999925</v>
      </c>
      <c r="M34" s="22">
        <f t="shared" si="3"/>
        <v>7.1980000000000004</v>
      </c>
      <c r="N34" s="22"/>
      <c r="O34" s="22"/>
      <c r="P34" s="22" t="s">
        <v>145</v>
      </c>
      <c r="Q34" s="22">
        <v>16.926200000000009</v>
      </c>
      <c r="R34" s="22"/>
      <c r="S34" s="22"/>
      <c r="T34" s="22">
        <v>0</v>
      </c>
      <c r="U34" s="17"/>
      <c r="V34" s="22"/>
      <c r="W34" s="22"/>
      <c r="X34" s="17"/>
      <c r="Y34" s="17"/>
      <c r="Z34" s="22"/>
      <c r="AA34" s="22">
        <f t="shared" si="4"/>
        <v>1.4396</v>
      </c>
      <c r="AB34" s="4"/>
      <c r="AC34" s="4">
        <f t="shared" si="11"/>
        <v>0</v>
      </c>
      <c r="AD34" s="4"/>
      <c r="AE34" s="4"/>
      <c r="AF34" s="22"/>
      <c r="AG34" s="22">
        <f t="shared" si="6"/>
        <v>25.045290358432908</v>
      </c>
      <c r="AH34" s="22">
        <f t="shared" si="7"/>
        <v>25.045290358432908</v>
      </c>
      <c r="AI34" s="22">
        <v>2.4447999999999999</v>
      </c>
      <c r="AJ34" s="22">
        <v>3.2065999999999999</v>
      </c>
      <c r="AK34" s="22">
        <v>2.0581999999999998</v>
      </c>
      <c r="AL34" s="22">
        <v>2.5327999999999999</v>
      </c>
      <c r="AM34" s="22">
        <v>3.35</v>
      </c>
      <c r="AN34" s="22">
        <v>4.3372000000000002</v>
      </c>
      <c r="AO34" s="22">
        <v>4.6543999999999999</v>
      </c>
      <c r="AP34" s="22">
        <v>4.8607999999999993</v>
      </c>
      <c r="AQ34" s="22">
        <v>7.4049999999999994</v>
      </c>
      <c r="AR34" s="22">
        <v>4.3841999999999999</v>
      </c>
      <c r="AS34" s="14" t="s">
        <v>144</v>
      </c>
      <c r="AT34" s="22">
        <f t="shared" si="8"/>
        <v>0</v>
      </c>
      <c r="AU34" s="22">
        <f t="shared" si="9"/>
        <v>0</v>
      </c>
      <c r="AV34" s="22">
        <f t="shared" si="10"/>
        <v>0</v>
      </c>
    </row>
    <row r="35" spans="1:48" hidden="1" x14ac:dyDescent="0.25">
      <c r="A35" s="22" t="s">
        <v>146</v>
      </c>
      <c r="B35" s="22" t="s">
        <v>62</v>
      </c>
      <c r="C35" s="22">
        <v>-2</v>
      </c>
      <c r="D35" s="22">
        <v>220</v>
      </c>
      <c r="E35" s="22">
        <v>-5</v>
      </c>
      <c r="F35" s="22">
        <v>-1</v>
      </c>
      <c r="G35" s="6">
        <v>0.4</v>
      </c>
      <c r="H35" s="22">
        <v>40</v>
      </c>
      <c r="I35" s="22" t="s">
        <v>147</v>
      </c>
      <c r="J35" s="22"/>
      <c r="K35" s="22">
        <v>285</v>
      </c>
      <c r="L35" s="22">
        <f t="shared" si="2"/>
        <v>-290</v>
      </c>
      <c r="M35" s="22">
        <f t="shared" si="3"/>
        <v>-5</v>
      </c>
      <c r="N35" s="22"/>
      <c r="O35" s="22"/>
      <c r="P35" s="22" t="s">
        <v>148</v>
      </c>
      <c r="Q35" s="22">
        <v>0</v>
      </c>
      <c r="R35" s="22"/>
      <c r="S35" s="22"/>
      <c r="T35" s="22">
        <v>300</v>
      </c>
      <c r="U35" s="17"/>
      <c r="V35" s="22"/>
      <c r="W35" s="22"/>
      <c r="X35" s="17"/>
      <c r="Y35" s="17"/>
      <c r="Z35" s="22">
        <f>VLOOKUP(P35,[1]Лист1!$A:$E,5,0)</f>
        <v>-81.599999999999994</v>
      </c>
      <c r="AA35" s="22">
        <f t="shared" si="4"/>
        <v>-1</v>
      </c>
      <c r="AB35" s="4">
        <v>200</v>
      </c>
      <c r="AC35" s="4">
        <f t="shared" si="11"/>
        <v>200</v>
      </c>
      <c r="AD35" s="4"/>
      <c r="AE35" s="4"/>
      <c r="AF35" s="22"/>
      <c r="AG35" s="22">
        <f t="shared" si="6"/>
        <v>-499</v>
      </c>
      <c r="AH35" s="22">
        <f t="shared" si="7"/>
        <v>-299</v>
      </c>
      <c r="AI35" s="22">
        <v>-1</v>
      </c>
      <c r="AJ35" s="22">
        <v>12</v>
      </c>
      <c r="AK35" s="22">
        <v>65.400000000000006</v>
      </c>
      <c r="AL35" s="22">
        <v>80.2</v>
      </c>
      <c r="AM35" s="22">
        <v>44.4</v>
      </c>
      <c r="AN35" s="22">
        <v>31.2</v>
      </c>
      <c r="AO35" s="22">
        <v>40.4</v>
      </c>
      <c r="AP35" s="22">
        <v>42.6</v>
      </c>
      <c r="AQ35" s="22">
        <v>61.4</v>
      </c>
      <c r="AR35" s="22">
        <v>48</v>
      </c>
      <c r="AS35" s="22"/>
      <c r="AT35" s="22">
        <f t="shared" si="8"/>
        <v>80</v>
      </c>
      <c r="AU35" s="22">
        <f t="shared" si="9"/>
        <v>0</v>
      </c>
      <c r="AV35" s="22">
        <f t="shared" si="10"/>
        <v>0</v>
      </c>
    </row>
    <row r="36" spans="1:48" hidden="1" x14ac:dyDescent="0.25">
      <c r="A36" s="22" t="s">
        <v>149</v>
      </c>
      <c r="B36" s="22" t="s">
        <v>62</v>
      </c>
      <c r="C36" s="22">
        <v>253</v>
      </c>
      <c r="D36" s="22">
        <v>156</v>
      </c>
      <c r="E36" s="22">
        <v>261</v>
      </c>
      <c r="F36" s="22">
        <v>67</v>
      </c>
      <c r="G36" s="6">
        <v>0.4</v>
      </c>
      <c r="H36" s="22">
        <v>45</v>
      </c>
      <c r="I36" s="22" t="s">
        <v>150</v>
      </c>
      <c r="J36" s="22"/>
      <c r="K36" s="22">
        <v>287</v>
      </c>
      <c r="L36" s="22">
        <f t="shared" si="2"/>
        <v>-26</v>
      </c>
      <c r="M36" s="22">
        <f t="shared" si="3"/>
        <v>261</v>
      </c>
      <c r="N36" s="22"/>
      <c r="O36" s="22"/>
      <c r="P36" s="22" t="s">
        <v>151</v>
      </c>
      <c r="Q36" s="22">
        <v>102.8</v>
      </c>
      <c r="R36" s="22">
        <v>100</v>
      </c>
      <c r="S36" s="22">
        <v>150</v>
      </c>
      <c r="T36" s="22">
        <v>0</v>
      </c>
      <c r="U36" s="17"/>
      <c r="V36" s="22"/>
      <c r="W36" s="22"/>
      <c r="X36" s="17"/>
      <c r="Y36" s="17"/>
      <c r="Z36" s="22">
        <f>VLOOKUP(P36,[1]Лист1!$A:$E,5,0)</f>
        <v>-93.6</v>
      </c>
      <c r="AA36" s="22">
        <f t="shared" si="4"/>
        <v>52.2</v>
      </c>
      <c r="AB36" s="4">
        <f>12.5*AA36-V36-T36-S36-R36-Q36-O36-F36</f>
        <v>232.7</v>
      </c>
      <c r="AC36" s="4">
        <f t="shared" si="11"/>
        <v>232.7</v>
      </c>
      <c r="AD36" s="4"/>
      <c r="AE36" s="4"/>
      <c r="AF36" s="22"/>
      <c r="AG36" s="22">
        <f t="shared" si="6"/>
        <v>12.5</v>
      </c>
      <c r="AH36" s="22">
        <f t="shared" si="7"/>
        <v>8.0421455938697317</v>
      </c>
      <c r="AI36" s="22">
        <v>48.4</v>
      </c>
      <c r="AJ36" s="22">
        <v>56.4</v>
      </c>
      <c r="AK36" s="22">
        <v>42</v>
      </c>
      <c r="AL36" s="22">
        <v>27.6</v>
      </c>
      <c r="AM36" s="22">
        <v>34.799999999999997</v>
      </c>
      <c r="AN36" s="22">
        <v>54.8</v>
      </c>
      <c r="AO36" s="22">
        <v>53.6</v>
      </c>
      <c r="AP36" s="22">
        <v>29.8</v>
      </c>
      <c r="AQ36" s="22">
        <v>41.8</v>
      </c>
      <c r="AR36" s="22">
        <v>40.200000000000003</v>
      </c>
      <c r="AS36" s="22"/>
      <c r="AT36" s="22">
        <f t="shared" si="8"/>
        <v>93</v>
      </c>
      <c r="AU36" s="22">
        <f t="shared" si="9"/>
        <v>0</v>
      </c>
      <c r="AV36" s="22">
        <f t="shared" si="10"/>
        <v>0</v>
      </c>
    </row>
    <row r="37" spans="1:48" x14ac:dyDescent="0.25">
      <c r="A37" s="22" t="s">
        <v>152</v>
      </c>
      <c r="B37" s="22" t="s">
        <v>52</v>
      </c>
      <c r="C37" s="22">
        <v>50.008000000000003</v>
      </c>
      <c r="D37" s="22">
        <v>45.616999999999997</v>
      </c>
      <c r="E37" s="22">
        <v>26.135000000000002</v>
      </c>
      <c r="F37" s="22">
        <v>33.619</v>
      </c>
      <c r="G37" s="6">
        <v>1</v>
      </c>
      <c r="H37" s="22">
        <v>40</v>
      </c>
      <c r="I37" s="22" t="s">
        <v>153</v>
      </c>
      <c r="J37" s="22"/>
      <c r="K37" s="22">
        <v>34.823</v>
      </c>
      <c r="L37" s="22">
        <f t="shared" si="2"/>
        <v>-8.6879999999999988</v>
      </c>
      <c r="M37" s="22">
        <f t="shared" si="3"/>
        <v>26.135000000000002</v>
      </c>
      <c r="N37" s="22"/>
      <c r="O37" s="22"/>
      <c r="P37" s="22" t="s">
        <v>154</v>
      </c>
      <c r="Q37" s="22">
        <v>0</v>
      </c>
      <c r="R37" s="22"/>
      <c r="S37" s="22"/>
      <c r="T37" s="22">
        <v>18.178999999999991</v>
      </c>
      <c r="U37" s="17"/>
      <c r="V37" s="22"/>
      <c r="W37" s="22"/>
      <c r="X37" s="17"/>
      <c r="Y37" s="17"/>
      <c r="Z37" s="22"/>
      <c r="AA37" s="22">
        <f t="shared" si="4"/>
        <v>5.2270000000000003</v>
      </c>
      <c r="AB37" s="4">
        <f>12.5*AA37-V37-T37-S37-R37-Q37-O37-F37</f>
        <v>13.539500000000018</v>
      </c>
      <c r="AC37" s="4">
        <f t="shared" si="11"/>
        <v>13.539500000000018</v>
      </c>
      <c r="AD37" s="4"/>
      <c r="AE37" s="4"/>
      <c r="AF37" s="22"/>
      <c r="AG37" s="22">
        <f t="shared" si="6"/>
        <v>12.5</v>
      </c>
      <c r="AH37" s="22">
        <f t="shared" si="7"/>
        <v>9.9096996365027703</v>
      </c>
      <c r="AI37" s="22">
        <v>5.5009999999999986</v>
      </c>
      <c r="AJ37" s="22">
        <v>4.4914000000000014</v>
      </c>
      <c r="AK37" s="22">
        <v>6.1063999999999998</v>
      </c>
      <c r="AL37" s="22">
        <v>6.3879999999999999</v>
      </c>
      <c r="AM37" s="22">
        <v>3.4708000000000001</v>
      </c>
      <c r="AN37" s="22">
        <v>4.7606000000000002</v>
      </c>
      <c r="AO37" s="22">
        <v>6.7906000000000004</v>
      </c>
      <c r="AP37" s="22">
        <v>12.0244</v>
      </c>
      <c r="AQ37" s="22">
        <v>9.3468</v>
      </c>
      <c r="AR37" s="22">
        <v>10.954800000000001</v>
      </c>
      <c r="AS37" s="22"/>
      <c r="AT37" s="22">
        <f t="shared" si="8"/>
        <v>14</v>
      </c>
      <c r="AU37" s="22">
        <f t="shared" si="9"/>
        <v>0</v>
      </c>
      <c r="AV37" s="22">
        <f t="shared" si="10"/>
        <v>0</v>
      </c>
    </row>
    <row r="38" spans="1:48" x14ac:dyDescent="0.25">
      <c r="A38" s="22" t="s">
        <v>155</v>
      </c>
      <c r="B38" s="22" t="s">
        <v>62</v>
      </c>
      <c r="C38" s="22">
        <v>1154</v>
      </c>
      <c r="D38" s="22">
        <v>2979</v>
      </c>
      <c r="E38" s="22">
        <v>550</v>
      </c>
      <c r="F38" s="22">
        <v>613</v>
      </c>
      <c r="G38" s="6">
        <v>0.35</v>
      </c>
      <c r="H38" s="22">
        <v>40</v>
      </c>
      <c r="I38" s="25" t="s">
        <v>156</v>
      </c>
      <c r="J38" s="22"/>
      <c r="K38" s="22">
        <v>815</v>
      </c>
      <c r="L38" s="22">
        <f t="shared" ref="L38:L69" si="12">E38-K38</f>
        <v>-265</v>
      </c>
      <c r="M38" s="22">
        <f t="shared" ref="M38:M69" si="13">E38-N38</f>
        <v>550</v>
      </c>
      <c r="N38" s="22"/>
      <c r="O38" s="22"/>
      <c r="P38" s="22" t="s">
        <v>158</v>
      </c>
      <c r="Q38" s="22">
        <v>0</v>
      </c>
      <c r="R38" s="22"/>
      <c r="S38" s="22"/>
      <c r="T38" s="22">
        <v>200</v>
      </c>
      <c r="U38" s="17"/>
      <c r="V38" s="22"/>
      <c r="W38" s="22"/>
      <c r="X38" s="17"/>
      <c r="Y38" s="17"/>
      <c r="Z38" s="22"/>
      <c r="AA38" s="22">
        <f t="shared" ref="AA38:AA69" si="14">M38/5</f>
        <v>110</v>
      </c>
      <c r="AB38" s="4">
        <f>12.5*AA38-V38-T38-S38-R38-Q38-O38-F38+$AB$1*AA38</f>
        <v>490.5</v>
      </c>
      <c r="AC38" s="4">
        <f t="shared" si="11"/>
        <v>490.5</v>
      </c>
      <c r="AD38" s="4"/>
      <c r="AE38" s="4"/>
      <c r="AF38" s="22">
        <v>200</v>
      </c>
      <c r="AG38" s="22">
        <f t="shared" ref="AG38:AG69" si="15">(F38+O38+Q38+R38+S38+T38+U38+V38+W38+X38+Y38+AC38+AD38+AE38)/AA38</f>
        <v>11.85</v>
      </c>
      <c r="AH38" s="22">
        <f t="shared" ref="AH38:AH69" si="16">(F38+O38+Q38+R38+S38+T38+U38+V38+W38+X38+Y38)/AA38</f>
        <v>7.3909090909090907</v>
      </c>
      <c r="AI38" s="22">
        <v>269.2</v>
      </c>
      <c r="AJ38" s="22">
        <v>266.39999999999998</v>
      </c>
      <c r="AK38" s="22">
        <v>466.2</v>
      </c>
      <c r="AL38" s="22">
        <v>465.2</v>
      </c>
      <c r="AM38" s="22">
        <v>121.2</v>
      </c>
      <c r="AN38" s="22">
        <v>128.6</v>
      </c>
      <c r="AO38" s="22">
        <v>118</v>
      </c>
      <c r="AP38" s="22">
        <v>217.4</v>
      </c>
      <c r="AQ38" s="22">
        <v>150.19999999999999</v>
      </c>
      <c r="AR38" s="22">
        <v>101.4</v>
      </c>
      <c r="AS38" s="22" t="s">
        <v>157</v>
      </c>
      <c r="AT38" s="22">
        <f t="shared" ref="AT38:AT69" si="17">ROUND(G38*AC38,0)</f>
        <v>172</v>
      </c>
      <c r="AU38" s="22">
        <f t="shared" ref="AU38:AU69" si="18">ROUND(G38*AD38,0)</f>
        <v>0</v>
      </c>
      <c r="AV38" s="22">
        <f t="shared" ref="AV38:AV69" si="19">ROUND(G38*AE38,0)</f>
        <v>0</v>
      </c>
    </row>
    <row r="39" spans="1:48" x14ac:dyDescent="0.25">
      <c r="A39" s="22" t="s">
        <v>159</v>
      </c>
      <c r="B39" s="22" t="s">
        <v>62</v>
      </c>
      <c r="C39" s="22">
        <v>266</v>
      </c>
      <c r="D39" s="22">
        <v>814</v>
      </c>
      <c r="E39" s="22">
        <v>380</v>
      </c>
      <c r="F39" s="22">
        <v>197</v>
      </c>
      <c r="G39" s="6">
        <v>0.4</v>
      </c>
      <c r="H39" s="22">
        <v>40</v>
      </c>
      <c r="I39" s="22" t="s">
        <v>160</v>
      </c>
      <c r="J39" s="22"/>
      <c r="K39" s="22">
        <v>551</v>
      </c>
      <c r="L39" s="22">
        <f t="shared" si="12"/>
        <v>-171</v>
      </c>
      <c r="M39" s="22">
        <f t="shared" si="13"/>
        <v>380</v>
      </c>
      <c r="N39" s="22"/>
      <c r="O39" s="22"/>
      <c r="P39" s="22" t="s">
        <v>161</v>
      </c>
      <c r="Q39" s="22">
        <v>0</v>
      </c>
      <c r="R39" s="22"/>
      <c r="S39" s="22"/>
      <c r="T39" s="22">
        <v>251.6</v>
      </c>
      <c r="U39" s="17"/>
      <c r="V39" s="22"/>
      <c r="W39" s="22"/>
      <c r="X39" s="17"/>
      <c r="Y39" s="17"/>
      <c r="Z39" s="22"/>
      <c r="AA39" s="22">
        <f t="shared" si="14"/>
        <v>76</v>
      </c>
      <c r="AB39" s="4">
        <f>12.5*AA39-V39-T39-S39-R39-Q39-O39-F39</f>
        <v>501.4</v>
      </c>
      <c r="AC39" s="4">
        <f t="shared" si="11"/>
        <v>501.4</v>
      </c>
      <c r="AD39" s="4"/>
      <c r="AE39" s="4"/>
      <c r="AF39" s="22"/>
      <c r="AG39" s="22">
        <f t="shared" si="15"/>
        <v>12.5</v>
      </c>
      <c r="AH39" s="22">
        <f t="shared" si="16"/>
        <v>5.9026315789473687</v>
      </c>
      <c r="AI39" s="22">
        <v>54.6</v>
      </c>
      <c r="AJ39" s="22">
        <v>57.4</v>
      </c>
      <c r="AK39" s="22">
        <v>95.4</v>
      </c>
      <c r="AL39" s="22">
        <v>87.2</v>
      </c>
      <c r="AM39" s="22">
        <v>75.599999999999994</v>
      </c>
      <c r="AN39" s="22">
        <v>88.2</v>
      </c>
      <c r="AO39" s="22">
        <v>91.4</v>
      </c>
      <c r="AP39" s="22">
        <v>81.599999999999994</v>
      </c>
      <c r="AQ39" s="22">
        <v>86.4</v>
      </c>
      <c r="AR39" s="22">
        <v>80.2</v>
      </c>
      <c r="AS39" s="22"/>
      <c r="AT39" s="22">
        <f t="shared" si="17"/>
        <v>201</v>
      </c>
      <c r="AU39" s="22">
        <f t="shared" si="18"/>
        <v>0</v>
      </c>
      <c r="AV39" s="22">
        <f t="shared" si="19"/>
        <v>0</v>
      </c>
    </row>
    <row r="40" spans="1:48" x14ac:dyDescent="0.25">
      <c r="A40" s="22" t="s">
        <v>162</v>
      </c>
      <c r="B40" s="22" t="s">
        <v>52</v>
      </c>
      <c r="C40" s="22">
        <v>115.857</v>
      </c>
      <c r="D40" s="22">
        <v>212.744</v>
      </c>
      <c r="E40" s="22">
        <v>102.255</v>
      </c>
      <c r="F40" s="22">
        <v>160.01400000000001</v>
      </c>
      <c r="G40" s="6">
        <v>1</v>
      </c>
      <c r="H40" s="22">
        <v>50</v>
      </c>
      <c r="I40" s="22" t="s">
        <v>163</v>
      </c>
      <c r="J40" s="22"/>
      <c r="K40" s="22">
        <v>129.9</v>
      </c>
      <c r="L40" s="22">
        <f t="shared" si="12"/>
        <v>-27.64500000000001</v>
      </c>
      <c r="M40" s="22">
        <f t="shared" si="13"/>
        <v>102.255</v>
      </c>
      <c r="N40" s="22"/>
      <c r="O40" s="22"/>
      <c r="P40" s="22" t="s">
        <v>164</v>
      </c>
      <c r="Q40" s="22">
        <v>0</v>
      </c>
      <c r="R40" s="22"/>
      <c r="S40" s="22"/>
      <c r="T40" s="22">
        <v>16.167200000000008</v>
      </c>
      <c r="U40" s="17"/>
      <c r="V40" s="22"/>
      <c r="W40" s="22"/>
      <c r="X40" s="17"/>
      <c r="Y40" s="17"/>
      <c r="Z40" s="22"/>
      <c r="AA40" s="22">
        <f t="shared" si="14"/>
        <v>20.451000000000001</v>
      </c>
      <c r="AB40" s="4">
        <f>12.5*AA40-V40-T40-S40-R40-Q40-O40-F40</f>
        <v>79.456299999999999</v>
      </c>
      <c r="AC40" s="4">
        <f t="shared" si="11"/>
        <v>79.456299999999999</v>
      </c>
      <c r="AD40" s="4"/>
      <c r="AE40" s="4"/>
      <c r="AF40" s="22"/>
      <c r="AG40" s="22">
        <f t="shared" si="15"/>
        <v>12.5</v>
      </c>
      <c r="AH40" s="22">
        <f t="shared" si="16"/>
        <v>8.6147963424771419</v>
      </c>
      <c r="AI40" s="22">
        <v>20.7852</v>
      </c>
      <c r="AJ40" s="22">
        <v>18.385200000000001</v>
      </c>
      <c r="AK40" s="22">
        <v>26.343</v>
      </c>
      <c r="AL40" s="22">
        <v>19.9468</v>
      </c>
      <c r="AM40" s="22">
        <v>21.797999999999998</v>
      </c>
      <c r="AN40" s="22">
        <v>22.839600000000001</v>
      </c>
      <c r="AO40" s="22">
        <v>22.878599999999999</v>
      </c>
      <c r="AP40" s="22">
        <v>16.0274</v>
      </c>
      <c r="AQ40" s="22">
        <v>26.979399999999998</v>
      </c>
      <c r="AR40" s="22">
        <v>44.077399999999997</v>
      </c>
      <c r="AS40" s="22"/>
      <c r="AT40" s="22">
        <f t="shared" si="17"/>
        <v>79</v>
      </c>
      <c r="AU40" s="22">
        <f t="shared" si="18"/>
        <v>0</v>
      </c>
      <c r="AV40" s="22">
        <f t="shared" si="19"/>
        <v>0</v>
      </c>
    </row>
    <row r="41" spans="1:48" x14ac:dyDescent="0.25">
      <c r="A41" s="16" t="s">
        <v>165</v>
      </c>
      <c r="B41" s="22" t="s">
        <v>52</v>
      </c>
      <c r="C41" s="22">
        <v>961.41099999999994</v>
      </c>
      <c r="D41" s="22">
        <v>413.60599999999999</v>
      </c>
      <c r="E41" s="22">
        <v>498.67</v>
      </c>
      <c r="F41" s="22">
        <v>450.57</v>
      </c>
      <c r="G41" s="6">
        <v>1</v>
      </c>
      <c r="H41" s="22">
        <v>50</v>
      </c>
      <c r="I41" s="22" t="s">
        <v>166</v>
      </c>
      <c r="J41" s="22"/>
      <c r="K41" s="22">
        <v>628.85900000000004</v>
      </c>
      <c r="L41" s="22">
        <f t="shared" si="12"/>
        <v>-130.18900000000002</v>
      </c>
      <c r="M41" s="22">
        <f t="shared" si="13"/>
        <v>390.61099999999999</v>
      </c>
      <c r="N41" s="22">
        <v>108.059</v>
      </c>
      <c r="O41" s="22"/>
      <c r="P41" s="22" t="s">
        <v>167</v>
      </c>
      <c r="Q41" s="22">
        <v>54.024200000000178</v>
      </c>
      <c r="R41" s="22"/>
      <c r="S41" s="22"/>
      <c r="T41" s="22">
        <v>279.68899999999991</v>
      </c>
      <c r="U41" s="17"/>
      <c r="V41" s="22"/>
      <c r="W41" s="22"/>
      <c r="X41" s="17">
        <v>300</v>
      </c>
      <c r="Y41" s="17">
        <v>100</v>
      </c>
      <c r="Z41" s="22"/>
      <c r="AA41" s="22">
        <f t="shared" si="14"/>
        <v>78.122199999999992</v>
      </c>
      <c r="AB41" s="4">
        <f>12.5*AA41-V41-T41-S41-R41-Q41-O41-F41</f>
        <v>192.2442999999999</v>
      </c>
      <c r="AC41" s="4">
        <f t="shared" si="11"/>
        <v>192.2442999999999</v>
      </c>
      <c r="AD41" s="4"/>
      <c r="AE41" s="4"/>
      <c r="AF41" s="22"/>
      <c r="AG41" s="22">
        <f t="shared" si="15"/>
        <v>17.620183507376904</v>
      </c>
      <c r="AH41" s="22">
        <f t="shared" si="16"/>
        <v>15.159368271758863</v>
      </c>
      <c r="AI41" s="22">
        <v>85.384200000000007</v>
      </c>
      <c r="AJ41" s="22">
        <v>84.619600000000005</v>
      </c>
      <c r="AK41" s="22">
        <v>57.522199999999998</v>
      </c>
      <c r="AL41" s="22">
        <v>111.0634</v>
      </c>
      <c r="AM41" s="22">
        <v>151.00360000000001</v>
      </c>
      <c r="AN41" s="22">
        <v>105.7694</v>
      </c>
      <c r="AO41" s="22">
        <v>88.509799999999998</v>
      </c>
      <c r="AP41" s="22">
        <v>72.198800000000006</v>
      </c>
      <c r="AQ41" s="22">
        <v>79.126999999999995</v>
      </c>
      <c r="AR41" s="22">
        <v>104.3784</v>
      </c>
      <c r="AS41" s="22"/>
      <c r="AT41" s="22">
        <f t="shared" si="17"/>
        <v>192</v>
      </c>
      <c r="AU41" s="22">
        <f t="shared" si="18"/>
        <v>0</v>
      </c>
      <c r="AV41" s="22">
        <f t="shared" si="19"/>
        <v>0</v>
      </c>
    </row>
    <row r="42" spans="1:48" x14ac:dyDescent="0.25">
      <c r="A42" s="22" t="s">
        <v>168</v>
      </c>
      <c r="B42" s="22" t="s">
        <v>62</v>
      </c>
      <c r="C42" s="22">
        <v>447</v>
      </c>
      <c r="D42" s="22">
        <v>834</v>
      </c>
      <c r="E42" s="22">
        <v>480</v>
      </c>
      <c r="F42" s="22">
        <v>489</v>
      </c>
      <c r="G42" s="6">
        <v>0.45</v>
      </c>
      <c r="H42" s="22">
        <v>50</v>
      </c>
      <c r="I42" s="22" t="s">
        <v>169</v>
      </c>
      <c r="J42" s="22"/>
      <c r="K42" s="22">
        <v>573</v>
      </c>
      <c r="L42" s="22">
        <f t="shared" si="12"/>
        <v>-93</v>
      </c>
      <c r="M42" s="22">
        <f t="shared" si="13"/>
        <v>480</v>
      </c>
      <c r="N42" s="22"/>
      <c r="O42" s="22"/>
      <c r="P42" s="22" t="s">
        <v>170</v>
      </c>
      <c r="Q42" s="22">
        <v>209.1223007000001</v>
      </c>
      <c r="R42" s="22"/>
      <c r="S42" s="22"/>
      <c r="T42" s="22">
        <v>195.67769929999989</v>
      </c>
      <c r="U42" s="17"/>
      <c r="V42" s="22"/>
      <c r="W42" s="22"/>
      <c r="X42" s="17"/>
      <c r="Y42" s="17"/>
      <c r="Z42" s="22"/>
      <c r="AA42" s="22">
        <f t="shared" si="14"/>
        <v>96</v>
      </c>
      <c r="AB42" s="4">
        <f>12.5*AA42-V42-T42-S42-R42-Q42-O42-F42</f>
        <v>306.20000000000005</v>
      </c>
      <c r="AC42" s="4">
        <f t="shared" si="11"/>
        <v>306.20000000000005</v>
      </c>
      <c r="AD42" s="4"/>
      <c r="AE42" s="4"/>
      <c r="AF42" s="22"/>
      <c r="AG42" s="22">
        <f t="shared" si="15"/>
        <v>12.5</v>
      </c>
      <c r="AH42" s="22">
        <f t="shared" si="16"/>
        <v>9.3104166666666668</v>
      </c>
      <c r="AI42" s="22">
        <v>96.8</v>
      </c>
      <c r="AJ42" s="22">
        <v>97.4</v>
      </c>
      <c r="AK42" s="22">
        <v>102</v>
      </c>
      <c r="AL42" s="22">
        <v>99.8</v>
      </c>
      <c r="AM42" s="22">
        <v>86.137</v>
      </c>
      <c r="AN42" s="22">
        <v>64.936999999999998</v>
      </c>
      <c r="AO42" s="22">
        <v>81.20320000000001</v>
      </c>
      <c r="AP42" s="22">
        <v>122.6</v>
      </c>
      <c r="AQ42" s="22">
        <v>106.3646</v>
      </c>
      <c r="AR42" s="22">
        <v>74.2</v>
      </c>
      <c r="AS42" s="22"/>
      <c r="AT42" s="22">
        <f t="shared" si="17"/>
        <v>138</v>
      </c>
      <c r="AU42" s="22">
        <f t="shared" si="18"/>
        <v>0</v>
      </c>
      <c r="AV42" s="22">
        <f t="shared" si="19"/>
        <v>0</v>
      </c>
    </row>
    <row r="43" spans="1:48" x14ac:dyDescent="0.25">
      <c r="A43" s="22" t="s">
        <v>171</v>
      </c>
      <c r="B43" s="22" t="s">
        <v>62</v>
      </c>
      <c r="C43" s="22">
        <v>437</v>
      </c>
      <c r="D43" s="22">
        <v>1181</v>
      </c>
      <c r="E43" s="22">
        <v>643</v>
      </c>
      <c r="F43" s="22">
        <v>328</v>
      </c>
      <c r="G43" s="6">
        <v>0.45</v>
      </c>
      <c r="H43" s="22">
        <v>50</v>
      </c>
      <c r="I43" s="22" t="s">
        <v>172</v>
      </c>
      <c r="J43" s="22"/>
      <c r="K43" s="22">
        <v>781</v>
      </c>
      <c r="L43" s="22">
        <f t="shared" si="12"/>
        <v>-138</v>
      </c>
      <c r="M43" s="22">
        <f t="shared" si="13"/>
        <v>643</v>
      </c>
      <c r="N43" s="22"/>
      <c r="O43" s="22"/>
      <c r="P43" s="22" t="s">
        <v>173</v>
      </c>
      <c r="Q43" s="22">
        <v>180.55775580999989</v>
      </c>
      <c r="R43" s="22">
        <v>100</v>
      </c>
      <c r="S43" s="22">
        <v>200</v>
      </c>
      <c r="T43" s="22">
        <v>194.65135311824011</v>
      </c>
      <c r="U43" s="17"/>
      <c r="V43" s="22">
        <v>197.79089107176009</v>
      </c>
      <c r="W43" s="22"/>
      <c r="X43" s="17"/>
      <c r="Y43" s="17"/>
      <c r="Z43" s="22"/>
      <c r="AA43" s="22">
        <f t="shared" si="14"/>
        <v>128.6</v>
      </c>
      <c r="AB43" s="4">
        <f>12.5*AA43-V43-T43-S43-R43-Q43-O43-F43+$AB$1*AA43</f>
        <v>322.90999999999974</v>
      </c>
      <c r="AC43" s="4">
        <f t="shared" si="11"/>
        <v>322.90999999999974</v>
      </c>
      <c r="AD43" s="4"/>
      <c r="AE43" s="4"/>
      <c r="AF43" s="22"/>
      <c r="AG43" s="22">
        <f t="shared" si="15"/>
        <v>11.85</v>
      </c>
      <c r="AH43" s="22">
        <f t="shared" si="16"/>
        <v>9.3390357698289268</v>
      </c>
      <c r="AI43" s="22">
        <v>132</v>
      </c>
      <c r="AJ43" s="22">
        <v>114.6</v>
      </c>
      <c r="AK43" s="22">
        <v>104.4</v>
      </c>
      <c r="AL43" s="22">
        <v>96.4</v>
      </c>
      <c r="AM43" s="22">
        <v>86</v>
      </c>
      <c r="AN43" s="22">
        <v>79.2</v>
      </c>
      <c r="AO43" s="22">
        <v>98.6</v>
      </c>
      <c r="AP43" s="22">
        <v>103</v>
      </c>
      <c r="AQ43" s="22">
        <v>68.2</v>
      </c>
      <c r="AR43" s="22">
        <v>81.8</v>
      </c>
      <c r="AS43" s="22"/>
      <c r="AT43" s="22">
        <f t="shared" si="17"/>
        <v>145</v>
      </c>
      <c r="AU43" s="22">
        <f t="shared" si="18"/>
        <v>0</v>
      </c>
      <c r="AV43" s="22">
        <f t="shared" si="19"/>
        <v>0</v>
      </c>
    </row>
    <row r="44" spans="1:48" x14ac:dyDescent="0.25">
      <c r="A44" s="22" t="s">
        <v>174</v>
      </c>
      <c r="B44" s="22" t="s">
        <v>62</v>
      </c>
      <c r="C44" s="22"/>
      <c r="D44" s="22">
        <v>83</v>
      </c>
      <c r="E44" s="22">
        <v>19</v>
      </c>
      <c r="F44" s="22">
        <v>29</v>
      </c>
      <c r="G44" s="6">
        <v>0.4</v>
      </c>
      <c r="H44" s="22">
        <v>40</v>
      </c>
      <c r="I44" s="22" t="s">
        <v>175</v>
      </c>
      <c r="J44" s="22"/>
      <c r="K44" s="22">
        <v>37</v>
      </c>
      <c r="L44" s="22">
        <f t="shared" si="12"/>
        <v>-18</v>
      </c>
      <c r="M44" s="22">
        <f t="shared" si="13"/>
        <v>19</v>
      </c>
      <c r="N44" s="22"/>
      <c r="O44" s="22"/>
      <c r="P44" s="22" t="s">
        <v>176</v>
      </c>
      <c r="Q44" s="22">
        <v>0</v>
      </c>
      <c r="R44" s="22"/>
      <c r="S44" s="22"/>
      <c r="T44" s="22">
        <v>0</v>
      </c>
      <c r="U44" s="17"/>
      <c r="V44" s="22"/>
      <c r="W44" s="22"/>
      <c r="X44" s="17"/>
      <c r="Y44" s="17"/>
      <c r="Z44" s="22"/>
      <c r="AA44" s="22">
        <f t="shared" si="14"/>
        <v>3.8</v>
      </c>
      <c r="AB44" s="4">
        <f>12.5*AA44-V44-T44-S44-R44-Q44-O44-F44</f>
        <v>18.5</v>
      </c>
      <c r="AC44" s="4">
        <f t="shared" si="11"/>
        <v>18.5</v>
      </c>
      <c r="AD44" s="4"/>
      <c r="AE44" s="4"/>
      <c r="AF44" s="22"/>
      <c r="AG44" s="22">
        <f t="shared" si="15"/>
        <v>12.5</v>
      </c>
      <c r="AH44" s="22">
        <f t="shared" si="16"/>
        <v>7.6315789473684212</v>
      </c>
      <c r="AI44" s="22">
        <v>-0.6</v>
      </c>
      <c r="AJ44" s="22">
        <v>0.8</v>
      </c>
      <c r="AK44" s="22">
        <v>12.2</v>
      </c>
      <c r="AL44" s="22">
        <v>12.4</v>
      </c>
      <c r="AM44" s="22">
        <v>5</v>
      </c>
      <c r="AN44" s="22">
        <v>4.2</v>
      </c>
      <c r="AO44" s="22">
        <v>6.2</v>
      </c>
      <c r="AP44" s="22">
        <v>13.8</v>
      </c>
      <c r="AQ44" s="22">
        <v>6</v>
      </c>
      <c r="AR44" s="22">
        <v>7.6</v>
      </c>
      <c r="AS44" s="22"/>
      <c r="AT44" s="22">
        <f t="shared" si="17"/>
        <v>7</v>
      </c>
      <c r="AU44" s="22">
        <f t="shared" si="18"/>
        <v>0</v>
      </c>
      <c r="AV44" s="22">
        <f t="shared" si="19"/>
        <v>0</v>
      </c>
    </row>
    <row r="45" spans="1:48" x14ac:dyDescent="0.25">
      <c r="A45" s="16" t="s">
        <v>177</v>
      </c>
      <c r="B45" s="22" t="s">
        <v>52</v>
      </c>
      <c r="C45" s="22">
        <v>586.91300000000001</v>
      </c>
      <c r="D45" s="22">
        <v>393.923</v>
      </c>
      <c r="E45" s="22">
        <v>349.90100000000001</v>
      </c>
      <c r="F45" s="22">
        <v>373.67200000000003</v>
      </c>
      <c r="G45" s="6">
        <v>1</v>
      </c>
      <c r="H45" s="22">
        <v>50</v>
      </c>
      <c r="I45" s="22" t="s">
        <v>178</v>
      </c>
      <c r="J45" s="22"/>
      <c r="K45" s="22">
        <v>477.4</v>
      </c>
      <c r="L45" s="22">
        <f t="shared" si="12"/>
        <v>-127.49899999999997</v>
      </c>
      <c r="M45" s="22">
        <f t="shared" si="13"/>
        <v>349.90100000000001</v>
      </c>
      <c r="N45" s="22"/>
      <c r="O45" s="22"/>
      <c r="P45" s="22" t="s">
        <v>179</v>
      </c>
      <c r="Q45" s="22">
        <v>218.739</v>
      </c>
      <c r="R45" s="22">
        <v>100</v>
      </c>
      <c r="S45" s="22">
        <v>250</v>
      </c>
      <c r="T45" s="22">
        <v>298.38560000000012</v>
      </c>
      <c r="U45" s="17"/>
      <c r="V45" s="22"/>
      <c r="W45" s="22"/>
      <c r="X45" s="17"/>
      <c r="Y45" s="17"/>
      <c r="Z45" s="22"/>
      <c r="AA45" s="22">
        <f t="shared" si="14"/>
        <v>69.980199999999996</v>
      </c>
      <c r="AB45" s="4"/>
      <c r="AC45" s="4">
        <f t="shared" si="11"/>
        <v>0</v>
      </c>
      <c r="AD45" s="4"/>
      <c r="AE45" s="4"/>
      <c r="AF45" s="22"/>
      <c r="AG45" s="22">
        <f t="shared" si="15"/>
        <v>17.730680964044119</v>
      </c>
      <c r="AH45" s="22">
        <f t="shared" si="16"/>
        <v>17.730680964044119</v>
      </c>
      <c r="AI45" s="22">
        <v>120.0566</v>
      </c>
      <c r="AJ45" s="22">
        <v>112.971</v>
      </c>
      <c r="AK45" s="22">
        <v>95.999600000000001</v>
      </c>
      <c r="AL45" s="22">
        <v>109.7628</v>
      </c>
      <c r="AM45" s="22">
        <v>96.142200000000003</v>
      </c>
      <c r="AN45" s="22">
        <v>102.41540000000001</v>
      </c>
      <c r="AO45" s="22">
        <v>98.602599999999995</v>
      </c>
      <c r="AP45" s="22">
        <v>84.755600000000001</v>
      </c>
      <c r="AQ45" s="22">
        <v>107.6558</v>
      </c>
      <c r="AR45" s="22">
        <v>104.7816</v>
      </c>
      <c r="AS45" s="22"/>
      <c r="AT45" s="22">
        <f t="shared" si="17"/>
        <v>0</v>
      </c>
      <c r="AU45" s="22">
        <f t="shared" si="18"/>
        <v>0</v>
      </c>
      <c r="AV45" s="22">
        <f t="shared" si="19"/>
        <v>0</v>
      </c>
    </row>
    <row r="46" spans="1:48" x14ac:dyDescent="0.25">
      <c r="A46" s="22" t="s">
        <v>180</v>
      </c>
      <c r="B46" s="22" t="s">
        <v>62</v>
      </c>
      <c r="C46" s="22">
        <v>221</v>
      </c>
      <c r="D46" s="22">
        <v>21</v>
      </c>
      <c r="E46" s="22">
        <v>132</v>
      </c>
      <c r="F46" s="22">
        <v>83</v>
      </c>
      <c r="G46" s="6">
        <v>0.1</v>
      </c>
      <c r="H46" s="22">
        <v>731</v>
      </c>
      <c r="I46" s="22" t="s">
        <v>181</v>
      </c>
      <c r="J46" s="22"/>
      <c r="K46" s="22">
        <v>142</v>
      </c>
      <c r="L46" s="22">
        <f t="shared" si="12"/>
        <v>-10</v>
      </c>
      <c r="M46" s="22">
        <f t="shared" si="13"/>
        <v>132</v>
      </c>
      <c r="N46" s="22"/>
      <c r="O46" s="22"/>
      <c r="P46" s="22" t="s">
        <v>182</v>
      </c>
      <c r="Q46" s="22">
        <v>139</v>
      </c>
      <c r="R46" s="22"/>
      <c r="S46" s="22"/>
      <c r="T46" s="22">
        <v>35.199999999999989</v>
      </c>
      <c r="U46" s="17"/>
      <c r="V46" s="22"/>
      <c r="W46" s="22"/>
      <c r="X46" s="17"/>
      <c r="Y46" s="17"/>
      <c r="Z46" s="22"/>
      <c r="AA46" s="22">
        <f t="shared" si="14"/>
        <v>26.4</v>
      </c>
      <c r="AB46" s="4">
        <f>12.5*AA46-V46-T46-S46-R46-Q46-O46-F46</f>
        <v>72.800000000000011</v>
      </c>
      <c r="AC46" s="4">
        <f t="shared" si="11"/>
        <v>72.800000000000011</v>
      </c>
      <c r="AD46" s="4"/>
      <c r="AE46" s="4"/>
      <c r="AF46" s="22"/>
      <c r="AG46" s="22">
        <f t="shared" si="15"/>
        <v>12.5</v>
      </c>
      <c r="AH46" s="22">
        <f t="shared" si="16"/>
        <v>9.7424242424242422</v>
      </c>
      <c r="AI46" s="22">
        <v>29.2</v>
      </c>
      <c r="AJ46" s="22">
        <v>30</v>
      </c>
      <c r="AK46" s="22">
        <v>19.600000000000001</v>
      </c>
      <c r="AL46" s="22">
        <v>25.6</v>
      </c>
      <c r="AM46" s="22">
        <v>36</v>
      </c>
      <c r="AN46" s="22">
        <v>27.6</v>
      </c>
      <c r="AO46" s="22">
        <v>21.6</v>
      </c>
      <c r="AP46" s="22">
        <v>24</v>
      </c>
      <c r="AQ46" s="22">
        <v>27.6</v>
      </c>
      <c r="AR46" s="22">
        <v>26.8</v>
      </c>
      <c r="AS46" s="22"/>
      <c r="AT46" s="22">
        <f t="shared" si="17"/>
        <v>7</v>
      </c>
      <c r="AU46" s="22">
        <f t="shared" si="18"/>
        <v>0</v>
      </c>
      <c r="AV46" s="22">
        <f t="shared" si="19"/>
        <v>0</v>
      </c>
    </row>
    <row r="47" spans="1:48" x14ac:dyDescent="0.25">
      <c r="A47" s="22" t="s">
        <v>183</v>
      </c>
      <c r="B47" s="22" t="s">
        <v>52</v>
      </c>
      <c r="C47" s="22">
        <v>837.75300000000004</v>
      </c>
      <c r="D47" s="22">
        <v>1014.692</v>
      </c>
      <c r="E47" s="22">
        <v>409.62799999999999</v>
      </c>
      <c r="F47" s="22">
        <v>871.26499999999999</v>
      </c>
      <c r="G47" s="6">
        <v>1</v>
      </c>
      <c r="H47" s="22">
        <v>50</v>
      </c>
      <c r="I47" s="22" t="s">
        <v>184</v>
      </c>
      <c r="J47" s="22"/>
      <c r="K47" s="22">
        <v>445.4</v>
      </c>
      <c r="L47" s="22">
        <f t="shared" si="12"/>
        <v>-35.771999999999991</v>
      </c>
      <c r="M47" s="22">
        <f t="shared" si="13"/>
        <v>409.62799999999999</v>
      </c>
      <c r="N47" s="22"/>
      <c r="O47" s="22"/>
      <c r="P47" s="22" t="s">
        <v>185</v>
      </c>
      <c r="Q47" s="22">
        <v>0</v>
      </c>
      <c r="R47" s="22"/>
      <c r="S47" s="22"/>
      <c r="T47" s="22">
        <v>0</v>
      </c>
      <c r="U47" s="17"/>
      <c r="V47" s="22"/>
      <c r="W47" s="22"/>
      <c r="X47" s="17"/>
      <c r="Y47" s="17"/>
      <c r="Z47" s="22"/>
      <c r="AA47" s="22">
        <f t="shared" si="14"/>
        <v>81.925600000000003</v>
      </c>
      <c r="AB47" s="4">
        <f>12.5*AA47-V47-T47-S47-R47-Q47-O47-F47</f>
        <v>152.80499999999995</v>
      </c>
      <c r="AC47" s="4">
        <f t="shared" si="11"/>
        <v>152.80499999999995</v>
      </c>
      <c r="AD47" s="4"/>
      <c r="AE47" s="4"/>
      <c r="AF47" s="22"/>
      <c r="AG47" s="22">
        <f t="shared" si="15"/>
        <v>12.499999999999998</v>
      </c>
      <c r="AH47" s="22">
        <f t="shared" si="16"/>
        <v>10.634832091556241</v>
      </c>
      <c r="AI47" s="22">
        <v>86.080600000000004</v>
      </c>
      <c r="AJ47" s="22">
        <v>92.588999999999999</v>
      </c>
      <c r="AK47" s="22">
        <v>122.23399999999999</v>
      </c>
      <c r="AL47" s="22">
        <v>127.477</v>
      </c>
      <c r="AM47" s="22">
        <v>116.47839999999999</v>
      </c>
      <c r="AN47" s="22">
        <v>107.4956</v>
      </c>
      <c r="AO47" s="22">
        <v>89.548199999999994</v>
      </c>
      <c r="AP47" s="22">
        <v>78.435599999999994</v>
      </c>
      <c r="AQ47" s="22">
        <v>86.919399999999996</v>
      </c>
      <c r="AR47" s="22">
        <v>118.1324</v>
      </c>
      <c r="AS47" s="22"/>
      <c r="AT47" s="22">
        <f t="shared" si="17"/>
        <v>153</v>
      </c>
      <c r="AU47" s="22">
        <f t="shared" si="18"/>
        <v>0</v>
      </c>
      <c r="AV47" s="22">
        <f t="shared" si="19"/>
        <v>0</v>
      </c>
    </row>
    <row r="48" spans="1:48" x14ac:dyDescent="0.25">
      <c r="A48" s="22" t="s">
        <v>186</v>
      </c>
      <c r="B48" s="22" t="s">
        <v>52</v>
      </c>
      <c r="C48" s="22">
        <v>86.215000000000003</v>
      </c>
      <c r="D48" s="22">
        <v>25.641999999999999</v>
      </c>
      <c r="E48" s="22">
        <v>26.585999999999999</v>
      </c>
      <c r="F48" s="22">
        <v>59.274999999999999</v>
      </c>
      <c r="G48" s="6">
        <v>1</v>
      </c>
      <c r="H48" s="22">
        <v>55</v>
      </c>
      <c r="I48" s="22" t="s">
        <v>187</v>
      </c>
      <c r="J48" s="22"/>
      <c r="K48" s="22">
        <v>28.946000000000002</v>
      </c>
      <c r="L48" s="22">
        <f t="shared" si="12"/>
        <v>-2.360000000000003</v>
      </c>
      <c r="M48" s="22">
        <f t="shared" si="13"/>
        <v>26.585999999999999</v>
      </c>
      <c r="N48" s="22"/>
      <c r="O48" s="22"/>
      <c r="P48" s="22" t="s">
        <v>188</v>
      </c>
      <c r="Q48" s="22">
        <v>0</v>
      </c>
      <c r="R48" s="22"/>
      <c r="S48" s="22"/>
      <c r="T48" s="22">
        <v>0</v>
      </c>
      <c r="U48" s="17"/>
      <c r="V48" s="22"/>
      <c r="W48" s="22"/>
      <c r="X48" s="17"/>
      <c r="Y48" s="17"/>
      <c r="Z48" s="22"/>
      <c r="AA48" s="22">
        <f t="shared" si="14"/>
        <v>5.3171999999999997</v>
      </c>
      <c r="AB48" s="4">
        <f>12.5*AA48-V48-T48-S48-R48-Q48-O48-F48</f>
        <v>7.1900000000000048</v>
      </c>
      <c r="AC48" s="4">
        <f t="shared" ref="AC48:AC79" si="20">AB48-AD48-AE48</f>
        <v>7.1900000000000048</v>
      </c>
      <c r="AD48" s="4"/>
      <c r="AE48" s="4"/>
      <c r="AF48" s="22"/>
      <c r="AG48" s="22">
        <f t="shared" si="15"/>
        <v>12.500000000000002</v>
      </c>
      <c r="AH48" s="22">
        <f t="shared" si="16"/>
        <v>11.147784548258482</v>
      </c>
      <c r="AI48" s="22">
        <v>3.4356</v>
      </c>
      <c r="AJ48" s="22">
        <v>4.8685999999999998</v>
      </c>
      <c r="AK48" s="22">
        <v>7.0706000000000007</v>
      </c>
      <c r="AL48" s="22">
        <v>8.1921999999999997</v>
      </c>
      <c r="AM48" s="22">
        <v>4.92</v>
      </c>
      <c r="AN48" s="22">
        <v>4.6549999999999994</v>
      </c>
      <c r="AO48" s="22">
        <v>5.2093999999999996</v>
      </c>
      <c r="AP48" s="22">
        <v>14.451599999999999</v>
      </c>
      <c r="AQ48" s="22">
        <v>7.6686000000000014</v>
      </c>
      <c r="AR48" s="22">
        <v>5.4643999999999986</v>
      </c>
      <c r="AS48" s="22"/>
      <c r="AT48" s="22">
        <f t="shared" si="17"/>
        <v>7</v>
      </c>
      <c r="AU48" s="22">
        <f t="shared" si="18"/>
        <v>0</v>
      </c>
      <c r="AV48" s="22">
        <f t="shared" si="19"/>
        <v>0</v>
      </c>
    </row>
    <row r="49" spans="1:48" x14ac:dyDescent="0.25">
      <c r="A49" s="22" t="s">
        <v>189</v>
      </c>
      <c r="B49" s="22" t="s">
        <v>62</v>
      </c>
      <c r="C49" s="22">
        <v>231</v>
      </c>
      <c r="D49" s="22">
        <v>12</v>
      </c>
      <c r="E49" s="22">
        <v>118</v>
      </c>
      <c r="F49" s="22">
        <v>111</v>
      </c>
      <c r="G49" s="6">
        <v>0.1</v>
      </c>
      <c r="H49" s="22">
        <v>731</v>
      </c>
      <c r="I49" s="22" t="s">
        <v>190</v>
      </c>
      <c r="J49" s="22"/>
      <c r="K49" s="22">
        <v>128</v>
      </c>
      <c r="L49" s="22">
        <f t="shared" si="12"/>
        <v>-10</v>
      </c>
      <c r="M49" s="22">
        <f t="shared" si="13"/>
        <v>118</v>
      </c>
      <c r="N49" s="22"/>
      <c r="O49" s="22"/>
      <c r="P49" s="22" t="s">
        <v>191</v>
      </c>
      <c r="Q49" s="22">
        <v>133.80000000000001</v>
      </c>
      <c r="R49" s="22"/>
      <c r="S49" s="22"/>
      <c r="T49" s="22">
        <v>8</v>
      </c>
      <c r="U49" s="17"/>
      <c r="V49" s="22"/>
      <c r="W49" s="22"/>
      <c r="X49" s="17"/>
      <c r="Y49" s="17"/>
      <c r="Z49" s="22"/>
      <c r="AA49" s="22">
        <f t="shared" si="14"/>
        <v>23.6</v>
      </c>
      <c r="AB49" s="4">
        <f>12.5*AA49-V49-T49-S49-R49-Q49-O49-F49</f>
        <v>42.199999999999989</v>
      </c>
      <c r="AC49" s="4">
        <f t="shared" si="20"/>
        <v>42.199999999999989</v>
      </c>
      <c r="AD49" s="4"/>
      <c r="AE49" s="4"/>
      <c r="AF49" s="22"/>
      <c r="AG49" s="22">
        <f t="shared" si="15"/>
        <v>12.5</v>
      </c>
      <c r="AH49" s="22">
        <f t="shared" si="16"/>
        <v>10.711864406779661</v>
      </c>
      <c r="AI49" s="22">
        <v>27.2</v>
      </c>
      <c r="AJ49" s="22">
        <v>30.4</v>
      </c>
      <c r="AK49" s="22">
        <v>17.600000000000001</v>
      </c>
      <c r="AL49" s="22">
        <v>19.8</v>
      </c>
      <c r="AM49" s="22">
        <v>31.4</v>
      </c>
      <c r="AN49" s="22">
        <v>23.4</v>
      </c>
      <c r="AO49" s="22">
        <v>19.600000000000001</v>
      </c>
      <c r="AP49" s="22">
        <v>23</v>
      </c>
      <c r="AQ49" s="22">
        <v>23.6</v>
      </c>
      <c r="AR49" s="22">
        <v>20.8</v>
      </c>
      <c r="AS49" s="22"/>
      <c r="AT49" s="22">
        <f t="shared" si="17"/>
        <v>4</v>
      </c>
      <c r="AU49" s="22">
        <f t="shared" si="18"/>
        <v>0</v>
      </c>
      <c r="AV49" s="22">
        <f t="shared" si="19"/>
        <v>0</v>
      </c>
    </row>
    <row r="50" spans="1:48" x14ac:dyDescent="0.25">
      <c r="A50" s="22" t="s">
        <v>192</v>
      </c>
      <c r="B50" s="22" t="s">
        <v>62</v>
      </c>
      <c r="C50" s="22">
        <v>7</v>
      </c>
      <c r="D50" s="22">
        <v>1</v>
      </c>
      <c r="E50" s="22">
        <v>8</v>
      </c>
      <c r="F50" s="22"/>
      <c r="G50" s="6">
        <v>0.4</v>
      </c>
      <c r="H50" s="22">
        <v>50</v>
      </c>
      <c r="I50" s="22" t="s">
        <v>193</v>
      </c>
      <c r="J50" s="22"/>
      <c r="K50" s="22">
        <v>10</v>
      </c>
      <c r="L50" s="22">
        <f t="shared" si="12"/>
        <v>-2</v>
      </c>
      <c r="M50" s="22">
        <f t="shared" si="13"/>
        <v>8</v>
      </c>
      <c r="N50" s="22"/>
      <c r="O50" s="22"/>
      <c r="P50" s="22" t="s">
        <v>194</v>
      </c>
      <c r="Q50" s="22">
        <v>7.3999999999999986</v>
      </c>
      <c r="R50" s="22"/>
      <c r="S50" s="22"/>
      <c r="T50" s="22">
        <v>17.8</v>
      </c>
      <c r="U50" s="17"/>
      <c r="V50" s="22"/>
      <c r="W50" s="22"/>
      <c r="X50" s="17"/>
      <c r="Y50" s="17"/>
      <c r="Z50" s="22"/>
      <c r="AA50" s="22">
        <f t="shared" si="14"/>
        <v>1.6</v>
      </c>
      <c r="AB50" s="4"/>
      <c r="AC50" s="4">
        <f t="shared" si="20"/>
        <v>0</v>
      </c>
      <c r="AD50" s="4"/>
      <c r="AE50" s="4"/>
      <c r="AF50" s="22"/>
      <c r="AG50" s="22">
        <f t="shared" si="15"/>
        <v>15.749999999999998</v>
      </c>
      <c r="AH50" s="22">
        <f t="shared" si="16"/>
        <v>15.749999999999998</v>
      </c>
      <c r="AI50" s="22">
        <v>2.8</v>
      </c>
      <c r="AJ50" s="22">
        <v>1.2</v>
      </c>
      <c r="AK50" s="22">
        <v>0</v>
      </c>
      <c r="AL50" s="22">
        <v>0.4</v>
      </c>
      <c r="AM50" s="22">
        <v>0.4</v>
      </c>
      <c r="AN50" s="22">
        <v>0</v>
      </c>
      <c r="AO50" s="22">
        <v>0</v>
      </c>
      <c r="AP50" s="22">
        <v>0.2</v>
      </c>
      <c r="AQ50" s="22">
        <v>1</v>
      </c>
      <c r="AR50" s="22">
        <v>0.8</v>
      </c>
      <c r="AS50" s="22"/>
      <c r="AT50" s="22">
        <f t="shared" si="17"/>
        <v>0</v>
      </c>
      <c r="AU50" s="22">
        <f t="shared" si="18"/>
        <v>0</v>
      </c>
      <c r="AV50" s="22">
        <f t="shared" si="19"/>
        <v>0</v>
      </c>
    </row>
    <row r="51" spans="1:48" x14ac:dyDescent="0.25">
      <c r="A51" s="22" t="s">
        <v>195</v>
      </c>
      <c r="B51" s="22" t="s">
        <v>52</v>
      </c>
      <c r="C51" s="22">
        <v>111.78100000000001</v>
      </c>
      <c r="D51" s="22">
        <v>18.626999999999999</v>
      </c>
      <c r="E51" s="22">
        <v>53.344000000000001</v>
      </c>
      <c r="F51" s="22">
        <v>53.31</v>
      </c>
      <c r="G51" s="6">
        <v>1</v>
      </c>
      <c r="H51" s="22">
        <v>40</v>
      </c>
      <c r="I51" s="22" t="s">
        <v>196</v>
      </c>
      <c r="J51" s="22"/>
      <c r="K51" s="22">
        <v>79.2</v>
      </c>
      <c r="L51" s="22">
        <f t="shared" si="12"/>
        <v>-25.856000000000002</v>
      </c>
      <c r="M51" s="22">
        <f t="shared" si="13"/>
        <v>53.344000000000001</v>
      </c>
      <c r="N51" s="22"/>
      <c r="O51" s="22"/>
      <c r="P51" s="22" t="s">
        <v>197</v>
      </c>
      <c r="Q51" s="22">
        <v>39.810200000000009</v>
      </c>
      <c r="R51" s="22"/>
      <c r="S51" s="22"/>
      <c r="T51" s="22">
        <v>39.049999999999983</v>
      </c>
      <c r="U51" s="17"/>
      <c r="V51" s="22"/>
      <c r="W51" s="22"/>
      <c r="X51" s="17"/>
      <c r="Y51" s="17"/>
      <c r="Z51" s="22"/>
      <c r="AA51" s="22">
        <f t="shared" si="14"/>
        <v>10.668800000000001</v>
      </c>
      <c r="AB51" s="4">
        <v>4</v>
      </c>
      <c r="AC51" s="4">
        <f t="shared" si="20"/>
        <v>4</v>
      </c>
      <c r="AD51" s="4"/>
      <c r="AE51" s="4"/>
      <c r="AF51" s="22"/>
      <c r="AG51" s="22">
        <f t="shared" si="15"/>
        <v>12.76340356928614</v>
      </c>
      <c r="AH51" s="22">
        <f t="shared" si="16"/>
        <v>12.38847855428914</v>
      </c>
      <c r="AI51" s="22">
        <v>14.4322</v>
      </c>
      <c r="AJ51" s="22">
        <v>12.6326</v>
      </c>
      <c r="AK51" s="22">
        <v>14.220599999999999</v>
      </c>
      <c r="AL51" s="22">
        <v>11.2966</v>
      </c>
      <c r="AM51" s="22">
        <v>0.4582</v>
      </c>
      <c r="AN51" s="22">
        <v>4.8795999999999999</v>
      </c>
      <c r="AO51" s="22">
        <v>24.591000000000001</v>
      </c>
      <c r="AP51" s="22">
        <v>22.217199999999998</v>
      </c>
      <c r="AQ51" s="22">
        <v>17.740400000000001</v>
      </c>
      <c r="AR51" s="22">
        <v>8.1560000000000006</v>
      </c>
      <c r="AS51" s="22"/>
      <c r="AT51" s="22">
        <f t="shared" si="17"/>
        <v>4</v>
      </c>
      <c r="AU51" s="22">
        <f t="shared" si="18"/>
        <v>0</v>
      </c>
      <c r="AV51" s="22">
        <f t="shared" si="19"/>
        <v>0</v>
      </c>
    </row>
    <row r="52" spans="1:48" x14ac:dyDescent="0.25">
      <c r="A52" s="22" t="s">
        <v>198</v>
      </c>
      <c r="B52" s="22" t="s">
        <v>52</v>
      </c>
      <c r="C52" s="22">
        <v>60.292999999999999</v>
      </c>
      <c r="D52" s="22">
        <v>1.3959999999999999</v>
      </c>
      <c r="E52" s="22">
        <v>8.1460000000000008</v>
      </c>
      <c r="F52" s="22">
        <v>52.332999999999998</v>
      </c>
      <c r="G52" s="6">
        <v>1</v>
      </c>
      <c r="H52" s="22">
        <v>40</v>
      </c>
      <c r="I52" s="22" t="s">
        <v>199</v>
      </c>
      <c r="J52" s="22"/>
      <c r="K52" s="22">
        <v>8.9</v>
      </c>
      <c r="L52" s="22">
        <f t="shared" si="12"/>
        <v>-0.75399999999999956</v>
      </c>
      <c r="M52" s="22">
        <f t="shared" si="13"/>
        <v>8.1460000000000008</v>
      </c>
      <c r="N52" s="22"/>
      <c r="O52" s="22"/>
      <c r="P52" s="22" t="s">
        <v>201</v>
      </c>
      <c r="Q52" s="22">
        <v>0</v>
      </c>
      <c r="R52" s="22"/>
      <c r="S52" s="22"/>
      <c r="T52" s="22">
        <v>0</v>
      </c>
      <c r="U52" s="17"/>
      <c r="V52" s="22"/>
      <c r="W52" s="22"/>
      <c r="X52" s="17"/>
      <c r="Y52" s="17"/>
      <c r="Z52" s="22"/>
      <c r="AA52" s="22">
        <f t="shared" si="14"/>
        <v>1.6292000000000002</v>
      </c>
      <c r="AB52" s="4"/>
      <c r="AC52" s="4">
        <f t="shared" si="20"/>
        <v>0</v>
      </c>
      <c r="AD52" s="4"/>
      <c r="AE52" s="4"/>
      <c r="AF52" s="22"/>
      <c r="AG52" s="22">
        <f t="shared" si="15"/>
        <v>32.121900319175047</v>
      </c>
      <c r="AH52" s="22">
        <f t="shared" si="16"/>
        <v>32.121900319175047</v>
      </c>
      <c r="AI52" s="22">
        <v>1.1017999999999999</v>
      </c>
      <c r="AJ52" s="22">
        <v>0.30680000000000002</v>
      </c>
      <c r="AK52" s="22">
        <v>0.37080000000000002</v>
      </c>
      <c r="AL52" s="22">
        <v>0.44779999999999998</v>
      </c>
      <c r="AM52" s="22">
        <v>3.7235999999999998</v>
      </c>
      <c r="AN52" s="22">
        <v>8.1310000000000002</v>
      </c>
      <c r="AO52" s="22">
        <v>7.1864000000000008</v>
      </c>
      <c r="AP52" s="22">
        <v>4.3975999999999997</v>
      </c>
      <c r="AQ52" s="22">
        <v>3.7995999999999999</v>
      </c>
      <c r="AR52" s="22">
        <v>5.4703999999999997</v>
      </c>
      <c r="AS52" s="10" t="s">
        <v>200</v>
      </c>
      <c r="AT52" s="22">
        <f t="shared" si="17"/>
        <v>0</v>
      </c>
      <c r="AU52" s="22">
        <f t="shared" si="18"/>
        <v>0</v>
      </c>
      <c r="AV52" s="22">
        <f t="shared" si="19"/>
        <v>0</v>
      </c>
    </row>
    <row r="53" spans="1:48" hidden="1" x14ac:dyDescent="0.25">
      <c r="A53" s="22" t="s">
        <v>202</v>
      </c>
      <c r="B53" s="22" t="s">
        <v>62</v>
      </c>
      <c r="C53" s="22">
        <v>400</v>
      </c>
      <c r="D53" s="22">
        <v>1099</v>
      </c>
      <c r="E53" s="22">
        <v>646</v>
      </c>
      <c r="F53" s="22">
        <v>263</v>
      </c>
      <c r="G53" s="6">
        <v>0.4</v>
      </c>
      <c r="H53" s="22">
        <v>40</v>
      </c>
      <c r="I53" s="22" t="s">
        <v>203</v>
      </c>
      <c r="J53" s="22"/>
      <c r="K53" s="22">
        <v>764</v>
      </c>
      <c r="L53" s="22">
        <f t="shared" si="12"/>
        <v>-118</v>
      </c>
      <c r="M53" s="22">
        <f t="shared" si="13"/>
        <v>646</v>
      </c>
      <c r="N53" s="22"/>
      <c r="O53" s="22"/>
      <c r="P53" s="22" t="s">
        <v>204</v>
      </c>
      <c r="Q53" s="22">
        <v>148.40000000000009</v>
      </c>
      <c r="R53" s="22">
        <v>100</v>
      </c>
      <c r="S53" s="22">
        <v>150</v>
      </c>
      <c r="T53" s="22">
        <v>310.49599999999998</v>
      </c>
      <c r="U53" s="17"/>
      <c r="V53" s="22">
        <v>315.50400000000002</v>
      </c>
      <c r="W53" s="22"/>
      <c r="X53" s="17"/>
      <c r="Y53" s="17"/>
      <c r="Z53" s="22">
        <f>VLOOKUP(P53,[1]Лист1!$A:$E,5,0)</f>
        <v>-98.4</v>
      </c>
      <c r="AA53" s="22">
        <f t="shared" si="14"/>
        <v>129.19999999999999</v>
      </c>
      <c r="AB53" s="4">
        <f>12.5*AA53-V53-T53-S53-R53-Q53-O53-F53+$AB$1*AA53</f>
        <v>243.61999999999958</v>
      </c>
      <c r="AC53" s="4">
        <f t="shared" si="20"/>
        <v>243.61999999999958</v>
      </c>
      <c r="AD53" s="4"/>
      <c r="AE53" s="4"/>
      <c r="AF53" s="22"/>
      <c r="AG53" s="22">
        <f t="shared" si="15"/>
        <v>11.85</v>
      </c>
      <c r="AH53" s="22">
        <f t="shared" si="16"/>
        <v>9.9643962848297232</v>
      </c>
      <c r="AI53" s="22">
        <v>139.4</v>
      </c>
      <c r="AJ53" s="22">
        <v>108.2</v>
      </c>
      <c r="AK53" s="22">
        <v>105.6</v>
      </c>
      <c r="AL53" s="22">
        <v>124.6</v>
      </c>
      <c r="AM53" s="22">
        <v>83.8</v>
      </c>
      <c r="AN53" s="22">
        <v>22.4</v>
      </c>
      <c r="AO53" s="22">
        <v>59.2</v>
      </c>
      <c r="AP53" s="22">
        <v>122.8</v>
      </c>
      <c r="AQ53" s="22">
        <v>126</v>
      </c>
      <c r="AR53" s="22">
        <v>127.8</v>
      </c>
      <c r="AS53" s="22"/>
      <c r="AT53" s="22">
        <f t="shared" si="17"/>
        <v>97</v>
      </c>
      <c r="AU53" s="22">
        <f t="shared" si="18"/>
        <v>0</v>
      </c>
      <c r="AV53" s="22">
        <f t="shared" si="19"/>
        <v>0</v>
      </c>
    </row>
    <row r="54" spans="1:48" hidden="1" x14ac:dyDescent="0.25">
      <c r="A54" s="22" t="s">
        <v>205</v>
      </c>
      <c r="B54" s="22" t="s">
        <v>62</v>
      </c>
      <c r="C54" s="22">
        <v>789</v>
      </c>
      <c r="D54" s="22">
        <v>654</v>
      </c>
      <c r="E54" s="22">
        <v>518</v>
      </c>
      <c r="F54" s="22">
        <v>380</v>
      </c>
      <c r="G54" s="6">
        <v>0.4</v>
      </c>
      <c r="H54" s="22">
        <v>40</v>
      </c>
      <c r="I54" s="22" t="s">
        <v>206</v>
      </c>
      <c r="J54" s="22"/>
      <c r="K54" s="22">
        <v>596</v>
      </c>
      <c r="L54" s="22">
        <f t="shared" si="12"/>
        <v>-78</v>
      </c>
      <c r="M54" s="22">
        <f t="shared" si="13"/>
        <v>518</v>
      </c>
      <c r="N54" s="22"/>
      <c r="O54" s="22"/>
      <c r="P54" s="22" t="s">
        <v>207</v>
      </c>
      <c r="Q54" s="22">
        <v>229.46716328480011</v>
      </c>
      <c r="R54" s="22"/>
      <c r="S54" s="22"/>
      <c r="T54" s="22">
        <v>193.73283671519991</v>
      </c>
      <c r="U54" s="17"/>
      <c r="V54" s="22"/>
      <c r="W54" s="22"/>
      <c r="X54" s="17"/>
      <c r="Y54" s="17"/>
      <c r="Z54" s="22">
        <f>VLOOKUP(P54,[1]Лист1!$A:$E,5,0)</f>
        <v>-170.4</v>
      </c>
      <c r="AA54" s="22">
        <f t="shared" si="14"/>
        <v>103.6</v>
      </c>
      <c r="AB54" s="4">
        <f>12.5*AA54-V54-T54-S54-R54-Q54-O54-F54+$AB$1*AA54</f>
        <v>424.45999999999992</v>
      </c>
      <c r="AC54" s="4">
        <f t="shared" si="20"/>
        <v>424.45999999999992</v>
      </c>
      <c r="AD54" s="4"/>
      <c r="AE54" s="4"/>
      <c r="AF54" s="22"/>
      <c r="AG54" s="22">
        <f t="shared" si="15"/>
        <v>11.85</v>
      </c>
      <c r="AH54" s="22">
        <f t="shared" si="16"/>
        <v>7.7528957528957534</v>
      </c>
      <c r="AI54" s="22">
        <v>96.2</v>
      </c>
      <c r="AJ54" s="22">
        <v>93</v>
      </c>
      <c r="AK54" s="22">
        <v>100.6</v>
      </c>
      <c r="AL54" s="22">
        <v>103.2</v>
      </c>
      <c r="AM54" s="22">
        <v>92.8</v>
      </c>
      <c r="AN54" s="22">
        <v>85.8</v>
      </c>
      <c r="AO54" s="22">
        <v>85.6</v>
      </c>
      <c r="AP54" s="22">
        <v>89</v>
      </c>
      <c r="AQ54" s="22">
        <v>88</v>
      </c>
      <c r="AR54" s="22">
        <v>87</v>
      </c>
      <c r="AS54" s="22"/>
      <c r="AT54" s="22">
        <f t="shared" si="17"/>
        <v>170</v>
      </c>
      <c r="AU54" s="22">
        <f t="shared" si="18"/>
        <v>0</v>
      </c>
      <c r="AV54" s="22">
        <f t="shared" si="19"/>
        <v>0</v>
      </c>
    </row>
    <row r="55" spans="1:48" x14ac:dyDescent="0.25">
      <c r="A55" s="22" t="s">
        <v>208</v>
      </c>
      <c r="B55" s="22" t="s">
        <v>52</v>
      </c>
      <c r="C55" s="22">
        <v>164.97200000000001</v>
      </c>
      <c r="D55" s="22">
        <v>37.219000000000001</v>
      </c>
      <c r="E55" s="22">
        <v>51.893999999999998</v>
      </c>
      <c r="F55" s="22">
        <v>142.27000000000001</v>
      </c>
      <c r="G55" s="6">
        <v>1</v>
      </c>
      <c r="H55" s="22">
        <v>40</v>
      </c>
      <c r="I55" s="22" t="s">
        <v>209</v>
      </c>
      <c r="J55" s="22"/>
      <c r="K55" s="22">
        <v>61.3</v>
      </c>
      <c r="L55" s="22">
        <f t="shared" si="12"/>
        <v>-9.4059999999999988</v>
      </c>
      <c r="M55" s="22">
        <f t="shared" si="13"/>
        <v>51.893999999999998</v>
      </c>
      <c r="N55" s="22"/>
      <c r="O55" s="22"/>
      <c r="P55" s="22" t="s">
        <v>210</v>
      </c>
      <c r="Q55" s="22">
        <v>0</v>
      </c>
      <c r="R55" s="22"/>
      <c r="S55" s="22"/>
      <c r="T55" s="22">
        <v>0</v>
      </c>
      <c r="U55" s="17"/>
      <c r="V55" s="22"/>
      <c r="W55" s="22"/>
      <c r="X55" s="17"/>
      <c r="Y55" s="17"/>
      <c r="Z55" s="22"/>
      <c r="AA55" s="22">
        <f t="shared" si="14"/>
        <v>10.3788</v>
      </c>
      <c r="AB55" s="4"/>
      <c r="AC55" s="4">
        <f t="shared" si="20"/>
        <v>0</v>
      </c>
      <c r="AD55" s="4"/>
      <c r="AE55" s="4"/>
      <c r="AF55" s="22"/>
      <c r="AG55" s="22">
        <f t="shared" si="15"/>
        <v>13.707750414306087</v>
      </c>
      <c r="AH55" s="22">
        <f t="shared" si="16"/>
        <v>13.707750414306087</v>
      </c>
      <c r="AI55" s="22">
        <v>10.9048</v>
      </c>
      <c r="AJ55" s="22">
        <v>10.0128</v>
      </c>
      <c r="AK55" s="22">
        <v>18.179400000000001</v>
      </c>
      <c r="AL55" s="22">
        <v>18.554600000000001</v>
      </c>
      <c r="AM55" s="22">
        <v>5.6436000000000002</v>
      </c>
      <c r="AN55" s="22">
        <v>0.72619999999999996</v>
      </c>
      <c r="AO55" s="22">
        <v>-0.1802</v>
      </c>
      <c r="AP55" s="22">
        <v>5.9652000000000003</v>
      </c>
      <c r="AQ55" s="22">
        <v>10.678800000000001</v>
      </c>
      <c r="AR55" s="22">
        <v>7.9730000000000008</v>
      </c>
      <c r="AS55" s="22"/>
      <c r="AT55" s="22">
        <f t="shared" si="17"/>
        <v>0</v>
      </c>
      <c r="AU55" s="22">
        <f t="shared" si="18"/>
        <v>0</v>
      </c>
      <c r="AV55" s="22">
        <f t="shared" si="19"/>
        <v>0</v>
      </c>
    </row>
    <row r="56" spans="1:48" x14ac:dyDescent="0.25">
      <c r="A56" s="22" t="s">
        <v>211</v>
      </c>
      <c r="B56" s="22" t="s">
        <v>52</v>
      </c>
      <c r="C56" s="22">
        <v>62.929000000000002</v>
      </c>
      <c r="D56" s="22">
        <v>130.62200000000001</v>
      </c>
      <c r="E56" s="22">
        <v>64.951999999999998</v>
      </c>
      <c r="F56" s="22">
        <v>69.941000000000003</v>
      </c>
      <c r="G56" s="6">
        <v>1</v>
      </c>
      <c r="H56" s="22">
        <v>40</v>
      </c>
      <c r="I56" s="22" t="s">
        <v>212</v>
      </c>
      <c r="J56" s="22"/>
      <c r="K56" s="22">
        <v>62.7</v>
      </c>
      <c r="L56" s="22">
        <f t="shared" si="12"/>
        <v>2.2519999999999953</v>
      </c>
      <c r="M56" s="22">
        <f t="shared" si="13"/>
        <v>64.951999999999998</v>
      </c>
      <c r="N56" s="22"/>
      <c r="O56" s="22"/>
      <c r="P56" s="22" t="s">
        <v>213</v>
      </c>
      <c r="Q56" s="22">
        <v>75.512199999999979</v>
      </c>
      <c r="R56" s="22"/>
      <c r="S56" s="22"/>
      <c r="T56" s="22">
        <v>0</v>
      </c>
      <c r="U56" s="17"/>
      <c r="V56" s="22"/>
      <c r="W56" s="22"/>
      <c r="X56" s="17"/>
      <c r="Y56" s="17"/>
      <c r="Z56" s="22"/>
      <c r="AA56" s="22">
        <f t="shared" si="14"/>
        <v>12.990399999999999</v>
      </c>
      <c r="AB56" s="4">
        <f>12.5*AA56-V56-T56-S56-R56-Q56-O56-F56</f>
        <v>16.926800000000014</v>
      </c>
      <c r="AC56" s="4">
        <f t="shared" si="20"/>
        <v>16.926800000000014</v>
      </c>
      <c r="AD56" s="4"/>
      <c r="AE56" s="4"/>
      <c r="AF56" s="22"/>
      <c r="AG56" s="22">
        <f t="shared" si="15"/>
        <v>12.5</v>
      </c>
      <c r="AH56" s="22">
        <f t="shared" si="16"/>
        <v>11.19697622859958</v>
      </c>
      <c r="AI56" s="22">
        <v>13.3424</v>
      </c>
      <c r="AJ56" s="22">
        <v>17.515799999999999</v>
      </c>
      <c r="AK56" s="22">
        <v>14.6234</v>
      </c>
      <c r="AL56" s="22">
        <v>4.8811999999999998</v>
      </c>
      <c r="AM56" s="22">
        <v>5.7866</v>
      </c>
      <c r="AN56" s="22">
        <v>13.375400000000001</v>
      </c>
      <c r="AO56" s="22">
        <v>12.828799999999999</v>
      </c>
      <c r="AP56" s="22">
        <v>10.311199999999999</v>
      </c>
      <c r="AQ56" s="22">
        <v>15.530799999999999</v>
      </c>
      <c r="AR56" s="22">
        <v>14.7936</v>
      </c>
      <c r="AS56" s="22"/>
      <c r="AT56" s="22">
        <f t="shared" si="17"/>
        <v>17</v>
      </c>
      <c r="AU56" s="22">
        <f t="shared" si="18"/>
        <v>0</v>
      </c>
      <c r="AV56" s="22">
        <f t="shared" si="19"/>
        <v>0</v>
      </c>
    </row>
    <row r="57" spans="1:48" x14ac:dyDescent="0.25">
      <c r="A57" s="22" t="s">
        <v>214</v>
      </c>
      <c r="B57" s="22" t="s">
        <v>52</v>
      </c>
      <c r="C57" s="22">
        <v>1754.221</v>
      </c>
      <c r="D57" s="22">
        <v>354.32900000000001</v>
      </c>
      <c r="E57" s="22">
        <v>884.71299999999997</v>
      </c>
      <c r="F57" s="22">
        <v>857.22199999999998</v>
      </c>
      <c r="G57" s="6">
        <v>1</v>
      </c>
      <c r="H57" s="22">
        <v>40</v>
      </c>
      <c r="I57" s="22" t="s">
        <v>215</v>
      </c>
      <c r="J57" s="22"/>
      <c r="K57" s="22">
        <v>838</v>
      </c>
      <c r="L57" s="22">
        <f t="shared" si="12"/>
        <v>46.712999999999965</v>
      </c>
      <c r="M57" s="22">
        <f t="shared" si="13"/>
        <v>884.71299999999997</v>
      </c>
      <c r="N57" s="22"/>
      <c r="O57" s="22"/>
      <c r="P57" s="22" t="s">
        <v>216</v>
      </c>
      <c r="Q57" s="22">
        <v>0</v>
      </c>
      <c r="R57" s="22"/>
      <c r="S57" s="22"/>
      <c r="T57" s="22">
        <v>298.72145599999999</v>
      </c>
      <c r="U57" s="17"/>
      <c r="V57" s="22">
        <v>303.53954399999998</v>
      </c>
      <c r="W57" s="22"/>
      <c r="X57" s="17"/>
      <c r="Y57" s="17"/>
      <c r="Z57" s="22"/>
      <c r="AA57" s="22">
        <f t="shared" si="14"/>
        <v>176.9426</v>
      </c>
      <c r="AB57" s="4">
        <f>12.5*AA57-V57-T57-S57-R57-Q57-O57-F57</f>
        <v>752.29949999999985</v>
      </c>
      <c r="AC57" s="4">
        <f t="shared" si="20"/>
        <v>689.29949999999985</v>
      </c>
      <c r="AD57" s="4">
        <v>63</v>
      </c>
      <c r="AE57" s="4"/>
      <c r="AF57" s="22"/>
      <c r="AG57" s="22">
        <f t="shared" si="15"/>
        <v>12.499999999999998</v>
      </c>
      <c r="AH57" s="22">
        <f t="shared" si="16"/>
        <v>8.2483415525712864</v>
      </c>
      <c r="AI57" s="22">
        <v>160.39500000000001</v>
      </c>
      <c r="AJ57" s="22">
        <v>105.7924</v>
      </c>
      <c r="AK57" s="22">
        <v>94.529399999999995</v>
      </c>
      <c r="AL57" s="22">
        <v>94.002600000000001</v>
      </c>
      <c r="AM57" s="22">
        <v>120.4922</v>
      </c>
      <c r="AN57" s="22">
        <v>204.0352</v>
      </c>
      <c r="AO57" s="22">
        <v>200.19560000000001</v>
      </c>
      <c r="AP57" s="22">
        <v>168.12540000000001</v>
      </c>
      <c r="AQ57" s="22">
        <v>125.8494</v>
      </c>
      <c r="AR57" s="22">
        <v>147.98500000000001</v>
      </c>
      <c r="AS57" s="22"/>
      <c r="AT57" s="22">
        <f t="shared" si="17"/>
        <v>689</v>
      </c>
      <c r="AU57" s="22">
        <f t="shared" si="18"/>
        <v>63</v>
      </c>
      <c r="AV57" s="22">
        <f t="shared" si="19"/>
        <v>0</v>
      </c>
    </row>
    <row r="58" spans="1:48" x14ac:dyDescent="0.25">
      <c r="A58" s="22" t="s">
        <v>217</v>
      </c>
      <c r="B58" s="22" t="s">
        <v>52</v>
      </c>
      <c r="C58" s="22">
        <v>75.043000000000006</v>
      </c>
      <c r="D58" s="22">
        <v>48.689</v>
      </c>
      <c r="E58" s="22">
        <v>56.209000000000003</v>
      </c>
      <c r="F58" s="22">
        <v>7.2229999999999999</v>
      </c>
      <c r="G58" s="6">
        <v>1</v>
      </c>
      <c r="H58" s="22">
        <v>40</v>
      </c>
      <c r="I58" s="22" t="s">
        <v>218</v>
      </c>
      <c r="J58" s="22"/>
      <c r="K58" s="22">
        <v>77.900000000000006</v>
      </c>
      <c r="L58" s="22">
        <f t="shared" si="12"/>
        <v>-21.691000000000003</v>
      </c>
      <c r="M58" s="22">
        <f t="shared" si="13"/>
        <v>56.209000000000003</v>
      </c>
      <c r="N58" s="22"/>
      <c r="O58" s="22"/>
      <c r="P58" s="22" t="s">
        <v>219</v>
      </c>
      <c r="Q58" s="22">
        <v>30.223400000000002</v>
      </c>
      <c r="R58" s="22"/>
      <c r="S58" s="22"/>
      <c r="T58" s="22">
        <v>75.207600000000014</v>
      </c>
      <c r="U58" s="17"/>
      <c r="V58" s="22"/>
      <c r="W58" s="22"/>
      <c r="X58" s="17"/>
      <c r="Y58" s="17"/>
      <c r="Z58" s="22"/>
      <c r="AA58" s="22">
        <f t="shared" si="14"/>
        <v>11.241800000000001</v>
      </c>
      <c r="AB58" s="4">
        <f>12.5*AA58-V58-T58-S58-R58-Q58-O58-F58</f>
        <v>27.868499999999997</v>
      </c>
      <c r="AC58" s="4">
        <f t="shared" si="20"/>
        <v>27.868499999999997</v>
      </c>
      <c r="AD58" s="4"/>
      <c r="AE58" s="4"/>
      <c r="AF58" s="22"/>
      <c r="AG58" s="22">
        <f t="shared" si="15"/>
        <v>12.500000000000002</v>
      </c>
      <c r="AH58" s="22">
        <f t="shared" si="16"/>
        <v>10.020993079400098</v>
      </c>
      <c r="AI58" s="22">
        <v>12.716799999999999</v>
      </c>
      <c r="AJ58" s="22">
        <v>8.7721999999999998</v>
      </c>
      <c r="AK58" s="22">
        <v>8.0261999999999993</v>
      </c>
      <c r="AL58" s="22">
        <v>9.0599999999999987</v>
      </c>
      <c r="AM58" s="22">
        <v>10.198</v>
      </c>
      <c r="AN58" s="22">
        <v>9.1614000000000004</v>
      </c>
      <c r="AO58" s="22">
        <v>9.3217999999999996</v>
      </c>
      <c r="AP58" s="22">
        <v>17.030799999999999</v>
      </c>
      <c r="AQ58" s="22">
        <v>13.9878</v>
      </c>
      <c r="AR58" s="22">
        <v>7.6651999999999996</v>
      </c>
      <c r="AS58" s="22"/>
      <c r="AT58" s="22">
        <f t="shared" si="17"/>
        <v>28</v>
      </c>
      <c r="AU58" s="22">
        <f t="shared" si="18"/>
        <v>0</v>
      </c>
      <c r="AV58" s="22">
        <f t="shared" si="19"/>
        <v>0</v>
      </c>
    </row>
    <row r="59" spans="1:48" x14ac:dyDescent="0.25">
      <c r="A59" s="22" t="s">
        <v>220</v>
      </c>
      <c r="B59" s="22" t="s">
        <v>52</v>
      </c>
      <c r="C59" s="22">
        <v>345.19499999999999</v>
      </c>
      <c r="D59" s="22">
        <v>774.02300000000002</v>
      </c>
      <c r="E59" s="22">
        <v>581.18700000000001</v>
      </c>
      <c r="F59" s="22">
        <v>359.101</v>
      </c>
      <c r="G59" s="6">
        <v>1</v>
      </c>
      <c r="H59" s="22">
        <v>30</v>
      </c>
      <c r="I59" s="25" t="s">
        <v>221</v>
      </c>
      <c r="J59" s="22"/>
      <c r="K59" s="22">
        <v>661.33600000000001</v>
      </c>
      <c r="L59" s="22">
        <f t="shared" si="12"/>
        <v>-80.149000000000001</v>
      </c>
      <c r="M59" s="22">
        <f t="shared" si="13"/>
        <v>581.18700000000001</v>
      </c>
      <c r="N59" s="22"/>
      <c r="O59" s="22"/>
      <c r="P59" s="22" t="s">
        <v>223</v>
      </c>
      <c r="Q59" s="22">
        <v>100</v>
      </c>
      <c r="R59" s="22"/>
      <c r="S59" s="22"/>
      <c r="T59" s="22">
        <v>0</v>
      </c>
      <c r="U59" s="17"/>
      <c r="V59" s="22"/>
      <c r="W59" s="22"/>
      <c r="X59" s="17"/>
      <c r="Y59" s="17"/>
      <c r="Z59" s="22"/>
      <c r="AA59" s="22">
        <f t="shared" si="14"/>
        <v>116.23740000000001</v>
      </c>
      <c r="AB59" s="4">
        <f>12.5*AA59-V59-T59-S59-R59-Q59-O59-F59+$AB$1*AA59</f>
        <v>918.31219000000021</v>
      </c>
      <c r="AC59" s="4">
        <f t="shared" si="20"/>
        <v>918.31219000000021</v>
      </c>
      <c r="AD59" s="4"/>
      <c r="AE59" s="4"/>
      <c r="AF59" s="22"/>
      <c r="AG59" s="22">
        <f t="shared" si="15"/>
        <v>11.850000000000001</v>
      </c>
      <c r="AH59" s="22">
        <f t="shared" si="16"/>
        <v>3.9496840087613796</v>
      </c>
      <c r="AI59" s="22">
        <v>91.614599999999996</v>
      </c>
      <c r="AJ59" s="22">
        <v>122.62739999999999</v>
      </c>
      <c r="AK59" s="22">
        <v>181.6866</v>
      </c>
      <c r="AL59" s="22">
        <v>114.6506</v>
      </c>
      <c r="AM59" s="22">
        <v>69.47999999999999</v>
      </c>
      <c r="AN59" s="22">
        <v>56.1828</v>
      </c>
      <c r="AO59" s="22">
        <v>55.811199999999999</v>
      </c>
      <c r="AP59" s="22">
        <v>100.8188</v>
      </c>
      <c r="AQ59" s="22">
        <v>49.721200000000003</v>
      </c>
      <c r="AR59" s="22">
        <v>194.2208</v>
      </c>
      <c r="AS59" s="22" t="s">
        <v>222</v>
      </c>
      <c r="AT59" s="22">
        <f t="shared" si="17"/>
        <v>918</v>
      </c>
      <c r="AU59" s="22">
        <f t="shared" si="18"/>
        <v>0</v>
      </c>
      <c r="AV59" s="22">
        <f t="shared" si="19"/>
        <v>0</v>
      </c>
    </row>
    <row r="60" spans="1:48" x14ac:dyDescent="0.25">
      <c r="A60" s="22" t="s">
        <v>224</v>
      </c>
      <c r="B60" s="22" t="s">
        <v>62</v>
      </c>
      <c r="C60" s="22">
        <v>1083</v>
      </c>
      <c r="D60" s="22">
        <v>1041</v>
      </c>
      <c r="E60" s="22">
        <v>610</v>
      </c>
      <c r="F60" s="22">
        <v>583</v>
      </c>
      <c r="G60" s="6">
        <v>0.6</v>
      </c>
      <c r="H60" s="22">
        <v>60</v>
      </c>
      <c r="I60" s="22" t="s">
        <v>225</v>
      </c>
      <c r="J60" s="22"/>
      <c r="K60" s="22">
        <v>669</v>
      </c>
      <c r="L60" s="22">
        <f t="shared" si="12"/>
        <v>-59</v>
      </c>
      <c r="M60" s="22">
        <f t="shared" si="13"/>
        <v>610</v>
      </c>
      <c r="N60" s="22"/>
      <c r="O60" s="22"/>
      <c r="P60" s="22" t="s">
        <v>226</v>
      </c>
      <c r="Q60" s="22">
        <v>71.400000000000091</v>
      </c>
      <c r="R60" s="22"/>
      <c r="S60" s="22"/>
      <c r="T60" s="22">
        <v>242.64319999999989</v>
      </c>
      <c r="U60" s="17"/>
      <c r="V60" s="22">
        <v>246.5567999999999</v>
      </c>
      <c r="W60" s="22"/>
      <c r="X60" s="17"/>
      <c r="Y60" s="17"/>
      <c r="Z60" s="22"/>
      <c r="AA60" s="22">
        <f t="shared" si="14"/>
        <v>122</v>
      </c>
      <c r="AB60" s="4">
        <f>12.5*AA60-V60-T60-S60-R60-Q60-O60-F60+$AB$1*AA60</f>
        <v>302.10000000000008</v>
      </c>
      <c r="AC60" s="4">
        <f t="shared" si="20"/>
        <v>302.10000000000008</v>
      </c>
      <c r="AD60" s="4"/>
      <c r="AE60" s="4"/>
      <c r="AF60" s="22"/>
      <c r="AG60" s="22">
        <f t="shared" si="15"/>
        <v>11.85</v>
      </c>
      <c r="AH60" s="22">
        <f t="shared" si="16"/>
        <v>9.3737704918032776</v>
      </c>
      <c r="AI60" s="22">
        <v>127.6</v>
      </c>
      <c r="AJ60" s="22">
        <v>96.2</v>
      </c>
      <c r="AK60" s="22">
        <v>82</v>
      </c>
      <c r="AL60" s="22">
        <v>93.4</v>
      </c>
      <c r="AM60" s="22">
        <v>153</v>
      </c>
      <c r="AN60" s="22">
        <v>154</v>
      </c>
      <c r="AO60" s="22">
        <v>159</v>
      </c>
      <c r="AP60" s="22">
        <v>120.8</v>
      </c>
      <c r="AQ60" s="22">
        <v>97.6</v>
      </c>
      <c r="AR60" s="22">
        <v>295</v>
      </c>
      <c r="AS60" s="22"/>
      <c r="AT60" s="22">
        <f t="shared" si="17"/>
        <v>181</v>
      </c>
      <c r="AU60" s="22">
        <f t="shared" si="18"/>
        <v>0</v>
      </c>
      <c r="AV60" s="22">
        <f t="shared" si="19"/>
        <v>0</v>
      </c>
    </row>
    <row r="61" spans="1:48" x14ac:dyDescent="0.25">
      <c r="A61" s="22" t="s">
        <v>227</v>
      </c>
      <c r="B61" s="22" t="s">
        <v>62</v>
      </c>
      <c r="C61" s="22">
        <v>670</v>
      </c>
      <c r="D61" s="22">
        <v>770</v>
      </c>
      <c r="E61" s="22">
        <v>523</v>
      </c>
      <c r="F61" s="22">
        <v>182</v>
      </c>
      <c r="G61" s="6">
        <v>0.6</v>
      </c>
      <c r="H61" s="22">
        <v>60</v>
      </c>
      <c r="I61" s="22" t="s">
        <v>228</v>
      </c>
      <c r="J61" s="22"/>
      <c r="K61" s="22">
        <v>592</v>
      </c>
      <c r="L61" s="22">
        <f t="shared" si="12"/>
        <v>-69</v>
      </c>
      <c r="M61" s="22">
        <f t="shared" si="13"/>
        <v>523</v>
      </c>
      <c r="N61" s="22"/>
      <c r="O61" s="22"/>
      <c r="P61" s="22" t="s">
        <v>229</v>
      </c>
      <c r="Q61" s="22">
        <v>172.40000000000009</v>
      </c>
      <c r="R61" s="22">
        <v>100</v>
      </c>
      <c r="S61" s="22">
        <v>200</v>
      </c>
      <c r="T61" s="22">
        <v>151.1808</v>
      </c>
      <c r="U61" s="17"/>
      <c r="V61" s="22">
        <v>153.61920000000001</v>
      </c>
      <c r="W61" s="22"/>
      <c r="X61" s="17"/>
      <c r="Y61" s="17"/>
      <c r="Z61" s="22"/>
      <c r="AA61" s="22">
        <f t="shared" si="14"/>
        <v>104.6</v>
      </c>
      <c r="AB61" s="4">
        <f>12.5*AA61-V61-T61-S61-R61-Q61-O61-F61+$AB$1*AA61</f>
        <v>280.30999999999983</v>
      </c>
      <c r="AC61" s="4">
        <f t="shared" si="20"/>
        <v>280.30999999999983</v>
      </c>
      <c r="AD61" s="4"/>
      <c r="AE61" s="4"/>
      <c r="AF61" s="22"/>
      <c r="AG61" s="22">
        <f t="shared" si="15"/>
        <v>11.849999999999998</v>
      </c>
      <c r="AH61" s="22">
        <f t="shared" si="16"/>
        <v>9.1701720841300194</v>
      </c>
      <c r="AI61" s="22">
        <v>112.2</v>
      </c>
      <c r="AJ61" s="22">
        <v>95.2</v>
      </c>
      <c r="AK61" s="22">
        <v>77.400000000000006</v>
      </c>
      <c r="AL61" s="22">
        <v>92.4</v>
      </c>
      <c r="AM61" s="22">
        <v>121.2</v>
      </c>
      <c r="AN61" s="22">
        <v>86.6</v>
      </c>
      <c r="AO61" s="22">
        <v>75.2</v>
      </c>
      <c r="AP61" s="22">
        <v>84.2</v>
      </c>
      <c r="AQ61" s="22">
        <v>80.8</v>
      </c>
      <c r="AR61" s="22">
        <v>83</v>
      </c>
      <c r="AS61" s="22"/>
      <c r="AT61" s="22">
        <f t="shared" si="17"/>
        <v>168</v>
      </c>
      <c r="AU61" s="22">
        <f t="shared" si="18"/>
        <v>0</v>
      </c>
      <c r="AV61" s="22">
        <f t="shared" si="19"/>
        <v>0</v>
      </c>
    </row>
    <row r="62" spans="1:48" x14ac:dyDescent="0.25">
      <c r="A62" s="22" t="s">
        <v>230</v>
      </c>
      <c r="B62" s="22" t="s">
        <v>62</v>
      </c>
      <c r="C62" s="22">
        <v>119</v>
      </c>
      <c r="D62" s="22">
        <v>23</v>
      </c>
      <c r="E62" s="22">
        <v>56</v>
      </c>
      <c r="F62" s="22">
        <v>62</v>
      </c>
      <c r="G62" s="6">
        <v>0.35</v>
      </c>
      <c r="H62" s="22">
        <v>90</v>
      </c>
      <c r="I62" s="22" t="s">
        <v>231</v>
      </c>
      <c r="J62" s="22"/>
      <c r="K62" s="22">
        <v>60</v>
      </c>
      <c r="L62" s="22">
        <f t="shared" si="12"/>
        <v>-4</v>
      </c>
      <c r="M62" s="22">
        <f t="shared" si="13"/>
        <v>56</v>
      </c>
      <c r="N62" s="22"/>
      <c r="O62" s="22"/>
      <c r="P62" s="22" t="s">
        <v>232</v>
      </c>
      <c r="Q62" s="22">
        <v>46.600000000000023</v>
      </c>
      <c r="R62" s="22"/>
      <c r="S62" s="22"/>
      <c r="T62" s="22">
        <v>68.799999999999955</v>
      </c>
      <c r="U62" s="17"/>
      <c r="V62" s="22"/>
      <c r="W62" s="22"/>
      <c r="X62" s="17"/>
      <c r="Y62" s="17"/>
      <c r="Z62" s="22"/>
      <c r="AA62" s="22">
        <f t="shared" si="14"/>
        <v>11.2</v>
      </c>
      <c r="AB62" s="4"/>
      <c r="AC62" s="4">
        <f t="shared" si="20"/>
        <v>0</v>
      </c>
      <c r="AD62" s="4"/>
      <c r="AE62" s="4"/>
      <c r="AF62" s="22"/>
      <c r="AG62" s="22">
        <f t="shared" si="15"/>
        <v>15.839285714285714</v>
      </c>
      <c r="AH62" s="22">
        <f t="shared" si="16"/>
        <v>15.839285714285714</v>
      </c>
      <c r="AI62" s="22">
        <v>17.399999999999999</v>
      </c>
      <c r="AJ62" s="22">
        <v>13.8</v>
      </c>
      <c r="AK62" s="22">
        <v>7.8</v>
      </c>
      <c r="AL62" s="22">
        <v>5.6</v>
      </c>
      <c r="AM62" s="22">
        <v>8.8000000000000007</v>
      </c>
      <c r="AN62" s="22">
        <v>17</v>
      </c>
      <c r="AO62" s="22">
        <v>11</v>
      </c>
      <c r="AP62" s="22">
        <v>5.4</v>
      </c>
      <c r="AQ62" s="22">
        <v>7.6</v>
      </c>
      <c r="AR62" s="22">
        <v>11.8</v>
      </c>
      <c r="AS62" s="22"/>
      <c r="AT62" s="22">
        <f t="shared" si="17"/>
        <v>0</v>
      </c>
      <c r="AU62" s="22">
        <f t="shared" si="18"/>
        <v>0</v>
      </c>
      <c r="AV62" s="22">
        <f t="shared" si="19"/>
        <v>0</v>
      </c>
    </row>
    <row r="63" spans="1:48" x14ac:dyDescent="0.25">
      <c r="A63" s="22" t="s">
        <v>233</v>
      </c>
      <c r="B63" s="22" t="s">
        <v>62</v>
      </c>
      <c r="C63" s="22">
        <v>62</v>
      </c>
      <c r="D63" s="22">
        <v>333</v>
      </c>
      <c r="E63" s="22">
        <v>161</v>
      </c>
      <c r="F63" s="22">
        <v>94</v>
      </c>
      <c r="G63" s="6">
        <v>0.37</v>
      </c>
      <c r="H63" s="22">
        <v>50</v>
      </c>
      <c r="I63" s="22" t="s">
        <v>234</v>
      </c>
      <c r="J63" s="22"/>
      <c r="K63" s="22">
        <v>201</v>
      </c>
      <c r="L63" s="22">
        <f t="shared" si="12"/>
        <v>-40</v>
      </c>
      <c r="M63" s="22">
        <f t="shared" si="13"/>
        <v>161</v>
      </c>
      <c r="N63" s="22"/>
      <c r="O63" s="22"/>
      <c r="P63" s="22" t="s">
        <v>235</v>
      </c>
      <c r="Q63" s="22">
        <v>153</v>
      </c>
      <c r="R63" s="22"/>
      <c r="S63" s="22"/>
      <c r="T63" s="22">
        <v>0</v>
      </c>
      <c r="U63" s="17"/>
      <c r="V63" s="22"/>
      <c r="W63" s="22"/>
      <c r="X63" s="17"/>
      <c r="Y63" s="17"/>
      <c r="Z63" s="22"/>
      <c r="AA63" s="22">
        <f t="shared" si="14"/>
        <v>32.200000000000003</v>
      </c>
      <c r="AB63" s="4">
        <f>12.5*AA63-V63-T63-S63-R63-Q63-O63-F63</f>
        <v>155.50000000000006</v>
      </c>
      <c r="AC63" s="4">
        <f t="shared" si="20"/>
        <v>155.50000000000006</v>
      </c>
      <c r="AD63" s="4"/>
      <c r="AE63" s="4"/>
      <c r="AF63" s="22"/>
      <c r="AG63" s="22">
        <f t="shared" si="15"/>
        <v>12.5</v>
      </c>
      <c r="AH63" s="22">
        <f t="shared" si="16"/>
        <v>7.6708074534161481</v>
      </c>
      <c r="AI63" s="22">
        <v>29.2</v>
      </c>
      <c r="AJ63" s="22">
        <v>33</v>
      </c>
      <c r="AK63" s="22">
        <v>30</v>
      </c>
      <c r="AL63" s="22">
        <v>16.600000000000001</v>
      </c>
      <c r="AM63" s="22">
        <v>15.8</v>
      </c>
      <c r="AN63" s="22">
        <v>23.6</v>
      </c>
      <c r="AO63" s="22">
        <v>31</v>
      </c>
      <c r="AP63" s="22">
        <v>21.4</v>
      </c>
      <c r="AQ63" s="22">
        <v>22.4</v>
      </c>
      <c r="AR63" s="22">
        <v>30.2</v>
      </c>
      <c r="AS63" s="22"/>
      <c r="AT63" s="22">
        <f t="shared" si="17"/>
        <v>58</v>
      </c>
      <c r="AU63" s="22">
        <f t="shared" si="18"/>
        <v>0</v>
      </c>
      <c r="AV63" s="22">
        <f t="shared" si="19"/>
        <v>0</v>
      </c>
    </row>
    <row r="64" spans="1:48" x14ac:dyDescent="0.25">
      <c r="A64" s="22" t="s">
        <v>236</v>
      </c>
      <c r="B64" s="22" t="s">
        <v>62</v>
      </c>
      <c r="C64" s="22">
        <v>1412.7529999999999</v>
      </c>
      <c r="D64" s="22">
        <v>660.24699999999996</v>
      </c>
      <c r="E64" s="22">
        <v>1336</v>
      </c>
      <c r="F64" s="22">
        <v>423</v>
      </c>
      <c r="G64" s="6">
        <v>0.6</v>
      </c>
      <c r="H64" s="22">
        <v>70</v>
      </c>
      <c r="I64" s="25" t="s">
        <v>237</v>
      </c>
      <c r="J64" s="22"/>
      <c r="K64" s="22">
        <v>1360</v>
      </c>
      <c r="L64" s="22">
        <f t="shared" si="12"/>
        <v>-24</v>
      </c>
      <c r="M64" s="22">
        <f t="shared" si="13"/>
        <v>1336</v>
      </c>
      <c r="N64" s="22"/>
      <c r="O64" s="22"/>
      <c r="P64" s="22" t="s">
        <v>239</v>
      </c>
      <c r="Q64" s="22">
        <v>200</v>
      </c>
      <c r="R64" s="22"/>
      <c r="S64" s="22"/>
      <c r="T64" s="22">
        <v>500</v>
      </c>
      <c r="U64" s="17"/>
      <c r="V64" s="22"/>
      <c r="W64" s="22"/>
      <c r="X64" s="17"/>
      <c r="Y64" s="17"/>
      <c r="Z64" s="22"/>
      <c r="AA64" s="22">
        <f t="shared" si="14"/>
        <v>267.2</v>
      </c>
      <c r="AB64" s="4">
        <v>100</v>
      </c>
      <c r="AC64" s="4">
        <f t="shared" si="20"/>
        <v>100</v>
      </c>
      <c r="AD64" s="4"/>
      <c r="AE64" s="4"/>
      <c r="AF64" s="22"/>
      <c r="AG64" s="22">
        <f t="shared" si="15"/>
        <v>4.577095808383234</v>
      </c>
      <c r="AH64" s="22">
        <f t="shared" si="16"/>
        <v>4.2028443113772456</v>
      </c>
      <c r="AI64" s="22">
        <v>46.4</v>
      </c>
      <c r="AJ64" s="22">
        <v>45.849400000000003</v>
      </c>
      <c r="AK64" s="22">
        <v>42.6494</v>
      </c>
      <c r="AL64" s="22">
        <v>44.8</v>
      </c>
      <c r="AM64" s="22">
        <v>51.4</v>
      </c>
      <c r="AN64" s="22">
        <v>44.4</v>
      </c>
      <c r="AO64" s="22">
        <v>22.8</v>
      </c>
      <c r="AP64" s="22">
        <v>112.8</v>
      </c>
      <c r="AQ64" s="22">
        <v>42</v>
      </c>
      <c r="AR64" s="22">
        <v>61</v>
      </c>
      <c r="AS64" s="22" t="s">
        <v>238</v>
      </c>
      <c r="AT64" s="22">
        <f t="shared" si="17"/>
        <v>60</v>
      </c>
      <c r="AU64" s="22">
        <f t="shared" si="18"/>
        <v>0</v>
      </c>
      <c r="AV64" s="22">
        <f t="shared" si="19"/>
        <v>0</v>
      </c>
    </row>
    <row r="65" spans="1:48" x14ac:dyDescent="0.25">
      <c r="A65" s="22" t="s">
        <v>240</v>
      </c>
      <c r="B65" s="22" t="s">
        <v>62</v>
      </c>
      <c r="C65" s="22">
        <v>132</v>
      </c>
      <c r="D65" s="22">
        <v>226</v>
      </c>
      <c r="E65" s="22">
        <v>178</v>
      </c>
      <c r="F65" s="22">
        <v>84</v>
      </c>
      <c r="G65" s="6">
        <v>0.33</v>
      </c>
      <c r="H65" s="22">
        <v>40</v>
      </c>
      <c r="I65" s="22" t="s">
        <v>241</v>
      </c>
      <c r="J65" s="22"/>
      <c r="K65" s="22">
        <v>272</v>
      </c>
      <c r="L65" s="22">
        <f t="shared" si="12"/>
        <v>-94</v>
      </c>
      <c r="M65" s="22">
        <f t="shared" si="13"/>
        <v>178</v>
      </c>
      <c r="N65" s="22"/>
      <c r="O65" s="22"/>
      <c r="P65" s="22" t="s">
        <v>242</v>
      </c>
      <c r="Q65" s="22">
        <v>0</v>
      </c>
      <c r="R65" s="22"/>
      <c r="S65" s="22"/>
      <c r="T65" s="22">
        <v>54.800000000000011</v>
      </c>
      <c r="U65" s="17"/>
      <c r="V65" s="22"/>
      <c r="W65" s="22"/>
      <c r="X65" s="17"/>
      <c r="Y65" s="17"/>
      <c r="Z65" s="22"/>
      <c r="AA65" s="22">
        <f t="shared" si="14"/>
        <v>35.6</v>
      </c>
      <c r="AB65" s="4">
        <f>10*AA65-V65-T65-S65-R65-Q65-O65-F65</f>
        <v>217.2</v>
      </c>
      <c r="AC65" s="4">
        <f t="shared" si="20"/>
        <v>217.2</v>
      </c>
      <c r="AD65" s="4"/>
      <c r="AE65" s="4"/>
      <c r="AF65" s="22"/>
      <c r="AG65" s="22">
        <f t="shared" si="15"/>
        <v>10</v>
      </c>
      <c r="AH65" s="22">
        <f t="shared" si="16"/>
        <v>3.898876404494382</v>
      </c>
      <c r="AI65" s="22">
        <v>19.8</v>
      </c>
      <c r="AJ65" s="22">
        <v>12.8</v>
      </c>
      <c r="AK65" s="22">
        <v>23.4</v>
      </c>
      <c r="AL65" s="22">
        <v>19.399999999999999</v>
      </c>
      <c r="AM65" s="22">
        <v>9.6</v>
      </c>
      <c r="AN65" s="22">
        <v>4.2</v>
      </c>
      <c r="AO65" s="22">
        <v>12</v>
      </c>
      <c r="AP65" s="22">
        <v>13.6</v>
      </c>
      <c r="AQ65" s="22">
        <v>21</v>
      </c>
      <c r="AR65" s="22">
        <v>7</v>
      </c>
      <c r="AS65" s="22"/>
      <c r="AT65" s="22">
        <f t="shared" si="17"/>
        <v>72</v>
      </c>
      <c r="AU65" s="22">
        <f t="shared" si="18"/>
        <v>0</v>
      </c>
      <c r="AV65" s="22">
        <f t="shared" si="19"/>
        <v>0</v>
      </c>
    </row>
    <row r="66" spans="1:48" x14ac:dyDescent="0.25">
      <c r="A66" s="22" t="s">
        <v>243</v>
      </c>
      <c r="B66" s="22" t="s">
        <v>62</v>
      </c>
      <c r="C66" s="22">
        <v>1</v>
      </c>
      <c r="D66" s="22">
        <v>91</v>
      </c>
      <c r="E66" s="22">
        <v>36</v>
      </c>
      <c r="F66" s="22">
        <v>38</v>
      </c>
      <c r="G66" s="6">
        <v>0.4</v>
      </c>
      <c r="H66" s="22">
        <v>55</v>
      </c>
      <c r="I66" s="22" t="s">
        <v>244</v>
      </c>
      <c r="J66" s="22"/>
      <c r="K66" s="22">
        <v>53</v>
      </c>
      <c r="L66" s="22">
        <f t="shared" si="12"/>
        <v>-17</v>
      </c>
      <c r="M66" s="22">
        <f t="shared" si="13"/>
        <v>36</v>
      </c>
      <c r="N66" s="22"/>
      <c r="O66" s="22"/>
      <c r="P66" s="22" t="s">
        <v>245</v>
      </c>
      <c r="Q66" s="22">
        <v>135.80000000000001</v>
      </c>
      <c r="R66" s="22"/>
      <c r="S66" s="22"/>
      <c r="T66" s="22">
        <v>0</v>
      </c>
      <c r="U66" s="17"/>
      <c r="V66" s="22"/>
      <c r="W66" s="22"/>
      <c r="X66" s="17"/>
      <c r="Y66" s="17"/>
      <c r="Z66" s="22"/>
      <c r="AA66" s="22">
        <f t="shared" si="14"/>
        <v>7.2</v>
      </c>
      <c r="AB66" s="4"/>
      <c r="AC66" s="4">
        <f t="shared" si="20"/>
        <v>0</v>
      </c>
      <c r="AD66" s="4"/>
      <c r="AE66" s="4"/>
      <c r="AF66" s="22"/>
      <c r="AG66" s="22">
        <f t="shared" si="15"/>
        <v>24.138888888888889</v>
      </c>
      <c r="AH66" s="22">
        <f t="shared" si="16"/>
        <v>24.138888888888889</v>
      </c>
      <c r="AI66" s="22">
        <v>5.8</v>
      </c>
      <c r="AJ66" s="22">
        <v>17.2</v>
      </c>
      <c r="AK66" s="22">
        <v>11.4</v>
      </c>
      <c r="AL66" s="22">
        <v>6</v>
      </c>
      <c r="AM66" s="22">
        <v>13.6</v>
      </c>
      <c r="AN66" s="22">
        <v>13.2</v>
      </c>
      <c r="AO66" s="22">
        <v>10.148</v>
      </c>
      <c r="AP66" s="22">
        <v>10.6</v>
      </c>
      <c r="AQ66" s="22">
        <v>12.2</v>
      </c>
      <c r="AR66" s="22">
        <v>11.8</v>
      </c>
      <c r="AS66" s="22"/>
      <c r="AT66" s="22">
        <f t="shared" si="17"/>
        <v>0</v>
      </c>
      <c r="AU66" s="22">
        <f t="shared" si="18"/>
        <v>0</v>
      </c>
      <c r="AV66" s="22">
        <f t="shared" si="19"/>
        <v>0</v>
      </c>
    </row>
    <row r="67" spans="1:48" hidden="1" x14ac:dyDescent="0.25">
      <c r="A67" s="22" t="s">
        <v>246</v>
      </c>
      <c r="B67" s="22" t="s">
        <v>62</v>
      </c>
      <c r="C67" s="22">
        <v>154</v>
      </c>
      <c r="D67" s="22">
        <v>191</v>
      </c>
      <c r="E67" s="22">
        <v>231</v>
      </c>
      <c r="F67" s="22">
        <v>39</v>
      </c>
      <c r="G67" s="6">
        <v>0.35</v>
      </c>
      <c r="H67" s="22">
        <v>40</v>
      </c>
      <c r="I67" s="22" t="s">
        <v>247</v>
      </c>
      <c r="J67" s="22"/>
      <c r="K67" s="22">
        <v>272</v>
      </c>
      <c r="L67" s="22">
        <f t="shared" si="12"/>
        <v>-41</v>
      </c>
      <c r="M67" s="22">
        <f t="shared" si="13"/>
        <v>231</v>
      </c>
      <c r="N67" s="22"/>
      <c r="O67" s="22"/>
      <c r="P67" s="22" t="s">
        <v>248</v>
      </c>
      <c r="Q67" s="22">
        <v>163.19999999999999</v>
      </c>
      <c r="R67" s="22"/>
      <c r="S67" s="22"/>
      <c r="T67" s="22">
        <v>62.199999999999989</v>
      </c>
      <c r="U67" s="17"/>
      <c r="V67" s="22"/>
      <c r="W67" s="22"/>
      <c r="X67" s="17"/>
      <c r="Y67" s="17"/>
      <c r="Z67" s="22">
        <f>VLOOKUP(P67,[1]Лист1!$A:$E,5,0)</f>
        <v>-111.3</v>
      </c>
      <c r="AA67" s="22">
        <f t="shared" si="14"/>
        <v>46.2</v>
      </c>
      <c r="AB67" s="4">
        <f>12.5*AA67-V67-T67-S67-R67-Q67-O67-F67</f>
        <v>313.09999999999997</v>
      </c>
      <c r="AC67" s="4">
        <f t="shared" si="20"/>
        <v>313.09999999999997</v>
      </c>
      <c r="AD67" s="4"/>
      <c r="AE67" s="4"/>
      <c r="AF67" s="22"/>
      <c r="AG67" s="22">
        <f t="shared" si="15"/>
        <v>12.5</v>
      </c>
      <c r="AH67" s="22">
        <f t="shared" si="16"/>
        <v>5.7229437229437217</v>
      </c>
      <c r="AI67" s="22">
        <v>34.4</v>
      </c>
      <c r="AJ67" s="22">
        <v>36.6</v>
      </c>
      <c r="AK67" s="22">
        <v>30</v>
      </c>
      <c r="AL67" s="22">
        <v>11.8</v>
      </c>
      <c r="AM67" s="22">
        <v>22.8</v>
      </c>
      <c r="AN67" s="22">
        <v>51.8</v>
      </c>
      <c r="AO67" s="22">
        <v>47.6</v>
      </c>
      <c r="AP67" s="22">
        <v>42.2</v>
      </c>
      <c r="AQ67" s="22">
        <v>31</v>
      </c>
      <c r="AR67" s="22">
        <v>28.6</v>
      </c>
      <c r="AS67" s="22"/>
      <c r="AT67" s="22">
        <f t="shared" si="17"/>
        <v>110</v>
      </c>
      <c r="AU67" s="22">
        <f t="shared" si="18"/>
        <v>0</v>
      </c>
      <c r="AV67" s="22">
        <f t="shared" si="19"/>
        <v>0</v>
      </c>
    </row>
    <row r="68" spans="1:48" hidden="1" x14ac:dyDescent="0.25">
      <c r="A68" s="22" t="s">
        <v>249</v>
      </c>
      <c r="B68" s="22" t="s">
        <v>62</v>
      </c>
      <c r="C68" s="22">
        <v>836</v>
      </c>
      <c r="D68" s="22">
        <v>198</v>
      </c>
      <c r="E68" s="22">
        <v>410</v>
      </c>
      <c r="F68" s="22">
        <v>433</v>
      </c>
      <c r="G68" s="6">
        <v>0.35</v>
      </c>
      <c r="H68" s="22">
        <v>45</v>
      </c>
      <c r="I68" s="22" t="s">
        <v>250</v>
      </c>
      <c r="J68" s="22"/>
      <c r="K68" s="22">
        <v>458</v>
      </c>
      <c r="L68" s="22">
        <f t="shared" si="12"/>
        <v>-48</v>
      </c>
      <c r="M68" s="22">
        <f t="shared" si="13"/>
        <v>410</v>
      </c>
      <c r="N68" s="22"/>
      <c r="O68" s="22"/>
      <c r="P68" s="22" t="s">
        <v>251</v>
      </c>
      <c r="Q68" s="22">
        <v>124</v>
      </c>
      <c r="R68" s="22"/>
      <c r="S68" s="22"/>
      <c r="T68" s="22">
        <v>214</v>
      </c>
      <c r="U68" s="17"/>
      <c r="V68" s="22"/>
      <c r="W68" s="22"/>
      <c r="X68" s="17"/>
      <c r="Y68" s="17"/>
      <c r="Z68" s="22">
        <f>VLOOKUP(P68,[1]Лист1!$A:$E,5,0)</f>
        <v>-90.3</v>
      </c>
      <c r="AA68" s="22">
        <f t="shared" si="14"/>
        <v>82</v>
      </c>
      <c r="AB68" s="4">
        <f>12.5*AA68-V68-T68-S68-R68-Q68-O68-F68</f>
        <v>254</v>
      </c>
      <c r="AC68" s="4">
        <f t="shared" si="20"/>
        <v>254</v>
      </c>
      <c r="AD68" s="4"/>
      <c r="AE68" s="4"/>
      <c r="AF68" s="22"/>
      <c r="AG68" s="22">
        <f t="shared" si="15"/>
        <v>12.5</v>
      </c>
      <c r="AH68" s="22">
        <f t="shared" si="16"/>
        <v>9.4024390243902438</v>
      </c>
      <c r="AI68" s="22">
        <v>85</v>
      </c>
      <c r="AJ68" s="22">
        <v>80</v>
      </c>
      <c r="AK68" s="22">
        <v>70.599999999999994</v>
      </c>
      <c r="AL68" s="22">
        <v>69.400000000000006</v>
      </c>
      <c r="AM68" s="22">
        <v>121.4</v>
      </c>
      <c r="AN68" s="22">
        <v>133.4</v>
      </c>
      <c r="AO68" s="22">
        <v>75.8</v>
      </c>
      <c r="AP68" s="22">
        <v>79.400000000000006</v>
      </c>
      <c r="AQ68" s="22">
        <v>79.400000000000006</v>
      </c>
      <c r="AR68" s="22">
        <v>84.2</v>
      </c>
      <c r="AS68" s="22"/>
      <c r="AT68" s="22">
        <f t="shared" si="17"/>
        <v>89</v>
      </c>
      <c r="AU68" s="22">
        <f t="shared" si="18"/>
        <v>0</v>
      </c>
      <c r="AV68" s="22">
        <f t="shared" si="19"/>
        <v>0</v>
      </c>
    </row>
    <row r="69" spans="1:48" x14ac:dyDescent="0.25">
      <c r="A69" s="22" t="s">
        <v>252</v>
      </c>
      <c r="B69" s="22" t="s">
        <v>62</v>
      </c>
      <c r="C69" s="22">
        <v>45</v>
      </c>
      <c r="D69" s="22">
        <v>2</v>
      </c>
      <c r="E69" s="22">
        <v>23</v>
      </c>
      <c r="F69" s="22">
        <v>22</v>
      </c>
      <c r="G69" s="6">
        <v>0.4</v>
      </c>
      <c r="H69" s="22">
        <v>55</v>
      </c>
      <c r="I69" s="22" t="s">
        <v>253</v>
      </c>
      <c r="J69" s="22"/>
      <c r="K69" s="22">
        <v>23</v>
      </c>
      <c r="L69" s="22">
        <f t="shared" si="12"/>
        <v>0</v>
      </c>
      <c r="M69" s="22">
        <f t="shared" si="13"/>
        <v>23</v>
      </c>
      <c r="N69" s="22"/>
      <c r="O69" s="22"/>
      <c r="P69" s="22" t="s">
        <v>254</v>
      </c>
      <c r="Q69" s="22">
        <v>0</v>
      </c>
      <c r="R69" s="22"/>
      <c r="S69" s="22"/>
      <c r="T69" s="22">
        <v>15</v>
      </c>
      <c r="U69" s="17"/>
      <c r="V69" s="22"/>
      <c r="W69" s="22"/>
      <c r="X69" s="17"/>
      <c r="Y69" s="17"/>
      <c r="Z69" s="22"/>
      <c r="AA69" s="22">
        <f t="shared" si="14"/>
        <v>4.5999999999999996</v>
      </c>
      <c r="AB69" s="4">
        <f>12.5*AA69-V69-T69-S69-R69-Q69-O69-F69</f>
        <v>20.499999999999993</v>
      </c>
      <c r="AC69" s="4">
        <f t="shared" si="20"/>
        <v>20.499999999999993</v>
      </c>
      <c r="AD69" s="4"/>
      <c r="AE69" s="4"/>
      <c r="AF69" s="22"/>
      <c r="AG69" s="22">
        <f t="shared" si="15"/>
        <v>12.5</v>
      </c>
      <c r="AH69" s="22">
        <f t="shared" si="16"/>
        <v>8.0434782608695663</v>
      </c>
      <c r="AI69" s="22">
        <v>5</v>
      </c>
      <c r="AJ69" s="22">
        <v>1</v>
      </c>
      <c r="AK69" s="22">
        <v>0.4</v>
      </c>
      <c r="AL69" s="22">
        <v>0</v>
      </c>
      <c r="AM69" s="22">
        <v>0</v>
      </c>
      <c r="AN69" s="22">
        <v>1</v>
      </c>
      <c r="AO69" s="22">
        <v>1</v>
      </c>
      <c r="AP69" s="22">
        <v>0</v>
      </c>
      <c r="AQ69" s="22">
        <v>4.5999999999999996</v>
      </c>
      <c r="AR69" s="22">
        <v>3.4</v>
      </c>
      <c r="AS69" s="22"/>
      <c r="AT69" s="22">
        <f t="shared" si="17"/>
        <v>8</v>
      </c>
      <c r="AU69" s="22">
        <f t="shared" si="18"/>
        <v>0</v>
      </c>
      <c r="AV69" s="22">
        <f t="shared" si="19"/>
        <v>0</v>
      </c>
    </row>
    <row r="70" spans="1:48" x14ac:dyDescent="0.25">
      <c r="A70" s="22" t="s">
        <v>255</v>
      </c>
      <c r="B70" s="22" t="s">
        <v>52</v>
      </c>
      <c r="C70" s="22">
        <v>43.843000000000004</v>
      </c>
      <c r="D70" s="22">
        <v>43.521000000000001</v>
      </c>
      <c r="E70" s="22">
        <v>14.227</v>
      </c>
      <c r="F70" s="22">
        <v>60.924999999999997</v>
      </c>
      <c r="G70" s="6">
        <v>1</v>
      </c>
      <c r="H70" s="22">
        <v>55</v>
      </c>
      <c r="I70" s="22" t="s">
        <v>256</v>
      </c>
      <c r="J70" s="22"/>
      <c r="K70" s="22">
        <v>13.3</v>
      </c>
      <c r="L70" s="22">
        <f t="shared" ref="L70:L101" si="21">E70-K70</f>
        <v>0.9269999999999996</v>
      </c>
      <c r="M70" s="22">
        <f t="shared" ref="M70:M101" si="22">E70-N70</f>
        <v>14.227</v>
      </c>
      <c r="N70" s="22"/>
      <c r="O70" s="22"/>
      <c r="P70" s="22" t="s">
        <v>257</v>
      </c>
      <c r="Q70" s="22">
        <v>0</v>
      </c>
      <c r="R70" s="22"/>
      <c r="S70" s="22"/>
      <c r="T70" s="22">
        <v>0</v>
      </c>
      <c r="U70" s="17"/>
      <c r="V70" s="22"/>
      <c r="W70" s="22"/>
      <c r="X70" s="17"/>
      <c r="Y70" s="17"/>
      <c r="Z70" s="22"/>
      <c r="AA70" s="22">
        <f t="shared" ref="AA70:AA101" si="23">M70/5</f>
        <v>2.8454000000000002</v>
      </c>
      <c r="AB70" s="4"/>
      <c r="AC70" s="4">
        <f t="shared" si="20"/>
        <v>0</v>
      </c>
      <c r="AD70" s="4"/>
      <c r="AE70" s="4"/>
      <c r="AF70" s="22"/>
      <c r="AG70" s="22">
        <f t="shared" ref="AG70:AG101" si="24">(F70+O70+Q70+R70+S70+T70+U70+V70+W70+X70+Y70+AC70+AD70+AE70)/AA70</f>
        <v>21.411752301961059</v>
      </c>
      <c r="AH70" s="22">
        <f t="shared" ref="AH70:AH101" si="25">(F70+O70+Q70+R70+S70+T70+U70+V70+W70+X70+Y70)/AA70</f>
        <v>21.411752301961059</v>
      </c>
      <c r="AI70" s="22">
        <v>1.7416</v>
      </c>
      <c r="AJ70" s="22">
        <v>3.1873999999999998</v>
      </c>
      <c r="AK70" s="22">
        <v>6.8353999999999999</v>
      </c>
      <c r="AL70" s="22">
        <v>3.2829999999999999</v>
      </c>
      <c r="AM70" s="22">
        <v>2.9152</v>
      </c>
      <c r="AN70" s="22">
        <v>5.6456</v>
      </c>
      <c r="AO70" s="22">
        <v>4.0502000000000002</v>
      </c>
      <c r="AP70" s="22">
        <v>5.4164000000000003</v>
      </c>
      <c r="AQ70" s="22">
        <v>0.78439999999999999</v>
      </c>
      <c r="AR70" s="22">
        <v>1.3715999999999999</v>
      </c>
      <c r="AS70" s="10" t="s">
        <v>200</v>
      </c>
      <c r="AT70" s="22">
        <f t="shared" ref="AT70:AT101" si="26">ROUND(G70*AC70,0)</f>
        <v>0</v>
      </c>
      <c r="AU70" s="22">
        <f t="shared" ref="AU70:AU101" si="27">ROUND(G70*AD70,0)</f>
        <v>0</v>
      </c>
      <c r="AV70" s="22">
        <f t="shared" ref="AV70:AV101" si="28">ROUND(G70*AE70,0)</f>
        <v>0</v>
      </c>
    </row>
    <row r="71" spans="1:48" x14ac:dyDescent="0.25">
      <c r="A71" s="22" t="s">
        <v>258</v>
      </c>
      <c r="B71" s="22" t="s">
        <v>52</v>
      </c>
      <c r="C71" s="22">
        <v>3539.2330000000002</v>
      </c>
      <c r="D71" s="22">
        <v>5536.2030000000004</v>
      </c>
      <c r="E71" s="22">
        <v>3319.8510000000001</v>
      </c>
      <c r="F71" s="22">
        <v>3736.0610000000001</v>
      </c>
      <c r="G71" s="6">
        <v>1</v>
      </c>
      <c r="H71" s="22">
        <v>60</v>
      </c>
      <c r="I71" s="22" t="s">
        <v>259</v>
      </c>
      <c r="J71" s="22"/>
      <c r="K71" s="22">
        <v>3412.08</v>
      </c>
      <c r="L71" s="22">
        <f t="shared" si="21"/>
        <v>-92.228999999999814</v>
      </c>
      <c r="M71" s="22">
        <f t="shared" si="22"/>
        <v>3319.8510000000001</v>
      </c>
      <c r="N71" s="22"/>
      <c r="O71" s="22"/>
      <c r="P71" s="22" t="s">
        <v>260</v>
      </c>
      <c r="Q71" s="22">
        <v>621.02795561343737</v>
      </c>
      <c r="R71" s="22">
        <v>500</v>
      </c>
      <c r="S71" s="22">
        <v>800</v>
      </c>
      <c r="T71" s="22">
        <v>656.84412038656228</v>
      </c>
      <c r="U71" s="17"/>
      <c r="V71" s="22"/>
      <c r="W71" s="22"/>
      <c r="X71" s="17"/>
      <c r="Y71" s="17"/>
      <c r="Z71" s="22"/>
      <c r="AA71" s="22">
        <f t="shared" si="23"/>
        <v>663.97019999999998</v>
      </c>
      <c r="AB71" s="4">
        <f>12.5*AA71-V71-T71-S71-R71-Q71-O71-F71</f>
        <v>1985.6944240000007</v>
      </c>
      <c r="AC71" s="4">
        <f t="shared" si="20"/>
        <v>1485.6944240000007</v>
      </c>
      <c r="AD71" s="4"/>
      <c r="AE71" s="4">
        <v>500</v>
      </c>
      <c r="AF71" s="22"/>
      <c r="AG71" s="22">
        <f t="shared" si="24"/>
        <v>12.500000000000002</v>
      </c>
      <c r="AH71" s="22">
        <f t="shared" si="25"/>
        <v>9.5093621310113008</v>
      </c>
      <c r="AI71" s="22">
        <v>653.57219999999995</v>
      </c>
      <c r="AJ71" s="22">
        <v>665.99520000000007</v>
      </c>
      <c r="AK71" s="22">
        <v>698.37220000000002</v>
      </c>
      <c r="AL71" s="22">
        <v>724.56380000000013</v>
      </c>
      <c r="AM71" s="22">
        <v>676.86879999999996</v>
      </c>
      <c r="AN71" s="22">
        <v>668.60320000000002</v>
      </c>
      <c r="AO71" s="22">
        <v>799.48800000000006</v>
      </c>
      <c r="AP71" s="22">
        <v>781.14059999999995</v>
      </c>
      <c r="AQ71" s="22">
        <v>821.63319999999999</v>
      </c>
      <c r="AR71" s="22">
        <v>754.90499999999997</v>
      </c>
      <c r="AS71" s="22"/>
      <c r="AT71" s="22">
        <f t="shared" si="26"/>
        <v>1486</v>
      </c>
      <c r="AU71" s="22">
        <f t="shared" si="27"/>
        <v>0</v>
      </c>
      <c r="AV71" s="22">
        <f t="shared" si="28"/>
        <v>500</v>
      </c>
    </row>
    <row r="72" spans="1:48" x14ac:dyDescent="0.25">
      <c r="A72" s="22" t="s">
        <v>261</v>
      </c>
      <c r="B72" s="22" t="s">
        <v>62</v>
      </c>
      <c r="C72" s="22">
        <v>317</v>
      </c>
      <c r="D72" s="22">
        <v>407</v>
      </c>
      <c r="E72" s="22">
        <v>156</v>
      </c>
      <c r="F72" s="22">
        <v>168</v>
      </c>
      <c r="G72" s="6">
        <v>0.3</v>
      </c>
      <c r="H72" s="22">
        <v>40</v>
      </c>
      <c r="I72" s="22" t="s">
        <v>262</v>
      </c>
      <c r="J72" s="22"/>
      <c r="K72" s="22">
        <v>176</v>
      </c>
      <c r="L72" s="22">
        <f t="shared" si="21"/>
        <v>-20</v>
      </c>
      <c r="M72" s="22">
        <f t="shared" si="22"/>
        <v>156</v>
      </c>
      <c r="N72" s="22"/>
      <c r="O72" s="22"/>
      <c r="P72" s="22" t="s">
        <v>263</v>
      </c>
      <c r="Q72" s="22">
        <v>247</v>
      </c>
      <c r="R72" s="22"/>
      <c r="S72" s="22"/>
      <c r="T72" s="22">
        <v>19.600000000000019</v>
      </c>
      <c r="U72" s="17"/>
      <c r="V72" s="22"/>
      <c r="W72" s="22"/>
      <c r="X72" s="17"/>
      <c r="Y72" s="17"/>
      <c r="Z72" s="22"/>
      <c r="AA72" s="22">
        <f t="shared" si="23"/>
        <v>31.2</v>
      </c>
      <c r="AB72" s="4"/>
      <c r="AC72" s="4">
        <f t="shared" si="20"/>
        <v>0</v>
      </c>
      <c r="AD72" s="4"/>
      <c r="AE72" s="4"/>
      <c r="AF72" s="22"/>
      <c r="AG72" s="22">
        <f t="shared" si="24"/>
        <v>13.929487179487181</v>
      </c>
      <c r="AH72" s="22">
        <f t="shared" si="25"/>
        <v>13.929487179487181</v>
      </c>
      <c r="AI72" s="22">
        <v>47.6</v>
      </c>
      <c r="AJ72" s="22">
        <v>47</v>
      </c>
      <c r="AK72" s="22">
        <v>39.799999999999997</v>
      </c>
      <c r="AL72" s="22">
        <v>42.6</v>
      </c>
      <c r="AM72" s="22">
        <v>36.200000000000003</v>
      </c>
      <c r="AN72" s="22">
        <v>40.200000000000003</v>
      </c>
      <c r="AO72" s="22">
        <v>53</v>
      </c>
      <c r="AP72" s="22">
        <v>21.2</v>
      </c>
      <c r="AQ72" s="22">
        <v>3.6</v>
      </c>
      <c r="AR72" s="22">
        <v>38.200000000000003</v>
      </c>
      <c r="AS72" s="22"/>
      <c r="AT72" s="22">
        <f t="shared" si="26"/>
        <v>0</v>
      </c>
      <c r="AU72" s="22">
        <f t="shared" si="27"/>
        <v>0</v>
      </c>
      <c r="AV72" s="22">
        <f t="shared" si="28"/>
        <v>0</v>
      </c>
    </row>
    <row r="73" spans="1:48" x14ac:dyDescent="0.25">
      <c r="A73" s="22" t="s">
        <v>264</v>
      </c>
      <c r="B73" s="22" t="s">
        <v>52</v>
      </c>
      <c r="C73" s="22">
        <v>2291</v>
      </c>
      <c r="D73" s="22">
        <v>1597.8579999999999</v>
      </c>
      <c r="E73" s="22">
        <v>1348.5450000000001</v>
      </c>
      <c r="F73" s="22">
        <v>1650.357</v>
      </c>
      <c r="G73" s="6">
        <v>1</v>
      </c>
      <c r="H73" s="22">
        <v>60</v>
      </c>
      <c r="I73" s="22" t="s">
        <v>265</v>
      </c>
      <c r="J73" s="22"/>
      <c r="K73" s="22">
        <v>1408.2</v>
      </c>
      <c r="L73" s="22">
        <f t="shared" si="21"/>
        <v>-59.654999999999973</v>
      </c>
      <c r="M73" s="22">
        <f t="shared" si="22"/>
        <v>1348.5450000000001</v>
      </c>
      <c r="N73" s="22"/>
      <c r="O73" s="22"/>
      <c r="P73" s="22" t="s">
        <v>266</v>
      </c>
      <c r="Q73" s="22">
        <v>198.7036392</v>
      </c>
      <c r="R73" s="22"/>
      <c r="S73" s="22"/>
      <c r="T73" s="22">
        <v>580.65548686080001</v>
      </c>
      <c r="U73" s="17"/>
      <c r="V73" s="22">
        <v>590.02089793920004</v>
      </c>
      <c r="W73" s="22"/>
      <c r="X73" s="17"/>
      <c r="Y73" s="17"/>
      <c r="Z73" s="22"/>
      <c r="AA73" s="22">
        <f t="shared" si="23"/>
        <v>269.709</v>
      </c>
      <c r="AB73" s="4">
        <f>12.5*AA73-V73-T73-S73-R73-Q73-O73-F73+$AB$1*AA73</f>
        <v>176.31462600000015</v>
      </c>
      <c r="AC73" s="4">
        <f t="shared" si="20"/>
        <v>176.31462600000015</v>
      </c>
      <c r="AD73" s="4"/>
      <c r="AE73" s="4"/>
      <c r="AF73" s="22"/>
      <c r="AG73" s="22">
        <f t="shared" si="24"/>
        <v>11.850000000000001</v>
      </c>
      <c r="AH73" s="22">
        <f t="shared" si="25"/>
        <v>11.196278299945497</v>
      </c>
      <c r="AI73" s="22">
        <v>297.4228</v>
      </c>
      <c r="AJ73" s="22">
        <v>254.03819999999999</v>
      </c>
      <c r="AK73" s="22">
        <v>250.9092</v>
      </c>
      <c r="AL73" s="22">
        <v>349.91320000000002</v>
      </c>
      <c r="AM73" s="22">
        <v>349.47840000000002</v>
      </c>
      <c r="AN73" s="22">
        <v>308.02800000000002</v>
      </c>
      <c r="AO73" s="22">
        <v>301.47000000000003</v>
      </c>
      <c r="AP73" s="22">
        <v>254.72839999999999</v>
      </c>
      <c r="AQ73" s="22">
        <v>276.92239999999998</v>
      </c>
      <c r="AR73" s="22">
        <v>244.89420000000001</v>
      </c>
      <c r="AS73" s="22"/>
      <c r="AT73" s="22">
        <f t="shared" si="26"/>
        <v>176</v>
      </c>
      <c r="AU73" s="22">
        <f t="shared" si="27"/>
        <v>0</v>
      </c>
      <c r="AV73" s="22">
        <f t="shared" si="28"/>
        <v>0</v>
      </c>
    </row>
    <row r="74" spans="1:48" x14ac:dyDescent="0.25">
      <c r="A74" s="16" t="s">
        <v>267</v>
      </c>
      <c r="B74" s="22" t="s">
        <v>52</v>
      </c>
      <c r="C74" s="22">
        <v>5518.9179999999997</v>
      </c>
      <c r="D74" s="22">
        <v>4272.0450000000001</v>
      </c>
      <c r="E74" s="22">
        <v>3410.8960000000002</v>
      </c>
      <c r="F74" s="22">
        <v>4277.3010000000004</v>
      </c>
      <c r="G74" s="6">
        <v>1</v>
      </c>
      <c r="H74" s="22">
        <v>60</v>
      </c>
      <c r="I74" s="22" t="s">
        <v>268</v>
      </c>
      <c r="J74" s="22"/>
      <c r="K74" s="22">
        <v>3544.029</v>
      </c>
      <c r="L74" s="22">
        <f t="shared" si="21"/>
        <v>-133.13299999999981</v>
      </c>
      <c r="M74" s="22">
        <f t="shared" si="22"/>
        <v>3032.067</v>
      </c>
      <c r="N74" s="22">
        <v>378.82900000000001</v>
      </c>
      <c r="O74" s="22"/>
      <c r="P74" s="22" t="s">
        <v>269</v>
      </c>
      <c r="Q74" s="22">
        <v>418.15702160000001</v>
      </c>
      <c r="R74" s="22">
        <v>300</v>
      </c>
      <c r="S74" s="22">
        <v>500</v>
      </c>
      <c r="T74" s="22">
        <v>809.15368426239968</v>
      </c>
      <c r="U74" s="17">
        <v>1600</v>
      </c>
      <c r="V74" s="22">
        <v>822.20455013759977</v>
      </c>
      <c r="W74" s="22"/>
      <c r="X74" s="17">
        <v>1400</v>
      </c>
      <c r="Y74" s="17">
        <v>800</v>
      </c>
      <c r="Z74" s="22"/>
      <c r="AA74" s="22">
        <f t="shared" si="23"/>
        <v>606.41340000000002</v>
      </c>
      <c r="AB74" s="4">
        <f>12.5*AA74-V74-T74-S74-R74-Q74-O74-F74+$AB$1*AA74</f>
        <v>59.182534000000373</v>
      </c>
      <c r="AC74" s="4">
        <f t="shared" si="20"/>
        <v>59.182534000000373</v>
      </c>
      <c r="AD74" s="4"/>
      <c r="AE74" s="4"/>
      <c r="AF74" s="22"/>
      <c r="AG74" s="22">
        <f t="shared" si="24"/>
        <v>18.116352293666331</v>
      </c>
      <c r="AH74" s="22">
        <f t="shared" si="25"/>
        <v>18.018757923225312</v>
      </c>
      <c r="AI74" s="22">
        <v>702.14319999999998</v>
      </c>
      <c r="AJ74" s="22">
        <v>695.84860000000003</v>
      </c>
      <c r="AK74" s="22">
        <v>634.77740000000006</v>
      </c>
      <c r="AL74" s="22">
        <v>822.75660000000005</v>
      </c>
      <c r="AM74" s="22">
        <v>966.07039999999995</v>
      </c>
      <c r="AN74" s="22">
        <v>712.95320000000004</v>
      </c>
      <c r="AO74" s="22">
        <v>686.71839999999997</v>
      </c>
      <c r="AP74" s="22">
        <v>605.00379999999996</v>
      </c>
      <c r="AQ74" s="22">
        <v>659.8646</v>
      </c>
      <c r="AR74" s="22">
        <v>643.58459999999991</v>
      </c>
      <c r="AS74" s="22"/>
      <c r="AT74" s="22">
        <f t="shared" si="26"/>
        <v>59</v>
      </c>
      <c r="AU74" s="22">
        <f t="shared" si="27"/>
        <v>0</v>
      </c>
      <c r="AV74" s="22">
        <f t="shared" si="28"/>
        <v>0</v>
      </c>
    </row>
    <row r="75" spans="1:48" x14ac:dyDescent="0.25">
      <c r="A75" s="16" t="s">
        <v>99</v>
      </c>
      <c r="B75" s="22" t="s">
        <v>52</v>
      </c>
      <c r="C75" s="22">
        <v>3792.0610000000001</v>
      </c>
      <c r="D75" s="22">
        <v>3239.53</v>
      </c>
      <c r="E75" s="11">
        <f>3863.537+E20</f>
        <v>3868.5319999999997</v>
      </c>
      <c r="F75" s="22">
        <v>1229.7070000000001</v>
      </c>
      <c r="G75" s="6">
        <v>1</v>
      </c>
      <c r="H75" s="22">
        <v>60</v>
      </c>
      <c r="I75" s="22" t="s">
        <v>270</v>
      </c>
      <c r="J75" s="22"/>
      <c r="K75" s="22">
        <v>4083.83</v>
      </c>
      <c r="L75" s="22">
        <f t="shared" si="21"/>
        <v>-215.29800000000023</v>
      </c>
      <c r="M75" s="22">
        <f t="shared" si="22"/>
        <v>3491.3019999999997</v>
      </c>
      <c r="N75" s="22">
        <v>377.23</v>
      </c>
      <c r="O75" s="22"/>
      <c r="P75" s="22" t="s">
        <v>100</v>
      </c>
      <c r="Q75" s="22">
        <v>1551.2418072</v>
      </c>
      <c r="R75" s="22">
        <v>1200</v>
      </c>
      <c r="S75" s="22">
        <v>1500</v>
      </c>
      <c r="T75" s="22">
        <v>1365.7285088128001</v>
      </c>
      <c r="U75" s="17">
        <v>2000</v>
      </c>
      <c r="V75" s="22">
        <v>1387.7563879872</v>
      </c>
      <c r="W75" s="22"/>
      <c r="X75" s="17">
        <v>1400</v>
      </c>
      <c r="Y75" s="17">
        <v>800</v>
      </c>
      <c r="Z75" s="22"/>
      <c r="AA75" s="22">
        <f t="shared" si="23"/>
        <v>698.26039999999989</v>
      </c>
      <c r="AB75" s="4">
        <f>12.5*AA75-V75-T75-S75-R75-Q75-O75-F75+$AB$1*AA75</f>
        <v>39.952035999999453</v>
      </c>
      <c r="AC75" s="4">
        <f t="shared" si="20"/>
        <v>39.952035999999453</v>
      </c>
      <c r="AD75" s="4"/>
      <c r="AE75" s="4"/>
      <c r="AF75" s="22"/>
      <c r="AG75" s="22">
        <f t="shared" si="24"/>
        <v>17.864948005070886</v>
      </c>
      <c r="AH75" s="22">
        <f t="shared" si="25"/>
        <v>17.807731476681194</v>
      </c>
      <c r="AI75" s="22">
        <v>814.36879999999996</v>
      </c>
      <c r="AJ75" s="22">
        <v>736.1662</v>
      </c>
      <c r="AK75" s="22">
        <v>609.91200000000003</v>
      </c>
      <c r="AL75" s="22">
        <v>659.83880000000011</v>
      </c>
      <c r="AM75" s="22">
        <v>775.93799999999987</v>
      </c>
      <c r="AN75" s="22">
        <v>804.43219999999997</v>
      </c>
      <c r="AO75" s="22">
        <v>793.85979999999995</v>
      </c>
      <c r="AP75" s="22">
        <v>670.39440000000002</v>
      </c>
      <c r="AQ75" s="22">
        <v>796.82820000000004</v>
      </c>
      <c r="AR75" s="22">
        <v>814.63580000000002</v>
      </c>
      <c r="AS75" s="22"/>
      <c r="AT75" s="22">
        <f t="shared" si="26"/>
        <v>40</v>
      </c>
      <c r="AU75" s="22">
        <f t="shared" si="27"/>
        <v>0</v>
      </c>
      <c r="AV75" s="22">
        <f t="shared" si="28"/>
        <v>0</v>
      </c>
    </row>
    <row r="76" spans="1:48" x14ac:dyDescent="0.25">
      <c r="A76" s="22" t="s">
        <v>271</v>
      </c>
      <c r="B76" s="22" t="s">
        <v>52</v>
      </c>
      <c r="C76" s="22">
        <v>144.82</v>
      </c>
      <c r="D76" s="22">
        <v>84.698999999999998</v>
      </c>
      <c r="E76" s="22">
        <v>46.99</v>
      </c>
      <c r="F76" s="22">
        <v>111.554</v>
      </c>
      <c r="G76" s="6">
        <v>1</v>
      </c>
      <c r="H76" s="22">
        <v>55</v>
      </c>
      <c r="I76" s="22" t="s">
        <v>272</v>
      </c>
      <c r="J76" s="22"/>
      <c r="K76" s="22">
        <v>44</v>
      </c>
      <c r="L76" s="22">
        <f t="shared" si="21"/>
        <v>2.990000000000002</v>
      </c>
      <c r="M76" s="22">
        <f t="shared" si="22"/>
        <v>46.99</v>
      </c>
      <c r="N76" s="22"/>
      <c r="O76" s="22"/>
      <c r="P76" s="22" t="s">
        <v>273</v>
      </c>
      <c r="Q76" s="22">
        <v>32.13300000000001</v>
      </c>
      <c r="R76" s="22"/>
      <c r="S76" s="22"/>
      <c r="T76" s="22">
        <v>0</v>
      </c>
      <c r="U76" s="17"/>
      <c r="V76" s="22"/>
      <c r="W76" s="22"/>
      <c r="X76" s="17"/>
      <c r="Y76" s="17"/>
      <c r="Z76" s="22"/>
      <c r="AA76" s="22">
        <f t="shared" si="23"/>
        <v>9.3979999999999997</v>
      </c>
      <c r="AB76" s="4"/>
      <c r="AC76" s="4">
        <f t="shared" si="20"/>
        <v>0</v>
      </c>
      <c r="AD76" s="4"/>
      <c r="AE76" s="4"/>
      <c r="AF76" s="22"/>
      <c r="AG76" s="22">
        <f t="shared" si="24"/>
        <v>15.289104064694618</v>
      </c>
      <c r="AH76" s="22">
        <f t="shared" si="25"/>
        <v>15.289104064694618</v>
      </c>
      <c r="AI76" s="22">
        <v>9.9340000000000011</v>
      </c>
      <c r="AJ76" s="22">
        <v>15.5474</v>
      </c>
      <c r="AK76" s="22">
        <v>15.0168</v>
      </c>
      <c r="AL76" s="22">
        <v>2.4350000000000001</v>
      </c>
      <c r="AM76" s="22">
        <v>1.0888</v>
      </c>
      <c r="AN76" s="22">
        <v>13.7394</v>
      </c>
      <c r="AO76" s="22">
        <v>13.4664</v>
      </c>
      <c r="AP76" s="22">
        <v>1.6126</v>
      </c>
      <c r="AQ76" s="22">
        <v>5.6142000000000003</v>
      </c>
      <c r="AR76" s="22">
        <v>8.8628</v>
      </c>
      <c r="AS76" s="22"/>
      <c r="AT76" s="22">
        <f t="shared" si="26"/>
        <v>0</v>
      </c>
      <c r="AU76" s="22">
        <f t="shared" si="27"/>
        <v>0</v>
      </c>
      <c r="AV76" s="22">
        <f t="shared" si="28"/>
        <v>0</v>
      </c>
    </row>
    <row r="77" spans="1:48" x14ac:dyDescent="0.25">
      <c r="A77" s="24" t="s">
        <v>274</v>
      </c>
      <c r="B77" s="24" t="s">
        <v>52</v>
      </c>
      <c r="C77" s="24">
        <v>1043.5129999999999</v>
      </c>
      <c r="D77" s="24">
        <v>33.720999999999997</v>
      </c>
      <c r="E77" s="24">
        <v>69.864999999999995</v>
      </c>
      <c r="F77" s="24">
        <v>574.49800000000005</v>
      </c>
      <c r="G77" s="8">
        <v>0</v>
      </c>
      <c r="H77" s="24"/>
      <c r="I77" s="24" t="s">
        <v>275</v>
      </c>
      <c r="J77" s="24"/>
      <c r="K77" s="24">
        <v>71.7</v>
      </c>
      <c r="L77" s="24">
        <f t="shared" si="21"/>
        <v>-1.835000000000008</v>
      </c>
      <c r="M77" s="24">
        <f t="shared" si="22"/>
        <v>69.864999999999995</v>
      </c>
      <c r="N77" s="24"/>
      <c r="O77" s="24"/>
      <c r="P77" s="24"/>
      <c r="Q77" s="24">
        <v>0</v>
      </c>
      <c r="R77" s="24"/>
      <c r="S77" s="24"/>
      <c r="T77" s="24">
        <v>0</v>
      </c>
      <c r="U77" s="20"/>
      <c r="V77" s="24"/>
      <c r="W77" s="24"/>
      <c r="X77" s="20"/>
      <c r="Y77" s="20"/>
      <c r="Z77" s="22"/>
      <c r="AA77" s="24">
        <f t="shared" si="23"/>
        <v>13.972999999999999</v>
      </c>
      <c r="AB77" s="9"/>
      <c r="AC77" s="4">
        <f t="shared" si="20"/>
        <v>0</v>
      </c>
      <c r="AD77" s="9"/>
      <c r="AE77" s="9"/>
      <c r="AF77" s="24"/>
      <c r="AG77" s="22">
        <f t="shared" si="24"/>
        <v>41.114864381306809</v>
      </c>
      <c r="AH77" s="22">
        <f t="shared" si="25"/>
        <v>41.114864381306809</v>
      </c>
      <c r="AI77" s="24">
        <v>18.044</v>
      </c>
      <c r="AJ77" s="24">
        <v>9.4331999999999994</v>
      </c>
      <c r="AK77" s="24">
        <v>0.53720000000000001</v>
      </c>
      <c r="AL77" s="24">
        <v>1.339</v>
      </c>
      <c r="AM77" s="24">
        <v>2.4163999999999999</v>
      </c>
      <c r="AN77" s="24">
        <v>1.0773999999999999</v>
      </c>
      <c r="AO77" s="24">
        <v>0</v>
      </c>
      <c r="AP77" s="24">
        <v>0</v>
      </c>
      <c r="AQ77" s="24">
        <v>0</v>
      </c>
      <c r="AR77" s="24">
        <v>0</v>
      </c>
      <c r="AS77" s="10" t="s">
        <v>200</v>
      </c>
      <c r="AT77" s="22">
        <f t="shared" si="26"/>
        <v>0</v>
      </c>
      <c r="AU77" s="22">
        <f t="shared" si="27"/>
        <v>0</v>
      </c>
      <c r="AV77" s="22">
        <f t="shared" si="28"/>
        <v>0</v>
      </c>
    </row>
    <row r="78" spans="1:48" x14ac:dyDescent="0.25">
      <c r="A78" s="22" t="s">
        <v>276</v>
      </c>
      <c r="B78" s="22" t="s">
        <v>62</v>
      </c>
      <c r="C78" s="22">
        <v>222</v>
      </c>
      <c r="D78" s="22">
        <v>176</v>
      </c>
      <c r="E78" s="22">
        <v>121</v>
      </c>
      <c r="F78" s="22">
        <v>158</v>
      </c>
      <c r="G78" s="6">
        <v>0.3</v>
      </c>
      <c r="H78" s="22">
        <v>40</v>
      </c>
      <c r="I78" s="22" t="s">
        <v>277</v>
      </c>
      <c r="J78" s="22"/>
      <c r="K78" s="22">
        <v>138</v>
      </c>
      <c r="L78" s="22">
        <f t="shared" si="21"/>
        <v>-17</v>
      </c>
      <c r="M78" s="22">
        <f t="shared" si="22"/>
        <v>121</v>
      </c>
      <c r="N78" s="22"/>
      <c r="O78" s="22"/>
      <c r="P78" s="22" t="s">
        <v>278</v>
      </c>
      <c r="Q78" s="22">
        <v>0</v>
      </c>
      <c r="R78" s="22"/>
      <c r="S78" s="22"/>
      <c r="T78" s="22">
        <v>0</v>
      </c>
      <c r="U78" s="17"/>
      <c r="V78" s="22"/>
      <c r="W78" s="22"/>
      <c r="X78" s="17"/>
      <c r="Y78" s="17"/>
      <c r="Z78" s="22"/>
      <c r="AA78" s="22">
        <f t="shared" si="23"/>
        <v>24.2</v>
      </c>
      <c r="AB78" s="4">
        <f>12.5*AA78-V78-T78-S78-R78-Q78-O78-F78</f>
        <v>144.5</v>
      </c>
      <c r="AC78" s="4">
        <f t="shared" si="20"/>
        <v>144.5</v>
      </c>
      <c r="AD78" s="4"/>
      <c r="AE78" s="4"/>
      <c r="AF78" s="22"/>
      <c r="AG78" s="22">
        <f t="shared" si="24"/>
        <v>12.5</v>
      </c>
      <c r="AH78" s="22">
        <f t="shared" si="25"/>
        <v>6.5289256198347108</v>
      </c>
      <c r="AI78" s="22">
        <v>18.2</v>
      </c>
      <c r="AJ78" s="22">
        <v>15.4</v>
      </c>
      <c r="AK78" s="22">
        <v>28.2</v>
      </c>
      <c r="AL78" s="22">
        <v>24.4</v>
      </c>
      <c r="AM78" s="22">
        <v>9.8000000000000007</v>
      </c>
      <c r="AN78" s="22">
        <v>18.399999999999999</v>
      </c>
      <c r="AO78" s="22">
        <v>31.8</v>
      </c>
      <c r="AP78" s="22">
        <v>18.8</v>
      </c>
      <c r="AQ78" s="22">
        <v>14.6</v>
      </c>
      <c r="AR78" s="22">
        <v>28.2</v>
      </c>
      <c r="AS78" s="22"/>
      <c r="AT78" s="22">
        <f t="shared" si="26"/>
        <v>43</v>
      </c>
      <c r="AU78" s="22">
        <f t="shared" si="27"/>
        <v>0</v>
      </c>
      <c r="AV78" s="22">
        <f t="shared" si="28"/>
        <v>0</v>
      </c>
    </row>
    <row r="79" spans="1:48" x14ac:dyDescent="0.25">
      <c r="A79" s="22" t="s">
        <v>279</v>
      </c>
      <c r="B79" s="22" t="s">
        <v>62</v>
      </c>
      <c r="C79" s="22">
        <v>12</v>
      </c>
      <c r="D79" s="22">
        <v>107</v>
      </c>
      <c r="E79" s="22">
        <v>10</v>
      </c>
      <c r="F79" s="22">
        <v>89</v>
      </c>
      <c r="G79" s="6">
        <v>0.3</v>
      </c>
      <c r="H79" s="22">
        <v>40</v>
      </c>
      <c r="I79" s="22" t="s">
        <v>280</v>
      </c>
      <c r="J79" s="22"/>
      <c r="K79" s="22">
        <v>72</v>
      </c>
      <c r="L79" s="22">
        <f t="shared" si="21"/>
        <v>-62</v>
      </c>
      <c r="M79" s="22">
        <f t="shared" si="22"/>
        <v>10</v>
      </c>
      <c r="N79" s="22"/>
      <c r="O79" s="22"/>
      <c r="P79" s="22" t="s">
        <v>281</v>
      </c>
      <c r="Q79" s="22">
        <v>54.199999999999967</v>
      </c>
      <c r="R79" s="22"/>
      <c r="S79" s="22"/>
      <c r="T79" s="22">
        <v>0</v>
      </c>
      <c r="U79" s="17"/>
      <c r="V79" s="22"/>
      <c r="W79" s="22"/>
      <c r="X79" s="17"/>
      <c r="Y79" s="17"/>
      <c r="Z79" s="22"/>
      <c r="AA79" s="22">
        <f t="shared" si="23"/>
        <v>2</v>
      </c>
      <c r="AB79" s="4"/>
      <c r="AC79" s="4">
        <f t="shared" si="20"/>
        <v>0</v>
      </c>
      <c r="AD79" s="4"/>
      <c r="AE79" s="4"/>
      <c r="AF79" s="22"/>
      <c r="AG79" s="22">
        <f t="shared" si="24"/>
        <v>71.59999999999998</v>
      </c>
      <c r="AH79" s="22">
        <f t="shared" si="25"/>
        <v>71.59999999999998</v>
      </c>
      <c r="AI79" s="22">
        <v>2.4</v>
      </c>
      <c r="AJ79" s="22">
        <v>12.2</v>
      </c>
      <c r="AK79" s="22">
        <v>13.6</v>
      </c>
      <c r="AL79" s="22">
        <v>6.8</v>
      </c>
      <c r="AM79" s="22">
        <v>4.2</v>
      </c>
      <c r="AN79" s="22">
        <v>7.8</v>
      </c>
      <c r="AO79" s="22">
        <v>8.1999999999999993</v>
      </c>
      <c r="AP79" s="22">
        <v>1.4</v>
      </c>
      <c r="AQ79" s="22">
        <v>7.4</v>
      </c>
      <c r="AR79" s="22">
        <v>3.4</v>
      </c>
      <c r="AS79" s="22"/>
      <c r="AT79" s="22">
        <f t="shared" si="26"/>
        <v>0</v>
      </c>
      <c r="AU79" s="22">
        <f t="shared" si="27"/>
        <v>0</v>
      </c>
      <c r="AV79" s="22">
        <f t="shared" si="28"/>
        <v>0</v>
      </c>
    </row>
    <row r="80" spans="1:48" x14ac:dyDescent="0.25">
      <c r="A80" s="22" t="s">
        <v>282</v>
      </c>
      <c r="B80" s="22" t="s">
        <v>62</v>
      </c>
      <c r="C80" s="22">
        <v>126</v>
      </c>
      <c r="D80" s="22">
        <v>135</v>
      </c>
      <c r="E80" s="22">
        <v>156</v>
      </c>
      <c r="F80" s="22">
        <v>38</v>
      </c>
      <c r="G80" s="6">
        <v>7.0000000000000007E-2</v>
      </c>
      <c r="H80" s="22">
        <v>90</v>
      </c>
      <c r="I80" s="22" t="s">
        <v>283</v>
      </c>
      <c r="J80" s="22"/>
      <c r="K80" s="22">
        <v>189</v>
      </c>
      <c r="L80" s="22">
        <f t="shared" si="21"/>
        <v>-33</v>
      </c>
      <c r="M80" s="22">
        <f t="shared" si="22"/>
        <v>156</v>
      </c>
      <c r="N80" s="22"/>
      <c r="O80" s="22"/>
      <c r="P80" s="22" t="s">
        <v>284</v>
      </c>
      <c r="Q80" s="22">
        <v>147.88128800000001</v>
      </c>
      <c r="R80" s="22"/>
      <c r="S80" s="22"/>
      <c r="T80" s="22">
        <v>66.318711999999977</v>
      </c>
      <c r="U80" s="17"/>
      <c r="V80" s="22"/>
      <c r="W80" s="22"/>
      <c r="X80" s="17"/>
      <c r="Y80" s="17"/>
      <c r="Z80" s="22"/>
      <c r="AA80" s="22">
        <f t="shared" si="23"/>
        <v>31.2</v>
      </c>
      <c r="AB80" s="4">
        <f>12.5*AA80-V80-T80-S80-R80-Q80-O80-F80</f>
        <v>137.79999999999998</v>
      </c>
      <c r="AC80" s="4">
        <f t="shared" ref="AC80:AC111" si="29">AB80-AD80-AE80</f>
        <v>137.79999999999998</v>
      </c>
      <c r="AD80" s="4"/>
      <c r="AE80" s="4"/>
      <c r="AF80" s="22"/>
      <c r="AG80" s="22">
        <f t="shared" si="24"/>
        <v>12.5</v>
      </c>
      <c r="AH80" s="22">
        <f t="shared" si="25"/>
        <v>8.0833333333333339</v>
      </c>
      <c r="AI80" s="22">
        <v>29.2</v>
      </c>
      <c r="AJ80" s="22">
        <v>24.8</v>
      </c>
      <c r="AK80" s="22">
        <v>22.8</v>
      </c>
      <c r="AL80" s="22">
        <v>19.600000000000001</v>
      </c>
      <c r="AM80" s="22">
        <v>16.8</v>
      </c>
      <c r="AN80" s="22">
        <v>16</v>
      </c>
      <c r="AO80" s="22">
        <v>16.399999999999999</v>
      </c>
      <c r="AP80" s="22">
        <v>14.6</v>
      </c>
      <c r="AQ80" s="22">
        <v>20.6</v>
      </c>
      <c r="AR80" s="22">
        <v>16.600000000000001</v>
      </c>
      <c r="AS80" s="22"/>
      <c r="AT80" s="22">
        <f t="shared" si="26"/>
        <v>10</v>
      </c>
      <c r="AU80" s="22">
        <f t="shared" si="27"/>
        <v>0</v>
      </c>
      <c r="AV80" s="22">
        <f t="shared" si="28"/>
        <v>0</v>
      </c>
    </row>
    <row r="81" spans="1:48" x14ac:dyDescent="0.25">
      <c r="A81" s="22" t="s">
        <v>285</v>
      </c>
      <c r="B81" s="22" t="s">
        <v>62</v>
      </c>
      <c r="C81" s="22">
        <v>32</v>
      </c>
      <c r="D81" s="22">
        <v>175</v>
      </c>
      <c r="E81" s="22">
        <v>110</v>
      </c>
      <c r="F81" s="22">
        <v>71</v>
      </c>
      <c r="G81" s="6">
        <v>7.0000000000000007E-2</v>
      </c>
      <c r="H81" s="22">
        <v>90</v>
      </c>
      <c r="I81" s="22" t="s">
        <v>286</v>
      </c>
      <c r="J81" s="22"/>
      <c r="K81" s="22">
        <v>144</v>
      </c>
      <c r="L81" s="22">
        <f t="shared" si="21"/>
        <v>-34</v>
      </c>
      <c r="M81" s="22">
        <f t="shared" si="22"/>
        <v>110</v>
      </c>
      <c r="N81" s="22"/>
      <c r="O81" s="22"/>
      <c r="P81" s="22" t="s">
        <v>287</v>
      </c>
      <c r="Q81" s="22">
        <v>182.2</v>
      </c>
      <c r="R81" s="22"/>
      <c r="S81" s="22">
        <v>100</v>
      </c>
      <c r="T81" s="22">
        <v>0</v>
      </c>
      <c r="U81" s="17"/>
      <c r="V81" s="22"/>
      <c r="W81" s="22"/>
      <c r="X81" s="17"/>
      <c r="Y81" s="17"/>
      <c r="Z81" s="22"/>
      <c r="AA81" s="22">
        <f t="shared" si="23"/>
        <v>22</v>
      </c>
      <c r="AB81" s="4"/>
      <c r="AC81" s="4">
        <f t="shared" si="29"/>
        <v>0</v>
      </c>
      <c r="AD81" s="4"/>
      <c r="AE81" s="4"/>
      <c r="AF81" s="22"/>
      <c r="AG81" s="22">
        <f t="shared" si="24"/>
        <v>16.054545454545455</v>
      </c>
      <c r="AH81" s="22">
        <f t="shared" si="25"/>
        <v>16.054545454545455</v>
      </c>
      <c r="AI81" s="22">
        <v>23.4</v>
      </c>
      <c r="AJ81" s="22">
        <v>33</v>
      </c>
      <c r="AK81" s="22">
        <v>23.8</v>
      </c>
      <c r="AL81" s="22">
        <v>7.8</v>
      </c>
      <c r="AM81" s="22">
        <v>9.8000000000000007</v>
      </c>
      <c r="AN81" s="22">
        <v>23.8</v>
      </c>
      <c r="AO81" s="22">
        <v>23.6</v>
      </c>
      <c r="AP81" s="22">
        <v>18.399999999999999</v>
      </c>
      <c r="AQ81" s="22">
        <v>30.6</v>
      </c>
      <c r="AR81" s="22">
        <v>19.2</v>
      </c>
      <c r="AS81" s="22"/>
      <c r="AT81" s="22">
        <f t="shared" si="26"/>
        <v>0</v>
      </c>
      <c r="AU81" s="22">
        <f t="shared" si="27"/>
        <v>0</v>
      </c>
      <c r="AV81" s="22">
        <f t="shared" si="28"/>
        <v>0</v>
      </c>
    </row>
    <row r="82" spans="1:48" x14ac:dyDescent="0.25">
      <c r="A82" s="22" t="s">
        <v>288</v>
      </c>
      <c r="B82" s="22" t="s">
        <v>62</v>
      </c>
      <c r="C82" s="22">
        <v>68</v>
      </c>
      <c r="D82" s="22">
        <v>115</v>
      </c>
      <c r="E82" s="22">
        <v>114</v>
      </c>
      <c r="F82" s="22">
        <v>24</v>
      </c>
      <c r="G82" s="6">
        <v>7.0000000000000007E-2</v>
      </c>
      <c r="H82" s="22">
        <v>90</v>
      </c>
      <c r="I82" s="22" t="s">
        <v>289</v>
      </c>
      <c r="J82" s="22"/>
      <c r="K82" s="22">
        <v>131</v>
      </c>
      <c r="L82" s="22">
        <f t="shared" si="21"/>
        <v>-17</v>
      </c>
      <c r="M82" s="22">
        <f t="shared" si="22"/>
        <v>114</v>
      </c>
      <c r="N82" s="22"/>
      <c r="O82" s="22"/>
      <c r="P82" s="22" t="s">
        <v>290</v>
      </c>
      <c r="Q82" s="22">
        <v>166.2</v>
      </c>
      <c r="R82" s="22"/>
      <c r="S82" s="22"/>
      <c r="T82" s="22">
        <v>0</v>
      </c>
      <c r="U82" s="17"/>
      <c r="V82" s="22"/>
      <c r="W82" s="22"/>
      <c r="X82" s="17"/>
      <c r="Y82" s="17"/>
      <c r="Z82" s="22"/>
      <c r="AA82" s="22">
        <f t="shared" si="23"/>
        <v>22.8</v>
      </c>
      <c r="AB82" s="4">
        <f>12.5*AA82-V82-T82-S82-R82-Q82-O82-F82</f>
        <v>94.800000000000011</v>
      </c>
      <c r="AC82" s="4">
        <f t="shared" si="29"/>
        <v>94.800000000000011</v>
      </c>
      <c r="AD82" s="4"/>
      <c r="AE82" s="4"/>
      <c r="AF82" s="22"/>
      <c r="AG82" s="22">
        <f t="shared" si="24"/>
        <v>12.5</v>
      </c>
      <c r="AH82" s="22">
        <f t="shared" si="25"/>
        <v>8.3421052631578938</v>
      </c>
      <c r="AI82" s="22">
        <v>20.6</v>
      </c>
      <c r="AJ82" s="22">
        <v>21.4</v>
      </c>
      <c r="AK82" s="22">
        <v>16.399999999999999</v>
      </c>
      <c r="AL82" s="22">
        <v>7</v>
      </c>
      <c r="AM82" s="22">
        <v>11.2</v>
      </c>
      <c r="AN82" s="22">
        <v>16.8</v>
      </c>
      <c r="AO82" s="22">
        <v>13.8</v>
      </c>
      <c r="AP82" s="22">
        <v>14</v>
      </c>
      <c r="AQ82" s="22">
        <v>15.2</v>
      </c>
      <c r="AR82" s="22">
        <v>16.600000000000001</v>
      </c>
      <c r="AS82" s="22"/>
      <c r="AT82" s="22">
        <f t="shared" si="26"/>
        <v>7</v>
      </c>
      <c r="AU82" s="22">
        <f t="shared" si="27"/>
        <v>0</v>
      </c>
      <c r="AV82" s="22">
        <f t="shared" si="28"/>
        <v>0</v>
      </c>
    </row>
    <row r="83" spans="1:48" x14ac:dyDescent="0.25">
      <c r="A83" s="22" t="s">
        <v>291</v>
      </c>
      <c r="B83" s="22" t="s">
        <v>62</v>
      </c>
      <c r="C83" s="22">
        <v>82</v>
      </c>
      <c r="D83" s="22">
        <v>17</v>
      </c>
      <c r="E83" s="22">
        <v>60</v>
      </c>
      <c r="F83" s="22">
        <v>19</v>
      </c>
      <c r="G83" s="6">
        <v>0.05</v>
      </c>
      <c r="H83" s="22">
        <v>90</v>
      </c>
      <c r="I83" s="22" t="s">
        <v>292</v>
      </c>
      <c r="J83" s="22"/>
      <c r="K83" s="22">
        <v>111</v>
      </c>
      <c r="L83" s="22">
        <f t="shared" si="21"/>
        <v>-51</v>
      </c>
      <c r="M83" s="22">
        <f t="shared" si="22"/>
        <v>60</v>
      </c>
      <c r="N83" s="22"/>
      <c r="O83" s="22"/>
      <c r="P83" s="22" t="s">
        <v>293</v>
      </c>
      <c r="Q83" s="22">
        <v>91.6</v>
      </c>
      <c r="R83" s="22"/>
      <c r="S83" s="22"/>
      <c r="T83" s="22">
        <v>89.200000000000017</v>
      </c>
      <c r="U83" s="17"/>
      <c r="V83" s="22"/>
      <c r="W83" s="22"/>
      <c r="X83" s="17"/>
      <c r="Y83" s="17"/>
      <c r="Z83" s="22"/>
      <c r="AA83" s="22">
        <f t="shared" si="23"/>
        <v>12</v>
      </c>
      <c r="AB83" s="4"/>
      <c r="AC83" s="4">
        <f t="shared" si="29"/>
        <v>0</v>
      </c>
      <c r="AD83" s="4"/>
      <c r="AE83" s="4"/>
      <c r="AF83" s="22"/>
      <c r="AG83" s="22">
        <f t="shared" si="24"/>
        <v>16.650000000000002</v>
      </c>
      <c r="AH83" s="22">
        <f t="shared" si="25"/>
        <v>16.650000000000002</v>
      </c>
      <c r="AI83" s="22">
        <v>19.8</v>
      </c>
      <c r="AJ83" s="22">
        <v>12.4</v>
      </c>
      <c r="AK83" s="22">
        <v>2.6</v>
      </c>
      <c r="AL83" s="22">
        <v>9.6</v>
      </c>
      <c r="AM83" s="22">
        <v>8</v>
      </c>
      <c r="AN83" s="22">
        <v>4.4000000000000004</v>
      </c>
      <c r="AO83" s="22">
        <v>8.4</v>
      </c>
      <c r="AP83" s="22">
        <v>9.1999999999999993</v>
      </c>
      <c r="AQ83" s="22">
        <v>10.6</v>
      </c>
      <c r="AR83" s="22">
        <v>6.4</v>
      </c>
      <c r="AS83" s="22"/>
      <c r="AT83" s="22">
        <f t="shared" si="26"/>
        <v>0</v>
      </c>
      <c r="AU83" s="22">
        <f t="shared" si="27"/>
        <v>0</v>
      </c>
      <c r="AV83" s="22">
        <f t="shared" si="28"/>
        <v>0</v>
      </c>
    </row>
    <row r="84" spans="1:48" x14ac:dyDescent="0.25">
      <c r="A84" s="25" t="s">
        <v>294</v>
      </c>
      <c r="B84" s="25" t="s">
        <v>62</v>
      </c>
      <c r="C84" s="25"/>
      <c r="D84" s="25"/>
      <c r="E84" s="25">
        <v>-2</v>
      </c>
      <c r="F84" s="25"/>
      <c r="G84" s="12">
        <v>0.05</v>
      </c>
      <c r="H84" s="25"/>
      <c r="I84" s="25" t="s">
        <v>295</v>
      </c>
      <c r="J84" s="25"/>
      <c r="K84" s="25">
        <v>30</v>
      </c>
      <c r="L84" s="25">
        <f t="shared" si="21"/>
        <v>-32</v>
      </c>
      <c r="M84" s="25">
        <f t="shared" si="22"/>
        <v>-2</v>
      </c>
      <c r="N84" s="25"/>
      <c r="O84" s="25"/>
      <c r="P84" s="25" t="s">
        <v>297</v>
      </c>
      <c r="Q84" s="25">
        <v>0</v>
      </c>
      <c r="R84" s="25"/>
      <c r="S84" s="25"/>
      <c r="T84" s="25">
        <v>0</v>
      </c>
      <c r="U84" s="19"/>
      <c r="V84" s="25"/>
      <c r="W84" s="25"/>
      <c r="X84" s="19"/>
      <c r="Y84" s="19"/>
      <c r="Z84" s="22"/>
      <c r="AA84" s="25">
        <f t="shared" si="23"/>
        <v>-0.4</v>
      </c>
      <c r="AB84" s="13"/>
      <c r="AC84" s="4">
        <f t="shared" si="29"/>
        <v>0</v>
      </c>
      <c r="AD84" s="13"/>
      <c r="AE84" s="13"/>
      <c r="AF84" s="25"/>
      <c r="AG84" s="22">
        <f t="shared" si="24"/>
        <v>0</v>
      </c>
      <c r="AH84" s="22">
        <f t="shared" si="25"/>
        <v>0</v>
      </c>
      <c r="AI84" s="25">
        <v>-1.2</v>
      </c>
      <c r="AJ84" s="25">
        <v>-1</v>
      </c>
      <c r="AK84" s="25">
        <v>3.2</v>
      </c>
      <c r="AL84" s="25">
        <v>14</v>
      </c>
      <c r="AM84" s="25">
        <v>15.8</v>
      </c>
      <c r="AN84" s="25">
        <v>10.199999999999999</v>
      </c>
      <c r="AO84" s="25">
        <v>5.6</v>
      </c>
      <c r="AP84" s="25">
        <v>9.8000000000000007</v>
      </c>
      <c r="AQ84" s="25">
        <v>17.399999999999999</v>
      </c>
      <c r="AR84" s="25">
        <v>10.4</v>
      </c>
      <c r="AS84" s="25" t="s">
        <v>296</v>
      </c>
      <c r="AT84" s="22">
        <f t="shared" si="26"/>
        <v>0</v>
      </c>
      <c r="AU84" s="22">
        <f t="shared" si="27"/>
        <v>0</v>
      </c>
      <c r="AV84" s="22">
        <f t="shared" si="28"/>
        <v>0</v>
      </c>
    </row>
    <row r="85" spans="1:48" x14ac:dyDescent="0.25">
      <c r="A85" s="25" t="s">
        <v>298</v>
      </c>
      <c r="B85" s="25" t="s">
        <v>62</v>
      </c>
      <c r="C85" s="25">
        <v>10</v>
      </c>
      <c r="D85" s="25">
        <v>16</v>
      </c>
      <c r="E85" s="25">
        <v>-1</v>
      </c>
      <c r="F85" s="25"/>
      <c r="G85" s="12">
        <v>5.5E-2</v>
      </c>
      <c r="H85" s="25"/>
      <c r="I85" s="25" t="s">
        <v>299</v>
      </c>
      <c r="J85" s="25"/>
      <c r="K85" s="25">
        <v>19</v>
      </c>
      <c r="L85" s="25">
        <f t="shared" si="21"/>
        <v>-20</v>
      </c>
      <c r="M85" s="25">
        <f t="shared" si="22"/>
        <v>-1</v>
      </c>
      <c r="N85" s="25"/>
      <c r="O85" s="25"/>
      <c r="P85" s="25" t="s">
        <v>300</v>
      </c>
      <c r="Q85" s="25">
        <v>0</v>
      </c>
      <c r="R85" s="25"/>
      <c r="S85" s="25"/>
      <c r="T85" s="25">
        <v>0</v>
      </c>
      <c r="U85" s="19"/>
      <c r="V85" s="25"/>
      <c r="W85" s="25"/>
      <c r="X85" s="19"/>
      <c r="Y85" s="19"/>
      <c r="Z85" s="22"/>
      <c r="AA85" s="25">
        <f t="shared" si="23"/>
        <v>-0.2</v>
      </c>
      <c r="AB85" s="13"/>
      <c r="AC85" s="4">
        <f t="shared" si="29"/>
        <v>0</v>
      </c>
      <c r="AD85" s="13"/>
      <c r="AE85" s="13"/>
      <c r="AF85" s="25"/>
      <c r="AG85" s="22">
        <f t="shared" si="24"/>
        <v>0</v>
      </c>
      <c r="AH85" s="22">
        <f t="shared" si="25"/>
        <v>0</v>
      </c>
      <c r="AI85" s="25">
        <v>2.4</v>
      </c>
      <c r="AJ85" s="25">
        <v>10.8</v>
      </c>
      <c r="AK85" s="25">
        <v>13.4</v>
      </c>
      <c r="AL85" s="25">
        <v>10.8</v>
      </c>
      <c r="AM85" s="25">
        <v>10.4</v>
      </c>
      <c r="AN85" s="25">
        <v>10.4</v>
      </c>
      <c r="AO85" s="25">
        <v>8.8000000000000007</v>
      </c>
      <c r="AP85" s="25">
        <v>20.399999999999999</v>
      </c>
      <c r="AQ85" s="25">
        <v>5.6</v>
      </c>
      <c r="AR85" s="25">
        <v>6.8</v>
      </c>
      <c r="AS85" s="25" t="s">
        <v>296</v>
      </c>
      <c r="AT85" s="22">
        <f t="shared" si="26"/>
        <v>0</v>
      </c>
      <c r="AU85" s="22">
        <f t="shared" si="27"/>
        <v>0</v>
      </c>
      <c r="AV85" s="22">
        <f t="shared" si="28"/>
        <v>0</v>
      </c>
    </row>
    <row r="86" spans="1:48" x14ac:dyDescent="0.25">
      <c r="A86" s="22" t="s">
        <v>301</v>
      </c>
      <c r="B86" s="22" t="s">
        <v>62</v>
      </c>
      <c r="C86" s="22">
        <v>21</v>
      </c>
      <c r="D86" s="22">
        <v>59</v>
      </c>
      <c r="E86" s="22">
        <v>-1</v>
      </c>
      <c r="F86" s="22">
        <v>54</v>
      </c>
      <c r="G86" s="6">
        <v>0.3</v>
      </c>
      <c r="H86" s="22">
        <v>40</v>
      </c>
      <c r="I86" s="22" t="s">
        <v>302</v>
      </c>
      <c r="J86" s="22"/>
      <c r="K86" s="22">
        <v>106</v>
      </c>
      <c r="L86" s="22">
        <f t="shared" si="21"/>
        <v>-107</v>
      </c>
      <c r="M86" s="22">
        <f t="shared" si="22"/>
        <v>-1</v>
      </c>
      <c r="N86" s="22"/>
      <c r="O86" s="22"/>
      <c r="P86" s="22" t="s">
        <v>303</v>
      </c>
      <c r="Q86" s="22">
        <v>19.8</v>
      </c>
      <c r="R86" s="22"/>
      <c r="S86" s="22"/>
      <c r="T86" s="22">
        <v>0</v>
      </c>
      <c r="U86" s="17"/>
      <c r="V86" s="22"/>
      <c r="W86" s="22"/>
      <c r="X86" s="17"/>
      <c r="Y86" s="17"/>
      <c r="Z86" s="22"/>
      <c r="AA86" s="22">
        <f t="shared" si="23"/>
        <v>-0.2</v>
      </c>
      <c r="AB86" s="4"/>
      <c r="AC86" s="4">
        <f t="shared" si="29"/>
        <v>0</v>
      </c>
      <c r="AD86" s="4"/>
      <c r="AE86" s="4"/>
      <c r="AF86" s="22"/>
      <c r="AG86" s="22">
        <f t="shared" si="24"/>
        <v>-368.99999999999994</v>
      </c>
      <c r="AH86" s="22">
        <f t="shared" si="25"/>
        <v>-368.99999999999994</v>
      </c>
      <c r="AI86" s="22">
        <v>-0.4</v>
      </c>
      <c r="AJ86" s="22">
        <v>7.8</v>
      </c>
      <c r="AK86" s="22">
        <v>8.1999999999999993</v>
      </c>
      <c r="AL86" s="22">
        <v>3.6</v>
      </c>
      <c r="AM86" s="22">
        <v>3</v>
      </c>
      <c r="AN86" s="22">
        <v>6.8</v>
      </c>
      <c r="AO86" s="22">
        <v>7.2</v>
      </c>
      <c r="AP86" s="22">
        <v>1.2</v>
      </c>
      <c r="AQ86" s="22">
        <v>3.6</v>
      </c>
      <c r="AR86" s="22">
        <v>10.4</v>
      </c>
      <c r="AS86" s="22"/>
      <c r="AT86" s="22">
        <f t="shared" si="26"/>
        <v>0</v>
      </c>
      <c r="AU86" s="22">
        <f t="shared" si="27"/>
        <v>0</v>
      </c>
      <c r="AV86" s="22">
        <f t="shared" si="28"/>
        <v>0</v>
      </c>
    </row>
    <row r="87" spans="1:48" x14ac:dyDescent="0.25">
      <c r="A87" s="22" t="s">
        <v>304</v>
      </c>
      <c r="B87" s="22" t="s">
        <v>52</v>
      </c>
      <c r="C87" s="22">
        <v>46.707000000000001</v>
      </c>
      <c r="D87" s="22">
        <v>2.9940000000000002</v>
      </c>
      <c r="E87" s="22">
        <v>13.974</v>
      </c>
      <c r="F87" s="22">
        <v>35.695999999999998</v>
      </c>
      <c r="G87" s="6">
        <v>1</v>
      </c>
      <c r="H87" s="22">
        <v>55</v>
      </c>
      <c r="I87" s="22" t="s">
        <v>305</v>
      </c>
      <c r="J87" s="22"/>
      <c r="K87" s="22">
        <v>12.7</v>
      </c>
      <c r="L87" s="22">
        <f t="shared" si="21"/>
        <v>1.2740000000000009</v>
      </c>
      <c r="M87" s="22">
        <f t="shared" si="22"/>
        <v>13.974</v>
      </c>
      <c r="N87" s="22"/>
      <c r="O87" s="22"/>
      <c r="P87" s="22" t="s">
        <v>306</v>
      </c>
      <c r="Q87" s="22">
        <v>0</v>
      </c>
      <c r="R87" s="22"/>
      <c r="S87" s="22"/>
      <c r="T87" s="22">
        <v>0</v>
      </c>
      <c r="U87" s="17"/>
      <c r="V87" s="22"/>
      <c r="W87" s="22"/>
      <c r="X87" s="17"/>
      <c r="Y87" s="17"/>
      <c r="Z87" s="22"/>
      <c r="AA87" s="22">
        <f t="shared" si="23"/>
        <v>2.7948</v>
      </c>
      <c r="AB87" s="4"/>
      <c r="AC87" s="4">
        <f t="shared" si="29"/>
        <v>0</v>
      </c>
      <c r="AD87" s="4"/>
      <c r="AE87" s="4"/>
      <c r="AF87" s="22"/>
      <c r="AG87" s="22">
        <f t="shared" si="24"/>
        <v>12.772291398311149</v>
      </c>
      <c r="AH87" s="22">
        <f t="shared" si="25"/>
        <v>12.772291398311149</v>
      </c>
      <c r="AI87" s="22">
        <v>2.4352</v>
      </c>
      <c r="AJ87" s="22">
        <v>2.0659999999999998</v>
      </c>
      <c r="AK87" s="22">
        <v>1.2347999999999999</v>
      </c>
      <c r="AL87" s="22">
        <v>1.871</v>
      </c>
      <c r="AM87" s="22">
        <v>3.4733999999999998</v>
      </c>
      <c r="AN87" s="22">
        <v>3.5244</v>
      </c>
      <c r="AO87" s="22">
        <v>3.4784000000000002</v>
      </c>
      <c r="AP87" s="22">
        <v>3.4672000000000001</v>
      </c>
      <c r="AQ87" s="22">
        <v>4.1932</v>
      </c>
      <c r="AR87" s="22">
        <v>3.8694000000000002</v>
      </c>
      <c r="AS87" s="14" t="s">
        <v>144</v>
      </c>
      <c r="AT87" s="22">
        <f t="shared" si="26"/>
        <v>0</v>
      </c>
      <c r="AU87" s="22">
        <f t="shared" si="27"/>
        <v>0</v>
      </c>
      <c r="AV87" s="22">
        <f t="shared" si="28"/>
        <v>0</v>
      </c>
    </row>
    <row r="88" spans="1:48" x14ac:dyDescent="0.25">
      <c r="A88" s="22" t="s">
        <v>307</v>
      </c>
      <c r="B88" s="22" t="s">
        <v>62</v>
      </c>
      <c r="C88" s="22">
        <v>5</v>
      </c>
      <c r="D88" s="22">
        <v>39</v>
      </c>
      <c r="E88" s="22">
        <v>2</v>
      </c>
      <c r="F88" s="22">
        <v>-4</v>
      </c>
      <c r="G88" s="6">
        <v>0.11</v>
      </c>
      <c r="H88" s="22">
        <v>30</v>
      </c>
      <c r="I88" s="22" t="s">
        <v>308</v>
      </c>
      <c r="J88" s="22"/>
      <c r="K88" s="22">
        <v>122</v>
      </c>
      <c r="L88" s="22">
        <f t="shared" si="21"/>
        <v>-120</v>
      </c>
      <c r="M88" s="22">
        <f t="shared" si="22"/>
        <v>2</v>
      </c>
      <c r="N88" s="22"/>
      <c r="O88" s="22"/>
      <c r="P88" s="22" t="s">
        <v>309</v>
      </c>
      <c r="Q88" s="22">
        <v>75.199999999999989</v>
      </c>
      <c r="R88" s="22"/>
      <c r="S88" s="22"/>
      <c r="T88" s="22">
        <v>0</v>
      </c>
      <c r="U88" s="17"/>
      <c r="V88" s="22"/>
      <c r="W88" s="22"/>
      <c r="X88" s="17"/>
      <c r="Y88" s="17"/>
      <c r="Z88" s="22"/>
      <c r="AA88" s="22">
        <f t="shared" si="23"/>
        <v>0.4</v>
      </c>
      <c r="AB88" s="4"/>
      <c r="AC88" s="4">
        <f t="shared" si="29"/>
        <v>0</v>
      </c>
      <c r="AD88" s="4"/>
      <c r="AE88" s="4"/>
      <c r="AF88" s="22"/>
      <c r="AG88" s="22">
        <f t="shared" si="24"/>
        <v>177.99999999999997</v>
      </c>
      <c r="AH88" s="22">
        <f t="shared" si="25"/>
        <v>177.99999999999997</v>
      </c>
      <c r="AI88" s="22">
        <v>0.6</v>
      </c>
      <c r="AJ88" s="22">
        <v>9.1999999999999993</v>
      </c>
      <c r="AK88" s="22">
        <v>8.1999999999999993</v>
      </c>
      <c r="AL88" s="22">
        <v>4.2</v>
      </c>
      <c r="AM88" s="22">
        <v>6.2</v>
      </c>
      <c r="AN88" s="22">
        <v>2</v>
      </c>
      <c r="AO88" s="22">
        <v>0</v>
      </c>
      <c r="AP88" s="22">
        <v>1.6</v>
      </c>
      <c r="AQ88" s="22">
        <v>2.4</v>
      </c>
      <c r="AR88" s="22">
        <v>2.6</v>
      </c>
      <c r="AS88" s="22"/>
      <c r="AT88" s="22">
        <f t="shared" si="26"/>
        <v>0</v>
      </c>
      <c r="AU88" s="22">
        <f t="shared" si="27"/>
        <v>0</v>
      </c>
      <c r="AV88" s="22">
        <f t="shared" si="28"/>
        <v>0</v>
      </c>
    </row>
    <row r="89" spans="1:48" x14ac:dyDescent="0.25">
      <c r="A89" s="22" t="s">
        <v>310</v>
      </c>
      <c r="B89" s="22" t="s">
        <v>62</v>
      </c>
      <c r="C89" s="22">
        <v>212</v>
      </c>
      <c r="D89" s="22">
        <v>298</v>
      </c>
      <c r="E89" s="22">
        <v>245</v>
      </c>
      <c r="F89" s="22">
        <v>66</v>
      </c>
      <c r="G89" s="6">
        <v>0.08</v>
      </c>
      <c r="H89" s="22">
        <v>45</v>
      </c>
      <c r="I89" s="22" t="s">
        <v>311</v>
      </c>
      <c r="J89" s="22"/>
      <c r="K89" s="22">
        <v>275</v>
      </c>
      <c r="L89" s="22">
        <f t="shared" si="21"/>
        <v>-30</v>
      </c>
      <c r="M89" s="22">
        <f t="shared" si="22"/>
        <v>245</v>
      </c>
      <c r="N89" s="22"/>
      <c r="O89" s="22"/>
      <c r="P89" s="22" t="s">
        <v>312</v>
      </c>
      <c r="Q89" s="22">
        <v>233.20000000000019</v>
      </c>
      <c r="R89" s="22"/>
      <c r="S89" s="22"/>
      <c r="T89" s="22">
        <v>57.199999999999818</v>
      </c>
      <c r="U89" s="17"/>
      <c r="V89" s="22"/>
      <c r="W89" s="22"/>
      <c r="X89" s="17"/>
      <c r="Y89" s="17"/>
      <c r="Z89" s="22"/>
      <c r="AA89" s="22">
        <f t="shared" si="23"/>
        <v>49</v>
      </c>
      <c r="AB89" s="4">
        <f>12.5*AA89-V89-T89-S89-R89-Q89-O89-F89</f>
        <v>256.10000000000002</v>
      </c>
      <c r="AC89" s="4">
        <f t="shared" si="29"/>
        <v>256.10000000000002</v>
      </c>
      <c r="AD89" s="4"/>
      <c r="AE89" s="4"/>
      <c r="AF89" s="22"/>
      <c r="AG89" s="22">
        <f t="shared" si="24"/>
        <v>12.5</v>
      </c>
      <c r="AH89" s="22">
        <f t="shared" si="25"/>
        <v>7.2734693877551013</v>
      </c>
      <c r="AI89" s="22">
        <v>45.4</v>
      </c>
      <c r="AJ89" s="22">
        <v>45.2</v>
      </c>
      <c r="AK89" s="22">
        <v>38.799999999999997</v>
      </c>
      <c r="AL89" s="22">
        <v>35.200000000000003</v>
      </c>
      <c r="AM89" s="22">
        <v>31.2</v>
      </c>
      <c r="AN89" s="22">
        <v>23.2</v>
      </c>
      <c r="AO89" s="22">
        <v>25.6</v>
      </c>
      <c r="AP89" s="22">
        <v>31</v>
      </c>
      <c r="AQ89" s="22">
        <v>40.200000000000003</v>
      </c>
      <c r="AR89" s="22">
        <v>36.799999999999997</v>
      </c>
      <c r="AS89" s="22"/>
      <c r="AT89" s="22">
        <f t="shared" si="26"/>
        <v>20</v>
      </c>
      <c r="AU89" s="22">
        <f t="shared" si="27"/>
        <v>0</v>
      </c>
      <c r="AV89" s="22">
        <f t="shared" si="28"/>
        <v>0</v>
      </c>
    </row>
    <row r="90" spans="1:48" x14ac:dyDescent="0.25">
      <c r="A90" s="22" t="s">
        <v>313</v>
      </c>
      <c r="B90" s="22" t="s">
        <v>62</v>
      </c>
      <c r="C90" s="22">
        <v>246</v>
      </c>
      <c r="D90" s="22">
        <v>159</v>
      </c>
      <c r="E90" s="22">
        <v>181</v>
      </c>
      <c r="F90" s="22">
        <v>80</v>
      </c>
      <c r="G90" s="6">
        <v>0.08</v>
      </c>
      <c r="H90" s="22">
        <v>45</v>
      </c>
      <c r="I90" s="22" t="s">
        <v>314</v>
      </c>
      <c r="J90" s="22"/>
      <c r="K90" s="22">
        <v>263</v>
      </c>
      <c r="L90" s="22">
        <f t="shared" si="21"/>
        <v>-82</v>
      </c>
      <c r="M90" s="22">
        <f t="shared" si="22"/>
        <v>181</v>
      </c>
      <c r="N90" s="22"/>
      <c r="O90" s="22"/>
      <c r="P90" s="22" t="s">
        <v>315</v>
      </c>
      <c r="Q90" s="22">
        <v>119.2</v>
      </c>
      <c r="R90" s="22"/>
      <c r="S90" s="22"/>
      <c r="T90" s="22">
        <v>0</v>
      </c>
      <c r="U90" s="17"/>
      <c r="V90" s="22"/>
      <c r="W90" s="22"/>
      <c r="X90" s="17"/>
      <c r="Y90" s="17"/>
      <c r="Z90" s="22"/>
      <c r="AA90" s="22">
        <f t="shared" si="23"/>
        <v>36.200000000000003</v>
      </c>
      <c r="AB90" s="4">
        <f>12.5*AA90-V90-T90-S90-R90-Q90-O90-F90</f>
        <v>253.30000000000007</v>
      </c>
      <c r="AC90" s="4">
        <f t="shared" si="29"/>
        <v>253.30000000000007</v>
      </c>
      <c r="AD90" s="4"/>
      <c r="AE90" s="4"/>
      <c r="AF90" s="22"/>
      <c r="AG90" s="22">
        <f t="shared" si="24"/>
        <v>12.5</v>
      </c>
      <c r="AH90" s="22">
        <f t="shared" si="25"/>
        <v>5.5027624309392253</v>
      </c>
      <c r="AI90" s="22">
        <v>26.6</v>
      </c>
      <c r="AJ90" s="22">
        <v>26.8</v>
      </c>
      <c r="AK90" s="22">
        <v>29</v>
      </c>
      <c r="AL90" s="22">
        <v>16.8</v>
      </c>
      <c r="AM90" s="22">
        <v>6.8</v>
      </c>
      <c r="AN90" s="22">
        <v>16.2</v>
      </c>
      <c r="AO90" s="22">
        <v>28.6</v>
      </c>
      <c r="AP90" s="22">
        <v>23</v>
      </c>
      <c r="AQ90" s="22">
        <v>36.200000000000003</v>
      </c>
      <c r="AR90" s="22">
        <v>31.4</v>
      </c>
      <c r="AS90" s="22"/>
      <c r="AT90" s="22">
        <f t="shared" si="26"/>
        <v>20</v>
      </c>
      <c r="AU90" s="22">
        <f t="shared" si="27"/>
        <v>0</v>
      </c>
      <c r="AV90" s="22">
        <f t="shared" si="28"/>
        <v>0</v>
      </c>
    </row>
    <row r="91" spans="1:48" x14ac:dyDescent="0.25">
      <c r="A91" s="22" t="s">
        <v>316</v>
      </c>
      <c r="B91" s="22" t="s">
        <v>62</v>
      </c>
      <c r="C91" s="22">
        <v>40</v>
      </c>
      <c r="D91" s="22">
        <v>50</v>
      </c>
      <c r="E91" s="22">
        <v>46</v>
      </c>
      <c r="F91" s="22">
        <v>-1</v>
      </c>
      <c r="G91" s="6">
        <v>0.17</v>
      </c>
      <c r="H91" s="22">
        <v>30</v>
      </c>
      <c r="I91" s="22" t="s">
        <v>317</v>
      </c>
      <c r="J91" s="22"/>
      <c r="K91" s="22">
        <v>102</v>
      </c>
      <c r="L91" s="22">
        <f t="shared" si="21"/>
        <v>-56</v>
      </c>
      <c r="M91" s="22">
        <f t="shared" si="22"/>
        <v>46</v>
      </c>
      <c r="N91" s="22"/>
      <c r="O91" s="22"/>
      <c r="P91" s="22" t="s">
        <v>318</v>
      </c>
      <c r="Q91" s="22">
        <v>0</v>
      </c>
      <c r="R91" s="22"/>
      <c r="S91" s="22"/>
      <c r="T91" s="22">
        <v>49.2</v>
      </c>
      <c r="U91" s="17"/>
      <c r="V91" s="22"/>
      <c r="W91" s="22"/>
      <c r="X91" s="17"/>
      <c r="Y91" s="17"/>
      <c r="Z91" s="22"/>
      <c r="AA91" s="22">
        <f t="shared" si="23"/>
        <v>9.1999999999999993</v>
      </c>
      <c r="AB91" s="4">
        <f>12.5*AA91-V91-T91-S91-R91-Q91-O91-F91</f>
        <v>66.799999999999983</v>
      </c>
      <c r="AC91" s="4">
        <f t="shared" si="29"/>
        <v>66.799999999999983</v>
      </c>
      <c r="AD91" s="4"/>
      <c r="AE91" s="4"/>
      <c r="AF91" s="22"/>
      <c r="AG91" s="22">
        <f t="shared" si="24"/>
        <v>12.5</v>
      </c>
      <c r="AH91" s="22">
        <f t="shared" si="25"/>
        <v>5.2391304347826093</v>
      </c>
      <c r="AI91" s="22">
        <v>7.8</v>
      </c>
      <c r="AJ91" s="22">
        <v>2.6</v>
      </c>
      <c r="AK91" s="22">
        <v>1.4</v>
      </c>
      <c r="AL91" s="22">
        <v>5</v>
      </c>
      <c r="AM91" s="22">
        <v>3.2</v>
      </c>
      <c r="AN91" s="22">
        <v>-0.8</v>
      </c>
      <c r="AO91" s="22">
        <v>1.2</v>
      </c>
      <c r="AP91" s="22">
        <v>9.8000000000000007</v>
      </c>
      <c r="AQ91" s="22">
        <v>6.4</v>
      </c>
      <c r="AR91" s="22">
        <v>1.2</v>
      </c>
      <c r="AS91" s="22"/>
      <c r="AT91" s="22">
        <f t="shared" si="26"/>
        <v>11</v>
      </c>
      <c r="AU91" s="22">
        <f t="shared" si="27"/>
        <v>0</v>
      </c>
      <c r="AV91" s="22">
        <f t="shared" si="28"/>
        <v>0</v>
      </c>
    </row>
    <row r="92" spans="1:48" x14ac:dyDescent="0.25">
      <c r="A92" s="22" t="s">
        <v>319</v>
      </c>
      <c r="B92" s="22" t="s">
        <v>52</v>
      </c>
      <c r="C92" s="22">
        <v>403.38600000000002</v>
      </c>
      <c r="D92" s="22">
        <v>158.702</v>
      </c>
      <c r="E92" s="22">
        <v>266.25599999999997</v>
      </c>
      <c r="F92" s="22">
        <v>206.173</v>
      </c>
      <c r="G92" s="6">
        <v>1</v>
      </c>
      <c r="H92" s="22">
        <v>40</v>
      </c>
      <c r="I92" s="22" t="s">
        <v>320</v>
      </c>
      <c r="J92" s="22"/>
      <c r="K92" s="22">
        <v>276.60000000000002</v>
      </c>
      <c r="L92" s="22">
        <f t="shared" si="21"/>
        <v>-10.344000000000051</v>
      </c>
      <c r="M92" s="22">
        <f t="shared" si="22"/>
        <v>266.25599999999997</v>
      </c>
      <c r="N92" s="22"/>
      <c r="O92" s="22"/>
      <c r="P92" s="22" t="s">
        <v>321</v>
      </c>
      <c r="Q92" s="22">
        <v>114.52539999999991</v>
      </c>
      <c r="R92" s="22"/>
      <c r="S92" s="22"/>
      <c r="T92" s="22">
        <v>176.36960000000019</v>
      </c>
      <c r="U92" s="17"/>
      <c r="V92" s="22"/>
      <c r="W92" s="22"/>
      <c r="X92" s="17"/>
      <c r="Y92" s="17"/>
      <c r="Z92" s="22"/>
      <c r="AA92" s="22">
        <f t="shared" si="23"/>
        <v>53.251199999999997</v>
      </c>
      <c r="AB92" s="4">
        <f>12.5*AA92-V92-T92-S92-R92-Q92-O92-F92</f>
        <v>168.57199999999989</v>
      </c>
      <c r="AC92" s="4">
        <f t="shared" si="29"/>
        <v>168.57199999999989</v>
      </c>
      <c r="AD92" s="4"/>
      <c r="AE92" s="4"/>
      <c r="AF92" s="22"/>
      <c r="AG92" s="22">
        <f t="shared" si="24"/>
        <v>12.5</v>
      </c>
      <c r="AH92" s="22">
        <f t="shared" si="25"/>
        <v>9.3343999759629845</v>
      </c>
      <c r="AI92" s="22">
        <v>53.023000000000003</v>
      </c>
      <c r="AJ92" s="22">
        <v>48.691000000000003</v>
      </c>
      <c r="AK92" s="22">
        <v>50.067399999999999</v>
      </c>
      <c r="AL92" s="22">
        <v>53.2864</v>
      </c>
      <c r="AM92" s="22">
        <v>50.620199999999997</v>
      </c>
      <c r="AN92" s="22">
        <v>59.324399999999997</v>
      </c>
      <c r="AO92" s="22">
        <v>63.511800000000008</v>
      </c>
      <c r="AP92" s="22">
        <v>17.624600000000001</v>
      </c>
      <c r="AQ92" s="22">
        <v>29.264800000000001</v>
      </c>
      <c r="AR92" s="22">
        <v>53.634</v>
      </c>
      <c r="AS92" s="22"/>
      <c r="AT92" s="22">
        <f t="shared" si="26"/>
        <v>169</v>
      </c>
      <c r="AU92" s="22">
        <f t="shared" si="27"/>
        <v>0</v>
      </c>
      <c r="AV92" s="22">
        <f t="shared" si="28"/>
        <v>0</v>
      </c>
    </row>
    <row r="93" spans="1:48" x14ac:dyDescent="0.25">
      <c r="A93" s="22" t="s">
        <v>322</v>
      </c>
      <c r="B93" s="22" t="s">
        <v>52</v>
      </c>
      <c r="C93" s="22">
        <v>99.563999999999993</v>
      </c>
      <c r="D93" s="22">
        <v>17.632999999999999</v>
      </c>
      <c r="E93" s="22">
        <v>55.127000000000002</v>
      </c>
      <c r="F93" s="22">
        <v>46.933999999999997</v>
      </c>
      <c r="G93" s="6">
        <v>1</v>
      </c>
      <c r="H93" s="22">
        <v>40</v>
      </c>
      <c r="I93" s="22" t="s">
        <v>323</v>
      </c>
      <c r="J93" s="22"/>
      <c r="K93" s="22">
        <v>70.099999999999994</v>
      </c>
      <c r="L93" s="22">
        <f t="shared" si="21"/>
        <v>-14.972999999999992</v>
      </c>
      <c r="M93" s="22">
        <f t="shared" si="22"/>
        <v>55.127000000000002</v>
      </c>
      <c r="N93" s="22"/>
      <c r="O93" s="22"/>
      <c r="P93" s="22" t="s">
        <v>324</v>
      </c>
      <c r="Q93" s="22">
        <v>109.47839999999999</v>
      </c>
      <c r="R93" s="22"/>
      <c r="S93" s="22"/>
      <c r="T93" s="22">
        <v>40.127200000000023</v>
      </c>
      <c r="U93" s="17"/>
      <c r="V93" s="22"/>
      <c r="W93" s="22"/>
      <c r="X93" s="17"/>
      <c r="Y93" s="17"/>
      <c r="Z93" s="22"/>
      <c r="AA93" s="22">
        <f t="shared" si="23"/>
        <v>11.025400000000001</v>
      </c>
      <c r="AB93" s="4"/>
      <c r="AC93" s="4">
        <f t="shared" si="29"/>
        <v>0</v>
      </c>
      <c r="AD93" s="4"/>
      <c r="AE93" s="4"/>
      <c r="AF93" s="22"/>
      <c r="AG93" s="22">
        <f t="shared" si="24"/>
        <v>17.826074337439003</v>
      </c>
      <c r="AH93" s="22">
        <f t="shared" si="25"/>
        <v>17.826074337439003</v>
      </c>
      <c r="AI93" s="22">
        <v>19.4436</v>
      </c>
      <c r="AJ93" s="22">
        <v>17.420200000000001</v>
      </c>
      <c r="AK93" s="22">
        <v>11.458399999999999</v>
      </c>
      <c r="AL93" s="22">
        <v>14.843</v>
      </c>
      <c r="AM93" s="22">
        <v>14.2028</v>
      </c>
      <c r="AN93" s="22">
        <v>11.4068</v>
      </c>
      <c r="AO93" s="22">
        <v>14.0228</v>
      </c>
      <c r="AP93" s="22">
        <v>0</v>
      </c>
      <c r="AQ93" s="22">
        <v>0.7268</v>
      </c>
      <c r="AR93" s="22">
        <v>2.4918</v>
      </c>
      <c r="AS93" s="22"/>
      <c r="AT93" s="22">
        <f t="shared" si="26"/>
        <v>0</v>
      </c>
      <c r="AU93" s="22">
        <f t="shared" si="27"/>
        <v>0</v>
      </c>
      <c r="AV93" s="22">
        <f t="shared" si="28"/>
        <v>0</v>
      </c>
    </row>
    <row r="94" spans="1:48" x14ac:dyDescent="0.25">
      <c r="A94" s="22" t="s">
        <v>325</v>
      </c>
      <c r="B94" s="22" t="s">
        <v>52</v>
      </c>
      <c r="C94" s="22">
        <v>253.49299999999999</v>
      </c>
      <c r="D94" s="22">
        <v>218.98500000000001</v>
      </c>
      <c r="E94" s="22">
        <v>184.398</v>
      </c>
      <c r="F94" s="22">
        <v>205.88300000000001</v>
      </c>
      <c r="G94" s="6">
        <v>1</v>
      </c>
      <c r="H94" s="22">
        <v>40</v>
      </c>
      <c r="I94" s="22" t="s">
        <v>326</v>
      </c>
      <c r="J94" s="22"/>
      <c r="K94" s="22">
        <v>202.31</v>
      </c>
      <c r="L94" s="22">
        <f t="shared" si="21"/>
        <v>-17.912000000000006</v>
      </c>
      <c r="M94" s="22">
        <f t="shared" si="22"/>
        <v>184.398</v>
      </c>
      <c r="N94" s="22"/>
      <c r="O94" s="22"/>
      <c r="P94" s="22" t="s">
        <v>327</v>
      </c>
      <c r="Q94" s="22">
        <v>154.0960000000002</v>
      </c>
      <c r="R94" s="22"/>
      <c r="S94" s="22"/>
      <c r="T94" s="22">
        <v>32.331799999999703</v>
      </c>
      <c r="U94" s="17"/>
      <c r="V94" s="22"/>
      <c r="W94" s="22"/>
      <c r="X94" s="17"/>
      <c r="Y94" s="17"/>
      <c r="Z94" s="22"/>
      <c r="AA94" s="22">
        <f t="shared" si="23"/>
        <v>36.879599999999996</v>
      </c>
      <c r="AB94" s="4">
        <f>12.5*AA94-V94-T94-S94-R94-Q94-O94-F94</f>
        <v>68.684200000000061</v>
      </c>
      <c r="AC94" s="4">
        <f t="shared" si="29"/>
        <v>68.684200000000061</v>
      </c>
      <c r="AD94" s="4"/>
      <c r="AE94" s="4"/>
      <c r="AF94" s="22"/>
      <c r="AG94" s="22">
        <f t="shared" si="24"/>
        <v>12.500000000000002</v>
      </c>
      <c r="AH94" s="22">
        <f t="shared" si="25"/>
        <v>10.637609952385599</v>
      </c>
      <c r="AI94" s="22">
        <v>41.132800000000003</v>
      </c>
      <c r="AJ94" s="22">
        <v>45.424199999999999</v>
      </c>
      <c r="AK94" s="22">
        <v>42.593600000000002</v>
      </c>
      <c r="AL94" s="22">
        <v>39.310600000000001</v>
      </c>
      <c r="AM94" s="22">
        <v>37.340800000000002</v>
      </c>
      <c r="AN94" s="22">
        <v>46.566600000000001</v>
      </c>
      <c r="AO94" s="22">
        <v>47.993400000000001</v>
      </c>
      <c r="AP94" s="22">
        <v>16.330200000000001</v>
      </c>
      <c r="AQ94" s="22">
        <v>25.382400000000001</v>
      </c>
      <c r="AR94" s="22">
        <v>45.130600000000001</v>
      </c>
      <c r="AS94" s="22"/>
      <c r="AT94" s="22">
        <f t="shared" si="26"/>
        <v>69</v>
      </c>
      <c r="AU94" s="22">
        <f t="shared" si="27"/>
        <v>0</v>
      </c>
      <c r="AV94" s="22">
        <f t="shared" si="28"/>
        <v>0</v>
      </c>
    </row>
    <row r="95" spans="1:48" x14ac:dyDescent="0.25">
      <c r="A95" s="22" t="s">
        <v>328</v>
      </c>
      <c r="B95" s="22" t="s">
        <v>62</v>
      </c>
      <c r="C95" s="22">
        <v>22</v>
      </c>
      <c r="D95" s="22">
        <v>30</v>
      </c>
      <c r="E95" s="22">
        <v>19</v>
      </c>
      <c r="F95" s="22">
        <v>2</v>
      </c>
      <c r="G95" s="6">
        <v>0.3</v>
      </c>
      <c r="H95" s="22">
        <v>45</v>
      </c>
      <c r="I95" s="22" t="s">
        <v>329</v>
      </c>
      <c r="J95" s="22"/>
      <c r="K95" s="22">
        <v>68</v>
      </c>
      <c r="L95" s="22">
        <f t="shared" si="21"/>
        <v>-49</v>
      </c>
      <c r="M95" s="22">
        <f t="shared" si="22"/>
        <v>19</v>
      </c>
      <c r="N95" s="22"/>
      <c r="O95" s="22"/>
      <c r="P95" s="22" t="s">
        <v>330</v>
      </c>
      <c r="Q95" s="22">
        <v>112.4</v>
      </c>
      <c r="R95" s="22"/>
      <c r="S95" s="22"/>
      <c r="T95" s="22">
        <v>23</v>
      </c>
      <c r="U95" s="17"/>
      <c r="V95" s="22"/>
      <c r="W95" s="22"/>
      <c r="X95" s="17"/>
      <c r="Y95" s="17"/>
      <c r="Z95" s="22"/>
      <c r="AA95" s="22">
        <f t="shared" si="23"/>
        <v>3.8</v>
      </c>
      <c r="AB95" s="4"/>
      <c r="AC95" s="4">
        <f t="shared" si="29"/>
        <v>0</v>
      </c>
      <c r="AD95" s="4"/>
      <c r="AE95" s="4"/>
      <c r="AF95" s="22"/>
      <c r="AG95" s="22">
        <f t="shared" si="24"/>
        <v>36.15789473684211</v>
      </c>
      <c r="AH95" s="22">
        <f t="shared" si="25"/>
        <v>36.15789473684211</v>
      </c>
      <c r="AI95" s="22">
        <v>12.4</v>
      </c>
      <c r="AJ95" s="22">
        <v>11.2</v>
      </c>
      <c r="AK95" s="22">
        <v>2.8</v>
      </c>
      <c r="AL95" s="22">
        <v>2.6</v>
      </c>
      <c r="AM95" s="22">
        <v>6.4</v>
      </c>
      <c r="AN95" s="22">
        <v>8</v>
      </c>
      <c r="AO95" s="22">
        <v>8.8000000000000007</v>
      </c>
      <c r="AP95" s="22">
        <v>10.199999999999999</v>
      </c>
      <c r="AQ95" s="22">
        <v>11.8</v>
      </c>
      <c r="AR95" s="22">
        <v>12.2</v>
      </c>
      <c r="AS95" s="22"/>
      <c r="AT95" s="22">
        <f t="shared" si="26"/>
        <v>0</v>
      </c>
      <c r="AU95" s="22">
        <f t="shared" si="27"/>
        <v>0</v>
      </c>
      <c r="AV95" s="22">
        <f t="shared" si="28"/>
        <v>0</v>
      </c>
    </row>
    <row r="96" spans="1:48" x14ac:dyDescent="0.25">
      <c r="A96" s="22" t="s">
        <v>331</v>
      </c>
      <c r="B96" s="22" t="s">
        <v>52</v>
      </c>
      <c r="C96" s="22">
        <v>8.17</v>
      </c>
      <c r="D96" s="22"/>
      <c r="E96" s="22">
        <v>6.12</v>
      </c>
      <c r="F96" s="22">
        <v>-8.0000000000000002E-3</v>
      </c>
      <c r="G96" s="6">
        <v>1</v>
      </c>
      <c r="H96" s="22">
        <v>55</v>
      </c>
      <c r="I96" s="22" t="s">
        <v>332</v>
      </c>
      <c r="J96" s="22"/>
      <c r="K96" s="22">
        <v>7.7</v>
      </c>
      <c r="L96" s="22">
        <f t="shared" si="21"/>
        <v>-1.58</v>
      </c>
      <c r="M96" s="22">
        <f t="shared" si="22"/>
        <v>6.12</v>
      </c>
      <c r="N96" s="22"/>
      <c r="O96" s="22"/>
      <c r="P96" s="22" t="s">
        <v>333</v>
      </c>
      <c r="Q96" s="22">
        <v>0</v>
      </c>
      <c r="R96" s="22"/>
      <c r="S96" s="22"/>
      <c r="T96" s="22">
        <v>4</v>
      </c>
      <c r="U96" s="17"/>
      <c r="V96" s="22"/>
      <c r="W96" s="22"/>
      <c r="X96" s="17"/>
      <c r="Y96" s="17"/>
      <c r="Z96" s="22"/>
      <c r="AA96" s="22">
        <f t="shared" si="23"/>
        <v>1.224</v>
      </c>
      <c r="AB96" s="4">
        <v>8</v>
      </c>
      <c r="AC96" s="4">
        <f t="shared" si="29"/>
        <v>8</v>
      </c>
      <c r="AD96" s="4"/>
      <c r="AE96" s="4"/>
      <c r="AF96" s="22"/>
      <c r="AG96" s="22">
        <f t="shared" si="24"/>
        <v>9.7973856209150334</v>
      </c>
      <c r="AH96" s="22">
        <f t="shared" si="25"/>
        <v>3.261437908496732</v>
      </c>
      <c r="AI96" s="22">
        <v>0.5544</v>
      </c>
      <c r="AJ96" s="22">
        <v>-0.2646</v>
      </c>
      <c r="AK96" s="22">
        <v>0</v>
      </c>
      <c r="AL96" s="22">
        <v>0</v>
      </c>
      <c r="AM96" s="22">
        <v>0</v>
      </c>
      <c r="AN96" s="22">
        <v>-0.27200000000000002</v>
      </c>
      <c r="AO96" s="22">
        <v>0</v>
      </c>
      <c r="AP96" s="22">
        <v>0</v>
      </c>
      <c r="AQ96" s="22">
        <v>1.645</v>
      </c>
      <c r="AR96" s="22">
        <v>0.26779999999999998</v>
      </c>
      <c r="AS96" s="22"/>
      <c r="AT96" s="22">
        <f t="shared" si="26"/>
        <v>8</v>
      </c>
      <c r="AU96" s="22">
        <f t="shared" si="27"/>
        <v>0</v>
      </c>
      <c r="AV96" s="22">
        <f t="shared" si="28"/>
        <v>0</v>
      </c>
    </row>
    <row r="97" spans="1:48" x14ac:dyDescent="0.25">
      <c r="A97" s="22" t="s">
        <v>334</v>
      </c>
      <c r="B97" s="22" t="s">
        <v>62</v>
      </c>
      <c r="C97" s="22">
        <v>414</v>
      </c>
      <c r="D97" s="22">
        <v>598</v>
      </c>
      <c r="E97" s="22">
        <v>350</v>
      </c>
      <c r="F97" s="22">
        <v>325</v>
      </c>
      <c r="G97" s="6">
        <v>0.28000000000000003</v>
      </c>
      <c r="H97" s="22">
        <v>40</v>
      </c>
      <c r="I97" s="22" t="s">
        <v>335</v>
      </c>
      <c r="J97" s="22"/>
      <c r="K97" s="22">
        <v>419</v>
      </c>
      <c r="L97" s="22">
        <f t="shared" si="21"/>
        <v>-69</v>
      </c>
      <c r="M97" s="22">
        <f t="shared" si="22"/>
        <v>350</v>
      </c>
      <c r="N97" s="22"/>
      <c r="O97" s="22"/>
      <c r="P97" s="22" t="s">
        <v>336</v>
      </c>
      <c r="Q97" s="22">
        <v>109.6753140000002</v>
      </c>
      <c r="R97" s="22">
        <v>100</v>
      </c>
      <c r="S97" s="22">
        <v>100</v>
      </c>
      <c r="T97" s="22">
        <v>70.12468599999977</v>
      </c>
      <c r="U97" s="17"/>
      <c r="V97" s="22"/>
      <c r="W97" s="22"/>
      <c r="X97" s="17"/>
      <c r="Y97" s="17"/>
      <c r="Z97" s="22"/>
      <c r="AA97" s="22">
        <f t="shared" si="23"/>
        <v>70</v>
      </c>
      <c r="AB97" s="4">
        <f>12.5*AA97-V97-T97-S97-R97-Q97-O97-F97</f>
        <v>170.20000000000005</v>
      </c>
      <c r="AC97" s="4">
        <f t="shared" si="29"/>
        <v>170.20000000000005</v>
      </c>
      <c r="AD97" s="4"/>
      <c r="AE97" s="4"/>
      <c r="AF97" s="22"/>
      <c r="AG97" s="22">
        <f t="shared" si="24"/>
        <v>12.5</v>
      </c>
      <c r="AH97" s="22">
        <f t="shared" si="25"/>
        <v>10.068571428571428</v>
      </c>
      <c r="AI97" s="22">
        <v>76.8</v>
      </c>
      <c r="AJ97" s="22">
        <v>82.8</v>
      </c>
      <c r="AK97" s="22">
        <v>77.599999999999994</v>
      </c>
      <c r="AL97" s="22">
        <v>66.8</v>
      </c>
      <c r="AM97" s="22">
        <v>79.2</v>
      </c>
      <c r="AN97" s="22">
        <v>89.4</v>
      </c>
      <c r="AO97" s="22">
        <v>80.2</v>
      </c>
      <c r="AP97" s="22">
        <v>59.4</v>
      </c>
      <c r="AQ97" s="22">
        <v>84.6</v>
      </c>
      <c r="AR97" s="22">
        <v>69</v>
      </c>
      <c r="AS97" s="22"/>
      <c r="AT97" s="22">
        <f t="shared" si="26"/>
        <v>48</v>
      </c>
      <c r="AU97" s="22">
        <f t="shared" si="27"/>
        <v>0</v>
      </c>
      <c r="AV97" s="22">
        <f t="shared" si="28"/>
        <v>0</v>
      </c>
    </row>
    <row r="98" spans="1:48" x14ac:dyDescent="0.25">
      <c r="A98" s="22" t="s">
        <v>337</v>
      </c>
      <c r="B98" s="22" t="s">
        <v>62</v>
      </c>
      <c r="C98" s="22">
        <v>276</v>
      </c>
      <c r="D98" s="22">
        <v>257</v>
      </c>
      <c r="E98" s="22">
        <v>252</v>
      </c>
      <c r="F98" s="22">
        <v>23</v>
      </c>
      <c r="G98" s="6">
        <v>0.28000000000000003</v>
      </c>
      <c r="H98" s="22">
        <v>40</v>
      </c>
      <c r="I98" s="22"/>
      <c r="J98" s="22"/>
      <c r="K98" s="22">
        <v>354</v>
      </c>
      <c r="L98" s="22">
        <f t="shared" si="21"/>
        <v>-102</v>
      </c>
      <c r="M98" s="22">
        <f t="shared" si="22"/>
        <v>252</v>
      </c>
      <c r="N98" s="22"/>
      <c r="O98" s="22"/>
      <c r="P98" s="22" t="s">
        <v>338</v>
      </c>
      <c r="Q98" s="22">
        <v>247.2</v>
      </c>
      <c r="R98" s="22"/>
      <c r="S98" s="22"/>
      <c r="T98" s="22">
        <v>275.27999999999997</v>
      </c>
      <c r="U98" s="17"/>
      <c r="V98" s="22">
        <v>279.72000000000003</v>
      </c>
      <c r="W98" s="22"/>
      <c r="X98" s="17"/>
      <c r="Y98" s="17"/>
      <c r="Z98" s="22"/>
      <c r="AA98" s="22">
        <f t="shared" si="23"/>
        <v>50.4</v>
      </c>
      <c r="AB98" s="4"/>
      <c r="AC98" s="4">
        <f t="shared" si="29"/>
        <v>0</v>
      </c>
      <c r="AD98" s="4"/>
      <c r="AE98" s="4"/>
      <c r="AF98" s="22"/>
      <c r="AG98" s="22">
        <f t="shared" si="24"/>
        <v>16.373015873015873</v>
      </c>
      <c r="AH98" s="22">
        <f t="shared" si="25"/>
        <v>16.373015873015873</v>
      </c>
      <c r="AI98" s="22">
        <v>91.8</v>
      </c>
      <c r="AJ98" s="22">
        <v>43.6</v>
      </c>
      <c r="AK98" s="22">
        <v>2</v>
      </c>
      <c r="AL98" s="22">
        <v>40.4</v>
      </c>
      <c r="AM98" s="22">
        <v>50.8</v>
      </c>
      <c r="AN98" s="22">
        <v>10.4</v>
      </c>
      <c r="AO98" s="22">
        <v>0</v>
      </c>
      <c r="AP98" s="22">
        <v>0</v>
      </c>
      <c r="AQ98" s="22">
        <v>0</v>
      </c>
      <c r="AR98" s="22">
        <v>0</v>
      </c>
      <c r="AS98" s="22"/>
      <c r="AT98" s="22">
        <f t="shared" si="26"/>
        <v>0</v>
      </c>
      <c r="AU98" s="22">
        <f t="shared" si="27"/>
        <v>0</v>
      </c>
      <c r="AV98" s="22">
        <f t="shared" si="28"/>
        <v>0</v>
      </c>
    </row>
    <row r="99" spans="1:48" x14ac:dyDescent="0.25">
      <c r="A99" s="22" t="s">
        <v>339</v>
      </c>
      <c r="B99" s="22" t="s">
        <v>62</v>
      </c>
      <c r="C99" s="22">
        <v>567</v>
      </c>
      <c r="D99" s="22">
        <v>399</v>
      </c>
      <c r="E99" s="22">
        <v>516</v>
      </c>
      <c r="F99" s="22">
        <v>67</v>
      </c>
      <c r="G99" s="6">
        <v>0.28000000000000003</v>
      </c>
      <c r="H99" s="22">
        <v>40</v>
      </c>
      <c r="I99" s="22" t="s">
        <v>340</v>
      </c>
      <c r="J99" s="22"/>
      <c r="K99" s="22">
        <v>597</v>
      </c>
      <c r="L99" s="22">
        <f t="shared" si="21"/>
        <v>-81</v>
      </c>
      <c r="M99" s="22">
        <f t="shared" si="22"/>
        <v>516</v>
      </c>
      <c r="N99" s="22"/>
      <c r="O99" s="22"/>
      <c r="P99" s="22" t="s">
        <v>341</v>
      </c>
      <c r="Q99" s="22">
        <v>200.2267419999998</v>
      </c>
      <c r="R99" s="22">
        <v>200</v>
      </c>
      <c r="S99" s="22">
        <v>200</v>
      </c>
      <c r="T99" s="22">
        <v>175.5732580000001</v>
      </c>
      <c r="U99" s="17"/>
      <c r="V99" s="22"/>
      <c r="W99" s="22"/>
      <c r="X99" s="17"/>
      <c r="Y99" s="17"/>
      <c r="Z99" s="22"/>
      <c r="AA99" s="22">
        <f t="shared" si="23"/>
        <v>103.2</v>
      </c>
      <c r="AB99" s="4">
        <f>12.5*AA99-V99-T99-S99-R99-Q99-O99-F99+$AB$1*AA99</f>
        <v>380.12000000000006</v>
      </c>
      <c r="AC99" s="4">
        <f t="shared" si="29"/>
        <v>380.12000000000006</v>
      </c>
      <c r="AD99" s="4"/>
      <c r="AE99" s="4"/>
      <c r="AF99" s="22"/>
      <c r="AG99" s="22">
        <f t="shared" si="24"/>
        <v>11.85</v>
      </c>
      <c r="AH99" s="22">
        <f t="shared" si="25"/>
        <v>8.1666666666666661</v>
      </c>
      <c r="AI99" s="22">
        <v>101.8</v>
      </c>
      <c r="AJ99" s="22">
        <v>99</v>
      </c>
      <c r="AK99" s="22">
        <v>77.8</v>
      </c>
      <c r="AL99" s="22">
        <v>86.6</v>
      </c>
      <c r="AM99" s="22">
        <v>107</v>
      </c>
      <c r="AN99" s="22">
        <v>107.8</v>
      </c>
      <c r="AO99" s="22">
        <v>88.6</v>
      </c>
      <c r="AP99" s="22">
        <v>68.8</v>
      </c>
      <c r="AQ99" s="22">
        <v>91</v>
      </c>
      <c r="AR99" s="22">
        <v>65.8</v>
      </c>
      <c r="AS99" s="22"/>
      <c r="AT99" s="22">
        <f t="shared" si="26"/>
        <v>106</v>
      </c>
      <c r="AU99" s="22">
        <f t="shared" si="27"/>
        <v>0</v>
      </c>
      <c r="AV99" s="22">
        <f t="shared" si="28"/>
        <v>0</v>
      </c>
    </row>
    <row r="100" spans="1:48" x14ac:dyDescent="0.25">
      <c r="A100" s="22" t="s">
        <v>342</v>
      </c>
      <c r="B100" s="22" t="s">
        <v>62</v>
      </c>
      <c r="C100" s="22">
        <v>28</v>
      </c>
      <c r="D100" s="22">
        <v>75</v>
      </c>
      <c r="E100" s="22">
        <v>50</v>
      </c>
      <c r="F100" s="22">
        <v>17</v>
      </c>
      <c r="G100" s="6">
        <v>0.09</v>
      </c>
      <c r="H100" s="22">
        <v>45</v>
      </c>
      <c r="I100" s="22"/>
      <c r="J100" s="22"/>
      <c r="K100" s="22">
        <v>96</v>
      </c>
      <c r="L100" s="22">
        <f t="shared" si="21"/>
        <v>-46</v>
      </c>
      <c r="M100" s="22">
        <f t="shared" si="22"/>
        <v>50</v>
      </c>
      <c r="N100" s="22"/>
      <c r="O100" s="22"/>
      <c r="P100" s="22" t="s">
        <v>343</v>
      </c>
      <c r="Q100" s="22">
        <v>41.599999999999987</v>
      </c>
      <c r="R100" s="22"/>
      <c r="S100" s="22"/>
      <c r="T100" s="22">
        <v>0</v>
      </c>
      <c r="U100" s="17"/>
      <c r="V100" s="22"/>
      <c r="W100" s="22"/>
      <c r="X100" s="17"/>
      <c r="Y100" s="17"/>
      <c r="Z100" s="22"/>
      <c r="AA100" s="22">
        <f t="shared" si="23"/>
        <v>10</v>
      </c>
      <c r="AB100" s="4">
        <f>12.5*AA100-V100-T100-S100-R100-Q100-O100-F100</f>
        <v>66.400000000000006</v>
      </c>
      <c r="AC100" s="4">
        <f t="shared" si="29"/>
        <v>66.400000000000006</v>
      </c>
      <c r="AD100" s="4"/>
      <c r="AE100" s="4"/>
      <c r="AF100" s="22"/>
      <c r="AG100" s="22">
        <f t="shared" si="24"/>
        <v>12.5</v>
      </c>
      <c r="AH100" s="22">
        <f t="shared" si="25"/>
        <v>5.8599999999999985</v>
      </c>
      <c r="AI100" s="22">
        <v>8.1999999999999993</v>
      </c>
      <c r="AJ100" s="22">
        <v>7.6</v>
      </c>
      <c r="AK100" s="22">
        <v>7.2</v>
      </c>
      <c r="AL100" s="22">
        <v>5.2</v>
      </c>
      <c r="AM100" s="22">
        <v>4</v>
      </c>
      <c r="AN100" s="22">
        <v>2</v>
      </c>
      <c r="AO100" s="22">
        <v>0</v>
      </c>
      <c r="AP100" s="22">
        <v>0</v>
      </c>
      <c r="AQ100" s="22">
        <v>0</v>
      </c>
      <c r="AR100" s="22">
        <v>0</v>
      </c>
      <c r="AS100" s="22"/>
      <c r="AT100" s="22">
        <f t="shared" si="26"/>
        <v>6</v>
      </c>
      <c r="AU100" s="22">
        <f t="shared" si="27"/>
        <v>0</v>
      </c>
      <c r="AV100" s="22">
        <f t="shared" si="28"/>
        <v>0</v>
      </c>
    </row>
    <row r="101" spans="1:48" x14ac:dyDescent="0.25">
      <c r="A101" s="22" t="s">
        <v>344</v>
      </c>
      <c r="B101" s="22" t="s">
        <v>52</v>
      </c>
      <c r="C101" s="22">
        <v>86.429000000000002</v>
      </c>
      <c r="D101" s="22">
        <v>2.7349999999999999</v>
      </c>
      <c r="E101" s="22">
        <v>10.835000000000001</v>
      </c>
      <c r="F101" s="22">
        <v>71.524000000000001</v>
      </c>
      <c r="G101" s="6">
        <v>1</v>
      </c>
      <c r="H101" s="22">
        <v>55</v>
      </c>
      <c r="I101" s="22"/>
      <c r="J101" s="22"/>
      <c r="K101" s="22">
        <v>14.5</v>
      </c>
      <c r="L101" s="22">
        <f t="shared" si="21"/>
        <v>-3.6649999999999991</v>
      </c>
      <c r="M101" s="22">
        <f t="shared" si="22"/>
        <v>10.835000000000001</v>
      </c>
      <c r="N101" s="22"/>
      <c r="O101" s="22"/>
      <c r="P101" s="22"/>
      <c r="Q101" s="22">
        <v>0</v>
      </c>
      <c r="R101" s="22"/>
      <c r="S101" s="22"/>
      <c r="T101" s="22">
        <v>0</v>
      </c>
      <c r="U101" s="17"/>
      <c r="V101" s="22"/>
      <c r="W101" s="22"/>
      <c r="X101" s="17"/>
      <c r="Y101" s="17"/>
      <c r="Z101" s="22"/>
      <c r="AA101" s="22">
        <f t="shared" si="23"/>
        <v>2.1670000000000003</v>
      </c>
      <c r="AB101" s="4"/>
      <c r="AC101" s="4">
        <f t="shared" si="29"/>
        <v>0</v>
      </c>
      <c r="AD101" s="4"/>
      <c r="AE101" s="4"/>
      <c r="AF101" s="22"/>
      <c r="AG101" s="22">
        <f t="shared" si="24"/>
        <v>33.005999077065063</v>
      </c>
      <c r="AH101" s="22">
        <f t="shared" si="25"/>
        <v>33.005999077065063</v>
      </c>
      <c r="AI101" s="22">
        <v>0.80959999999999999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0</v>
      </c>
      <c r="AR101" s="22">
        <v>0</v>
      </c>
      <c r="AS101" s="10" t="s">
        <v>200</v>
      </c>
      <c r="AT101" s="22">
        <f t="shared" si="26"/>
        <v>0</v>
      </c>
      <c r="AU101" s="22">
        <f t="shared" si="27"/>
        <v>0</v>
      </c>
      <c r="AV101" s="22">
        <f t="shared" si="28"/>
        <v>0</v>
      </c>
    </row>
    <row r="102" spans="1:48" x14ac:dyDescent="0.25">
      <c r="A102" s="22" t="s">
        <v>345</v>
      </c>
      <c r="B102" s="22" t="s">
        <v>52</v>
      </c>
      <c r="C102" s="22">
        <v>93.954999999999998</v>
      </c>
      <c r="D102" s="22">
        <v>66.760000000000005</v>
      </c>
      <c r="E102" s="22">
        <v>57.920999999999999</v>
      </c>
      <c r="F102" s="22">
        <v>94.509</v>
      </c>
      <c r="G102" s="6">
        <v>1</v>
      </c>
      <c r="H102" s="22">
        <v>60</v>
      </c>
      <c r="I102" s="22" t="s">
        <v>346</v>
      </c>
      <c r="J102" s="22"/>
      <c r="K102" s="22">
        <v>60</v>
      </c>
      <c r="L102" s="22">
        <f t="shared" ref="L102:L114" si="30">E102-K102</f>
        <v>-2.0790000000000006</v>
      </c>
      <c r="M102" s="22">
        <f t="shared" ref="M102:M114" si="31">E102-N102</f>
        <v>57.920999999999999</v>
      </c>
      <c r="N102" s="22"/>
      <c r="O102" s="22"/>
      <c r="P102" s="22" t="s">
        <v>347</v>
      </c>
      <c r="Q102" s="22">
        <v>0</v>
      </c>
      <c r="R102" s="22"/>
      <c r="S102" s="22"/>
      <c r="T102" s="22">
        <v>0</v>
      </c>
      <c r="U102" s="17"/>
      <c r="V102" s="22"/>
      <c r="W102" s="22"/>
      <c r="X102" s="17"/>
      <c r="Y102" s="17"/>
      <c r="Z102" s="22"/>
      <c r="AA102" s="22">
        <f t="shared" ref="AA102:AA114" si="32">M102/5</f>
        <v>11.584199999999999</v>
      </c>
      <c r="AB102" s="4">
        <f>12.5*AA102-V102-T102-S102-R102-Q102-O102-F102</f>
        <v>50.29349999999998</v>
      </c>
      <c r="AC102" s="4">
        <f t="shared" si="29"/>
        <v>50.29349999999998</v>
      </c>
      <c r="AD102" s="4"/>
      <c r="AE102" s="4"/>
      <c r="AF102" s="22"/>
      <c r="AG102" s="22">
        <f t="shared" ref="AG102:AG114" si="33">(F102+O102+Q102+R102+S102+T102+U102+V102+W102+X102+Y102+AC102+AD102+AE102)/AA102</f>
        <v>12.5</v>
      </c>
      <c r="AH102" s="22">
        <f t="shared" ref="AH102:AH114" si="34">(F102+O102+Q102+R102+S102+T102+U102+V102+W102+X102+Y102)/AA102</f>
        <v>8.1584399440617403</v>
      </c>
      <c r="AI102" s="22">
        <v>9.4443999999999999</v>
      </c>
      <c r="AJ102" s="22">
        <v>10.747999999999999</v>
      </c>
      <c r="AK102" s="22">
        <v>14.030799999999999</v>
      </c>
      <c r="AL102" s="22">
        <v>8.6370000000000005</v>
      </c>
      <c r="AM102" s="22">
        <v>10.106199999999999</v>
      </c>
      <c r="AN102" s="22">
        <v>14.573</v>
      </c>
      <c r="AO102" s="22">
        <v>12.059799999999999</v>
      </c>
      <c r="AP102" s="22">
        <v>8.6370000000000005</v>
      </c>
      <c r="AQ102" s="22">
        <v>17.559000000000001</v>
      </c>
      <c r="AR102" s="22">
        <v>22.036200000000001</v>
      </c>
      <c r="AS102" s="22"/>
      <c r="AT102" s="22">
        <f t="shared" ref="AT102:AT114" si="35">ROUND(G102*AC102,0)</f>
        <v>50</v>
      </c>
      <c r="AU102" s="22">
        <f t="shared" ref="AU102:AU114" si="36">ROUND(G102*AD102,0)</f>
        <v>0</v>
      </c>
      <c r="AV102" s="22">
        <f t="shared" ref="AV102:AV114" si="37">ROUND(G102*AE102,0)</f>
        <v>0</v>
      </c>
    </row>
    <row r="103" spans="1:48" x14ac:dyDescent="0.25">
      <c r="A103" s="22" t="s">
        <v>348</v>
      </c>
      <c r="B103" s="22" t="s">
        <v>52</v>
      </c>
      <c r="C103" s="22">
        <v>234.40100000000001</v>
      </c>
      <c r="D103" s="22">
        <v>10.101000000000001</v>
      </c>
      <c r="E103" s="22">
        <v>35.856000000000002</v>
      </c>
      <c r="F103" s="22">
        <v>169.88399999999999</v>
      </c>
      <c r="G103" s="6">
        <v>1</v>
      </c>
      <c r="H103" s="22">
        <v>50</v>
      </c>
      <c r="I103" s="22" t="s">
        <v>349</v>
      </c>
      <c r="J103" s="22"/>
      <c r="K103" s="22">
        <v>40</v>
      </c>
      <c r="L103" s="22">
        <f t="shared" si="30"/>
        <v>-4.1439999999999984</v>
      </c>
      <c r="M103" s="22">
        <f t="shared" si="31"/>
        <v>35.856000000000002</v>
      </c>
      <c r="N103" s="22"/>
      <c r="O103" s="22"/>
      <c r="P103" s="22" t="s">
        <v>350</v>
      </c>
      <c r="Q103" s="22">
        <v>0</v>
      </c>
      <c r="R103" s="22"/>
      <c r="S103" s="22"/>
      <c r="T103" s="22">
        <v>0</v>
      </c>
      <c r="U103" s="17"/>
      <c r="V103" s="22"/>
      <c r="W103" s="22"/>
      <c r="X103" s="17"/>
      <c r="Y103" s="17"/>
      <c r="Z103" s="22"/>
      <c r="AA103" s="22">
        <f t="shared" si="32"/>
        <v>7.1712000000000007</v>
      </c>
      <c r="AB103" s="4"/>
      <c r="AC103" s="4">
        <f t="shared" si="29"/>
        <v>0</v>
      </c>
      <c r="AD103" s="4"/>
      <c r="AE103" s="4"/>
      <c r="AF103" s="22"/>
      <c r="AG103" s="22">
        <f t="shared" si="33"/>
        <v>23.689759036144576</v>
      </c>
      <c r="AH103" s="22">
        <f t="shared" si="34"/>
        <v>23.689759036144576</v>
      </c>
      <c r="AI103" s="22">
        <v>8.8970000000000002</v>
      </c>
      <c r="AJ103" s="22">
        <v>7.3335999999999997</v>
      </c>
      <c r="AK103" s="22">
        <v>4.6264000000000003</v>
      </c>
      <c r="AL103" s="22">
        <v>9.5132000000000012</v>
      </c>
      <c r="AM103" s="22">
        <v>20.629000000000001</v>
      </c>
      <c r="AN103" s="22">
        <v>24.804400000000001</v>
      </c>
      <c r="AO103" s="22">
        <v>17.557400000000001</v>
      </c>
      <c r="AP103" s="22">
        <v>6.492</v>
      </c>
      <c r="AQ103" s="22">
        <v>11.9696</v>
      </c>
      <c r="AR103" s="22">
        <v>26.448</v>
      </c>
      <c r="AS103" s="10" t="s">
        <v>200</v>
      </c>
      <c r="AT103" s="22">
        <f t="shared" si="35"/>
        <v>0</v>
      </c>
      <c r="AU103" s="22">
        <f t="shared" si="36"/>
        <v>0</v>
      </c>
      <c r="AV103" s="22">
        <f t="shared" si="37"/>
        <v>0</v>
      </c>
    </row>
    <row r="104" spans="1:48" x14ac:dyDescent="0.25">
      <c r="A104" s="22" t="s">
        <v>351</v>
      </c>
      <c r="B104" s="22" t="s">
        <v>62</v>
      </c>
      <c r="C104" s="22">
        <v>12</v>
      </c>
      <c r="D104" s="22">
        <v>65</v>
      </c>
      <c r="E104" s="22">
        <v>32</v>
      </c>
      <c r="F104" s="22">
        <v>8</v>
      </c>
      <c r="G104" s="6">
        <v>0.09</v>
      </c>
      <c r="H104" s="22">
        <v>45</v>
      </c>
      <c r="I104" s="22"/>
      <c r="J104" s="22"/>
      <c r="K104" s="22">
        <v>95</v>
      </c>
      <c r="L104" s="22">
        <f t="shared" si="30"/>
        <v>-63</v>
      </c>
      <c r="M104" s="22">
        <f t="shared" si="31"/>
        <v>32</v>
      </c>
      <c r="N104" s="22"/>
      <c r="O104" s="22"/>
      <c r="P104" s="22" t="s">
        <v>352</v>
      </c>
      <c r="Q104" s="22">
        <v>91.4</v>
      </c>
      <c r="R104" s="22"/>
      <c r="S104" s="22"/>
      <c r="T104" s="22">
        <v>0</v>
      </c>
      <c r="U104" s="17"/>
      <c r="V104" s="22"/>
      <c r="W104" s="22"/>
      <c r="X104" s="17"/>
      <c r="Y104" s="17"/>
      <c r="Z104" s="22"/>
      <c r="AA104" s="22">
        <f t="shared" si="32"/>
        <v>6.4</v>
      </c>
      <c r="AB104" s="4"/>
      <c r="AC104" s="4">
        <f t="shared" si="29"/>
        <v>0</v>
      </c>
      <c r="AD104" s="4"/>
      <c r="AE104" s="4"/>
      <c r="AF104" s="22"/>
      <c r="AG104" s="22">
        <f t="shared" si="33"/>
        <v>15.53125</v>
      </c>
      <c r="AH104" s="22">
        <f t="shared" si="34"/>
        <v>15.53125</v>
      </c>
      <c r="AI104" s="22">
        <v>8.1999999999999993</v>
      </c>
      <c r="AJ104" s="22">
        <v>9</v>
      </c>
      <c r="AK104" s="22">
        <v>5.6</v>
      </c>
      <c r="AL104" s="22">
        <v>3</v>
      </c>
      <c r="AM104" s="22">
        <v>3</v>
      </c>
      <c r="AN104" s="22">
        <v>2</v>
      </c>
      <c r="AO104" s="22">
        <v>0</v>
      </c>
      <c r="AP104" s="22">
        <v>0</v>
      </c>
      <c r="AQ104" s="22">
        <v>0</v>
      </c>
      <c r="AR104" s="22">
        <v>0</v>
      </c>
      <c r="AS104" s="22"/>
      <c r="AT104" s="22">
        <f t="shared" si="35"/>
        <v>0</v>
      </c>
      <c r="AU104" s="22">
        <f t="shared" si="36"/>
        <v>0</v>
      </c>
      <c r="AV104" s="22">
        <f t="shared" si="37"/>
        <v>0</v>
      </c>
    </row>
    <row r="105" spans="1:48" x14ac:dyDescent="0.25">
      <c r="A105" s="22" t="s">
        <v>353</v>
      </c>
      <c r="B105" s="22" t="s">
        <v>62</v>
      </c>
      <c r="C105" s="22">
        <v>2</v>
      </c>
      <c r="D105" s="22">
        <v>9</v>
      </c>
      <c r="E105" s="22">
        <v>1</v>
      </c>
      <c r="F105" s="22">
        <v>1</v>
      </c>
      <c r="G105" s="6">
        <v>0.09</v>
      </c>
      <c r="H105" s="22">
        <v>45</v>
      </c>
      <c r="I105" s="22"/>
      <c r="J105" s="22"/>
      <c r="K105" s="22">
        <v>47</v>
      </c>
      <c r="L105" s="22">
        <f t="shared" si="30"/>
        <v>-46</v>
      </c>
      <c r="M105" s="22">
        <f t="shared" si="31"/>
        <v>1</v>
      </c>
      <c r="N105" s="22"/>
      <c r="O105" s="22"/>
      <c r="P105" s="22" t="s">
        <v>355</v>
      </c>
      <c r="Q105" s="22">
        <v>81.599999999999994</v>
      </c>
      <c r="R105" s="22"/>
      <c r="S105" s="22"/>
      <c r="T105" s="22">
        <v>30</v>
      </c>
      <c r="U105" s="17"/>
      <c r="V105" s="22"/>
      <c r="W105" s="22"/>
      <c r="X105" s="17"/>
      <c r="Y105" s="17"/>
      <c r="Z105" s="22"/>
      <c r="AA105" s="22">
        <f t="shared" si="32"/>
        <v>0.2</v>
      </c>
      <c r="AB105" s="4"/>
      <c r="AC105" s="4">
        <f t="shared" si="29"/>
        <v>0</v>
      </c>
      <c r="AD105" s="4"/>
      <c r="AE105" s="4"/>
      <c r="AF105" s="22"/>
      <c r="AG105" s="22">
        <f t="shared" si="33"/>
        <v>562.99999999999989</v>
      </c>
      <c r="AH105" s="22">
        <f t="shared" si="34"/>
        <v>562.99999999999989</v>
      </c>
      <c r="AI105" s="22">
        <v>6</v>
      </c>
      <c r="AJ105" s="22">
        <v>8</v>
      </c>
      <c r="AK105" s="22">
        <v>5.4</v>
      </c>
      <c r="AL105" s="22">
        <v>3.2</v>
      </c>
      <c r="AM105" s="22">
        <v>2</v>
      </c>
      <c r="AN105" s="22">
        <v>2</v>
      </c>
      <c r="AO105" s="22">
        <v>0</v>
      </c>
      <c r="AP105" s="22">
        <v>0</v>
      </c>
      <c r="AQ105" s="22">
        <v>0</v>
      </c>
      <c r="AR105" s="22">
        <v>0</v>
      </c>
      <c r="AS105" s="22" t="s">
        <v>354</v>
      </c>
      <c r="AT105" s="22">
        <f t="shared" si="35"/>
        <v>0</v>
      </c>
      <c r="AU105" s="22">
        <f t="shared" si="36"/>
        <v>0</v>
      </c>
      <c r="AV105" s="22">
        <f t="shared" si="37"/>
        <v>0</v>
      </c>
    </row>
    <row r="106" spans="1:48" x14ac:dyDescent="0.25">
      <c r="A106" s="22" t="s">
        <v>356</v>
      </c>
      <c r="B106" s="22" t="s">
        <v>52</v>
      </c>
      <c r="C106" s="22">
        <v>224.30099999999999</v>
      </c>
      <c r="D106" s="22">
        <v>363.25200000000001</v>
      </c>
      <c r="E106" s="22">
        <v>49.552999999999997</v>
      </c>
      <c r="F106" s="22">
        <v>535.24300000000005</v>
      </c>
      <c r="G106" s="6">
        <v>1</v>
      </c>
      <c r="H106" s="22">
        <v>60</v>
      </c>
      <c r="I106" s="22" t="s">
        <v>357</v>
      </c>
      <c r="J106" s="22"/>
      <c r="K106" s="22">
        <v>50.384999999999998</v>
      </c>
      <c r="L106" s="22">
        <f t="shared" si="30"/>
        <v>-0.83200000000000074</v>
      </c>
      <c r="M106" s="22">
        <f t="shared" si="31"/>
        <v>49.552999999999997</v>
      </c>
      <c r="N106" s="22"/>
      <c r="O106" s="22"/>
      <c r="P106" s="22" t="s">
        <v>359</v>
      </c>
      <c r="Q106" s="22">
        <v>0</v>
      </c>
      <c r="R106" s="22"/>
      <c r="S106" s="22"/>
      <c r="T106" s="22">
        <v>0</v>
      </c>
      <c r="U106" s="17"/>
      <c r="V106" s="22"/>
      <c r="W106" s="22"/>
      <c r="X106" s="17"/>
      <c r="Y106" s="17"/>
      <c r="Z106" s="22"/>
      <c r="AA106" s="22">
        <f t="shared" si="32"/>
        <v>9.9105999999999987</v>
      </c>
      <c r="AB106" s="4"/>
      <c r="AC106" s="4">
        <f t="shared" si="29"/>
        <v>0</v>
      </c>
      <c r="AD106" s="4"/>
      <c r="AE106" s="4"/>
      <c r="AF106" s="22"/>
      <c r="AG106" s="22">
        <f t="shared" si="33"/>
        <v>54.007123685750621</v>
      </c>
      <c r="AH106" s="22">
        <f t="shared" si="34"/>
        <v>54.007123685750621</v>
      </c>
      <c r="AI106" s="22">
        <v>11.642799999999999</v>
      </c>
      <c r="AJ106" s="22">
        <v>11.3886</v>
      </c>
      <c r="AK106" s="22">
        <v>6.3688000000000002</v>
      </c>
      <c r="AL106" s="22">
        <v>0</v>
      </c>
      <c r="AM106" s="22">
        <v>0.2742</v>
      </c>
      <c r="AN106" s="22">
        <v>0.2742</v>
      </c>
      <c r="AO106" s="22">
        <v>0</v>
      </c>
      <c r="AP106" s="22">
        <v>1.9238</v>
      </c>
      <c r="AQ106" s="22">
        <v>15.334</v>
      </c>
      <c r="AR106" s="22">
        <v>10.6714</v>
      </c>
      <c r="AS106" s="14" t="s">
        <v>358</v>
      </c>
      <c r="AT106" s="22">
        <f t="shared" si="35"/>
        <v>0</v>
      </c>
      <c r="AU106" s="22">
        <f t="shared" si="36"/>
        <v>0</v>
      </c>
      <c r="AV106" s="22">
        <f t="shared" si="37"/>
        <v>0</v>
      </c>
    </row>
    <row r="107" spans="1:48" x14ac:dyDescent="0.25">
      <c r="A107" s="22" t="s">
        <v>360</v>
      </c>
      <c r="B107" s="22" t="s">
        <v>52</v>
      </c>
      <c r="C107" s="22">
        <v>508.59500000000003</v>
      </c>
      <c r="D107" s="22">
        <v>746.93399999999997</v>
      </c>
      <c r="E107" s="22">
        <v>554.16700000000003</v>
      </c>
      <c r="F107" s="22">
        <v>422.17599999999999</v>
      </c>
      <c r="G107" s="6">
        <v>1</v>
      </c>
      <c r="H107" s="22">
        <v>60</v>
      </c>
      <c r="I107" s="22" t="s">
        <v>361</v>
      </c>
      <c r="J107" s="22"/>
      <c r="K107" s="22">
        <v>575.11199999999997</v>
      </c>
      <c r="L107" s="22">
        <f t="shared" si="30"/>
        <v>-20.944999999999936</v>
      </c>
      <c r="M107" s="22">
        <f t="shared" si="31"/>
        <v>554.16700000000003</v>
      </c>
      <c r="N107" s="22"/>
      <c r="O107" s="22"/>
      <c r="P107" s="22" t="s">
        <v>362</v>
      </c>
      <c r="Q107" s="22">
        <v>228.1225629999999</v>
      </c>
      <c r="R107" s="22"/>
      <c r="S107" s="22">
        <v>100</v>
      </c>
      <c r="T107" s="22">
        <v>276.86043700000022</v>
      </c>
      <c r="U107" s="17"/>
      <c r="V107" s="22"/>
      <c r="W107" s="22"/>
      <c r="X107" s="17"/>
      <c r="Y107" s="17"/>
      <c r="Z107" s="22"/>
      <c r="AA107" s="22">
        <f t="shared" si="32"/>
        <v>110.83340000000001</v>
      </c>
      <c r="AB107" s="4">
        <f>12.5*AA107-V107-T107-S107-R107-Q107-O107-F107+$AB$1*AA107</f>
        <v>286.21679000000006</v>
      </c>
      <c r="AC107" s="4">
        <f t="shared" si="29"/>
        <v>286.21679000000006</v>
      </c>
      <c r="AD107" s="4"/>
      <c r="AE107" s="4"/>
      <c r="AF107" s="22"/>
      <c r="AG107" s="22">
        <f t="shared" si="33"/>
        <v>11.85</v>
      </c>
      <c r="AH107" s="22">
        <f t="shared" si="34"/>
        <v>9.267594425507113</v>
      </c>
      <c r="AI107" s="22">
        <v>111.65</v>
      </c>
      <c r="AJ107" s="22">
        <v>111.2154</v>
      </c>
      <c r="AK107" s="22">
        <v>108.0656</v>
      </c>
      <c r="AL107" s="22">
        <v>110.3446</v>
      </c>
      <c r="AM107" s="22">
        <v>88.266400000000004</v>
      </c>
      <c r="AN107" s="22">
        <v>50.457000000000001</v>
      </c>
      <c r="AO107" s="22">
        <v>79.408600000000007</v>
      </c>
      <c r="AP107" s="22">
        <v>43.247599999999998</v>
      </c>
      <c r="AQ107" s="22">
        <v>66.809400000000011</v>
      </c>
      <c r="AR107" s="22">
        <v>66.981399999999994</v>
      </c>
      <c r="AS107" s="22"/>
      <c r="AT107" s="22">
        <f t="shared" si="35"/>
        <v>286</v>
      </c>
      <c r="AU107" s="22">
        <f t="shared" si="36"/>
        <v>0</v>
      </c>
      <c r="AV107" s="22">
        <f t="shared" si="37"/>
        <v>0</v>
      </c>
    </row>
    <row r="108" spans="1:48" x14ac:dyDescent="0.25">
      <c r="A108" s="22" t="s">
        <v>363</v>
      </c>
      <c r="B108" s="22" t="s">
        <v>52</v>
      </c>
      <c r="C108" s="22">
        <v>231.87899999999999</v>
      </c>
      <c r="D108" s="22">
        <v>271.69</v>
      </c>
      <c r="E108" s="22">
        <v>34.264000000000003</v>
      </c>
      <c r="F108" s="22">
        <v>449.87900000000002</v>
      </c>
      <c r="G108" s="6">
        <v>1</v>
      </c>
      <c r="H108" s="22">
        <v>60</v>
      </c>
      <c r="I108" s="22" t="s">
        <v>364</v>
      </c>
      <c r="J108" s="22"/>
      <c r="K108" s="22">
        <v>37.9</v>
      </c>
      <c r="L108" s="22">
        <f t="shared" si="30"/>
        <v>-3.6359999999999957</v>
      </c>
      <c r="M108" s="22">
        <f t="shared" si="31"/>
        <v>34.264000000000003</v>
      </c>
      <c r="N108" s="22"/>
      <c r="O108" s="22"/>
      <c r="P108" s="22" t="s">
        <v>366</v>
      </c>
      <c r="Q108" s="22">
        <v>0</v>
      </c>
      <c r="R108" s="22"/>
      <c r="S108" s="22"/>
      <c r="T108" s="22">
        <v>0</v>
      </c>
      <c r="U108" s="17"/>
      <c r="V108" s="22"/>
      <c r="W108" s="22"/>
      <c r="X108" s="17"/>
      <c r="Y108" s="17"/>
      <c r="Z108" s="22"/>
      <c r="AA108" s="22">
        <f t="shared" si="32"/>
        <v>6.8528000000000002</v>
      </c>
      <c r="AB108" s="4"/>
      <c r="AC108" s="4">
        <f t="shared" si="29"/>
        <v>0</v>
      </c>
      <c r="AD108" s="4"/>
      <c r="AE108" s="4"/>
      <c r="AF108" s="22"/>
      <c r="AG108" s="22">
        <f t="shared" si="33"/>
        <v>65.648931823488212</v>
      </c>
      <c r="AH108" s="22">
        <f t="shared" si="34"/>
        <v>65.648931823488212</v>
      </c>
      <c r="AI108" s="22">
        <v>7.9191999999999991</v>
      </c>
      <c r="AJ108" s="22">
        <v>6.2633999999999999</v>
      </c>
      <c r="AK108" s="22">
        <v>4.6247999999999996</v>
      </c>
      <c r="AL108" s="22">
        <v>1.9012</v>
      </c>
      <c r="AM108" s="22">
        <v>0.27400000000000002</v>
      </c>
      <c r="AN108" s="22">
        <v>0</v>
      </c>
      <c r="AO108" s="22">
        <v>0.54699999999999993</v>
      </c>
      <c r="AP108" s="22">
        <v>1.3692</v>
      </c>
      <c r="AQ108" s="22">
        <v>0.8276</v>
      </c>
      <c r="AR108" s="22">
        <v>1.8240000000000001</v>
      </c>
      <c r="AS108" s="14" t="s">
        <v>365</v>
      </c>
      <c r="AT108" s="22">
        <f t="shared" si="35"/>
        <v>0</v>
      </c>
      <c r="AU108" s="22">
        <f t="shared" si="36"/>
        <v>0</v>
      </c>
      <c r="AV108" s="22">
        <f t="shared" si="37"/>
        <v>0</v>
      </c>
    </row>
    <row r="109" spans="1:48" x14ac:dyDescent="0.25">
      <c r="A109" s="16" t="s">
        <v>367</v>
      </c>
      <c r="B109" s="22" t="s">
        <v>52</v>
      </c>
      <c r="C109" s="22">
        <v>1848</v>
      </c>
      <c r="D109" s="22">
        <v>184.03</v>
      </c>
      <c r="E109" s="22">
        <v>1115.9059999999999</v>
      </c>
      <c r="F109" s="22">
        <v>727.64700000000005</v>
      </c>
      <c r="G109" s="6">
        <v>1</v>
      </c>
      <c r="H109" s="22">
        <v>60</v>
      </c>
      <c r="I109" s="22" t="s">
        <v>368</v>
      </c>
      <c r="J109" s="22"/>
      <c r="K109" s="22">
        <v>1184.3</v>
      </c>
      <c r="L109" s="22">
        <f t="shared" si="30"/>
        <v>-68.394000000000005</v>
      </c>
      <c r="M109" s="22">
        <f t="shared" si="31"/>
        <v>1115.9059999999999</v>
      </c>
      <c r="N109" s="22"/>
      <c r="O109" s="22"/>
      <c r="P109" s="22" t="s">
        <v>370</v>
      </c>
      <c r="Q109" s="22">
        <v>0</v>
      </c>
      <c r="R109" s="22"/>
      <c r="S109" s="22"/>
      <c r="T109" s="22">
        <v>266.92666560000009</v>
      </c>
      <c r="U109" s="17">
        <v>400</v>
      </c>
      <c r="V109" s="22">
        <v>271.23193440000011</v>
      </c>
      <c r="W109" s="22"/>
      <c r="X109" s="17">
        <v>900</v>
      </c>
      <c r="Y109" s="17"/>
      <c r="Z109" s="22"/>
      <c r="AA109" s="22">
        <f t="shared" si="32"/>
        <v>223.18119999999999</v>
      </c>
      <c r="AB109" s="4">
        <f>12.5*AA109-V109-T109-S109-R109-Q109-O109-F109</f>
        <v>1523.9593999999997</v>
      </c>
      <c r="AC109" s="4">
        <f t="shared" si="29"/>
        <v>1023.9593999999997</v>
      </c>
      <c r="AD109" s="4"/>
      <c r="AE109" s="4">
        <v>500</v>
      </c>
      <c r="AF109" s="22"/>
      <c r="AG109" s="22">
        <f t="shared" si="33"/>
        <v>18.324863384550312</v>
      </c>
      <c r="AH109" s="22">
        <f t="shared" si="34"/>
        <v>11.496513147164727</v>
      </c>
      <c r="AI109" s="22">
        <v>152.50559999999999</v>
      </c>
      <c r="AJ109" s="22">
        <v>24.672599999999999</v>
      </c>
      <c r="AK109" s="22">
        <v>20.073399999999999</v>
      </c>
      <c r="AL109" s="22">
        <v>94.601399999999998</v>
      </c>
      <c r="AM109" s="22">
        <v>159.07579999999999</v>
      </c>
      <c r="AN109" s="22">
        <v>185.3526</v>
      </c>
      <c r="AO109" s="22">
        <v>199.28919999999999</v>
      </c>
      <c r="AP109" s="22">
        <v>315.32100000000003</v>
      </c>
      <c r="AQ109" s="22">
        <v>286.202</v>
      </c>
      <c r="AR109" s="22">
        <v>141.9708</v>
      </c>
      <c r="AS109" s="22" t="s">
        <v>369</v>
      </c>
      <c r="AT109" s="22">
        <f t="shared" si="35"/>
        <v>1024</v>
      </c>
      <c r="AU109" s="22">
        <f t="shared" si="36"/>
        <v>0</v>
      </c>
      <c r="AV109" s="22">
        <f t="shared" si="37"/>
        <v>500</v>
      </c>
    </row>
    <row r="110" spans="1:48" x14ac:dyDescent="0.25">
      <c r="A110" s="22" t="s">
        <v>371</v>
      </c>
      <c r="B110" s="22" t="s">
        <v>62</v>
      </c>
      <c r="C110" s="22">
        <v>288</v>
      </c>
      <c r="D110" s="22">
        <v>234</v>
      </c>
      <c r="E110" s="22">
        <v>157</v>
      </c>
      <c r="F110" s="22">
        <v>209</v>
      </c>
      <c r="G110" s="6">
        <v>0.3</v>
      </c>
      <c r="H110" s="22">
        <v>40</v>
      </c>
      <c r="I110" s="22" t="s">
        <v>372</v>
      </c>
      <c r="J110" s="22"/>
      <c r="K110" s="22">
        <v>188</v>
      </c>
      <c r="L110" s="22">
        <f t="shared" si="30"/>
        <v>-31</v>
      </c>
      <c r="M110" s="22">
        <f t="shared" si="31"/>
        <v>157</v>
      </c>
      <c r="N110" s="22"/>
      <c r="O110" s="22"/>
      <c r="P110" s="22" t="s">
        <v>373</v>
      </c>
      <c r="Q110" s="22">
        <v>21.00000000000006</v>
      </c>
      <c r="R110" s="22"/>
      <c r="S110" s="22"/>
      <c r="T110" s="22">
        <v>81.799999999999898</v>
      </c>
      <c r="U110" s="17"/>
      <c r="V110" s="22"/>
      <c r="W110" s="22"/>
      <c r="X110" s="17"/>
      <c r="Y110" s="17"/>
      <c r="Z110" s="22"/>
      <c r="AA110" s="22">
        <f t="shared" si="32"/>
        <v>31.4</v>
      </c>
      <c r="AB110" s="4">
        <f>12.5*AA110-V110-T110-S110-R110-Q110-O110-F110</f>
        <v>80.700000000000045</v>
      </c>
      <c r="AC110" s="4">
        <f t="shared" si="29"/>
        <v>80.700000000000045</v>
      </c>
      <c r="AD110" s="4"/>
      <c r="AE110" s="4"/>
      <c r="AF110" s="22"/>
      <c r="AG110" s="22">
        <f t="shared" si="33"/>
        <v>12.5</v>
      </c>
      <c r="AH110" s="22">
        <f t="shared" si="34"/>
        <v>9.9299363057324825</v>
      </c>
      <c r="AI110" s="22">
        <v>32.799999999999997</v>
      </c>
      <c r="AJ110" s="22">
        <v>29.8</v>
      </c>
      <c r="AK110" s="22">
        <v>35.799999999999997</v>
      </c>
      <c r="AL110" s="22">
        <v>35.6</v>
      </c>
      <c r="AM110" s="22">
        <v>31</v>
      </c>
      <c r="AN110" s="22">
        <v>35.799999999999997</v>
      </c>
      <c r="AO110" s="22">
        <v>40</v>
      </c>
      <c r="AP110" s="22">
        <v>28.6</v>
      </c>
      <c r="AQ110" s="22">
        <v>33.799999999999997</v>
      </c>
      <c r="AR110" s="22">
        <v>35.4</v>
      </c>
      <c r="AS110" s="22"/>
      <c r="AT110" s="22">
        <f t="shared" si="35"/>
        <v>24</v>
      </c>
      <c r="AU110" s="22">
        <f t="shared" si="36"/>
        <v>0</v>
      </c>
      <c r="AV110" s="22">
        <f t="shared" si="37"/>
        <v>0</v>
      </c>
    </row>
    <row r="111" spans="1:48" x14ac:dyDescent="0.25">
      <c r="A111" s="22" t="s">
        <v>374</v>
      </c>
      <c r="B111" s="22" t="s">
        <v>62</v>
      </c>
      <c r="C111" s="22">
        <v>214</v>
      </c>
      <c r="D111" s="22">
        <v>79</v>
      </c>
      <c r="E111" s="22">
        <v>129</v>
      </c>
      <c r="F111" s="22">
        <v>89</v>
      </c>
      <c r="G111" s="6">
        <v>0.3</v>
      </c>
      <c r="H111" s="22">
        <v>40</v>
      </c>
      <c r="I111" s="22" t="s">
        <v>375</v>
      </c>
      <c r="J111" s="22"/>
      <c r="K111" s="22">
        <v>150</v>
      </c>
      <c r="L111" s="22">
        <f t="shared" si="30"/>
        <v>-21</v>
      </c>
      <c r="M111" s="22">
        <f t="shared" si="31"/>
        <v>129</v>
      </c>
      <c r="N111" s="22"/>
      <c r="O111" s="22"/>
      <c r="P111" s="22" t="s">
        <v>376</v>
      </c>
      <c r="Q111" s="22">
        <v>23.200000000000021</v>
      </c>
      <c r="R111" s="22"/>
      <c r="S111" s="22"/>
      <c r="T111" s="22">
        <v>91.999999999999972</v>
      </c>
      <c r="U111" s="17"/>
      <c r="V111" s="22"/>
      <c r="W111" s="22"/>
      <c r="X111" s="17"/>
      <c r="Y111" s="17"/>
      <c r="Z111" s="22"/>
      <c r="AA111" s="22">
        <f t="shared" si="32"/>
        <v>25.8</v>
      </c>
      <c r="AB111" s="4">
        <f>12.5*AA111-V111-T111-S111-R111-Q111-O111-F111</f>
        <v>118.30000000000001</v>
      </c>
      <c r="AC111" s="4">
        <f t="shared" si="29"/>
        <v>118.30000000000001</v>
      </c>
      <c r="AD111" s="4"/>
      <c r="AE111" s="4"/>
      <c r="AF111" s="22"/>
      <c r="AG111" s="22">
        <f t="shared" si="33"/>
        <v>12.5</v>
      </c>
      <c r="AH111" s="22">
        <f t="shared" si="34"/>
        <v>7.9147286821705416</v>
      </c>
      <c r="AI111" s="22">
        <v>23.2</v>
      </c>
      <c r="AJ111" s="22">
        <v>20.6</v>
      </c>
      <c r="AK111" s="22">
        <v>23.8</v>
      </c>
      <c r="AL111" s="22">
        <v>26.2</v>
      </c>
      <c r="AM111" s="22">
        <v>17.8</v>
      </c>
      <c r="AN111" s="22">
        <v>7.4</v>
      </c>
      <c r="AO111" s="22">
        <v>16</v>
      </c>
      <c r="AP111" s="22">
        <v>17.399999999999999</v>
      </c>
      <c r="AQ111" s="22">
        <v>24.6</v>
      </c>
      <c r="AR111" s="22">
        <v>19.8</v>
      </c>
      <c r="AS111" s="22"/>
      <c r="AT111" s="22">
        <f t="shared" si="35"/>
        <v>35</v>
      </c>
      <c r="AU111" s="22">
        <f t="shared" si="36"/>
        <v>0</v>
      </c>
      <c r="AV111" s="22">
        <f t="shared" si="37"/>
        <v>0</v>
      </c>
    </row>
    <row r="112" spans="1:48" x14ac:dyDescent="0.25">
      <c r="A112" s="22" t="s">
        <v>377</v>
      </c>
      <c r="B112" s="22" t="s">
        <v>52</v>
      </c>
      <c r="C112" s="22">
        <v>190.922</v>
      </c>
      <c r="D112" s="22">
        <v>18.716000000000001</v>
      </c>
      <c r="E112" s="22">
        <v>58.6</v>
      </c>
      <c r="F112" s="22">
        <v>129.42400000000001</v>
      </c>
      <c r="G112" s="6">
        <v>1</v>
      </c>
      <c r="H112" s="22">
        <v>50</v>
      </c>
      <c r="I112" s="22" t="s">
        <v>378</v>
      </c>
      <c r="J112" s="22"/>
      <c r="K112" s="22">
        <v>63.8</v>
      </c>
      <c r="L112" s="22">
        <f t="shared" si="30"/>
        <v>-5.1999999999999957</v>
      </c>
      <c r="M112" s="22">
        <f t="shared" si="31"/>
        <v>58.6</v>
      </c>
      <c r="N112" s="22"/>
      <c r="O112" s="22"/>
      <c r="P112" s="22" t="s">
        <v>379</v>
      </c>
      <c r="Q112" s="22">
        <v>0</v>
      </c>
      <c r="R112" s="22"/>
      <c r="S112" s="22"/>
      <c r="T112" s="22">
        <v>0</v>
      </c>
      <c r="U112" s="17"/>
      <c r="V112" s="22"/>
      <c r="W112" s="22"/>
      <c r="X112" s="17"/>
      <c r="Y112" s="17"/>
      <c r="Z112" s="22"/>
      <c r="AA112" s="22">
        <f t="shared" si="32"/>
        <v>11.72</v>
      </c>
      <c r="AB112" s="4">
        <f>12.5*AA112-V112-T112-S112-R112-Q112-O112-F112</f>
        <v>17.075999999999993</v>
      </c>
      <c r="AC112" s="4">
        <f t="shared" ref="AC112:AC114" si="38">AB112-AD112-AE112</f>
        <v>17.075999999999993</v>
      </c>
      <c r="AD112" s="4"/>
      <c r="AE112" s="4"/>
      <c r="AF112" s="22"/>
      <c r="AG112" s="22">
        <f t="shared" si="33"/>
        <v>12.5</v>
      </c>
      <c r="AH112" s="22">
        <f t="shared" si="34"/>
        <v>11.043003412969282</v>
      </c>
      <c r="AI112" s="22">
        <v>12.3124</v>
      </c>
      <c r="AJ112" s="22">
        <v>10.629799999999999</v>
      </c>
      <c r="AK112" s="22">
        <v>12.518000000000001</v>
      </c>
      <c r="AL112" s="22">
        <v>18.366</v>
      </c>
      <c r="AM112" s="22">
        <v>10.7338</v>
      </c>
      <c r="AN112" s="22">
        <v>3.254</v>
      </c>
      <c r="AO112" s="22">
        <v>12.4718</v>
      </c>
      <c r="AP112" s="22">
        <v>9.9214000000000002</v>
      </c>
      <c r="AQ112" s="22">
        <v>8.9459999999999997</v>
      </c>
      <c r="AR112" s="22">
        <v>7.6662000000000008</v>
      </c>
      <c r="AS112" s="22"/>
      <c r="AT112" s="22">
        <f t="shared" si="35"/>
        <v>17</v>
      </c>
      <c r="AU112" s="22">
        <f t="shared" si="36"/>
        <v>0</v>
      </c>
      <c r="AV112" s="22">
        <f t="shared" si="37"/>
        <v>0</v>
      </c>
    </row>
    <row r="113" spans="1:48" x14ac:dyDescent="0.25">
      <c r="A113" s="22" t="s">
        <v>380</v>
      </c>
      <c r="B113" s="22" t="s">
        <v>62</v>
      </c>
      <c r="C113" s="22">
        <v>118</v>
      </c>
      <c r="D113" s="22">
        <v>28</v>
      </c>
      <c r="E113" s="22">
        <v>52</v>
      </c>
      <c r="F113" s="22">
        <v>72</v>
      </c>
      <c r="G113" s="6">
        <v>0.3</v>
      </c>
      <c r="H113" s="22">
        <v>40</v>
      </c>
      <c r="I113" s="22" t="s">
        <v>381</v>
      </c>
      <c r="J113" s="22"/>
      <c r="K113" s="22">
        <v>58</v>
      </c>
      <c r="L113" s="22">
        <f t="shared" si="30"/>
        <v>-6</v>
      </c>
      <c r="M113" s="22">
        <f t="shared" si="31"/>
        <v>52</v>
      </c>
      <c r="N113" s="22"/>
      <c r="O113" s="22"/>
      <c r="P113" s="22" t="s">
        <v>382</v>
      </c>
      <c r="Q113" s="22">
        <v>4.3999999999999906</v>
      </c>
      <c r="R113" s="22"/>
      <c r="S113" s="22"/>
      <c r="T113" s="22">
        <v>0</v>
      </c>
      <c r="U113" s="17"/>
      <c r="V113" s="22"/>
      <c r="W113" s="22"/>
      <c r="X113" s="17"/>
      <c r="Y113" s="17"/>
      <c r="Z113" s="22"/>
      <c r="AA113" s="22">
        <f t="shared" si="32"/>
        <v>10.4</v>
      </c>
      <c r="AB113" s="4">
        <f>12.5*AA113-V113-T113-S113-R113-Q113-O113-F113</f>
        <v>53.600000000000009</v>
      </c>
      <c r="AC113" s="4">
        <f t="shared" si="38"/>
        <v>53.600000000000009</v>
      </c>
      <c r="AD113" s="4"/>
      <c r="AE113" s="4"/>
      <c r="AF113" s="22"/>
      <c r="AG113" s="22">
        <f t="shared" si="33"/>
        <v>12.5</v>
      </c>
      <c r="AH113" s="22">
        <f t="shared" si="34"/>
        <v>7.3461538461538449</v>
      </c>
      <c r="AI113" s="22">
        <v>9</v>
      </c>
      <c r="AJ113" s="22">
        <v>10.199999999999999</v>
      </c>
      <c r="AK113" s="22">
        <v>9.8000000000000007</v>
      </c>
      <c r="AL113" s="22">
        <v>6.4</v>
      </c>
      <c r="AM113" s="22">
        <v>5.6</v>
      </c>
      <c r="AN113" s="22">
        <v>9.4</v>
      </c>
      <c r="AO113" s="22">
        <v>13.4</v>
      </c>
      <c r="AP113" s="22">
        <v>10.8</v>
      </c>
      <c r="AQ113" s="22">
        <v>11.6</v>
      </c>
      <c r="AR113" s="22">
        <v>12.2</v>
      </c>
      <c r="AS113" s="22"/>
      <c r="AT113" s="22">
        <f t="shared" si="35"/>
        <v>16</v>
      </c>
      <c r="AU113" s="22">
        <f t="shared" si="36"/>
        <v>0</v>
      </c>
      <c r="AV113" s="22">
        <f t="shared" si="37"/>
        <v>0</v>
      </c>
    </row>
    <row r="114" spans="1:48" x14ac:dyDescent="0.25">
      <c r="A114" s="22" t="s">
        <v>383</v>
      </c>
      <c r="B114" s="22" t="s">
        <v>62</v>
      </c>
      <c r="C114" s="22">
        <v>28</v>
      </c>
      <c r="D114" s="22">
        <v>25</v>
      </c>
      <c r="E114" s="22">
        <v>33</v>
      </c>
      <c r="F114" s="22">
        <v>4</v>
      </c>
      <c r="G114" s="6">
        <v>0.12</v>
      </c>
      <c r="H114" s="22">
        <v>45</v>
      </c>
      <c r="I114" s="22" t="s">
        <v>384</v>
      </c>
      <c r="J114" s="22"/>
      <c r="K114" s="22">
        <v>54</v>
      </c>
      <c r="L114" s="22">
        <f t="shared" si="30"/>
        <v>-21</v>
      </c>
      <c r="M114" s="22">
        <f t="shared" si="31"/>
        <v>33</v>
      </c>
      <c r="N114" s="22"/>
      <c r="O114" s="22"/>
      <c r="P114" s="22" t="s">
        <v>385</v>
      </c>
      <c r="Q114" s="22">
        <v>70</v>
      </c>
      <c r="R114" s="22"/>
      <c r="S114" s="22"/>
      <c r="T114" s="22">
        <v>45.800000000000011</v>
      </c>
      <c r="U114" s="17"/>
      <c r="V114" s="22"/>
      <c r="W114" s="22"/>
      <c r="X114" s="17"/>
      <c r="Y114" s="17"/>
      <c r="Z114" s="22"/>
      <c r="AA114" s="22">
        <f t="shared" si="32"/>
        <v>6.6</v>
      </c>
      <c r="AB114" s="4"/>
      <c r="AC114" s="4">
        <f t="shared" si="38"/>
        <v>0</v>
      </c>
      <c r="AD114" s="4"/>
      <c r="AE114" s="4"/>
      <c r="AF114" s="22"/>
      <c r="AG114" s="22">
        <f t="shared" si="33"/>
        <v>18.151515151515156</v>
      </c>
      <c r="AH114" s="22">
        <f t="shared" si="34"/>
        <v>18.151515151515156</v>
      </c>
      <c r="AI114" s="22">
        <v>11.8</v>
      </c>
      <c r="AJ114" s="22">
        <v>7</v>
      </c>
      <c r="AK114" s="22">
        <v>-0.4</v>
      </c>
      <c r="AL114" s="22">
        <v>4.2</v>
      </c>
      <c r="AM114" s="22">
        <v>4.8</v>
      </c>
      <c r="AN114" s="22">
        <v>0.6</v>
      </c>
      <c r="AO114" s="22">
        <v>3.8</v>
      </c>
      <c r="AP114" s="22">
        <v>5.4</v>
      </c>
      <c r="AQ114" s="22">
        <v>5.8</v>
      </c>
      <c r="AR114" s="22">
        <v>7.8</v>
      </c>
      <c r="AS114" s="22"/>
      <c r="AT114" s="22">
        <f t="shared" si="35"/>
        <v>0</v>
      </c>
      <c r="AU114" s="22">
        <f t="shared" si="36"/>
        <v>0</v>
      </c>
      <c r="AV114" s="22">
        <f t="shared" si="37"/>
        <v>0</v>
      </c>
    </row>
    <row r="115" spans="1:48" x14ac:dyDescent="0.25">
      <c r="A115" s="22"/>
      <c r="B115" s="22"/>
      <c r="C115" s="22"/>
      <c r="D115" s="22"/>
      <c r="E115" s="22"/>
      <c r="F115" s="22"/>
      <c r="G115" s="6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17"/>
      <c r="V115" s="22"/>
      <c r="W115" s="22"/>
      <c r="X115" s="17"/>
      <c r="Y115" s="17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</row>
    <row r="116" spans="1:48" x14ac:dyDescent="0.25">
      <c r="A116" s="22"/>
      <c r="B116" s="22"/>
      <c r="C116" s="22"/>
      <c r="D116" s="22"/>
      <c r="E116" s="22"/>
      <c r="F116" s="22"/>
      <c r="G116" s="6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17"/>
      <c r="V116" s="22"/>
      <c r="W116" s="22"/>
      <c r="X116" s="17"/>
      <c r="Y116" s="17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</row>
    <row r="117" spans="1:48" x14ac:dyDescent="0.25">
      <c r="A117" s="22"/>
      <c r="B117" s="22"/>
      <c r="C117" s="22"/>
      <c r="D117" s="22"/>
      <c r="E117" s="22"/>
      <c r="F117" s="22"/>
      <c r="G117" s="6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17"/>
      <c r="V117" s="22"/>
      <c r="W117" s="22"/>
      <c r="X117" s="17"/>
      <c r="Y117" s="17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</row>
    <row r="118" spans="1:48" x14ac:dyDescent="0.25">
      <c r="A118" s="22"/>
      <c r="B118" s="22"/>
      <c r="C118" s="22"/>
      <c r="D118" s="22"/>
      <c r="E118" s="22"/>
      <c r="F118" s="22"/>
      <c r="G118" s="6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17"/>
      <c r="V118" s="22"/>
      <c r="W118" s="22"/>
      <c r="X118" s="17"/>
      <c r="Y118" s="17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</row>
    <row r="119" spans="1:48" x14ac:dyDescent="0.25">
      <c r="A119" s="22"/>
      <c r="B119" s="22"/>
      <c r="C119" s="22"/>
      <c r="D119" s="22"/>
      <c r="E119" s="22"/>
      <c r="F119" s="22"/>
      <c r="G119" s="6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17"/>
      <c r="V119" s="22"/>
      <c r="W119" s="22"/>
      <c r="X119" s="17"/>
      <c r="Y119" s="17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</row>
    <row r="120" spans="1:48" x14ac:dyDescent="0.25">
      <c r="A120" s="22"/>
      <c r="B120" s="22"/>
      <c r="C120" s="22"/>
      <c r="D120" s="22"/>
      <c r="E120" s="22"/>
      <c r="F120" s="22"/>
      <c r="G120" s="6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17"/>
      <c r="V120" s="22"/>
      <c r="W120" s="22"/>
      <c r="X120" s="17"/>
      <c r="Y120" s="17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</row>
    <row r="121" spans="1:48" x14ac:dyDescent="0.25">
      <c r="A121" s="22"/>
      <c r="B121" s="22"/>
      <c r="C121" s="22"/>
      <c r="D121" s="22"/>
      <c r="E121" s="22"/>
      <c r="F121" s="22"/>
      <c r="G121" s="6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17"/>
      <c r="V121" s="22"/>
      <c r="W121" s="22"/>
      <c r="X121" s="17"/>
      <c r="Y121" s="17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</row>
    <row r="122" spans="1:48" x14ac:dyDescent="0.25">
      <c r="A122" s="22"/>
      <c r="B122" s="22"/>
      <c r="C122" s="22"/>
      <c r="D122" s="22"/>
      <c r="E122" s="22"/>
      <c r="F122" s="22"/>
      <c r="G122" s="6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17"/>
      <c r="V122" s="22"/>
      <c r="W122" s="22"/>
      <c r="X122" s="17"/>
      <c r="Y122" s="17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</row>
    <row r="123" spans="1:48" x14ac:dyDescent="0.25">
      <c r="A123" s="22"/>
      <c r="B123" s="22"/>
      <c r="C123" s="22"/>
      <c r="D123" s="22"/>
      <c r="E123" s="22"/>
      <c r="F123" s="22"/>
      <c r="G123" s="6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17"/>
      <c r="V123" s="22"/>
      <c r="W123" s="22"/>
      <c r="X123" s="17"/>
      <c r="Y123" s="17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</row>
    <row r="124" spans="1:48" x14ac:dyDescent="0.25">
      <c r="A124" s="22"/>
      <c r="B124" s="22"/>
      <c r="C124" s="22"/>
      <c r="D124" s="22"/>
      <c r="E124" s="22"/>
      <c r="F124" s="22"/>
      <c r="G124" s="6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17"/>
      <c r="V124" s="22"/>
      <c r="W124" s="22"/>
      <c r="X124" s="17"/>
      <c r="Y124" s="17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</row>
    <row r="125" spans="1:48" x14ac:dyDescent="0.25">
      <c r="A125" s="22"/>
      <c r="B125" s="22"/>
      <c r="C125" s="22"/>
      <c r="D125" s="22"/>
      <c r="E125" s="22"/>
      <c r="F125" s="22"/>
      <c r="G125" s="6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17"/>
      <c r="V125" s="22"/>
      <c r="W125" s="22"/>
      <c r="X125" s="17"/>
      <c r="Y125" s="17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</row>
    <row r="126" spans="1:48" x14ac:dyDescent="0.25">
      <c r="A126" s="22"/>
      <c r="B126" s="22"/>
      <c r="C126" s="22"/>
      <c r="D126" s="22"/>
      <c r="E126" s="22"/>
      <c r="F126" s="22"/>
      <c r="G126" s="6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17"/>
      <c r="V126" s="22"/>
      <c r="W126" s="22"/>
      <c r="X126" s="17"/>
      <c r="Y126" s="17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</row>
    <row r="127" spans="1:48" x14ac:dyDescent="0.25">
      <c r="A127" s="22"/>
      <c r="B127" s="22"/>
      <c r="C127" s="22"/>
      <c r="D127" s="22"/>
      <c r="E127" s="22"/>
      <c r="F127" s="22"/>
      <c r="G127" s="6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17"/>
      <c r="V127" s="22"/>
      <c r="W127" s="22"/>
      <c r="X127" s="17"/>
      <c r="Y127" s="17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</row>
    <row r="128" spans="1:48" x14ac:dyDescent="0.25">
      <c r="A128" s="22"/>
      <c r="B128" s="22"/>
      <c r="C128" s="22"/>
      <c r="D128" s="22"/>
      <c r="E128" s="22"/>
      <c r="F128" s="22"/>
      <c r="G128" s="6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17"/>
      <c r="V128" s="22"/>
      <c r="W128" s="22"/>
      <c r="X128" s="17"/>
      <c r="Y128" s="17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</row>
    <row r="129" spans="1:48" x14ac:dyDescent="0.25">
      <c r="A129" s="22"/>
      <c r="B129" s="22"/>
      <c r="C129" s="22"/>
      <c r="D129" s="22"/>
      <c r="E129" s="22"/>
      <c r="F129" s="22"/>
      <c r="G129" s="6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17"/>
      <c r="V129" s="22"/>
      <c r="W129" s="22"/>
      <c r="X129" s="17"/>
      <c r="Y129" s="17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</row>
    <row r="130" spans="1:48" x14ac:dyDescent="0.25">
      <c r="A130" s="22"/>
      <c r="B130" s="22"/>
      <c r="C130" s="22"/>
      <c r="D130" s="22"/>
      <c r="E130" s="22"/>
      <c r="F130" s="22"/>
      <c r="G130" s="6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17"/>
      <c r="V130" s="22"/>
      <c r="W130" s="22"/>
      <c r="X130" s="17"/>
      <c r="Y130" s="17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</row>
    <row r="131" spans="1:48" x14ac:dyDescent="0.25">
      <c r="A131" s="22"/>
      <c r="B131" s="22"/>
      <c r="C131" s="22"/>
      <c r="D131" s="22"/>
      <c r="E131" s="22"/>
      <c r="F131" s="22"/>
      <c r="G131" s="6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17"/>
      <c r="V131" s="22"/>
      <c r="W131" s="22"/>
      <c r="X131" s="17"/>
      <c r="Y131" s="17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</row>
    <row r="132" spans="1:48" x14ac:dyDescent="0.25">
      <c r="A132" s="22"/>
      <c r="B132" s="22"/>
      <c r="C132" s="22"/>
      <c r="D132" s="22"/>
      <c r="E132" s="22"/>
      <c r="F132" s="22"/>
      <c r="G132" s="6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17"/>
      <c r="V132" s="22"/>
      <c r="W132" s="22"/>
      <c r="X132" s="17"/>
      <c r="Y132" s="17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</row>
    <row r="133" spans="1:48" x14ac:dyDescent="0.25">
      <c r="A133" s="22"/>
      <c r="B133" s="22"/>
      <c r="C133" s="22"/>
      <c r="D133" s="22"/>
      <c r="E133" s="22"/>
      <c r="F133" s="22"/>
      <c r="G133" s="6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17"/>
      <c r="V133" s="22"/>
      <c r="W133" s="22"/>
      <c r="X133" s="17"/>
      <c r="Y133" s="17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</row>
    <row r="134" spans="1:48" x14ac:dyDescent="0.25">
      <c r="A134" s="22"/>
      <c r="B134" s="22"/>
      <c r="C134" s="22"/>
      <c r="D134" s="22"/>
      <c r="E134" s="22"/>
      <c r="F134" s="22"/>
      <c r="G134" s="6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17"/>
      <c r="V134" s="22"/>
      <c r="W134" s="22"/>
      <c r="X134" s="17"/>
      <c r="Y134" s="17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</row>
    <row r="135" spans="1:48" x14ac:dyDescent="0.25">
      <c r="A135" s="22"/>
      <c r="B135" s="22"/>
      <c r="C135" s="22"/>
      <c r="D135" s="22"/>
      <c r="E135" s="22"/>
      <c r="F135" s="22"/>
      <c r="G135" s="6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17"/>
      <c r="V135" s="22"/>
      <c r="W135" s="22"/>
      <c r="X135" s="17"/>
      <c r="Y135" s="17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</row>
    <row r="136" spans="1:48" x14ac:dyDescent="0.25">
      <c r="A136" s="22"/>
      <c r="B136" s="22"/>
      <c r="C136" s="22"/>
      <c r="D136" s="22"/>
      <c r="E136" s="22"/>
      <c r="F136" s="22"/>
      <c r="G136" s="6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17"/>
      <c r="V136" s="22"/>
      <c r="W136" s="22"/>
      <c r="X136" s="17"/>
      <c r="Y136" s="17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</row>
    <row r="137" spans="1:48" x14ac:dyDescent="0.25">
      <c r="A137" s="22"/>
      <c r="B137" s="22"/>
      <c r="C137" s="22"/>
      <c r="D137" s="22"/>
      <c r="E137" s="22"/>
      <c r="F137" s="22"/>
      <c r="G137" s="6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17"/>
      <c r="V137" s="22"/>
      <c r="W137" s="22"/>
      <c r="X137" s="17"/>
      <c r="Y137" s="17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</row>
    <row r="138" spans="1:48" x14ac:dyDescent="0.25">
      <c r="A138" s="22"/>
      <c r="B138" s="22"/>
      <c r="C138" s="22"/>
      <c r="D138" s="22"/>
      <c r="E138" s="22"/>
      <c r="F138" s="22"/>
      <c r="G138" s="6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17"/>
      <c r="V138" s="22"/>
      <c r="W138" s="22"/>
      <c r="X138" s="17"/>
      <c r="Y138" s="17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</row>
    <row r="139" spans="1:48" x14ac:dyDescent="0.25">
      <c r="A139" s="22"/>
      <c r="B139" s="22"/>
      <c r="C139" s="22"/>
      <c r="D139" s="22"/>
      <c r="E139" s="22"/>
      <c r="F139" s="22"/>
      <c r="G139" s="6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17"/>
      <c r="V139" s="22"/>
      <c r="W139" s="22"/>
      <c r="X139" s="17"/>
      <c r="Y139" s="17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</row>
    <row r="140" spans="1:48" x14ac:dyDescent="0.25">
      <c r="A140" s="22"/>
      <c r="B140" s="22"/>
      <c r="C140" s="22"/>
      <c r="D140" s="22"/>
      <c r="E140" s="22"/>
      <c r="F140" s="22"/>
      <c r="G140" s="6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17"/>
      <c r="V140" s="22"/>
      <c r="W140" s="22"/>
      <c r="X140" s="17"/>
      <c r="Y140" s="17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</row>
    <row r="141" spans="1:48" x14ac:dyDescent="0.25">
      <c r="A141" s="22"/>
      <c r="B141" s="22"/>
      <c r="C141" s="22"/>
      <c r="D141" s="22"/>
      <c r="E141" s="22"/>
      <c r="F141" s="22"/>
      <c r="G141" s="6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17"/>
      <c r="V141" s="22"/>
      <c r="W141" s="22"/>
      <c r="X141" s="17"/>
      <c r="Y141" s="17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</row>
    <row r="142" spans="1:48" x14ac:dyDescent="0.25">
      <c r="A142" s="22"/>
      <c r="B142" s="22"/>
      <c r="C142" s="22"/>
      <c r="D142" s="22"/>
      <c r="E142" s="22"/>
      <c r="F142" s="22"/>
      <c r="G142" s="6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17"/>
      <c r="V142" s="22"/>
      <c r="W142" s="22"/>
      <c r="X142" s="17"/>
      <c r="Y142" s="17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</row>
    <row r="143" spans="1:48" x14ac:dyDescent="0.25">
      <c r="A143" s="22"/>
      <c r="B143" s="22"/>
      <c r="C143" s="22"/>
      <c r="D143" s="22"/>
      <c r="E143" s="22"/>
      <c r="F143" s="22"/>
      <c r="G143" s="6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17"/>
      <c r="V143" s="22"/>
      <c r="W143" s="22"/>
      <c r="X143" s="17"/>
      <c r="Y143" s="17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</row>
    <row r="144" spans="1:48" x14ac:dyDescent="0.25">
      <c r="A144" s="22"/>
      <c r="B144" s="22"/>
      <c r="C144" s="22"/>
      <c r="D144" s="22"/>
      <c r="E144" s="22"/>
      <c r="F144" s="22"/>
      <c r="G144" s="6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17"/>
      <c r="V144" s="22"/>
      <c r="W144" s="22"/>
      <c r="X144" s="17"/>
      <c r="Y144" s="17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</row>
    <row r="145" spans="1:48" x14ac:dyDescent="0.25">
      <c r="A145" s="22"/>
      <c r="B145" s="22"/>
      <c r="C145" s="22"/>
      <c r="D145" s="22"/>
      <c r="E145" s="22"/>
      <c r="F145" s="22"/>
      <c r="G145" s="6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17"/>
      <c r="V145" s="22"/>
      <c r="W145" s="22"/>
      <c r="X145" s="17"/>
      <c r="Y145" s="17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</row>
    <row r="146" spans="1:48" x14ac:dyDescent="0.25">
      <c r="A146" s="22"/>
      <c r="B146" s="22"/>
      <c r="C146" s="22"/>
      <c r="D146" s="22"/>
      <c r="E146" s="22"/>
      <c r="F146" s="22"/>
      <c r="G146" s="6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17"/>
      <c r="V146" s="22"/>
      <c r="W146" s="22"/>
      <c r="X146" s="17"/>
      <c r="Y146" s="17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</row>
    <row r="147" spans="1:48" x14ac:dyDescent="0.25">
      <c r="A147" s="22"/>
      <c r="B147" s="22"/>
      <c r="C147" s="22"/>
      <c r="D147" s="22"/>
      <c r="E147" s="22"/>
      <c r="F147" s="22"/>
      <c r="G147" s="6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17"/>
      <c r="V147" s="22"/>
      <c r="W147" s="22"/>
      <c r="X147" s="17"/>
      <c r="Y147" s="17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</row>
    <row r="148" spans="1:48" x14ac:dyDescent="0.25">
      <c r="A148" s="22"/>
      <c r="B148" s="22"/>
      <c r="C148" s="22"/>
      <c r="D148" s="22"/>
      <c r="E148" s="22"/>
      <c r="F148" s="22"/>
      <c r="G148" s="6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17"/>
      <c r="V148" s="22"/>
      <c r="W148" s="22"/>
      <c r="X148" s="17"/>
      <c r="Y148" s="17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</row>
    <row r="149" spans="1:48" x14ac:dyDescent="0.25">
      <c r="A149" s="22"/>
      <c r="B149" s="22"/>
      <c r="C149" s="22"/>
      <c r="D149" s="22"/>
      <c r="E149" s="22"/>
      <c r="F149" s="22"/>
      <c r="G149" s="6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17"/>
      <c r="V149" s="22"/>
      <c r="W149" s="22"/>
      <c r="X149" s="17"/>
      <c r="Y149" s="17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</row>
    <row r="150" spans="1:48" x14ac:dyDescent="0.25">
      <c r="A150" s="22"/>
      <c r="B150" s="22"/>
      <c r="C150" s="22"/>
      <c r="D150" s="22"/>
      <c r="E150" s="22"/>
      <c r="F150" s="22"/>
      <c r="G150" s="6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17"/>
      <c r="V150" s="22"/>
      <c r="W150" s="22"/>
      <c r="X150" s="17"/>
      <c r="Y150" s="17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</row>
    <row r="151" spans="1:48" x14ac:dyDescent="0.25">
      <c r="A151" s="22"/>
      <c r="B151" s="22"/>
      <c r="C151" s="22"/>
      <c r="D151" s="22"/>
      <c r="E151" s="22"/>
      <c r="F151" s="22"/>
      <c r="G151" s="6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17"/>
      <c r="V151" s="22"/>
      <c r="W151" s="22"/>
      <c r="X151" s="17"/>
      <c r="Y151" s="17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</row>
    <row r="152" spans="1:48" x14ac:dyDescent="0.25">
      <c r="A152" s="22"/>
      <c r="B152" s="22"/>
      <c r="C152" s="22"/>
      <c r="D152" s="22"/>
      <c r="E152" s="22"/>
      <c r="F152" s="22"/>
      <c r="G152" s="6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17"/>
      <c r="V152" s="22"/>
      <c r="W152" s="22"/>
      <c r="X152" s="17"/>
      <c r="Y152" s="17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</row>
    <row r="153" spans="1:48" x14ac:dyDescent="0.25">
      <c r="A153" s="22"/>
      <c r="B153" s="22"/>
      <c r="C153" s="22"/>
      <c r="D153" s="22"/>
      <c r="E153" s="22"/>
      <c r="F153" s="22"/>
      <c r="G153" s="6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17"/>
      <c r="V153" s="22"/>
      <c r="W153" s="22"/>
      <c r="X153" s="17"/>
      <c r="Y153" s="17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</row>
    <row r="154" spans="1:48" x14ac:dyDescent="0.25">
      <c r="A154" s="22"/>
      <c r="B154" s="22"/>
      <c r="C154" s="22"/>
      <c r="D154" s="22"/>
      <c r="E154" s="22"/>
      <c r="F154" s="22"/>
      <c r="G154" s="6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17"/>
      <c r="V154" s="22"/>
      <c r="W154" s="22"/>
      <c r="X154" s="17"/>
      <c r="Y154" s="17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</row>
    <row r="155" spans="1:48" x14ac:dyDescent="0.25">
      <c r="A155" s="22"/>
      <c r="B155" s="22"/>
      <c r="C155" s="22"/>
      <c r="D155" s="22"/>
      <c r="E155" s="22"/>
      <c r="F155" s="22"/>
      <c r="G155" s="6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17"/>
      <c r="V155" s="22"/>
      <c r="W155" s="22"/>
      <c r="X155" s="17"/>
      <c r="Y155" s="17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</row>
    <row r="156" spans="1:48" x14ac:dyDescent="0.25">
      <c r="A156" s="22"/>
      <c r="B156" s="22"/>
      <c r="C156" s="22"/>
      <c r="D156" s="22"/>
      <c r="E156" s="22"/>
      <c r="F156" s="22"/>
      <c r="G156" s="6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17"/>
      <c r="V156" s="22"/>
      <c r="W156" s="22"/>
      <c r="X156" s="17"/>
      <c r="Y156" s="17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</row>
    <row r="157" spans="1:48" x14ac:dyDescent="0.25">
      <c r="A157" s="22"/>
      <c r="B157" s="22"/>
      <c r="C157" s="22"/>
      <c r="D157" s="22"/>
      <c r="E157" s="22"/>
      <c r="F157" s="22"/>
      <c r="G157" s="6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17"/>
      <c r="V157" s="22"/>
      <c r="W157" s="22"/>
      <c r="X157" s="17"/>
      <c r="Y157" s="17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</row>
    <row r="158" spans="1:48" x14ac:dyDescent="0.25">
      <c r="A158" s="22"/>
      <c r="B158" s="22"/>
      <c r="C158" s="22"/>
      <c r="D158" s="22"/>
      <c r="E158" s="22"/>
      <c r="F158" s="22"/>
      <c r="G158" s="6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17"/>
      <c r="V158" s="22"/>
      <c r="W158" s="22"/>
      <c r="X158" s="17"/>
      <c r="Y158" s="17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</row>
    <row r="159" spans="1:48" x14ac:dyDescent="0.25">
      <c r="A159" s="22"/>
      <c r="B159" s="22"/>
      <c r="C159" s="22"/>
      <c r="D159" s="22"/>
      <c r="E159" s="22"/>
      <c r="F159" s="22"/>
      <c r="G159" s="6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17"/>
      <c r="V159" s="22"/>
      <c r="W159" s="22"/>
      <c r="X159" s="17"/>
      <c r="Y159" s="17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</row>
    <row r="160" spans="1:48" x14ac:dyDescent="0.25">
      <c r="A160" s="22"/>
      <c r="B160" s="22"/>
      <c r="C160" s="22"/>
      <c r="D160" s="22"/>
      <c r="E160" s="22"/>
      <c r="F160" s="22"/>
      <c r="G160" s="6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17"/>
      <c r="V160" s="22"/>
      <c r="W160" s="22"/>
      <c r="X160" s="17"/>
      <c r="Y160" s="17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</row>
    <row r="161" spans="1:48" x14ac:dyDescent="0.25">
      <c r="A161" s="22"/>
      <c r="B161" s="22"/>
      <c r="C161" s="22"/>
      <c r="D161" s="22"/>
      <c r="E161" s="22"/>
      <c r="F161" s="22"/>
      <c r="G161" s="6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17"/>
      <c r="V161" s="22"/>
      <c r="W161" s="22"/>
      <c r="X161" s="17"/>
      <c r="Y161" s="17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</row>
    <row r="162" spans="1:48" x14ac:dyDescent="0.25">
      <c r="A162" s="22"/>
      <c r="B162" s="22"/>
      <c r="C162" s="22"/>
      <c r="D162" s="22"/>
      <c r="E162" s="22"/>
      <c r="F162" s="22"/>
      <c r="G162" s="6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17"/>
      <c r="V162" s="22"/>
      <c r="W162" s="22"/>
      <c r="X162" s="17"/>
      <c r="Y162" s="17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</row>
    <row r="163" spans="1:48" x14ac:dyDescent="0.25">
      <c r="A163" s="22"/>
      <c r="B163" s="22"/>
      <c r="C163" s="22"/>
      <c r="D163" s="22"/>
      <c r="E163" s="22"/>
      <c r="F163" s="22"/>
      <c r="G163" s="6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17"/>
      <c r="V163" s="22"/>
      <c r="W163" s="22"/>
      <c r="X163" s="17"/>
      <c r="Y163" s="17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</row>
    <row r="164" spans="1:48" x14ac:dyDescent="0.25">
      <c r="A164" s="22"/>
      <c r="B164" s="22"/>
      <c r="C164" s="22"/>
      <c r="D164" s="22"/>
      <c r="E164" s="22"/>
      <c r="F164" s="22"/>
      <c r="G164" s="6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17"/>
      <c r="V164" s="22"/>
      <c r="W164" s="22"/>
      <c r="X164" s="17"/>
      <c r="Y164" s="17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</row>
    <row r="165" spans="1:48" x14ac:dyDescent="0.25">
      <c r="A165" s="22"/>
      <c r="B165" s="22"/>
      <c r="C165" s="22"/>
      <c r="D165" s="22"/>
      <c r="E165" s="22"/>
      <c r="F165" s="22"/>
      <c r="G165" s="6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17"/>
      <c r="V165" s="22"/>
      <c r="W165" s="22"/>
      <c r="X165" s="17"/>
      <c r="Y165" s="17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</row>
    <row r="166" spans="1:48" x14ac:dyDescent="0.25">
      <c r="A166" s="22"/>
      <c r="B166" s="22"/>
      <c r="C166" s="22"/>
      <c r="D166" s="22"/>
      <c r="E166" s="22"/>
      <c r="F166" s="22"/>
      <c r="G166" s="6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17"/>
      <c r="V166" s="22"/>
      <c r="W166" s="22"/>
      <c r="X166" s="17"/>
      <c r="Y166" s="17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</row>
    <row r="167" spans="1:48" x14ac:dyDescent="0.25">
      <c r="A167" s="22"/>
      <c r="B167" s="22"/>
      <c r="C167" s="22"/>
      <c r="D167" s="22"/>
      <c r="E167" s="22"/>
      <c r="F167" s="22"/>
      <c r="G167" s="6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17"/>
      <c r="V167" s="22"/>
      <c r="W167" s="22"/>
      <c r="X167" s="17"/>
      <c r="Y167" s="17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</row>
    <row r="168" spans="1:48" x14ac:dyDescent="0.25">
      <c r="A168" s="22"/>
      <c r="B168" s="22"/>
      <c r="C168" s="22"/>
      <c r="D168" s="22"/>
      <c r="E168" s="22"/>
      <c r="F168" s="22"/>
      <c r="G168" s="6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17"/>
      <c r="V168" s="22"/>
      <c r="W168" s="22"/>
      <c r="X168" s="17"/>
      <c r="Y168" s="17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</row>
    <row r="169" spans="1:48" x14ac:dyDescent="0.25">
      <c r="A169" s="22"/>
      <c r="B169" s="22"/>
      <c r="C169" s="22"/>
      <c r="D169" s="22"/>
      <c r="E169" s="22"/>
      <c r="F169" s="22"/>
      <c r="G169" s="6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17"/>
      <c r="V169" s="22"/>
      <c r="W169" s="22"/>
      <c r="X169" s="17"/>
      <c r="Y169" s="17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</row>
    <row r="170" spans="1:48" x14ac:dyDescent="0.25">
      <c r="A170" s="22"/>
      <c r="B170" s="22"/>
      <c r="C170" s="22"/>
      <c r="D170" s="22"/>
      <c r="E170" s="22"/>
      <c r="F170" s="22"/>
      <c r="G170" s="6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17"/>
      <c r="V170" s="22"/>
      <c r="W170" s="22"/>
      <c r="X170" s="17"/>
      <c r="Y170" s="17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</row>
    <row r="171" spans="1:48" x14ac:dyDescent="0.25">
      <c r="A171" s="22"/>
      <c r="B171" s="22"/>
      <c r="C171" s="22"/>
      <c r="D171" s="22"/>
      <c r="E171" s="22"/>
      <c r="F171" s="22"/>
      <c r="G171" s="6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17"/>
      <c r="V171" s="22"/>
      <c r="W171" s="22"/>
      <c r="X171" s="17"/>
      <c r="Y171" s="17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</row>
    <row r="172" spans="1:48" x14ac:dyDescent="0.25">
      <c r="A172" s="22"/>
      <c r="B172" s="22"/>
      <c r="C172" s="22"/>
      <c r="D172" s="22"/>
      <c r="E172" s="22"/>
      <c r="F172" s="22"/>
      <c r="G172" s="6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17"/>
      <c r="V172" s="22"/>
      <c r="W172" s="22"/>
      <c r="X172" s="17"/>
      <c r="Y172" s="17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</row>
    <row r="173" spans="1:48" x14ac:dyDescent="0.25">
      <c r="A173" s="22"/>
      <c r="B173" s="22"/>
      <c r="C173" s="22"/>
      <c r="D173" s="22"/>
      <c r="E173" s="22"/>
      <c r="F173" s="22"/>
      <c r="G173" s="6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17"/>
      <c r="V173" s="22"/>
      <c r="W173" s="22"/>
      <c r="X173" s="17"/>
      <c r="Y173" s="17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</row>
    <row r="174" spans="1:48" x14ac:dyDescent="0.25">
      <c r="A174" s="22"/>
      <c r="B174" s="22"/>
      <c r="C174" s="22"/>
      <c r="D174" s="22"/>
      <c r="E174" s="22"/>
      <c r="F174" s="22"/>
      <c r="G174" s="6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17"/>
      <c r="V174" s="22"/>
      <c r="W174" s="22"/>
      <c r="X174" s="17"/>
      <c r="Y174" s="17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</row>
    <row r="175" spans="1:48" x14ac:dyDescent="0.25">
      <c r="A175" s="22"/>
      <c r="B175" s="22"/>
      <c r="C175" s="22"/>
      <c r="D175" s="22"/>
      <c r="E175" s="22"/>
      <c r="F175" s="22"/>
      <c r="G175" s="6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17"/>
      <c r="V175" s="22"/>
      <c r="W175" s="22"/>
      <c r="X175" s="17"/>
      <c r="Y175" s="17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</row>
    <row r="176" spans="1:48" x14ac:dyDescent="0.25">
      <c r="A176" s="22"/>
      <c r="B176" s="22"/>
      <c r="C176" s="22"/>
      <c r="D176" s="22"/>
      <c r="E176" s="22"/>
      <c r="F176" s="22"/>
      <c r="G176" s="6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17"/>
      <c r="V176" s="22"/>
      <c r="W176" s="22"/>
      <c r="X176" s="17"/>
      <c r="Y176" s="17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</row>
    <row r="177" spans="1:48" x14ac:dyDescent="0.25">
      <c r="A177" s="22"/>
      <c r="B177" s="22"/>
      <c r="C177" s="22"/>
      <c r="D177" s="22"/>
      <c r="E177" s="22"/>
      <c r="F177" s="22"/>
      <c r="G177" s="6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17"/>
      <c r="V177" s="22"/>
      <c r="W177" s="22"/>
      <c r="X177" s="17"/>
      <c r="Y177" s="17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</row>
    <row r="178" spans="1:48" x14ac:dyDescent="0.25">
      <c r="A178" s="22"/>
      <c r="B178" s="22"/>
      <c r="C178" s="22"/>
      <c r="D178" s="22"/>
      <c r="E178" s="22"/>
      <c r="F178" s="22"/>
      <c r="G178" s="6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17"/>
      <c r="V178" s="22"/>
      <c r="W178" s="22"/>
      <c r="X178" s="17"/>
      <c r="Y178" s="17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</row>
    <row r="179" spans="1:48" x14ac:dyDescent="0.25">
      <c r="A179" s="22"/>
      <c r="B179" s="22"/>
      <c r="C179" s="22"/>
      <c r="D179" s="22"/>
      <c r="E179" s="22"/>
      <c r="F179" s="22"/>
      <c r="G179" s="6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17"/>
      <c r="V179" s="22"/>
      <c r="W179" s="22"/>
      <c r="X179" s="17"/>
      <c r="Y179" s="17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</row>
    <row r="180" spans="1:48" x14ac:dyDescent="0.25">
      <c r="A180" s="22"/>
      <c r="B180" s="22"/>
      <c r="C180" s="22"/>
      <c r="D180" s="22"/>
      <c r="E180" s="22"/>
      <c r="F180" s="22"/>
      <c r="G180" s="6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17"/>
      <c r="V180" s="22"/>
      <c r="W180" s="22"/>
      <c r="X180" s="17"/>
      <c r="Y180" s="17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</row>
    <row r="181" spans="1:48" x14ac:dyDescent="0.25">
      <c r="A181" s="22"/>
      <c r="B181" s="22"/>
      <c r="C181" s="22"/>
      <c r="D181" s="22"/>
      <c r="E181" s="22"/>
      <c r="F181" s="22"/>
      <c r="G181" s="6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17"/>
      <c r="V181" s="22"/>
      <c r="W181" s="22"/>
      <c r="X181" s="17"/>
      <c r="Y181" s="17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</row>
    <row r="182" spans="1:48" x14ac:dyDescent="0.25">
      <c r="A182" s="22"/>
      <c r="B182" s="22"/>
      <c r="C182" s="22"/>
      <c r="D182" s="22"/>
      <c r="E182" s="22"/>
      <c r="F182" s="22"/>
      <c r="G182" s="6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17"/>
      <c r="V182" s="22"/>
      <c r="W182" s="22"/>
      <c r="X182" s="17"/>
      <c r="Y182" s="17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</row>
    <row r="183" spans="1:48" x14ac:dyDescent="0.25">
      <c r="A183" s="22"/>
      <c r="B183" s="22"/>
      <c r="C183" s="22"/>
      <c r="D183" s="22"/>
      <c r="E183" s="22"/>
      <c r="F183" s="22"/>
      <c r="G183" s="6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17"/>
      <c r="V183" s="22"/>
      <c r="W183" s="22"/>
      <c r="X183" s="17"/>
      <c r="Y183" s="17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</row>
    <row r="184" spans="1:48" x14ac:dyDescent="0.25">
      <c r="A184" s="22"/>
      <c r="B184" s="22"/>
      <c r="C184" s="22"/>
      <c r="D184" s="22"/>
      <c r="E184" s="22"/>
      <c r="F184" s="22"/>
      <c r="G184" s="6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17"/>
      <c r="V184" s="22"/>
      <c r="W184" s="22"/>
      <c r="X184" s="17"/>
      <c r="Y184" s="17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</row>
    <row r="185" spans="1:48" x14ac:dyDescent="0.25">
      <c r="A185" s="22"/>
      <c r="B185" s="22"/>
      <c r="C185" s="22"/>
      <c r="D185" s="22"/>
      <c r="E185" s="22"/>
      <c r="F185" s="22"/>
      <c r="G185" s="6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17"/>
      <c r="V185" s="22"/>
      <c r="W185" s="22"/>
      <c r="X185" s="17"/>
      <c r="Y185" s="17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</row>
    <row r="186" spans="1:48" x14ac:dyDescent="0.25">
      <c r="A186" s="22"/>
      <c r="B186" s="22"/>
      <c r="C186" s="22"/>
      <c r="D186" s="22"/>
      <c r="E186" s="22"/>
      <c r="F186" s="22"/>
      <c r="G186" s="6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17"/>
      <c r="V186" s="22"/>
      <c r="W186" s="22"/>
      <c r="X186" s="17"/>
      <c r="Y186" s="17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</row>
    <row r="187" spans="1:48" x14ac:dyDescent="0.25">
      <c r="A187" s="22"/>
      <c r="B187" s="22"/>
      <c r="C187" s="22"/>
      <c r="D187" s="22"/>
      <c r="E187" s="22"/>
      <c r="F187" s="22"/>
      <c r="G187" s="6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17"/>
      <c r="V187" s="22"/>
      <c r="W187" s="22"/>
      <c r="X187" s="17"/>
      <c r="Y187" s="17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</row>
    <row r="188" spans="1:48" x14ac:dyDescent="0.25">
      <c r="A188" s="22"/>
      <c r="B188" s="22"/>
      <c r="C188" s="22"/>
      <c r="D188" s="22"/>
      <c r="E188" s="22"/>
      <c r="F188" s="22"/>
      <c r="G188" s="6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17"/>
      <c r="V188" s="22"/>
      <c r="W188" s="22"/>
      <c r="X188" s="17"/>
      <c r="Y188" s="17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</row>
    <row r="189" spans="1:48" x14ac:dyDescent="0.25">
      <c r="A189" s="22"/>
      <c r="B189" s="22"/>
      <c r="C189" s="22"/>
      <c r="D189" s="22"/>
      <c r="E189" s="22"/>
      <c r="F189" s="22"/>
      <c r="G189" s="6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17"/>
      <c r="V189" s="22"/>
      <c r="W189" s="22"/>
      <c r="X189" s="17"/>
      <c r="Y189" s="17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</row>
    <row r="190" spans="1:48" x14ac:dyDescent="0.25">
      <c r="A190" s="22"/>
      <c r="B190" s="22"/>
      <c r="C190" s="22"/>
      <c r="D190" s="22"/>
      <c r="E190" s="22"/>
      <c r="F190" s="22"/>
      <c r="G190" s="6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17"/>
      <c r="V190" s="22"/>
      <c r="W190" s="22"/>
      <c r="X190" s="17"/>
      <c r="Y190" s="17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</row>
    <row r="191" spans="1:48" x14ac:dyDescent="0.25">
      <c r="A191" s="22"/>
      <c r="B191" s="22"/>
      <c r="C191" s="22"/>
      <c r="D191" s="22"/>
      <c r="E191" s="22"/>
      <c r="F191" s="22"/>
      <c r="G191" s="6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17"/>
      <c r="V191" s="22"/>
      <c r="W191" s="22"/>
      <c r="X191" s="17"/>
      <c r="Y191" s="17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</row>
    <row r="192" spans="1:48" x14ac:dyDescent="0.25">
      <c r="A192" s="22"/>
      <c r="B192" s="22"/>
      <c r="C192" s="22"/>
      <c r="D192" s="22"/>
      <c r="E192" s="22"/>
      <c r="F192" s="22"/>
      <c r="G192" s="6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17"/>
      <c r="V192" s="22"/>
      <c r="W192" s="22"/>
      <c r="X192" s="17"/>
      <c r="Y192" s="17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</row>
    <row r="193" spans="1:48" x14ac:dyDescent="0.25">
      <c r="A193" s="22"/>
      <c r="B193" s="22"/>
      <c r="C193" s="22"/>
      <c r="D193" s="22"/>
      <c r="E193" s="22"/>
      <c r="F193" s="22"/>
      <c r="G193" s="6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17"/>
      <c r="V193" s="22"/>
      <c r="W193" s="22"/>
      <c r="X193" s="17"/>
      <c r="Y193" s="17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</row>
    <row r="194" spans="1:48" x14ac:dyDescent="0.25">
      <c r="A194" s="22"/>
      <c r="B194" s="22"/>
      <c r="C194" s="22"/>
      <c r="D194" s="22"/>
      <c r="E194" s="22"/>
      <c r="F194" s="22"/>
      <c r="G194" s="6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17"/>
      <c r="V194" s="22"/>
      <c r="W194" s="22"/>
      <c r="X194" s="17"/>
      <c r="Y194" s="17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</row>
    <row r="195" spans="1:48" x14ac:dyDescent="0.25">
      <c r="A195" s="22"/>
      <c r="B195" s="22"/>
      <c r="C195" s="22"/>
      <c r="D195" s="22"/>
      <c r="E195" s="22"/>
      <c r="F195" s="22"/>
      <c r="G195" s="6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17"/>
      <c r="V195" s="22"/>
      <c r="W195" s="22"/>
      <c r="X195" s="17"/>
      <c r="Y195" s="17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</row>
    <row r="196" spans="1:48" x14ac:dyDescent="0.25">
      <c r="A196" s="22"/>
      <c r="B196" s="22"/>
      <c r="C196" s="22"/>
      <c r="D196" s="22"/>
      <c r="E196" s="22"/>
      <c r="F196" s="22"/>
      <c r="G196" s="6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17"/>
      <c r="V196" s="22"/>
      <c r="W196" s="22"/>
      <c r="X196" s="17"/>
      <c r="Y196" s="17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</row>
    <row r="197" spans="1:48" x14ac:dyDescent="0.25">
      <c r="A197" s="22"/>
      <c r="B197" s="22"/>
      <c r="C197" s="22"/>
      <c r="D197" s="22"/>
      <c r="E197" s="22"/>
      <c r="F197" s="22"/>
      <c r="G197" s="6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17"/>
      <c r="V197" s="22"/>
      <c r="W197" s="22"/>
      <c r="X197" s="17"/>
      <c r="Y197" s="17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</row>
    <row r="198" spans="1:48" x14ac:dyDescent="0.25">
      <c r="A198" s="22"/>
      <c r="B198" s="22"/>
      <c r="C198" s="22"/>
      <c r="D198" s="22"/>
      <c r="E198" s="22"/>
      <c r="F198" s="22"/>
      <c r="G198" s="6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17"/>
      <c r="V198" s="22"/>
      <c r="W198" s="22"/>
      <c r="X198" s="17"/>
      <c r="Y198" s="17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</row>
    <row r="199" spans="1:48" x14ac:dyDescent="0.25">
      <c r="A199" s="22"/>
      <c r="B199" s="22"/>
      <c r="C199" s="22"/>
      <c r="D199" s="22"/>
      <c r="E199" s="22"/>
      <c r="F199" s="22"/>
      <c r="G199" s="6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17"/>
      <c r="V199" s="22"/>
      <c r="W199" s="22"/>
      <c r="X199" s="17"/>
      <c r="Y199" s="17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</row>
    <row r="200" spans="1:48" x14ac:dyDescent="0.25">
      <c r="A200" s="22"/>
      <c r="B200" s="22"/>
      <c r="C200" s="22"/>
      <c r="D200" s="22"/>
      <c r="E200" s="22"/>
      <c r="F200" s="22"/>
      <c r="G200" s="6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17"/>
      <c r="V200" s="22"/>
      <c r="W200" s="22"/>
      <c r="X200" s="17"/>
      <c r="Y200" s="17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</row>
    <row r="201" spans="1:48" x14ac:dyDescent="0.25">
      <c r="A201" s="22"/>
      <c r="B201" s="22"/>
      <c r="C201" s="22"/>
      <c r="D201" s="22"/>
      <c r="E201" s="22"/>
      <c r="F201" s="22"/>
      <c r="G201" s="6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17"/>
      <c r="V201" s="22"/>
      <c r="W201" s="22"/>
      <c r="X201" s="17"/>
      <c r="Y201" s="17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</row>
    <row r="202" spans="1:48" x14ac:dyDescent="0.25">
      <c r="A202" s="22"/>
      <c r="B202" s="22"/>
      <c r="C202" s="22"/>
      <c r="D202" s="22"/>
      <c r="E202" s="22"/>
      <c r="F202" s="22"/>
      <c r="G202" s="6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17"/>
      <c r="V202" s="22"/>
      <c r="W202" s="22"/>
      <c r="X202" s="17"/>
      <c r="Y202" s="17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</row>
    <row r="203" spans="1:48" x14ac:dyDescent="0.25">
      <c r="A203" s="22"/>
      <c r="B203" s="22"/>
      <c r="C203" s="22"/>
      <c r="D203" s="22"/>
      <c r="E203" s="22"/>
      <c r="F203" s="22"/>
      <c r="G203" s="6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17"/>
      <c r="V203" s="22"/>
      <c r="W203" s="22"/>
      <c r="X203" s="17"/>
      <c r="Y203" s="17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</row>
    <row r="204" spans="1:48" x14ac:dyDescent="0.25">
      <c r="A204" s="22"/>
      <c r="B204" s="22"/>
      <c r="C204" s="22"/>
      <c r="D204" s="22"/>
      <c r="E204" s="22"/>
      <c r="F204" s="22"/>
      <c r="G204" s="6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17"/>
      <c r="V204" s="22"/>
      <c r="W204" s="22"/>
      <c r="X204" s="17"/>
      <c r="Y204" s="17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</row>
    <row r="205" spans="1:48" x14ac:dyDescent="0.25">
      <c r="A205" s="22"/>
      <c r="B205" s="22"/>
      <c r="C205" s="22"/>
      <c r="D205" s="22"/>
      <c r="E205" s="22"/>
      <c r="F205" s="22"/>
      <c r="G205" s="6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17"/>
      <c r="V205" s="22"/>
      <c r="W205" s="22"/>
      <c r="X205" s="17"/>
      <c r="Y205" s="17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</row>
    <row r="206" spans="1:48" x14ac:dyDescent="0.25">
      <c r="A206" s="22"/>
      <c r="B206" s="22"/>
      <c r="C206" s="22"/>
      <c r="D206" s="22"/>
      <c r="E206" s="22"/>
      <c r="F206" s="22"/>
      <c r="G206" s="6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17"/>
      <c r="V206" s="22"/>
      <c r="W206" s="22"/>
      <c r="X206" s="17"/>
      <c r="Y206" s="17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</row>
    <row r="207" spans="1:48" x14ac:dyDescent="0.25">
      <c r="A207" s="22"/>
      <c r="B207" s="22"/>
      <c r="C207" s="22"/>
      <c r="D207" s="22"/>
      <c r="E207" s="22"/>
      <c r="F207" s="22"/>
      <c r="G207" s="6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17"/>
      <c r="V207" s="22"/>
      <c r="W207" s="22"/>
      <c r="X207" s="17"/>
      <c r="Y207" s="17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</row>
    <row r="208" spans="1:48" x14ac:dyDescent="0.25">
      <c r="A208" s="22"/>
      <c r="B208" s="22"/>
      <c r="C208" s="22"/>
      <c r="D208" s="22"/>
      <c r="E208" s="22"/>
      <c r="F208" s="22"/>
      <c r="G208" s="6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17"/>
      <c r="V208" s="22"/>
      <c r="W208" s="22"/>
      <c r="X208" s="17"/>
      <c r="Y208" s="17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</row>
    <row r="209" spans="1:48" x14ac:dyDescent="0.25">
      <c r="A209" s="22"/>
      <c r="B209" s="22"/>
      <c r="C209" s="22"/>
      <c r="D209" s="22"/>
      <c r="E209" s="22"/>
      <c r="F209" s="22"/>
      <c r="G209" s="6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17"/>
      <c r="V209" s="22"/>
      <c r="W209" s="22"/>
      <c r="X209" s="17"/>
      <c r="Y209" s="17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</row>
    <row r="210" spans="1:48" x14ac:dyDescent="0.25">
      <c r="A210" s="22"/>
      <c r="B210" s="22"/>
      <c r="C210" s="22"/>
      <c r="D210" s="22"/>
      <c r="E210" s="22"/>
      <c r="F210" s="22"/>
      <c r="G210" s="6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17"/>
      <c r="V210" s="22"/>
      <c r="W210" s="22"/>
      <c r="X210" s="17"/>
      <c r="Y210" s="17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</row>
    <row r="211" spans="1:48" x14ac:dyDescent="0.25">
      <c r="A211" s="22"/>
      <c r="B211" s="22"/>
      <c r="C211" s="22"/>
      <c r="D211" s="22"/>
      <c r="E211" s="22"/>
      <c r="F211" s="22"/>
      <c r="G211" s="6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17"/>
      <c r="V211" s="22"/>
      <c r="W211" s="22"/>
      <c r="X211" s="17"/>
      <c r="Y211" s="17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</row>
    <row r="212" spans="1:48" x14ac:dyDescent="0.25">
      <c r="A212" s="22"/>
      <c r="B212" s="22"/>
      <c r="C212" s="22"/>
      <c r="D212" s="22"/>
      <c r="E212" s="22"/>
      <c r="F212" s="22"/>
      <c r="G212" s="6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17"/>
      <c r="V212" s="22"/>
      <c r="W212" s="22"/>
      <c r="X212" s="17"/>
      <c r="Y212" s="17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</row>
    <row r="213" spans="1:48" x14ac:dyDescent="0.25">
      <c r="A213" s="22"/>
      <c r="B213" s="22"/>
      <c r="C213" s="22"/>
      <c r="D213" s="22"/>
      <c r="E213" s="22"/>
      <c r="F213" s="22"/>
      <c r="G213" s="6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17"/>
      <c r="V213" s="22"/>
      <c r="W213" s="22"/>
      <c r="X213" s="17"/>
      <c r="Y213" s="17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</row>
    <row r="214" spans="1:48" x14ac:dyDescent="0.25">
      <c r="A214" s="22"/>
      <c r="B214" s="22"/>
      <c r="C214" s="22"/>
      <c r="D214" s="22"/>
      <c r="E214" s="22"/>
      <c r="F214" s="22"/>
      <c r="G214" s="6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17"/>
      <c r="V214" s="22"/>
      <c r="W214" s="22"/>
      <c r="X214" s="17"/>
      <c r="Y214" s="17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</row>
    <row r="215" spans="1:48" x14ac:dyDescent="0.25">
      <c r="A215" s="22"/>
      <c r="B215" s="22"/>
      <c r="C215" s="22"/>
      <c r="D215" s="22"/>
      <c r="E215" s="22"/>
      <c r="F215" s="22"/>
      <c r="G215" s="6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17"/>
      <c r="V215" s="22"/>
      <c r="W215" s="22"/>
      <c r="X215" s="17"/>
      <c r="Y215" s="17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</row>
    <row r="216" spans="1:48" x14ac:dyDescent="0.25">
      <c r="A216" s="22"/>
      <c r="B216" s="22"/>
      <c r="C216" s="22"/>
      <c r="D216" s="22"/>
      <c r="E216" s="22"/>
      <c r="F216" s="22"/>
      <c r="G216" s="6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17"/>
      <c r="V216" s="22"/>
      <c r="W216" s="22"/>
      <c r="X216" s="17"/>
      <c r="Y216" s="17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</row>
    <row r="217" spans="1:48" x14ac:dyDescent="0.25">
      <c r="A217" s="22"/>
      <c r="B217" s="22"/>
      <c r="C217" s="22"/>
      <c r="D217" s="22"/>
      <c r="E217" s="22"/>
      <c r="F217" s="22"/>
      <c r="G217" s="6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17"/>
      <c r="V217" s="22"/>
      <c r="W217" s="22"/>
      <c r="X217" s="17"/>
      <c r="Y217" s="17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</row>
    <row r="218" spans="1:48" x14ac:dyDescent="0.25">
      <c r="A218" s="22"/>
      <c r="B218" s="22"/>
      <c r="C218" s="22"/>
      <c r="D218" s="22"/>
      <c r="E218" s="22"/>
      <c r="F218" s="22"/>
      <c r="G218" s="6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17"/>
      <c r="V218" s="22"/>
      <c r="W218" s="22"/>
      <c r="X218" s="17"/>
      <c r="Y218" s="17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</row>
    <row r="219" spans="1:48" x14ac:dyDescent="0.25">
      <c r="A219" s="22"/>
      <c r="B219" s="22"/>
      <c r="C219" s="22"/>
      <c r="D219" s="22"/>
      <c r="E219" s="22"/>
      <c r="F219" s="22"/>
      <c r="G219" s="6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17"/>
      <c r="V219" s="22"/>
      <c r="W219" s="22"/>
      <c r="X219" s="17"/>
      <c r="Y219" s="17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</row>
    <row r="220" spans="1:48" x14ac:dyDescent="0.25">
      <c r="A220" s="22"/>
      <c r="B220" s="22"/>
      <c r="C220" s="22"/>
      <c r="D220" s="22"/>
      <c r="E220" s="22"/>
      <c r="F220" s="22"/>
      <c r="G220" s="6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17"/>
      <c r="V220" s="22"/>
      <c r="W220" s="22"/>
      <c r="X220" s="17"/>
      <c r="Y220" s="17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</row>
    <row r="221" spans="1:48" x14ac:dyDescent="0.25">
      <c r="A221" s="22"/>
      <c r="B221" s="22"/>
      <c r="C221" s="22"/>
      <c r="D221" s="22"/>
      <c r="E221" s="22"/>
      <c r="F221" s="22"/>
      <c r="G221" s="6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17"/>
      <c r="V221" s="22"/>
      <c r="W221" s="22"/>
      <c r="X221" s="17"/>
      <c r="Y221" s="17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</row>
    <row r="222" spans="1:48" x14ac:dyDescent="0.25">
      <c r="A222" s="22"/>
      <c r="B222" s="22"/>
      <c r="C222" s="22"/>
      <c r="D222" s="22"/>
      <c r="E222" s="22"/>
      <c r="F222" s="22"/>
      <c r="G222" s="6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17"/>
      <c r="V222" s="22"/>
      <c r="W222" s="22"/>
      <c r="X222" s="17"/>
      <c r="Y222" s="17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</row>
    <row r="223" spans="1:48" x14ac:dyDescent="0.25">
      <c r="A223" s="22"/>
      <c r="B223" s="22"/>
      <c r="C223" s="22"/>
      <c r="D223" s="22"/>
      <c r="E223" s="22"/>
      <c r="F223" s="22"/>
      <c r="G223" s="6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17"/>
      <c r="V223" s="22"/>
      <c r="W223" s="22"/>
      <c r="X223" s="17"/>
      <c r="Y223" s="17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</row>
    <row r="224" spans="1:48" x14ac:dyDescent="0.25">
      <c r="A224" s="22"/>
      <c r="B224" s="22"/>
      <c r="C224" s="22"/>
      <c r="D224" s="22"/>
      <c r="E224" s="22"/>
      <c r="F224" s="22"/>
      <c r="G224" s="6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17"/>
      <c r="V224" s="22"/>
      <c r="W224" s="22"/>
      <c r="X224" s="17"/>
      <c r="Y224" s="17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</row>
    <row r="225" spans="1:48" x14ac:dyDescent="0.25">
      <c r="A225" s="22"/>
      <c r="B225" s="22"/>
      <c r="C225" s="22"/>
      <c r="D225" s="22"/>
      <c r="E225" s="22"/>
      <c r="F225" s="22"/>
      <c r="G225" s="6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17"/>
      <c r="V225" s="22"/>
      <c r="W225" s="22"/>
      <c r="X225" s="17"/>
      <c r="Y225" s="17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</row>
    <row r="226" spans="1:48" x14ac:dyDescent="0.25">
      <c r="A226" s="22"/>
      <c r="B226" s="22"/>
      <c r="C226" s="22"/>
      <c r="D226" s="22"/>
      <c r="E226" s="22"/>
      <c r="F226" s="22"/>
      <c r="G226" s="6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17"/>
      <c r="V226" s="22"/>
      <c r="W226" s="22"/>
      <c r="X226" s="17"/>
      <c r="Y226" s="17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</row>
    <row r="227" spans="1:48" x14ac:dyDescent="0.25">
      <c r="A227" s="22"/>
      <c r="B227" s="22"/>
      <c r="C227" s="22"/>
      <c r="D227" s="22"/>
      <c r="E227" s="22"/>
      <c r="F227" s="22"/>
      <c r="G227" s="6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17"/>
      <c r="V227" s="22"/>
      <c r="W227" s="22"/>
      <c r="X227" s="17"/>
      <c r="Y227" s="17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</row>
    <row r="228" spans="1:48" x14ac:dyDescent="0.25">
      <c r="A228" s="22"/>
      <c r="B228" s="22"/>
      <c r="C228" s="22"/>
      <c r="D228" s="22"/>
      <c r="E228" s="22"/>
      <c r="F228" s="22"/>
      <c r="G228" s="6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17"/>
      <c r="V228" s="22"/>
      <c r="W228" s="22"/>
      <c r="X228" s="17"/>
      <c r="Y228" s="17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</row>
    <row r="229" spans="1:48" x14ac:dyDescent="0.25">
      <c r="A229" s="22"/>
      <c r="B229" s="22"/>
      <c r="C229" s="22"/>
      <c r="D229" s="22"/>
      <c r="E229" s="22"/>
      <c r="F229" s="22"/>
      <c r="G229" s="6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17"/>
      <c r="V229" s="22"/>
      <c r="W229" s="22"/>
      <c r="X229" s="17"/>
      <c r="Y229" s="17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</row>
    <row r="230" spans="1:48" x14ac:dyDescent="0.25">
      <c r="A230" s="22"/>
      <c r="B230" s="22"/>
      <c r="C230" s="22"/>
      <c r="D230" s="22"/>
      <c r="E230" s="22"/>
      <c r="F230" s="22"/>
      <c r="G230" s="6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17"/>
      <c r="V230" s="22"/>
      <c r="W230" s="22"/>
      <c r="X230" s="17"/>
      <c r="Y230" s="17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</row>
    <row r="231" spans="1:48" x14ac:dyDescent="0.25">
      <c r="A231" s="22"/>
      <c r="B231" s="22"/>
      <c r="C231" s="22"/>
      <c r="D231" s="22"/>
      <c r="E231" s="22"/>
      <c r="F231" s="22"/>
      <c r="G231" s="6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17"/>
      <c r="V231" s="22"/>
      <c r="W231" s="22"/>
      <c r="X231" s="17"/>
      <c r="Y231" s="17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</row>
    <row r="232" spans="1:48" x14ac:dyDescent="0.25">
      <c r="A232" s="22"/>
      <c r="B232" s="22"/>
      <c r="C232" s="22"/>
      <c r="D232" s="22"/>
      <c r="E232" s="22"/>
      <c r="F232" s="22"/>
      <c r="G232" s="6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17"/>
      <c r="V232" s="22"/>
      <c r="W232" s="22"/>
      <c r="X232" s="17"/>
      <c r="Y232" s="17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</row>
    <row r="233" spans="1:48" x14ac:dyDescent="0.25">
      <c r="A233" s="22"/>
      <c r="B233" s="22"/>
      <c r="C233" s="22"/>
      <c r="D233" s="22"/>
      <c r="E233" s="22"/>
      <c r="F233" s="22"/>
      <c r="G233" s="6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17"/>
      <c r="V233" s="22"/>
      <c r="W233" s="22"/>
      <c r="X233" s="17"/>
      <c r="Y233" s="17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</row>
    <row r="234" spans="1:48" x14ac:dyDescent="0.25">
      <c r="A234" s="22"/>
      <c r="B234" s="22"/>
      <c r="C234" s="22"/>
      <c r="D234" s="22"/>
      <c r="E234" s="22"/>
      <c r="F234" s="22"/>
      <c r="G234" s="6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17"/>
      <c r="V234" s="22"/>
      <c r="W234" s="22"/>
      <c r="X234" s="17"/>
      <c r="Y234" s="17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</row>
    <row r="235" spans="1:48" x14ac:dyDescent="0.25">
      <c r="A235" s="22"/>
      <c r="B235" s="22"/>
      <c r="C235" s="22"/>
      <c r="D235" s="22"/>
      <c r="E235" s="22"/>
      <c r="F235" s="22"/>
      <c r="G235" s="6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17"/>
      <c r="V235" s="22"/>
      <c r="W235" s="22"/>
      <c r="X235" s="17"/>
      <c r="Y235" s="17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</row>
    <row r="236" spans="1:48" x14ac:dyDescent="0.25">
      <c r="A236" s="22"/>
      <c r="B236" s="22"/>
      <c r="C236" s="22"/>
      <c r="D236" s="22"/>
      <c r="E236" s="22"/>
      <c r="F236" s="22"/>
      <c r="G236" s="6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17"/>
      <c r="V236" s="22"/>
      <c r="W236" s="22"/>
      <c r="X236" s="17"/>
      <c r="Y236" s="17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</row>
    <row r="237" spans="1:48" x14ac:dyDescent="0.25">
      <c r="A237" s="22"/>
      <c r="B237" s="22"/>
      <c r="C237" s="22"/>
      <c r="D237" s="22"/>
      <c r="E237" s="22"/>
      <c r="F237" s="22"/>
      <c r="G237" s="6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17"/>
      <c r="V237" s="22"/>
      <c r="W237" s="22"/>
      <c r="X237" s="17"/>
      <c r="Y237" s="17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</row>
    <row r="238" spans="1:48" x14ac:dyDescent="0.25">
      <c r="A238" s="22"/>
      <c r="B238" s="22"/>
      <c r="C238" s="22"/>
      <c r="D238" s="22"/>
      <c r="E238" s="22"/>
      <c r="F238" s="22"/>
      <c r="G238" s="6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17"/>
      <c r="V238" s="22"/>
      <c r="W238" s="22"/>
      <c r="X238" s="17"/>
      <c r="Y238" s="17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</row>
    <row r="239" spans="1:48" x14ac:dyDescent="0.25">
      <c r="A239" s="22"/>
      <c r="B239" s="22"/>
      <c r="C239" s="22"/>
      <c r="D239" s="22"/>
      <c r="E239" s="22"/>
      <c r="F239" s="22"/>
      <c r="G239" s="6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17"/>
      <c r="V239" s="22"/>
      <c r="W239" s="22"/>
      <c r="X239" s="17"/>
      <c r="Y239" s="17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</row>
    <row r="240" spans="1:48" x14ac:dyDescent="0.25">
      <c r="A240" s="22"/>
      <c r="B240" s="22"/>
      <c r="C240" s="22"/>
      <c r="D240" s="22"/>
      <c r="E240" s="22"/>
      <c r="F240" s="22"/>
      <c r="G240" s="6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17"/>
      <c r="V240" s="22"/>
      <c r="W240" s="22"/>
      <c r="X240" s="17"/>
      <c r="Y240" s="17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</row>
    <row r="241" spans="1:48" x14ac:dyDescent="0.25">
      <c r="A241" s="22"/>
      <c r="B241" s="22"/>
      <c r="C241" s="22"/>
      <c r="D241" s="22"/>
      <c r="E241" s="22"/>
      <c r="F241" s="22"/>
      <c r="G241" s="6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17"/>
      <c r="V241" s="22"/>
      <c r="W241" s="22"/>
      <c r="X241" s="17"/>
      <c r="Y241" s="17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</row>
    <row r="242" spans="1:48" x14ac:dyDescent="0.25">
      <c r="A242" s="22"/>
      <c r="B242" s="22"/>
      <c r="C242" s="22"/>
      <c r="D242" s="22"/>
      <c r="E242" s="22"/>
      <c r="F242" s="22"/>
      <c r="G242" s="6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17"/>
      <c r="V242" s="22"/>
      <c r="W242" s="22"/>
      <c r="X242" s="17"/>
      <c r="Y242" s="17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</row>
    <row r="243" spans="1:48" x14ac:dyDescent="0.25">
      <c r="A243" s="22"/>
      <c r="B243" s="22"/>
      <c r="C243" s="22"/>
      <c r="D243" s="22"/>
      <c r="E243" s="22"/>
      <c r="F243" s="22"/>
      <c r="G243" s="6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17"/>
      <c r="V243" s="22"/>
      <c r="W243" s="22"/>
      <c r="X243" s="17"/>
      <c r="Y243" s="17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</row>
    <row r="244" spans="1:48" x14ac:dyDescent="0.25">
      <c r="A244" s="22"/>
      <c r="B244" s="22"/>
      <c r="C244" s="22"/>
      <c r="D244" s="22"/>
      <c r="E244" s="22"/>
      <c r="F244" s="22"/>
      <c r="G244" s="6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17"/>
      <c r="V244" s="22"/>
      <c r="W244" s="22"/>
      <c r="X244" s="17"/>
      <c r="Y244" s="17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</row>
    <row r="245" spans="1:48" x14ac:dyDescent="0.25">
      <c r="A245" s="22"/>
      <c r="B245" s="22"/>
      <c r="C245" s="22"/>
      <c r="D245" s="22"/>
      <c r="E245" s="22"/>
      <c r="F245" s="22"/>
      <c r="G245" s="6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17"/>
      <c r="V245" s="22"/>
      <c r="W245" s="22"/>
      <c r="X245" s="17"/>
      <c r="Y245" s="17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</row>
    <row r="246" spans="1:48" x14ac:dyDescent="0.25">
      <c r="A246" s="22"/>
      <c r="B246" s="22"/>
      <c r="C246" s="22"/>
      <c r="D246" s="22"/>
      <c r="E246" s="22"/>
      <c r="F246" s="22"/>
      <c r="G246" s="6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17"/>
      <c r="V246" s="22"/>
      <c r="W246" s="22"/>
      <c r="X246" s="17"/>
      <c r="Y246" s="17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</row>
    <row r="247" spans="1:48" x14ac:dyDescent="0.25">
      <c r="A247" s="22"/>
      <c r="B247" s="22"/>
      <c r="C247" s="22"/>
      <c r="D247" s="22"/>
      <c r="E247" s="22"/>
      <c r="F247" s="22"/>
      <c r="G247" s="6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17"/>
      <c r="V247" s="22"/>
      <c r="W247" s="22"/>
      <c r="X247" s="17"/>
      <c r="Y247" s="17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</row>
    <row r="248" spans="1:48" x14ac:dyDescent="0.25">
      <c r="A248" s="22"/>
      <c r="B248" s="22"/>
      <c r="C248" s="22"/>
      <c r="D248" s="22"/>
      <c r="E248" s="22"/>
      <c r="F248" s="22"/>
      <c r="G248" s="6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17"/>
      <c r="V248" s="22"/>
      <c r="W248" s="22"/>
      <c r="X248" s="17"/>
      <c r="Y248" s="17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</row>
    <row r="249" spans="1:48" x14ac:dyDescent="0.25">
      <c r="A249" s="22"/>
      <c r="B249" s="22"/>
      <c r="C249" s="22"/>
      <c r="D249" s="22"/>
      <c r="E249" s="22"/>
      <c r="F249" s="22"/>
      <c r="G249" s="6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17"/>
      <c r="V249" s="22"/>
      <c r="W249" s="22"/>
      <c r="X249" s="17"/>
      <c r="Y249" s="17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</row>
    <row r="250" spans="1:48" x14ac:dyDescent="0.25">
      <c r="A250" s="22"/>
      <c r="B250" s="22"/>
      <c r="C250" s="22"/>
      <c r="D250" s="22"/>
      <c r="E250" s="22"/>
      <c r="F250" s="22"/>
      <c r="G250" s="6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17"/>
      <c r="V250" s="22"/>
      <c r="W250" s="22"/>
      <c r="X250" s="17"/>
      <c r="Y250" s="17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</row>
    <row r="251" spans="1:48" x14ac:dyDescent="0.25">
      <c r="A251" s="22"/>
      <c r="B251" s="22"/>
      <c r="C251" s="22"/>
      <c r="D251" s="22"/>
      <c r="E251" s="22"/>
      <c r="F251" s="22"/>
      <c r="G251" s="6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17"/>
      <c r="V251" s="22"/>
      <c r="W251" s="22"/>
      <c r="X251" s="17"/>
      <c r="Y251" s="17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</row>
    <row r="252" spans="1:48" x14ac:dyDescent="0.25">
      <c r="A252" s="22"/>
      <c r="B252" s="22"/>
      <c r="C252" s="22"/>
      <c r="D252" s="22"/>
      <c r="E252" s="22"/>
      <c r="F252" s="22"/>
      <c r="G252" s="6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17"/>
      <c r="V252" s="22"/>
      <c r="W252" s="22"/>
      <c r="X252" s="17"/>
      <c r="Y252" s="17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</row>
    <row r="253" spans="1:48" x14ac:dyDescent="0.25">
      <c r="A253" s="22"/>
      <c r="B253" s="22"/>
      <c r="C253" s="22"/>
      <c r="D253" s="22"/>
      <c r="E253" s="22"/>
      <c r="F253" s="22"/>
      <c r="G253" s="6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17"/>
      <c r="V253" s="22"/>
      <c r="W253" s="22"/>
      <c r="X253" s="17"/>
      <c r="Y253" s="17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</row>
    <row r="254" spans="1:48" x14ac:dyDescent="0.25">
      <c r="A254" s="22"/>
      <c r="B254" s="22"/>
      <c r="C254" s="22"/>
      <c r="D254" s="22"/>
      <c r="E254" s="22"/>
      <c r="F254" s="22"/>
      <c r="G254" s="6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17"/>
      <c r="V254" s="22"/>
      <c r="W254" s="22"/>
      <c r="X254" s="17"/>
      <c r="Y254" s="17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</row>
    <row r="255" spans="1:48" x14ac:dyDescent="0.25">
      <c r="A255" s="22"/>
      <c r="B255" s="22"/>
      <c r="C255" s="22"/>
      <c r="D255" s="22"/>
      <c r="E255" s="22"/>
      <c r="F255" s="22"/>
      <c r="G255" s="6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17"/>
      <c r="V255" s="22"/>
      <c r="W255" s="22"/>
      <c r="X255" s="17"/>
      <c r="Y255" s="17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</row>
    <row r="256" spans="1:48" x14ac:dyDescent="0.25">
      <c r="A256" s="22"/>
      <c r="B256" s="22"/>
      <c r="C256" s="22"/>
      <c r="D256" s="22"/>
      <c r="E256" s="22"/>
      <c r="F256" s="22"/>
      <c r="G256" s="6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17"/>
      <c r="V256" s="22"/>
      <c r="W256" s="22"/>
      <c r="X256" s="17"/>
      <c r="Y256" s="17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</row>
    <row r="257" spans="1:48" x14ac:dyDescent="0.25">
      <c r="A257" s="22"/>
      <c r="B257" s="22"/>
      <c r="C257" s="22"/>
      <c r="D257" s="22"/>
      <c r="E257" s="22"/>
      <c r="F257" s="22"/>
      <c r="G257" s="6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17"/>
      <c r="V257" s="22"/>
      <c r="W257" s="22"/>
      <c r="X257" s="17"/>
      <c r="Y257" s="17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</row>
    <row r="258" spans="1:48" x14ac:dyDescent="0.25">
      <c r="A258" s="22"/>
      <c r="B258" s="22"/>
      <c r="C258" s="22"/>
      <c r="D258" s="22"/>
      <c r="E258" s="22"/>
      <c r="F258" s="22"/>
      <c r="G258" s="6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17"/>
      <c r="V258" s="22"/>
      <c r="W258" s="22"/>
      <c r="X258" s="17"/>
      <c r="Y258" s="17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</row>
    <row r="259" spans="1:48" x14ac:dyDescent="0.25">
      <c r="A259" s="22"/>
      <c r="B259" s="22"/>
      <c r="C259" s="22"/>
      <c r="D259" s="22"/>
      <c r="E259" s="22"/>
      <c r="F259" s="22"/>
      <c r="G259" s="6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17"/>
      <c r="V259" s="22"/>
      <c r="W259" s="22"/>
      <c r="X259" s="17"/>
      <c r="Y259" s="17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</row>
    <row r="260" spans="1:48" x14ac:dyDescent="0.25">
      <c r="A260" s="22"/>
      <c r="B260" s="22"/>
      <c r="C260" s="22"/>
      <c r="D260" s="22"/>
      <c r="E260" s="22"/>
      <c r="F260" s="22"/>
      <c r="G260" s="6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17"/>
      <c r="V260" s="22"/>
      <c r="W260" s="22"/>
      <c r="X260" s="17"/>
      <c r="Y260" s="17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</row>
    <row r="261" spans="1:48" x14ac:dyDescent="0.25">
      <c r="A261" s="22"/>
      <c r="B261" s="22"/>
      <c r="C261" s="22"/>
      <c r="D261" s="22"/>
      <c r="E261" s="22"/>
      <c r="F261" s="22"/>
      <c r="G261" s="6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17"/>
      <c r="V261" s="22"/>
      <c r="W261" s="22"/>
      <c r="X261" s="17"/>
      <c r="Y261" s="17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</row>
    <row r="262" spans="1:48" x14ac:dyDescent="0.25">
      <c r="A262" s="22"/>
      <c r="B262" s="22"/>
      <c r="C262" s="22"/>
      <c r="D262" s="22"/>
      <c r="E262" s="22"/>
      <c r="F262" s="22"/>
      <c r="G262" s="6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17"/>
      <c r="V262" s="22"/>
      <c r="W262" s="22"/>
      <c r="X262" s="17"/>
      <c r="Y262" s="17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</row>
    <row r="263" spans="1:48" x14ac:dyDescent="0.25">
      <c r="A263" s="22"/>
      <c r="B263" s="22"/>
      <c r="C263" s="22"/>
      <c r="D263" s="22"/>
      <c r="E263" s="22"/>
      <c r="F263" s="22"/>
      <c r="G263" s="6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17"/>
      <c r="V263" s="22"/>
      <c r="W263" s="22"/>
      <c r="X263" s="17"/>
      <c r="Y263" s="17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</row>
    <row r="264" spans="1:48" x14ac:dyDescent="0.25">
      <c r="A264" s="22"/>
      <c r="B264" s="22"/>
      <c r="C264" s="22"/>
      <c r="D264" s="22"/>
      <c r="E264" s="22"/>
      <c r="F264" s="22"/>
      <c r="G264" s="6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17"/>
      <c r="V264" s="22"/>
      <c r="W264" s="22"/>
      <c r="X264" s="17"/>
      <c r="Y264" s="17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</row>
    <row r="265" spans="1:48" x14ac:dyDescent="0.25">
      <c r="A265" s="22"/>
      <c r="B265" s="22"/>
      <c r="C265" s="22"/>
      <c r="D265" s="22"/>
      <c r="E265" s="22"/>
      <c r="F265" s="22"/>
      <c r="G265" s="6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17"/>
      <c r="V265" s="22"/>
      <c r="W265" s="22"/>
      <c r="X265" s="17"/>
      <c r="Y265" s="17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</row>
    <row r="266" spans="1:48" x14ac:dyDescent="0.25">
      <c r="A266" s="22"/>
      <c r="B266" s="22"/>
      <c r="C266" s="22"/>
      <c r="D266" s="22"/>
      <c r="E266" s="22"/>
      <c r="F266" s="22"/>
      <c r="G266" s="6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17"/>
      <c r="V266" s="22"/>
      <c r="W266" s="22"/>
      <c r="X266" s="17"/>
      <c r="Y266" s="17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</row>
    <row r="267" spans="1:48" x14ac:dyDescent="0.25">
      <c r="A267" s="22"/>
      <c r="B267" s="22"/>
      <c r="C267" s="22"/>
      <c r="D267" s="22"/>
      <c r="E267" s="22"/>
      <c r="F267" s="22"/>
      <c r="G267" s="6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17"/>
      <c r="V267" s="22"/>
      <c r="W267" s="22"/>
      <c r="X267" s="17"/>
      <c r="Y267" s="17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</row>
    <row r="268" spans="1:48" x14ac:dyDescent="0.25">
      <c r="A268" s="22"/>
      <c r="B268" s="22"/>
      <c r="C268" s="22"/>
      <c r="D268" s="22"/>
      <c r="E268" s="22"/>
      <c r="F268" s="22"/>
      <c r="G268" s="6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17"/>
      <c r="V268" s="22"/>
      <c r="W268" s="22"/>
      <c r="X268" s="17"/>
      <c r="Y268" s="17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</row>
    <row r="269" spans="1:48" x14ac:dyDescent="0.25">
      <c r="A269" s="22"/>
      <c r="B269" s="22"/>
      <c r="C269" s="22"/>
      <c r="D269" s="22"/>
      <c r="E269" s="22"/>
      <c r="F269" s="22"/>
      <c r="G269" s="6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17"/>
      <c r="V269" s="22"/>
      <c r="W269" s="22"/>
      <c r="X269" s="17"/>
      <c r="Y269" s="17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</row>
    <row r="270" spans="1:48" x14ac:dyDescent="0.25">
      <c r="A270" s="22"/>
      <c r="B270" s="22"/>
      <c r="C270" s="22"/>
      <c r="D270" s="22"/>
      <c r="E270" s="22"/>
      <c r="F270" s="22"/>
      <c r="G270" s="6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17"/>
      <c r="V270" s="22"/>
      <c r="W270" s="22"/>
      <c r="X270" s="17"/>
      <c r="Y270" s="17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</row>
    <row r="271" spans="1:48" x14ac:dyDescent="0.25">
      <c r="A271" s="22"/>
      <c r="B271" s="22"/>
      <c r="C271" s="22"/>
      <c r="D271" s="22"/>
      <c r="E271" s="22"/>
      <c r="F271" s="22"/>
      <c r="G271" s="6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17"/>
      <c r="V271" s="22"/>
      <c r="W271" s="22"/>
      <c r="X271" s="17"/>
      <c r="Y271" s="17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</row>
    <row r="272" spans="1:48" x14ac:dyDescent="0.25">
      <c r="A272" s="22"/>
      <c r="B272" s="22"/>
      <c r="C272" s="22"/>
      <c r="D272" s="22"/>
      <c r="E272" s="22"/>
      <c r="F272" s="22"/>
      <c r="G272" s="6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17"/>
      <c r="V272" s="22"/>
      <c r="W272" s="22"/>
      <c r="X272" s="17"/>
      <c r="Y272" s="17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</row>
    <row r="273" spans="1:48" x14ac:dyDescent="0.25">
      <c r="A273" s="22"/>
      <c r="B273" s="22"/>
      <c r="C273" s="22"/>
      <c r="D273" s="22"/>
      <c r="E273" s="22"/>
      <c r="F273" s="22"/>
      <c r="G273" s="6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17"/>
      <c r="V273" s="22"/>
      <c r="W273" s="22"/>
      <c r="X273" s="17"/>
      <c r="Y273" s="17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</row>
    <row r="274" spans="1:48" x14ac:dyDescent="0.25">
      <c r="A274" s="22"/>
      <c r="B274" s="22"/>
      <c r="C274" s="22"/>
      <c r="D274" s="22"/>
      <c r="E274" s="22"/>
      <c r="F274" s="22"/>
      <c r="G274" s="6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17"/>
      <c r="V274" s="22"/>
      <c r="W274" s="22"/>
      <c r="X274" s="17"/>
      <c r="Y274" s="17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</row>
    <row r="275" spans="1:48" x14ac:dyDescent="0.25">
      <c r="A275" s="22"/>
      <c r="B275" s="22"/>
      <c r="C275" s="22"/>
      <c r="D275" s="22"/>
      <c r="E275" s="22"/>
      <c r="F275" s="22"/>
      <c r="G275" s="6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17"/>
      <c r="V275" s="22"/>
      <c r="W275" s="22"/>
      <c r="X275" s="17"/>
      <c r="Y275" s="17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</row>
    <row r="276" spans="1:48" x14ac:dyDescent="0.25">
      <c r="A276" s="22"/>
      <c r="B276" s="22"/>
      <c r="C276" s="22"/>
      <c r="D276" s="22"/>
      <c r="E276" s="22"/>
      <c r="F276" s="22"/>
      <c r="G276" s="6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17"/>
      <c r="V276" s="22"/>
      <c r="W276" s="22"/>
      <c r="X276" s="17"/>
      <c r="Y276" s="17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</row>
    <row r="277" spans="1:48" x14ac:dyDescent="0.25">
      <c r="A277" s="22"/>
      <c r="B277" s="22"/>
      <c r="C277" s="22"/>
      <c r="D277" s="22"/>
      <c r="E277" s="22"/>
      <c r="F277" s="22"/>
      <c r="G277" s="6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17"/>
      <c r="V277" s="22"/>
      <c r="W277" s="22"/>
      <c r="X277" s="17"/>
      <c r="Y277" s="17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</row>
    <row r="278" spans="1:48" x14ac:dyDescent="0.25">
      <c r="A278" s="22"/>
      <c r="B278" s="22"/>
      <c r="C278" s="22"/>
      <c r="D278" s="22"/>
      <c r="E278" s="22"/>
      <c r="F278" s="22"/>
      <c r="G278" s="6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17"/>
      <c r="V278" s="22"/>
      <c r="W278" s="22"/>
      <c r="X278" s="17"/>
      <c r="Y278" s="17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</row>
    <row r="279" spans="1:48" x14ac:dyDescent="0.25">
      <c r="A279" s="22"/>
      <c r="B279" s="22"/>
      <c r="C279" s="22"/>
      <c r="D279" s="22"/>
      <c r="E279" s="22"/>
      <c r="F279" s="22"/>
      <c r="G279" s="6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17"/>
      <c r="V279" s="22"/>
      <c r="W279" s="22"/>
      <c r="X279" s="17"/>
      <c r="Y279" s="17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</row>
    <row r="280" spans="1:48" x14ac:dyDescent="0.25">
      <c r="A280" s="22"/>
      <c r="B280" s="22"/>
      <c r="C280" s="22"/>
      <c r="D280" s="22"/>
      <c r="E280" s="22"/>
      <c r="F280" s="22"/>
      <c r="G280" s="6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17"/>
      <c r="V280" s="22"/>
      <c r="W280" s="22"/>
      <c r="X280" s="17"/>
      <c r="Y280" s="17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</row>
    <row r="281" spans="1:48" x14ac:dyDescent="0.25">
      <c r="A281" s="22"/>
      <c r="B281" s="22"/>
      <c r="C281" s="22"/>
      <c r="D281" s="22"/>
      <c r="E281" s="22"/>
      <c r="F281" s="22"/>
      <c r="G281" s="6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17"/>
      <c r="V281" s="22"/>
      <c r="W281" s="22"/>
      <c r="X281" s="17"/>
      <c r="Y281" s="17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</row>
    <row r="282" spans="1:48" x14ac:dyDescent="0.25">
      <c r="A282" s="22"/>
      <c r="B282" s="22"/>
      <c r="C282" s="22"/>
      <c r="D282" s="22"/>
      <c r="E282" s="22"/>
      <c r="F282" s="22"/>
      <c r="G282" s="6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17"/>
      <c r="V282" s="22"/>
      <c r="W282" s="22"/>
      <c r="X282" s="17"/>
      <c r="Y282" s="17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</row>
    <row r="283" spans="1:48" x14ac:dyDescent="0.25">
      <c r="A283" s="22"/>
      <c r="B283" s="22"/>
      <c r="C283" s="22"/>
      <c r="D283" s="22"/>
      <c r="E283" s="22"/>
      <c r="F283" s="22"/>
      <c r="G283" s="6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17"/>
      <c r="V283" s="22"/>
      <c r="W283" s="22"/>
      <c r="X283" s="17"/>
      <c r="Y283" s="17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</row>
    <row r="284" spans="1:48" x14ac:dyDescent="0.25">
      <c r="A284" s="22"/>
      <c r="B284" s="22"/>
      <c r="C284" s="22"/>
      <c r="D284" s="22"/>
      <c r="E284" s="22"/>
      <c r="F284" s="22"/>
      <c r="G284" s="6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17"/>
      <c r="V284" s="22"/>
      <c r="W284" s="22"/>
      <c r="X284" s="17"/>
      <c r="Y284" s="17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</row>
    <row r="285" spans="1:48" x14ac:dyDescent="0.25">
      <c r="A285" s="22"/>
      <c r="B285" s="22"/>
      <c r="C285" s="22"/>
      <c r="D285" s="22"/>
      <c r="E285" s="22"/>
      <c r="F285" s="22"/>
      <c r="G285" s="6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17"/>
      <c r="V285" s="22"/>
      <c r="W285" s="22"/>
      <c r="X285" s="17"/>
      <c r="Y285" s="17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</row>
    <row r="286" spans="1:48" x14ac:dyDescent="0.25">
      <c r="A286" s="22"/>
      <c r="B286" s="22"/>
      <c r="C286" s="22"/>
      <c r="D286" s="22"/>
      <c r="E286" s="22"/>
      <c r="F286" s="22"/>
      <c r="G286" s="6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17"/>
      <c r="V286" s="22"/>
      <c r="W286" s="22"/>
      <c r="X286" s="17"/>
      <c r="Y286" s="17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</row>
    <row r="287" spans="1:48" x14ac:dyDescent="0.25">
      <c r="A287" s="22"/>
      <c r="B287" s="22"/>
      <c r="C287" s="22"/>
      <c r="D287" s="22"/>
      <c r="E287" s="22"/>
      <c r="F287" s="22"/>
      <c r="G287" s="6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17"/>
      <c r="V287" s="22"/>
      <c r="W287" s="22"/>
      <c r="X287" s="17"/>
      <c r="Y287" s="17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</row>
    <row r="288" spans="1:48" x14ac:dyDescent="0.25">
      <c r="A288" s="22"/>
      <c r="B288" s="22"/>
      <c r="C288" s="22"/>
      <c r="D288" s="22"/>
      <c r="E288" s="22"/>
      <c r="F288" s="22"/>
      <c r="G288" s="6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17"/>
      <c r="V288" s="22"/>
      <c r="W288" s="22"/>
      <c r="X288" s="17"/>
      <c r="Y288" s="17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</row>
    <row r="289" spans="1:48" x14ac:dyDescent="0.25">
      <c r="A289" s="22"/>
      <c r="B289" s="22"/>
      <c r="C289" s="22"/>
      <c r="D289" s="22"/>
      <c r="E289" s="22"/>
      <c r="F289" s="22"/>
      <c r="G289" s="6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17"/>
      <c r="V289" s="22"/>
      <c r="W289" s="22"/>
      <c r="X289" s="17"/>
      <c r="Y289" s="17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</row>
    <row r="290" spans="1:48" x14ac:dyDescent="0.25">
      <c r="A290" s="22"/>
      <c r="B290" s="22"/>
      <c r="C290" s="22"/>
      <c r="D290" s="22"/>
      <c r="E290" s="22"/>
      <c r="F290" s="22"/>
      <c r="G290" s="6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17"/>
      <c r="V290" s="22"/>
      <c r="W290" s="22"/>
      <c r="X290" s="17"/>
      <c r="Y290" s="17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</row>
    <row r="291" spans="1:48" x14ac:dyDescent="0.25">
      <c r="A291" s="22"/>
      <c r="B291" s="22"/>
      <c r="C291" s="22"/>
      <c r="D291" s="22"/>
      <c r="E291" s="22"/>
      <c r="F291" s="22"/>
      <c r="G291" s="6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17"/>
      <c r="V291" s="22"/>
      <c r="W291" s="22"/>
      <c r="X291" s="17"/>
      <c r="Y291" s="17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</row>
    <row r="292" spans="1:48" x14ac:dyDescent="0.25">
      <c r="A292" s="22"/>
      <c r="B292" s="22"/>
      <c r="C292" s="22"/>
      <c r="D292" s="22"/>
      <c r="E292" s="22"/>
      <c r="F292" s="22"/>
      <c r="G292" s="6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17"/>
      <c r="V292" s="22"/>
      <c r="W292" s="22"/>
      <c r="X292" s="17"/>
      <c r="Y292" s="17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</row>
    <row r="293" spans="1:48" x14ac:dyDescent="0.25">
      <c r="A293" s="22"/>
      <c r="B293" s="22"/>
      <c r="C293" s="22"/>
      <c r="D293" s="22"/>
      <c r="E293" s="22"/>
      <c r="F293" s="22"/>
      <c r="G293" s="6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17"/>
      <c r="V293" s="22"/>
      <c r="W293" s="22"/>
      <c r="X293" s="17"/>
      <c r="Y293" s="17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</row>
    <row r="294" spans="1:48" x14ac:dyDescent="0.25">
      <c r="A294" s="22"/>
      <c r="B294" s="22"/>
      <c r="C294" s="22"/>
      <c r="D294" s="22"/>
      <c r="E294" s="22"/>
      <c r="F294" s="22"/>
      <c r="G294" s="6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17"/>
      <c r="V294" s="22"/>
      <c r="W294" s="22"/>
      <c r="X294" s="17"/>
      <c r="Y294" s="17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</row>
    <row r="295" spans="1:48" x14ac:dyDescent="0.25">
      <c r="A295" s="22"/>
      <c r="B295" s="22"/>
      <c r="C295" s="22"/>
      <c r="D295" s="22"/>
      <c r="E295" s="22"/>
      <c r="F295" s="22"/>
      <c r="G295" s="6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17"/>
      <c r="V295" s="22"/>
      <c r="W295" s="22"/>
      <c r="X295" s="17"/>
      <c r="Y295" s="17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</row>
    <row r="296" spans="1:48" x14ac:dyDescent="0.25">
      <c r="A296" s="22"/>
      <c r="B296" s="22"/>
      <c r="C296" s="22"/>
      <c r="D296" s="22"/>
      <c r="E296" s="22"/>
      <c r="F296" s="22"/>
      <c r="G296" s="6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17"/>
      <c r="V296" s="22"/>
      <c r="W296" s="22"/>
      <c r="X296" s="17"/>
      <c r="Y296" s="17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</row>
    <row r="297" spans="1:48" x14ac:dyDescent="0.25">
      <c r="A297" s="22"/>
      <c r="B297" s="22"/>
      <c r="C297" s="22"/>
      <c r="D297" s="22"/>
      <c r="E297" s="22"/>
      <c r="F297" s="22"/>
      <c r="G297" s="6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17"/>
      <c r="V297" s="22"/>
      <c r="W297" s="22"/>
      <c r="X297" s="17"/>
      <c r="Y297" s="17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</row>
    <row r="298" spans="1:48" x14ac:dyDescent="0.25">
      <c r="A298" s="22"/>
      <c r="B298" s="22"/>
      <c r="C298" s="22"/>
      <c r="D298" s="22"/>
      <c r="E298" s="22"/>
      <c r="F298" s="22"/>
      <c r="G298" s="6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17"/>
      <c r="V298" s="22"/>
      <c r="W298" s="22"/>
      <c r="X298" s="17"/>
      <c r="Y298" s="17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</row>
    <row r="299" spans="1:48" x14ac:dyDescent="0.25">
      <c r="A299" s="22"/>
      <c r="B299" s="22"/>
      <c r="C299" s="22"/>
      <c r="D299" s="22"/>
      <c r="E299" s="22"/>
      <c r="F299" s="22"/>
      <c r="G299" s="6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17"/>
      <c r="V299" s="22"/>
      <c r="W299" s="22"/>
      <c r="X299" s="17"/>
      <c r="Y299" s="17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</row>
    <row r="300" spans="1:48" x14ac:dyDescent="0.25">
      <c r="A300" s="22"/>
      <c r="B300" s="22"/>
      <c r="C300" s="22"/>
      <c r="D300" s="22"/>
      <c r="E300" s="22"/>
      <c r="F300" s="22"/>
      <c r="G300" s="6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17"/>
      <c r="V300" s="22"/>
      <c r="W300" s="22"/>
      <c r="X300" s="17"/>
      <c r="Y300" s="17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</row>
    <row r="301" spans="1:48" x14ac:dyDescent="0.25">
      <c r="A301" s="22"/>
      <c r="B301" s="22"/>
      <c r="C301" s="22"/>
      <c r="D301" s="22"/>
      <c r="E301" s="22"/>
      <c r="F301" s="22"/>
      <c r="G301" s="6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17"/>
      <c r="V301" s="22"/>
      <c r="W301" s="22"/>
      <c r="X301" s="17"/>
      <c r="Y301" s="17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</row>
    <row r="302" spans="1:48" x14ac:dyDescent="0.25">
      <c r="A302" s="22"/>
      <c r="B302" s="22"/>
      <c r="C302" s="22"/>
      <c r="D302" s="22"/>
      <c r="E302" s="22"/>
      <c r="F302" s="22"/>
      <c r="G302" s="6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17"/>
      <c r="V302" s="22"/>
      <c r="W302" s="22"/>
      <c r="X302" s="17"/>
      <c r="Y302" s="17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</row>
    <row r="303" spans="1:48" x14ac:dyDescent="0.25">
      <c r="A303" s="22"/>
      <c r="B303" s="22"/>
      <c r="C303" s="22"/>
      <c r="D303" s="22"/>
      <c r="E303" s="22"/>
      <c r="F303" s="22"/>
      <c r="G303" s="6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17"/>
      <c r="V303" s="22"/>
      <c r="W303" s="22"/>
      <c r="X303" s="17"/>
      <c r="Y303" s="17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</row>
    <row r="304" spans="1:48" x14ac:dyDescent="0.25">
      <c r="A304" s="22"/>
      <c r="B304" s="22"/>
      <c r="C304" s="22"/>
      <c r="D304" s="22"/>
      <c r="E304" s="22"/>
      <c r="F304" s="22"/>
      <c r="G304" s="6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17"/>
      <c r="V304" s="22"/>
      <c r="W304" s="22"/>
      <c r="X304" s="17"/>
      <c r="Y304" s="17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</row>
    <row r="305" spans="1:48" x14ac:dyDescent="0.25">
      <c r="A305" s="22"/>
      <c r="B305" s="22"/>
      <c r="C305" s="22"/>
      <c r="D305" s="22"/>
      <c r="E305" s="22"/>
      <c r="F305" s="22"/>
      <c r="G305" s="6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17"/>
      <c r="V305" s="22"/>
      <c r="W305" s="22"/>
      <c r="X305" s="17"/>
      <c r="Y305" s="17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</row>
    <row r="306" spans="1:48" x14ac:dyDescent="0.25">
      <c r="A306" s="22"/>
      <c r="B306" s="22"/>
      <c r="C306" s="22"/>
      <c r="D306" s="22"/>
      <c r="E306" s="22"/>
      <c r="F306" s="22"/>
      <c r="G306" s="6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17"/>
      <c r="V306" s="22"/>
      <c r="W306" s="22"/>
      <c r="X306" s="17"/>
      <c r="Y306" s="17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</row>
    <row r="307" spans="1:48" x14ac:dyDescent="0.25">
      <c r="A307" s="22"/>
      <c r="B307" s="22"/>
      <c r="C307" s="22"/>
      <c r="D307" s="22"/>
      <c r="E307" s="22"/>
      <c r="F307" s="22"/>
      <c r="G307" s="6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17"/>
      <c r="V307" s="22"/>
      <c r="W307" s="22"/>
      <c r="X307" s="17"/>
      <c r="Y307" s="17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</row>
    <row r="308" spans="1:48" x14ac:dyDescent="0.25">
      <c r="A308" s="22"/>
      <c r="B308" s="22"/>
      <c r="C308" s="22"/>
      <c r="D308" s="22"/>
      <c r="E308" s="22"/>
      <c r="F308" s="22"/>
      <c r="G308" s="6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17"/>
      <c r="V308" s="22"/>
      <c r="W308" s="22"/>
      <c r="X308" s="17"/>
      <c r="Y308" s="17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</row>
    <row r="309" spans="1:48" x14ac:dyDescent="0.25">
      <c r="A309" s="22"/>
      <c r="B309" s="22"/>
      <c r="C309" s="22"/>
      <c r="D309" s="22"/>
      <c r="E309" s="22"/>
      <c r="F309" s="22"/>
      <c r="G309" s="6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17"/>
      <c r="V309" s="22"/>
      <c r="W309" s="22"/>
      <c r="X309" s="17"/>
      <c r="Y309" s="17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</row>
    <row r="310" spans="1:48" x14ac:dyDescent="0.25">
      <c r="A310" s="22"/>
      <c r="B310" s="22"/>
      <c r="C310" s="22"/>
      <c r="D310" s="22"/>
      <c r="E310" s="22"/>
      <c r="F310" s="22"/>
      <c r="G310" s="6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17"/>
      <c r="V310" s="22"/>
      <c r="W310" s="22"/>
      <c r="X310" s="17"/>
      <c r="Y310" s="17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</row>
    <row r="311" spans="1:48" x14ac:dyDescent="0.25">
      <c r="A311" s="22"/>
      <c r="B311" s="22"/>
      <c r="C311" s="22"/>
      <c r="D311" s="22"/>
      <c r="E311" s="22"/>
      <c r="F311" s="22"/>
      <c r="G311" s="6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17"/>
      <c r="V311" s="22"/>
      <c r="W311" s="22"/>
      <c r="X311" s="17"/>
      <c r="Y311" s="17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</row>
    <row r="312" spans="1:48" x14ac:dyDescent="0.25">
      <c r="A312" s="22"/>
      <c r="B312" s="22"/>
      <c r="C312" s="22"/>
      <c r="D312" s="22"/>
      <c r="E312" s="22"/>
      <c r="F312" s="22"/>
      <c r="G312" s="6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17"/>
      <c r="V312" s="22"/>
      <c r="W312" s="22"/>
      <c r="X312" s="17"/>
      <c r="Y312" s="17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</row>
    <row r="313" spans="1:48" x14ac:dyDescent="0.25">
      <c r="A313" s="22"/>
      <c r="B313" s="22"/>
      <c r="C313" s="22"/>
      <c r="D313" s="22"/>
      <c r="E313" s="22"/>
      <c r="F313" s="22"/>
      <c r="G313" s="6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17"/>
      <c r="V313" s="22"/>
      <c r="W313" s="22"/>
      <c r="X313" s="17"/>
      <c r="Y313" s="17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</row>
    <row r="314" spans="1:48" x14ac:dyDescent="0.25">
      <c r="A314" s="22"/>
      <c r="B314" s="22"/>
      <c r="C314" s="22"/>
      <c r="D314" s="22"/>
      <c r="E314" s="22"/>
      <c r="F314" s="22"/>
      <c r="G314" s="6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17"/>
      <c r="V314" s="22"/>
      <c r="W314" s="22"/>
      <c r="X314" s="17"/>
      <c r="Y314" s="17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</row>
    <row r="315" spans="1:48" x14ac:dyDescent="0.25">
      <c r="A315" s="22"/>
      <c r="B315" s="22"/>
      <c r="C315" s="22"/>
      <c r="D315" s="22"/>
      <c r="E315" s="22"/>
      <c r="F315" s="22"/>
      <c r="G315" s="6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17"/>
      <c r="V315" s="22"/>
      <c r="W315" s="22"/>
      <c r="X315" s="17"/>
      <c r="Y315" s="17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</row>
    <row r="316" spans="1:48" x14ac:dyDescent="0.25">
      <c r="A316" s="22"/>
      <c r="B316" s="22"/>
      <c r="C316" s="22"/>
      <c r="D316" s="22"/>
      <c r="E316" s="22"/>
      <c r="F316" s="22"/>
      <c r="G316" s="6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17"/>
      <c r="V316" s="22"/>
      <c r="W316" s="22"/>
      <c r="X316" s="17"/>
      <c r="Y316" s="17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</row>
    <row r="317" spans="1:48" x14ac:dyDescent="0.25">
      <c r="A317" s="22"/>
      <c r="B317" s="22"/>
      <c r="C317" s="22"/>
      <c r="D317" s="22"/>
      <c r="E317" s="22"/>
      <c r="F317" s="22"/>
      <c r="G317" s="6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17"/>
      <c r="V317" s="22"/>
      <c r="W317" s="22"/>
      <c r="X317" s="17"/>
      <c r="Y317" s="17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</row>
    <row r="318" spans="1:48" x14ac:dyDescent="0.25">
      <c r="A318" s="22"/>
      <c r="B318" s="22"/>
      <c r="C318" s="22"/>
      <c r="D318" s="22"/>
      <c r="E318" s="22"/>
      <c r="F318" s="22"/>
      <c r="G318" s="6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17"/>
      <c r="V318" s="22"/>
      <c r="W318" s="22"/>
      <c r="X318" s="17"/>
      <c r="Y318" s="17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</row>
    <row r="319" spans="1:48" x14ac:dyDescent="0.25">
      <c r="A319" s="22"/>
      <c r="B319" s="22"/>
      <c r="C319" s="22"/>
      <c r="D319" s="22"/>
      <c r="E319" s="22"/>
      <c r="F319" s="22"/>
      <c r="G319" s="6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17"/>
      <c r="V319" s="22"/>
      <c r="W319" s="22"/>
      <c r="X319" s="17"/>
      <c r="Y319" s="17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</row>
    <row r="320" spans="1:48" x14ac:dyDescent="0.25">
      <c r="A320" s="22"/>
      <c r="B320" s="22"/>
      <c r="C320" s="22"/>
      <c r="D320" s="22"/>
      <c r="E320" s="22"/>
      <c r="F320" s="22"/>
      <c r="G320" s="6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17"/>
      <c r="V320" s="22"/>
      <c r="W320" s="22"/>
      <c r="X320" s="17"/>
      <c r="Y320" s="17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</row>
    <row r="321" spans="1:48" x14ac:dyDescent="0.25">
      <c r="A321" s="22"/>
      <c r="B321" s="22"/>
      <c r="C321" s="22"/>
      <c r="D321" s="22"/>
      <c r="E321" s="22"/>
      <c r="F321" s="22"/>
      <c r="G321" s="6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17"/>
      <c r="V321" s="22"/>
      <c r="W321" s="22"/>
      <c r="X321" s="17"/>
      <c r="Y321" s="17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</row>
    <row r="322" spans="1:48" x14ac:dyDescent="0.25">
      <c r="A322" s="22"/>
      <c r="B322" s="22"/>
      <c r="C322" s="22"/>
      <c r="D322" s="22"/>
      <c r="E322" s="22"/>
      <c r="F322" s="22"/>
      <c r="G322" s="6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17"/>
      <c r="V322" s="22"/>
      <c r="W322" s="22"/>
      <c r="X322" s="17"/>
      <c r="Y322" s="17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</row>
    <row r="323" spans="1:48" x14ac:dyDescent="0.25">
      <c r="A323" s="22"/>
      <c r="B323" s="22"/>
      <c r="C323" s="22"/>
      <c r="D323" s="22"/>
      <c r="E323" s="22"/>
      <c r="F323" s="22"/>
      <c r="G323" s="6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17"/>
      <c r="V323" s="22"/>
      <c r="W323" s="22"/>
      <c r="X323" s="17"/>
      <c r="Y323" s="17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</row>
    <row r="324" spans="1:48" x14ac:dyDescent="0.25">
      <c r="A324" s="22"/>
      <c r="B324" s="22"/>
      <c r="C324" s="22"/>
      <c r="D324" s="22"/>
      <c r="E324" s="22"/>
      <c r="F324" s="22"/>
      <c r="G324" s="6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17"/>
      <c r="V324" s="22"/>
      <c r="W324" s="22"/>
      <c r="X324" s="17"/>
      <c r="Y324" s="17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</row>
    <row r="325" spans="1:48" x14ac:dyDescent="0.25">
      <c r="A325" s="22"/>
      <c r="B325" s="22"/>
      <c r="C325" s="22"/>
      <c r="D325" s="22"/>
      <c r="E325" s="22"/>
      <c r="F325" s="22"/>
      <c r="G325" s="6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17"/>
      <c r="V325" s="22"/>
      <c r="W325" s="22"/>
      <c r="X325" s="17"/>
      <c r="Y325" s="17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</row>
    <row r="326" spans="1:48" x14ac:dyDescent="0.25">
      <c r="A326" s="22"/>
      <c r="B326" s="22"/>
      <c r="C326" s="22"/>
      <c r="D326" s="22"/>
      <c r="E326" s="22"/>
      <c r="F326" s="22"/>
      <c r="G326" s="6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17"/>
      <c r="V326" s="22"/>
      <c r="W326" s="22"/>
      <c r="X326" s="17"/>
      <c r="Y326" s="17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</row>
    <row r="327" spans="1:48" x14ac:dyDescent="0.25">
      <c r="A327" s="22"/>
      <c r="B327" s="22"/>
      <c r="C327" s="22"/>
      <c r="D327" s="22"/>
      <c r="E327" s="22"/>
      <c r="F327" s="22"/>
      <c r="G327" s="6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17"/>
      <c r="V327" s="22"/>
      <c r="W327" s="22"/>
      <c r="X327" s="17"/>
      <c r="Y327" s="17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</row>
    <row r="328" spans="1:48" x14ac:dyDescent="0.25">
      <c r="A328" s="22"/>
      <c r="B328" s="22"/>
      <c r="C328" s="22"/>
      <c r="D328" s="22"/>
      <c r="E328" s="22"/>
      <c r="F328" s="22"/>
      <c r="G328" s="6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17"/>
      <c r="V328" s="22"/>
      <c r="W328" s="22"/>
      <c r="X328" s="17"/>
      <c r="Y328" s="17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</row>
    <row r="329" spans="1:48" x14ac:dyDescent="0.25">
      <c r="A329" s="22"/>
      <c r="B329" s="22"/>
      <c r="C329" s="22"/>
      <c r="D329" s="22"/>
      <c r="E329" s="22"/>
      <c r="F329" s="22"/>
      <c r="G329" s="6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17"/>
      <c r="V329" s="22"/>
      <c r="W329" s="22"/>
      <c r="X329" s="17"/>
      <c r="Y329" s="17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</row>
    <row r="330" spans="1:48" x14ac:dyDescent="0.25">
      <c r="A330" s="22"/>
      <c r="B330" s="22"/>
      <c r="C330" s="22"/>
      <c r="D330" s="22"/>
      <c r="E330" s="22"/>
      <c r="F330" s="22"/>
      <c r="G330" s="6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17"/>
      <c r="V330" s="22"/>
      <c r="W330" s="22"/>
      <c r="X330" s="17"/>
      <c r="Y330" s="17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</row>
    <row r="331" spans="1:48" x14ac:dyDescent="0.25">
      <c r="A331" s="22"/>
      <c r="B331" s="22"/>
      <c r="C331" s="22"/>
      <c r="D331" s="22"/>
      <c r="E331" s="22"/>
      <c r="F331" s="22"/>
      <c r="G331" s="6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17"/>
      <c r="V331" s="22"/>
      <c r="W331" s="22"/>
      <c r="X331" s="17"/>
      <c r="Y331" s="17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</row>
    <row r="332" spans="1:48" x14ac:dyDescent="0.25">
      <c r="A332" s="22"/>
      <c r="B332" s="22"/>
      <c r="C332" s="22"/>
      <c r="D332" s="22"/>
      <c r="E332" s="22"/>
      <c r="F332" s="22"/>
      <c r="G332" s="6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17"/>
      <c r="V332" s="22"/>
      <c r="W332" s="22"/>
      <c r="X332" s="17"/>
      <c r="Y332" s="17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</row>
    <row r="333" spans="1:48" x14ac:dyDescent="0.25">
      <c r="A333" s="22"/>
      <c r="B333" s="22"/>
      <c r="C333" s="22"/>
      <c r="D333" s="22"/>
      <c r="E333" s="22"/>
      <c r="F333" s="22"/>
      <c r="G333" s="6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17"/>
      <c r="V333" s="22"/>
      <c r="W333" s="22"/>
      <c r="X333" s="17"/>
      <c r="Y333" s="17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</row>
    <row r="334" spans="1:48" x14ac:dyDescent="0.25">
      <c r="A334" s="22"/>
      <c r="B334" s="22"/>
      <c r="C334" s="22"/>
      <c r="D334" s="22"/>
      <c r="E334" s="22"/>
      <c r="F334" s="22"/>
      <c r="G334" s="6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17"/>
      <c r="V334" s="22"/>
      <c r="W334" s="22"/>
      <c r="X334" s="17"/>
      <c r="Y334" s="17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</row>
    <row r="335" spans="1:48" x14ac:dyDescent="0.25">
      <c r="A335" s="22"/>
      <c r="B335" s="22"/>
      <c r="C335" s="22"/>
      <c r="D335" s="22"/>
      <c r="E335" s="22"/>
      <c r="F335" s="22"/>
      <c r="G335" s="6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17"/>
      <c r="V335" s="22"/>
      <c r="W335" s="22"/>
      <c r="X335" s="17"/>
      <c r="Y335" s="17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</row>
    <row r="336" spans="1:48" x14ac:dyDescent="0.25">
      <c r="A336" s="22"/>
      <c r="B336" s="22"/>
      <c r="C336" s="22"/>
      <c r="D336" s="22"/>
      <c r="E336" s="22"/>
      <c r="F336" s="22"/>
      <c r="G336" s="6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17"/>
      <c r="V336" s="22"/>
      <c r="W336" s="22"/>
      <c r="X336" s="17"/>
      <c r="Y336" s="17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</row>
    <row r="337" spans="1:48" x14ac:dyDescent="0.25">
      <c r="A337" s="22"/>
      <c r="B337" s="22"/>
      <c r="C337" s="22"/>
      <c r="D337" s="22"/>
      <c r="E337" s="22"/>
      <c r="F337" s="22"/>
      <c r="G337" s="6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17"/>
      <c r="V337" s="22"/>
      <c r="W337" s="22"/>
      <c r="X337" s="17"/>
      <c r="Y337" s="17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</row>
    <row r="338" spans="1:48" x14ac:dyDescent="0.25">
      <c r="A338" s="22"/>
      <c r="B338" s="22"/>
      <c r="C338" s="22"/>
      <c r="D338" s="22"/>
      <c r="E338" s="22"/>
      <c r="F338" s="22"/>
      <c r="G338" s="6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17"/>
      <c r="V338" s="22"/>
      <c r="W338" s="22"/>
      <c r="X338" s="17"/>
      <c r="Y338" s="17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</row>
    <row r="339" spans="1:48" x14ac:dyDescent="0.25">
      <c r="A339" s="22"/>
      <c r="B339" s="22"/>
      <c r="C339" s="22"/>
      <c r="D339" s="22"/>
      <c r="E339" s="22"/>
      <c r="F339" s="22"/>
      <c r="G339" s="6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17"/>
      <c r="V339" s="22"/>
      <c r="W339" s="22"/>
      <c r="X339" s="17"/>
      <c r="Y339" s="17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</row>
    <row r="340" spans="1:48" x14ac:dyDescent="0.25">
      <c r="A340" s="22"/>
      <c r="B340" s="22"/>
      <c r="C340" s="22"/>
      <c r="D340" s="22"/>
      <c r="E340" s="22"/>
      <c r="F340" s="22"/>
      <c r="G340" s="6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17"/>
      <c r="V340" s="22"/>
      <c r="W340" s="22"/>
      <c r="X340" s="17"/>
      <c r="Y340" s="17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</row>
    <row r="341" spans="1:48" x14ac:dyDescent="0.25">
      <c r="A341" s="22"/>
      <c r="B341" s="22"/>
      <c r="C341" s="22"/>
      <c r="D341" s="22"/>
      <c r="E341" s="22"/>
      <c r="F341" s="22"/>
      <c r="G341" s="6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17"/>
      <c r="V341" s="22"/>
      <c r="W341" s="22"/>
      <c r="X341" s="17"/>
      <c r="Y341" s="17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</row>
    <row r="342" spans="1:48" x14ac:dyDescent="0.25">
      <c r="A342" s="22"/>
      <c r="B342" s="22"/>
      <c r="C342" s="22"/>
      <c r="D342" s="22"/>
      <c r="E342" s="22"/>
      <c r="F342" s="22"/>
      <c r="G342" s="6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17"/>
      <c r="V342" s="22"/>
      <c r="W342" s="22"/>
      <c r="X342" s="17"/>
      <c r="Y342" s="17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</row>
    <row r="343" spans="1:48" x14ac:dyDescent="0.25">
      <c r="A343" s="22"/>
      <c r="B343" s="22"/>
      <c r="C343" s="22"/>
      <c r="D343" s="22"/>
      <c r="E343" s="22"/>
      <c r="F343" s="22"/>
      <c r="G343" s="6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17"/>
      <c r="V343" s="22"/>
      <c r="W343" s="22"/>
      <c r="X343" s="17"/>
      <c r="Y343" s="17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</row>
    <row r="344" spans="1:48" x14ac:dyDescent="0.25">
      <c r="A344" s="22"/>
      <c r="B344" s="22"/>
      <c r="C344" s="22"/>
      <c r="D344" s="22"/>
      <c r="E344" s="22"/>
      <c r="F344" s="22"/>
      <c r="G344" s="6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17"/>
      <c r="V344" s="22"/>
      <c r="W344" s="22"/>
      <c r="X344" s="17"/>
      <c r="Y344" s="17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</row>
    <row r="345" spans="1:48" x14ac:dyDescent="0.25">
      <c r="A345" s="22"/>
      <c r="B345" s="22"/>
      <c r="C345" s="22"/>
      <c r="D345" s="22"/>
      <c r="E345" s="22"/>
      <c r="F345" s="22"/>
      <c r="G345" s="6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17"/>
      <c r="V345" s="22"/>
      <c r="W345" s="22"/>
      <c r="X345" s="17"/>
      <c r="Y345" s="17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</row>
    <row r="346" spans="1:48" x14ac:dyDescent="0.25">
      <c r="A346" s="22"/>
      <c r="B346" s="22"/>
      <c r="C346" s="22"/>
      <c r="D346" s="22"/>
      <c r="E346" s="22"/>
      <c r="F346" s="22"/>
      <c r="G346" s="6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17"/>
      <c r="V346" s="22"/>
      <c r="W346" s="22"/>
      <c r="X346" s="17"/>
      <c r="Y346" s="17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</row>
    <row r="347" spans="1:48" x14ac:dyDescent="0.25">
      <c r="A347" s="22"/>
      <c r="B347" s="22"/>
      <c r="C347" s="22"/>
      <c r="D347" s="22"/>
      <c r="E347" s="22"/>
      <c r="F347" s="22"/>
      <c r="G347" s="6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17"/>
      <c r="V347" s="22"/>
      <c r="W347" s="22"/>
      <c r="X347" s="17"/>
      <c r="Y347" s="17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</row>
    <row r="348" spans="1:48" x14ac:dyDescent="0.25">
      <c r="A348" s="22"/>
      <c r="B348" s="22"/>
      <c r="C348" s="22"/>
      <c r="D348" s="22"/>
      <c r="E348" s="22"/>
      <c r="F348" s="22"/>
      <c r="G348" s="6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17"/>
      <c r="V348" s="22"/>
      <c r="W348" s="22"/>
      <c r="X348" s="17"/>
      <c r="Y348" s="17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</row>
    <row r="349" spans="1:48" x14ac:dyDescent="0.25">
      <c r="A349" s="22"/>
      <c r="B349" s="22"/>
      <c r="C349" s="22"/>
      <c r="D349" s="22"/>
      <c r="E349" s="22"/>
      <c r="F349" s="22"/>
      <c r="G349" s="6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17"/>
      <c r="V349" s="22"/>
      <c r="W349" s="22"/>
      <c r="X349" s="17"/>
      <c r="Y349" s="17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</row>
    <row r="350" spans="1:48" x14ac:dyDescent="0.25">
      <c r="A350" s="22"/>
      <c r="B350" s="22"/>
      <c r="C350" s="22"/>
      <c r="D350" s="22"/>
      <c r="E350" s="22"/>
      <c r="F350" s="22"/>
      <c r="G350" s="6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17"/>
      <c r="V350" s="22"/>
      <c r="W350" s="22"/>
      <c r="X350" s="17"/>
      <c r="Y350" s="17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</row>
    <row r="351" spans="1:48" x14ac:dyDescent="0.25">
      <c r="A351" s="22"/>
      <c r="B351" s="22"/>
      <c r="C351" s="22"/>
      <c r="D351" s="22"/>
      <c r="E351" s="22"/>
      <c r="F351" s="22"/>
      <c r="G351" s="6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17"/>
      <c r="V351" s="22"/>
      <c r="W351" s="22"/>
      <c r="X351" s="17"/>
      <c r="Y351" s="17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</row>
    <row r="352" spans="1:48" x14ac:dyDescent="0.25">
      <c r="A352" s="22"/>
      <c r="B352" s="22"/>
      <c r="C352" s="22"/>
      <c r="D352" s="22"/>
      <c r="E352" s="22"/>
      <c r="F352" s="22"/>
      <c r="G352" s="6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17"/>
      <c r="V352" s="22"/>
      <c r="W352" s="22"/>
      <c r="X352" s="17"/>
      <c r="Y352" s="17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</row>
    <row r="353" spans="1:48" x14ac:dyDescent="0.25">
      <c r="A353" s="22"/>
      <c r="B353" s="22"/>
      <c r="C353" s="22"/>
      <c r="D353" s="22"/>
      <c r="E353" s="22"/>
      <c r="F353" s="22"/>
      <c r="G353" s="6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17"/>
      <c r="V353" s="22"/>
      <c r="W353" s="22"/>
      <c r="X353" s="17"/>
      <c r="Y353" s="17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</row>
    <row r="354" spans="1:48" x14ac:dyDescent="0.25">
      <c r="A354" s="22"/>
      <c r="B354" s="22"/>
      <c r="C354" s="22"/>
      <c r="D354" s="22"/>
      <c r="E354" s="22"/>
      <c r="F354" s="22"/>
      <c r="G354" s="6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17"/>
      <c r="V354" s="22"/>
      <c r="W354" s="22"/>
      <c r="X354" s="17"/>
      <c r="Y354" s="17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</row>
    <row r="355" spans="1:48" x14ac:dyDescent="0.25">
      <c r="A355" s="22"/>
      <c r="B355" s="22"/>
      <c r="C355" s="22"/>
      <c r="D355" s="22"/>
      <c r="E355" s="22"/>
      <c r="F355" s="22"/>
      <c r="G355" s="6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17"/>
      <c r="V355" s="22"/>
      <c r="W355" s="22"/>
      <c r="X355" s="17"/>
      <c r="Y355" s="17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</row>
    <row r="356" spans="1:48" x14ac:dyDescent="0.25">
      <c r="A356" s="22"/>
      <c r="B356" s="22"/>
      <c r="C356" s="22"/>
      <c r="D356" s="22"/>
      <c r="E356" s="22"/>
      <c r="F356" s="22"/>
      <c r="G356" s="6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17"/>
      <c r="V356" s="22"/>
      <c r="W356" s="22"/>
      <c r="X356" s="17"/>
      <c r="Y356" s="17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</row>
    <row r="357" spans="1:48" x14ac:dyDescent="0.25">
      <c r="A357" s="22"/>
      <c r="B357" s="22"/>
      <c r="C357" s="22"/>
      <c r="D357" s="22"/>
      <c r="E357" s="22"/>
      <c r="F357" s="22"/>
      <c r="G357" s="6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17"/>
      <c r="V357" s="22"/>
      <c r="W357" s="22"/>
      <c r="X357" s="17"/>
      <c r="Y357" s="17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</row>
    <row r="358" spans="1:48" x14ac:dyDescent="0.25">
      <c r="A358" s="22"/>
      <c r="B358" s="22"/>
      <c r="C358" s="22"/>
      <c r="D358" s="22"/>
      <c r="E358" s="22"/>
      <c r="F358" s="22"/>
      <c r="G358" s="6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17"/>
      <c r="V358" s="22"/>
      <c r="W358" s="22"/>
      <c r="X358" s="17"/>
      <c r="Y358" s="17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</row>
    <row r="359" spans="1:48" x14ac:dyDescent="0.25">
      <c r="A359" s="22"/>
      <c r="B359" s="22"/>
      <c r="C359" s="22"/>
      <c r="D359" s="22"/>
      <c r="E359" s="22"/>
      <c r="F359" s="22"/>
      <c r="G359" s="6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17"/>
      <c r="V359" s="22"/>
      <c r="W359" s="22"/>
      <c r="X359" s="17"/>
      <c r="Y359" s="17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</row>
    <row r="360" spans="1:48" x14ac:dyDescent="0.25">
      <c r="A360" s="22"/>
      <c r="B360" s="22"/>
      <c r="C360" s="22"/>
      <c r="D360" s="22"/>
      <c r="E360" s="22"/>
      <c r="F360" s="22"/>
      <c r="G360" s="6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17"/>
      <c r="V360" s="22"/>
      <c r="W360" s="22"/>
      <c r="X360" s="17"/>
      <c r="Y360" s="17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</row>
    <row r="361" spans="1:48" x14ac:dyDescent="0.25">
      <c r="A361" s="22"/>
      <c r="B361" s="22"/>
      <c r="C361" s="22"/>
      <c r="D361" s="22"/>
      <c r="E361" s="22"/>
      <c r="F361" s="22"/>
      <c r="G361" s="6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17"/>
      <c r="V361" s="22"/>
      <c r="W361" s="22"/>
      <c r="X361" s="17"/>
      <c r="Y361" s="17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</row>
    <row r="362" spans="1:48" x14ac:dyDescent="0.25">
      <c r="A362" s="22"/>
      <c r="B362" s="22"/>
      <c r="C362" s="22"/>
      <c r="D362" s="22"/>
      <c r="E362" s="22"/>
      <c r="F362" s="22"/>
      <c r="G362" s="6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17"/>
      <c r="V362" s="22"/>
      <c r="W362" s="22"/>
      <c r="X362" s="17"/>
      <c r="Y362" s="17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</row>
    <row r="363" spans="1:48" x14ac:dyDescent="0.25">
      <c r="A363" s="22"/>
      <c r="B363" s="22"/>
      <c r="C363" s="22"/>
      <c r="D363" s="22"/>
      <c r="E363" s="22"/>
      <c r="F363" s="22"/>
      <c r="G363" s="6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17"/>
      <c r="V363" s="22"/>
      <c r="W363" s="22"/>
      <c r="X363" s="17"/>
      <c r="Y363" s="17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</row>
    <row r="364" spans="1:48" x14ac:dyDescent="0.25">
      <c r="A364" s="22"/>
      <c r="B364" s="22"/>
      <c r="C364" s="22"/>
      <c r="D364" s="22"/>
      <c r="E364" s="22"/>
      <c r="F364" s="22"/>
      <c r="G364" s="6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17"/>
      <c r="V364" s="22"/>
      <c r="W364" s="22"/>
      <c r="X364" s="17"/>
      <c r="Y364" s="17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</row>
    <row r="365" spans="1:48" x14ac:dyDescent="0.25">
      <c r="A365" s="22"/>
      <c r="B365" s="22"/>
      <c r="C365" s="22"/>
      <c r="D365" s="22"/>
      <c r="E365" s="22"/>
      <c r="F365" s="22"/>
      <c r="G365" s="6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17"/>
      <c r="V365" s="22"/>
      <c r="W365" s="22"/>
      <c r="X365" s="17"/>
      <c r="Y365" s="17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</row>
    <row r="366" spans="1:48" x14ac:dyDescent="0.25">
      <c r="A366" s="22"/>
      <c r="B366" s="22"/>
      <c r="C366" s="22"/>
      <c r="D366" s="22"/>
      <c r="E366" s="22"/>
      <c r="F366" s="22"/>
      <c r="G366" s="6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17"/>
      <c r="V366" s="22"/>
      <c r="W366" s="22"/>
      <c r="X366" s="17"/>
      <c r="Y366" s="17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</row>
    <row r="367" spans="1:48" x14ac:dyDescent="0.25">
      <c r="A367" s="22"/>
      <c r="B367" s="22"/>
      <c r="C367" s="22"/>
      <c r="D367" s="22"/>
      <c r="E367" s="22"/>
      <c r="F367" s="22"/>
      <c r="G367" s="6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17"/>
      <c r="V367" s="22"/>
      <c r="W367" s="22"/>
      <c r="X367" s="17"/>
      <c r="Y367" s="17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</row>
    <row r="368" spans="1:48" x14ac:dyDescent="0.25">
      <c r="A368" s="22"/>
      <c r="B368" s="22"/>
      <c r="C368" s="22"/>
      <c r="D368" s="22"/>
      <c r="E368" s="22"/>
      <c r="F368" s="22"/>
      <c r="G368" s="6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17"/>
      <c r="V368" s="22"/>
      <c r="W368" s="22"/>
      <c r="X368" s="17"/>
      <c r="Y368" s="17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</row>
    <row r="369" spans="1:48" x14ac:dyDescent="0.25">
      <c r="A369" s="22"/>
      <c r="B369" s="22"/>
      <c r="C369" s="22"/>
      <c r="D369" s="22"/>
      <c r="E369" s="22"/>
      <c r="F369" s="22"/>
      <c r="G369" s="6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17"/>
      <c r="V369" s="22"/>
      <c r="W369" s="22"/>
      <c r="X369" s="17"/>
      <c r="Y369" s="17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</row>
    <row r="370" spans="1:48" x14ac:dyDescent="0.25">
      <c r="A370" s="22"/>
      <c r="B370" s="22"/>
      <c r="C370" s="22"/>
      <c r="D370" s="22"/>
      <c r="E370" s="22"/>
      <c r="F370" s="22"/>
      <c r="G370" s="6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17"/>
      <c r="V370" s="22"/>
      <c r="W370" s="22"/>
      <c r="X370" s="17"/>
      <c r="Y370" s="17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</row>
    <row r="371" spans="1:48" x14ac:dyDescent="0.25">
      <c r="A371" s="22"/>
      <c r="B371" s="22"/>
      <c r="C371" s="22"/>
      <c r="D371" s="22"/>
      <c r="E371" s="22"/>
      <c r="F371" s="22"/>
      <c r="G371" s="6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17"/>
      <c r="V371" s="22"/>
      <c r="W371" s="22"/>
      <c r="X371" s="17"/>
      <c r="Y371" s="17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</row>
    <row r="372" spans="1:48" x14ac:dyDescent="0.25">
      <c r="A372" s="22"/>
      <c r="B372" s="22"/>
      <c r="C372" s="22"/>
      <c r="D372" s="22"/>
      <c r="E372" s="22"/>
      <c r="F372" s="22"/>
      <c r="G372" s="6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17"/>
      <c r="V372" s="22"/>
      <c r="W372" s="22"/>
      <c r="X372" s="17"/>
      <c r="Y372" s="17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</row>
    <row r="373" spans="1:48" x14ac:dyDescent="0.25">
      <c r="A373" s="22"/>
      <c r="B373" s="22"/>
      <c r="C373" s="22"/>
      <c r="D373" s="22"/>
      <c r="E373" s="22"/>
      <c r="F373" s="22"/>
      <c r="G373" s="6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17"/>
      <c r="V373" s="22"/>
      <c r="W373" s="22"/>
      <c r="X373" s="17"/>
      <c r="Y373" s="17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</row>
    <row r="374" spans="1:48" x14ac:dyDescent="0.25">
      <c r="A374" s="22"/>
      <c r="B374" s="22"/>
      <c r="C374" s="22"/>
      <c r="D374" s="22"/>
      <c r="E374" s="22"/>
      <c r="F374" s="22"/>
      <c r="G374" s="6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17"/>
      <c r="V374" s="22"/>
      <c r="W374" s="22"/>
      <c r="X374" s="17"/>
      <c r="Y374" s="17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</row>
    <row r="375" spans="1:48" x14ac:dyDescent="0.25">
      <c r="A375" s="22"/>
      <c r="B375" s="22"/>
      <c r="C375" s="22"/>
      <c r="D375" s="22"/>
      <c r="E375" s="22"/>
      <c r="F375" s="22"/>
      <c r="G375" s="6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17"/>
      <c r="V375" s="22"/>
      <c r="W375" s="22"/>
      <c r="X375" s="17"/>
      <c r="Y375" s="17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</row>
    <row r="376" spans="1:48" x14ac:dyDescent="0.25">
      <c r="A376" s="22"/>
      <c r="B376" s="22"/>
      <c r="C376" s="22"/>
      <c r="D376" s="22"/>
      <c r="E376" s="22"/>
      <c r="F376" s="22"/>
      <c r="G376" s="6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17"/>
      <c r="V376" s="22"/>
      <c r="W376" s="22"/>
      <c r="X376" s="17"/>
      <c r="Y376" s="17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</row>
    <row r="377" spans="1:48" x14ac:dyDescent="0.25">
      <c r="A377" s="22"/>
      <c r="B377" s="22"/>
      <c r="C377" s="22"/>
      <c r="D377" s="22"/>
      <c r="E377" s="22"/>
      <c r="F377" s="22"/>
      <c r="G377" s="6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17"/>
      <c r="V377" s="22"/>
      <c r="W377" s="22"/>
      <c r="X377" s="17"/>
      <c r="Y377" s="17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</row>
    <row r="378" spans="1:48" x14ac:dyDescent="0.25">
      <c r="A378" s="22"/>
      <c r="B378" s="22"/>
      <c r="C378" s="22"/>
      <c r="D378" s="22"/>
      <c r="E378" s="22"/>
      <c r="F378" s="22"/>
      <c r="G378" s="6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17"/>
      <c r="V378" s="22"/>
      <c r="W378" s="22"/>
      <c r="X378" s="17"/>
      <c r="Y378" s="17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</row>
    <row r="379" spans="1:48" x14ac:dyDescent="0.25">
      <c r="A379" s="22"/>
      <c r="B379" s="22"/>
      <c r="C379" s="22"/>
      <c r="D379" s="22"/>
      <c r="E379" s="22"/>
      <c r="F379" s="22"/>
      <c r="G379" s="6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17"/>
      <c r="V379" s="22"/>
      <c r="W379" s="22"/>
      <c r="X379" s="17"/>
      <c r="Y379" s="17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</row>
    <row r="380" spans="1:48" x14ac:dyDescent="0.25">
      <c r="A380" s="22"/>
      <c r="B380" s="22"/>
      <c r="C380" s="22"/>
      <c r="D380" s="22"/>
      <c r="E380" s="22"/>
      <c r="F380" s="22"/>
      <c r="G380" s="6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17"/>
      <c r="V380" s="22"/>
      <c r="W380" s="22"/>
      <c r="X380" s="17"/>
      <c r="Y380" s="17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</row>
    <row r="381" spans="1:48" x14ac:dyDescent="0.25">
      <c r="A381" s="22"/>
      <c r="B381" s="22"/>
      <c r="C381" s="22"/>
      <c r="D381" s="22"/>
      <c r="E381" s="22"/>
      <c r="F381" s="22"/>
      <c r="G381" s="6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17"/>
      <c r="V381" s="22"/>
      <c r="W381" s="22"/>
      <c r="X381" s="17"/>
      <c r="Y381" s="17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</row>
    <row r="382" spans="1:48" x14ac:dyDescent="0.25">
      <c r="A382" s="22"/>
      <c r="B382" s="22"/>
      <c r="C382" s="22"/>
      <c r="D382" s="22"/>
      <c r="E382" s="22"/>
      <c r="F382" s="22"/>
      <c r="G382" s="6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17"/>
      <c r="V382" s="22"/>
      <c r="W382" s="22"/>
      <c r="X382" s="17"/>
      <c r="Y382" s="17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</row>
    <row r="383" spans="1:48" x14ac:dyDescent="0.25">
      <c r="A383" s="22"/>
      <c r="B383" s="22"/>
      <c r="C383" s="22"/>
      <c r="D383" s="22"/>
      <c r="E383" s="22"/>
      <c r="F383" s="22"/>
      <c r="G383" s="6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17"/>
      <c r="V383" s="22"/>
      <c r="W383" s="22"/>
      <c r="X383" s="17"/>
      <c r="Y383" s="17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</row>
    <row r="384" spans="1:48" x14ac:dyDescent="0.25">
      <c r="A384" s="22"/>
      <c r="B384" s="22"/>
      <c r="C384" s="22"/>
      <c r="D384" s="22"/>
      <c r="E384" s="22"/>
      <c r="F384" s="22"/>
      <c r="G384" s="6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17"/>
      <c r="V384" s="22"/>
      <c r="W384" s="22"/>
      <c r="X384" s="17"/>
      <c r="Y384" s="17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</row>
    <row r="385" spans="1:48" x14ac:dyDescent="0.25">
      <c r="A385" s="22"/>
      <c r="B385" s="22"/>
      <c r="C385" s="22"/>
      <c r="D385" s="22"/>
      <c r="E385" s="22"/>
      <c r="F385" s="22"/>
      <c r="G385" s="6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17"/>
      <c r="V385" s="22"/>
      <c r="W385" s="22"/>
      <c r="X385" s="17"/>
      <c r="Y385" s="17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</row>
    <row r="386" spans="1:48" x14ac:dyDescent="0.25">
      <c r="A386" s="22"/>
      <c r="B386" s="22"/>
      <c r="C386" s="22"/>
      <c r="D386" s="22"/>
      <c r="E386" s="22"/>
      <c r="F386" s="22"/>
      <c r="G386" s="6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17"/>
      <c r="V386" s="22"/>
      <c r="W386" s="22"/>
      <c r="X386" s="17"/>
      <c r="Y386" s="17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</row>
    <row r="387" spans="1:48" x14ac:dyDescent="0.25">
      <c r="A387" s="22"/>
      <c r="B387" s="22"/>
      <c r="C387" s="22"/>
      <c r="D387" s="22"/>
      <c r="E387" s="22"/>
      <c r="F387" s="22"/>
      <c r="G387" s="6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17"/>
      <c r="V387" s="22"/>
      <c r="W387" s="22"/>
      <c r="X387" s="17"/>
      <c r="Y387" s="17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</row>
    <row r="388" spans="1:48" x14ac:dyDescent="0.25">
      <c r="A388" s="22"/>
      <c r="B388" s="22"/>
      <c r="C388" s="22"/>
      <c r="D388" s="22"/>
      <c r="E388" s="22"/>
      <c r="F388" s="22"/>
      <c r="G388" s="6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17"/>
      <c r="V388" s="22"/>
      <c r="W388" s="22"/>
      <c r="X388" s="17"/>
      <c r="Y388" s="17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</row>
    <row r="389" spans="1:48" x14ac:dyDescent="0.25">
      <c r="A389" s="22"/>
      <c r="B389" s="22"/>
      <c r="C389" s="22"/>
      <c r="D389" s="22"/>
      <c r="E389" s="22"/>
      <c r="F389" s="22"/>
      <c r="G389" s="6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17"/>
      <c r="V389" s="22"/>
      <c r="W389" s="22"/>
      <c r="X389" s="17"/>
      <c r="Y389" s="17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</row>
    <row r="390" spans="1:48" x14ac:dyDescent="0.25">
      <c r="A390" s="22"/>
      <c r="B390" s="22"/>
      <c r="C390" s="22"/>
      <c r="D390" s="22"/>
      <c r="E390" s="22"/>
      <c r="F390" s="22"/>
      <c r="G390" s="6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17"/>
      <c r="V390" s="22"/>
      <c r="W390" s="22"/>
      <c r="X390" s="17"/>
      <c r="Y390" s="17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</row>
    <row r="391" spans="1:48" x14ac:dyDescent="0.25">
      <c r="A391" s="22"/>
      <c r="B391" s="22"/>
      <c r="C391" s="22"/>
      <c r="D391" s="22"/>
      <c r="E391" s="22"/>
      <c r="F391" s="22"/>
      <c r="G391" s="6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17"/>
      <c r="V391" s="22"/>
      <c r="W391" s="22"/>
      <c r="X391" s="17"/>
      <c r="Y391" s="17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</row>
    <row r="392" spans="1:48" x14ac:dyDescent="0.25">
      <c r="A392" s="22"/>
      <c r="B392" s="22"/>
      <c r="C392" s="22"/>
      <c r="D392" s="22"/>
      <c r="E392" s="22"/>
      <c r="F392" s="22"/>
      <c r="G392" s="6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17"/>
      <c r="V392" s="22"/>
      <c r="W392" s="22"/>
      <c r="X392" s="17"/>
      <c r="Y392" s="17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</row>
    <row r="393" spans="1:48" x14ac:dyDescent="0.25">
      <c r="A393" s="22"/>
      <c r="B393" s="22"/>
      <c r="C393" s="22"/>
      <c r="D393" s="22"/>
      <c r="E393" s="22"/>
      <c r="F393" s="22"/>
      <c r="G393" s="6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17"/>
      <c r="V393" s="22"/>
      <c r="W393" s="22"/>
      <c r="X393" s="17"/>
      <c r="Y393" s="17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</row>
    <row r="394" spans="1:48" x14ac:dyDescent="0.25">
      <c r="A394" s="22"/>
      <c r="B394" s="22"/>
      <c r="C394" s="22"/>
      <c r="D394" s="22"/>
      <c r="E394" s="22"/>
      <c r="F394" s="22"/>
      <c r="G394" s="6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17"/>
      <c r="V394" s="22"/>
      <c r="W394" s="22"/>
      <c r="X394" s="17"/>
      <c r="Y394" s="17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</row>
    <row r="395" spans="1:48" x14ac:dyDescent="0.25">
      <c r="A395" s="22"/>
      <c r="B395" s="22"/>
      <c r="C395" s="22"/>
      <c r="D395" s="22"/>
      <c r="E395" s="22"/>
      <c r="F395" s="22"/>
      <c r="G395" s="6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17"/>
      <c r="V395" s="22"/>
      <c r="W395" s="22"/>
      <c r="X395" s="17"/>
      <c r="Y395" s="17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</row>
    <row r="396" spans="1:48" x14ac:dyDescent="0.25">
      <c r="A396" s="22"/>
      <c r="B396" s="22"/>
      <c r="C396" s="22"/>
      <c r="D396" s="22"/>
      <c r="E396" s="22"/>
      <c r="F396" s="22"/>
      <c r="G396" s="6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17"/>
      <c r="V396" s="22"/>
      <c r="W396" s="22"/>
      <c r="X396" s="17"/>
      <c r="Y396" s="17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</row>
    <row r="397" spans="1:48" x14ac:dyDescent="0.25">
      <c r="A397" s="22"/>
      <c r="B397" s="22"/>
      <c r="C397" s="22"/>
      <c r="D397" s="22"/>
      <c r="E397" s="22"/>
      <c r="F397" s="22"/>
      <c r="G397" s="6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17"/>
      <c r="V397" s="22"/>
      <c r="W397" s="22"/>
      <c r="X397" s="17"/>
      <c r="Y397" s="17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</row>
    <row r="398" spans="1:48" x14ac:dyDescent="0.25">
      <c r="A398" s="22"/>
      <c r="B398" s="22"/>
      <c r="C398" s="22"/>
      <c r="D398" s="22"/>
      <c r="E398" s="22"/>
      <c r="F398" s="22"/>
      <c r="G398" s="6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17"/>
      <c r="V398" s="22"/>
      <c r="W398" s="22"/>
      <c r="X398" s="17"/>
      <c r="Y398" s="17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</row>
    <row r="399" spans="1:48" x14ac:dyDescent="0.25">
      <c r="A399" s="22"/>
      <c r="B399" s="22"/>
      <c r="C399" s="22"/>
      <c r="D399" s="22"/>
      <c r="E399" s="22"/>
      <c r="F399" s="22"/>
      <c r="G399" s="6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17"/>
      <c r="V399" s="22"/>
      <c r="W399" s="22"/>
      <c r="X399" s="17"/>
      <c r="Y399" s="17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</row>
    <row r="400" spans="1:48" x14ac:dyDescent="0.25">
      <c r="A400" s="22"/>
      <c r="B400" s="22"/>
      <c r="C400" s="22"/>
      <c r="D400" s="22"/>
      <c r="E400" s="22"/>
      <c r="F400" s="22"/>
      <c r="G400" s="6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17"/>
      <c r="V400" s="22"/>
      <c r="W400" s="22"/>
      <c r="X400" s="17"/>
      <c r="Y400" s="17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</row>
    <row r="401" spans="1:48" x14ac:dyDescent="0.25">
      <c r="A401" s="22"/>
      <c r="B401" s="22"/>
      <c r="C401" s="22"/>
      <c r="D401" s="22"/>
      <c r="E401" s="22"/>
      <c r="F401" s="22"/>
      <c r="G401" s="6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17"/>
      <c r="V401" s="22"/>
      <c r="W401" s="22"/>
      <c r="X401" s="17"/>
      <c r="Y401" s="17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</row>
    <row r="402" spans="1:48" x14ac:dyDescent="0.25">
      <c r="A402" s="22"/>
      <c r="B402" s="22"/>
      <c r="C402" s="22"/>
      <c r="D402" s="22"/>
      <c r="E402" s="22"/>
      <c r="F402" s="22"/>
      <c r="G402" s="6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17"/>
      <c r="V402" s="22"/>
      <c r="W402" s="22"/>
      <c r="X402" s="17"/>
      <c r="Y402" s="17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</row>
    <row r="403" spans="1:48" x14ac:dyDescent="0.25">
      <c r="A403" s="22"/>
      <c r="B403" s="22"/>
      <c r="C403" s="22"/>
      <c r="D403" s="22"/>
      <c r="E403" s="22"/>
      <c r="F403" s="22"/>
      <c r="G403" s="6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17"/>
      <c r="V403" s="22"/>
      <c r="W403" s="22"/>
      <c r="X403" s="17"/>
      <c r="Y403" s="17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</row>
    <row r="404" spans="1:48" x14ac:dyDescent="0.25">
      <c r="A404" s="22"/>
      <c r="B404" s="22"/>
      <c r="C404" s="22"/>
      <c r="D404" s="22"/>
      <c r="E404" s="22"/>
      <c r="F404" s="22"/>
      <c r="G404" s="6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17"/>
      <c r="V404" s="22"/>
      <c r="W404" s="22"/>
      <c r="X404" s="17"/>
      <c r="Y404" s="17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</row>
    <row r="405" spans="1:48" x14ac:dyDescent="0.25">
      <c r="A405" s="22"/>
      <c r="B405" s="22"/>
      <c r="C405" s="22"/>
      <c r="D405" s="22"/>
      <c r="E405" s="22"/>
      <c r="F405" s="22"/>
      <c r="G405" s="6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17"/>
      <c r="V405" s="22"/>
      <c r="W405" s="22"/>
      <c r="X405" s="17"/>
      <c r="Y405" s="17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</row>
    <row r="406" spans="1:48" x14ac:dyDescent="0.25">
      <c r="A406" s="22"/>
      <c r="B406" s="22"/>
      <c r="C406" s="22"/>
      <c r="D406" s="22"/>
      <c r="E406" s="22"/>
      <c r="F406" s="22"/>
      <c r="G406" s="6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17"/>
      <c r="V406" s="22"/>
      <c r="W406" s="22"/>
      <c r="X406" s="17"/>
      <c r="Y406" s="17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</row>
    <row r="407" spans="1:48" x14ac:dyDescent="0.25">
      <c r="A407" s="22"/>
      <c r="B407" s="22"/>
      <c r="C407" s="22"/>
      <c r="D407" s="22"/>
      <c r="E407" s="22"/>
      <c r="F407" s="22"/>
      <c r="G407" s="6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17"/>
      <c r="V407" s="22"/>
      <c r="W407" s="22"/>
      <c r="X407" s="17"/>
      <c r="Y407" s="17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</row>
    <row r="408" spans="1:48" x14ac:dyDescent="0.25">
      <c r="A408" s="22"/>
      <c r="B408" s="22"/>
      <c r="C408" s="22"/>
      <c r="D408" s="22"/>
      <c r="E408" s="22"/>
      <c r="F408" s="22"/>
      <c r="G408" s="6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17"/>
      <c r="V408" s="22"/>
      <c r="W408" s="22"/>
      <c r="X408" s="17"/>
      <c r="Y408" s="17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</row>
    <row r="409" spans="1:48" x14ac:dyDescent="0.25">
      <c r="A409" s="22"/>
      <c r="B409" s="22"/>
      <c r="C409" s="22"/>
      <c r="D409" s="22"/>
      <c r="E409" s="22"/>
      <c r="F409" s="22"/>
      <c r="G409" s="6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17"/>
      <c r="V409" s="22"/>
      <c r="W409" s="22"/>
      <c r="X409" s="17"/>
      <c r="Y409" s="17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</row>
    <row r="410" spans="1:48" x14ac:dyDescent="0.25">
      <c r="A410" s="22"/>
      <c r="B410" s="22"/>
      <c r="C410" s="22"/>
      <c r="D410" s="22"/>
      <c r="E410" s="22"/>
      <c r="F410" s="22"/>
      <c r="G410" s="6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17"/>
      <c r="V410" s="22"/>
      <c r="W410" s="22"/>
      <c r="X410" s="17"/>
      <c r="Y410" s="17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</row>
    <row r="411" spans="1:48" x14ac:dyDescent="0.25">
      <c r="A411" s="22"/>
      <c r="B411" s="22"/>
      <c r="C411" s="22"/>
      <c r="D411" s="22"/>
      <c r="E411" s="22"/>
      <c r="F411" s="22"/>
      <c r="G411" s="6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17"/>
      <c r="V411" s="22"/>
      <c r="W411" s="22"/>
      <c r="X411" s="17"/>
      <c r="Y411" s="17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</row>
    <row r="412" spans="1:48" x14ac:dyDescent="0.25">
      <c r="A412" s="22"/>
      <c r="B412" s="22"/>
      <c r="C412" s="22"/>
      <c r="D412" s="22"/>
      <c r="E412" s="22"/>
      <c r="F412" s="22"/>
      <c r="G412" s="6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17"/>
      <c r="V412" s="22"/>
      <c r="W412" s="22"/>
      <c r="X412" s="17"/>
      <c r="Y412" s="17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</row>
    <row r="413" spans="1:48" x14ac:dyDescent="0.25">
      <c r="A413" s="22"/>
      <c r="B413" s="22"/>
      <c r="C413" s="22"/>
      <c r="D413" s="22"/>
      <c r="E413" s="22"/>
      <c r="F413" s="22"/>
      <c r="G413" s="6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17"/>
      <c r="V413" s="22"/>
      <c r="W413" s="22"/>
      <c r="X413" s="17"/>
      <c r="Y413" s="17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</row>
    <row r="414" spans="1:48" x14ac:dyDescent="0.25">
      <c r="A414" s="22"/>
      <c r="B414" s="22"/>
      <c r="C414" s="22"/>
      <c r="D414" s="22"/>
      <c r="E414" s="22"/>
      <c r="F414" s="22"/>
      <c r="G414" s="6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17"/>
      <c r="V414" s="22"/>
      <c r="W414" s="22"/>
      <c r="X414" s="17"/>
      <c r="Y414" s="17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</row>
    <row r="415" spans="1:48" x14ac:dyDescent="0.25">
      <c r="A415" s="22"/>
      <c r="B415" s="22"/>
      <c r="C415" s="22"/>
      <c r="D415" s="22"/>
      <c r="E415" s="22"/>
      <c r="F415" s="22"/>
      <c r="G415" s="6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17"/>
      <c r="V415" s="22"/>
      <c r="W415" s="22"/>
      <c r="X415" s="17"/>
      <c r="Y415" s="17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</row>
    <row r="416" spans="1:48" x14ac:dyDescent="0.25">
      <c r="A416" s="22"/>
      <c r="B416" s="22"/>
      <c r="C416" s="22"/>
      <c r="D416" s="22"/>
      <c r="E416" s="22"/>
      <c r="F416" s="22"/>
      <c r="G416" s="6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17"/>
      <c r="V416" s="22"/>
      <c r="W416" s="22"/>
      <c r="X416" s="17"/>
      <c r="Y416" s="17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</row>
    <row r="417" spans="1:48" x14ac:dyDescent="0.25">
      <c r="A417" s="22"/>
      <c r="B417" s="22"/>
      <c r="C417" s="22"/>
      <c r="D417" s="22"/>
      <c r="E417" s="22"/>
      <c r="F417" s="22"/>
      <c r="G417" s="6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17"/>
      <c r="V417" s="22"/>
      <c r="W417" s="22"/>
      <c r="X417" s="17"/>
      <c r="Y417" s="17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</row>
    <row r="418" spans="1:48" x14ac:dyDescent="0.25">
      <c r="A418" s="22"/>
      <c r="B418" s="22"/>
      <c r="C418" s="22"/>
      <c r="D418" s="22"/>
      <c r="E418" s="22"/>
      <c r="F418" s="22"/>
      <c r="G418" s="6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17"/>
      <c r="V418" s="22"/>
      <c r="W418" s="22"/>
      <c r="X418" s="17"/>
      <c r="Y418" s="17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</row>
    <row r="419" spans="1:48" x14ac:dyDescent="0.25">
      <c r="A419" s="22"/>
      <c r="B419" s="22"/>
      <c r="C419" s="22"/>
      <c r="D419" s="22"/>
      <c r="E419" s="22"/>
      <c r="F419" s="22"/>
      <c r="G419" s="6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17"/>
      <c r="V419" s="22"/>
      <c r="W419" s="22"/>
      <c r="X419" s="17"/>
      <c r="Y419" s="17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</row>
    <row r="420" spans="1:48" x14ac:dyDescent="0.25">
      <c r="A420" s="22"/>
      <c r="B420" s="22"/>
      <c r="C420" s="22"/>
      <c r="D420" s="22"/>
      <c r="E420" s="22"/>
      <c r="F420" s="22"/>
      <c r="G420" s="6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17"/>
      <c r="V420" s="22"/>
      <c r="W420" s="22"/>
      <c r="X420" s="17"/>
      <c r="Y420" s="17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</row>
    <row r="421" spans="1:48" x14ac:dyDescent="0.25">
      <c r="A421" s="22"/>
      <c r="B421" s="22"/>
      <c r="C421" s="22"/>
      <c r="D421" s="22"/>
      <c r="E421" s="22"/>
      <c r="F421" s="22"/>
      <c r="G421" s="6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17"/>
      <c r="V421" s="22"/>
      <c r="W421" s="22"/>
      <c r="X421" s="17"/>
      <c r="Y421" s="17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</row>
    <row r="422" spans="1:48" x14ac:dyDescent="0.25">
      <c r="A422" s="22"/>
      <c r="B422" s="22"/>
      <c r="C422" s="22"/>
      <c r="D422" s="22"/>
      <c r="E422" s="22"/>
      <c r="F422" s="22"/>
      <c r="G422" s="6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17"/>
      <c r="V422" s="22"/>
      <c r="W422" s="22"/>
      <c r="X422" s="17"/>
      <c r="Y422" s="17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</row>
    <row r="423" spans="1:48" x14ac:dyDescent="0.25">
      <c r="A423" s="22"/>
      <c r="B423" s="22"/>
      <c r="C423" s="22"/>
      <c r="D423" s="22"/>
      <c r="E423" s="22"/>
      <c r="F423" s="22"/>
      <c r="G423" s="6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17"/>
      <c r="V423" s="22"/>
      <c r="W423" s="22"/>
      <c r="X423" s="17"/>
      <c r="Y423" s="17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</row>
    <row r="424" spans="1:48" x14ac:dyDescent="0.25">
      <c r="A424" s="22"/>
      <c r="B424" s="22"/>
      <c r="C424" s="22"/>
      <c r="D424" s="22"/>
      <c r="E424" s="22"/>
      <c r="F424" s="22"/>
      <c r="G424" s="6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17"/>
      <c r="V424" s="22"/>
      <c r="W424" s="22"/>
      <c r="X424" s="17"/>
      <c r="Y424" s="17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</row>
    <row r="425" spans="1:48" x14ac:dyDescent="0.25">
      <c r="A425" s="22"/>
      <c r="B425" s="22"/>
      <c r="C425" s="22"/>
      <c r="D425" s="22"/>
      <c r="E425" s="22"/>
      <c r="F425" s="22"/>
      <c r="G425" s="6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17"/>
      <c r="V425" s="22"/>
      <c r="W425" s="22"/>
      <c r="X425" s="17"/>
      <c r="Y425" s="17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</row>
    <row r="426" spans="1:48" x14ac:dyDescent="0.25">
      <c r="A426" s="22"/>
      <c r="B426" s="22"/>
      <c r="C426" s="22"/>
      <c r="D426" s="22"/>
      <c r="E426" s="22"/>
      <c r="F426" s="22"/>
      <c r="G426" s="6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17"/>
      <c r="V426" s="22"/>
      <c r="W426" s="22"/>
      <c r="X426" s="17"/>
      <c r="Y426" s="17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</row>
    <row r="427" spans="1:48" x14ac:dyDescent="0.25">
      <c r="A427" s="22"/>
      <c r="B427" s="22"/>
      <c r="C427" s="22"/>
      <c r="D427" s="22"/>
      <c r="E427" s="22"/>
      <c r="F427" s="22"/>
      <c r="G427" s="6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17"/>
      <c r="V427" s="22"/>
      <c r="W427" s="22"/>
      <c r="X427" s="17"/>
      <c r="Y427" s="17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</row>
    <row r="428" spans="1:48" x14ac:dyDescent="0.25">
      <c r="A428" s="22"/>
      <c r="B428" s="22"/>
      <c r="C428" s="22"/>
      <c r="D428" s="22"/>
      <c r="E428" s="22"/>
      <c r="F428" s="22"/>
      <c r="G428" s="6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17"/>
      <c r="V428" s="22"/>
      <c r="W428" s="22"/>
      <c r="X428" s="17"/>
      <c r="Y428" s="17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</row>
    <row r="429" spans="1:48" x14ac:dyDescent="0.25">
      <c r="A429" s="22"/>
      <c r="B429" s="22"/>
      <c r="C429" s="22"/>
      <c r="D429" s="22"/>
      <c r="E429" s="22"/>
      <c r="F429" s="22"/>
      <c r="G429" s="6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17"/>
      <c r="V429" s="22"/>
      <c r="W429" s="22"/>
      <c r="X429" s="17"/>
      <c r="Y429" s="17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</row>
    <row r="430" spans="1:48" x14ac:dyDescent="0.25">
      <c r="A430" s="22"/>
      <c r="B430" s="22"/>
      <c r="C430" s="22"/>
      <c r="D430" s="22"/>
      <c r="E430" s="22"/>
      <c r="F430" s="22"/>
      <c r="G430" s="6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17"/>
      <c r="V430" s="22"/>
      <c r="W430" s="22"/>
      <c r="X430" s="17"/>
      <c r="Y430" s="17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</row>
    <row r="431" spans="1:48" x14ac:dyDescent="0.25">
      <c r="A431" s="22"/>
      <c r="B431" s="22"/>
      <c r="C431" s="22"/>
      <c r="D431" s="22"/>
      <c r="E431" s="22"/>
      <c r="F431" s="22"/>
      <c r="G431" s="6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17"/>
      <c r="V431" s="22"/>
      <c r="W431" s="22"/>
      <c r="X431" s="17"/>
      <c r="Y431" s="17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</row>
    <row r="432" spans="1:48" x14ac:dyDescent="0.25">
      <c r="A432" s="22"/>
      <c r="B432" s="22"/>
      <c r="C432" s="22"/>
      <c r="D432" s="22"/>
      <c r="E432" s="22"/>
      <c r="F432" s="22"/>
      <c r="G432" s="6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17"/>
      <c r="V432" s="22"/>
      <c r="W432" s="22"/>
      <c r="X432" s="17"/>
      <c r="Y432" s="17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</row>
    <row r="433" spans="1:48" x14ac:dyDescent="0.25">
      <c r="A433" s="22"/>
      <c r="B433" s="22"/>
      <c r="C433" s="22"/>
      <c r="D433" s="22"/>
      <c r="E433" s="22"/>
      <c r="F433" s="22"/>
      <c r="G433" s="6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17"/>
      <c r="V433" s="22"/>
      <c r="W433" s="22"/>
      <c r="X433" s="17"/>
      <c r="Y433" s="17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</row>
    <row r="434" spans="1:48" x14ac:dyDescent="0.25">
      <c r="A434" s="22"/>
      <c r="B434" s="22"/>
      <c r="C434" s="22"/>
      <c r="D434" s="22"/>
      <c r="E434" s="22"/>
      <c r="F434" s="22"/>
      <c r="G434" s="6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17"/>
      <c r="V434" s="22"/>
      <c r="W434" s="22"/>
      <c r="X434" s="17"/>
      <c r="Y434" s="17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</row>
    <row r="435" spans="1:48" x14ac:dyDescent="0.25">
      <c r="A435" s="22"/>
      <c r="B435" s="22"/>
      <c r="C435" s="22"/>
      <c r="D435" s="22"/>
      <c r="E435" s="22"/>
      <c r="F435" s="22"/>
      <c r="G435" s="6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17"/>
      <c r="V435" s="22"/>
      <c r="W435" s="22"/>
      <c r="X435" s="17"/>
      <c r="Y435" s="17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</row>
    <row r="436" spans="1:48" x14ac:dyDescent="0.25">
      <c r="A436" s="22"/>
      <c r="B436" s="22"/>
      <c r="C436" s="22"/>
      <c r="D436" s="22"/>
      <c r="E436" s="22"/>
      <c r="F436" s="22"/>
      <c r="G436" s="6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17"/>
      <c r="V436" s="22"/>
      <c r="W436" s="22"/>
      <c r="X436" s="17"/>
      <c r="Y436" s="17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</row>
    <row r="437" spans="1:48" x14ac:dyDescent="0.25">
      <c r="A437" s="22"/>
      <c r="B437" s="22"/>
      <c r="C437" s="22"/>
      <c r="D437" s="22"/>
      <c r="E437" s="22"/>
      <c r="F437" s="22"/>
      <c r="G437" s="6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17"/>
      <c r="V437" s="22"/>
      <c r="W437" s="22"/>
      <c r="X437" s="17"/>
      <c r="Y437" s="17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</row>
    <row r="438" spans="1:48" x14ac:dyDescent="0.25">
      <c r="A438" s="22"/>
      <c r="B438" s="22"/>
      <c r="C438" s="22"/>
      <c r="D438" s="22"/>
      <c r="E438" s="22"/>
      <c r="F438" s="22"/>
      <c r="G438" s="6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17"/>
      <c r="V438" s="22"/>
      <c r="W438" s="22"/>
      <c r="X438" s="17"/>
      <c r="Y438" s="17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</row>
    <row r="439" spans="1:48" x14ac:dyDescent="0.25">
      <c r="A439" s="22"/>
      <c r="B439" s="22"/>
      <c r="C439" s="22"/>
      <c r="D439" s="22"/>
      <c r="E439" s="22"/>
      <c r="F439" s="22"/>
      <c r="G439" s="6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17"/>
      <c r="V439" s="22"/>
      <c r="W439" s="22"/>
      <c r="X439" s="17"/>
      <c r="Y439" s="17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</row>
    <row r="440" spans="1:48" x14ac:dyDescent="0.25">
      <c r="A440" s="22"/>
      <c r="B440" s="22"/>
      <c r="C440" s="22"/>
      <c r="D440" s="22"/>
      <c r="E440" s="22"/>
      <c r="F440" s="22"/>
      <c r="G440" s="6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17"/>
      <c r="V440" s="22"/>
      <c r="W440" s="22"/>
      <c r="X440" s="17"/>
      <c r="Y440" s="17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</row>
    <row r="441" spans="1:48" x14ac:dyDescent="0.25">
      <c r="A441" s="22"/>
      <c r="B441" s="22"/>
      <c r="C441" s="22"/>
      <c r="D441" s="22"/>
      <c r="E441" s="22"/>
      <c r="F441" s="22"/>
      <c r="G441" s="6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17"/>
      <c r="V441" s="22"/>
      <c r="W441" s="22"/>
      <c r="X441" s="17"/>
      <c r="Y441" s="17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</row>
    <row r="442" spans="1:48" x14ac:dyDescent="0.25">
      <c r="A442" s="22"/>
      <c r="B442" s="22"/>
      <c r="C442" s="22"/>
      <c r="D442" s="22"/>
      <c r="E442" s="22"/>
      <c r="F442" s="22"/>
      <c r="G442" s="6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17"/>
      <c r="V442" s="22"/>
      <c r="W442" s="22"/>
      <c r="X442" s="17"/>
      <c r="Y442" s="17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</row>
    <row r="443" spans="1:48" x14ac:dyDescent="0.25">
      <c r="A443" s="22"/>
      <c r="B443" s="22"/>
      <c r="C443" s="22"/>
      <c r="D443" s="22"/>
      <c r="E443" s="22"/>
      <c r="F443" s="22"/>
      <c r="G443" s="6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17"/>
      <c r="V443" s="22"/>
      <c r="W443" s="22"/>
      <c r="X443" s="17"/>
      <c r="Y443" s="17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</row>
    <row r="444" spans="1:48" x14ac:dyDescent="0.25">
      <c r="A444" s="22"/>
      <c r="B444" s="22"/>
      <c r="C444" s="22"/>
      <c r="D444" s="22"/>
      <c r="E444" s="22"/>
      <c r="F444" s="22"/>
      <c r="G444" s="6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17"/>
      <c r="V444" s="22"/>
      <c r="W444" s="22"/>
      <c r="X444" s="17"/>
      <c r="Y444" s="17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</row>
    <row r="445" spans="1:48" x14ac:dyDescent="0.25">
      <c r="A445" s="22"/>
      <c r="B445" s="22"/>
      <c r="C445" s="22"/>
      <c r="D445" s="22"/>
      <c r="E445" s="22"/>
      <c r="F445" s="22"/>
      <c r="G445" s="6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17"/>
      <c r="V445" s="22"/>
      <c r="W445" s="22"/>
      <c r="X445" s="17"/>
      <c r="Y445" s="17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</row>
    <row r="446" spans="1:48" x14ac:dyDescent="0.25">
      <c r="A446" s="22"/>
      <c r="B446" s="22"/>
      <c r="C446" s="22"/>
      <c r="D446" s="22"/>
      <c r="E446" s="22"/>
      <c r="F446" s="22"/>
      <c r="G446" s="6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17"/>
      <c r="V446" s="22"/>
      <c r="W446" s="22"/>
      <c r="X446" s="17"/>
      <c r="Y446" s="17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</row>
    <row r="447" spans="1:48" x14ac:dyDescent="0.25">
      <c r="A447" s="22"/>
      <c r="B447" s="22"/>
      <c r="C447" s="22"/>
      <c r="D447" s="22"/>
      <c r="E447" s="22"/>
      <c r="F447" s="22"/>
      <c r="G447" s="6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17"/>
      <c r="V447" s="22"/>
      <c r="W447" s="22"/>
      <c r="X447" s="17"/>
      <c r="Y447" s="17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</row>
    <row r="448" spans="1:48" x14ac:dyDescent="0.25">
      <c r="A448" s="22"/>
      <c r="B448" s="22"/>
      <c r="C448" s="22"/>
      <c r="D448" s="22"/>
      <c r="E448" s="22"/>
      <c r="F448" s="22"/>
      <c r="G448" s="6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17"/>
      <c r="V448" s="22"/>
      <c r="W448" s="22"/>
      <c r="X448" s="17"/>
      <c r="Y448" s="17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</row>
    <row r="449" spans="1:48" x14ac:dyDescent="0.25">
      <c r="A449" s="22"/>
      <c r="B449" s="22"/>
      <c r="C449" s="22"/>
      <c r="D449" s="22"/>
      <c r="E449" s="22"/>
      <c r="F449" s="22"/>
      <c r="G449" s="6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17"/>
      <c r="V449" s="22"/>
      <c r="W449" s="22"/>
      <c r="X449" s="17"/>
      <c r="Y449" s="17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</row>
    <row r="450" spans="1:48" x14ac:dyDescent="0.25">
      <c r="A450" s="22"/>
      <c r="B450" s="22"/>
      <c r="C450" s="22"/>
      <c r="D450" s="22"/>
      <c r="E450" s="22"/>
      <c r="F450" s="22"/>
      <c r="G450" s="6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17"/>
      <c r="V450" s="22"/>
      <c r="W450" s="22"/>
      <c r="X450" s="17"/>
      <c r="Y450" s="17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</row>
    <row r="451" spans="1:48" x14ac:dyDescent="0.25">
      <c r="A451" s="22"/>
      <c r="B451" s="22"/>
      <c r="C451" s="22"/>
      <c r="D451" s="22"/>
      <c r="E451" s="22"/>
      <c r="F451" s="22"/>
      <c r="G451" s="6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17"/>
      <c r="V451" s="22"/>
      <c r="W451" s="22"/>
      <c r="X451" s="17"/>
      <c r="Y451" s="17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</row>
    <row r="452" spans="1:48" x14ac:dyDescent="0.25">
      <c r="A452" s="22"/>
      <c r="B452" s="22"/>
      <c r="C452" s="22"/>
      <c r="D452" s="22"/>
      <c r="E452" s="22"/>
      <c r="F452" s="22"/>
      <c r="G452" s="6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17"/>
      <c r="V452" s="22"/>
      <c r="W452" s="22"/>
      <c r="X452" s="17"/>
      <c r="Y452" s="17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</row>
    <row r="453" spans="1:48" x14ac:dyDescent="0.25">
      <c r="A453" s="22"/>
      <c r="B453" s="22"/>
      <c r="C453" s="22"/>
      <c r="D453" s="22"/>
      <c r="E453" s="22"/>
      <c r="F453" s="22"/>
      <c r="G453" s="6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17"/>
      <c r="V453" s="22"/>
      <c r="W453" s="22"/>
      <c r="X453" s="17"/>
      <c r="Y453" s="17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</row>
    <row r="454" spans="1:48" x14ac:dyDescent="0.25">
      <c r="A454" s="22"/>
      <c r="B454" s="22"/>
      <c r="C454" s="22"/>
      <c r="D454" s="22"/>
      <c r="E454" s="22"/>
      <c r="F454" s="22"/>
      <c r="G454" s="6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17"/>
      <c r="V454" s="22"/>
      <c r="W454" s="22"/>
      <c r="X454" s="17"/>
      <c r="Y454" s="17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</row>
    <row r="455" spans="1:48" x14ac:dyDescent="0.25">
      <c r="A455" s="22"/>
      <c r="B455" s="22"/>
      <c r="C455" s="22"/>
      <c r="D455" s="22"/>
      <c r="E455" s="22"/>
      <c r="F455" s="22"/>
      <c r="G455" s="6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17"/>
      <c r="V455" s="22"/>
      <c r="W455" s="22"/>
      <c r="X455" s="17"/>
      <c r="Y455" s="17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</row>
    <row r="456" spans="1:48" x14ac:dyDescent="0.25">
      <c r="A456" s="22"/>
      <c r="B456" s="22"/>
      <c r="C456" s="22"/>
      <c r="D456" s="22"/>
      <c r="E456" s="22"/>
      <c r="F456" s="22"/>
      <c r="G456" s="6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17"/>
      <c r="V456" s="22"/>
      <c r="W456" s="22"/>
      <c r="X456" s="17"/>
      <c r="Y456" s="17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</row>
    <row r="457" spans="1:48" x14ac:dyDescent="0.25">
      <c r="A457" s="22"/>
      <c r="B457" s="22"/>
      <c r="C457" s="22"/>
      <c r="D457" s="22"/>
      <c r="E457" s="22"/>
      <c r="F457" s="22"/>
      <c r="G457" s="6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17"/>
      <c r="V457" s="22"/>
      <c r="W457" s="22"/>
      <c r="X457" s="17"/>
      <c r="Y457" s="17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</row>
    <row r="458" spans="1:48" x14ac:dyDescent="0.25">
      <c r="A458" s="22"/>
      <c r="B458" s="22"/>
      <c r="C458" s="22"/>
      <c r="D458" s="22"/>
      <c r="E458" s="22"/>
      <c r="F458" s="22"/>
      <c r="G458" s="6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17"/>
      <c r="V458" s="22"/>
      <c r="W458" s="22"/>
      <c r="X458" s="17"/>
      <c r="Y458" s="17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</row>
    <row r="459" spans="1:48" x14ac:dyDescent="0.25">
      <c r="A459" s="22"/>
      <c r="B459" s="22"/>
      <c r="C459" s="22"/>
      <c r="D459" s="22"/>
      <c r="E459" s="22"/>
      <c r="F459" s="22"/>
      <c r="G459" s="6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17"/>
      <c r="V459" s="22"/>
      <c r="W459" s="22"/>
      <c r="X459" s="17"/>
      <c r="Y459" s="17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</row>
    <row r="460" spans="1:48" x14ac:dyDescent="0.25">
      <c r="A460" s="22"/>
      <c r="B460" s="22"/>
      <c r="C460" s="22"/>
      <c r="D460" s="22"/>
      <c r="E460" s="22"/>
      <c r="F460" s="22"/>
      <c r="G460" s="6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17"/>
      <c r="V460" s="22"/>
      <c r="W460" s="22"/>
      <c r="X460" s="17"/>
      <c r="Y460" s="17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</row>
    <row r="461" spans="1:48" x14ac:dyDescent="0.25">
      <c r="A461" s="22"/>
      <c r="B461" s="22"/>
      <c r="C461" s="22"/>
      <c r="D461" s="22"/>
      <c r="E461" s="22"/>
      <c r="F461" s="22"/>
      <c r="G461" s="6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17"/>
      <c r="V461" s="22"/>
      <c r="W461" s="22"/>
      <c r="X461" s="17"/>
      <c r="Y461" s="17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</row>
    <row r="462" spans="1:48" x14ac:dyDescent="0.25">
      <c r="A462" s="22"/>
      <c r="B462" s="22"/>
      <c r="C462" s="22"/>
      <c r="D462" s="22"/>
      <c r="E462" s="22"/>
      <c r="F462" s="22"/>
      <c r="G462" s="6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17"/>
      <c r="V462" s="22"/>
      <c r="W462" s="22"/>
      <c r="X462" s="17"/>
      <c r="Y462" s="17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</row>
    <row r="463" spans="1:48" x14ac:dyDescent="0.25">
      <c r="A463" s="22"/>
      <c r="B463" s="22"/>
      <c r="C463" s="22"/>
      <c r="D463" s="22"/>
      <c r="E463" s="22"/>
      <c r="F463" s="22"/>
      <c r="G463" s="6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17"/>
      <c r="V463" s="22"/>
      <c r="W463" s="22"/>
      <c r="X463" s="17"/>
      <c r="Y463" s="17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</row>
    <row r="464" spans="1:48" x14ac:dyDescent="0.25">
      <c r="A464" s="22"/>
      <c r="B464" s="22"/>
      <c r="C464" s="22"/>
      <c r="D464" s="22"/>
      <c r="E464" s="22"/>
      <c r="F464" s="22"/>
      <c r="G464" s="6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17"/>
      <c r="V464" s="22"/>
      <c r="W464" s="22"/>
      <c r="X464" s="17"/>
      <c r="Y464" s="17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</row>
    <row r="465" spans="1:48" x14ac:dyDescent="0.25">
      <c r="A465" s="22"/>
      <c r="B465" s="22"/>
      <c r="C465" s="22"/>
      <c r="D465" s="22"/>
      <c r="E465" s="22"/>
      <c r="F465" s="22"/>
      <c r="G465" s="6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17"/>
      <c r="V465" s="22"/>
      <c r="W465" s="22"/>
      <c r="X465" s="17"/>
      <c r="Y465" s="17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</row>
    <row r="466" spans="1:48" x14ac:dyDescent="0.25">
      <c r="A466" s="22"/>
      <c r="B466" s="22"/>
      <c r="C466" s="22"/>
      <c r="D466" s="22"/>
      <c r="E466" s="22"/>
      <c r="F466" s="22"/>
      <c r="G466" s="6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17"/>
      <c r="V466" s="22"/>
      <c r="W466" s="22"/>
      <c r="X466" s="17"/>
      <c r="Y466" s="17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</row>
    <row r="467" spans="1:48" x14ac:dyDescent="0.25">
      <c r="A467" s="22"/>
      <c r="B467" s="22"/>
      <c r="C467" s="22"/>
      <c r="D467" s="22"/>
      <c r="E467" s="22"/>
      <c r="F467" s="22"/>
      <c r="G467" s="6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17"/>
      <c r="V467" s="22"/>
      <c r="W467" s="22"/>
      <c r="X467" s="17"/>
      <c r="Y467" s="17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</row>
    <row r="468" spans="1:48" x14ac:dyDescent="0.25">
      <c r="A468" s="22"/>
      <c r="B468" s="22"/>
      <c r="C468" s="22"/>
      <c r="D468" s="22"/>
      <c r="E468" s="22"/>
      <c r="F468" s="22"/>
      <c r="G468" s="6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17"/>
      <c r="V468" s="22"/>
      <c r="W468" s="22"/>
      <c r="X468" s="17"/>
      <c r="Y468" s="17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</row>
    <row r="469" spans="1:48" x14ac:dyDescent="0.25">
      <c r="A469" s="22"/>
      <c r="B469" s="22"/>
      <c r="C469" s="22"/>
      <c r="D469" s="22"/>
      <c r="E469" s="22"/>
      <c r="F469" s="22"/>
      <c r="G469" s="6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17"/>
      <c r="V469" s="22"/>
      <c r="W469" s="22"/>
      <c r="X469" s="17"/>
      <c r="Y469" s="17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</row>
    <row r="470" spans="1:48" x14ac:dyDescent="0.25">
      <c r="A470" s="22"/>
      <c r="B470" s="22"/>
      <c r="C470" s="22"/>
      <c r="D470" s="22"/>
      <c r="E470" s="22"/>
      <c r="F470" s="22"/>
      <c r="G470" s="6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17"/>
      <c r="V470" s="22"/>
      <c r="W470" s="22"/>
      <c r="X470" s="17"/>
      <c r="Y470" s="17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</row>
    <row r="471" spans="1:48" x14ac:dyDescent="0.25">
      <c r="A471" s="22"/>
      <c r="B471" s="22"/>
      <c r="C471" s="22"/>
      <c r="D471" s="22"/>
      <c r="E471" s="22"/>
      <c r="F471" s="22"/>
      <c r="G471" s="6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17"/>
      <c r="V471" s="22"/>
      <c r="W471" s="22"/>
      <c r="X471" s="17"/>
      <c r="Y471" s="17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</row>
    <row r="472" spans="1:48" x14ac:dyDescent="0.25">
      <c r="A472" s="22"/>
      <c r="B472" s="22"/>
      <c r="C472" s="22"/>
      <c r="D472" s="22"/>
      <c r="E472" s="22"/>
      <c r="F472" s="22"/>
      <c r="G472" s="6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17"/>
      <c r="V472" s="22"/>
      <c r="W472" s="22"/>
      <c r="X472" s="17"/>
      <c r="Y472" s="17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</row>
    <row r="473" spans="1:48" x14ac:dyDescent="0.25">
      <c r="A473" s="22"/>
      <c r="B473" s="22"/>
      <c r="C473" s="22"/>
      <c r="D473" s="22"/>
      <c r="E473" s="22"/>
      <c r="F473" s="22"/>
      <c r="G473" s="6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17"/>
      <c r="V473" s="22"/>
      <c r="W473" s="22"/>
      <c r="X473" s="17"/>
      <c r="Y473" s="17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</row>
    <row r="474" spans="1:48" x14ac:dyDescent="0.25">
      <c r="A474" s="22"/>
      <c r="B474" s="22"/>
      <c r="C474" s="22"/>
      <c r="D474" s="22"/>
      <c r="E474" s="22"/>
      <c r="F474" s="22"/>
      <c r="G474" s="6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17"/>
      <c r="V474" s="22"/>
      <c r="W474" s="22"/>
      <c r="X474" s="17"/>
      <c r="Y474" s="17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</row>
    <row r="475" spans="1:48" x14ac:dyDescent="0.25">
      <c r="A475" s="22"/>
      <c r="B475" s="22"/>
      <c r="C475" s="22"/>
      <c r="D475" s="22"/>
      <c r="E475" s="22"/>
      <c r="F475" s="22"/>
      <c r="G475" s="6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17"/>
      <c r="V475" s="22"/>
      <c r="W475" s="22"/>
      <c r="X475" s="17"/>
      <c r="Y475" s="17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</row>
    <row r="476" spans="1:48" x14ac:dyDescent="0.25">
      <c r="A476" s="22"/>
      <c r="B476" s="22"/>
      <c r="C476" s="22"/>
      <c r="D476" s="22"/>
      <c r="E476" s="22"/>
      <c r="F476" s="22"/>
      <c r="G476" s="6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17"/>
      <c r="V476" s="22"/>
      <c r="W476" s="22"/>
      <c r="X476" s="17"/>
      <c r="Y476" s="17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</row>
    <row r="477" spans="1:48" x14ac:dyDescent="0.25">
      <c r="A477" s="22"/>
      <c r="B477" s="22"/>
      <c r="C477" s="22"/>
      <c r="D477" s="22"/>
      <c r="E477" s="22"/>
      <c r="F477" s="22"/>
      <c r="G477" s="6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17"/>
      <c r="V477" s="22"/>
      <c r="W477" s="22"/>
      <c r="X477" s="17"/>
      <c r="Y477" s="17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</row>
    <row r="478" spans="1:48" x14ac:dyDescent="0.25">
      <c r="A478" s="22"/>
      <c r="B478" s="22"/>
      <c r="C478" s="22"/>
      <c r="D478" s="22"/>
      <c r="E478" s="22"/>
      <c r="F478" s="22"/>
      <c r="G478" s="6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17"/>
      <c r="V478" s="22"/>
      <c r="W478" s="22"/>
      <c r="X478" s="17"/>
      <c r="Y478" s="17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</row>
    <row r="479" spans="1:48" x14ac:dyDescent="0.25">
      <c r="A479" s="22"/>
      <c r="B479" s="22"/>
      <c r="C479" s="22"/>
      <c r="D479" s="22"/>
      <c r="E479" s="22"/>
      <c r="F479" s="22"/>
      <c r="G479" s="6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17"/>
      <c r="V479" s="22"/>
      <c r="W479" s="22"/>
      <c r="X479" s="17"/>
      <c r="Y479" s="17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</row>
    <row r="480" spans="1:48" x14ac:dyDescent="0.25">
      <c r="A480" s="22"/>
      <c r="B480" s="22"/>
      <c r="C480" s="22"/>
      <c r="D480" s="22"/>
      <c r="E480" s="22"/>
      <c r="F480" s="22"/>
      <c r="G480" s="6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17"/>
      <c r="V480" s="22"/>
      <c r="W480" s="22"/>
      <c r="X480" s="17"/>
      <c r="Y480" s="17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</row>
    <row r="481" spans="1:48" x14ac:dyDescent="0.25">
      <c r="A481" s="22"/>
      <c r="B481" s="22"/>
      <c r="C481" s="22"/>
      <c r="D481" s="22"/>
      <c r="E481" s="22"/>
      <c r="F481" s="22"/>
      <c r="G481" s="6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17"/>
      <c r="V481" s="22"/>
      <c r="W481" s="22"/>
      <c r="X481" s="17"/>
      <c r="Y481" s="17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</row>
    <row r="482" spans="1:48" x14ac:dyDescent="0.25">
      <c r="A482" s="22"/>
      <c r="B482" s="22"/>
      <c r="C482" s="22"/>
      <c r="D482" s="22"/>
      <c r="E482" s="22"/>
      <c r="F482" s="22"/>
      <c r="G482" s="6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17"/>
      <c r="V482" s="22"/>
      <c r="W482" s="22"/>
      <c r="X482" s="17"/>
      <c r="Y482" s="17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</row>
    <row r="483" spans="1:48" x14ac:dyDescent="0.25">
      <c r="A483" s="22"/>
      <c r="B483" s="22"/>
      <c r="C483" s="22"/>
      <c r="D483" s="22"/>
      <c r="E483" s="22"/>
      <c r="F483" s="22"/>
      <c r="G483" s="6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17"/>
      <c r="V483" s="22"/>
      <c r="W483" s="22"/>
      <c r="X483" s="17"/>
      <c r="Y483" s="17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</row>
    <row r="484" spans="1:48" x14ac:dyDescent="0.25">
      <c r="A484" s="22"/>
      <c r="B484" s="22"/>
      <c r="C484" s="22"/>
      <c r="D484" s="22"/>
      <c r="E484" s="22"/>
      <c r="F484" s="22"/>
      <c r="G484" s="6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17"/>
      <c r="V484" s="22"/>
      <c r="W484" s="22"/>
      <c r="X484" s="17"/>
      <c r="Y484" s="17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</row>
    <row r="485" spans="1:48" x14ac:dyDescent="0.25">
      <c r="A485" s="22"/>
      <c r="B485" s="22"/>
      <c r="C485" s="22"/>
      <c r="D485" s="22"/>
      <c r="E485" s="22"/>
      <c r="F485" s="22"/>
      <c r="G485" s="6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17"/>
      <c r="V485" s="22"/>
      <c r="W485" s="22"/>
      <c r="X485" s="17"/>
      <c r="Y485" s="17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</row>
    <row r="486" spans="1:48" x14ac:dyDescent="0.25">
      <c r="A486" s="22"/>
      <c r="B486" s="22"/>
      <c r="C486" s="22"/>
      <c r="D486" s="22"/>
      <c r="E486" s="22"/>
      <c r="F486" s="22"/>
      <c r="G486" s="6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17"/>
      <c r="V486" s="22"/>
      <c r="W486" s="22"/>
      <c r="X486" s="17"/>
      <c r="Y486" s="17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</row>
    <row r="487" spans="1:48" x14ac:dyDescent="0.25">
      <c r="A487" s="22"/>
      <c r="B487" s="22"/>
      <c r="C487" s="22"/>
      <c r="D487" s="22"/>
      <c r="E487" s="22"/>
      <c r="F487" s="22"/>
      <c r="G487" s="6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17"/>
      <c r="V487" s="22"/>
      <c r="W487" s="22"/>
      <c r="X487" s="17"/>
      <c r="Y487" s="17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</row>
    <row r="488" spans="1:48" x14ac:dyDescent="0.25">
      <c r="A488" s="22"/>
      <c r="B488" s="22"/>
      <c r="C488" s="22"/>
      <c r="D488" s="22"/>
      <c r="E488" s="22"/>
      <c r="F488" s="22"/>
      <c r="G488" s="6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17"/>
      <c r="V488" s="22"/>
      <c r="W488" s="22"/>
      <c r="X488" s="17"/>
      <c r="Y488" s="17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</row>
    <row r="489" spans="1:48" x14ac:dyDescent="0.25">
      <c r="A489" s="22"/>
      <c r="B489" s="22"/>
      <c r="C489" s="22"/>
      <c r="D489" s="22"/>
      <c r="E489" s="22"/>
      <c r="F489" s="22"/>
      <c r="G489" s="6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17"/>
      <c r="V489" s="22"/>
      <c r="W489" s="22"/>
      <c r="X489" s="17"/>
      <c r="Y489" s="17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</row>
    <row r="490" spans="1:48" x14ac:dyDescent="0.25">
      <c r="A490" s="22"/>
      <c r="B490" s="22"/>
      <c r="C490" s="22"/>
      <c r="D490" s="22"/>
      <c r="E490" s="22"/>
      <c r="F490" s="22"/>
      <c r="G490" s="6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17"/>
      <c r="V490" s="22"/>
      <c r="W490" s="22"/>
      <c r="X490" s="17"/>
      <c r="Y490" s="17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</row>
    <row r="491" spans="1:48" x14ac:dyDescent="0.25">
      <c r="A491" s="22"/>
      <c r="B491" s="22"/>
      <c r="C491" s="22"/>
      <c r="D491" s="22"/>
      <c r="E491" s="22"/>
      <c r="F491" s="22"/>
      <c r="G491" s="6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17"/>
      <c r="V491" s="22"/>
      <c r="W491" s="22"/>
      <c r="X491" s="17"/>
      <c r="Y491" s="17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</row>
    <row r="492" spans="1:48" x14ac:dyDescent="0.25">
      <c r="A492" s="22"/>
      <c r="B492" s="22"/>
      <c r="C492" s="22"/>
      <c r="D492" s="22"/>
      <c r="E492" s="22"/>
      <c r="F492" s="22"/>
      <c r="G492" s="6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17"/>
      <c r="V492" s="22"/>
      <c r="W492" s="22"/>
      <c r="X492" s="17"/>
      <c r="Y492" s="17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</row>
    <row r="493" spans="1:48" x14ac:dyDescent="0.25">
      <c r="A493" s="22"/>
      <c r="B493" s="22"/>
      <c r="C493" s="22"/>
      <c r="D493" s="22"/>
      <c r="E493" s="22"/>
      <c r="F493" s="22"/>
      <c r="G493" s="6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17"/>
      <c r="V493" s="22"/>
      <c r="W493" s="22"/>
      <c r="X493" s="17"/>
      <c r="Y493" s="17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</row>
    <row r="494" spans="1:48" x14ac:dyDescent="0.25">
      <c r="A494" s="22"/>
      <c r="B494" s="22"/>
      <c r="C494" s="22"/>
      <c r="D494" s="22"/>
      <c r="E494" s="22"/>
      <c r="F494" s="22"/>
      <c r="G494" s="6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17"/>
      <c r="V494" s="22"/>
      <c r="W494" s="22"/>
      <c r="X494" s="17"/>
      <c r="Y494" s="17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</row>
    <row r="495" spans="1:48" x14ac:dyDescent="0.25">
      <c r="A495" s="22"/>
      <c r="B495" s="22"/>
      <c r="C495" s="22"/>
      <c r="D495" s="22"/>
      <c r="E495" s="22"/>
      <c r="F495" s="22"/>
      <c r="G495" s="6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17"/>
      <c r="V495" s="22"/>
      <c r="W495" s="22"/>
      <c r="X495" s="17"/>
      <c r="Y495" s="17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</row>
    <row r="496" spans="1:48" x14ac:dyDescent="0.25">
      <c r="A496" s="22"/>
      <c r="B496" s="22"/>
      <c r="C496" s="22"/>
      <c r="D496" s="22"/>
      <c r="E496" s="22"/>
      <c r="F496" s="22"/>
      <c r="G496" s="6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17"/>
      <c r="V496" s="22"/>
      <c r="W496" s="22"/>
      <c r="X496" s="17"/>
      <c r="Y496" s="17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</row>
  </sheetData>
  <autoFilter ref="A3:AV114" xr:uid="{00000000-0009-0000-0000-000000000000}">
    <filterColumn colId="25">
      <filters>
        <filter val="0"/>
        <filter val="#Н/Д"/>
      </filters>
    </filterColumn>
  </autoFilter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2026-07-16T10:28:14Z</dcterms:created>
  <dcterms:modified xsi:type="dcterms:W3CDTF">2026-07-20T10:35:51Z</dcterms:modified>
</cp:coreProperties>
</file>