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 машина Луганск 31,08\"/>
    </mc:Choice>
  </mc:AlternateContent>
  <xr:revisionPtr revIDLastSave="0" documentId="13_ncr:1_{4A9673F1-6B2F-4B33-A441-02AA4335FB4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Y279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Z265" i="1" s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Y207" i="1"/>
  <c r="X207" i="1"/>
  <c r="Z206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Z200" i="1"/>
  <c r="X200" i="1"/>
  <c r="BO199" i="1"/>
  <c r="BM199" i="1"/>
  <c r="Z199" i="1"/>
  <c r="Y199" i="1"/>
  <c r="P199" i="1"/>
  <c r="Y195" i="1"/>
  <c r="X195" i="1"/>
  <c r="Z194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Y194" i="1" s="1"/>
  <c r="P190" i="1"/>
  <c r="X186" i="1"/>
  <c r="Y185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Z180" i="1" s="1"/>
  <c r="Y178" i="1"/>
  <c r="P178" i="1"/>
  <c r="X174" i="1"/>
  <c r="Z173" i="1"/>
  <c r="X173" i="1"/>
  <c r="BO172" i="1"/>
  <c r="BM172" i="1"/>
  <c r="Z172" i="1"/>
  <c r="Y172" i="1"/>
  <c r="P172" i="1"/>
  <c r="Y169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P162" i="1"/>
  <c r="Y159" i="1"/>
  <c r="X159" i="1"/>
  <c r="Z158" i="1"/>
  <c r="X158" i="1"/>
  <c r="BO157" i="1"/>
  <c r="BM157" i="1"/>
  <c r="Z157" i="1"/>
  <c r="Y157" i="1"/>
  <c r="P157" i="1"/>
  <c r="BP156" i="1"/>
  <c r="BO156" i="1"/>
  <c r="BN156" i="1"/>
  <c r="BM156" i="1"/>
  <c r="Z156" i="1"/>
  <c r="Y156" i="1"/>
  <c r="Y158" i="1" s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Y141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Z134" i="1" s="1"/>
  <c r="Y130" i="1"/>
  <c r="Y135" i="1" s="1"/>
  <c r="P130" i="1"/>
  <c r="X127" i="1"/>
  <c r="Z126" i="1"/>
  <c r="X126" i="1"/>
  <c r="BO125" i="1"/>
  <c r="BM125" i="1"/>
  <c r="Z125" i="1"/>
  <c r="Y125" i="1"/>
  <c r="Y126" i="1" s="1"/>
  <c r="P125" i="1"/>
  <c r="X123" i="1"/>
  <c r="Z122" i="1"/>
  <c r="X122" i="1"/>
  <c r="BO121" i="1"/>
  <c r="BM121" i="1"/>
  <c r="Z121" i="1"/>
  <c r="Y121" i="1"/>
  <c r="Y122" i="1" s="1"/>
  <c r="P121" i="1"/>
  <c r="X119" i="1"/>
  <c r="X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8" i="1" s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Z106" i="1" s="1"/>
  <c r="Y104" i="1"/>
  <c r="Y107" i="1" s="1"/>
  <c r="P104" i="1"/>
  <c r="X101" i="1"/>
  <c r="X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Z90" i="1" s="1"/>
  <c r="Y88" i="1"/>
  <c r="Y91" i="1" s="1"/>
  <c r="P88" i="1"/>
  <c r="X85" i="1"/>
  <c r="Z84" i="1"/>
  <c r="X84" i="1"/>
  <c r="BO83" i="1"/>
  <c r="BM83" i="1"/>
  <c r="Z83" i="1"/>
  <c r="Y83" i="1"/>
  <c r="Y84" i="1" s="1"/>
  <c r="P83" i="1"/>
  <c r="X80" i="1"/>
  <c r="X79" i="1"/>
  <c r="BO78" i="1"/>
  <c r="BM78" i="1"/>
  <c r="Z78" i="1"/>
  <c r="Y78" i="1"/>
  <c r="BP78" i="1" s="1"/>
  <c r="P78" i="1"/>
  <c r="BP77" i="1"/>
  <c r="BO77" i="1"/>
  <c r="BN77" i="1"/>
  <c r="BM77" i="1"/>
  <c r="Z77" i="1"/>
  <c r="Z79" i="1" s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Z65" i="1"/>
  <c r="Z67" i="1" s="1"/>
  <c r="Y65" i="1"/>
  <c r="Y68" i="1" s="1"/>
  <c r="P65" i="1"/>
  <c r="X63" i="1"/>
  <c r="Z62" i="1"/>
  <c r="X62" i="1"/>
  <c r="BO61" i="1"/>
  <c r="BM61" i="1"/>
  <c r="Z61" i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Y57" i="1" s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Z49" i="1" s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4" i="1" s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Y281" i="1" s="1"/>
  <c r="BN25" i="1"/>
  <c r="BN27" i="1"/>
  <c r="BN29" i="1"/>
  <c r="X280" i="1"/>
  <c r="BN34" i="1"/>
  <c r="BP34" i="1"/>
  <c r="Y282" i="1" s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Z285" i="1" s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3" i="1" l="1"/>
  <c r="X283" i="1"/>
  <c r="A293" i="1"/>
  <c r="Y280" i="1"/>
  <c r="C293" i="1" s="1"/>
  <c r="B293" i="1" l="1"/>
</calcChain>
</file>

<file path=xl/sharedStrings.xml><?xml version="1.0" encoding="utf-8"?>
<sst xmlns="http://schemas.openxmlformats.org/spreadsheetml/2006/main" count="1293" uniqueCount="420">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</sst>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9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8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6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75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431" t="s">
        <v>0</v>
      </c>
      <c r="E1" s="308"/>
      <c r="F1" s="308"/>
      <c r="G1" s="13" t="s">
        <v>1</v>
      </c>
      <c r="H1" s="431" t="s">
        <v>2</v>
      </c>
      <c r="I1" s="308"/>
      <c r="J1" s="308"/>
      <c r="K1" s="308"/>
      <c r="L1" s="308"/>
      <c r="M1" s="308"/>
      <c r="N1" s="308"/>
      <c r="O1" s="308"/>
      <c r="P1" s="308"/>
      <c r="Q1" s="308"/>
      <c r="R1" s="460" t="s">
        <v>3</v>
      </c>
      <c r="S1" s="308"/>
      <c r="T1" s="308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3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2"/>
      <c r="Q3" s="292"/>
      <c r="R3" s="292"/>
      <c r="S3" s="292"/>
      <c r="T3" s="292"/>
      <c r="U3" s="292"/>
      <c r="V3" s="292"/>
      <c r="W3" s="292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419" t="s">
        <v>8</v>
      </c>
      <c r="B5" s="283"/>
      <c r="C5" s="284"/>
      <c r="D5" s="350"/>
      <c r="E5" s="352"/>
      <c r="F5" s="329" t="s">
        <v>9</v>
      </c>
      <c r="G5" s="284"/>
      <c r="H5" s="350"/>
      <c r="I5" s="351"/>
      <c r="J5" s="351"/>
      <c r="K5" s="351"/>
      <c r="L5" s="351"/>
      <c r="M5" s="352"/>
      <c r="N5" s="61"/>
      <c r="P5" s="24" t="s">
        <v>10</v>
      </c>
      <c r="Q5" s="313">
        <v>46265</v>
      </c>
      <c r="R5" s="314"/>
      <c r="T5" s="398" t="s">
        <v>11</v>
      </c>
      <c r="U5" s="311"/>
      <c r="V5" s="400" t="s">
        <v>12</v>
      </c>
      <c r="W5" s="314"/>
      <c r="AB5" s="52"/>
      <c r="AC5" s="52"/>
      <c r="AD5" s="52"/>
      <c r="AE5" s="52"/>
    </row>
    <row r="6" spans="1:32" s="272" customFormat="1" ht="24" customHeight="1" x14ac:dyDescent="0.2">
      <c r="A6" s="419" t="s">
        <v>13</v>
      </c>
      <c r="B6" s="283"/>
      <c r="C6" s="284"/>
      <c r="D6" s="354"/>
      <c r="E6" s="355"/>
      <c r="F6" s="355"/>
      <c r="G6" s="355"/>
      <c r="H6" s="355"/>
      <c r="I6" s="355"/>
      <c r="J6" s="355"/>
      <c r="K6" s="355"/>
      <c r="L6" s="355"/>
      <c r="M6" s="314"/>
      <c r="N6" s="62"/>
      <c r="P6" s="24" t="s">
        <v>14</v>
      </c>
      <c r="Q6" s="321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403" t="s">
        <v>15</v>
      </c>
      <c r="U6" s="311"/>
      <c r="V6" s="360" t="s">
        <v>16</v>
      </c>
      <c r="W6" s="361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445">
        <f>IFERROR(VLOOKUP(DeliveryAddress,Table,3,0),1)</f>
        <v>1</v>
      </c>
      <c r="E7" s="446"/>
      <c r="F7" s="446"/>
      <c r="G7" s="446"/>
      <c r="H7" s="446"/>
      <c r="I7" s="446"/>
      <c r="J7" s="446"/>
      <c r="K7" s="446"/>
      <c r="L7" s="446"/>
      <c r="M7" s="402"/>
      <c r="N7" s="63"/>
      <c r="P7" s="24"/>
      <c r="Q7" s="43"/>
      <c r="R7" s="43"/>
      <c r="T7" s="292"/>
      <c r="U7" s="311"/>
      <c r="V7" s="362"/>
      <c r="W7" s="363"/>
      <c r="AB7" s="52"/>
      <c r="AC7" s="52"/>
      <c r="AD7" s="52"/>
      <c r="AE7" s="52"/>
    </row>
    <row r="8" spans="1:32" s="272" customFormat="1" ht="25.5" customHeight="1" x14ac:dyDescent="0.2">
      <c r="A8" s="342" t="s">
        <v>17</v>
      </c>
      <c r="B8" s="286"/>
      <c r="C8" s="287"/>
      <c r="D8" s="450"/>
      <c r="E8" s="451"/>
      <c r="F8" s="451"/>
      <c r="G8" s="451"/>
      <c r="H8" s="451"/>
      <c r="I8" s="451"/>
      <c r="J8" s="451"/>
      <c r="K8" s="451"/>
      <c r="L8" s="451"/>
      <c r="M8" s="452"/>
      <c r="N8" s="64"/>
      <c r="P8" s="24" t="s">
        <v>18</v>
      </c>
      <c r="Q8" s="401">
        <v>0.375</v>
      </c>
      <c r="R8" s="402"/>
      <c r="T8" s="292"/>
      <c r="U8" s="311"/>
      <c r="V8" s="362"/>
      <c r="W8" s="363"/>
      <c r="AB8" s="52"/>
      <c r="AC8" s="52"/>
      <c r="AD8" s="52"/>
      <c r="AE8" s="52"/>
    </row>
    <row r="9" spans="1:32" s="272" customFormat="1" ht="39.950000000000003" customHeight="1" x14ac:dyDescent="0.2">
      <c r="A9" s="3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38"/>
      <c r="E9" s="339"/>
      <c r="F9" s="3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386" t="str">
        <f>IF(AND($A$9="Тип доверенности/получателя при получении в адресе перегруза:",$D$9="Разовая доверенность"),"Введите ФИО","")</f>
        <v/>
      </c>
      <c r="I9" s="339"/>
      <c r="J9" s="3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9"/>
      <c r="L9" s="339"/>
      <c r="M9" s="339"/>
      <c r="N9" s="270"/>
      <c r="P9" s="27" t="s">
        <v>19</v>
      </c>
      <c r="Q9" s="439"/>
      <c r="R9" s="332"/>
      <c r="T9" s="292"/>
      <c r="U9" s="311"/>
      <c r="V9" s="364"/>
      <c r="W9" s="365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38"/>
      <c r="E10" s="339"/>
      <c r="F10" s="3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378" t="str">
        <f>IFERROR(VLOOKUP($D$10,Proxy,2,FALSE),"")</f>
        <v/>
      </c>
      <c r="I10" s="292"/>
      <c r="J10" s="292"/>
      <c r="K10" s="292"/>
      <c r="L10" s="292"/>
      <c r="M10" s="292"/>
      <c r="N10" s="271"/>
      <c r="P10" s="27" t="s">
        <v>20</v>
      </c>
      <c r="Q10" s="404"/>
      <c r="R10" s="405"/>
      <c r="U10" s="24" t="s">
        <v>21</v>
      </c>
      <c r="V10" s="463" t="s">
        <v>22</v>
      </c>
      <c r="W10" s="361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425"/>
      <c r="R11" s="314"/>
      <c r="U11" s="24" t="s">
        <v>25</v>
      </c>
      <c r="V11" s="331" t="s">
        <v>26</v>
      </c>
      <c r="W11" s="33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91" t="s">
        <v>27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4"/>
      <c r="N12" s="65"/>
      <c r="P12" s="24" t="s">
        <v>28</v>
      </c>
      <c r="Q12" s="401"/>
      <c r="R12" s="402"/>
      <c r="S12" s="25"/>
      <c r="U12" s="24"/>
      <c r="V12" s="308"/>
      <c r="W12" s="292"/>
      <c r="AB12" s="52"/>
      <c r="AC12" s="52"/>
      <c r="AD12" s="52"/>
      <c r="AE12" s="52"/>
    </row>
    <row r="13" spans="1:32" s="272" customFormat="1" ht="23.25" customHeight="1" x14ac:dyDescent="0.2">
      <c r="A13" s="391" t="s">
        <v>29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4"/>
      <c r="N13" s="65"/>
      <c r="O13" s="27"/>
      <c r="P13" s="27" t="s">
        <v>30</v>
      </c>
      <c r="Q13" s="331"/>
      <c r="R13" s="33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91" t="s">
        <v>31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4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3" t="s">
        <v>32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4"/>
      <c r="N15" s="66"/>
      <c r="P15" s="411" t="s">
        <v>33</v>
      </c>
      <c r="Q15" s="308"/>
      <c r="R15" s="308"/>
      <c r="S15" s="308"/>
      <c r="T15" s="308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2"/>
      <c r="Q16" s="412"/>
      <c r="R16" s="412"/>
      <c r="S16" s="412"/>
      <c r="T16" s="41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2" t="s">
        <v>34</v>
      </c>
      <c r="B17" s="302" t="s">
        <v>35</v>
      </c>
      <c r="C17" s="420" t="s">
        <v>36</v>
      </c>
      <c r="D17" s="302" t="s">
        <v>37</v>
      </c>
      <c r="E17" s="303"/>
      <c r="F17" s="302" t="s">
        <v>38</v>
      </c>
      <c r="G17" s="302" t="s">
        <v>39</v>
      </c>
      <c r="H17" s="302" t="s">
        <v>40</v>
      </c>
      <c r="I17" s="302" t="s">
        <v>41</v>
      </c>
      <c r="J17" s="302" t="s">
        <v>42</v>
      </c>
      <c r="K17" s="302" t="s">
        <v>43</v>
      </c>
      <c r="L17" s="302" t="s">
        <v>44</v>
      </c>
      <c r="M17" s="302" t="s">
        <v>45</v>
      </c>
      <c r="N17" s="302" t="s">
        <v>46</v>
      </c>
      <c r="O17" s="302" t="s">
        <v>47</v>
      </c>
      <c r="P17" s="302" t="s">
        <v>48</v>
      </c>
      <c r="Q17" s="435"/>
      <c r="R17" s="435"/>
      <c r="S17" s="435"/>
      <c r="T17" s="303"/>
      <c r="U17" s="299" t="s">
        <v>49</v>
      </c>
      <c r="V17" s="284"/>
      <c r="W17" s="302" t="s">
        <v>50</v>
      </c>
      <c r="X17" s="302" t="s">
        <v>51</v>
      </c>
      <c r="Y17" s="297" t="s">
        <v>52</v>
      </c>
      <c r="Z17" s="369" t="s">
        <v>53</v>
      </c>
      <c r="AA17" s="323" t="s">
        <v>54</v>
      </c>
      <c r="AB17" s="323" t="s">
        <v>55</v>
      </c>
      <c r="AC17" s="323" t="s">
        <v>56</v>
      </c>
      <c r="AD17" s="323" t="s">
        <v>57</v>
      </c>
      <c r="AE17" s="324"/>
      <c r="AF17" s="325"/>
      <c r="AG17" s="69"/>
      <c r="BD17" s="68" t="s">
        <v>58</v>
      </c>
    </row>
    <row r="18" spans="1:68" ht="14.25" customHeight="1" x14ac:dyDescent="0.2">
      <c r="A18" s="309"/>
      <c r="B18" s="309"/>
      <c r="C18" s="309"/>
      <c r="D18" s="304"/>
      <c r="E18" s="305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4"/>
      <c r="Q18" s="436"/>
      <c r="R18" s="436"/>
      <c r="S18" s="436"/>
      <c r="T18" s="305"/>
      <c r="U18" s="70" t="s">
        <v>59</v>
      </c>
      <c r="V18" s="70" t="s">
        <v>60</v>
      </c>
      <c r="W18" s="309"/>
      <c r="X18" s="309"/>
      <c r="Y18" s="298"/>
      <c r="Z18" s="370"/>
      <c r="AA18" s="377"/>
      <c r="AB18" s="377"/>
      <c r="AC18" s="377"/>
      <c r="AD18" s="326"/>
      <c r="AE18" s="327"/>
      <c r="AF18" s="328"/>
      <c r="AG18" s="69"/>
      <c r="BD18" s="68"/>
    </row>
    <row r="19" spans="1:68" ht="27.75" customHeight="1" x14ac:dyDescent="0.2">
      <c r="A19" s="348" t="s">
        <v>61</v>
      </c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49"/>
      <c r="AB19" s="49"/>
      <c r="AC19" s="49"/>
    </row>
    <row r="20" spans="1:68" ht="16.5" customHeight="1" x14ac:dyDescent="0.25">
      <c r="A20" s="301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3"/>
      <c r="AB20" s="273"/>
      <c r="AC20" s="273"/>
    </row>
    <row r="21" spans="1:68" ht="14.25" customHeight="1" x14ac:dyDescent="0.25">
      <c r="A21" s="291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3">
        <v>4620207491508</v>
      </c>
      <c r="E22" s="294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36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3">
        <v>4620207491256</v>
      </c>
      <c r="E23" s="294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41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5"/>
      <c r="V23" s="35"/>
      <c r="W23" s="36" t="s">
        <v>68</v>
      </c>
      <c r="X23" s="278">
        <v>48</v>
      </c>
      <c r="Y23" s="279">
        <f t="shared" si="0"/>
        <v>48</v>
      </c>
      <c r="Z23" s="37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3">
        <v>4620207491713</v>
      </c>
      <c r="E24" s="294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40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9"/>
      <c r="R24" s="289"/>
      <c r="S24" s="289"/>
      <c r="T24" s="290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3">
        <v>4620207491720</v>
      </c>
      <c r="E25" s="294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28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9"/>
      <c r="R25" s="289"/>
      <c r="S25" s="289"/>
      <c r="T25" s="290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3">
        <v>4607111035912</v>
      </c>
      <c r="E26" s="294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41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9"/>
      <c r="R26" s="289"/>
      <c r="S26" s="289"/>
      <c r="T26" s="290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3">
        <v>4607111035929</v>
      </c>
      <c r="E27" s="294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39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9"/>
      <c r="R27" s="289"/>
      <c r="S27" s="289"/>
      <c r="T27" s="290"/>
      <c r="U27" s="35"/>
      <c r="V27" s="35"/>
      <c r="W27" s="36" t="s">
        <v>68</v>
      </c>
      <c r="X27" s="278">
        <v>36</v>
      </c>
      <c r="Y27" s="279">
        <f t="shared" si="0"/>
        <v>36</v>
      </c>
      <c r="Z27" s="37">
        <f t="shared" si="1"/>
        <v>0.55800000000000005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3">
        <v>4607111035882</v>
      </c>
      <c r="E28" s="294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4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9"/>
      <c r="R28" s="289"/>
      <c r="S28" s="289"/>
      <c r="T28" s="290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3">
        <v>4607111035905</v>
      </c>
      <c r="E29" s="294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44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5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6"/>
      <c r="P30" s="285" t="s">
        <v>87</v>
      </c>
      <c r="Q30" s="286"/>
      <c r="R30" s="286"/>
      <c r="S30" s="286"/>
      <c r="T30" s="286"/>
      <c r="U30" s="286"/>
      <c r="V30" s="287"/>
      <c r="W30" s="38" t="s">
        <v>68</v>
      </c>
      <c r="X30" s="280">
        <f>IFERROR(SUM(X22:X29),"0")</f>
        <v>84</v>
      </c>
      <c r="Y30" s="280">
        <f>IFERROR(SUM(Y22:Y29),"0")</f>
        <v>84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281"/>
      <c r="AB30" s="281"/>
      <c r="AC30" s="281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6"/>
      <c r="P31" s="285" t="s">
        <v>87</v>
      </c>
      <c r="Q31" s="286"/>
      <c r="R31" s="286"/>
      <c r="S31" s="286"/>
      <c r="T31" s="286"/>
      <c r="U31" s="286"/>
      <c r="V31" s="287"/>
      <c r="W31" s="38" t="s">
        <v>88</v>
      </c>
      <c r="X31" s="280">
        <f>IFERROR(SUMPRODUCT(X22:X29*H22:H29),"0")</f>
        <v>566.40000000000009</v>
      </c>
      <c r="Y31" s="280">
        <f>IFERROR(SUMPRODUCT(Y22:Y29*H22:H29),"0")</f>
        <v>566.40000000000009</v>
      </c>
      <c r="Z31" s="38"/>
      <c r="AA31" s="281"/>
      <c r="AB31" s="281"/>
      <c r="AC31" s="281"/>
    </row>
    <row r="32" spans="1:68" ht="16.5" customHeight="1" x14ac:dyDescent="0.25">
      <c r="A32" s="301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3"/>
      <c r="AB32" s="273"/>
      <c r="AC32" s="273"/>
    </row>
    <row r="33" spans="1:68" ht="14.25" customHeight="1" x14ac:dyDescent="0.25">
      <c r="A33" s="291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3">
        <v>4607111039019</v>
      </c>
      <c r="E34" s="294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34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9"/>
      <c r="R34" s="289"/>
      <c r="S34" s="289"/>
      <c r="T34" s="290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3">
        <v>4607111038708</v>
      </c>
      <c r="E35" s="294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35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9"/>
      <c r="R35" s="289"/>
      <c r="S35" s="289"/>
      <c r="T35" s="290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5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6"/>
      <c r="P36" s="285" t="s">
        <v>87</v>
      </c>
      <c r="Q36" s="286"/>
      <c r="R36" s="286"/>
      <c r="S36" s="286"/>
      <c r="T36" s="286"/>
      <c r="U36" s="286"/>
      <c r="V36" s="287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6"/>
      <c r="P37" s="285" t="s">
        <v>87</v>
      </c>
      <c r="Q37" s="286"/>
      <c r="R37" s="286"/>
      <c r="S37" s="286"/>
      <c r="T37" s="286"/>
      <c r="U37" s="286"/>
      <c r="V37" s="287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customHeight="1" x14ac:dyDescent="0.2">
      <c r="A38" s="348" t="s">
        <v>95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49"/>
      <c r="AB38" s="49"/>
      <c r="AC38" s="49"/>
    </row>
    <row r="39" spans="1:68" ht="16.5" customHeight="1" x14ac:dyDescent="0.25">
      <c r="A39" s="301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3"/>
      <c r="AB39" s="273"/>
      <c r="AC39" s="273"/>
    </row>
    <row r="40" spans="1:68" ht="14.25" customHeight="1" x14ac:dyDescent="0.25">
      <c r="A40" s="291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3">
        <v>4607111036537</v>
      </c>
      <c r="E41" s="294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9"/>
      <c r="R41" s="289"/>
      <c r="S41" s="289"/>
      <c r="T41" s="290"/>
      <c r="U41" s="35"/>
      <c r="V41" s="35"/>
      <c r="W41" s="36" t="s">
        <v>68</v>
      </c>
      <c r="X41" s="278">
        <v>0</v>
      </c>
      <c r="Y41" s="279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3">
        <v>4607111036605</v>
      </c>
      <c r="E42" s="294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44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9"/>
      <c r="R42" s="289"/>
      <c r="S42" s="289"/>
      <c r="T42" s="290"/>
      <c r="U42" s="35"/>
      <c r="V42" s="35"/>
      <c r="W42" s="36" t="s">
        <v>68</v>
      </c>
      <c r="X42" s="278">
        <v>28</v>
      </c>
      <c r="Y42" s="279">
        <f>IFERROR(IF(X42="","",X42),"")</f>
        <v>28</v>
      </c>
      <c r="Z42" s="37">
        <f>IFERROR(IF(X42="","",X42*0.00941),"")</f>
        <v>0.26347999999999999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53.810400000000001</v>
      </c>
      <c r="BN42" s="67">
        <f>IFERROR(Y42*I42,"0")</f>
        <v>53.810400000000001</v>
      </c>
      <c r="BO42" s="67">
        <f>IFERROR(X42/J42,"0")</f>
        <v>0.2</v>
      </c>
      <c r="BP42" s="67">
        <f>IFERROR(Y42/J42,"0")</f>
        <v>0.2</v>
      </c>
    </row>
    <row r="43" spans="1:68" x14ac:dyDescent="0.2">
      <c r="A43" s="295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6"/>
      <c r="P43" s="285" t="s">
        <v>87</v>
      </c>
      <c r="Q43" s="286"/>
      <c r="R43" s="286"/>
      <c r="S43" s="286"/>
      <c r="T43" s="286"/>
      <c r="U43" s="286"/>
      <c r="V43" s="287"/>
      <c r="W43" s="38" t="s">
        <v>68</v>
      </c>
      <c r="X43" s="280">
        <f>IFERROR(SUM(X41:X42),"0")</f>
        <v>28</v>
      </c>
      <c r="Y43" s="280">
        <f>IFERROR(SUM(Y41:Y42),"0")</f>
        <v>28</v>
      </c>
      <c r="Z43" s="280">
        <f>IFERROR(IF(Z41="",0,Z41),"0")+IFERROR(IF(Z42="",0,Z42),"0")</f>
        <v>0.26347999999999999</v>
      </c>
      <c r="AA43" s="281"/>
      <c r="AB43" s="281"/>
      <c r="AC43" s="281"/>
    </row>
    <row r="44" spans="1:68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6"/>
      <c r="P44" s="285" t="s">
        <v>87</v>
      </c>
      <c r="Q44" s="286"/>
      <c r="R44" s="286"/>
      <c r="S44" s="286"/>
      <c r="T44" s="286"/>
      <c r="U44" s="286"/>
      <c r="V44" s="287"/>
      <c r="W44" s="38" t="s">
        <v>88</v>
      </c>
      <c r="X44" s="280">
        <f>IFERROR(SUMPRODUCT(X41:X42*H41:H42),"0")</f>
        <v>42</v>
      </c>
      <c r="Y44" s="280">
        <f>IFERROR(SUMPRODUCT(Y41:Y42*H41:H42),"0")</f>
        <v>42</v>
      </c>
      <c r="Z44" s="38"/>
      <c r="AA44" s="281"/>
      <c r="AB44" s="281"/>
      <c r="AC44" s="281"/>
    </row>
    <row r="45" spans="1:68" ht="16.5" customHeight="1" x14ac:dyDescent="0.25">
      <c r="A45" s="301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3"/>
      <c r="AB45" s="273"/>
      <c r="AC45" s="273"/>
    </row>
    <row r="46" spans="1:68" ht="14.25" customHeight="1" x14ac:dyDescent="0.25">
      <c r="A46" s="291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3">
        <v>4620207490075</v>
      </c>
      <c r="E47" s="294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43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9"/>
      <c r="R47" s="289"/>
      <c r="S47" s="289"/>
      <c r="T47" s="290"/>
      <c r="U47" s="35"/>
      <c r="V47" s="35"/>
      <c r="W47" s="36" t="s">
        <v>68</v>
      </c>
      <c r="X47" s="278">
        <v>48</v>
      </c>
      <c r="Y47" s="279">
        <f>IFERROR(IF(X47="","",X47),"")</f>
        <v>48</v>
      </c>
      <c r="Z47" s="37">
        <f>IFERROR(IF(X47="","",X47*0.0155),"")</f>
        <v>0.74399999999999999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281.76</v>
      </c>
      <c r="BN47" s="67">
        <f>IFERROR(Y47*I47,"0")</f>
        <v>281.76</v>
      </c>
      <c r="BO47" s="67">
        <f>IFERROR(X47/J47,"0")</f>
        <v>0.5714285714285714</v>
      </c>
      <c r="BP47" s="67">
        <f>IFERROR(Y47/J47,"0")</f>
        <v>0.5714285714285714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3">
        <v>4620207490174</v>
      </c>
      <c r="E48" s="294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9"/>
      <c r="R48" s="289"/>
      <c r="S48" s="289"/>
      <c r="T48" s="290"/>
      <c r="U48" s="35"/>
      <c r="V48" s="35"/>
      <c r="W48" s="36" t="s">
        <v>68</v>
      </c>
      <c r="X48" s="278">
        <v>60</v>
      </c>
      <c r="Y48" s="279">
        <f>IFERROR(IF(X48="","",X48),"")</f>
        <v>60</v>
      </c>
      <c r="Z48" s="37">
        <f>IFERROR(IF(X48="","",X48*0.0155),"")</f>
        <v>0.92999999999999994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352.2</v>
      </c>
      <c r="BN48" s="67">
        <f>IFERROR(Y48*I48,"0")</f>
        <v>352.2</v>
      </c>
      <c r="BO48" s="67">
        <f>IFERROR(X48/J48,"0")</f>
        <v>0.7142857142857143</v>
      </c>
      <c r="BP48" s="67">
        <f>IFERROR(Y48/J48,"0")</f>
        <v>0.7142857142857143</v>
      </c>
    </row>
    <row r="49" spans="1:68" x14ac:dyDescent="0.2">
      <c r="A49" s="295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6"/>
      <c r="P49" s="285" t="s">
        <v>87</v>
      </c>
      <c r="Q49" s="286"/>
      <c r="R49" s="286"/>
      <c r="S49" s="286"/>
      <c r="T49" s="286"/>
      <c r="U49" s="286"/>
      <c r="V49" s="287"/>
      <c r="W49" s="38" t="s">
        <v>68</v>
      </c>
      <c r="X49" s="280">
        <f>IFERROR(SUM(X47:X48),"0")</f>
        <v>108</v>
      </c>
      <c r="Y49" s="280">
        <f>IFERROR(SUM(Y47:Y48),"0")</f>
        <v>108</v>
      </c>
      <c r="Z49" s="280">
        <f>IFERROR(IF(Z47="",0,Z47),"0")+IFERROR(IF(Z48="",0,Z48),"0")</f>
        <v>1.6739999999999999</v>
      </c>
      <c r="AA49" s="281"/>
      <c r="AB49" s="281"/>
      <c r="AC49" s="281"/>
    </row>
    <row r="50" spans="1:68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6"/>
      <c r="P50" s="285" t="s">
        <v>87</v>
      </c>
      <c r="Q50" s="286"/>
      <c r="R50" s="286"/>
      <c r="S50" s="286"/>
      <c r="T50" s="286"/>
      <c r="U50" s="286"/>
      <c r="V50" s="287"/>
      <c r="W50" s="38" t="s">
        <v>88</v>
      </c>
      <c r="X50" s="280">
        <f>IFERROR(SUMPRODUCT(X47:X48*H47:H48),"0")</f>
        <v>604.79999999999995</v>
      </c>
      <c r="Y50" s="280">
        <f>IFERROR(SUMPRODUCT(Y47:Y48*H47:H48),"0")</f>
        <v>604.79999999999995</v>
      </c>
      <c r="Z50" s="38"/>
      <c r="AA50" s="281"/>
      <c r="AB50" s="281"/>
      <c r="AC50" s="281"/>
    </row>
    <row r="51" spans="1:68" ht="16.5" customHeight="1" x14ac:dyDescent="0.25">
      <c r="A51" s="301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3"/>
      <c r="AB51" s="273"/>
      <c r="AC51" s="273"/>
    </row>
    <row r="52" spans="1:68" ht="14.25" customHeight="1" x14ac:dyDescent="0.25">
      <c r="A52" s="291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3">
        <v>4607111039385</v>
      </c>
      <c r="E53" s="294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42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9"/>
      <c r="R53" s="289"/>
      <c r="S53" s="289"/>
      <c r="T53" s="290"/>
      <c r="U53" s="35"/>
      <c r="V53" s="35"/>
      <c r="W53" s="36" t="s">
        <v>68</v>
      </c>
      <c r="X53" s="278">
        <v>36</v>
      </c>
      <c r="Y53" s="279">
        <f>IFERROR(IF(X53="","",X53),"")</f>
        <v>36</v>
      </c>
      <c r="Z53" s="37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3">
        <v>4607111038982</v>
      </c>
      <c r="E54" s="294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3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9"/>
      <c r="R54" s="289"/>
      <c r="S54" s="289"/>
      <c r="T54" s="290"/>
      <c r="U54" s="35"/>
      <c r="V54" s="35"/>
      <c r="W54" s="36" t="s">
        <v>68</v>
      </c>
      <c r="X54" s="278">
        <v>24</v>
      </c>
      <c r="Y54" s="279">
        <f>IFERROR(IF(X54="","",X54),"")</f>
        <v>24</v>
      </c>
      <c r="Z54" s="37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174.86399999999998</v>
      </c>
      <c r="BN54" s="67">
        <f>IFERROR(Y54*I54,"0")</f>
        <v>174.86399999999998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3">
        <v>4607111039354</v>
      </c>
      <c r="E55" s="294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9"/>
      <c r="R55" s="289"/>
      <c r="S55" s="289"/>
      <c r="T55" s="290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3">
        <v>4607111039330</v>
      </c>
      <c r="E56" s="294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46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9"/>
      <c r="R56" s="289"/>
      <c r="S56" s="289"/>
      <c r="T56" s="290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5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6"/>
      <c r="P57" s="285" t="s">
        <v>87</v>
      </c>
      <c r="Q57" s="286"/>
      <c r="R57" s="286"/>
      <c r="S57" s="286"/>
      <c r="T57" s="286"/>
      <c r="U57" s="286"/>
      <c r="V57" s="287"/>
      <c r="W57" s="38" t="s">
        <v>68</v>
      </c>
      <c r="X57" s="280">
        <f>IFERROR(SUM(X53:X56),"0")</f>
        <v>60</v>
      </c>
      <c r="Y57" s="280">
        <f>IFERROR(SUM(Y53:Y56),"0")</f>
        <v>60</v>
      </c>
      <c r="Z57" s="280">
        <f>IFERROR(IF(Z53="",0,Z53),"0")+IFERROR(IF(Z54="",0,Z54),"0")+IFERROR(IF(Z55="",0,Z55),"0")+IFERROR(IF(Z56="",0,Z56),"0")</f>
        <v>0.93</v>
      </c>
      <c r="AA57" s="281"/>
      <c r="AB57" s="281"/>
      <c r="AC57" s="281"/>
    </row>
    <row r="58" spans="1:68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6"/>
      <c r="P58" s="285" t="s">
        <v>87</v>
      </c>
      <c r="Q58" s="286"/>
      <c r="R58" s="286"/>
      <c r="S58" s="286"/>
      <c r="T58" s="286"/>
      <c r="U58" s="286"/>
      <c r="V58" s="287"/>
      <c r="W58" s="38" t="s">
        <v>88</v>
      </c>
      <c r="X58" s="280">
        <f>IFERROR(SUMPRODUCT(X53:X56*H53:H56),"0")</f>
        <v>420</v>
      </c>
      <c r="Y58" s="280">
        <f>IFERROR(SUMPRODUCT(Y53:Y56*H53:H56),"0")</f>
        <v>420</v>
      </c>
      <c r="Z58" s="38"/>
      <c r="AA58" s="281"/>
      <c r="AB58" s="281"/>
      <c r="AC58" s="281"/>
    </row>
    <row r="59" spans="1:68" ht="16.5" customHeight="1" x14ac:dyDescent="0.25">
      <c r="A59" s="301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3"/>
      <c r="AB59" s="273"/>
      <c r="AC59" s="273"/>
    </row>
    <row r="60" spans="1:68" ht="14.25" customHeight="1" x14ac:dyDescent="0.25">
      <c r="A60" s="291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4"/>
      <c r="AB60" s="274"/>
      <c r="AC60" s="274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3">
        <v>4607111039712</v>
      </c>
      <c r="E61" s="294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9"/>
      <c r="R61" s="289"/>
      <c r="S61" s="289"/>
      <c r="T61" s="290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5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6"/>
      <c r="P62" s="285" t="s">
        <v>87</v>
      </c>
      <c r="Q62" s="286"/>
      <c r="R62" s="286"/>
      <c r="S62" s="286"/>
      <c r="T62" s="286"/>
      <c r="U62" s="286"/>
      <c r="V62" s="287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6"/>
      <c r="P63" s="285" t="s">
        <v>87</v>
      </c>
      <c r="Q63" s="286"/>
      <c r="R63" s="286"/>
      <c r="S63" s="286"/>
      <c r="T63" s="286"/>
      <c r="U63" s="286"/>
      <c r="V63" s="287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customHeight="1" x14ac:dyDescent="0.25">
      <c r="A64" s="291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4"/>
      <c r="AB64" s="274"/>
      <c r="AC64" s="274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3">
        <v>4607111037008</v>
      </c>
      <c r="E65" s="294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31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9"/>
      <c r="R65" s="289"/>
      <c r="S65" s="289"/>
      <c r="T65" s="290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3">
        <v>4607111037398</v>
      </c>
      <c r="E66" s="294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42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9"/>
      <c r="R66" s="289"/>
      <c r="S66" s="289"/>
      <c r="T66" s="290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5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6"/>
      <c r="P67" s="285" t="s">
        <v>87</v>
      </c>
      <c r="Q67" s="286"/>
      <c r="R67" s="286"/>
      <c r="S67" s="286"/>
      <c r="T67" s="286"/>
      <c r="U67" s="286"/>
      <c r="V67" s="287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x14ac:dyDescent="0.2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6"/>
      <c r="P68" s="285" t="s">
        <v>87</v>
      </c>
      <c r="Q68" s="286"/>
      <c r="R68" s="286"/>
      <c r="S68" s="286"/>
      <c r="T68" s="286"/>
      <c r="U68" s="286"/>
      <c r="V68" s="287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customHeight="1" x14ac:dyDescent="0.25">
      <c r="A69" s="291" t="s">
        <v>135</v>
      </c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74"/>
      <c r="AB69" s="274"/>
      <c r="AC69" s="274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3">
        <v>4607111039705</v>
      </c>
      <c r="E70" s="294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31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9"/>
      <c r="R70" s="289"/>
      <c r="S70" s="289"/>
      <c r="T70" s="290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3">
        <v>4607111039729</v>
      </c>
      <c r="E71" s="294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30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9"/>
      <c r="R71" s="289"/>
      <c r="S71" s="289"/>
      <c r="T71" s="290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3">
        <v>4620207490228</v>
      </c>
      <c r="E72" s="294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31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9"/>
      <c r="R72" s="289"/>
      <c r="S72" s="289"/>
      <c r="T72" s="290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95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6"/>
      <c r="P73" s="285" t="s">
        <v>87</v>
      </c>
      <c r="Q73" s="286"/>
      <c r="R73" s="286"/>
      <c r="S73" s="286"/>
      <c r="T73" s="286"/>
      <c r="U73" s="286"/>
      <c r="V73" s="287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x14ac:dyDescent="0.2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6"/>
      <c r="P74" s="285" t="s">
        <v>87</v>
      </c>
      <c r="Q74" s="286"/>
      <c r="R74" s="286"/>
      <c r="S74" s="286"/>
      <c r="T74" s="286"/>
      <c r="U74" s="286"/>
      <c r="V74" s="287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customHeight="1" x14ac:dyDescent="0.25">
      <c r="A75" s="301" t="s">
        <v>143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3"/>
      <c r="AB75" s="273"/>
      <c r="AC75" s="273"/>
    </row>
    <row r="76" spans="1:68" ht="14.25" customHeight="1" x14ac:dyDescent="0.25">
      <c r="A76" s="291" t="s">
        <v>62</v>
      </c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  <c r="AA76" s="274"/>
      <c r="AB76" s="274"/>
      <c r="AC76" s="274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3">
        <v>4607111037411</v>
      </c>
      <c r="E77" s="294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9"/>
      <c r="R77" s="289"/>
      <c r="S77" s="289"/>
      <c r="T77" s="290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3">
        <v>4607111036728</v>
      </c>
      <c r="E78" s="294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45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9"/>
      <c r="R78" s="289"/>
      <c r="S78" s="289"/>
      <c r="T78" s="290"/>
      <c r="U78" s="35"/>
      <c r="V78" s="35"/>
      <c r="W78" s="36" t="s">
        <v>68</v>
      </c>
      <c r="X78" s="278">
        <v>156</v>
      </c>
      <c r="Y78" s="279">
        <f>IFERROR(IF(X78="","",X78),"")</f>
        <v>156</v>
      </c>
      <c r="Z78" s="37">
        <f>IFERROR(IF(X78="","",X78*0.00866),"")</f>
        <v>1.3509599999999999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813.25919999999996</v>
      </c>
      <c r="BN78" s="67">
        <f>IFERROR(Y78*I78,"0")</f>
        <v>813.25919999999996</v>
      </c>
      <c r="BO78" s="67">
        <f>IFERROR(X78/J78,"0")</f>
        <v>1.0833333333333333</v>
      </c>
      <c r="BP78" s="67">
        <f>IFERROR(Y78/J78,"0")</f>
        <v>1.0833333333333333</v>
      </c>
    </row>
    <row r="79" spans="1:68" x14ac:dyDescent="0.2">
      <c r="A79" s="295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6"/>
      <c r="P79" s="285" t="s">
        <v>87</v>
      </c>
      <c r="Q79" s="286"/>
      <c r="R79" s="286"/>
      <c r="S79" s="286"/>
      <c r="T79" s="286"/>
      <c r="U79" s="286"/>
      <c r="V79" s="287"/>
      <c r="W79" s="38" t="s">
        <v>68</v>
      </c>
      <c r="X79" s="280">
        <f>IFERROR(SUM(X77:X78),"0")</f>
        <v>156</v>
      </c>
      <c r="Y79" s="280">
        <f>IFERROR(SUM(Y77:Y78),"0")</f>
        <v>156</v>
      </c>
      <c r="Z79" s="280">
        <f>IFERROR(IF(Z77="",0,Z77),"0")+IFERROR(IF(Z78="",0,Z78),"0")</f>
        <v>1.3509599999999999</v>
      </c>
      <c r="AA79" s="281"/>
      <c r="AB79" s="281"/>
      <c r="AC79" s="281"/>
    </row>
    <row r="80" spans="1:68" x14ac:dyDescent="0.2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6"/>
      <c r="P80" s="285" t="s">
        <v>87</v>
      </c>
      <c r="Q80" s="286"/>
      <c r="R80" s="286"/>
      <c r="S80" s="286"/>
      <c r="T80" s="286"/>
      <c r="U80" s="286"/>
      <c r="V80" s="287"/>
      <c r="W80" s="38" t="s">
        <v>88</v>
      </c>
      <c r="X80" s="280">
        <f>IFERROR(SUMPRODUCT(X77:X78*H77:H78),"0")</f>
        <v>780</v>
      </c>
      <c r="Y80" s="280">
        <f>IFERROR(SUMPRODUCT(Y77:Y78*H77:H78),"0")</f>
        <v>780</v>
      </c>
      <c r="Z80" s="38"/>
      <c r="AA80" s="281"/>
      <c r="AB80" s="281"/>
      <c r="AC80" s="281"/>
    </row>
    <row r="81" spans="1:68" ht="16.5" customHeight="1" x14ac:dyDescent="0.25">
      <c r="A81" s="301" t="s">
        <v>150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3"/>
      <c r="AB81" s="273"/>
      <c r="AC81" s="273"/>
    </row>
    <row r="82" spans="1:68" ht="14.25" customHeight="1" x14ac:dyDescent="0.25">
      <c r="A82" s="291" t="s">
        <v>135</v>
      </c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3">
        <v>4607111033659</v>
      </c>
      <c r="E83" s="294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30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9"/>
      <c r="R83" s="289"/>
      <c r="S83" s="289"/>
      <c r="T83" s="290"/>
      <c r="U83" s="35"/>
      <c r="V83" s="35"/>
      <c r="W83" s="36" t="s">
        <v>68</v>
      </c>
      <c r="X83" s="278">
        <v>42</v>
      </c>
      <c r="Y83" s="279">
        <f>IFERROR(IF(X83="","",X83),"")</f>
        <v>42</v>
      </c>
      <c r="Z83" s="37">
        <f>IFERROR(IF(X83="","",X83*0.01788),"")</f>
        <v>0.75095999999999996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180.75120000000001</v>
      </c>
      <c r="BN83" s="67">
        <f>IFERROR(Y83*I83,"0")</f>
        <v>180.75120000000001</v>
      </c>
      <c r="BO83" s="67">
        <f>IFERROR(X83/J83,"0")</f>
        <v>0.6</v>
      </c>
      <c r="BP83" s="67">
        <f>IFERROR(Y83/J83,"0")</f>
        <v>0.6</v>
      </c>
    </row>
    <row r="84" spans="1:68" x14ac:dyDescent="0.2">
      <c r="A84" s="295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6"/>
      <c r="P84" s="285" t="s">
        <v>87</v>
      </c>
      <c r="Q84" s="286"/>
      <c r="R84" s="286"/>
      <c r="S84" s="286"/>
      <c r="T84" s="286"/>
      <c r="U84" s="286"/>
      <c r="V84" s="287"/>
      <c r="W84" s="38" t="s">
        <v>68</v>
      </c>
      <c r="X84" s="280">
        <f>IFERROR(SUM(X83:X83),"0")</f>
        <v>42</v>
      </c>
      <c r="Y84" s="280">
        <f>IFERROR(SUM(Y83:Y83),"0")</f>
        <v>42</v>
      </c>
      <c r="Z84" s="280">
        <f>IFERROR(IF(Z83="",0,Z83),"0")</f>
        <v>0.75095999999999996</v>
      </c>
      <c r="AA84" s="281"/>
      <c r="AB84" s="281"/>
      <c r="AC84" s="281"/>
    </row>
    <row r="85" spans="1:68" x14ac:dyDescent="0.2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6"/>
      <c r="P85" s="285" t="s">
        <v>87</v>
      </c>
      <c r="Q85" s="286"/>
      <c r="R85" s="286"/>
      <c r="S85" s="286"/>
      <c r="T85" s="286"/>
      <c r="U85" s="286"/>
      <c r="V85" s="287"/>
      <c r="W85" s="38" t="s">
        <v>88</v>
      </c>
      <c r="X85" s="280">
        <f>IFERROR(SUMPRODUCT(X83:X83*H83:H83),"0")</f>
        <v>151.20000000000002</v>
      </c>
      <c r="Y85" s="280">
        <f>IFERROR(SUMPRODUCT(Y83:Y83*H83:H83),"0")</f>
        <v>151.20000000000002</v>
      </c>
      <c r="Z85" s="38"/>
      <c r="AA85" s="281"/>
      <c r="AB85" s="281"/>
      <c r="AC85" s="281"/>
    </row>
    <row r="86" spans="1:68" ht="16.5" customHeight="1" x14ac:dyDescent="0.25">
      <c r="A86" s="301" t="s">
        <v>154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3"/>
      <c r="AB86" s="273"/>
      <c r="AC86" s="273"/>
    </row>
    <row r="87" spans="1:68" ht="14.25" customHeight="1" x14ac:dyDescent="0.25">
      <c r="A87" s="291" t="s">
        <v>155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3">
        <v>4607111034120</v>
      </c>
      <c r="E88" s="294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41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9"/>
      <c r="R88" s="289"/>
      <c r="S88" s="289"/>
      <c r="T88" s="290"/>
      <c r="U88" s="35"/>
      <c r="V88" s="35"/>
      <c r="W88" s="36" t="s">
        <v>68</v>
      </c>
      <c r="X88" s="278">
        <v>70</v>
      </c>
      <c r="Y88" s="279">
        <f>IFERROR(IF(X88="","",X88),"")</f>
        <v>70</v>
      </c>
      <c r="Z88" s="37">
        <f>IFERROR(IF(X88="","",X88*0.01788),"")</f>
        <v>1.2516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301.25200000000001</v>
      </c>
      <c r="BN88" s="67">
        <f>IFERROR(Y88*I88,"0")</f>
        <v>301.25200000000001</v>
      </c>
      <c r="BO88" s="67">
        <f>IFERROR(X88/J88,"0")</f>
        <v>1</v>
      </c>
      <c r="BP88" s="67">
        <f>IFERROR(Y88/J88,"0")</f>
        <v>1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3">
        <v>4607111034137</v>
      </c>
      <c r="E89" s="294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4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9"/>
      <c r="R89" s="289"/>
      <c r="S89" s="289"/>
      <c r="T89" s="290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95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6"/>
      <c r="P90" s="285" t="s">
        <v>87</v>
      </c>
      <c r="Q90" s="286"/>
      <c r="R90" s="286"/>
      <c r="S90" s="286"/>
      <c r="T90" s="286"/>
      <c r="U90" s="286"/>
      <c r="V90" s="287"/>
      <c r="W90" s="38" t="s">
        <v>68</v>
      </c>
      <c r="X90" s="280">
        <f>IFERROR(SUM(X88:X89),"0")</f>
        <v>126</v>
      </c>
      <c r="Y90" s="280">
        <f>IFERROR(SUM(Y88:Y89),"0")</f>
        <v>126</v>
      </c>
      <c r="Z90" s="280">
        <f>IFERROR(IF(Z88="",0,Z88),"0")+IFERROR(IF(Z89="",0,Z89),"0")</f>
        <v>2.2528800000000002</v>
      </c>
      <c r="AA90" s="281"/>
      <c r="AB90" s="281"/>
      <c r="AC90" s="281"/>
    </row>
    <row r="91" spans="1:68" x14ac:dyDescent="0.2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6"/>
      <c r="P91" s="285" t="s">
        <v>87</v>
      </c>
      <c r="Q91" s="286"/>
      <c r="R91" s="286"/>
      <c r="S91" s="286"/>
      <c r="T91" s="286"/>
      <c r="U91" s="286"/>
      <c r="V91" s="287"/>
      <c r="W91" s="38" t="s">
        <v>88</v>
      </c>
      <c r="X91" s="280">
        <f>IFERROR(SUMPRODUCT(X88:X89*H88:H89),"0")</f>
        <v>453.6</v>
      </c>
      <c r="Y91" s="280">
        <f>IFERROR(SUMPRODUCT(Y88:Y89*H88:H89),"0")</f>
        <v>453.6</v>
      </c>
      <c r="Z91" s="38"/>
      <c r="AA91" s="281"/>
      <c r="AB91" s="281"/>
      <c r="AC91" s="281"/>
    </row>
    <row r="92" spans="1:68" ht="16.5" customHeight="1" x14ac:dyDescent="0.25">
      <c r="A92" s="301" t="s">
        <v>162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3"/>
      <c r="AB92" s="273"/>
      <c r="AC92" s="273"/>
    </row>
    <row r="93" spans="1:68" ht="14.25" customHeight="1" x14ac:dyDescent="0.25">
      <c r="A93" s="291" t="s">
        <v>135</v>
      </c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3">
        <v>4620207491027</v>
      </c>
      <c r="E94" s="294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44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9"/>
      <c r="R94" s="289"/>
      <c r="S94" s="289"/>
      <c r="T94" s="290"/>
      <c r="U94" s="35"/>
      <c r="V94" s="35"/>
      <c r="W94" s="36" t="s">
        <v>68</v>
      </c>
      <c r="X94" s="278">
        <v>70</v>
      </c>
      <c r="Y94" s="279">
        <f t="shared" ref="Y94:Y99" si="6">IFERROR(IF(X94="","",X94),"")</f>
        <v>70</v>
      </c>
      <c r="Z94" s="37">
        <f t="shared" ref="Z94:Z99" si="7">IFERROR(IF(X94="","",X94*0.01788),"")</f>
        <v>1.2516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250.852</v>
      </c>
      <c r="BN94" s="67">
        <f t="shared" ref="BN94:BN99" si="9">IFERROR(Y94*I94,"0")</f>
        <v>250.852</v>
      </c>
      <c r="BO94" s="67">
        <f t="shared" ref="BO94:BO99" si="10">IFERROR(X94/J94,"0")</f>
        <v>1</v>
      </c>
      <c r="BP94" s="67">
        <f t="shared" ref="BP94:BP99" si="11">IFERROR(Y94/J94,"0")</f>
        <v>1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3">
        <v>4620207491621</v>
      </c>
      <c r="E95" s="294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454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9"/>
      <c r="R95" s="289"/>
      <c r="S95" s="289"/>
      <c r="T95" s="290"/>
      <c r="U95" s="35"/>
      <c r="V95" s="35"/>
      <c r="W95" s="36" t="s">
        <v>68</v>
      </c>
      <c r="X95" s="278">
        <v>42</v>
      </c>
      <c r="Y95" s="279">
        <f t="shared" si="6"/>
        <v>42</v>
      </c>
      <c r="Z95" s="37">
        <f t="shared" si="7"/>
        <v>0.75095999999999996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150.5112</v>
      </c>
      <c r="BN95" s="67">
        <f t="shared" si="9"/>
        <v>150.5112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3">
        <v>4620207491034</v>
      </c>
      <c r="E96" s="294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9"/>
      <c r="R96" s="289"/>
      <c r="S96" s="289"/>
      <c r="T96" s="290"/>
      <c r="U96" s="35"/>
      <c r="V96" s="35"/>
      <c r="W96" s="36" t="s">
        <v>68</v>
      </c>
      <c r="X96" s="278">
        <v>56</v>
      </c>
      <c r="Y96" s="279">
        <f t="shared" si="6"/>
        <v>56</v>
      </c>
      <c r="Z96" s="37">
        <f t="shared" si="7"/>
        <v>1.0012799999999999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3">
        <v>4620207491010</v>
      </c>
      <c r="E97" s="294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45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9"/>
      <c r="R97" s="289"/>
      <c r="S97" s="289"/>
      <c r="T97" s="290"/>
      <c r="U97" s="35"/>
      <c r="V97" s="35"/>
      <c r="W97" s="36" t="s">
        <v>68</v>
      </c>
      <c r="X97" s="278">
        <v>126</v>
      </c>
      <c r="Y97" s="279">
        <f t="shared" si="6"/>
        <v>126</v>
      </c>
      <c r="Z97" s="37">
        <f t="shared" si="7"/>
        <v>2.2528800000000002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451.53360000000004</v>
      </c>
      <c r="BN97" s="67">
        <f t="shared" si="9"/>
        <v>451.53360000000004</v>
      </c>
      <c r="BO97" s="67">
        <f t="shared" si="10"/>
        <v>1.8</v>
      </c>
      <c r="BP97" s="67">
        <f t="shared" si="11"/>
        <v>1.8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3">
        <v>4607111035028</v>
      </c>
      <c r="E98" s="294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35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9"/>
      <c r="R98" s="289"/>
      <c r="S98" s="289"/>
      <c r="T98" s="290"/>
      <c r="U98" s="35"/>
      <c r="V98" s="35"/>
      <c r="W98" s="36" t="s">
        <v>68</v>
      </c>
      <c r="X98" s="278">
        <v>28</v>
      </c>
      <c r="Y98" s="279">
        <f t="shared" si="6"/>
        <v>28</v>
      </c>
      <c r="Z98" s="37">
        <f t="shared" si="7"/>
        <v>0.50063999999999997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3">
        <v>4607111036407</v>
      </c>
      <c r="E99" s="294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46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9"/>
      <c r="R99" s="289"/>
      <c r="S99" s="289"/>
      <c r="T99" s="290"/>
      <c r="U99" s="35"/>
      <c r="V99" s="35"/>
      <c r="W99" s="36" t="s">
        <v>68</v>
      </c>
      <c r="X99" s="278">
        <v>42</v>
      </c>
      <c r="Y99" s="279">
        <f t="shared" si="6"/>
        <v>42</v>
      </c>
      <c r="Z99" s="37">
        <f t="shared" si="7"/>
        <v>0.75095999999999996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190.22640000000001</v>
      </c>
      <c r="BN99" s="67">
        <f t="shared" si="9"/>
        <v>190.22640000000001</v>
      </c>
      <c r="BO99" s="67">
        <f t="shared" si="10"/>
        <v>0.6</v>
      </c>
      <c r="BP99" s="67">
        <f t="shared" si="11"/>
        <v>0.6</v>
      </c>
    </row>
    <row r="100" spans="1:68" x14ac:dyDescent="0.2">
      <c r="A100" s="295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6"/>
      <c r="P100" s="285" t="s">
        <v>87</v>
      </c>
      <c r="Q100" s="286"/>
      <c r="R100" s="286"/>
      <c r="S100" s="286"/>
      <c r="T100" s="286"/>
      <c r="U100" s="286"/>
      <c r="V100" s="287"/>
      <c r="W100" s="38" t="s">
        <v>68</v>
      </c>
      <c r="X100" s="280">
        <f>IFERROR(SUM(X94:X99),"0")</f>
        <v>364</v>
      </c>
      <c r="Y100" s="280">
        <f>IFERROR(SUM(Y94:Y99),"0")</f>
        <v>364</v>
      </c>
      <c r="Z100" s="280">
        <f>IFERROR(IF(Z94="",0,Z94),"0")+IFERROR(IF(Z95="",0,Z95),"0")+IFERROR(IF(Z96="",0,Z96),"0")+IFERROR(IF(Z97="",0,Z97),"0")+IFERROR(IF(Z98="",0,Z98),"0")+IFERROR(IF(Z99="",0,Z99),"0")</f>
        <v>6.5083199999999994</v>
      </c>
      <c r="AA100" s="281"/>
      <c r="AB100" s="281"/>
      <c r="AC100" s="281"/>
    </row>
    <row r="101" spans="1:68" x14ac:dyDescent="0.2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6"/>
      <c r="P101" s="285" t="s">
        <v>87</v>
      </c>
      <c r="Q101" s="286"/>
      <c r="R101" s="286"/>
      <c r="S101" s="286"/>
      <c r="T101" s="286"/>
      <c r="U101" s="286"/>
      <c r="V101" s="287"/>
      <c r="W101" s="38" t="s">
        <v>88</v>
      </c>
      <c r="X101" s="280">
        <f>IFERROR(SUMPRODUCT(X94:X99*H94:H99),"0")</f>
        <v>1130.6400000000001</v>
      </c>
      <c r="Y101" s="280">
        <f>IFERROR(SUMPRODUCT(Y94:Y99*H94:H99),"0")</f>
        <v>1130.6400000000001</v>
      </c>
      <c r="Z101" s="38"/>
      <c r="AA101" s="281"/>
      <c r="AB101" s="281"/>
      <c r="AC101" s="281"/>
    </row>
    <row r="102" spans="1:68" ht="16.5" customHeight="1" x14ac:dyDescent="0.25">
      <c r="A102" s="301" t="s">
        <v>178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3"/>
      <c r="AB102" s="273"/>
      <c r="AC102" s="273"/>
    </row>
    <row r="103" spans="1:68" ht="14.25" customHeight="1" x14ac:dyDescent="0.25">
      <c r="A103" s="291" t="s">
        <v>129</v>
      </c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3">
        <v>4607025784012</v>
      </c>
      <c r="E104" s="294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46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9"/>
      <c r="R104" s="289"/>
      <c r="S104" s="289"/>
      <c r="T104" s="290"/>
      <c r="U104" s="35"/>
      <c r="V104" s="35"/>
      <c r="W104" s="36" t="s">
        <v>68</v>
      </c>
      <c r="X104" s="278">
        <v>70</v>
      </c>
      <c r="Y104" s="279">
        <f>IFERROR(IF(X104="","",X104),"")</f>
        <v>70</v>
      </c>
      <c r="Z104" s="37">
        <f>IFERROR(IF(X104="","",X104*0.00936),"")</f>
        <v>0.6552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174.38400000000001</v>
      </c>
      <c r="BN104" s="67">
        <f>IFERROR(Y104*I104,"0")</f>
        <v>174.38400000000001</v>
      </c>
      <c r="BO104" s="67">
        <f>IFERROR(X104/J104,"0")</f>
        <v>0.55555555555555558</v>
      </c>
      <c r="BP104" s="67">
        <f>IFERROR(Y104/J104,"0")</f>
        <v>0.55555555555555558</v>
      </c>
    </row>
    <row r="105" spans="1:68" ht="27" customHeight="1" x14ac:dyDescent="0.25">
      <c r="A105" s="54" t="s">
        <v>182</v>
      </c>
      <c r="B105" s="54" t="s">
        <v>183</v>
      </c>
      <c r="C105" s="32">
        <v>4301136103</v>
      </c>
      <c r="D105" s="293">
        <v>4620207491645</v>
      </c>
      <c r="E105" s="294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34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9"/>
      <c r="R105" s="289"/>
      <c r="S105" s="289"/>
      <c r="T105" s="290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5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6"/>
      <c r="P106" s="285" t="s">
        <v>87</v>
      </c>
      <c r="Q106" s="286"/>
      <c r="R106" s="286"/>
      <c r="S106" s="286"/>
      <c r="T106" s="286"/>
      <c r="U106" s="286"/>
      <c r="V106" s="287"/>
      <c r="W106" s="38" t="s">
        <v>68</v>
      </c>
      <c r="X106" s="280">
        <f>IFERROR(SUM(X104:X105),"0")</f>
        <v>70</v>
      </c>
      <c r="Y106" s="280">
        <f>IFERROR(SUM(Y104:Y105),"0")</f>
        <v>70</v>
      </c>
      <c r="Z106" s="280">
        <f>IFERROR(IF(Z104="",0,Z104),"0")+IFERROR(IF(Z105="",0,Z105),"0")</f>
        <v>0.6552</v>
      </c>
      <c r="AA106" s="281"/>
      <c r="AB106" s="281"/>
      <c r="AC106" s="281"/>
    </row>
    <row r="107" spans="1:68" x14ac:dyDescent="0.2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6"/>
      <c r="P107" s="285" t="s">
        <v>87</v>
      </c>
      <c r="Q107" s="286"/>
      <c r="R107" s="286"/>
      <c r="S107" s="286"/>
      <c r="T107" s="286"/>
      <c r="U107" s="286"/>
      <c r="V107" s="287"/>
      <c r="W107" s="38" t="s">
        <v>88</v>
      </c>
      <c r="X107" s="280">
        <f>IFERROR(SUMPRODUCT(X104:X105*H104:H105),"0")</f>
        <v>151.20000000000002</v>
      </c>
      <c r="Y107" s="280">
        <f>IFERROR(SUMPRODUCT(Y104:Y105*H104:H105),"0")</f>
        <v>151.20000000000002</v>
      </c>
      <c r="Z107" s="38"/>
      <c r="AA107" s="281"/>
      <c r="AB107" s="281"/>
      <c r="AC107" s="281"/>
    </row>
    <row r="108" spans="1:68" ht="16.5" customHeight="1" x14ac:dyDescent="0.25">
      <c r="A108" s="301" t="s">
        <v>185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3"/>
      <c r="AB108" s="273"/>
      <c r="AC108" s="273"/>
    </row>
    <row r="109" spans="1:68" ht="14.25" customHeight="1" x14ac:dyDescent="0.25">
      <c r="A109" s="291" t="s">
        <v>62</v>
      </c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3">
        <v>4620207491157</v>
      </c>
      <c r="E110" s="294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33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9"/>
      <c r="R110" s="289"/>
      <c r="S110" s="289"/>
      <c r="T110" s="290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customHeight="1" x14ac:dyDescent="0.25">
      <c r="A111" s="54" t="s">
        <v>189</v>
      </c>
      <c r="B111" s="54" t="s">
        <v>190</v>
      </c>
      <c r="C111" s="32">
        <v>4301071121</v>
      </c>
      <c r="D111" s="293">
        <v>4620207491393</v>
      </c>
      <c r="E111" s="294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37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9"/>
      <c r="R111" s="289"/>
      <c r="S111" s="289"/>
      <c r="T111" s="290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192</v>
      </c>
      <c r="B112" s="54" t="s">
        <v>193</v>
      </c>
      <c r="C112" s="32">
        <v>4301071136</v>
      </c>
      <c r="D112" s="293">
        <v>4620207491829</v>
      </c>
      <c r="E112" s="294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38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9"/>
      <c r="R112" s="289"/>
      <c r="S112" s="289"/>
      <c r="T112" s="290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194</v>
      </c>
      <c r="B113" s="54" t="s">
        <v>195</v>
      </c>
      <c r="C113" s="32">
        <v>4301071051</v>
      </c>
      <c r="D113" s="293">
        <v>4607111039262</v>
      </c>
      <c r="E113" s="294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43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9"/>
      <c r="R113" s="289"/>
      <c r="S113" s="289"/>
      <c r="T113" s="290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3">
        <v>4607111039248</v>
      </c>
      <c r="E114" s="294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38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9"/>
      <c r="R114" s="289"/>
      <c r="S114" s="289"/>
      <c r="T114" s="290"/>
      <c r="U114" s="35"/>
      <c r="V114" s="35"/>
      <c r="W114" s="36" t="s">
        <v>68</v>
      </c>
      <c r="X114" s="278">
        <v>24</v>
      </c>
      <c r="Y114" s="279">
        <f t="shared" si="12"/>
        <v>24</v>
      </c>
      <c r="Z114" s="37">
        <f t="shared" si="13"/>
        <v>0.372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175.2</v>
      </c>
      <c r="BN114" s="67">
        <f t="shared" si="15"/>
        <v>175.2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2">
        <v>4301070979</v>
      </c>
      <c r="D115" s="293">
        <v>4607111037145</v>
      </c>
      <c r="E115" s="294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9"/>
      <c r="R115" s="289"/>
      <c r="S115" s="289"/>
      <c r="T115" s="290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3">
        <v>4607111039293</v>
      </c>
      <c r="E116" s="294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45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9"/>
      <c r="R116" s="289"/>
      <c r="S116" s="289"/>
      <c r="T116" s="290"/>
      <c r="U116" s="35"/>
      <c r="V116" s="35"/>
      <c r="W116" s="36" t="s">
        <v>68</v>
      </c>
      <c r="X116" s="278">
        <v>36</v>
      </c>
      <c r="Y116" s="279">
        <f t="shared" si="12"/>
        <v>36</v>
      </c>
      <c r="Z116" s="37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3">
        <v>4607111039279</v>
      </c>
      <c r="E117" s="294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42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9"/>
      <c r="R117" s="289"/>
      <c r="S117" s="289"/>
      <c r="T117" s="290"/>
      <c r="U117" s="35"/>
      <c r="V117" s="35"/>
      <c r="W117" s="36" t="s">
        <v>68</v>
      </c>
      <c r="X117" s="278">
        <v>96</v>
      </c>
      <c r="Y117" s="279">
        <f t="shared" si="12"/>
        <v>96</v>
      </c>
      <c r="Z117" s="37">
        <f t="shared" si="13"/>
        <v>1.488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700.8</v>
      </c>
      <c r="BN117" s="67">
        <f t="shared" si="15"/>
        <v>700.8</v>
      </c>
      <c r="BO117" s="67">
        <f t="shared" si="16"/>
        <v>1.1428571428571428</v>
      </c>
      <c r="BP117" s="67">
        <f t="shared" si="17"/>
        <v>1.1428571428571428</v>
      </c>
    </row>
    <row r="118" spans="1:68" x14ac:dyDescent="0.2">
      <c r="A118" s="295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6"/>
      <c r="P118" s="285" t="s">
        <v>87</v>
      </c>
      <c r="Q118" s="286"/>
      <c r="R118" s="286"/>
      <c r="S118" s="286"/>
      <c r="T118" s="286"/>
      <c r="U118" s="286"/>
      <c r="V118" s="287"/>
      <c r="W118" s="38" t="s">
        <v>68</v>
      </c>
      <c r="X118" s="280">
        <f>IFERROR(SUM(X110:X117),"0")</f>
        <v>156</v>
      </c>
      <c r="Y118" s="280">
        <f>IFERROR(SUM(Y110:Y117),"0")</f>
        <v>156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2.4180000000000001</v>
      </c>
      <c r="AA118" s="281"/>
      <c r="AB118" s="281"/>
      <c r="AC118" s="281"/>
    </row>
    <row r="119" spans="1:68" x14ac:dyDescent="0.2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6"/>
      <c r="P119" s="285" t="s">
        <v>87</v>
      </c>
      <c r="Q119" s="286"/>
      <c r="R119" s="286"/>
      <c r="S119" s="286"/>
      <c r="T119" s="286"/>
      <c r="U119" s="286"/>
      <c r="V119" s="287"/>
      <c r="W119" s="38" t="s">
        <v>88</v>
      </c>
      <c r="X119" s="280">
        <f>IFERROR(SUMPRODUCT(X110:X117*H110:H117),"0")</f>
        <v>1070.4000000000001</v>
      </c>
      <c r="Y119" s="280">
        <f>IFERROR(SUMPRODUCT(Y110:Y117*H110:H117),"0")</f>
        <v>1070.4000000000001</v>
      </c>
      <c r="Z119" s="38"/>
      <c r="AA119" s="281"/>
      <c r="AB119" s="281"/>
      <c r="AC119" s="281"/>
    </row>
    <row r="120" spans="1:68" ht="14.25" customHeight="1" x14ac:dyDescent="0.25">
      <c r="A120" s="291" t="s">
        <v>135</v>
      </c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  <c r="AA120" s="274"/>
      <c r="AB120" s="274"/>
      <c r="AC120" s="274"/>
    </row>
    <row r="121" spans="1:68" ht="27" customHeight="1" x14ac:dyDescent="0.25">
      <c r="A121" s="54" t="s">
        <v>205</v>
      </c>
      <c r="B121" s="54" t="s">
        <v>206</v>
      </c>
      <c r="C121" s="32">
        <v>4301135826</v>
      </c>
      <c r="D121" s="293">
        <v>4620207490983</v>
      </c>
      <c r="E121" s="294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33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9"/>
      <c r="R121" s="289"/>
      <c r="S121" s="289"/>
      <c r="T121" s="290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x14ac:dyDescent="0.2">
      <c r="A122" s="295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6"/>
      <c r="P122" s="285" t="s">
        <v>87</v>
      </c>
      <c r="Q122" s="286"/>
      <c r="R122" s="286"/>
      <c r="S122" s="286"/>
      <c r="T122" s="286"/>
      <c r="U122" s="286"/>
      <c r="V122" s="287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x14ac:dyDescent="0.2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6"/>
      <c r="P123" s="285" t="s">
        <v>87</v>
      </c>
      <c r="Q123" s="286"/>
      <c r="R123" s="286"/>
      <c r="S123" s="286"/>
      <c r="T123" s="286"/>
      <c r="U123" s="286"/>
      <c r="V123" s="287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customHeight="1" x14ac:dyDescent="0.25">
      <c r="A124" s="291" t="s">
        <v>208</v>
      </c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  <c r="AA124" s="274"/>
      <c r="AB124" s="274"/>
      <c r="AC124" s="274"/>
    </row>
    <row r="125" spans="1:68" ht="27" customHeight="1" x14ac:dyDescent="0.25">
      <c r="A125" s="54" t="s">
        <v>209</v>
      </c>
      <c r="B125" s="54" t="s">
        <v>210</v>
      </c>
      <c r="C125" s="32">
        <v>4301071094</v>
      </c>
      <c r="D125" s="293">
        <v>4620207491140</v>
      </c>
      <c r="E125" s="294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38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9"/>
      <c r="R125" s="289"/>
      <c r="S125" s="289"/>
      <c r="T125" s="290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5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6"/>
      <c r="P126" s="285" t="s">
        <v>87</v>
      </c>
      <c r="Q126" s="286"/>
      <c r="R126" s="286"/>
      <c r="S126" s="286"/>
      <c r="T126" s="286"/>
      <c r="U126" s="286"/>
      <c r="V126" s="287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6"/>
      <c r="P127" s="285" t="s">
        <v>87</v>
      </c>
      <c r="Q127" s="286"/>
      <c r="R127" s="286"/>
      <c r="S127" s="286"/>
      <c r="T127" s="286"/>
      <c r="U127" s="286"/>
      <c r="V127" s="287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customHeight="1" x14ac:dyDescent="0.25">
      <c r="A128" s="301" t="s">
        <v>212</v>
      </c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  <c r="AA128" s="273"/>
      <c r="AB128" s="273"/>
      <c r="AC128" s="273"/>
    </row>
    <row r="129" spans="1:68" ht="14.25" customHeight="1" x14ac:dyDescent="0.25">
      <c r="A129" s="291" t="s">
        <v>135</v>
      </c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  <c r="AA129" s="274"/>
      <c r="AB129" s="274"/>
      <c r="AC129" s="274"/>
    </row>
    <row r="130" spans="1:68" ht="27" customHeight="1" x14ac:dyDescent="0.25">
      <c r="A130" s="54" t="s">
        <v>213</v>
      </c>
      <c r="B130" s="54" t="s">
        <v>214</v>
      </c>
      <c r="C130" s="32">
        <v>4301135848</v>
      </c>
      <c r="D130" s="293">
        <v>4620207491799</v>
      </c>
      <c r="E130" s="294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37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9"/>
      <c r="R130" s="289"/>
      <c r="S130" s="289"/>
      <c r="T130" s="290"/>
      <c r="U130" s="35"/>
      <c r="V130" s="35"/>
      <c r="W130" s="36" t="s">
        <v>68</v>
      </c>
      <c r="X130" s="278">
        <v>70</v>
      </c>
      <c r="Y130" s="279">
        <f>IFERROR(IF(X130="","",X130),"")</f>
        <v>70</v>
      </c>
      <c r="Z130" s="37">
        <f>IFERROR(IF(X130="","",X130*0.00941),"")</f>
        <v>0.65869999999999995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126</v>
      </c>
      <c r="BN130" s="67">
        <f>IFERROR(Y130*I130,"0")</f>
        <v>126</v>
      </c>
      <c r="BO130" s="67">
        <f>IFERROR(X130/J130,"0")</f>
        <v>0.5</v>
      </c>
      <c r="BP130" s="67">
        <f>IFERROR(Y130/J130,"0")</f>
        <v>0.5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3">
        <v>4620207491492</v>
      </c>
      <c r="E131" s="294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43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9"/>
      <c r="R131" s="289"/>
      <c r="S131" s="289"/>
      <c r="T131" s="290"/>
      <c r="U131" s="35"/>
      <c r="V131" s="35"/>
      <c r="W131" s="36" t="s">
        <v>68</v>
      </c>
      <c r="X131" s="278">
        <v>28</v>
      </c>
      <c r="Y131" s="279">
        <f>IFERROR(IF(X131="","",X131),"")</f>
        <v>28</v>
      </c>
      <c r="Z131" s="37">
        <f>IFERROR(IF(X131="","",X131*0.00941),"")</f>
        <v>0.26347999999999999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50.4</v>
      </c>
      <c r="BN131" s="67">
        <f>IFERROR(Y131*I131,"0")</f>
        <v>50.4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218</v>
      </c>
      <c r="B132" s="54" t="s">
        <v>219</v>
      </c>
      <c r="C132" s="32">
        <v>4301190118</v>
      </c>
      <c r="D132" s="293">
        <v>4620207491461</v>
      </c>
      <c r="E132" s="294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42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9"/>
      <c r="R132" s="289"/>
      <c r="S132" s="289"/>
      <c r="T132" s="290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3">
        <v>4620207491485</v>
      </c>
      <c r="E133" s="294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33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9"/>
      <c r="R133" s="289"/>
      <c r="S133" s="289"/>
      <c r="T133" s="290"/>
      <c r="U133" s="35"/>
      <c r="V133" s="35"/>
      <c r="W133" s="36" t="s">
        <v>68</v>
      </c>
      <c r="X133" s="278">
        <v>84</v>
      </c>
      <c r="Y133" s="279">
        <f>IFERROR(IF(X133="","",X133),"")</f>
        <v>84</v>
      </c>
      <c r="Z133" s="37">
        <f>IFERROR(IF(X133="","",X133*0.00941),"")</f>
        <v>0.79044000000000003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151.20000000000002</v>
      </c>
      <c r="BN133" s="67">
        <f>IFERROR(Y133*I133,"0")</f>
        <v>151.20000000000002</v>
      </c>
      <c r="BO133" s="67">
        <f>IFERROR(X133/J133,"0")</f>
        <v>0.6</v>
      </c>
      <c r="BP133" s="67">
        <f>IFERROR(Y133/J133,"0")</f>
        <v>0.6</v>
      </c>
    </row>
    <row r="134" spans="1:68" x14ac:dyDescent="0.2">
      <c r="A134" s="295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6"/>
      <c r="P134" s="285" t="s">
        <v>87</v>
      </c>
      <c r="Q134" s="286"/>
      <c r="R134" s="286"/>
      <c r="S134" s="286"/>
      <c r="T134" s="286"/>
      <c r="U134" s="286"/>
      <c r="V134" s="287"/>
      <c r="W134" s="38" t="s">
        <v>68</v>
      </c>
      <c r="X134" s="280">
        <f>IFERROR(SUM(X130:X133),"0")</f>
        <v>182</v>
      </c>
      <c r="Y134" s="280">
        <f>IFERROR(SUM(Y130:Y133),"0")</f>
        <v>182</v>
      </c>
      <c r="Z134" s="280">
        <f>IFERROR(IF(Z130="",0,Z130),"0")+IFERROR(IF(Z131="",0,Z131),"0")+IFERROR(IF(Z132="",0,Z132),"0")+IFERROR(IF(Z133="",0,Z133),"0")</f>
        <v>1.71262</v>
      </c>
      <c r="AA134" s="281"/>
      <c r="AB134" s="281"/>
      <c r="AC134" s="281"/>
    </row>
    <row r="135" spans="1:68" x14ac:dyDescent="0.2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6"/>
      <c r="P135" s="285" t="s">
        <v>87</v>
      </c>
      <c r="Q135" s="286"/>
      <c r="R135" s="286"/>
      <c r="S135" s="286"/>
      <c r="T135" s="286"/>
      <c r="U135" s="286"/>
      <c r="V135" s="287"/>
      <c r="W135" s="38" t="s">
        <v>88</v>
      </c>
      <c r="X135" s="280">
        <f>IFERROR(SUMPRODUCT(X130:X133*H130:H133),"0")</f>
        <v>251.16</v>
      </c>
      <c r="Y135" s="280">
        <f>IFERROR(SUMPRODUCT(Y130:Y133*H130:H133),"0")</f>
        <v>251.16</v>
      </c>
      <c r="Z135" s="38"/>
      <c r="AA135" s="281"/>
      <c r="AB135" s="281"/>
      <c r="AC135" s="281"/>
    </row>
    <row r="136" spans="1:68" ht="14.25" customHeight="1" x14ac:dyDescent="0.25">
      <c r="A136" s="291" t="s">
        <v>222</v>
      </c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3">
        <v>4620207491386</v>
      </c>
      <c r="E137" s="294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9"/>
      <c r="R137" s="289"/>
      <c r="S137" s="289"/>
      <c r="T137" s="290"/>
      <c r="U137" s="35"/>
      <c r="V137" s="35"/>
      <c r="W137" s="36" t="s">
        <v>68</v>
      </c>
      <c r="X137" s="278">
        <v>14</v>
      </c>
      <c r="Y137" s="279">
        <f>IFERROR(IF(X137="","",X137),"")</f>
        <v>14</v>
      </c>
      <c r="Z137" s="37">
        <f>IFERROR(IF(X137="","",X137*0.00941),"")</f>
        <v>0.13174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19.571999999999999</v>
      </c>
      <c r="BN137" s="67">
        <f>IFERROR(Y137*I137,"0")</f>
        <v>19.571999999999999</v>
      </c>
      <c r="BO137" s="67">
        <f>IFERROR(X137/J137,"0")</f>
        <v>0.1</v>
      </c>
      <c r="BP137" s="67">
        <f>IFERROR(Y137/J137,"0")</f>
        <v>0.1</v>
      </c>
    </row>
    <row r="138" spans="1:68" ht="27" customHeight="1" x14ac:dyDescent="0.25">
      <c r="A138" s="54" t="s">
        <v>226</v>
      </c>
      <c r="B138" s="54" t="s">
        <v>227</v>
      </c>
      <c r="C138" s="32">
        <v>4301190115</v>
      </c>
      <c r="D138" s="293">
        <v>4620207491362</v>
      </c>
      <c r="E138" s="294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40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9"/>
      <c r="R138" s="289"/>
      <c r="S138" s="289"/>
      <c r="T138" s="290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228</v>
      </c>
      <c r="B139" s="54" t="s">
        <v>229</v>
      </c>
      <c r="C139" s="32">
        <v>4301190116</v>
      </c>
      <c r="D139" s="293">
        <v>4620207491379</v>
      </c>
      <c r="E139" s="294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38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9"/>
      <c r="R139" s="289"/>
      <c r="S139" s="289"/>
      <c r="T139" s="290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5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6"/>
      <c r="P140" s="285" t="s">
        <v>87</v>
      </c>
      <c r="Q140" s="286"/>
      <c r="R140" s="286"/>
      <c r="S140" s="286"/>
      <c r="T140" s="286"/>
      <c r="U140" s="286"/>
      <c r="V140" s="287"/>
      <c r="W140" s="38" t="s">
        <v>68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6"/>
      <c r="P141" s="285" t="s">
        <v>87</v>
      </c>
      <c r="Q141" s="286"/>
      <c r="R141" s="286"/>
      <c r="S141" s="286"/>
      <c r="T141" s="286"/>
      <c r="U141" s="286"/>
      <c r="V141" s="287"/>
      <c r="W141" s="38" t="s">
        <v>88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8"/>
      <c r="AA141" s="281"/>
      <c r="AB141" s="281"/>
      <c r="AC141" s="281"/>
    </row>
    <row r="142" spans="1:68" ht="16.5" customHeight="1" x14ac:dyDescent="0.25">
      <c r="A142" s="301" t="s">
        <v>230</v>
      </c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73"/>
      <c r="AB142" s="273"/>
      <c r="AC142" s="273"/>
    </row>
    <row r="143" spans="1:68" ht="14.25" customHeight="1" x14ac:dyDescent="0.25">
      <c r="A143" s="291" t="s">
        <v>135</v>
      </c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3">
        <v>4607111034014</v>
      </c>
      <c r="E144" s="294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46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9"/>
      <c r="R144" s="289"/>
      <c r="S144" s="289"/>
      <c r="T144" s="290"/>
      <c r="U144" s="35"/>
      <c r="V144" s="35"/>
      <c r="W144" s="36" t="s">
        <v>68</v>
      </c>
      <c r="X144" s="278">
        <v>182</v>
      </c>
      <c r="Y144" s="279">
        <f>IFERROR(IF(X144="","",X144),"")</f>
        <v>182</v>
      </c>
      <c r="Z144" s="37">
        <f>IFERROR(IF(X144="","",X144*0.01788),"")</f>
        <v>3.2541600000000002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674.05520000000001</v>
      </c>
      <c r="BN144" s="67">
        <f>IFERROR(Y144*I144,"0")</f>
        <v>674.05520000000001</v>
      </c>
      <c r="BO144" s="67">
        <f>IFERROR(X144/J144,"0")</f>
        <v>2.6</v>
      </c>
      <c r="BP144" s="67">
        <f>IFERROR(Y144/J144,"0")</f>
        <v>2.6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3">
        <v>4607111033994</v>
      </c>
      <c r="E145" s="294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46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9"/>
      <c r="R145" s="289"/>
      <c r="S145" s="289"/>
      <c r="T145" s="290"/>
      <c r="U145" s="35"/>
      <c r="V145" s="35"/>
      <c r="W145" s="36" t="s">
        <v>68</v>
      </c>
      <c r="X145" s="278">
        <v>252</v>
      </c>
      <c r="Y145" s="279">
        <f>IFERROR(IF(X145="","",X145),"")</f>
        <v>252</v>
      </c>
      <c r="Z145" s="37">
        <f>IFERROR(IF(X145="","",X145*0.01788),"")</f>
        <v>4.5057600000000004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933.30719999999997</v>
      </c>
      <c r="BN145" s="67">
        <f>IFERROR(Y145*I145,"0")</f>
        <v>933.30719999999997</v>
      </c>
      <c r="BO145" s="67">
        <f>IFERROR(X145/J145,"0")</f>
        <v>3.6</v>
      </c>
      <c r="BP145" s="67">
        <f>IFERROR(Y145/J145,"0")</f>
        <v>3.6</v>
      </c>
    </row>
    <row r="146" spans="1:68" x14ac:dyDescent="0.2">
      <c r="A146" s="295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6"/>
      <c r="P146" s="285" t="s">
        <v>87</v>
      </c>
      <c r="Q146" s="286"/>
      <c r="R146" s="286"/>
      <c r="S146" s="286"/>
      <c r="T146" s="286"/>
      <c r="U146" s="286"/>
      <c r="V146" s="287"/>
      <c r="W146" s="38" t="s">
        <v>68</v>
      </c>
      <c r="X146" s="280">
        <f>IFERROR(SUM(X144:X145),"0")</f>
        <v>434</v>
      </c>
      <c r="Y146" s="280">
        <f>IFERROR(SUM(Y144:Y145),"0")</f>
        <v>434</v>
      </c>
      <c r="Z146" s="280">
        <f>IFERROR(IF(Z144="",0,Z144),"0")+IFERROR(IF(Z145="",0,Z145),"0")</f>
        <v>7.759920000000001</v>
      </c>
      <c r="AA146" s="281"/>
      <c r="AB146" s="281"/>
      <c r="AC146" s="281"/>
    </row>
    <row r="147" spans="1:68" x14ac:dyDescent="0.2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6"/>
      <c r="P147" s="285" t="s">
        <v>87</v>
      </c>
      <c r="Q147" s="286"/>
      <c r="R147" s="286"/>
      <c r="S147" s="286"/>
      <c r="T147" s="286"/>
      <c r="U147" s="286"/>
      <c r="V147" s="287"/>
      <c r="W147" s="38" t="s">
        <v>88</v>
      </c>
      <c r="X147" s="280">
        <f>IFERROR(SUMPRODUCT(X144:X145*H144:H145),"0")</f>
        <v>1302</v>
      </c>
      <c r="Y147" s="280">
        <f>IFERROR(SUMPRODUCT(Y144:Y145*H144:H145),"0")</f>
        <v>1302</v>
      </c>
      <c r="Z147" s="38"/>
      <c r="AA147" s="281"/>
      <c r="AB147" s="281"/>
      <c r="AC147" s="281"/>
    </row>
    <row r="148" spans="1:68" ht="16.5" customHeight="1" x14ac:dyDescent="0.25">
      <c r="A148" s="301" t="s">
        <v>236</v>
      </c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  <c r="AA148" s="273"/>
      <c r="AB148" s="273"/>
      <c r="AC148" s="273"/>
    </row>
    <row r="149" spans="1:68" ht="14.25" customHeight="1" x14ac:dyDescent="0.25">
      <c r="A149" s="291" t="s">
        <v>135</v>
      </c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3">
        <v>4607111039095</v>
      </c>
      <c r="E150" s="294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46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9"/>
      <c r="R150" s="289"/>
      <c r="S150" s="289"/>
      <c r="T150" s="290"/>
      <c r="U150" s="35"/>
      <c r="V150" s="35"/>
      <c r="W150" s="36" t="s">
        <v>68</v>
      </c>
      <c r="X150" s="278">
        <v>84</v>
      </c>
      <c r="Y150" s="279">
        <f>IFERROR(IF(X150="","",X150),"")</f>
        <v>84</v>
      </c>
      <c r="Z150" s="37">
        <f>IFERROR(IF(X150="","",X150*0.01788),"")</f>
        <v>1.5019199999999999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314.83199999999999</v>
      </c>
      <c r="BN150" s="67">
        <f>IFERROR(Y150*I150,"0")</f>
        <v>314.83199999999999</v>
      </c>
      <c r="BO150" s="67">
        <f>IFERROR(X150/J150,"0")</f>
        <v>1.2</v>
      </c>
      <c r="BP150" s="67">
        <f>IFERROR(Y150/J150,"0")</f>
        <v>1.2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3">
        <v>4620207491553</v>
      </c>
      <c r="E151" s="294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30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9"/>
      <c r="R151" s="289"/>
      <c r="S151" s="289"/>
      <c r="T151" s="290"/>
      <c r="U151" s="35"/>
      <c r="V151" s="35"/>
      <c r="W151" s="36" t="s">
        <v>68</v>
      </c>
      <c r="X151" s="278">
        <v>98</v>
      </c>
      <c r="Y151" s="279">
        <f>IFERROR(IF(X151="","",X151),"")</f>
        <v>98</v>
      </c>
      <c r="Z151" s="37">
        <f>IFERROR(IF(X151="","",X151*0.01788),"")</f>
        <v>1.75224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362.95279999999997</v>
      </c>
      <c r="BN151" s="67">
        <f>IFERROR(Y151*I151,"0")</f>
        <v>362.95279999999997</v>
      </c>
      <c r="BO151" s="67">
        <f>IFERROR(X151/J151,"0")</f>
        <v>1.4</v>
      </c>
      <c r="BP151" s="67">
        <f>IFERROR(Y151/J151,"0")</f>
        <v>1.4</v>
      </c>
    </row>
    <row r="152" spans="1:68" x14ac:dyDescent="0.2">
      <c r="A152" s="295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6"/>
      <c r="P152" s="285" t="s">
        <v>87</v>
      </c>
      <c r="Q152" s="286"/>
      <c r="R152" s="286"/>
      <c r="S152" s="286"/>
      <c r="T152" s="286"/>
      <c r="U152" s="286"/>
      <c r="V152" s="287"/>
      <c r="W152" s="38" t="s">
        <v>68</v>
      </c>
      <c r="X152" s="280">
        <f>IFERROR(SUM(X150:X151),"0")</f>
        <v>182</v>
      </c>
      <c r="Y152" s="280">
        <f>IFERROR(SUM(Y150:Y151),"0")</f>
        <v>182</v>
      </c>
      <c r="Z152" s="280">
        <f>IFERROR(IF(Z150="",0,Z150),"0")+IFERROR(IF(Z151="",0,Z151),"0")</f>
        <v>3.2541599999999997</v>
      </c>
      <c r="AA152" s="281"/>
      <c r="AB152" s="281"/>
      <c r="AC152" s="281"/>
    </row>
    <row r="153" spans="1:68" x14ac:dyDescent="0.2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6"/>
      <c r="P153" s="285" t="s">
        <v>87</v>
      </c>
      <c r="Q153" s="286"/>
      <c r="R153" s="286"/>
      <c r="S153" s="286"/>
      <c r="T153" s="286"/>
      <c r="U153" s="286"/>
      <c r="V153" s="287"/>
      <c r="W153" s="38" t="s">
        <v>88</v>
      </c>
      <c r="X153" s="280">
        <f>IFERROR(SUMPRODUCT(X150:X151*H150:H151),"0")</f>
        <v>546</v>
      </c>
      <c r="Y153" s="280">
        <f>IFERROR(SUMPRODUCT(Y150:Y151*H150:H151),"0")</f>
        <v>546</v>
      </c>
      <c r="Z153" s="38"/>
      <c r="AA153" s="281"/>
      <c r="AB153" s="281"/>
      <c r="AC153" s="281"/>
    </row>
    <row r="154" spans="1:68" ht="16.5" customHeight="1" x14ac:dyDescent="0.25">
      <c r="A154" s="301" t="s">
        <v>243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3"/>
      <c r="AB154" s="273"/>
      <c r="AC154" s="273"/>
    </row>
    <row r="155" spans="1:68" ht="14.25" customHeight="1" x14ac:dyDescent="0.25">
      <c r="A155" s="291" t="s">
        <v>135</v>
      </c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3">
        <v>4620207490914</v>
      </c>
      <c r="E156" s="294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37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9"/>
      <c r="R156" s="289"/>
      <c r="S156" s="289"/>
      <c r="T156" s="290"/>
      <c r="U156" s="35"/>
      <c r="V156" s="35"/>
      <c r="W156" s="36" t="s">
        <v>68</v>
      </c>
      <c r="X156" s="278">
        <v>14</v>
      </c>
      <c r="Y156" s="279">
        <f>IFERROR(IF(X156="","",X156),"")</f>
        <v>14</v>
      </c>
      <c r="Z156" s="37">
        <f>IFERROR(IF(X156="","",X156*0.01788),"")</f>
        <v>0.25031999999999999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3">
        <v>4620207490853</v>
      </c>
      <c r="E157" s="294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46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9"/>
      <c r="R157" s="289"/>
      <c r="S157" s="289"/>
      <c r="T157" s="290"/>
      <c r="U157" s="35"/>
      <c r="V157" s="35"/>
      <c r="W157" s="36" t="s">
        <v>68</v>
      </c>
      <c r="X157" s="278">
        <v>56</v>
      </c>
      <c r="Y157" s="279">
        <f>IFERROR(IF(X157="","",X157),"")</f>
        <v>56</v>
      </c>
      <c r="Z157" s="37">
        <f>IFERROR(IF(X157="","",X157*0.01788),"")</f>
        <v>1.0012799999999999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295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6"/>
      <c r="P158" s="285" t="s">
        <v>87</v>
      </c>
      <c r="Q158" s="286"/>
      <c r="R158" s="286"/>
      <c r="S158" s="286"/>
      <c r="T158" s="286"/>
      <c r="U158" s="286"/>
      <c r="V158" s="287"/>
      <c r="W158" s="38" t="s">
        <v>68</v>
      </c>
      <c r="X158" s="280">
        <f>IFERROR(SUM(X156:X157),"0")</f>
        <v>70</v>
      </c>
      <c r="Y158" s="280">
        <f>IFERROR(SUM(Y156:Y157),"0")</f>
        <v>70</v>
      </c>
      <c r="Z158" s="280">
        <f>IFERROR(IF(Z156="",0,Z156),"0")+IFERROR(IF(Z157="",0,Z157),"0")</f>
        <v>1.2515999999999998</v>
      </c>
      <c r="AA158" s="281"/>
      <c r="AB158" s="281"/>
      <c r="AC158" s="281"/>
    </row>
    <row r="159" spans="1:68" x14ac:dyDescent="0.2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6"/>
      <c r="P159" s="285" t="s">
        <v>87</v>
      </c>
      <c r="Q159" s="286"/>
      <c r="R159" s="286"/>
      <c r="S159" s="286"/>
      <c r="T159" s="286"/>
      <c r="U159" s="286"/>
      <c r="V159" s="287"/>
      <c r="W159" s="38" t="s">
        <v>88</v>
      </c>
      <c r="X159" s="280">
        <f>IFERROR(SUMPRODUCT(X156:X157*H156:H157),"0")</f>
        <v>168</v>
      </c>
      <c r="Y159" s="280">
        <f>IFERROR(SUMPRODUCT(Y156:Y157*H156:H157),"0")</f>
        <v>168</v>
      </c>
      <c r="Z159" s="38"/>
      <c r="AA159" s="281"/>
      <c r="AB159" s="281"/>
      <c r="AC159" s="281"/>
    </row>
    <row r="160" spans="1:68" ht="16.5" customHeight="1" x14ac:dyDescent="0.25">
      <c r="A160" s="301" t="s">
        <v>248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3"/>
      <c r="AB160" s="273"/>
      <c r="AC160" s="273"/>
    </row>
    <row r="161" spans="1:68" ht="14.25" customHeight="1" x14ac:dyDescent="0.25">
      <c r="A161" s="291" t="s">
        <v>135</v>
      </c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  <c r="AA161" s="274"/>
      <c r="AB161" s="274"/>
      <c r="AC161" s="274"/>
    </row>
    <row r="162" spans="1:68" ht="27" customHeight="1" x14ac:dyDescent="0.25">
      <c r="A162" s="54" t="s">
        <v>249</v>
      </c>
      <c r="B162" s="54" t="s">
        <v>250</v>
      </c>
      <c r="C162" s="32">
        <v>4301135570</v>
      </c>
      <c r="D162" s="293">
        <v>4607111035806</v>
      </c>
      <c r="E162" s="294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35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89"/>
      <c r="R162" s="289"/>
      <c r="S162" s="289"/>
      <c r="T162" s="290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5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6"/>
      <c r="P163" s="285" t="s">
        <v>87</v>
      </c>
      <c r="Q163" s="286"/>
      <c r="R163" s="286"/>
      <c r="S163" s="286"/>
      <c r="T163" s="286"/>
      <c r="U163" s="286"/>
      <c r="V163" s="287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x14ac:dyDescent="0.2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6"/>
      <c r="P164" s="285" t="s">
        <v>87</v>
      </c>
      <c r="Q164" s="286"/>
      <c r="R164" s="286"/>
      <c r="S164" s="286"/>
      <c r="T164" s="286"/>
      <c r="U164" s="286"/>
      <c r="V164" s="287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customHeight="1" x14ac:dyDescent="0.25">
      <c r="A165" s="301" t="s">
        <v>252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3"/>
      <c r="AB165" s="273"/>
      <c r="AC165" s="273"/>
    </row>
    <row r="166" spans="1:68" ht="14.25" customHeight="1" x14ac:dyDescent="0.25">
      <c r="A166" s="291" t="s">
        <v>135</v>
      </c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  <c r="AA166" s="274"/>
      <c r="AB166" s="274"/>
      <c r="AC166" s="274"/>
    </row>
    <row r="167" spans="1:68" ht="16.5" customHeight="1" x14ac:dyDescent="0.25">
      <c r="A167" s="54" t="s">
        <v>253</v>
      </c>
      <c r="B167" s="54" t="s">
        <v>254</v>
      </c>
      <c r="C167" s="32">
        <v>4301135607</v>
      </c>
      <c r="D167" s="293">
        <v>4607111039613</v>
      </c>
      <c r="E167" s="294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9"/>
      <c r="R167" s="289"/>
      <c r="S167" s="289"/>
      <c r="T167" s="290"/>
      <c r="U167" s="35"/>
      <c r="V167" s="35"/>
      <c r="W167" s="36" t="s">
        <v>68</v>
      </c>
      <c r="X167" s="278">
        <v>28</v>
      </c>
      <c r="Y167" s="279">
        <f>IFERROR(IF(X167="","",X167),"")</f>
        <v>28</v>
      </c>
      <c r="Z167" s="37">
        <f>IFERROR(IF(X167="","",X167*0.00936),"")</f>
        <v>0.26207999999999998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86.52</v>
      </c>
      <c r="BN167" s="67">
        <f>IFERROR(Y167*I167,"0")</f>
        <v>86.52</v>
      </c>
      <c r="BO167" s="67">
        <f>IFERROR(X167/J167,"0")</f>
        <v>0.22222222222222221</v>
      </c>
      <c r="BP167" s="67">
        <f>IFERROR(Y167/J167,"0")</f>
        <v>0.22222222222222221</v>
      </c>
    </row>
    <row r="168" spans="1:68" x14ac:dyDescent="0.2">
      <c r="A168" s="295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6"/>
      <c r="P168" s="285" t="s">
        <v>87</v>
      </c>
      <c r="Q168" s="286"/>
      <c r="R168" s="286"/>
      <c r="S168" s="286"/>
      <c r="T168" s="286"/>
      <c r="U168" s="286"/>
      <c r="V168" s="287"/>
      <c r="W168" s="38" t="s">
        <v>68</v>
      </c>
      <c r="X168" s="280">
        <f>IFERROR(SUM(X167:X167),"0")</f>
        <v>28</v>
      </c>
      <c r="Y168" s="280">
        <f>IFERROR(SUM(Y167:Y167),"0")</f>
        <v>28</v>
      </c>
      <c r="Z168" s="280">
        <f>IFERROR(IF(Z167="",0,Z167),"0")</f>
        <v>0.26207999999999998</v>
      </c>
      <c r="AA168" s="281"/>
      <c r="AB168" s="281"/>
      <c r="AC168" s="281"/>
    </row>
    <row r="169" spans="1:68" x14ac:dyDescent="0.2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6"/>
      <c r="P169" s="285" t="s">
        <v>87</v>
      </c>
      <c r="Q169" s="286"/>
      <c r="R169" s="286"/>
      <c r="S169" s="286"/>
      <c r="T169" s="286"/>
      <c r="U169" s="286"/>
      <c r="V169" s="287"/>
      <c r="W169" s="38" t="s">
        <v>88</v>
      </c>
      <c r="X169" s="280">
        <f>IFERROR(SUMPRODUCT(X167:X167*H167:H167),"0")</f>
        <v>75.600000000000009</v>
      </c>
      <c r="Y169" s="280">
        <f>IFERROR(SUMPRODUCT(Y167:Y167*H167:H167),"0")</f>
        <v>75.600000000000009</v>
      </c>
      <c r="Z169" s="38"/>
      <c r="AA169" s="281"/>
      <c r="AB169" s="281"/>
      <c r="AC169" s="281"/>
    </row>
    <row r="170" spans="1:68" ht="16.5" customHeight="1" x14ac:dyDescent="0.25">
      <c r="A170" s="301" t="s">
        <v>255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3"/>
      <c r="AB170" s="273"/>
      <c r="AC170" s="273"/>
    </row>
    <row r="171" spans="1:68" ht="14.25" customHeight="1" x14ac:dyDescent="0.25">
      <c r="A171" s="291" t="s">
        <v>135</v>
      </c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3">
        <v>4607111036568</v>
      </c>
      <c r="E172" s="294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46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9"/>
      <c r="R172" s="289"/>
      <c r="S172" s="289"/>
      <c r="T172" s="290"/>
      <c r="U172" s="35"/>
      <c r="V172" s="35"/>
      <c r="W172" s="36" t="s">
        <v>68</v>
      </c>
      <c r="X172" s="278">
        <v>140</v>
      </c>
      <c r="Y172" s="279">
        <f>IFERROR(IF(X172="","",X172),"")</f>
        <v>140</v>
      </c>
      <c r="Z172" s="37">
        <f>IFERROR(IF(X172="","",X172*0.00941),"")</f>
        <v>1.3173999999999999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294.25200000000001</v>
      </c>
      <c r="BN172" s="67">
        <f>IFERROR(Y172*I172,"0")</f>
        <v>294.25200000000001</v>
      </c>
      <c r="BO172" s="67">
        <f>IFERROR(X172/J172,"0")</f>
        <v>1</v>
      </c>
      <c r="BP172" s="67">
        <f>IFERROR(Y172/J172,"0")</f>
        <v>1</v>
      </c>
    </row>
    <row r="173" spans="1:68" x14ac:dyDescent="0.2">
      <c r="A173" s="295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6"/>
      <c r="P173" s="285" t="s">
        <v>87</v>
      </c>
      <c r="Q173" s="286"/>
      <c r="R173" s="286"/>
      <c r="S173" s="286"/>
      <c r="T173" s="286"/>
      <c r="U173" s="286"/>
      <c r="V173" s="287"/>
      <c r="W173" s="38" t="s">
        <v>68</v>
      </c>
      <c r="X173" s="280">
        <f>IFERROR(SUM(X172:X172),"0")</f>
        <v>140</v>
      </c>
      <c r="Y173" s="280">
        <f>IFERROR(SUM(Y172:Y172),"0")</f>
        <v>140</v>
      </c>
      <c r="Z173" s="280">
        <f>IFERROR(IF(Z172="",0,Z172),"0")</f>
        <v>1.3173999999999999</v>
      </c>
      <c r="AA173" s="281"/>
      <c r="AB173" s="281"/>
      <c r="AC173" s="281"/>
    </row>
    <row r="174" spans="1:68" x14ac:dyDescent="0.2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6"/>
      <c r="P174" s="285" t="s">
        <v>87</v>
      </c>
      <c r="Q174" s="286"/>
      <c r="R174" s="286"/>
      <c r="S174" s="286"/>
      <c r="T174" s="286"/>
      <c r="U174" s="286"/>
      <c r="V174" s="287"/>
      <c r="W174" s="38" t="s">
        <v>88</v>
      </c>
      <c r="X174" s="280">
        <f>IFERROR(SUMPRODUCT(X172:X172*H172:H172),"0")</f>
        <v>235.2</v>
      </c>
      <c r="Y174" s="280">
        <f>IFERROR(SUMPRODUCT(Y172:Y172*H172:H172),"0")</f>
        <v>235.2</v>
      </c>
      <c r="Z174" s="38"/>
      <c r="AA174" s="281"/>
      <c r="AB174" s="281"/>
      <c r="AC174" s="281"/>
    </row>
    <row r="175" spans="1:68" ht="27.75" customHeight="1" x14ac:dyDescent="0.2">
      <c r="A175" s="348" t="s">
        <v>259</v>
      </c>
      <c r="B175" s="349"/>
      <c r="C175" s="349"/>
      <c r="D175" s="349"/>
      <c r="E175" s="349"/>
      <c r="F175" s="349"/>
      <c r="G175" s="349"/>
      <c r="H175" s="349"/>
      <c r="I175" s="349"/>
      <c r="J175" s="349"/>
      <c r="K175" s="349"/>
      <c r="L175" s="349"/>
      <c r="M175" s="349"/>
      <c r="N175" s="349"/>
      <c r="O175" s="349"/>
      <c r="P175" s="349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49"/>
      <c r="AB175" s="49"/>
      <c r="AC175" s="49"/>
    </row>
    <row r="176" spans="1:68" ht="16.5" customHeight="1" x14ac:dyDescent="0.25">
      <c r="A176" s="301" t="s">
        <v>260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3"/>
      <c r="AB176" s="273"/>
      <c r="AC176" s="273"/>
    </row>
    <row r="177" spans="1:68" ht="14.25" customHeight="1" x14ac:dyDescent="0.25">
      <c r="A177" s="291" t="s">
        <v>62</v>
      </c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74"/>
      <c r="AB177" s="274"/>
      <c r="AC177" s="274"/>
    </row>
    <row r="178" spans="1:68" ht="16.5" customHeight="1" x14ac:dyDescent="0.25">
      <c r="A178" s="54" t="s">
        <v>261</v>
      </c>
      <c r="B178" s="54" t="s">
        <v>262</v>
      </c>
      <c r="C178" s="32">
        <v>4301071062</v>
      </c>
      <c r="D178" s="293">
        <v>4607111036384</v>
      </c>
      <c r="E178" s="294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34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9"/>
      <c r="R178" s="289"/>
      <c r="S178" s="289"/>
      <c r="T178" s="290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3">
        <v>4607111036216</v>
      </c>
      <c r="E179" s="294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9"/>
      <c r="R179" s="289"/>
      <c r="S179" s="289"/>
      <c r="T179" s="290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95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6"/>
      <c r="P180" s="285" t="s">
        <v>87</v>
      </c>
      <c r="Q180" s="286"/>
      <c r="R180" s="286"/>
      <c r="S180" s="286"/>
      <c r="T180" s="286"/>
      <c r="U180" s="286"/>
      <c r="V180" s="287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x14ac:dyDescent="0.2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6"/>
      <c r="P181" s="285" t="s">
        <v>87</v>
      </c>
      <c r="Q181" s="286"/>
      <c r="R181" s="286"/>
      <c r="S181" s="286"/>
      <c r="T181" s="286"/>
      <c r="U181" s="286"/>
      <c r="V181" s="287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customHeight="1" x14ac:dyDescent="0.25">
      <c r="A182" s="301" t="s">
        <v>267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3"/>
      <c r="AB182" s="273"/>
      <c r="AC182" s="273"/>
    </row>
    <row r="183" spans="1:68" ht="14.25" customHeight="1" x14ac:dyDescent="0.25">
      <c r="A183" s="291" t="s">
        <v>62</v>
      </c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3">
        <v>4620207491737</v>
      </c>
      <c r="E184" s="294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4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9"/>
      <c r="R184" s="289"/>
      <c r="S184" s="289"/>
      <c r="T184" s="290"/>
      <c r="U184" s="35"/>
      <c r="V184" s="35"/>
      <c r="W184" s="36" t="s">
        <v>68</v>
      </c>
      <c r="X184" s="278">
        <v>0</v>
      </c>
      <c r="Y184" s="279">
        <f>IFERROR(IF(X184="","",X184),"")</f>
        <v>0</v>
      </c>
      <c r="Z184" s="37">
        <f>IFERROR(IF(X184="","",X184*0.0155),"")</f>
        <v>0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x14ac:dyDescent="0.2">
      <c r="A185" s="295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6"/>
      <c r="P185" s="285" t="s">
        <v>87</v>
      </c>
      <c r="Q185" s="286"/>
      <c r="R185" s="286"/>
      <c r="S185" s="286"/>
      <c r="T185" s="286"/>
      <c r="U185" s="286"/>
      <c r="V185" s="287"/>
      <c r="W185" s="38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x14ac:dyDescent="0.2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6"/>
      <c r="P186" s="285" t="s">
        <v>87</v>
      </c>
      <c r="Q186" s="286"/>
      <c r="R186" s="286"/>
      <c r="S186" s="286"/>
      <c r="T186" s="286"/>
      <c r="U186" s="286"/>
      <c r="V186" s="287"/>
      <c r="W186" s="38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8"/>
      <c r="AA186" s="281"/>
      <c r="AB186" s="281"/>
      <c r="AC186" s="281"/>
    </row>
    <row r="187" spans="1:68" ht="27.75" customHeight="1" x14ac:dyDescent="0.2">
      <c r="A187" s="348" t="s">
        <v>270</v>
      </c>
      <c r="B187" s="349"/>
      <c r="C187" s="349"/>
      <c r="D187" s="349"/>
      <c r="E187" s="349"/>
      <c r="F187" s="349"/>
      <c r="G187" s="349"/>
      <c r="H187" s="349"/>
      <c r="I187" s="349"/>
      <c r="J187" s="349"/>
      <c r="K187" s="349"/>
      <c r="L187" s="349"/>
      <c r="M187" s="349"/>
      <c r="N187" s="349"/>
      <c r="O187" s="349"/>
      <c r="P187" s="349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49"/>
      <c r="AB187" s="49"/>
      <c r="AC187" s="49"/>
    </row>
    <row r="188" spans="1:68" ht="16.5" customHeight="1" x14ac:dyDescent="0.25">
      <c r="A188" s="301" t="s">
        <v>271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3"/>
      <c r="AB188" s="273"/>
      <c r="AC188" s="273"/>
    </row>
    <row r="189" spans="1:68" ht="14.25" customHeight="1" x14ac:dyDescent="0.25">
      <c r="A189" s="291" t="s">
        <v>97</v>
      </c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3">
        <v>4607111035691</v>
      </c>
      <c r="E190" s="294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37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9"/>
      <c r="R190" s="289"/>
      <c r="S190" s="289"/>
      <c r="T190" s="290"/>
      <c r="U190" s="35"/>
      <c r="V190" s="35"/>
      <c r="W190" s="36" t="s">
        <v>68</v>
      </c>
      <c r="X190" s="278">
        <v>56</v>
      </c>
      <c r="Y190" s="279">
        <f>IFERROR(IF(X190="","",X190),"")</f>
        <v>56</v>
      </c>
      <c r="Z190" s="37">
        <f>IFERROR(IF(X190="","",X190*0.01788),"")</f>
        <v>1.0012799999999999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189.72800000000001</v>
      </c>
      <c r="BN190" s="67">
        <f>IFERROR(Y190*I190,"0")</f>
        <v>189.72800000000001</v>
      </c>
      <c r="BO190" s="67">
        <f>IFERROR(X190/J190,"0")</f>
        <v>0.8</v>
      </c>
      <c r="BP190" s="67">
        <f>IFERROR(Y190/J190,"0")</f>
        <v>0.8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3">
        <v>4607111035721</v>
      </c>
      <c r="E191" s="294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9"/>
      <c r="R191" s="289"/>
      <c r="S191" s="289"/>
      <c r="T191" s="290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3">
        <v>4607111038487</v>
      </c>
      <c r="E192" s="294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4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9"/>
      <c r="R192" s="289"/>
      <c r="S192" s="289"/>
      <c r="T192" s="290"/>
      <c r="U192" s="35"/>
      <c r="V192" s="35"/>
      <c r="W192" s="36" t="s">
        <v>68</v>
      </c>
      <c r="X192" s="278">
        <v>28</v>
      </c>
      <c r="Y192" s="279">
        <f>IFERROR(IF(X192="","",X192),"")</f>
        <v>28</v>
      </c>
      <c r="Z192" s="37">
        <f>IFERROR(IF(X192="","",X192*0.01788),"")</f>
        <v>0.50063999999999997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104.608</v>
      </c>
      <c r="BN192" s="67">
        <f>IFERROR(Y192*I192,"0")</f>
        <v>104.608</v>
      </c>
      <c r="BO192" s="67">
        <f>IFERROR(X192/J192,"0")</f>
        <v>0.4</v>
      </c>
      <c r="BP192" s="67">
        <f>IFERROR(Y192/J192,"0")</f>
        <v>0.4</v>
      </c>
    </row>
    <row r="193" spans="1:68" ht="27" customHeight="1" x14ac:dyDescent="0.25">
      <c r="A193" s="54" t="s">
        <v>281</v>
      </c>
      <c r="B193" s="54" t="s">
        <v>282</v>
      </c>
      <c r="C193" s="32">
        <v>4301132243</v>
      </c>
      <c r="D193" s="293">
        <v>4620207491195</v>
      </c>
      <c r="E193" s="294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36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9"/>
      <c r="R193" s="289"/>
      <c r="S193" s="289"/>
      <c r="T193" s="290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5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6"/>
      <c r="P194" s="285" t="s">
        <v>87</v>
      </c>
      <c r="Q194" s="286"/>
      <c r="R194" s="286"/>
      <c r="S194" s="286"/>
      <c r="T194" s="286"/>
      <c r="U194" s="286"/>
      <c r="V194" s="287"/>
      <c r="W194" s="38" t="s">
        <v>68</v>
      </c>
      <c r="X194" s="280">
        <f>IFERROR(SUM(X190:X193),"0")</f>
        <v>84</v>
      </c>
      <c r="Y194" s="280">
        <f>IFERROR(SUM(Y190:Y193),"0")</f>
        <v>84</v>
      </c>
      <c r="Z194" s="280">
        <f>IFERROR(IF(Z190="",0,Z190),"0")+IFERROR(IF(Z191="",0,Z191),"0")+IFERROR(IF(Z192="",0,Z192),"0")+IFERROR(IF(Z193="",0,Z193),"0")</f>
        <v>1.5019199999999999</v>
      </c>
      <c r="AA194" s="281"/>
      <c r="AB194" s="281"/>
      <c r="AC194" s="281"/>
    </row>
    <row r="195" spans="1:68" x14ac:dyDescent="0.2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6"/>
      <c r="P195" s="285" t="s">
        <v>87</v>
      </c>
      <c r="Q195" s="286"/>
      <c r="R195" s="286"/>
      <c r="S195" s="286"/>
      <c r="T195" s="286"/>
      <c r="U195" s="286"/>
      <c r="V195" s="287"/>
      <c r="W195" s="38" t="s">
        <v>88</v>
      </c>
      <c r="X195" s="280">
        <f>IFERROR(SUMPRODUCT(X190:X193*H190:H193),"0")</f>
        <v>252</v>
      </c>
      <c r="Y195" s="280">
        <f>IFERROR(SUMPRODUCT(Y190:Y193*H190:H193),"0")</f>
        <v>252</v>
      </c>
      <c r="Z195" s="38"/>
      <c r="AA195" s="281"/>
      <c r="AB195" s="281"/>
      <c r="AC195" s="281"/>
    </row>
    <row r="196" spans="1:68" ht="27.75" customHeight="1" x14ac:dyDescent="0.2">
      <c r="A196" s="348" t="s">
        <v>284</v>
      </c>
      <c r="B196" s="349"/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49"/>
      <c r="AB196" s="49"/>
      <c r="AC196" s="49"/>
    </row>
    <row r="197" spans="1:68" ht="16.5" customHeight="1" x14ac:dyDescent="0.25">
      <c r="A197" s="301" t="s">
        <v>285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3"/>
      <c r="AB197" s="273"/>
      <c r="AC197" s="273"/>
    </row>
    <row r="198" spans="1:68" ht="14.25" customHeight="1" x14ac:dyDescent="0.25">
      <c r="A198" s="291" t="s">
        <v>97</v>
      </c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3">
        <v>4620207491133</v>
      </c>
      <c r="E199" s="294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31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9"/>
      <c r="R199" s="289"/>
      <c r="S199" s="289"/>
      <c r="T199" s="290"/>
      <c r="U199" s="35"/>
      <c r="V199" s="35"/>
      <c r="W199" s="36" t="s">
        <v>68</v>
      </c>
      <c r="X199" s="278">
        <v>56</v>
      </c>
      <c r="Y199" s="279">
        <f>IFERROR(IF(X199="","",X199),"")</f>
        <v>56</v>
      </c>
      <c r="Z199" s="37">
        <f>IFERROR(IF(X199="","",X199*0.01788),"")</f>
        <v>1.0012799999999999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166.88</v>
      </c>
      <c r="BN199" s="67">
        <f>IFERROR(Y199*I199,"0")</f>
        <v>166.88</v>
      </c>
      <c r="BO199" s="67">
        <f>IFERROR(X199/J199,"0")</f>
        <v>0.8</v>
      </c>
      <c r="BP199" s="67">
        <f>IFERROR(Y199/J199,"0")</f>
        <v>0.8</v>
      </c>
    </row>
    <row r="200" spans="1:68" x14ac:dyDescent="0.2">
      <c r="A200" s="295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6"/>
      <c r="P200" s="285" t="s">
        <v>87</v>
      </c>
      <c r="Q200" s="286"/>
      <c r="R200" s="286"/>
      <c r="S200" s="286"/>
      <c r="T200" s="286"/>
      <c r="U200" s="286"/>
      <c r="V200" s="287"/>
      <c r="W200" s="38" t="s">
        <v>68</v>
      </c>
      <c r="X200" s="280">
        <f>IFERROR(SUM(X199:X199),"0")</f>
        <v>56</v>
      </c>
      <c r="Y200" s="280">
        <f>IFERROR(SUM(Y199:Y199),"0")</f>
        <v>56</v>
      </c>
      <c r="Z200" s="280">
        <f>IFERROR(IF(Z199="",0,Z199),"0")</f>
        <v>1.0012799999999999</v>
      </c>
      <c r="AA200" s="281"/>
      <c r="AB200" s="281"/>
      <c r="AC200" s="281"/>
    </row>
    <row r="201" spans="1:68" x14ac:dyDescent="0.2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6"/>
      <c r="P201" s="285" t="s">
        <v>87</v>
      </c>
      <c r="Q201" s="286"/>
      <c r="R201" s="286"/>
      <c r="S201" s="286"/>
      <c r="T201" s="286"/>
      <c r="U201" s="286"/>
      <c r="V201" s="287"/>
      <c r="W201" s="38" t="s">
        <v>88</v>
      </c>
      <c r="X201" s="280">
        <f>IFERROR(SUMPRODUCT(X199:X199*H199:H199),"0")</f>
        <v>154.56</v>
      </c>
      <c r="Y201" s="280">
        <f>IFERROR(SUMPRODUCT(Y199:Y199*H199:H199),"0")</f>
        <v>154.56</v>
      </c>
      <c r="Z201" s="38"/>
      <c r="AA201" s="281"/>
      <c r="AB201" s="281"/>
      <c r="AC201" s="281"/>
    </row>
    <row r="202" spans="1:68" ht="14.25" customHeight="1" x14ac:dyDescent="0.25">
      <c r="A202" s="291" t="s">
        <v>135</v>
      </c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3">
        <v>4620207491188</v>
      </c>
      <c r="E203" s="294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9"/>
      <c r="R203" s="289"/>
      <c r="S203" s="289"/>
      <c r="T203" s="290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292</v>
      </c>
      <c r="B204" s="54" t="s">
        <v>293</v>
      </c>
      <c r="C204" s="32">
        <v>4301135696</v>
      </c>
      <c r="D204" s="293">
        <v>4620207490235</v>
      </c>
      <c r="E204" s="294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9"/>
      <c r="R204" s="289"/>
      <c r="S204" s="289"/>
      <c r="T204" s="290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295</v>
      </c>
      <c r="B205" s="54" t="s">
        <v>296</v>
      </c>
      <c r="C205" s="32">
        <v>4301135697</v>
      </c>
      <c r="D205" s="293">
        <v>4620207490259</v>
      </c>
      <c r="E205" s="294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9"/>
      <c r="R205" s="289"/>
      <c r="S205" s="289"/>
      <c r="T205" s="290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5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6"/>
      <c r="P206" s="285" t="s">
        <v>87</v>
      </c>
      <c r="Q206" s="286"/>
      <c r="R206" s="286"/>
      <c r="S206" s="286"/>
      <c r="T206" s="286"/>
      <c r="U206" s="286"/>
      <c r="V206" s="287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x14ac:dyDescent="0.2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6"/>
      <c r="P207" s="285" t="s">
        <v>87</v>
      </c>
      <c r="Q207" s="286"/>
      <c r="R207" s="286"/>
      <c r="S207" s="286"/>
      <c r="T207" s="286"/>
      <c r="U207" s="286"/>
      <c r="V207" s="287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customHeight="1" x14ac:dyDescent="0.25">
      <c r="A208" s="301" t="s">
        <v>298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3"/>
      <c r="AB208" s="273"/>
      <c r="AC208" s="273"/>
    </row>
    <row r="209" spans="1:68" ht="14.25" customHeight="1" x14ac:dyDescent="0.25">
      <c r="A209" s="291" t="s">
        <v>135</v>
      </c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74"/>
      <c r="AB209" s="274"/>
      <c r="AC209" s="274"/>
    </row>
    <row r="210" spans="1:68" ht="27" customHeight="1" x14ac:dyDescent="0.25">
      <c r="A210" s="54" t="s">
        <v>299</v>
      </c>
      <c r="B210" s="54" t="s">
        <v>300</v>
      </c>
      <c r="C210" s="32">
        <v>4301135854</v>
      </c>
      <c r="D210" s="293">
        <v>4620207491706</v>
      </c>
      <c r="E210" s="294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41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9"/>
      <c r="R210" s="289"/>
      <c r="S210" s="289"/>
      <c r="T210" s="290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302</v>
      </c>
      <c r="B211" s="54" t="s">
        <v>303</v>
      </c>
      <c r="C211" s="32">
        <v>4301135895</v>
      </c>
      <c r="D211" s="293">
        <v>4620207491522</v>
      </c>
      <c r="E211" s="294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40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9"/>
      <c r="R211" s="289"/>
      <c r="S211" s="289"/>
      <c r="T211" s="290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5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6"/>
      <c r="P212" s="285" t="s">
        <v>87</v>
      </c>
      <c r="Q212" s="286"/>
      <c r="R212" s="286"/>
      <c r="S212" s="286"/>
      <c r="T212" s="286"/>
      <c r="U212" s="286"/>
      <c r="V212" s="287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x14ac:dyDescent="0.2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6"/>
      <c r="P213" s="285" t="s">
        <v>87</v>
      </c>
      <c r="Q213" s="286"/>
      <c r="R213" s="286"/>
      <c r="S213" s="286"/>
      <c r="T213" s="286"/>
      <c r="U213" s="286"/>
      <c r="V213" s="287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customHeight="1" x14ac:dyDescent="0.25">
      <c r="A214" s="301" t="s">
        <v>305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3"/>
      <c r="AB214" s="273"/>
      <c r="AC214" s="273"/>
    </row>
    <row r="215" spans="1:68" ht="14.25" customHeight="1" x14ac:dyDescent="0.25">
      <c r="A215" s="291" t="s">
        <v>62</v>
      </c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3">
        <v>4620207491096</v>
      </c>
      <c r="E216" s="294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40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9"/>
      <c r="R216" s="289"/>
      <c r="S216" s="289"/>
      <c r="T216" s="290"/>
      <c r="U216" s="35"/>
      <c r="V216" s="35"/>
      <c r="W216" s="36" t="s">
        <v>68</v>
      </c>
      <c r="X216" s="278">
        <v>144</v>
      </c>
      <c r="Y216" s="279">
        <f>IFERROR(IF(X216="","",X216),"")</f>
        <v>144</v>
      </c>
      <c r="Z216" s="37">
        <f>IFERROR(IF(X216="","",X216*0.0155),"")</f>
        <v>2.2320000000000002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753.12000000000012</v>
      </c>
      <c r="BN216" s="67">
        <f>IFERROR(Y216*I216,"0")</f>
        <v>753.12000000000012</v>
      </c>
      <c r="BO216" s="67">
        <f>IFERROR(X216/J216,"0")</f>
        <v>1.7142857142857142</v>
      </c>
      <c r="BP216" s="67">
        <f>IFERROR(Y216/J216,"0")</f>
        <v>1.7142857142857142</v>
      </c>
    </row>
    <row r="217" spans="1:68" x14ac:dyDescent="0.2">
      <c r="A217" s="295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6"/>
      <c r="P217" s="285" t="s">
        <v>87</v>
      </c>
      <c r="Q217" s="286"/>
      <c r="R217" s="286"/>
      <c r="S217" s="286"/>
      <c r="T217" s="286"/>
      <c r="U217" s="286"/>
      <c r="V217" s="287"/>
      <c r="W217" s="38" t="s">
        <v>68</v>
      </c>
      <c r="X217" s="280">
        <f>IFERROR(SUM(X216:X216),"0")</f>
        <v>144</v>
      </c>
      <c r="Y217" s="280">
        <f>IFERROR(SUM(Y216:Y216),"0")</f>
        <v>144</v>
      </c>
      <c r="Z217" s="280">
        <f>IFERROR(IF(Z216="",0,Z216),"0")</f>
        <v>2.2320000000000002</v>
      </c>
      <c r="AA217" s="281"/>
      <c r="AB217" s="281"/>
      <c r="AC217" s="281"/>
    </row>
    <row r="218" spans="1:68" x14ac:dyDescent="0.2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6"/>
      <c r="P218" s="285" t="s">
        <v>87</v>
      </c>
      <c r="Q218" s="286"/>
      <c r="R218" s="286"/>
      <c r="S218" s="286"/>
      <c r="T218" s="286"/>
      <c r="U218" s="286"/>
      <c r="V218" s="287"/>
      <c r="W218" s="38" t="s">
        <v>88</v>
      </c>
      <c r="X218" s="280">
        <f>IFERROR(SUMPRODUCT(X216:X216*H216:H216),"0")</f>
        <v>720</v>
      </c>
      <c r="Y218" s="280">
        <f>IFERROR(SUMPRODUCT(Y216:Y216*H216:H216),"0")</f>
        <v>720</v>
      </c>
      <c r="Z218" s="38"/>
      <c r="AA218" s="281"/>
      <c r="AB218" s="281"/>
      <c r="AC218" s="281"/>
    </row>
    <row r="219" spans="1:68" ht="16.5" customHeight="1" x14ac:dyDescent="0.25">
      <c r="A219" s="301" t="s">
        <v>309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3"/>
      <c r="AB219" s="273"/>
      <c r="AC219" s="273"/>
    </row>
    <row r="220" spans="1:68" ht="14.25" customHeight="1" x14ac:dyDescent="0.25">
      <c r="A220" s="291" t="s">
        <v>135</v>
      </c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74"/>
      <c r="AB220" s="274"/>
      <c r="AC220" s="274"/>
    </row>
    <row r="221" spans="1:68" ht="27" customHeight="1" x14ac:dyDescent="0.25">
      <c r="A221" s="54" t="s">
        <v>310</v>
      </c>
      <c r="B221" s="54" t="s">
        <v>311</v>
      </c>
      <c r="C221" s="32">
        <v>4301135694</v>
      </c>
      <c r="D221" s="293">
        <v>4620207490501</v>
      </c>
      <c r="E221" s="294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47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9"/>
      <c r="R221" s="289"/>
      <c r="S221" s="289"/>
      <c r="T221" s="290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95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6"/>
      <c r="P222" s="285" t="s">
        <v>87</v>
      </c>
      <c r="Q222" s="286"/>
      <c r="R222" s="286"/>
      <c r="S222" s="286"/>
      <c r="T222" s="286"/>
      <c r="U222" s="286"/>
      <c r="V222" s="287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x14ac:dyDescent="0.2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6"/>
      <c r="P223" s="285" t="s">
        <v>87</v>
      </c>
      <c r="Q223" s="286"/>
      <c r="R223" s="286"/>
      <c r="S223" s="286"/>
      <c r="T223" s="286"/>
      <c r="U223" s="286"/>
      <c r="V223" s="287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customHeight="1" x14ac:dyDescent="0.2">
      <c r="A224" s="348" t="s">
        <v>313</v>
      </c>
      <c r="B224" s="349"/>
      <c r="C224" s="349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349"/>
      <c r="O224" s="349"/>
      <c r="P224" s="349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49"/>
      <c r="AB224" s="49"/>
      <c r="AC224" s="49"/>
    </row>
    <row r="225" spans="1:68" ht="16.5" customHeight="1" x14ac:dyDescent="0.25">
      <c r="A225" s="301" t="s">
        <v>314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3"/>
      <c r="AB225" s="273"/>
      <c r="AC225" s="273"/>
    </row>
    <row r="226" spans="1:68" ht="14.25" customHeight="1" x14ac:dyDescent="0.25">
      <c r="A226" s="291" t="s">
        <v>62</v>
      </c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74"/>
      <c r="AB226" s="274"/>
      <c r="AC226" s="274"/>
    </row>
    <row r="227" spans="1:68" ht="27" customHeight="1" x14ac:dyDescent="0.25">
      <c r="A227" s="54" t="s">
        <v>315</v>
      </c>
      <c r="B227" s="54" t="s">
        <v>316</v>
      </c>
      <c r="C227" s="32">
        <v>4301071036</v>
      </c>
      <c r="D227" s="293">
        <v>4607111036162</v>
      </c>
      <c r="E227" s="294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35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9"/>
      <c r="R227" s="289"/>
      <c r="S227" s="289"/>
      <c r="T227" s="290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95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6"/>
      <c r="P228" s="285" t="s">
        <v>87</v>
      </c>
      <c r="Q228" s="286"/>
      <c r="R228" s="286"/>
      <c r="S228" s="286"/>
      <c r="T228" s="286"/>
      <c r="U228" s="286"/>
      <c r="V228" s="287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x14ac:dyDescent="0.2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6"/>
      <c r="P229" s="285" t="s">
        <v>87</v>
      </c>
      <c r="Q229" s="286"/>
      <c r="R229" s="286"/>
      <c r="S229" s="286"/>
      <c r="T229" s="286"/>
      <c r="U229" s="286"/>
      <c r="V229" s="287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customHeight="1" x14ac:dyDescent="0.2">
      <c r="A230" s="348" t="s">
        <v>318</v>
      </c>
      <c r="B230" s="349"/>
      <c r="C230" s="349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49"/>
      <c r="AB230" s="49"/>
      <c r="AC230" s="49"/>
    </row>
    <row r="231" spans="1:68" ht="16.5" customHeight="1" x14ac:dyDescent="0.25">
      <c r="A231" s="301" t="s">
        <v>319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3"/>
      <c r="AB231" s="273"/>
      <c r="AC231" s="273"/>
    </row>
    <row r="232" spans="1:68" ht="14.25" customHeight="1" x14ac:dyDescent="0.25">
      <c r="A232" s="291" t="s">
        <v>320</v>
      </c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74"/>
      <c r="AB232" s="274"/>
      <c r="AC232" s="274"/>
    </row>
    <row r="233" spans="1:68" ht="27" customHeight="1" x14ac:dyDescent="0.25">
      <c r="A233" s="54" t="s">
        <v>321</v>
      </c>
      <c r="B233" s="54" t="s">
        <v>322</v>
      </c>
      <c r="C233" s="32">
        <v>4301133004</v>
      </c>
      <c r="D233" s="293">
        <v>4607111039774</v>
      </c>
      <c r="E233" s="294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9"/>
      <c r="R233" s="289"/>
      <c r="S233" s="289"/>
      <c r="T233" s="290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95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6"/>
      <c r="P234" s="285" t="s">
        <v>87</v>
      </c>
      <c r="Q234" s="286"/>
      <c r="R234" s="286"/>
      <c r="S234" s="286"/>
      <c r="T234" s="286"/>
      <c r="U234" s="286"/>
      <c r="V234" s="287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x14ac:dyDescent="0.2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6"/>
      <c r="P235" s="285" t="s">
        <v>87</v>
      </c>
      <c r="Q235" s="286"/>
      <c r="R235" s="286"/>
      <c r="S235" s="286"/>
      <c r="T235" s="286"/>
      <c r="U235" s="286"/>
      <c r="V235" s="287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customHeight="1" x14ac:dyDescent="0.25">
      <c r="A236" s="291" t="s">
        <v>135</v>
      </c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74"/>
      <c r="AB236" s="274"/>
      <c r="AC236" s="274"/>
    </row>
    <row r="237" spans="1:68" ht="37.5" customHeight="1" x14ac:dyDescent="0.25">
      <c r="A237" s="54" t="s">
        <v>324</v>
      </c>
      <c r="B237" s="54" t="s">
        <v>325</v>
      </c>
      <c r="C237" s="32">
        <v>4301135400</v>
      </c>
      <c r="D237" s="293">
        <v>4607111039361</v>
      </c>
      <c r="E237" s="294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45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9"/>
      <c r="R237" s="289"/>
      <c r="S237" s="289"/>
      <c r="T237" s="290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5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6"/>
      <c r="P238" s="285" t="s">
        <v>87</v>
      </c>
      <c r="Q238" s="286"/>
      <c r="R238" s="286"/>
      <c r="S238" s="286"/>
      <c r="T238" s="286"/>
      <c r="U238" s="286"/>
      <c r="V238" s="287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6"/>
      <c r="P239" s="285" t="s">
        <v>87</v>
      </c>
      <c r="Q239" s="286"/>
      <c r="R239" s="286"/>
      <c r="S239" s="286"/>
      <c r="T239" s="286"/>
      <c r="U239" s="286"/>
      <c r="V239" s="287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customHeight="1" x14ac:dyDescent="0.2">
      <c r="A240" s="348" t="s">
        <v>326</v>
      </c>
      <c r="B240" s="349"/>
      <c r="C240" s="349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49"/>
      <c r="AB240" s="49"/>
      <c r="AC240" s="49"/>
    </row>
    <row r="241" spans="1:68" ht="16.5" customHeight="1" x14ac:dyDescent="0.25">
      <c r="A241" s="301" t="s">
        <v>326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3"/>
      <c r="AB241" s="273"/>
      <c r="AC241" s="273"/>
    </row>
    <row r="242" spans="1:68" ht="14.25" customHeight="1" x14ac:dyDescent="0.25">
      <c r="A242" s="291" t="s">
        <v>97</v>
      </c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74"/>
      <c r="AB242" s="274"/>
      <c r="AC242" s="274"/>
    </row>
    <row r="243" spans="1:68" ht="27" customHeight="1" x14ac:dyDescent="0.25">
      <c r="A243" s="54" t="s">
        <v>327</v>
      </c>
      <c r="B243" s="54" t="s">
        <v>328</v>
      </c>
      <c r="C243" s="32">
        <v>4301132228</v>
      </c>
      <c r="D243" s="293">
        <v>4640242181950</v>
      </c>
      <c r="E243" s="294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32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9"/>
      <c r="R243" s="289"/>
      <c r="S243" s="289"/>
      <c r="T243" s="290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95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6"/>
      <c r="P244" s="285" t="s">
        <v>87</v>
      </c>
      <c r="Q244" s="286"/>
      <c r="R244" s="286"/>
      <c r="S244" s="286"/>
      <c r="T244" s="286"/>
      <c r="U244" s="286"/>
      <c r="V244" s="287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x14ac:dyDescent="0.2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6"/>
      <c r="P245" s="285" t="s">
        <v>87</v>
      </c>
      <c r="Q245" s="286"/>
      <c r="R245" s="286"/>
      <c r="S245" s="286"/>
      <c r="T245" s="286"/>
      <c r="U245" s="286"/>
      <c r="V245" s="287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customHeight="1" x14ac:dyDescent="0.25">
      <c r="A246" s="291" t="s">
        <v>129</v>
      </c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74"/>
      <c r="AB246" s="274"/>
      <c r="AC246" s="274"/>
    </row>
    <row r="247" spans="1:68" ht="27" customHeight="1" x14ac:dyDescent="0.25">
      <c r="A247" s="54" t="s">
        <v>330</v>
      </c>
      <c r="B247" s="54" t="s">
        <v>331</v>
      </c>
      <c r="C247" s="32">
        <v>4301136098</v>
      </c>
      <c r="D247" s="293">
        <v>4640242181943</v>
      </c>
      <c r="E247" s="294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38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9"/>
      <c r="R247" s="289"/>
      <c r="S247" s="289"/>
      <c r="T247" s="290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5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6"/>
      <c r="P248" s="285" t="s">
        <v>87</v>
      </c>
      <c r="Q248" s="286"/>
      <c r="R248" s="286"/>
      <c r="S248" s="286"/>
      <c r="T248" s="286"/>
      <c r="U248" s="286"/>
      <c r="V248" s="287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6"/>
      <c r="P249" s="285" t="s">
        <v>87</v>
      </c>
      <c r="Q249" s="286"/>
      <c r="R249" s="286"/>
      <c r="S249" s="286"/>
      <c r="T249" s="286"/>
      <c r="U249" s="286"/>
      <c r="V249" s="287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customHeight="1" x14ac:dyDescent="0.2">
      <c r="A250" s="348" t="s">
        <v>333</v>
      </c>
      <c r="B250" s="349"/>
      <c r="C250" s="349"/>
      <c r="D250" s="349"/>
      <c r="E250" s="349"/>
      <c r="F250" s="349"/>
      <c r="G250" s="349"/>
      <c r="H250" s="349"/>
      <c r="I250" s="349"/>
      <c r="J250" s="349"/>
      <c r="K250" s="349"/>
      <c r="L250" s="349"/>
      <c r="M250" s="349"/>
      <c r="N250" s="349"/>
      <c r="O250" s="349"/>
      <c r="P250" s="349"/>
      <c r="Q250" s="349"/>
      <c r="R250" s="349"/>
      <c r="S250" s="349"/>
      <c r="T250" s="349"/>
      <c r="U250" s="349"/>
      <c r="V250" s="349"/>
      <c r="W250" s="349"/>
      <c r="X250" s="349"/>
      <c r="Y250" s="349"/>
      <c r="Z250" s="349"/>
      <c r="AA250" s="49"/>
      <c r="AB250" s="49"/>
      <c r="AC250" s="49"/>
    </row>
    <row r="251" spans="1:68" ht="16.5" customHeight="1" x14ac:dyDescent="0.25">
      <c r="A251" s="301" t="s">
        <v>333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3"/>
      <c r="AB251" s="273"/>
      <c r="AC251" s="273"/>
    </row>
    <row r="252" spans="1:68" ht="14.25" customHeight="1" x14ac:dyDescent="0.25">
      <c r="A252" s="291" t="s">
        <v>62</v>
      </c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74"/>
      <c r="AB252" s="274"/>
      <c r="AC252" s="274"/>
    </row>
    <row r="253" spans="1:68" ht="27" customHeight="1" x14ac:dyDescent="0.25">
      <c r="A253" s="54" t="s">
        <v>334</v>
      </c>
      <c r="B253" s="54" t="s">
        <v>335</v>
      </c>
      <c r="C253" s="32">
        <v>4301071014</v>
      </c>
      <c r="D253" s="293">
        <v>4640242181264</v>
      </c>
      <c r="E253" s="294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33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9"/>
      <c r="R253" s="289"/>
      <c r="S253" s="289"/>
      <c r="T253" s="290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3">
        <v>4640242181325</v>
      </c>
      <c r="E254" s="294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37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9"/>
      <c r="R254" s="289"/>
      <c r="S254" s="289"/>
      <c r="T254" s="290"/>
      <c r="U254" s="35"/>
      <c r="V254" s="35"/>
      <c r="W254" s="36" t="s">
        <v>68</v>
      </c>
      <c r="X254" s="278">
        <v>36</v>
      </c>
      <c r="Y254" s="279">
        <f>IFERROR(IF(X254="","",X254),"")</f>
        <v>36</v>
      </c>
      <c r="Z254" s="37">
        <f>IFERROR(IF(X254="","",X254*0.0155),"")</f>
        <v>0.55800000000000005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262.08</v>
      </c>
      <c r="BN254" s="67">
        <f>IFERROR(Y254*I254,"0")</f>
        <v>262.08</v>
      </c>
      <c r="BO254" s="67">
        <f>IFERROR(X254/J254,"0")</f>
        <v>0.42857142857142855</v>
      </c>
      <c r="BP254" s="67">
        <f>IFERROR(Y254/J254,"0")</f>
        <v>0.42857142857142855</v>
      </c>
    </row>
    <row r="255" spans="1:68" x14ac:dyDescent="0.2">
      <c r="A255" s="295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6"/>
      <c r="P255" s="285" t="s">
        <v>87</v>
      </c>
      <c r="Q255" s="286"/>
      <c r="R255" s="286"/>
      <c r="S255" s="286"/>
      <c r="T255" s="286"/>
      <c r="U255" s="286"/>
      <c r="V255" s="287"/>
      <c r="W255" s="38" t="s">
        <v>68</v>
      </c>
      <c r="X255" s="280">
        <f>IFERROR(SUM(X253:X254),"0")</f>
        <v>36</v>
      </c>
      <c r="Y255" s="280">
        <f>IFERROR(SUM(Y253:Y254),"0")</f>
        <v>36</v>
      </c>
      <c r="Z255" s="280">
        <f>IFERROR(IF(Z253="",0,Z253),"0")+IFERROR(IF(Z254="",0,Z254),"0")</f>
        <v>0.55800000000000005</v>
      </c>
      <c r="AA255" s="281"/>
      <c r="AB255" s="281"/>
      <c r="AC255" s="281"/>
    </row>
    <row r="256" spans="1:68" x14ac:dyDescent="0.2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6"/>
      <c r="P256" s="285" t="s">
        <v>87</v>
      </c>
      <c r="Q256" s="286"/>
      <c r="R256" s="286"/>
      <c r="S256" s="286"/>
      <c r="T256" s="286"/>
      <c r="U256" s="286"/>
      <c r="V256" s="287"/>
      <c r="W256" s="38" t="s">
        <v>88</v>
      </c>
      <c r="X256" s="280">
        <f>IFERROR(SUMPRODUCT(X253:X254*H253:H254),"0")</f>
        <v>252</v>
      </c>
      <c r="Y256" s="280">
        <f>IFERROR(SUMPRODUCT(Y253:Y254*H253:H254),"0")</f>
        <v>252</v>
      </c>
      <c r="Z256" s="38"/>
      <c r="AA256" s="281"/>
      <c r="AB256" s="281"/>
      <c r="AC256" s="281"/>
    </row>
    <row r="257" spans="1:68" ht="14.25" customHeight="1" x14ac:dyDescent="0.25">
      <c r="A257" s="291" t="s">
        <v>97</v>
      </c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3">
        <v>4640242180397</v>
      </c>
      <c r="E258" s="294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43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9"/>
      <c r="R258" s="289"/>
      <c r="S258" s="289"/>
      <c r="T258" s="290"/>
      <c r="U258" s="35"/>
      <c r="V258" s="35"/>
      <c r="W258" s="36" t="s">
        <v>68</v>
      </c>
      <c r="X258" s="278">
        <v>108</v>
      </c>
      <c r="Y258" s="279">
        <f>IFERROR(IF(X258="","",X258),"")</f>
        <v>108</v>
      </c>
      <c r="Z258" s="37">
        <f>IFERROR(IF(X258="","",X258*0.0155),"")</f>
        <v>1.6739999999999999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676.07999999999993</v>
      </c>
      <c r="BN258" s="67">
        <f>IFERROR(Y258*I258,"0")</f>
        <v>676.07999999999993</v>
      </c>
      <c r="BO258" s="67">
        <f>IFERROR(X258/J258,"0")</f>
        <v>1.2857142857142858</v>
      </c>
      <c r="BP258" s="67">
        <f>IFERROR(Y258/J258,"0")</f>
        <v>1.2857142857142858</v>
      </c>
    </row>
    <row r="259" spans="1:68" x14ac:dyDescent="0.2">
      <c r="A259" s="295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6"/>
      <c r="P259" s="285" t="s">
        <v>87</v>
      </c>
      <c r="Q259" s="286"/>
      <c r="R259" s="286"/>
      <c r="S259" s="286"/>
      <c r="T259" s="286"/>
      <c r="U259" s="286"/>
      <c r="V259" s="287"/>
      <c r="W259" s="38" t="s">
        <v>68</v>
      </c>
      <c r="X259" s="280">
        <f>IFERROR(SUM(X258:X258),"0")</f>
        <v>108</v>
      </c>
      <c r="Y259" s="280">
        <f>IFERROR(SUM(Y258:Y258),"0")</f>
        <v>108</v>
      </c>
      <c r="Z259" s="280">
        <f>IFERROR(IF(Z258="",0,Z258),"0")</f>
        <v>1.6739999999999999</v>
      </c>
      <c r="AA259" s="281"/>
      <c r="AB259" s="281"/>
      <c r="AC259" s="281"/>
    </row>
    <row r="260" spans="1:68" x14ac:dyDescent="0.2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6"/>
      <c r="P260" s="285" t="s">
        <v>87</v>
      </c>
      <c r="Q260" s="286"/>
      <c r="R260" s="286"/>
      <c r="S260" s="286"/>
      <c r="T260" s="286"/>
      <c r="U260" s="286"/>
      <c r="V260" s="287"/>
      <c r="W260" s="38" t="s">
        <v>88</v>
      </c>
      <c r="X260" s="280">
        <f>IFERROR(SUMPRODUCT(X258:X258*H258:H258),"0")</f>
        <v>648</v>
      </c>
      <c r="Y260" s="280">
        <f>IFERROR(SUMPRODUCT(Y258:Y258*H258:H258),"0")</f>
        <v>648</v>
      </c>
      <c r="Z260" s="38"/>
      <c r="AA260" s="281"/>
      <c r="AB260" s="281"/>
      <c r="AC260" s="281"/>
    </row>
    <row r="261" spans="1:68" ht="14.25" customHeight="1" x14ac:dyDescent="0.25">
      <c r="A261" s="291" t="s">
        <v>129</v>
      </c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3">
        <v>4640242180304</v>
      </c>
      <c r="E262" s="294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9"/>
      <c r="R262" s="289"/>
      <c r="S262" s="289"/>
      <c r="T262" s="290"/>
      <c r="U262" s="35"/>
      <c r="V262" s="35"/>
      <c r="W262" s="36" t="s">
        <v>68</v>
      </c>
      <c r="X262" s="278">
        <v>98</v>
      </c>
      <c r="Y262" s="279">
        <f>IFERROR(IF(X262="","",X262),"")</f>
        <v>98</v>
      </c>
      <c r="Z262" s="37">
        <f>IFERROR(IF(X262="","",X262*0.00936),"")</f>
        <v>0.91727999999999998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283.27879999999999</v>
      </c>
      <c r="BN262" s="67">
        <f>IFERROR(Y262*I262,"0")</f>
        <v>283.27879999999999</v>
      </c>
      <c r="BO262" s="67">
        <f>IFERROR(X262/J262,"0")</f>
        <v>0.77777777777777779</v>
      </c>
      <c r="BP262" s="67">
        <f>IFERROR(Y262/J262,"0")</f>
        <v>0.77777777777777779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3">
        <v>4640242180236</v>
      </c>
      <c r="E263" s="294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32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9"/>
      <c r="R263" s="289"/>
      <c r="S263" s="289"/>
      <c r="T263" s="290"/>
      <c r="U263" s="35"/>
      <c r="V263" s="35"/>
      <c r="W263" s="36" t="s">
        <v>68</v>
      </c>
      <c r="X263" s="278">
        <v>144</v>
      </c>
      <c r="Y263" s="279">
        <f>IFERROR(IF(X263="","",X263),"")</f>
        <v>144</v>
      </c>
      <c r="Z263" s="37">
        <f>IFERROR(IF(X263="","",X263*0.0155),"")</f>
        <v>2.2320000000000002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753.84</v>
      </c>
      <c r="BN263" s="67">
        <f>IFERROR(Y263*I263,"0")</f>
        <v>753.84</v>
      </c>
      <c r="BO263" s="67">
        <f>IFERROR(X263/J263,"0")</f>
        <v>1.7142857142857142</v>
      </c>
      <c r="BP263" s="67">
        <f>IFERROR(Y263/J263,"0")</f>
        <v>1.7142857142857142</v>
      </c>
    </row>
    <row r="264" spans="1:68" ht="27" customHeight="1" x14ac:dyDescent="0.25">
      <c r="A264" s="54" t="s">
        <v>347</v>
      </c>
      <c r="B264" s="54" t="s">
        <v>348</v>
      </c>
      <c r="C264" s="32">
        <v>4301136052</v>
      </c>
      <c r="D264" s="293">
        <v>4640242180410</v>
      </c>
      <c r="E264" s="294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43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9"/>
      <c r="R264" s="289"/>
      <c r="S264" s="289"/>
      <c r="T264" s="290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5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6"/>
      <c r="P265" s="285" t="s">
        <v>87</v>
      </c>
      <c r="Q265" s="286"/>
      <c r="R265" s="286"/>
      <c r="S265" s="286"/>
      <c r="T265" s="286"/>
      <c r="U265" s="286"/>
      <c r="V265" s="287"/>
      <c r="W265" s="38" t="s">
        <v>68</v>
      </c>
      <c r="X265" s="280">
        <f>IFERROR(SUM(X262:X264),"0")</f>
        <v>242</v>
      </c>
      <c r="Y265" s="280">
        <f>IFERROR(SUM(Y262:Y264),"0")</f>
        <v>242</v>
      </c>
      <c r="Z265" s="280">
        <f>IFERROR(IF(Z262="",0,Z262),"0")+IFERROR(IF(Z263="",0,Z263),"0")+IFERROR(IF(Z264="",0,Z264),"0")</f>
        <v>3.1492800000000001</v>
      </c>
      <c r="AA265" s="281"/>
      <c r="AB265" s="281"/>
      <c r="AC265" s="281"/>
    </row>
    <row r="266" spans="1:68" x14ac:dyDescent="0.2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6"/>
      <c r="P266" s="285" t="s">
        <v>87</v>
      </c>
      <c r="Q266" s="286"/>
      <c r="R266" s="286"/>
      <c r="S266" s="286"/>
      <c r="T266" s="286"/>
      <c r="U266" s="286"/>
      <c r="V266" s="287"/>
      <c r="W266" s="38" t="s">
        <v>88</v>
      </c>
      <c r="X266" s="280">
        <f>IFERROR(SUMPRODUCT(X262:X264*H262:H264),"0")</f>
        <v>984.6</v>
      </c>
      <c r="Y266" s="280">
        <f>IFERROR(SUMPRODUCT(Y262:Y264*H262:H264),"0")</f>
        <v>984.6</v>
      </c>
      <c r="Z266" s="38"/>
      <c r="AA266" s="281"/>
      <c r="AB266" s="281"/>
      <c r="AC266" s="281"/>
    </row>
    <row r="267" spans="1:68" ht="14.25" customHeight="1" x14ac:dyDescent="0.25">
      <c r="A267" s="291" t="s">
        <v>135</v>
      </c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74"/>
      <c r="AB267" s="274"/>
      <c r="AC267" s="274"/>
    </row>
    <row r="268" spans="1:68" ht="37.5" customHeight="1" x14ac:dyDescent="0.25">
      <c r="A268" s="54" t="s">
        <v>349</v>
      </c>
      <c r="B268" s="54" t="s">
        <v>350</v>
      </c>
      <c r="C268" s="32">
        <v>4301135504</v>
      </c>
      <c r="D268" s="293">
        <v>4640242181554</v>
      </c>
      <c r="E268" s="294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9"/>
      <c r="R268" s="289"/>
      <c r="S268" s="289"/>
      <c r="T268" s="290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3">
        <v>4620207492093</v>
      </c>
      <c r="E269" s="294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358" t="s">
        <v>354</v>
      </c>
      <c r="Q269" s="289"/>
      <c r="R269" s="289"/>
      <c r="S269" s="289"/>
      <c r="T269" s="290"/>
      <c r="U269" s="35"/>
      <c r="V269" s="35"/>
      <c r="W269" s="36" t="s">
        <v>68</v>
      </c>
      <c r="X269" s="278">
        <v>84</v>
      </c>
      <c r="Y269" s="279">
        <f t="shared" si="18"/>
        <v>84</v>
      </c>
      <c r="Z269" s="37">
        <f>IFERROR(IF(X269="","",X269*0.00936),"")</f>
        <v>0.78624000000000005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326.928</v>
      </c>
      <c r="BN269" s="67">
        <f t="shared" si="20"/>
        <v>326.928</v>
      </c>
      <c r="BO269" s="67">
        <f t="shared" si="21"/>
        <v>0.66666666666666663</v>
      </c>
      <c r="BP269" s="67">
        <f t="shared" si="22"/>
        <v>0.66666666666666663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3">
        <v>4640242181424</v>
      </c>
      <c r="E270" s="294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34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9"/>
      <c r="R270" s="289"/>
      <c r="S270" s="289"/>
      <c r="T270" s="290"/>
      <c r="U270" s="35"/>
      <c r="V270" s="35"/>
      <c r="W270" s="36" t="s">
        <v>68</v>
      </c>
      <c r="X270" s="278">
        <v>96</v>
      </c>
      <c r="Y270" s="279">
        <f t="shared" si="18"/>
        <v>96</v>
      </c>
      <c r="Z270" s="37">
        <f>IFERROR(IF(X270="","",X270*0.0155),"")</f>
        <v>1.488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550.56000000000006</v>
      </c>
      <c r="BN270" s="67">
        <f t="shared" si="20"/>
        <v>550.56000000000006</v>
      </c>
      <c r="BO270" s="67">
        <f t="shared" si="21"/>
        <v>1.1428571428571428</v>
      </c>
      <c r="BP270" s="67">
        <f t="shared" si="22"/>
        <v>1.1428571428571428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3">
        <v>4640242181523</v>
      </c>
      <c r="E271" s="294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44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9"/>
      <c r="R271" s="289"/>
      <c r="S271" s="289"/>
      <c r="T271" s="290"/>
      <c r="U271" s="35"/>
      <c r="V271" s="35"/>
      <c r="W271" s="36" t="s">
        <v>68</v>
      </c>
      <c r="X271" s="278">
        <v>140</v>
      </c>
      <c r="Y271" s="279">
        <f t="shared" si="18"/>
        <v>140</v>
      </c>
      <c r="Z271" s="37">
        <f t="shared" ref="Z271:Z276" si="23">IFERROR(IF(X271="","",X271*0.00936),"")</f>
        <v>1.3104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446.88</v>
      </c>
      <c r="BN271" s="67">
        <f t="shared" si="20"/>
        <v>446.88</v>
      </c>
      <c r="BO271" s="67">
        <f t="shared" si="21"/>
        <v>1.1111111111111112</v>
      </c>
      <c r="BP271" s="67">
        <f t="shared" si="22"/>
        <v>1.1111111111111112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3">
        <v>4640242181486</v>
      </c>
      <c r="E272" s="294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41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9"/>
      <c r="R272" s="289"/>
      <c r="S272" s="289"/>
      <c r="T272" s="290"/>
      <c r="U272" s="35"/>
      <c r="V272" s="35"/>
      <c r="W272" s="36" t="s">
        <v>68</v>
      </c>
      <c r="X272" s="278">
        <v>224</v>
      </c>
      <c r="Y272" s="279">
        <f t="shared" si="18"/>
        <v>224</v>
      </c>
      <c r="Z272" s="37">
        <f t="shared" si="23"/>
        <v>2.0966399999999998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871.80799999999999</v>
      </c>
      <c r="BN272" s="67">
        <f t="shared" si="20"/>
        <v>871.80799999999999</v>
      </c>
      <c r="BO272" s="67">
        <f t="shared" si="21"/>
        <v>1.7777777777777777</v>
      </c>
      <c r="BP272" s="67">
        <f t="shared" si="22"/>
        <v>1.7777777777777777</v>
      </c>
    </row>
    <row r="273" spans="1:68" ht="37.5" customHeight="1" x14ac:dyDescent="0.25">
      <c r="A273" s="54" t="s">
        <v>363</v>
      </c>
      <c r="B273" s="54" t="s">
        <v>364</v>
      </c>
      <c r="C273" s="32">
        <v>4301135402</v>
      </c>
      <c r="D273" s="293">
        <v>4640242181493</v>
      </c>
      <c r="E273" s="294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44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9"/>
      <c r="R273" s="289"/>
      <c r="S273" s="289"/>
      <c r="T273" s="290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365</v>
      </c>
      <c r="B274" s="54" t="s">
        <v>366</v>
      </c>
      <c r="C274" s="32">
        <v>4301135403</v>
      </c>
      <c r="D274" s="293">
        <v>4640242181509</v>
      </c>
      <c r="E274" s="294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3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9"/>
      <c r="R274" s="289"/>
      <c r="S274" s="289"/>
      <c r="T274" s="290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367</v>
      </c>
      <c r="B275" s="54" t="s">
        <v>368</v>
      </c>
      <c r="C275" s="32">
        <v>4301135304</v>
      </c>
      <c r="D275" s="293">
        <v>4640242181240</v>
      </c>
      <c r="E275" s="294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47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9"/>
      <c r="R275" s="289"/>
      <c r="S275" s="289"/>
      <c r="T275" s="290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369</v>
      </c>
      <c r="B276" s="54" t="s">
        <v>370</v>
      </c>
      <c r="C276" s="32">
        <v>4301135610</v>
      </c>
      <c r="D276" s="293">
        <v>4640242181318</v>
      </c>
      <c r="E276" s="294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3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9"/>
      <c r="R276" s="289"/>
      <c r="S276" s="289"/>
      <c r="T276" s="290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371</v>
      </c>
      <c r="B277" s="54" t="s">
        <v>372</v>
      </c>
      <c r="C277" s="32">
        <v>4301135306</v>
      </c>
      <c r="D277" s="293">
        <v>4640242181387</v>
      </c>
      <c r="E277" s="294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45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9"/>
      <c r="R277" s="289"/>
      <c r="S277" s="289"/>
      <c r="T277" s="290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5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6"/>
      <c r="P278" s="285" t="s">
        <v>87</v>
      </c>
      <c r="Q278" s="286"/>
      <c r="R278" s="286"/>
      <c r="S278" s="286"/>
      <c r="T278" s="286"/>
      <c r="U278" s="286"/>
      <c r="V278" s="287"/>
      <c r="W278" s="38" t="s">
        <v>68</v>
      </c>
      <c r="X278" s="280">
        <f>IFERROR(SUM(X268:X277),"0")</f>
        <v>544</v>
      </c>
      <c r="Y278" s="280">
        <f>IFERROR(SUM(Y268:Y277),"0")</f>
        <v>544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5.6812799999999992</v>
      </c>
      <c r="AA278" s="281"/>
      <c r="AB278" s="281"/>
      <c r="AC278" s="281"/>
    </row>
    <row r="279" spans="1:68" x14ac:dyDescent="0.2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6"/>
      <c r="P279" s="285" t="s">
        <v>87</v>
      </c>
      <c r="Q279" s="286"/>
      <c r="R279" s="286"/>
      <c r="S279" s="286"/>
      <c r="T279" s="286"/>
      <c r="U279" s="286"/>
      <c r="V279" s="287"/>
      <c r="W279" s="38" t="s">
        <v>88</v>
      </c>
      <c r="X279" s="280">
        <f>IFERROR(SUMPRODUCT(X268:X277*H268:H277),"0")</f>
        <v>2087.6</v>
      </c>
      <c r="Y279" s="280">
        <f>IFERROR(SUMPRODUCT(Y268:Y277*H268:H277),"0")</f>
        <v>2087.6</v>
      </c>
      <c r="Z279" s="38"/>
      <c r="AA279" s="281"/>
      <c r="AB279" s="281"/>
      <c r="AC279" s="281"/>
    </row>
    <row r="280" spans="1:68" ht="15" customHeight="1" x14ac:dyDescent="0.2">
      <c r="A280" s="310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11"/>
      <c r="P280" s="282" t="s">
        <v>373</v>
      </c>
      <c r="Q280" s="283"/>
      <c r="R280" s="283"/>
      <c r="S280" s="283"/>
      <c r="T280" s="283"/>
      <c r="U280" s="283"/>
      <c r="V280" s="284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13062.08</v>
      </c>
      <c r="Y280" s="280">
        <f>IFERROR(Y31+Y37+Y44+Y50+Y58+Y63+Y68+Y74+Y80+Y85+Y91+Y101+Y107+Y119+Y123+Y127+Y135+Y141+Y147+Y153+Y159+Y164+Y169+Y174+Y181+Y186+Y195+Y201+Y207+Y213+Y218+Y223+Y229+Y235+Y239+Y245+Y249+Y256+Y260+Y266+Y279,"0")</f>
        <v>13062.08</v>
      </c>
      <c r="Z280" s="38"/>
      <c r="AA280" s="281"/>
      <c r="AB280" s="281"/>
      <c r="AC280" s="281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11"/>
      <c r="P281" s="282" t="s">
        <v>374</v>
      </c>
      <c r="Q281" s="283"/>
      <c r="R281" s="283"/>
      <c r="S281" s="283"/>
      <c r="T281" s="283"/>
      <c r="U281" s="283"/>
      <c r="V281" s="284"/>
      <c r="W281" s="38" t="s">
        <v>88</v>
      </c>
      <c r="X281" s="280">
        <f>IFERROR(SUM(BM22:BM277),"0")</f>
        <v>14496.001199999999</v>
      </c>
      <c r="Y281" s="280">
        <f>IFERROR(SUM(BN22:BN277),"0")</f>
        <v>14496.001199999999</v>
      </c>
      <c r="Z281" s="38"/>
      <c r="AA281" s="281"/>
      <c r="AB281" s="281"/>
      <c r="AC281" s="281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11"/>
      <c r="P282" s="282" t="s">
        <v>375</v>
      </c>
      <c r="Q282" s="283"/>
      <c r="R282" s="283"/>
      <c r="S282" s="283"/>
      <c r="T282" s="283"/>
      <c r="U282" s="283"/>
      <c r="V282" s="284"/>
      <c r="W282" s="38" t="s">
        <v>376</v>
      </c>
      <c r="X282" s="39">
        <f>ROUNDUP(SUM(BO22:BO277),0)</f>
        <v>40</v>
      </c>
      <c r="Y282" s="39">
        <f>ROUNDUP(SUM(BP22:BP277),0)</f>
        <v>40</v>
      </c>
      <c r="Z282" s="38"/>
      <c r="AA282" s="281"/>
      <c r="AB282" s="281"/>
      <c r="AC282" s="281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11"/>
      <c r="P283" s="282" t="s">
        <v>377</v>
      </c>
      <c r="Q283" s="283"/>
      <c r="R283" s="283"/>
      <c r="S283" s="283"/>
      <c r="T283" s="283"/>
      <c r="U283" s="283"/>
      <c r="V283" s="284"/>
      <c r="W283" s="38" t="s">
        <v>88</v>
      </c>
      <c r="X283" s="280">
        <f>GrossWeightTotal+PalletQtyTotal*25</f>
        <v>15496.001199999999</v>
      </c>
      <c r="Y283" s="280">
        <f>GrossWeightTotalR+PalletQtyTotalR*25</f>
        <v>15496.001199999999</v>
      </c>
      <c r="Z283" s="38"/>
      <c r="AA283" s="281"/>
      <c r="AB283" s="281"/>
      <c r="AC283" s="281"/>
    </row>
    <row r="284" spans="1:68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11"/>
      <c r="P284" s="282" t="s">
        <v>378</v>
      </c>
      <c r="Q284" s="283"/>
      <c r="R284" s="283"/>
      <c r="S284" s="283"/>
      <c r="T284" s="283"/>
      <c r="U284" s="283"/>
      <c r="V284" s="284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3458</v>
      </c>
      <c r="Y284" s="280">
        <f>IFERROR(Y30+Y36+Y43+Y49+Y57+Y62+Y67+Y73+Y79+Y84+Y90+Y100+Y106+Y118+Y122+Y126+Y134+Y140+Y146+Y152+Y158+Y163+Y168+Y173+Y180+Y185+Y194+Y200+Y206+Y212+Y217+Y222+Y228+Y234+Y238+Y244+Y248+Y255+Y259+Y265+Y278,"0")</f>
        <v>3458</v>
      </c>
      <c r="Z284" s="38"/>
      <c r="AA284" s="281"/>
      <c r="AB284" s="281"/>
      <c r="AC284" s="281"/>
    </row>
    <row r="285" spans="1:68" ht="14.25" customHeight="1" x14ac:dyDescent="0.2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311"/>
      <c r="P285" s="282" t="s">
        <v>379</v>
      </c>
      <c r="Q285" s="283"/>
      <c r="R285" s="283"/>
      <c r="S285" s="283"/>
      <c r="T285" s="283"/>
      <c r="U285" s="283"/>
      <c r="V285" s="284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49.593079999999993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316" t="s">
        <v>61</v>
      </c>
      <c r="C287" s="389"/>
      <c r="D287" s="316" t="s">
        <v>95</v>
      </c>
      <c r="E287" s="388"/>
      <c r="F287" s="388"/>
      <c r="G287" s="388"/>
      <c r="H287" s="388"/>
      <c r="I287" s="388"/>
      <c r="J287" s="388"/>
      <c r="K287" s="388"/>
      <c r="L287" s="388"/>
      <c r="M287" s="388"/>
      <c r="N287" s="388"/>
      <c r="O287" s="388"/>
      <c r="P287" s="388"/>
      <c r="Q287" s="388"/>
      <c r="R287" s="388"/>
      <c r="S287" s="388"/>
      <c r="T287" s="388"/>
      <c r="U287" s="389"/>
      <c r="V287" s="316" t="s">
        <v>259</v>
      </c>
      <c r="W287" s="389"/>
      <c r="X287" s="275" t="s">
        <v>270</v>
      </c>
      <c r="Y287" s="316" t="s">
        <v>284</v>
      </c>
      <c r="Z287" s="388"/>
      <c r="AA287" s="388"/>
      <c r="AB287" s="389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441" t="s">
        <v>382</v>
      </c>
      <c r="B288" s="316" t="s">
        <v>61</v>
      </c>
      <c r="C288" s="316" t="s">
        <v>89</v>
      </c>
      <c r="D288" s="316" t="s">
        <v>96</v>
      </c>
      <c r="E288" s="316" t="s">
        <v>107</v>
      </c>
      <c r="F288" s="316" t="s">
        <v>114</v>
      </c>
      <c r="G288" s="316" t="s">
        <v>125</v>
      </c>
      <c r="H288" s="316" t="s">
        <v>143</v>
      </c>
      <c r="I288" s="316" t="s">
        <v>150</v>
      </c>
      <c r="J288" s="316" t="s">
        <v>154</v>
      </c>
      <c r="K288" s="316" t="s">
        <v>162</v>
      </c>
      <c r="L288" s="316" t="s">
        <v>178</v>
      </c>
      <c r="M288" s="316" t="s">
        <v>185</v>
      </c>
      <c r="N288" s="276"/>
      <c r="O288" s="316" t="s">
        <v>212</v>
      </c>
      <c r="P288" s="316" t="s">
        <v>230</v>
      </c>
      <c r="Q288" s="316" t="s">
        <v>236</v>
      </c>
      <c r="R288" s="316" t="s">
        <v>243</v>
      </c>
      <c r="S288" s="316" t="s">
        <v>248</v>
      </c>
      <c r="T288" s="316" t="s">
        <v>252</v>
      </c>
      <c r="U288" s="316" t="s">
        <v>255</v>
      </c>
      <c r="V288" s="316" t="s">
        <v>260</v>
      </c>
      <c r="W288" s="316" t="s">
        <v>267</v>
      </c>
      <c r="X288" s="316" t="s">
        <v>271</v>
      </c>
      <c r="Y288" s="316" t="s">
        <v>285</v>
      </c>
      <c r="Z288" s="316" t="s">
        <v>298</v>
      </c>
      <c r="AA288" s="316" t="s">
        <v>305</v>
      </c>
      <c r="AB288" s="316" t="s">
        <v>309</v>
      </c>
      <c r="AC288" s="316" t="s">
        <v>314</v>
      </c>
      <c r="AD288" s="316" t="s">
        <v>319</v>
      </c>
      <c r="AE288" s="316" t="s">
        <v>326</v>
      </c>
      <c r="AF288" s="316" t="s">
        <v>333</v>
      </c>
    </row>
    <row r="289" spans="1:32" ht="13.5" customHeight="1" thickBot="1" x14ac:dyDescent="0.25">
      <c r="A289" s="442"/>
      <c r="B289" s="317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276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566.40000000000009</v>
      </c>
      <c r="C290" s="47">
        <f>IFERROR(X34*H34,"0")+IFERROR(X35*H35,"0")</f>
        <v>0</v>
      </c>
      <c r="D290" s="47">
        <f>IFERROR(X41*H41,"0")+IFERROR(X42*H42,"0")</f>
        <v>42</v>
      </c>
      <c r="E290" s="47">
        <f>IFERROR(X47*H47,"0")+IFERROR(X48*H48,"0")</f>
        <v>604.79999999999995</v>
      </c>
      <c r="F290" s="47">
        <f>IFERROR(X53*H53,"0")+IFERROR(X54*H54,"0")+IFERROR(X55*H55,"0")+IFERROR(X56*H56,"0")</f>
        <v>420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780</v>
      </c>
      <c r="I290" s="47">
        <f>IFERROR(X83*H83,"0")</f>
        <v>151.20000000000002</v>
      </c>
      <c r="J290" s="47">
        <f>IFERROR(X88*H88,"0")+IFERROR(X89*H89,"0")</f>
        <v>453.6</v>
      </c>
      <c r="K290" s="47">
        <f>IFERROR(X94*H94,"0")+IFERROR(X95*H95,"0")+IFERROR(X96*H96,"0")+IFERROR(X97*H97,"0")+IFERROR(X98*H98,"0")+IFERROR(X99*H99,"0")</f>
        <v>1130.6400000000001</v>
      </c>
      <c r="L290" s="47">
        <f>IFERROR(X104*H104,"0")+IFERROR(X105*H105,"0")</f>
        <v>151.20000000000002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1070.4000000000001</v>
      </c>
      <c r="N290" s="276"/>
      <c r="O290" s="47">
        <f>IFERROR(X130*H130,"0")+IFERROR(X131*H131,"0")+IFERROR(X132*H132,"0")+IFERROR(X133*H133,"0")+IFERROR(X137*H137,"0")+IFERROR(X138*H138,"0")+IFERROR(X139*H139,"0")</f>
        <v>266.27999999999997</v>
      </c>
      <c r="P290" s="47">
        <f>IFERROR(X144*H144,"0")+IFERROR(X145*H145,"0")</f>
        <v>1302</v>
      </c>
      <c r="Q290" s="47">
        <f>IFERROR(X150*H150,"0")+IFERROR(X151*H151,"0")</f>
        <v>546</v>
      </c>
      <c r="R290" s="47">
        <f>IFERROR(X156*H156,"0")+IFERROR(X157*H157,"0")</f>
        <v>168</v>
      </c>
      <c r="S290" s="47">
        <f>IFERROR(X162*H162,"0")</f>
        <v>0</v>
      </c>
      <c r="T290" s="47">
        <f>IFERROR(X167*H167,"0")</f>
        <v>75.600000000000009</v>
      </c>
      <c r="U290" s="47">
        <f>IFERROR(X172*H172,"0")</f>
        <v>235.2</v>
      </c>
      <c r="V290" s="47">
        <f>IFERROR(X178*H178,"0")+IFERROR(X179*H179,"0")</f>
        <v>0</v>
      </c>
      <c r="W290" s="47">
        <f>IFERROR(X184*H184,"0")</f>
        <v>0</v>
      </c>
      <c r="X290" s="47">
        <f>IFERROR(X190*H190,"0")+IFERROR(X191*H191,"0")+IFERROR(X192*H192,"0")+IFERROR(X193*H193,"0")</f>
        <v>252</v>
      </c>
      <c r="Y290" s="47">
        <f>IFERROR(X199*H199,"0")+IFERROR(X203*H203,"0")+IFERROR(X204*H204,"0")+IFERROR(X205*H205,"0")</f>
        <v>154.56</v>
      </c>
      <c r="Z290" s="47">
        <f>IFERROR(X210*H210,"0")+IFERROR(X211*H211,"0")</f>
        <v>0</v>
      </c>
      <c r="AA290" s="47">
        <f>IFERROR(X216*H216,"0")</f>
        <v>720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3972.2000000000003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4413.6000000000004</v>
      </c>
      <c r="B293" s="60">
        <f>SUMPRODUCT(--(BB:BB="ПГП"),--(W:W="кор"),H:H,Y:Y)+SUMPRODUCT(--(BB:BB="ПГП"),--(W:W="кг"),Y:Y)</f>
        <v>8648.4800000000014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