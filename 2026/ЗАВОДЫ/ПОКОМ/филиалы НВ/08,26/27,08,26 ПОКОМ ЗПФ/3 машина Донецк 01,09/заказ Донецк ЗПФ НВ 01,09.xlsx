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9862AC72-7878-4784-8EC7-D0D2F1ACBE6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Y279" i="1"/>
  <c r="X279" i="1"/>
  <c r="Z278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BO268" i="1"/>
  <c r="BM268" i="1"/>
  <c r="Z268" i="1"/>
  <c r="Y268" i="1"/>
  <c r="P268" i="1"/>
  <c r="X266" i="1"/>
  <c r="X265" i="1"/>
  <c r="BO264" i="1"/>
  <c r="BM264" i="1"/>
  <c r="Z264" i="1"/>
  <c r="Y264" i="1"/>
  <c r="P264" i="1"/>
  <c r="BP263" i="1"/>
  <c r="BO263" i="1"/>
  <c r="BN263" i="1"/>
  <c r="BM263" i="1"/>
  <c r="Z263" i="1"/>
  <c r="Z265" i="1" s="1"/>
  <c r="Y263" i="1"/>
  <c r="P263" i="1"/>
  <c r="BO262" i="1"/>
  <c r="BM262" i="1"/>
  <c r="Z262" i="1"/>
  <c r="Y262" i="1"/>
  <c r="P262" i="1"/>
  <c r="Y260" i="1"/>
  <c r="X260" i="1"/>
  <c r="Z259" i="1"/>
  <c r="X259" i="1"/>
  <c r="BO258" i="1"/>
  <c r="BM258" i="1"/>
  <c r="Z258" i="1"/>
  <c r="Y258" i="1"/>
  <c r="P258" i="1"/>
  <c r="X256" i="1"/>
  <c r="X255" i="1"/>
  <c r="BO254" i="1"/>
  <c r="BM254" i="1"/>
  <c r="Z254" i="1"/>
  <c r="Y254" i="1"/>
  <c r="P254" i="1"/>
  <c r="BP253" i="1"/>
  <c r="BO253" i="1"/>
  <c r="BN253" i="1"/>
  <c r="BM253" i="1"/>
  <c r="Z253" i="1"/>
  <c r="Z255" i="1" s="1"/>
  <c r="Y253" i="1"/>
  <c r="P253" i="1"/>
  <c r="X249" i="1"/>
  <c r="Y248" i="1"/>
  <c r="X248" i="1"/>
  <c r="BP247" i="1"/>
  <c r="BO247" i="1"/>
  <c r="BN247" i="1"/>
  <c r="BM247" i="1"/>
  <c r="Z247" i="1"/>
  <c r="Z248" i="1" s="1"/>
  <c r="Y247" i="1"/>
  <c r="Y249" i="1" s="1"/>
  <c r="P247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3" i="1"/>
  <c r="Y222" i="1"/>
  <c r="X222" i="1"/>
  <c r="BP221" i="1"/>
  <c r="BO221" i="1"/>
  <c r="BN221" i="1"/>
  <c r="BM221" i="1"/>
  <c r="Z221" i="1"/>
  <c r="Z222" i="1" s="1"/>
  <c r="Y221" i="1"/>
  <c r="Y223" i="1" s="1"/>
  <c r="P221" i="1"/>
  <c r="X218" i="1"/>
  <c r="Y217" i="1"/>
  <c r="X217" i="1"/>
  <c r="BP216" i="1"/>
  <c r="BO216" i="1"/>
  <c r="BN216" i="1"/>
  <c r="BM216" i="1"/>
  <c r="Z216" i="1"/>
  <c r="Z217" i="1" s="1"/>
  <c r="Y216" i="1"/>
  <c r="Y218" i="1" s="1"/>
  <c r="P216" i="1"/>
  <c r="X213" i="1"/>
  <c r="X212" i="1"/>
  <c r="BP211" i="1"/>
  <c r="BO211" i="1"/>
  <c r="BN211" i="1"/>
  <c r="BM211" i="1"/>
  <c r="Z211" i="1"/>
  <c r="Y211" i="1"/>
  <c r="P211" i="1"/>
  <c r="BO210" i="1"/>
  <c r="BM210" i="1"/>
  <c r="Z210" i="1"/>
  <c r="Y210" i="1"/>
  <c r="P210" i="1"/>
  <c r="Y207" i="1"/>
  <c r="X207" i="1"/>
  <c r="Z206" i="1"/>
  <c r="X206" i="1"/>
  <c r="BO205" i="1"/>
  <c r="BM205" i="1"/>
  <c r="Z205" i="1"/>
  <c r="Y205" i="1"/>
  <c r="P205" i="1"/>
  <c r="BP204" i="1"/>
  <c r="BO204" i="1"/>
  <c r="BN204" i="1"/>
  <c r="BM204" i="1"/>
  <c r="Z204" i="1"/>
  <c r="Y204" i="1"/>
  <c r="P204" i="1"/>
  <c r="BO203" i="1"/>
  <c r="BM203" i="1"/>
  <c r="Z203" i="1"/>
  <c r="Y203" i="1"/>
  <c r="P203" i="1"/>
  <c r="X201" i="1"/>
  <c r="Z200" i="1"/>
  <c r="X200" i="1"/>
  <c r="BO199" i="1"/>
  <c r="BM199" i="1"/>
  <c r="Z199" i="1"/>
  <c r="Y199" i="1"/>
  <c r="P199" i="1"/>
  <c r="Y195" i="1"/>
  <c r="X195" i="1"/>
  <c r="Z194" i="1"/>
  <c r="X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BP190" i="1"/>
  <c r="BO190" i="1"/>
  <c r="BN190" i="1"/>
  <c r="BM190" i="1"/>
  <c r="Z190" i="1"/>
  <c r="Y190" i="1"/>
  <c r="Y194" i="1" s="1"/>
  <c r="P190" i="1"/>
  <c r="X186" i="1"/>
  <c r="Y185" i="1"/>
  <c r="X185" i="1"/>
  <c r="BP184" i="1"/>
  <c r="BO184" i="1"/>
  <c r="BN184" i="1"/>
  <c r="BM184" i="1"/>
  <c r="Z184" i="1"/>
  <c r="Z185" i="1" s="1"/>
  <c r="Y184" i="1"/>
  <c r="Y186" i="1" s="1"/>
  <c r="P184" i="1"/>
  <c r="X181" i="1"/>
  <c r="X180" i="1"/>
  <c r="BP179" i="1"/>
  <c r="BO179" i="1"/>
  <c r="BN179" i="1"/>
  <c r="BM179" i="1"/>
  <c r="Z179" i="1"/>
  <c r="Y179" i="1"/>
  <c r="P179" i="1"/>
  <c r="BO178" i="1"/>
  <c r="BM178" i="1"/>
  <c r="Z178" i="1"/>
  <c r="Z180" i="1" s="1"/>
  <c r="Y178" i="1"/>
  <c r="P178" i="1"/>
  <c r="X174" i="1"/>
  <c r="Z173" i="1"/>
  <c r="X173" i="1"/>
  <c r="BO172" i="1"/>
  <c r="BM172" i="1"/>
  <c r="Z172" i="1"/>
  <c r="Y172" i="1"/>
  <c r="P172" i="1"/>
  <c r="Y169" i="1"/>
  <c r="X169" i="1"/>
  <c r="Z168" i="1"/>
  <c r="X168" i="1"/>
  <c r="BO167" i="1"/>
  <c r="BM167" i="1"/>
  <c r="Z167" i="1"/>
  <c r="Y167" i="1"/>
  <c r="P167" i="1"/>
  <c r="X164" i="1"/>
  <c r="Z163" i="1"/>
  <c r="X163" i="1"/>
  <c r="BO162" i="1"/>
  <c r="BM162" i="1"/>
  <c r="Z162" i="1"/>
  <c r="Y162" i="1"/>
  <c r="P162" i="1"/>
  <c r="Y159" i="1"/>
  <c r="X159" i="1"/>
  <c r="Z158" i="1"/>
  <c r="X158" i="1"/>
  <c r="BO157" i="1"/>
  <c r="BM157" i="1"/>
  <c r="Z157" i="1"/>
  <c r="Y157" i="1"/>
  <c r="P157" i="1"/>
  <c r="BP156" i="1"/>
  <c r="BO156" i="1"/>
  <c r="BN156" i="1"/>
  <c r="BM156" i="1"/>
  <c r="Z156" i="1"/>
  <c r="Y156" i="1"/>
  <c r="Y158" i="1" s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P144" i="1"/>
  <c r="BO144" i="1"/>
  <c r="BN144" i="1"/>
  <c r="BM144" i="1"/>
  <c r="Z144" i="1"/>
  <c r="Z146" i="1" s="1"/>
  <c r="Y144" i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Z138" i="1"/>
  <c r="Y138" i="1"/>
  <c r="BP138" i="1" s="1"/>
  <c r="P138" i="1"/>
  <c r="BP137" i="1"/>
  <c r="BO137" i="1"/>
  <c r="BN137" i="1"/>
  <c r="BM137" i="1"/>
  <c r="Z137" i="1"/>
  <c r="Z140" i="1" s="1"/>
  <c r="Y137" i="1"/>
  <c r="Y141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Z132" i="1"/>
  <c r="Y132" i="1"/>
  <c r="BP132" i="1" s="1"/>
  <c r="P132" i="1"/>
  <c r="BP131" i="1"/>
  <c r="BO131" i="1"/>
  <c r="BN131" i="1"/>
  <c r="BM131" i="1"/>
  <c r="Z131" i="1"/>
  <c r="Y131" i="1"/>
  <c r="P131" i="1"/>
  <c r="BO130" i="1"/>
  <c r="BM130" i="1"/>
  <c r="Z130" i="1"/>
  <c r="Z134" i="1" s="1"/>
  <c r="Y130" i="1"/>
  <c r="Y135" i="1" s="1"/>
  <c r="P130" i="1"/>
  <c r="X127" i="1"/>
  <c r="Z126" i="1"/>
  <c r="X126" i="1"/>
  <c r="BO125" i="1"/>
  <c r="BM125" i="1"/>
  <c r="Z125" i="1"/>
  <c r="Y125" i="1"/>
  <c r="Y126" i="1" s="1"/>
  <c r="P125" i="1"/>
  <c r="X123" i="1"/>
  <c r="Z122" i="1"/>
  <c r="X122" i="1"/>
  <c r="BO121" i="1"/>
  <c r="BM121" i="1"/>
  <c r="Z121" i="1"/>
  <c r="Y121" i="1"/>
  <c r="Y122" i="1" s="1"/>
  <c r="P121" i="1"/>
  <c r="X119" i="1"/>
  <c r="X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BP111" i="1" s="1"/>
  <c r="P111" i="1"/>
  <c r="BP110" i="1"/>
  <c r="BO110" i="1"/>
  <c r="BN110" i="1"/>
  <c r="BM110" i="1"/>
  <c r="Z110" i="1"/>
  <c r="Z118" i="1" s="1"/>
  <c r="Y110" i="1"/>
  <c r="Y118" i="1" s="1"/>
  <c r="P110" i="1"/>
  <c r="X107" i="1"/>
  <c r="X106" i="1"/>
  <c r="BP105" i="1"/>
  <c r="BO105" i="1"/>
  <c r="BN105" i="1"/>
  <c r="BM105" i="1"/>
  <c r="Z105" i="1"/>
  <c r="Y105" i="1"/>
  <c r="P105" i="1"/>
  <c r="BO104" i="1"/>
  <c r="BM104" i="1"/>
  <c r="Z104" i="1"/>
  <c r="Z106" i="1" s="1"/>
  <c r="Y104" i="1"/>
  <c r="Y107" i="1" s="1"/>
  <c r="P104" i="1"/>
  <c r="X101" i="1"/>
  <c r="X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Z95" i="1"/>
  <c r="Y95" i="1"/>
  <c r="BP95" i="1" s="1"/>
  <c r="P95" i="1"/>
  <c r="BP94" i="1"/>
  <c r="BO94" i="1"/>
  <c r="BN94" i="1"/>
  <c r="BM94" i="1"/>
  <c r="Z94" i="1"/>
  <c r="Z100" i="1" s="1"/>
  <c r="Y94" i="1"/>
  <c r="Y100" i="1" s="1"/>
  <c r="P94" i="1"/>
  <c r="X91" i="1"/>
  <c r="X90" i="1"/>
  <c r="BP89" i="1"/>
  <c r="BO89" i="1"/>
  <c r="BN89" i="1"/>
  <c r="BM89" i="1"/>
  <c r="Z89" i="1"/>
  <c r="Y89" i="1"/>
  <c r="P89" i="1"/>
  <c r="BO88" i="1"/>
  <c r="BM88" i="1"/>
  <c r="Z88" i="1"/>
  <c r="Z90" i="1" s="1"/>
  <c r="Y88" i="1"/>
  <c r="Y91" i="1" s="1"/>
  <c r="P88" i="1"/>
  <c r="X85" i="1"/>
  <c r="Z84" i="1"/>
  <c r="X84" i="1"/>
  <c r="BO83" i="1"/>
  <c r="BM83" i="1"/>
  <c r="Z83" i="1"/>
  <c r="Y83" i="1"/>
  <c r="Y84" i="1" s="1"/>
  <c r="P83" i="1"/>
  <c r="X80" i="1"/>
  <c r="X79" i="1"/>
  <c r="BO78" i="1"/>
  <c r="BM78" i="1"/>
  <c r="Z78" i="1"/>
  <c r="Y78" i="1"/>
  <c r="BP78" i="1" s="1"/>
  <c r="P78" i="1"/>
  <c r="BP77" i="1"/>
  <c r="BO77" i="1"/>
  <c r="BN77" i="1"/>
  <c r="BM77" i="1"/>
  <c r="Z77" i="1"/>
  <c r="Z79" i="1" s="1"/>
  <c r="Y77" i="1"/>
  <c r="Y79" i="1" s="1"/>
  <c r="P77" i="1"/>
  <c r="X74" i="1"/>
  <c r="X73" i="1"/>
  <c r="BP72" i="1"/>
  <c r="BO72" i="1"/>
  <c r="BN72" i="1"/>
  <c r="BM72" i="1"/>
  <c r="Z72" i="1"/>
  <c r="Y72" i="1"/>
  <c r="P72" i="1"/>
  <c r="BO71" i="1"/>
  <c r="BM71" i="1"/>
  <c r="Z71" i="1"/>
  <c r="Y71" i="1"/>
  <c r="BP71" i="1" s="1"/>
  <c r="P71" i="1"/>
  <c r="BP70" i="1"/>
  <c r="BO70" i="1"/>
  <c r="BN70" i="1"/>
  <c r="BM70" i="1"/>
  <c r="Z70" i="1"/>
  <c r="Z73" i="1" s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Z65" i="1"/>
  <c r="Z67" i="1" s="1"/>
  <c r="Y65" i="1"/>
  <c r="Y68" i="1" s="1"/>
  <c r="P65" i="1"/>
  <c r="X63" i="1"/>
  <c r="Z62" i="1"/>
  <c r="X62" i="1"/>
  <c r="BO61" i="1"/>
  <c r="BM61" i="1"/>
  <c r="Z61" i="1"/>
  <c r="Y61" i="1"/>
  <c r="Y62" i="1" s="1"/>
  <c r="P61" i="1"/>
  <c r="X58" i="1"/>
  <c r="X57" i="1"/>
  <c r="BO56" i="1"/>
  <c r="BM56" i="1"/>
  <c r="Z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Z57" i="1" s="1"/>
  <c r="Y53" i="1"/>
  <c r="Y57" i="1" s="1"/>
  <c r="P53" i="1"/>
  <c r="X50" i="1"/>
  <c r="X49" i="1"/>
  <c r="BP48" i="1"/>
  <c r="BO48" i="1"/>
  <c r="BN48" i="1"/>
  <c r="BM48" i="1"/>
  <c r="Z48" i="1"/>
  <c r="Y48" i="1"/>
  <c r="P48" i="1"/>
  <c r="BO47" i="1"/>
  <c r="BM47" i="1"/>
  <c r="Z47" i="1"/>
  <c r="Z49" i="1" s="1"/>
  <c r="Y47" i="1"/>
  <c r="Y50" i="1" s="1"/>
  <c r="P47" i="1"/>
  <c r="X44" i="1"/>
  <c r="X43" i="1"/>
  <c r="BO42" i="1"/>
  <c r="BM42" i="1"/>
  <c r="Z42" i="1"/>
  <c r="Y42" i="1"/>
  <c r="BP42" i="1" s="1"/>
  <c r="P42" i="1"/>
  <c r="BP41" i="1"/>
  <c r="BO41" i="1"/>
  <c r="BN41" i="1"/>
  <c r="BM41" i="1"/>
  <c r="Z41" i="1"/>
  <c r="Z43" i="1" s="1"/>
  <c r="Y41" i="1"/>
  <c r="Y43" i="1" s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Z36" i="1" s="1"/>
  <c r="Y34" i="1"/>
  <c r="Y37" i="1" s="1"/>
  <c r="P34" i="1"/>
  <c r="X31" i="1"/>
  <c r="X30" i="1"/>
  <c r="X284" i="1" s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Y30" i="1" s="1"/>
  <c r="P22" i="1"/>
  <c r="H10" i="1"/>
  <c r="F10" i="1"/>
  <c r="J9" i="1"/>
  <c r="F9" i="1"/>
  <c r="A9" i="1"/>
  <c r="A10" i="1" s="1"/>
  <c r="D7" i="1"/>
  <c r="Q6" i="1"/>
  <c r="P2" i="1"/>
  <c r="Y31" i="1" l="1"/>
  <c r="Y36" i="1"/>
  <c r="Y284" i="1" s="1"/>
  <c r="Y44" i="1"/>
  <c r="Y49" i="1"/>
  <c r="Y58" i="1"/>
  <c r="Y63" i="1"/>
  <c r="Y67" i="1"/>
  <c r="Y73" i="1"/>
  <c r="Y80" i="1"/>
  <c r="Y85" i="1"/>
  <c r="Y90" i="1"/>
  <c r="Y101" i="1"/>
  <c r="Y106" i="1"/>
  <c r="Y119" i="1"/>
  <c r="Y123" i="1"/>
  <c r="Y127" i="1"/>
  <c r="Y134" i="1"/>
  <c r="Y140" i="1"/>
  <c r="Y163" i="1"/>
  <c r="BP162" i="1"/>
  <c r="BN162" i="1"/>
  <c r="Y173" i="1"/>
  <c r="BP172" i="1"/>
  <c r="BN172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H9" i="1"/>
  <c r="X281" i="1"/>
  <c r="X282" i="1"/>
  <c r="BN23" i="1"/>
  <c r="Y281" i="1" s="1"/>
  <c r="BN25" i="1"/>
  <c r="BN27" i="1"/>
  <c r="BN29" i="1"/>
  <c r="X280" i="1"/>
  <c r="BN34" i="1"/>
  <c r="BP34" i="1"/>
  <c r="Y282" i="1" s="1"/>
  <c r="BN42" i="1"/>
  <c r="BN47" i="1"/>
  <c r="BP47" i="1"/>
  <c r="BN54" i="1"/>
  <c r="BN56" i="1"/>
  <c r="BN61" i="1"/>
  <c r="BP61" i="1"/>
  <c r="BN65" i="1"/>
  <c r="BP65" i="1"/>
  <c r="BN71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17" i="1"/>
  <c r="BN121" i="1"/>
  <c r="BP121" i="1"/>
  <c r="BN125" i="1"/>
  <c r="BP125" i="1"/>
  <c r="BN130" i="1"/>
  <c r="BP130" i="1"/>
  <c r="BN132" i="1"/>
  <c r="BN138" i="1"/>
  <c r="Y146" i="1"/>
  <c r="BN145" i="1"/>
  <c r="Y147" i="1"/>
  <c r="Y153" i="1"/>
  <c r="BP150" i="1"/>
  <c r="BN150" i="1"/>
  <c r="Y152" i="1"/>
  <c r="BP157" i="1"/>
  <c r="BN157" i="1"/>
  <c r="Y164" i="1"/>
  <c r="Y168" i="1"/>
  <c r="BP167" i="1"/>
  <c r="BN167" i="1"/>
  <c r="Y174" i="1"/>
  <c r="Y181" i="1"/>
  <c r="BP178" i="1"/>
  <c r="BN178" i="1"/>
  <c r="Y180" i="1"/>
  <c r="BP191" i="1"/>
  <c r="BN191" i="1"/>
  <c r="BP193" i="1"/>
  <c r="BN193" i="1"/>
  <c r="Y201" i="1"/>
  <c r="Y206" i="1"/>
  <c r="BP203" i="1"/>
  <c r="BN203" i="1"/>
  <c r="BP205" i="1"/>
  <c r="BN205" i="1"/>
  <c r="Z212" i="1"/>
  <c r="Z285" i="1" s="1"/>
  <c r="Y255" i="1"/>
  <c r="Y256" i="1"/>
  <c r="Y259" i="1"/>
  <c r="BP258" i="1"/>
  <c r="BN258" i="1"/>
  <c r="Y266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Y283" i="1" l="1"/>
  <c r="X283" i="1"/>
  <c r="A293" i="1"/>
  <c r="Y280" i="1"/>
  <c r="C293" i="1" s="1"/>
  <c r="B293" i="1" l="1"/>
</calcChain>
</file>

<file path=xl/sharedStrings.xml><?xml version="1.0" encoding="utf-8"?>
<sst xmlns="http://schemas.openxmlformats.org/spreadsheetml/2006/main" count="1293" uniqueCount="420">
  <si>
    <t xml:space="preserve">  БЛАНК ЗАКАЗА </t>
  </si>
  <si>
    <t>ЗПФ</t>
  </si>
  <si>
    <t>на отгрузку продукции с ООО Трейд-Сервис с</t>
  </si>
  <si>
    <t>29.08.2026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</si>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</sst>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38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4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4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topLeftCell="A272" zoomScaleNormal="100" zoomScaleSheetLayoutView="100" workbookViewId="0">
      <selection activeCell="AA286" sqref="AA286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327" t="s">
        <v>0</v>
      </c>
      <c r="E1" s="303"/>
      <c r="F1" s="303"/>
      <c r="G1" s="13" t="s">
        <v>1</v>
      </c>
      <c r="H1" s="327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3"/>
      <c r="Q3" s="293"/>
      <c r="R3" s="293"/>
      <c r="S3" s="293"/>
      <c r="T3" s="293"/>
      <c r="U3" s="293"/>
      <c r="V3" s="293"/>
      <c r="W3" s="293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357" t="s">
        <v>8</v>
      </c>
      <c r="B5" s="329"/>
      <c r="C5" s="330"/>
      <c r="D5" s="334"/>
      <c r="E5" s="335"/>
      <c r="F5" s="451" t="s">
        <v>9</v>
      </c>
      <c r="G5" s="330"/>
      <c r="H5" s="334"/>
      <c r="I5" s="417"/>
      <c r="J5" s="417"/>
      <c r="K5" s="417"/>
      <c r="L5" s="417"/>
      <c r="M5" s="335"/>
      <c r="N5" s="61"/>
      <c r="P5" s="24" t="s">
        <v>10</v>
      </c>
      <c r="Q5" s="458">
        <v>46265</v>
      </c>
      <c r="R5" s="355"/>
      <c r="T5" s="381" t="s">
        <v>11</v>
      </c>
      <c r="U5" s="382"/>
      <c r="V5" s="384" t="s">
        <v>12</v>
      </c>
      <c r="W5" s="355"/>
      <c r="AB5" s="52"/>
      <c r="AC5" s="52"/>
      <c r="AD5" s="52"/>
      <c r="AE5" s="52"/>
    </row>
    <row r="6" spans="1:32" s="272" customFormat="1" ht="24" customHeight="1" x14ac:dyDescent="0.2">
      <c r="A6" s="357" t="s">
        <v>13</v>
      </c>
      <c r="B6" s="329"/>
      <c r="C6" s="330"/>
      <c r="D6" s="419"/>
      <c r="E6" s="420"/>
      <c r="F6" s="420"/>
      <c r="G6" s="420"/>
      <c r="H6" s="420"/>
      <c r="I6" s="420"/>
      <c r="J6" s="420"/>
      <c r="K6" s="420"/>
      <c r="L6" s="420"/>
      <c r="M6" s="355"/>
      <c r="N6" s="62"/>
      <c r="P6" s="24" t="s">
        <v>14</v>
      </c>
      <c r="Q6" s="463" t="str">
        <f>IF(Q5=0," ",CHOOSE(WEEKDAY(Q5,2),"Понедельник","Вторник","Среда","Четверг","Пятница","Суббота","Воскресенье"))</f>
        <v>Понедельник</v>
      </c>
      <c r="R6" s="296"/>
      <c r="T6" s="385" t="s">
        <v>15</v>
      </c>
      <c r="U6" s="382"/>
      <c r="V6" s="407" t="s">
        <v>16</v>
      </c>
      <c r="W6" s="312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316">
        <f>IFERROR(VLOOKUP(DeliveryAddress,Table,3,0),1)</f>
        <v>1</v>
      </c>
      <c r="E7" s="317"/>
      <c r="F7" s="317"/>
      <c r="G7" s="317"/>
      <c r="H7" s="317"/>
      <c r="I7" s="317"/>
      <c r="J7" s="317"/>
      <c r="K7" s="317"/>
      <c r="L7" s="317"/>
      <c r="M7" s="318"/>
      <c r="N7" s="63"/>
      <c r="P7" s="24"/>
      <c r="Q7" s="43"/>
      <c r="R7" s="43"/>
      <c r="T7" s="293"/>
      <c r="U7" s="382"/>
      <c r="V7" s="408"/>
      <c r="W7" s="409"/>
      <c r="AB7" s="52"/>
      <c r="AC7" s="52"/>
      <c r="AD7" s="52"/>
      <c r="AE7" s="52"/>
    </row>
    <row r="8" spans="1:32" s="272" customFormat="1" ht="25.5" customHeight="1" x14ac:dyDescent="0.2">
      <c r="A8" s="470" t="s">
        <v>17</v>
      </c>
      <c r="B8" s="288"/>
      <c r="C8" s="289"/>
      <c r="D8" s="322"/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18</v>
      </c>
      <c r="Q8" s="361">
        <v>0.375</v>
      </c>
      <c r="R8" s="318"/>
      <c r="T8" s="293"/>
      <c r="U8" s="382"/>
      <c r="V8" s="408"/>
      <c r="W8" s="409"/>
      <c r="AB8" s="52"/>
      <c r="AC8" s="52"/>
      <c r="AD8" s="52"/>
      <c r="AE8" s="52"/>
    </row>
    <row r="9" spans="1:32" s="272" customFormat="1" ht="39.950000000000003" customHeight="1" x14ac:dyDescent="0.2">
      <c r="A9" s="3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67"/>
      <c r="E9" s="291"/>
      <c r="F9" s="3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0"/>
      <c r="P9" s="27" t="s">
        <v>19</v>
      </c>
      <c r="Q9" s="351"/>
      <c r="R9" s="352"/>
      <c r="T9" s="293"/>
      <c r="U9" s="382"/>
      <c r="V9" s="410"/>
      <c r="W9" s="411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67"/>
      <c r="E10" s="291"/>
      <c r="F10" s="3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405" t="str">
        <f>IFERROR(VLOOKUP($D$10,Proxy,2,FALSE),"")</f>
        <v/>
      </c>
      <c r="I10" s="293"/>
      <c r="J10" s="293"/>
      <c r="K10" s="293"/>
      <c r="L10" s="293"/>
      <c r="M10" s="293"/>
      <c r="N10" s="271"/>
      <c r="P10" s="27" t="s">
        <v>20</v>
      </c>
      <c r="Q10" s="386"/>
      <c r="R10" s="387"/>
      <c r="U10" s="24" t="s">
        <v>21</v>
      </c>
      <c r="V10" s="311" t="s">
        <v>22</v>
      </c>
      <c r="W10" s="312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4"/>
      <c r="R11" s="355"/>
      <c r="U11" s="24" t="s">
        <v>25</v>
      </c>
      <c r="V11" s="432" t="s">
        <v>26</v>
      </c>
      <c r="W11" s="352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79" t="s">
        <v>27</v>
      </c>
      <c r="B12" s="329"/>
      <c r="C12" s="329"/>
      <c r="D12" s="329"/>
      <c r="E12" s="329"/>
      <c r="F12" s="329"/>
      <c r="G12" s="329"/>
      <c r="H12" s="329"/>
      <c r="I12" s="329"/>
      <c r="J12" s="329"/>
      <c r="K12" s="329"/>
      <c r="L12" s="329"/>
      <c r="M12" s="330"/>
      <c r="N12" s="65"/>
      <c r="P12" s="24" t="s">
        <v>28</v>
      </c>
      <c r="Q12" s="361"/>
      <c r="R12" s="318"/>
      <c r="S12" s="25"/>
      <c r="U12" s="24"/>
      <c r="V12" s="303"/>
      <c r="W12" s="293"/>
      <c r="AB12" s="52"/>
      <c r="AC12" s="52"/>
      <c r="AD12" s="52"/>
      <c r="AE12" s="52"/>
    </row>
    <row r="13" spans="1:32" s="272" customFormat="1" ht="23.25" customHeight="1" x14ac:dyDescent="0.2">
      <c r="A13" s="379" t="s">
        <v>29</v>
      </c>
      <c r="B13" s="329"/>
      <c r="C13" s="329"/>
      <c r="D13" s="329"/>
      <c r="E13" s="329"/>
      <c r="F13" s="329"/>
      <c r="G13" s="329"/>
      <c r="H13" s="329"/>
      <c r="I13" s="329"/>
      <c r="J13" s="329"/>
      <c r="K13" s="329"/>
      <c r="L13" s="329"/>
      <c r="M13" s="330"/>
      <c r="N13" s="65"/>
      <c r="O13" s="27"/>
      <c r="P13" s="27" t="s">
        <v>30</v>
      </c>
      <c r="Q13" s="432"/>
      <c r="R13" s="352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79" t="s">
        <v>31</v>
      </c>
      <c r="B14" s="329"/>
      <c r="C14" s="329"/>
      <c r="D14" s="329"/>
      <c r="E14" s="329"/>
      <c r="F14" s="329"/>
      <c r="G14" s="329"/>
      <c r="H14" s="329"/>
      <c r="I14" s="329"/>
      <c r="J14" s="329"/>
      <c r="K14" s="329"/>
      <c r="L14" s="329"/>
      <c r="M14" s="330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5" t="s">
        <v>32</v>
      </c>
      <c r="B15" s="329"/>
      <c r="C15" s="329"/>
      <c r="D15" s="329"/>
      <c r="E15" s="329"/>
      <c r="F15" s="329"/>
      <c r="G15" s="329"/>
      <c r="H15" s="329"/>
      <c r="I15" s="329"/>
      <c r="J15" s="329"/>
      <c r="K15" s="329"/>
      <c r="L15" s="329"/>
      <c r="M15" s="330"/>
      <c r="N15" s="66"/>
      <c r="P15" s="372" t="s">
        <v>33</v>
      </c>
      <c r="Q15" s="303"/>
      <c r="R15" s="303"/>
      <c r="S15" s="303"/>
      <c r="T15" s="303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3"/>
      <c r="Q16" s="373"/>
      <c r="R16" s="373"/>
      <c r="S16" s="373"/>
      <c r="T16" s="373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7" t="s">
        <v>34</v>
      </c>
      <c r="B17" s="307" t="s">
        <v>35</v>
      </c>
      <c r="C17" s="364" t="s">
        <v>36</v>
      </c>
      <c r="D17" s="307" t="s">
        <v>37</v>
      </c>
      <c r="E17" s="345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44"/>
      <c r="R17" s="344"/>
      <c r="S17" s="344"/>
      <c r="T17" s="345"/>
      <c r="U17" s="469" t="s">
        <v>49</v>
      </c>
      <c r="V17" s="330"/>
      <c r="W17" s="307" t="s">
        <v>50</v>
      </c>
      <c r="X17" s="307" t="s">
        <v>51</v>
      </c>
      <c r="Y17" s="467" t="s">
        <v>52</v>
      </c>
      <c r="Z17" s="415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6"/>
      <c r="E18" s="348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6"/>
      <c r="Q18" s="347"/>
      <c r="R18" s="347"/>
      <c r="S18" s="347"/>
      <c r="T18" s="348"/>
      <c r="U18" s="70" t="s">
        <v>59</v>
      </c>
      <c r="V18" s="70" t="s">
        <v>60</v>
      </c>
      <c r="W18" s="308"/>
      <c r="X18" s="308"/>
      <c r="Y18" s="468"/>
      <c r="Z18" s="416"/>
      <c r="AA18" s="404"/>
      <c r="AB18" s="404"/>
      <c r="AC18" s="404"/>
      <c r="AD18" s="448"/>
      <c r="AE18" s="449"/>
      <c r="AF18" s="450"/>
      <c r="AG18" s="69"/>
      <c r="BD18" s="68"/>
    </row>
    <row r="19" spans="1:68" ht="27.75" customHeight="1" x14ac:dyDescent="0.2">
      <c r="A19" s="362" t="s">
        <v>61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 s="363"/>
      <c r="P19" s="363"/>
      <c r="Q19" s="363"/>
      <c r="R19" s="363"/>
      <c r="S19" s="363"/>
      <c r="T19" s="363"/>
      <c r="U19" s="363"/>
      <c r="V19" s="363"/>
      <c r="W19" s="363"/>
      <c r="X19" s="363"/>
      <c r="Y19" s="363"/>
      <c r="Z19" s="363"/>
      <c r="AA19" s="49"/>
      <c r="AB19" s="49"/>
      <c r="AC19" s="49"/>
    </row>
    <row r="20" spans="1:68" ht="16.5" customHeight="1" x14ac:dyDescent="0.25">
      <c r="A20" s="310" t="s">
        <v>61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73"/>
      <c r="AB20" s="273"/>
      <c r="AC20" s="273"/>
    </row>
    <row r="21" spans="1:68" ht="14.25" customHeight="1" x14ac:dyDescent="0.25">
      <c r="A21" s="304" t="s">
        <v>62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74"/>
      <c r="AB21" s="274"/>
      <c r="AC21" s="274"/>
    </row>
    <row r="22" spans="1:68" ht="27" customHeight="1" x14ac:dyDescent="0.25">
      <c r="A22" s="54" t="s">
        <v>63</v>
      </c>
      <c r="B22" s="54" t="s">
        <v>64</v>
      </c>
      <c r="C22" s="32">
        <v>4301071113</v>
      </c>
      <c r="D22" s="295">
        <v>4620207491508</v>
      </c>
      <c r="E22" s="296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5">
        <v>4620207491256</v>
      </c>
      <c r="E23" s="296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5"/>
      <c r="V23" s="35"/>
      <c r="W23" s="36" t="s">
        <v>68</v>
      </c>
      <c r="X23" s="278">
        <v>48</v>
      </c>
      <c r="Y23" s="279">
        <f t="shared" si="0"/>
        <v>48</v>
      </c>
      <c r="Z23" s="37">
        <f t="shared" si="1"/>
        <v>0.74399999999999999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318.24</v>
      </c>
      <c r="BN23" s="67">
        <f t="shared" si="3"/>
        <v>318.24</v>
      </c>
      <c r="BO23" s="67">
        <f t="shared" si="4"/>
        <v>0.5714285714285714</v>
      </c>
      <c r="BP23" s="67">
        <f t="shared" si="5"/>
        <v>0.5714285714285714</v>
      </c>
    </row>
    <row r="24" spans="1:68" ht="27" customHeight="1" x14ac:dyDescent="0.25">
      <c r="A24" s="54" t="s">
        <v>73</v>
      </c>
      <c r="B24" s="54" t="s">
        <v>74</v>
      </c>
      <c r="C24" s="32">
        <v>4301071135</v>
      </c>
      <c r="D24" s="295">
        <v>4620207491713</v>
      </c>
      <c r="E24" s="296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8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2">
        <v>4301071134</v>
      </c>
      <c r="D25" s="295">
        <v>4620207491720</v>
      </c>
      <c r="E25" s="296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2">
        <v>4301071108</v>
      </c>
      <c r="D26" s="295">
        <v>4607111035912</v>
      </c>
      <c r="E26" s="296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95">
        <v>4607111035929</v>
      </c>
      <c r="E27" s="296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5"/>
      <c r="V27" s="35"/>
      <c r="W27" s="36" t="s">
        <v>68</v>
      </c>
      <c r="X27" s="278">
        <v>12</v>
      </c>
      <c r="Y27" s="279">
        <f t="shared" si="0"/>
        <v>12</v>
      </c>
      <c r="Z27" s="37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customHeight="1" x14ac:dyDescent="0.25">
      <c r="A28" s="54" t="s">
        <v>83</v>
      </c>
      <c r="B28" s="54" t="s">
        <v>84</v>
      </c>
      <c r="C28" s="32">
        <v>4301071106</v>
      </c>
      <c r="D28" s="295">
        <v>4607111035882</v>
      </c>
      <c r="E28" s="296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2">
        <v>4301071107</v>
      </c>
      <c r="D29" s="295">
        <v>4607111035905</v>
      </c>
      <c r="E29" s="296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1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5"/>
      <c r="V29" s="35"/>
      <c r="W29" s="36" t="s">
        <v>68</v>
      </c>
      <c r="X29" s="278">
        <v>0</v>
      </c>
      <c r="Y29" s="279">
        <f t="shared" si="0"/>
        <v>0</v>
      </c>
      <c r="Z29" s="37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2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4"/>
      <c r="P30" s="287" t="s">
        <v>87</v>
      </c>
      <c r="Q30" s="288"/>
      <c r="R30" s="288"/>
      <c r="S30" s="288"/>
      <c r="T30" s="288"/>
      <c r="U30" s="288"/>
      <c r="V30" s="289"/>
      <c r="W30" s="38" t="s">
        <v>68</v>
      </c>
      <c r="X30" s="280">
        <f>IFERROR(SUM(X22:X29),"0")</f>
        <v>60</v>
      </c>
      <c r="Y30" s="280">
        <f>IFERROR(SUM(Y22:Y29),"0")</f>
        <v>60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0.92999999999999994</v>
      </c>
      <c r="AA30" s="281"/>
      <c r="AB30" s="281"/>
      <c r="AC30" s="281"/>
    </row>
    <row r="31" spans="1:68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4"/>
      <c r="P31" s="287" t="s">
        <v>87</v>
      </c>
      <c r="Q31" s="288"/>
      <c r="R31" s="288"/>
      <c r="S31" s="288"/>
      <c r="T31" s="288"/>
      <c r="U31" s="288"/>
      <c r="V31" s="289"/>
      <c r="W31" s="38" t="s">
        <v>88</v>
      </c>
      <c r="X31" s="280">
        <f>IFERROR(SUMPRODUCT(X22:X29*H22:H29),"0")</f>
        <v>393.6</v>
      </c>
      <c r="Y31" s="280">
        <f>IFERROR(SUMPRODUCT(Y22:Y29*H22:H29),"0")</f>
        <v>393.6</v>
      </c>
      <c r="Z31" s="38"/>
      <c r="AA31" s="281"/>
      <c r="AB31" s="281"/>
      <c r="AC31" s="281"/>
    </row>
    <row r="32" spans="1:68" ht="16.5" customHeight="1" x14ac:dyDescent="0.25">
      <c r="A32" s="310" t="s">
        <v>89</v>
      </c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73"/>
      <c r="AB32" s="273"/>
      <c r="AC32" s="273"/>
    </row>
    <row r="33" spans="1:68" ht="14.25" customHeight="1" x14ac:dyDescent="0.25">
      <c r="A33" s="304" t="s">
        <v>62</v>
      </c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74"/>
      <c r="AB33" s="274"/>
      <c r="AC33" s="274"/>
    </row>
    <row r="34" spans="1:68" ht="16.5" customHeight="1" x14ac:dyDescent="0.25">
      <c r="A34" s="54" t="s">
        <v>90</v>
      </c>
      <c r="B34" s="54" t="s">
        <v>91</v>
      </c>
      <c r="C34" s="32">
        <v>4301071099</v>
      </c>
      <c r="D34" s="295">
        <v>4607111039019</v>
      </c>
      <c r="E34" s="296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2">
        <v>4301071100</v>
      </c>
      <c r="D35" s="295">
        <v>4607111038708</v>
      </c>
      <c r="E35" s="296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92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4"/>
      <c r="P36" s="287" t="s">
        <v>87</v>
      </c>
      <c r="Q36" s="288"/>
      <c r="R36" s="288"/>
      <c r="S36" s="288"/>
      <c r="T36" s="288"/>
      <c r="U36" s="288"/>
      <c r="V36" s="289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x14ac:dyDescent="0.2">
      <c r="A37" s="293"/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4"/>
      <c r="P37" s="287" t="s">
        <v>87</v>
      </c>
      <c r="Q37" s="288"/>
      <c r="R37" s="288"/>
      <c r="S37" s="288"/>
      <c r="T37" s="288"/>
      <c r="U37" s="288"/>
      <c r="V37" s="289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customHeight="1" x14ac:dyDescent="0.2">
      <c r="A38" s="362" t="s">
        <v>95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49"/>
      <c r="AB38" s="49"/>
      <c r="AC38" s="49"/>
    </row>
    <row r="39" spans="1:68" ht="16.5" customHeight="1" x14ac:dyDescent="0.25">
      <c r="A39" s="310" t="s">
        <v>96</v>
      </c>
      <c r="B39" s="293"/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73"/>
      <c r="AB39" s="273"/>
      <c r="AC39" s="273"/>
    </row>
    <row r="40" spans="1:68" ht="14.25" customHeight="1" x14ac:dyDescent="0.25">
      <c r="A40" s="304" t="s">
        <v>97</v>
      </c>
      <c r="B40" s="293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95">
        <v>4607111036537</v>
      </c>
      <c r="E41" s="296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5"/>
      <c r="V41" s="35"/>
      <c r="W41" s="36" t="s">
        <v>68</v>
      </c>
      <c r="X41" s="278">
        <v>98</v>
      </c>
      <c r="Y41" s="279">
        <f>IFERROR(IF(X41="","",X41),"")</f>
        <v>98</v>
      </c>
      <c r="Z41" s="37">
        <f>IFERROR(IF(X41="","",X41*0.00941),"")</f>
        <v>0.92218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188.3364</v>
      </c>
      <c r="BN41" s="67">
        <f>IFERROR(Y41*I41,"0")</f>
        <v>188.3364</v>
      </c>
      <c r="BO41" s="67">
        <f>IFERROR(X41/J41,"0")</f>
        <v>0.7</v>
      </c>
      <c r="BP41" s="67">
        <f>IFERROR(Y41/J41,"0")</f>
        <v>0.7</v>
      </c>
    </row>
    <row r="42" spans="1:68" ht="27" customHeight="1" x14ac:dyDescent="0.25">
      <c r="A42" s="54" t="s">
        <v>105</v>
      </c>
      <c r="B42" s="54" t="s">
        <v>106</v>
      </c>
      <c r="C42" s="32">
        <v>4301132188</v>
      </c>
      <c r="D42" s="295">
        <v>4607111036605</v>
      </c>
      <c r="E42" s="296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3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5"/>
      <c r="V42" s="35"/>
      <c r="W42" s="36" t="s">
        <v>68</v>
      </c>
      <c r="X42" s="278">
        <v>168</v>
      </c>
      <c r="Y42" s="279">
        <f>IFERROR(IF(X42="","",X42),"")</f>
        <v>168</v>
      </c>
      <c r="Z42" s="37">
        <f>IFERROR(IF(X42="","",X42*0.00941),"")</f>
        <v>1.5808800000000001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322.86239999999998</v>
      </c>
      <c r="BN42" s="67">
        <f>IFERROR(Y42*I42,"0")</f>
        <v>322.86239999999998</v>
      </c>
      <c r="BO42" s="67">
        <f>IFERROR(X42/J42,"0")</f>
        <v>1.2</v>
      </c>
      <c r="BP42" s="67">
        <f>IFERROR(Y42/J42,"0")</f>
        <v>1.2</v>
      </c>
    </row>
    <row r="43" spans="1:68" x14ac:dyDescent="0.2">
      <c r="A43" s="292"/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4"/>
      <c r="P43" s="287" t="s">
        <v>87</v>
      </c>
      <c r="Q43" s="288"/>
      <c r="R43" s="288"/>
      <c r="S43" s="288"/>
      <c r="T43" s="288"/>
      <c r="U43" s="288"/>
      <c r="V43" s="289"/>
      <c r="W43" s="38" t="s">
        <v>68</v>
      </c>
      <c r="X43" s="280">
        <f>IFERROR(SUM(X41:X42),"0")</f>
        <v>266</v>
      </c>
      <c r="Y43" s="280">
        <f>IFERROR(SUM(Y41:Y42),"0")</f>
        <v>266</v>
      </c>
      <c r="Z43" s="280">
        <f>IFERROR(IF(Z41="",0,Z41),"0")+IFERROR(IF(Z42="",0,Z42),"0")</f>
        <v>2.5030600000000001</v>
      </c>
      <c r="AA43" s="281"/>
      <c r="AB43" s="281"/>
      <c r="AC43" s="281"/>
    </row>
    <row r="44" spans="1:68" x14ac:dyDescent="0.2">
      <c r="A44" s="293"/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4"/>
      <c r="P44" s="287" t="s">
        <v>87</v>
      </c>
      <c r="Q44" s="288"/>
      <c r="R44" s="288"/>
      <c r="S44" s="288"/>
      <c r="T44" s="288"/>
      <c r="U44" s="288"/>
      <c r="V44" s="289"/>
      <c r="W44" s="38" t="s">
        <v>88</v>
      </c>
      <c r="X44" s="280">
        <f>IFERROR(SUMPRODUCT(X41:X42*H41:H42),"0")</f>
        <v>399</v>
      </c>
      <c r="Y44" s="280">
        <f>IFERROR(SUMPRODUCT(Y41:Y42*H41:H42),"0")</f>
        <v>399</v>
      </c>
      <c r="Z44" s="38"/>
      <c r="AA44" s="281"/>
      <c r="AB44" s="281"/>
      <c r="AC44" s="281"/>
    </row>
    <row r="45" spans="1:68" ht="16.5" customHeight="1" x14ac:dyDescent="0.25">
      <c r="A45" s="310" t="s">
        <v>107</v>
      </c>
      <c r="B45" s="293"/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73"/>
      <c r="AB45" s="273"/>
      <c r="AC45" s="273"/>
    </row>
    <row r="46" spans="1:68" ht="14.25" customHeight="1" x14ac:dyDescent="0.25">
      <c r="A46" s="304" t="s">
        <v>62</v>
      </c>
      <c r="B46" s="293"/>
      <c r="C46" s="293"/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5">
        <v>4620207490075</v>
      </c>
      <c r="E47" s="296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5"/>
      <c r="V47" s="35"/>
      <c r="W47" s="36" t="s">
        <v>68</v>
      </c>
      <c r="X47" s="278">
        <v>0</v>
      </c>
      <c r="Y47" s="279">
        <f>IFERROR(IF(X47="","",X47),"")</f>
        <v>0</v>
      </c>
      <c r="Z47" s="37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95">
        <v>4620207490174</v>
      </c>
      <c r="E48" s="296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2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5"/>
      <c r="V48" s="35"/>
      <c r="W48" s="36" t="s">
        <v>68</v>
      </c>
      <c r="X48" s="278">
        <v>24</v>
      </c>
      <c r="Y48" s="279">
        <f>IFERROR(IF(X48="","",X48),"")</f>
        <v>24</v>
      </c>
      <c r="Z48" s="37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x14ac:dyDescent="0.2">
      <c r="A49" s="292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4"/>
      <c r="P49" s="287" t="s">
        <v>87</v>
      </c>
      <c r="Q49" s="288"/>
      <c r="R49" s="288"/>
      <c r="S49" s="288"/>
      <c r="T49" s="288"/>
      <c r="U49" s="288"/>
      <c r="V49" s="289"/>
      <c r="W49" s="38" t="s">
        <v>68</v>
      </c>
      <c r="X49" s="280">
        <f>IFERROR(SUM(X47:X48),"0")</f>
        <v>24</v>
      </c>
      <c r="Y49" s="280">
        <f>IFERROR(SUM(Y47:Y48),"0")</f>
        <v>24</v>
      </c>
      <c r="Z49" s="280">
        <f>IFERROR(IF(Z47="",0,Z47),"0")+IFERROR(IF(Z48="",0,Z48),"0")</f>
        <v>0.372</v>
      </c>
      <c r="AA49" s="281"/>
      <c r="AB49" s="281"/>
      <c r="AC49" s="281"/>
    </row>
    <row r="50" spans="1:68" x14ac:dyDescent="0.2">
      <c r="A50" s="293"/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4"/>
      <c r="P50" s="287" t="s">
        <v>87</v>
      </c>
      <c r="Q50" s="288"/>
      <c r="R50" s="288"/>
      <c r="S50" s="288"/>
      <c r="T50" s="288"/>
      <c r="U50" s="288"/>
      <c r="V50" s="289"/>
      <c r="W50" s="38" t="s">
        <v>88</v>
      </c>
      <c r="X50" s="280">
        <f>IFERROR(SUMPRODUCT(X47:X48*H47:H48),"0")</f>
        <v>134.39999999999998</v>
      </c>
      <c r="Y50" s="280">
        <f>IFERROR(SUMPRODUCT(Y47:Y48*H47:H48),"0")</f>
        <v>134.39999999999998</v>
      </c>
      <c r="Z50" s="38"/>
      <c r="AA50" s="281"/>
      <c r="AB50" s="281"/>
      <c r="AC50" s="281"/>
    </row>
    <row r="51" spans="1:68" ht="16.5" customHeight="1" x14ac:dyDescent="0.25">
      <c r="A51" s="310" t="s">
        <v>114</v>
      </c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73"/>
      <c r="AB51" s="273"/>
      <c r="AC51" s="273"/>
    </row>
    <row r="52" spans="1:68" ht="14.25" customHeight="1" x14ac:dyDescent="0.25">
      <c r="A52" s="304" t="s">
        <v>62</v>
      </c>
      <c r="B52" s="293"/>
      <c r="C52" s="293"/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  <c r="AA52" s="274"/>
      <c r="AB52" s="274"/>
      <c r="AC52" s="274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5">
        <v>4607111039385</v>
      </c>
      <c r="E53" s="296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3"/>
      <c r="R53" s="283"/>
      <c r="S53" s="283"/>
      <c r="T53" s="284"/>
      <c r="U53" s="35"/>
      <c r="V53" s="35"/>
      <c r="W53" s="36" t="s">
        <v>68</v>
      </c>
      <c r="X53" s="278">
        <v>24</v>
      </c>
      <c r="Y53" s="279">
        <f>IFERROR(IF(X53="","",X53),"")</f>
        <v>24</v>
      </c>
      <c r="Z53" s="37">
        <f>IFERROR(IF(X53="","",X53*0.0155),"")</f>
        <v>0.372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175.2</v>
      </c>
      <c r="BN53" s="67">
        <f>IFERROR(Y53*I53,"0")</f>
        <v>175.2</v>
      </c>
      <c r="BO53" s="67">
        <f>IFERROR(X53/J53,"0")</f>
        <v>0.2857142857142857</v>
      </c>
      <c r="BP53" s="67">
        <f>IFERROR(Y53/J53,"0")</f>
        <v>0.2857142857142857</v>
      </c>
    </row>
    <row r="54" spans="1:68" ht="27" customHeight="1" x14ac:dyDescent="0.25">
      <c r="A54" s="54" t="s">
        <v>118</v>
      </c>
      <c r="B54" s="54" t="s">
        <v>119</v>
      </c>
      <c r="C54" s="32">
        <v>4301071031</v>
      </c>
      <c r="D54" s="295">
        <v>4607111038982</v>
      </c>
      <c r="E54" s="296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3"/>
      <c r="R54" s="283"/>
      <c r="S54" s="283"/>
      <c r="T54" s="284"/>
      <c r="U54" s="35"/>
      <c r="V54" s="35"/>
      <c r="W54" s="36" t="s">
        <v>68</v>
      </c>
      <c r="X54" s="278">
        <v>0</v>
      </c>
      <c r="Y54" s="279">
        <f>IFERROR(IF(X54="","",X54),"")</f>
        <v>0</v>
      </c>
      <c r="Z54" s="37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2">
        <v>4301071046</v>
      </c>
      <c r="D55" s="295">
        <v>4607111039354</v>
      </c>
      <c r="E55" s="296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3"/>
      <c r="R55" s="283"/>
      <c r="S55" s="283"/>
      <c r="T55" s="284"/>
      <c r="U55" s="35"/>
      <c r="V55" s="35"/>
      <c r="W55" s="36" t="s">
        <v>68</v>
      </c>
      <c r="X55" s="278">
        <v>48</v>
      </c>
      <c r="Y55" s="279">
        <f>IFERROR(IF(X55="","",X55),"")</f>
        <v>48</v>
      </c>
      <c r="Z55" s="37">
        <f>IFERROR(IF(X55="","",X55*0.0155),"")</f>
        <v>0.74399999999999999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322.54079999999999</v>
      </c>
      <c r="BN55" s="67">
        <f>IFERROR(Y55*I55,"0")</f>
        <v>322.54079999999999</v>
      </c>
      <c r="BO55" s="67">
        <f>IFERROR(X55/J55,"0")</f>
        <v>0.5714285714285714</v>
      </c>
      <c r="BP55" s="67">
        <f>IFERROR(Y55/J55,"0")</f>
        <v>0.5714285714285714</v>
      </c>
    </row>
    <row r="56" spans="1:68" ht="27" customHeight="1" x14ac:dyDescent="0.25">
      <c r="A56" s="54" t="s">
        <v>123</v>
      </c>
      <c r="B56" s="54" t="s">
        <v>124</v>
      </c>
      <c r="C56" s="32">
        <v>4301071047</v>
      </c>
      <c r="D56" s="295">
        <v>4607111039330</v>
      </c>
      <c r="E56" s="296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3"/>
      <c r="R56" s="283"/>
      <c r="S56" s="283"/>
      <c r="T56" s="284"/>
      <c r="U56" s="35"/>
      <c r="V56" s="35"/>
      <c r="W56" s="36" t="s">
        <v>68</v>
      </c>
      <c r="X56" s="278">
        <v>0</v>
      </c>
      <c r="Y56" s="279">
        <f>IFERROR(IF(X56="","",X56),"")</f>
        <v>0</v>
      </c>
      <c r="Z56" s="37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92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4"/>
      <c r="P57" s="287" t="s">
        <v>87</v>
      </c>
      <c r="Q57" s="288"/>
      <c r="R57" s="288"/>
      <c r="S57" s="288"/>
      <c r="T57" s="288"/>
      <c r="U57" s="288"/>
      <c r="V57" s="289"/>
      <c r="W57" s="38" t="s">
        <v>68</v>
      </c>
      <c r="X57" s="280">
        <f>IFERROR(SUM(X53:X56),"0")</f>
        <v>72</v>
      </c>
      <c r="Y57" s="280">
        <f>IFERROR(SUM(Y53:Y56),"0")</f>
        <v>72</v>
      </c>
      <c r="Z57" s="280">
        <f>IFERROR(IF(Z53="",0,Z53),"0")+IFERROR(IF(Z54="",0,Z54),"0")+IFERROR(IF(Z55="",0,Z55),"0")+IFERROR(IF(Z56="",0,Z56),"0")</f>
        <v>1.1160000000000001</v>
      </c>
      <c r="AA57" s="281"/>
      <c r="AB57" s="281"/>
      <c r="AC57" s="281"/>
    </row>
    <row r="58" spans="1:68" x14ac:dyDescent="0.2">
      <c r="A58" s="293"/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4"/>
      <c r="P58" s="287" t="s">
        <v>87</v>
      </c>
      <c r="Q58" s="288"/>
      <c r="R58" s="288"/>
      <c r="S58" s="288"/>
      <c r="T58" s="288"/>
      <c r="U58" s="288"/>
      <c r="V58" s="289"/>
      <c r="W58" s="38" t="s">
        <v>88</v>
      </c>
      <c r="X58" s="280">
        <f>IFERROR(SUMPRODUCT(X53:X56*H53:H56),"0")</f>
        <v>475.20000000000005</v>
      </c>
      <c r="Y58" s="280">
        <f>IFERROR(SUMPRODUCT(Y53:Y56*H53:H56),"0")</f>
        <v>475.20000000000005</v>
      </c>
      <c r="Z58" s="38"/>
      <c r="AA58" s="281"/>
      <c r="AB58" s="281"/>
      <c r="AC58" s="281"/>
    </row>
    <row r="59" spans="1:68" ht="16.5" customHeight="1" x14ac:dyDescent="0.25">
      <c r="A59" s="310" t="s">
        <v>125</v>
      </c>
      <c r="B59" s="293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73"/>
      <c r="AB59" s="273"/>
      <c r="AC59" s="273"/>
    </row>
    <row r="60" spans="1:68" ht="14.25" customHeight="1" x14ac:dyDescent="0.25">
      <c r="A60" s="304" t="s">
        <v>97</v>
      </c>
      <c r="B60" s="293"/>
      <c r="C60" s="293"/>
      <c r="D60" s="293"/>
      <c r="E60" s="293"/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  <c r="AA60" s="274"/>
      <c r="AB60" s="274"/>
      <c r="AC60" s="274"/>
    </row>
    <row r="61" spans="1:68" ht="27" customHeight="1" x14ac:dyDescent="0.25">
      <c r="A61" s="54" t="s">
        <v>126</v>
      </c>
      <c r="B61" s="54" t="s">
        <v>127</v>
      </c>
      <c r="C61" s="32">
        <v>4301132194</v>
      </c>
      <c r="D61" s="295">
        <v>4607111039712</v>
      </c>
      <c r="E61" s="296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2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3"/>
      <c r="R61" s="283"/>
      <c r="S61" s="283"/>
      <c r="T61" s="284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x14ac:dyDescent="0.2">
      <c r="A62" s="292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4"/>
      <c r="P62" s="287" t="s">
        <v>87</v>
      </c>
      <c r="Q62" s="288"/>
      <c r="R62" s="288"/>
      <c r="S62" s="288"/>
      <c r="T62" s="288"/>
      <c r="U62" s="288"/>
      <c r="V62" s="289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x14ac:dyDescent="0.2">
      <c r="A63" s="293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4"/>
      <c r="P63" s="287" t="s">
        <v>87</v>
      </c>
      <c r="Q63" s="288"/>
      <c r="R63" s="288"/>
      <c r="S63" s="288"/>
      <c r="T63" s="288"/>
      <c r="U63" s="288"/>
      <c r="V63" s="289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customHeight="1" x14ac:dyDescent="0.25">
      <c r="A64" s="304" t="s">
        <v>129</v>
      </c>
      <c r="B64" s="293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  <c r="AA64" s="274"/>
      <c r="AB64" s="274"/>
      <c r="AC64" s="274"/>
    </row>
    <row r="65" spans="1:68" ht="16.5" customHeight="1" x14ac:dyDescent="0.25">
      <c r="A65" s="54" t="s">
        <v>130</v>
      </c>
      <c r="B65" s="54" t="s">
        <v>131</v>
      </c>
      <c r="C65" s="32">
        <v>4301136018</v>
      </c>
      <c r="D65" s="295">
        <v>4607111037008</v>
      </c>
      <c r="E65" s="296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6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3"/>
      <c r="R65" s="283"/>
      <c r="S65" s="283"/>
      <c r="T65" s="284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customHeight="1" x14ac:dyDescent="0.25">
      <c r="A66" s="54" t="s">
        <v>133</v>
      </c>
      <c r="B66" s="54" t="s">
        <v>134</v>
      </c>
      <c r="C66" s="32">
        <v>4301136015</v>
      </c>
      <c r="D66" s="295">
        <v>4607111037398</v>
      </c>
      <c r="E66" s="296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3"/>
      <c r="R66" s="283"/>
      <c r="S66" s="283"/>
      <c r="T66" s="284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92"/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4"/>
      <c r="P67" s="287" t="s">
        <v>87</v>
      </c>
      <c r="Q67" s="288"/>
      <c r="R67" s="288"/>
      <c r="S67" s="288"/>
      <c r="T67" s="288"/>
      <c r="U67" s="288"/>
      <c r="V67" s="289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x14ac:dyDescent="0.2">
      <c r="A68" s="293"/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294"/>
      <c r="P68" s="287" t="s">
        <v>87</v>
      </c>
      <c r="Q68" s="288"/>
      <c r="R68" s="288"/>
      <c r="S68" s="288"/>
      <c r="T68" s="288"/>
      <c r="U68" s="288"/>
      <c r="V68" s="289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customHeight="1" x14ac:dyDescent="0.25">
      <c r="A69" s="304" t="s">
        <v>135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74"/>
      <c r="AB69" s="274"/>
      <c r="AC69" s="274"/>
    </row>
    <row r="70" spans="1:68" ht="27" customHeight="1" x14ac:dyDescent="0.25">
      <c r="A70" s="54" t="s">
        <v>136</v>
      </c>
      <c r="B70" s="54" t="s">
        <v>137</v>
      </c>
      <c r="C70" s="32">
        <v>4301135664</v>
      </c>
      <c r="D70" s="295">
        <v>4607111039705</v>
      </c>
      <c r="E70" s="296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6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3"/>
      <c r="R70" s="283"/>
      <c r="S70" s="283"/>
      <c r="T70" s="284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138</v>
      </c>
      <c r="B71" s="54" t="s">
        <v>139</v>
      </c>
      <c r="C71" s="32">
        <v>4301135665</v>
      </c>
      <c r="D71" s="295">
        <v>4607111039729</v>
      </c>
      <c r="E71" s="296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3"/>
      <c r="R71" s="283"/>
      <c r="S71" s="283"/>
      <c r="T71" s="284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141</v>
      </c>
      <c r="B72" s="54" t="s">
        <v>142</v>
      </c>
      <c r="C72" s="32">
        <v>4301135702</v>
      </c>
      <c r="D72" s="295">
        <v>4620207490228</v>
      </c>
      <c r="E72" s="296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5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3"/>
      <c r="R72" s="283"/>
      <c r="S72" s="283"/>
      <c r="T72" s="284"/>
      <c r="U72" s="35"/>
      <c r="V72" s="35"/>
      <c r="W72" s="36" t="s">
        <v>68</v>
      </c>
      <c r="X72" s="278">
        <v>0</v>
      </c>
      <c r="Y72" s="279">
        <f>IFERROR(IF(X72="","",X72),"")</f>
        <v>0</v>
      </c>
      <c r="Z72" s="37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x14ac:dyDescent="0.2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4"/>
      <c r="P73" s="287" t="s">
        <v>87</v>
      </c>
      <c r="Q73" s="288"/>
      <c r="R73" s="288"/>
      <c r="S73" s="288"/>
      <c r="T73" s="288"/>
      <c r="U73" s="288"/>
      <c r="V73" s="289"/>
      <c r="W73" s="38" t="s">
        <v>68</v>
      </c>
      <c r="X73" s="280">
        <f>IFERROR(SUM(X70:X72),"0")</f>
        <v>0</v>
      </c>
      <c r="Y73" s="280">
        <f>IFERROR(SUM(Y70:Y72),"0")</f>
        <v>0</v>
      </c>
      <c r="Z73" s="280">
        <f>IFERROR(IF(Z70="",0,Z70),"0")+IFERROR(IF(Z71="",0,Z71),"0")+IFERROR(IF(Z72="",0,Z72),"0")</f>
        <v>0</v>
      </c>
      <c r="AA73" s="281"/>
      <c r="AB73" s="281"/>
      <c r="AC73" s="281"/>
    </row>
    <row r="74" spans="1:68" x14ac:dyDescent="0.2">
      <c r="A74" s="293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294"/>
      <c r="P74" s="287" t="s">
        <v>87</v>
      </c>
      <c r="Q74" s="288"/>
      <c r="R74" s="288"/>
      <c r="S74" s="288"/>
      <c r="T74" s="288"/>
      <c r="U74" s="288"/>
      <c r="V74" s="289"/>
      <c r="W74" s="38" t="s">
        <v>88</v>
      </c>
      <c r="X74" s="280">
        <f>IFERROR(SUMPRODUCT(X70:X72*H70:H72),"0")</f>
        <v>0</v>
      </c>
      <c r="Y74" s="280">
        <f>IFERROR(SUMPRODUCT(Y70:Y72*H70:H72),"0")</f>
        <v>0</v>
      </c>
      <c r="Z74" s="38"/>
      <c r="AA74" s="281"/>
      <c r="AB74" s="281"/>
      <c r="AC74" s="281"/>
    </row>
    <row r="75" spans="1:68" ht="16.5" customHeight="1" x14ac:dyDescent="0.25">
      <c r="A75" s="310" t="s">
        <v>143</v>
      </c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  <c r="AA75" s="273"/>
      <c r="AB75" s="273"/>
      <c r="AC75" s="273"/>
    </row>
    <row r="76" spans="1:68" ht="14.25" customHeight="1" x14ac:dyDescent="0.25">
      <c r="A76" s="304" t="s">
        <v>62</v>
      </c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74"/>
      <c r="AB76" s="274"/>
      <c r="AC76" s="274"/>
    </row>
    <row r="77" spans="1:68" ht="27" customHeight="1" x14ac:dyDescent="0.25">
      <c r="A77" s="54" t="s">
        <v>144</v>
      </c>
      <c r="B77" s="54" t="s">
        <v>145</v>
      </c>
      <c r="C77" s="32">
        <v>4301070977</v>
      </c>
      <c r="D77" s="295">
        <v>4607111037411</v>
      </c>
      <c r="E77" s="296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3"/>
      <c r="R77" s="283"/>
      <c r="S77" s="283"/>
      <c r="T77" s="284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5">
        <v>4607111036728</v>
      </c>
      <c r="E78" s="296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5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3"/>
      <c r="R78" s="283"/>
      <c r="S78" s="283"/>
      <c r="T78" s="284"/>
      <c r="U78" s="35"/>
      <c r="V78" s="35"/>
      <c r="W78" s="36" t="s">
        <v>68</v>
      </c>
      <c r="X78" s="278">
        <v>84</v>
      </c>
      <c r="Y78" s="279">
        <f>IFERROR(IF(X78="","",X78),"")</f>
        <v>84</v>
      </c>
      <c r="Z78" s="37">
        <f>IFERROR(IF(X78="","",X78*0.00866),"")</f>
        <v>0.72743999999999998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437.90879999999999</v>
      </c>
      <c r="BN78" s="67">
        <f>IFERROR(Y78*I78,"0")</f>
        <v>437.90879999999999</v>
      </c>
      <c r="BO78" s="67">
        <f>IFERROR(X78/J78,"0")</f>
        <v>0.58333333333333337</v>
      </c>
      <c r="BP78" s="67">
        <f>IFERROR(Y78/J78,"0")</f>
        <v>0.58333333333333337</v>
      </c>
    </row>
    <row r="79" spans="1:68" x14ac:dyDescent="0.2">
      <c r="A79" s="292"/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294"/>
      <c r="P79" s="287" t="s">
        <v>87</v>
      </c>
      <c r="Q79" s="288"/>
      <c r="R79" s="288"/>
      <c r="S79" s="288"/>
      <c r="T79" s="288"/>
      <c r="U79" s="288"/>
      <c r="V79" s="289"/>
      <c r="W79" s="38" t="s">
        <v>68</v>
      </c>
      <c r="X79" s="280">
        <f>IFERROR(SUM(X77:X78),"0")</f>
        <v>84</v>
      </c>
      <c r="Y79" s="280">
        <f>IFERROR(SUM(Y77:Y78),"0")</f>
        <v>84</v>
      </c>
      <c r="Z79" s="280">
        <f>IFERROR(IF(Z77="",0,Z77),"0")+IFERROR(IF(Z78="",0,Z78),"0")</f>
        <v>0.72743999999999998</v>
      </c>
      <c r="AA79" s="281"/>
      <c r="AB79" s="281"/>
      <c r="AC79" s="281"/>
    </row>
    <row r="80" spans="1:68" x14ac:dyDescent="0.2">
      <c r="A80" s="293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294"/>
      <c r="P80" s="287" t="s">
        <v>87</v>
      </c>
      <c r="Q80" s="288"/>
      <c r="R80" s="288"/>
      <c r="S80" s="288"/>
      <c r="T80" s="288"/>
      <c r="U80" s="288"/>
      <c r="V80" s="289"/>
      <c r="W80" s="38" t="s">
        <v>88</v>
      </c>
      <c r="X80" s="280">
        <f>IFERROR(SUMPRODUCT(X77:X78*H77:H78),"0")</f>
        <v>420</v>
      </c>
      <c r="Y80" s="280">
        <f>IFERROR(SUMPRODUCT(Y77:Y78*H77:H78),"0")</f>
        <v>420</v>
      </c>
      <c r="Z80" s="38"/>
      <c r="AA80" s="281"/>
      <c r="AB80" s="281"/>
      <c r="AC80" s="281"/>
    </row>
    <row r="81" spans="1:68" ht="16.5" customHeight="1" x14ac:dyDescent="0.25">
      <c r="A81" s="310" t="s">
        <v>150</v>
      </c>
      <c r="B81" s="293"/>
      <c r="C81" s="293"/>
      <c r="D81" s="293"/>
      <c r="E81" s="293"/>
      <c r="F81" s="293"/>
      <c r="G81" s="293"/>
      <c r="H81" s="293"/>
      <c r="I81" s="293"/>
      <c r="J81" s="293"/>
      <c r="K81" s="293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  <c r="AA81" s="273"/>
      <c r="AB81" s="273"/>
      <c r="AC81" s="273"/>
    </row>
    <row r="82" spans="1:68" ht="14.25" customHeight="1" x14ac:dyDescent="0.25">
      <c r="A82" s="304" t="s">
        <v>135</v>
      </c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74"/>
      <c r="AB82" s="274"/>
      <c r="AC82" s="274"/>
    </row>
    <row r="83" spans="1:68" ht="27" customHeight="1" x14ac:dyDescent="0.25">
      <c r="A83" s="54" t="s">
        <v>151</v>
      </c>
      <c r="B83" s="54" t="s">
        <v>152</v>
      </c>
      <c r="C83" s="32">
        <v>4301135574</v>
      </c>
      <c r="D83" s="295">
        <v>4607111033659</v>
      </c>
      <c r="E83" s="296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3"/>
      <c r="R83" s="283"/>
      <c r="S83" s="283"/>
      <c r="T83" s="284"/>
      <c r="U83" s="35"/>
      <c r="V83" s="35"/>
      <c r="W83" s="36" t="s">
        <v>68</v>
      </c>
      <c r="X83" s="278">
        <v>0</v>
      </c>
      <c r="Y83" s="279">
        <f>IFERROR(IF(X83="","",X83),"")</f>
        <v>0</v>
      </c>
      <c r="Z83" s="37">
        <f>IFERROR(IF(X83="","",X83*0.01788),"")</f>
        <v>0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x14ac:dyDescent="0.2">
      <c r="A84" s="292"/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4"/>
      <c r="P84" s="287" t="s">
        <v>87</v>
      </c>
      <c r="Q84" s="288"/>
      <c r="R84" s="288"/>
      <c r="S84" s="288"/>
      <c r="T84" s="288"/>
      <c r="U84" s="288"/>
      <c r="V84" s="289"/>
      <c r="W84" s="38" t="s">
        <v>68</v>
      </c>
      <c r="X84" s="280">
        <f>IFERROR(SUM(X83:X83),"0")</f>
        <v>0</v>
      </c>
      <c r="Y84" s="280">
        <f>IFERROR(SUM(Y83:Y83),"0")</f>
        <v>0</v>
      </c>
      <c r="Z84" s="280">
        <f>IFERROR(IF(Z83="",0,Z83),"0")</f>
        <v>0</v>
      </c>
      <c r="AA84" s="281"/>
      <c r="AB84" s="281"/>
      <c r="AC84" s="281"/>
    </row>
    <row r="85" spans="1:68" x14ac:dyDescent="0.2">
      <c r="A85" s="293"/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4"/>
      <c r="P85" s="287" t="s">
        <v>87</v>
      </c>
      <c r="Q85" s="288"/>
      <c r="R85" s="288"/>
      <c r="S85" s="288"/>
      <c r="T85" s="288"/>
      <c r="U85" s="288"/>
      <c r="V85" s="289"/>
      <c r="W85" s="38" t="s">
        <v>88</v>
      </c>
      <c r="X85" s="280">
        <f>IFERROR(SUMPRODUCT(X83:X83*H83:H83),"0")</f>
        <v>0</v>
      </c>
      <c r="Y85" s="280">
        <f>IFERROR(SUMPRODUCT(Y83:Y83*H83:H83),"0")</f>
        <v>0</v>
      </c>
      <c r="Z85" s="38"/>
      <c r="AA85" s="281"/>
      <c r="AB85" s="281"/>
      <c r="AC85" s="281"/>
    </row>
    <row r="86" spans="1:68" ht="16.5" customHeight="1" x14ac:dyDescent="0.25">
      <c r="A86" s="310" t="s">
        <v>154</v>
      </c>
      <c r="B86" s="293"/>
      <c r="C86" s="293"/>
      <c r="D86" s="293"/>
      <c r="E86" s="293"/>
      <c r="F86" s="293"/>
      <c r="G86" s="293"/>
      <c r="H86" s="293"/>
      <c r="I86" s="293"/>
      <c r="J86" s="293"/>
      <c r="K86" s="293"/>
      <c r="L86" s="293"/>
      <c r="M86" s="293"/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  <c r="AA86" s="273"/>
      <c r="AB86" s="273"/>
      <c r="AC86" s="273"/>
    </row>
    <row r="87" spans="1:68" ht="14.25" customHeight="1" x14ac:dyDescent="0.25">
      <c r="A87" s="304" t="s">
        <v>155</v>
      </c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  <c r="AA87" s="274"/>
      <c r="AB87" s="274"/>
      <c r="AC87" s="274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95">
        <v>4607111034120</v>
      </c>
      <c r="E88" s="296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9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3"/>
      <c r="R88" s="283"/>
      <c r="S88" s="283"/>
      <c r="T88" s="284"/>
      <c r="U88" s="35"/>
      <c r="V88" s="35"/>
      <c r="W88" s="36" t="s">
        <v>68</v>
      </c>
      <c r="X88" s="278">
        <v>182</v>
      </c>
      <c r="Y88" s="279">
        <f>IFERROR(IF(X88="","",X88),"")</f>
        <v>182</v>
      </c>
      <c r="Z88" s="37">
        <f>IFERROR(IF(X88="","",X88*0.01788),"")</f>
        <v>3.2541600000000002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783.25520000000006</v>
      </c>
      <c r="BN88" s="67">
        <f>IFERROR(Y88*I88,"0")</f>
        <v>783.25520000000006</v>
      </c>
      <c r="BO88" s="67">
        <f>IFERROR(X88/J88,"0")</f>
        <v>2.6</v>
      </c>
      <c r="BP88" s="67">
        <f>IFERROR(Y88/J88,"0")</f>
        <v>2.6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95">
        <v>4607111034137</v>
      </c>
      <c r="E89" s="296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9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3"/>
      <c r="R89" s="283"/>
      <c r="S89" s="283"/>
      <c r="T89" s="284"/>
      <c r="U89" s="35"/>
      <c r="V89" s="35"/>
      <c r="W89" s="36" t="s">
        <v>68</v>
      </c>
      <c r="X89" s="278">
        <v>0</v>
      </c>
      <c r="Y89" s="279">
        <f>IFERROR(IF(X89="","",X89),"")</f>
        <v>0</v>
      </c>
      <c r="Z89" s="37">
        <f>IFERROR(IF(X89="","",X89*0.01788),"")</f>
        <v>0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x14ac:dyDescent="0.2">
      <c r="A90" s="292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4"/>
      <c r="P90" s="287" t="s">
        <v>87</v>
      </c>
      <c r="Q90" s="288"/>
      <c r="R90" s="288"/>
      <c r="S90" s="288"/>
      <c r="T90" s="288"/>
      <c r="U90" s="288"/>
      <c r="V90" s="289"/>
      <c r="W90" s="38" t="s">
        <v>68</v>
      </c>
      <c r="X90" s="280">
        <f>IFERROR(SUM(X88:X89),"0")</f>
        <v>182</v>
      </c>
      <c r="Y90" s="280">
        <f>IFERROR(SUM(Y88:Y89),"0")</f>
        <v>182</v>
      </c>
      <c r="Z90" s="280">
        <f>IFERROR(IF(Z88="",0,Z88),"0")+IFERROR(IF(Z89="",0,Z89),"0")</f>
        <v>3.2541600000000002</v>
      </c>
      <c r="AA90" s="281"/>
      <c r="AB90" s="281"/>
      <c r="AC90" s="281"/>
    </row>
    <row r="91" spans="1:68" x14ac:dyDescent="0.2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294"/>
      <c r="P91" s="287" t="s">
        <v>87</v>
      </c>
      <c r="Q91" s="288"/>
      <c r="R91" s="288"/>
      <c r="S91" s="288"/>
      <c r="T91" s="288"/>
      <c r="U91" s="288"/>
      <c r="V91" s="289"/>
      <c r="W91" s="38" t="s">
        <v>88</v>
      </c>
      <c r="X91" s="280">
        <f>IFERROR(SUMPRODUCT(X88:X89*H88:H89),"0")</f>
        <v>655.20000000000005</v>
      </c>
      <c r="Y91" s="280">
        <f>IFERROR(SUMPRODUCT(Y88:Y89*H88:H89),"0")</f>
        <v>655.20000000000005</v>
      </c>
      <c r="Z91" s="38"/>
      <c r="AA91" s="281"/>
      <c r="AB91" s="281"/>
      <c r="AC91" s="281"/>
    </row>
    <row r="92" spans="1:68" ht="16.5" customHeight="1" x14ac:dyDescent="0.25">
      <c r="A92" s="310" t="s">
        <v>162</v>
      </c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73"/>
      <c r="AB92" s="273"/>
      <c r="AC92" s="273"/>
    </row>
    <row r="93" spans="1:68" ht="14.25" customHeight="1" x14ac:dyDescent="0.25">
      <c r="A93" s="304" t="s">
        <v>135</v>
      </c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74"/>
      <c r="AB93" s="274"/>
      <c r="AC93" s="274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95">
        <v>4620207491027</v>
      </c>
      <c r="E94" s="296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3"/>
      <c r="R94" s="283"/>
      <c r="S94" s="283"/>
      <c r="T94" s="284"/>
      <c r="U94" s="35"/>
      <c r="V94" s="35"/>
      <c r="W94" s="36" t="s">
        <v>68</v>
      </c>
      <c r="X94" s="278">
        <v>28</v>
      </c>
      <c r="Y94" s="279">
        <f t="shared" ref="Y94:Y99" si="6">IFERROR(IF(X94="","",X94),"")</f>
        <v>28</v>
      </c>
      <c r="Z94" s="37">
        <f t="shared" ref="Z94:Z99" si="7">IFERROR(IF(X94="","",X94*0.01788),"")</f>
        <v>0.50063999999999997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100.3408</v>
      </c>
      <c r="BN94" s="67">
        <f t="shared" ref="BN94:BN99" si="9">IFERROR(Y94*I94,"0")</f>
        <v>100.3408</v>
      </c>
      <c r="BO94" s="67">
        <f t="shared" ref="BO94:BO99" si="10">IFERROR(X94/J94,"0")</f>
        <v>0.4</v>
      </c>
      <c r="BP94" s="67">
        <f t="shared" ref="BP94:BP99" si="11">IFERROR(Y94/J94,"0")</f>
        <v>0.4</v>
      </c>
    </row>
    <row r="95" spans="1:68" ht="27" customHeight="1" x14ac:dyDescent="0.25">
      <c r="A95" s="54" t="s">
        <v>165</v>
      </c>
      <c r="B95" s="54" t="s">
        <v>166</v>
      </c>
      <c r="C95" s="32">
        <v>4301135914</v>
      </c>
      <c r="D95" s="295">
        <v>4620207491621</v>
      </c>
      <c r="E95" s="296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32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3"/>
      <c r="R95" s="283"/>
      <c r="S95" s="283"/>
      <c r="T95" s="284"/>
      <c r="U95" s="35"/>
      <c r="V95" s="35"/>
      <c r="W95" s="36" t="s">
        <v>68</v>
      </c>
      <c r="X95" s="278">
        <v>0</v>
      </c>
      <c r="Y95" s="279">
        <f t="shared" si="6"/>
        <v>0</v>
      </c>
      <c r="Z95" s="37">
        <f t="shared" si="7"/>
        <v>0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168</v>
      </c>
      <c r="B96" s="54" t="s">
        <v>169</v>
      </c>
      <c r="C96" s="32">
        <v>4301135768</v>
      </c>
      <c r="D96" s="295">
        <v>4620207491034</v>
      </c>
      <c r="E96" s="296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40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3"/>
      <c r="R96" s="283"/>
      <c r="S96" s="283"/>
      <c r="T96" s="284"/>
      <c r="U96" s="35"/>
      <c r="V96" s="35"/>
      <c r="W96" s="36" t="s">
        <v>68</v>
      </c>
      <c r="X96" s="278">
        <v>56</v>
      </c>
      <c r="Y96" s="279">
        <f t="shared" si="6"/>
        <v>56</v>
      </c>
      <c r="Z96" s="37">
        <f t="shared" si="7"/>
        <v>1.0012799999999999</v>
      </c>
      <c r="AA96" s="56"/>
      <c r="AB96" s="57"/>
      <c r="AC96" s="134" t="s">
        <v>170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200.6816</v>
      </c>
      <c r="BN96" s="67">
        <f t="shared" si="9"/>
        <v>200.6816</v>
      </c>
      <c r="BO96" s="67">
        <f t="shared" si="10"/>
        <v>0.8</v>
      </c>
      <c r="BP96" s="67">
        <f t="shared" si="11"/>
        <v>0.8</v>
      </c>
    </row>
    <row r="97" spans="1:68" ht="27" customHeight="1" x14ac:dyDescent="0.25">
      <c r="A97" s="54" t="s">
        <v>171</v>
      </c>
      <c r="B97" s="54" t="s">
        <v>172</v>
      </c>
      <c r="C97" s="32">
        <v>4301135760</v>
      </c>
      <c r="D97" s="295">
        <v>4620207491010</v>
      </c>
      <c r="E97" s="296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34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3"/>
      <c r="R97" s="283"/>
      <c r="S97" s="283"/>
      <c r="T97" s="284"/>
      <c r="U97" s="35"/>
      <c r="V97" s="35"/>
      <c r="W97" s="36" t="s">
        <v>68</v>
      </c>
      <c r="X97" s="278">
        <v>28</v>
      </c>
      <c r="Y97" s="279">
        <f t="shared" si="6"/>
        <v>28</v>
      </c>
      <c r="Z97" s="37">
        <f t="shared" si="7"/>
        <v>0.50063999999999997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100.3408</v>
      </c>
      <c r="BN97" s="67">
        <f t="shared" si="9"/>
        <v>100.3408</v>
      </c>
      <c r="BO97" s="67">
        <f t="shared" si="10"/>
        <v>0.4</v>
      </c>
      <c r="BP97" s="67">
        <f t="shared" si="11"/>
        <v>0.4</v>
      </c>
    </row>
    <row r="98" spans="1:68" ht="27" customHeight="1" x14ac:dyDescent="0.25">
      <c r="A98" s="54" t="s">
        <v>173</v>
      </c>
      <c r="B98" s="54" t="s">
        <v>174</v>
      </c>
      <c r="C98" s="32">
        <v>4301135571</v>
      </c>
      <c r="D98" s="295">
        <v>4607111035028</v>
      </c>
      <c r="E98" s="296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41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3"/>
      <c r="R98" s="283"/>
      <c r="S98" s="283"/>
      <c r="T98" s="284"/>
      <c r="U98" s="35"/>
      <c r="V98" s="35"/>
      <c r="W98" s="36" t="s">
        <v>68</v>
      </c>
      <c r="X98" s="278">
        <v>98</v>
      </c>
      <c r="Y98" s="279">
        <f t="shared" si="6"/>
        <v>98</v>
      </c>
      <c r="Z98" s="37">
        <f t="shared" si="7"/>
        <v>1.75224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435.98240000000004</v>
      </c>
      <c r="BN98" s="67">
        <f t="shared" si="9"/>
        <v>435.98240000000004</v>
      </c>
      <c r="BO98" s="67">
        <f t="shared" si="10"/>
        <v>1.4</v>
      </c>
      <c r="BP98" s="67">
        <f t="shared" si="11"/>
        <v>1.4</v>
      </c>
    </row>
    <row r="99" spans="1:68" ht="27" customHeight="1" x14ac:dyDescent="0.25">
      <c r="A99" s="54" t="s">
        <v>175</v>
      </c>
      <c r="B99" s="54" t="s">
        <v>176</v>
      </c>
      <c r="C99" s="32">
        <v>4301135285</v>
      </c>
      <c r="D99" s="295">
        <v>4607111036407</v>
      </c>
      <c r="E99" s="296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3"/>
      <c r="R99" s="283"/>
      <c r="S99" s="283"/>
      <c r="T99" s="284"/>
      <c r="U99" s="35"/>
      <c r="V99" s="35"/>
      <c r="W99" s="36" t="s">
        <v>68</v>
      </c>
      <c r="X99" s="278">
        <v>0</v>
      </c>
      <c r="Y99" s="279">
        <f t="shared" si="6"/>
        <v>0</v>
      </c>
      <c r="Z99" s="37">
        <f t="shared" si="7"/>
        <v>0</v>
      </c>
      <c r="AA99" s="56"/>
      <c r="AB99" s="57"/>
      <c r="AC99" s="140" t="s">
        <v>177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292"/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294"/>
      <c r="P100" s="287" t="s">
        <v>87</v>
      </c>
      <c r="Q100" s="288"/>
      <c r="R100" s="288"/>
      <c r="S100" s="288"/>
      <c r="T100" s="288"/>
      <c r="U100" s="288"/>
      <c r="V100" s="289"/>
      <c r="W100" s="38" t="s">
        <v>68</v>
      </c>
      <c r="X100" s="280">
        <f>IFERROR(SUM(X94:X99),"0")</f>
        <v>210</v>
      </c>
      <c r="Y100" s="280">
        <f>IFERROR(SUM(Y94:Y99),"0")</f>
        <v>210</v>
      </c>
      <c r="Z100" s="280">
        <f>IFERROR(IF(Z94="",0,Z94),"0")+IFERROR(IF(Z95="",0,Z95),"0")+IFERROR(IF(Z96="",0,Z96),"0")+IFERROR(IF(Z97="",0,Z97),"0")+IFERROR(IF(Z98="",0,Z98),"0")+IFERROR(IF(Z99="",0,Z99),"0")</f>
        <v>3.7547999999999999</v>
      </c>
      <c r="AA100" s="281"/>
      <c r="AB100" s="281"/>
      <c r="AC100" s="281"/>
    </row>
    <row r="101" spans="1:68" x14ac:dyDescent="0.2">
      <c r="A101" s="293"/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294"/>
      <c r="P101" s="287" t="s">
        <v>87</v>
      </c>
      <c r="Q101" s="288"/>
      <c r="R101" s="288"/>
      <c r="S101" s="288"/>
      <c r="T101" s="288"/>
      <c r="U101" s="288"/>
      <c r="V101" s="289"/>
      <c r="W101" s="38" t="s">
        <v>88</v>
      </c>
      <c r="X101" s="280">
        <f>IFERROR(SUMPRODUCT(X94:X99*H94:H99),"0")</f>
        <v>698.88</v>
      </c>
      <c r="Y101" s="280">
        <f>IFERROR(SUMPRODUCT(Y94:Y99*H94:H99),"0")</f>
        <v>698.88</v>
      </c>
      <c r="Z101" s="38"/>
      <c r="AA101" s="281"/>
      <c r="AB101" s="281"/>
      <c r="AC101" s="281"/>
    </row>
    <row r="102" spans="1:68" ht="16.5" customHeight="1" x14ac:dyDescent="0.25">
      <c r="A102" s="310" t="s">
        <v>178</v>
      </c>
      <c r="B102" s="293"/>
      <c r="C102" s="293"/>
      <c r="D102" s="293"/>
      <c r="E102" s="293"/>
      <c r="F102" s="293"/>
      <c r="G102" s="293"/>
      <c r="H102" s="293"/>
      <c r="I102" s="293"/>
      <c r="J102" s="293"/>
      <c r="K102" s="293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  <c r="Y102" s="293"/>
      <c r="Z102" s="293"/>
      <c r="AA102" s="273"/>
      <c r="AB102" s="273"/>
      <c r="AC102" s="273"/>
    </row>
    <row r="103" spans="1:68" ht="14.25" customHeight="1" x14ac:dyDescent="0.25">
      <c r="A103" s="304" t="s">
        <v>129</v>
      </c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  <c r="Y103" s="293"/>
      <c r="Z103" s="293"/>
      <c r="AA103" s="274"/>
      <c r="AB103" s="274"/>
      <c r="AC103" s="274"/>
    </row>
    <row r="104" spans="1:68" ht="27" customHeight="1" x14ac:dyDescent="0.25">
      <c r="A104" s="54" t="s">
        <v>179</v>
      </c>
      <c r="B104" s="54" t="s">
        <v>180</v>
      </c>
      <c r="C104" s="32">
        <v>4301136070</v>
      </c>
      <c r="D104" s="295">
        <v>4607025784012</v>
      </c>
      <c r="E104" s="296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30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3"/>
      <c r="R104" s="283"/>
      <c r="S104" s="283"/>
      <c r="T104" s="284"/>
      <c r="U104" s="35"/>
      <c r="V104" s="35"/>
      <c r="W104" s="36" t="s">
        <v>68</v>
      </c>
      <c r="X104" s="278">
        <v>112</v>
      </c>
      <c r="Y104" s="279">
        <f>IFERROR(IF(X104="","",X104),"")</f>
        <v>112</v>
      </c>
      <c r="Z104" s="37">
        <f>IFERROR(IF(X104="","",X104*0.00936),"")</f>
        <v>1.0483199999999999</v>
      </c>
      <c r="AA104" s="56"/>
      <c r="AB104" s="57"/>
      <c r="AC104" s="142" t="s">
        <v>181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279.01440000000002</v>
      </c>
      <c r="BN104" s="67">
        <f>IFERROR(Y104*I104,"0")</f>
        <v>279.01440000000002</v>
      </c>
      <c r="BO104" s="67">
        <f>IFERROR(X104/J104,"0")</f>
        <v>0.88888888888888884</v>
      </c>
      <c r="BP104" s="67">
        <f>IFERROR(Y104/J104,"0")</f>
        <v>0.88888888888888884</v>
      </c>
    </row>
    <row r="105" spans="1:68" ht="27" customHeight="1" x14ac:dyDescent="0.25">
      <c r="A105" s="54" t="s">
        <v>182</v>
      </c>
      <c r="B105" s="54" t="s">
        <v>183</v>
      </c>
      <c r="C105" s="32">
        <v>4301136103</v>
      </c>
      <c r="D105" s="295">
        <v>4620207491645</v>
      </c>
      <c r="E105" s="296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44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83"/>
      <c r="R105" s="283"/>
      <c r="S105" s="283"/>
      <c r="T105" s="284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184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x14ac:dyDescent="0.2">
      <c r="A106" s="292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4"/>
      <c r="P106" s="287" t="s">
        <v>87</v>
      </c>
      <c r="Q106" s="288"/>
      <c r="R106" s="288"/>
      <c r="S106" s="288"/>
      <c r="T106" s="288"/>
      <c r="U106" s="288"/>
      <c r="V106" s="289"/>
      <c r="W106" s="38" t="s">
        <v>68</v>
      </c>
      <c r="X106" s="280">
        <f>IFERROR(SUM(X104:X105),"0")</f>
        <v>112</v>
      </c>
      <c r="Y106" s="280">
        <f>IFERROR(SUM(Y104:Y105),"0")</f>
        <v>112</v>
      </c>
      <c r="Z106" s="280">
        <f>IFERROR(IF(Z104="",0,Z104),"0")+IFERROR(IF(Z105="",0,Z105),"0")</f>
        <v>1.0483199999999999</v>
      </c>
      <c r="AA106" s="281"/>
      <c r="AB106" s="281"/>
      <c r="AC106" s="281"/>
    </row>
    <row r="107" spans="1:68" x14ac:dyDescent="0.2">
      <c r="A107" s="293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294"/>
      <c r="P107" s="287" t="s">
        <v>87</v>
      </c>
      <c r="Q107" s="288"/>
      <c r="R107" s="288"/>
      <c r="S107" s="288"/>
      <c r="T107" s="288"/>
      <c r="U107" s="288"/>
      <c r="V107" s="289"/>
      <c r="W107" s="38" t="s">
        <v>88</v>
      </c>
      <c r="X107" s="280">
        <f>IFERROR(SUMPRODUCT(X104:X105*H104:H105),"0")</f>
        <v>241.92000000000002</v>
      </c>
      <c r="Y107" s="280">
        <f>IFERROR(SUMPRODUCT(Y104:Y105*H104:H105),"0")</f>
        <v>241.92000000000002</v>
      </c>
      <c r="Z107" s="38"/>
      <c r="AA107" s="281"/>
      <c r="AB107" s="281"/>
      <c r="AC107" s="281"/>
    </row>
    <row r="108" spans="1:68" ht="16.5" customHeight="1" x14ac:dyDescent="0.25">
      <c r="A108" s="310" t="s">
        <v>185</v>
      </c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  <c r="AA108" s="273"/>
      <c r="AB108" s="273"/>
      <c r="AC108" s="273"/>
    </row>
    <row r="109" spans="1:68" ht="14.25" customHeight="1" x14ac:dyDescent="0.25">
      <c r="A109" s="304" t="s">
        <v>62</v>
      </c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74"/>
      <c r="AB109" s="274"/>
      <c r="AC109" s="274"/>
    </row>
    <row r="110" spans="1:68" ht="27" customHeight="1" x14ac:dyDescent="0.25">
      <c r="A110" s="54" t="s">
        <v>186</v>
      </c>
      <c r="B110" s="54" t="s">
        <v>187</v>
      </c>
      <c r="C110" s="32">
        <v>4301071074</v>
      </c>
      <c r="D110" s="295">
        <v>4620207491157</v>
      </c>
      <c r="E110" s="296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3"/>
      <c r="R110" s="283"/>
      <c r="S110" s="283"/>
      <c r="T110" s="284"/>
      <c r="U110" s="35"/>
      <c r="V110" s="35"/>
      <c r="W110" s="36" t="s">
        <v>68</v>
      </c>
      <c r="X110" s="278">
        <v>24</v>
      </c>
      <c r="Y110" s="279">
        <f t="shared" ref="Y110:Y117" si="12">IFERROR(IF(X110="","",X110),"")</f>
        <v>24</v>
      </c>
      <c r="Z110" s="37">
        <f t="shared" ref="Z110:Z117" si="13">IFERROR(IF(X110="","",X110*0.0155),"")</f>
        <v>0.372</v>
      </c>
      <c r="AA110" s="56"/>
      <c r="AB110" s="57"/>
      <c r="AC110" s="146" t="s">
        <v>188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174.72</v>
      </c>
      <c r="BN110" s="67">
        <f t="shared" ref="BN110:BN117" si="15">IFERROR(Y110*I110,"0")</f>
        <v>174.72</v>
      </c>
      <c r="BO110" s="67">
        <f t="shared" ref="BO110:BO117" si="16">IFERROR(X110/J110,"0")</f>
        <v>0.2857142857142857</v>
      </c>
      <c r="BP110" s="67">
        <f t="shared" ref="BP110:BP117" si="17">IFERROR(Y110/J110,"0")</f>
        <v>0.2857142857142857</v>
      </c>
    </row>
    <row r="111" spans="1:68" ht="27" customHeight="1" x14ac:dyDescent="0.25">
      <c r="A111" s="54" t="s">
        <v>189</v>
      </c>
      <c r="B111" s="54" t="s">
        <v>190</v>
      </c>
      <c r="C111" s="32">
        <v>4301071121</v>
      </c>
      <c r="D111" s="295">
        <v>4620207491393</v>
      </c>
      <c r="E111" s="296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2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3"/>
      <c r="R111" s="283"/>
      <c r="S111" s="283"/>
      <c r="T111" s="284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191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192</v>
      </c>
      <c r="B112" s="54" t="s">
        <v>193</v>
      </c>
      <c r="C112" s="32">
        <v>4301071136</v>
      </c>
      <c r="D112" s="295">
        <v>4620207491829</v>
      </c>
      <c r="E112" s="296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431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83"/>
      <c r="R112" s="283"/>
      <c r="S112" s="283"/>
      <c r="T112" s="284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191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194</v>
      </c>
      <c r="B113" s="54" t="s">
        <v>195</v>
      </c>
      <c r="C113" s="32">
        <v>4301071051</v>
      </c>
      <c r="D113" s="295">
        <v>4607111039262</v>
      </c>
      <c r="E113" s="296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83"/>
      <c r="R113" s="283"/>
      <c r="S113" s="283"/>
      <c r="T113" s="284"/>
      <c r="U113" s="35"/>
      <c r="V113" s="35"/>
      <c r="W113" s="36" t="s">
        <v>68</v>
      </c>
      <c r="X113" s="278">
        <v>60</v>
      </c>
      <c r="Y113" s="279">
        <f t="shared" si="12"/>
        <v>60</v>
      </c>
      <c r="Z113" s="37">
        <f t="shared" si="13"/>
        <v>0.92999999999999994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403.17599999999999</v>
      </c>
      <c r="BN113" s="67">
        <f t="shared" si="15"/>
        <v>403.17599999999999</v>
      </c>
      <c r="BO113" s="67">
        <f t="shared" si="16"/>
        <v>0.7142857142857143</v>
      </c>
      <c r="BP113" s="67">
        <f t="shared" si="17"/>
        <v>0.7142857142857143</v>
      </c>
    </row>
    <row r="114" spans="1:68" ht="27" customHeight="1" x14ac:dyDescent="0.25">
      <c r="A114" s="54" t="s">
        <v>196</v>
      </c>
      <c r="B114" s="54" t="s">
        <v>197</v>
      </c>
      <c r="C114" s="32">
        <v>4301071038</v>
      </c>
      <c r="D114" s="295">
        <v>4607111039248</v>
      </c>
      <c r="E114" s="296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43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83"/>
      <c r="R114" s="283"/>
      <c r="S114" s="283"/>
      <c r="T114" s="284"/>
      <c r="U114" s="35"/>
      <c r="V114" s="35"/>
      <c r="W114" s="36" t="s">
        <v>68</v>
      </c>
      <c r="X114" s="278">
        <v>108</v>
      </c>
      <c r="Y114" s="279">
        <f t="shared" si="12"/>
        <v>108</v>
      </c>
      <c r="Z114" s="37">
        <f t="shared" si="13"/>
        <v>1.6739999999999999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788.4</v>
      </c>
      <c r="BN114" s="67">
        <f t="shared" si="15"/>
        <v>788.4</v>
      </c>
      <c r="BO114" s="67">
        <f t="shared" si="16"/>
        <v>1.2857142857142858</v>
      </c>
      <c r="BP114" s="67">
        <f t="shared" si="17"/>
        <v>1.2857142857142858</v>
      </c>
    </row>
    <row r="115" spans="1:68" ht="27" customHeight="1" x14ac:dyDescent="0.25">
      <c r="A115" s="54" t="s">
        <v>198</v>
      </c>
      <c r="B115" s="54" t="s">
        <v>199</v>
      </c>
      <c r="C115" s="32">
        <v>4301070979</v>
      </c>
      <c r="D115" s="295">
        <v>4607111037145</v>
      </c>
      <c r="E115" s="296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83"/>
      <c r="R115" s="283"/>
      <c r="S115" s="283"/>
      <c r="T115" s="284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200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201</v>
      </c>
      <c r="B116" s="54" t="s">
        <v>202</v>
      </c>
      <c r="C116" s="32">
        <v>4301071049</v>
      </c>
      <c r="D116" s="295">
        <v>4607111039293</v>
      </c>
      <c r="E116" s="296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3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83"/>
      <c r="R116" s="283"/>
      <c r="S116" s="283"/>
      <c r="T116" s="284"/>
      <c r="U116" s="35"/>
      <c r="V116" s="35"/>
      <c r="W116" s="36" t="s">
        <v>68</v>
      </c>
      <c r="X116" s="278">
        <v>0</v>
      </c>
      <c r="Y116" s="279">
        <f t="shared" si="12"/>
        <v>0</v>
      </c>
      <c r="Z116" s="37">
        <f t="shared" si="13"/>
        <v>0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203</v>
      </c>
      <c r="B117" s="54" t="s">
        <v>204</v>
      </c>
      <c r="C117" s="32">
        <v>4301071039</v>
      </c>
      <c r="D117" s="295">
        <v>4607111039279</v>
      </c>
      <c r="E117" s="296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35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83"/>
      <c r="R117" s="283"/>
      <c r="S117" s="283"/>
      <c r="T117" s="284"/>
      <c r="U117" s="35"/>
      <c r="V117" s="35"/>
      <c r="W117" s="36" t="s">
        <v>68</v>
      </c>
      <c r="X117" s="278">
        <v>120</v>
      </c>
      <c r="Y117" s="279">
        <f t="shared" si="12"/>
        <v>120</v>
      </c>
      <c r="Z117" s="37">
        <f t="shared" si="13"/>
        <v>1.8599999999999999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876</v>
      </c>
      <c r="BN117" s="67">
        <f t="shared" si="15"/>
        <v>876</v>
      </c>
      <c r="BO117" s="67">
        <f t="shared" si="16"/>
        <v>1.4285714285714286</v>
      </c>
      <c r="BP117" s="67">
        <f t="shared" si="17"/>
        <v>1.4285714285714286</v>
      </c>
    </row>
    <row r="118" spans="1:68" x14ac:dyDescent="0.2">
      <c r="A118" s="292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4"/>
      <c r="P118" s="287" t="s">
        <v>87</v>
      </c>
      <c r="Q118" s="288"/>
      <c r="R118" s="288"/>
      <c r="S118" s="288"/>
      <c r="T118" s="288"/>
      <c r="U118" s="288"/>
      <c r="V118" s="289"/>
      <c r="W118" s="38" t="s">
        <v>68</v>
      </c>
      <c r="X118" s="280">
        <f>IFERROR(SUM(X110:X117),"0")</f>
        <v>312</v>
      </c>
      <c r="Y118" s="280">
        <f>IFERROR(SUM(Y110:Y117),"0")</f>
        <v>312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4.8360000000000003</v>
      </c>
      <c r="AA118" s="281"/>
      <c r="AB118" s="281"/>
      <c r="AC118" s="281"/>
    </row>
    <row r="119" spans="1:68" x14ac:dyDescent="0.2">
      <c r="A119" s="293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294"/>
      <c r="P119" s="287" t="s">
        <v>87</v>
      </c>
      <c r="Q119" s="288"/>
      <c r="R119" s="288"/>
      <c r="S119" s="288"/>
      <c r="T119" s="288"/>
      <c r="U119" s="288"/>
      <c r="V119" s="289"/>
      <c r="W119" s="38" t="s">
        <v>88</v>
      </c>
      <c r="X119" s="280">
        <f>IFERROR(SUMPRODUCT(X110:X117*H110:H117),"0")</f>
        <v>2148</v>
      </c>
      <c r="Y119" s="280">
        <f>IFERROR(SUMPRODUCT(Y110:Y117*H110:H117),"0")</f>
        <v>2148</v>
      </c>
      <c r="Z119" s="38"/>
      <c r="AA119" s="281"/>
      <c r="AB119" s="281"/>
      <c r="AC119" s="281"/>
    </row>
    <row r="120" spans="1:68" ht="14.25" customHeight="1" x14ac:dyDescent="0.25">
      <c r="A120" s="304" t="s">
        <v>135</v>
      </c>
      <c r="B120" s="293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293"/>
      <c r="O120" s="293"/>
      <c r="P120" s="293"/>
      <c r="Q120" s="293"/>
      <c r="R120" s="293"/>
      <c r="S120" s="293"/>
      <c r="T120" s="293"/>
      <c r="U120" s="293"/>
      <c r="V120" s="293"/>
      <c r="W120" s="293"/>
      <c r="X120" s="293"/>
      <c r="Y120" s="293"/>
      <c r="Z120" s="293"/>
      <c r="AA120" s="274"/>
      <c r="AB120" s="274"/>
      <c r="AC120" s="274"/>
    </row>
    <row r="121" spans="1:68" ht="27" customHeight="1" x14ac:dyDescent="0.25">
      <c r="A121" s="54" t="s">
        <v>205</v>
      </c>
      <c r="B121" s="54" t="s">
        <v>206</v>
      </c>
      <c r="C121" s="32">
        <v>4301135826</v>
      </c>
      <c r="D121" s="295">
        <v>4620207490983</v>
      </c>
      <c r="E121" s="296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83"/>
      <c r="R121" s="283"/>
      <c r="S121" s="283"/>
      <c r="T121" s="284"/>
      <c r="U121" s="35"/>
      <c r="V121" s="35"/>
      <c r="W121" s="36" t="s">
        <v>68</v>
      </c>
      <c r="X121" s="278">
        <v>0</v>
      </c>
      <c r="Y121" s="279">
        <f>IFERROR(IF(X121="","",X121),"")</f>
        <v>0</v>
      </c>
      <c r="Z121" s="37">
        <f>IFERROR(IF(X121="","",X121*0.01788),"")</f>
        <v>0</v>
      </c>
      <c r="AA121" s="56"/>
      <c r="AB121" s="57"/>
      <c r="AC121" s="162" t="s">
        <v>207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x14ac:dyDescent="0.2">
      <c r="A122" s="292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4"/>
      <c r="P122" s="287" t="s">
        <v>87</v>
      </c>
      <c r="Q122" s="288"/>
      <c r="R122" s="288"/>
      <c r="S122" s="288"/>
      <c r="T122" s="288"/>
      <c r="U122" s="288"/>
      <c r="V122" s="289"/>
      <c r="W122" s="38" t="s">
        <v>68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x14ac:dyDescent="0.2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4"/>
      <c r="P123" s="287" t="s">
        <v>87</v>
      </c>
      <c r="Q123" s="288"/>
      <c r="R123" s="288"/>
      <c r="S123" s="288"/>
      <c r="T123" s="288"/>
      <c r="U123" s="288"/>
      <c r="V123" s="289"/>
      <c r="W123" s="38" t="s">
        <v>88</v>
      </c>
      <c r="X123" s="280">
        <f>IFERROR(SUMPRODUCT(X121:X121*H121:H121),"0")</f>
        <v>0</v>
      </c>
      <c r="Y123" s="280">
        <f>IFERROR(SUMPRODUCT(Y121:Y121*H121:H121),"0")</f>
        <v>0</v>
      </c>
      <c r="Z123" s="38"/>
      <c r="AA123" s="281"/>
      <c r="AB123" s="281"/>
      <c r="AC123" s="281"/>
    </row>
    <row r="124" spans="1:68" ht="14.25" customHeight="1" x14ac:dyDescent="0.25">
      <c r="A124" s="304" t="s">
        <v>208</v>
      </c>
      <c r="B124" s="293"/>
      <c r="C124" s="293"/>
      <c r="D124" s="293"/>
      <c r="E124" s="293"/>
      <c r="F124" s="293"/>
      <c r="G124" s="293"/>
      <c r="H124" s="293"/>
      <c r="I124" s="293"/>
      <c r="J124" s="293"/>
      <c r="K124" s="293"/>
      <c r="L124" s="293"/>
      <c r="M124" s="293"/>
      <c r="N124" s="293"/>
      <c r="O124" s="293"/>
      <c r="P124" s="293"/>
      <c r="Q124" s="293"/>
      <c r="R124" s="293"/>
      <c r="S124" s="293"/>
      <c r="T124" s="293"/>
      <c r="U124" s="293"/>
      <c r="V124" s="293"/>
      <c r="W124" s="293"/>
      <c r="X124" s="293"/>
      <c r="Y124" s="293"/>
      <c r="Z124" s="293"/>
      <c r="AA124" s="274"/>
      <c r="AB124" s="274"/>
      <c r="AC124" s="274"/>
    </row>
    <row r="125" spans="1:68" ht="27" customHeight="1" x14ac:dyDescent="0.25">
      <c r="A125" s="54" t="s">
        <v>209</v>
      </c>
      <c r="B125" s="54" t="s">
        <v>210</v>
      </c>
      <c r="C125" s="32">
        <v>4301071094</v>
      </c>
      <c r="D125" s="295">
        <v>4620207491140</v>
      </c>
      <c r="E125" s="296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43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83"/>
      <c r="R125" s="283"/>
      <c r="S125" s="283"/>
      <c r="T125" s="284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211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92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4"/>
      <c r="P126" s="287" t="s">
        <v>87</v>
      </c>
      <c r="Q126" s="288"/>
      <c r="R126" s="288"/>
      <c r="S126" s="288"/>
      <c r="T126" s="288"/>
      <c r="U126" s="288"/>
      <c r="V126" s="289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4"/>
      <c r="P127" s="287" t="s">
        <v>87</v>
      </c>
      <c r="Q127" s="288"/>
      <c r="R127" s="288"/>
      <c r="S127" s="288"/>
      <c r="T127" s="288"/>
      <c r="U127" s="288"/>
      <c r="V127" s="289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customHeight="1" x14ac:dyDescent="0.25">
      <c r="A128" s="310" t="s">
        <v>212</v>
      </c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73"/>
      <c r="AB128" s="273"/>
      <c r="AC128" s="273"/>
    </row>
    <row r="129" spans="1:68" ht="14.25" customHeight="1" x14ac:dyDescent="0.25">
      <c r="A129" s="304" t="s">
        <v>135</v>
      </c>
      <c r="B129" s="293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293"/>
      <c r="O129" s="293"/>
      <c r="P129" s="293"/>
      <c r="Q129" s="293"/>
      <c r="R129" s="293"/>
      <c r="S129" s="293"/>
      <c r="T129" s="293"/>
      <c r="U129" s="293"/>
      <c r="V129" s="293"/>
      <c r="W129" s="293"/>
      <c r="X129" s="293"/>
      <c r="Y129" s="293"/>
      <c r="Z129" s="293"/>
      <c r="AA129" s="274"/>
      <c r="AB129" s="274"/>
      <c r="AC129" s="274"/>
    </row>
    <row r="130" spans="1:68" ht="27" customHeight="1" x14ac:dyDescent="0.25">
      <c r="A130" s="54" t="s">
        <v>213</v>
      </c>
      <c r="B130" s="54" t="s">
        <v>214</v>
      </c>
      <c r="C130" s="32">
        <v>4301135848</v>
      </c>
      <c r="D130" s="295">
        <v>4620207491799</v>
      </c>
      <c r="E130" s="296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2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83"/>
      <c r="R130" s="283"/>
      <c r="S130" s="283"/>
      <c r="T130" s="284"/>
      <c r="U130" s="35"/>
      <c r="V130" s="35"/>
      <c r="W130" s="36" t="s">
        <v>68</v>
      </c>
      <c r="X130" s="278">
        <v>0</v>
      </c>
      <c r="Y130" s="279">
        <f>IFERROR(IF(X130="","",X130),"")</f>
        <v>0</v>
      </c>
      <c r="Z130" s="37">
        <f>IFERROR(IF(X130="","",X130*0.00941),"")</f>
        <v>0</v>
      </c>
      <c r="AA130" s="56"/>
      <c r="AB130" s="57"/>
      <c r="AC130" s="166" t="s">
        <v>215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216</v>
      </c>
      <c r="B131" s="54" t="s">
        <v>217</v>
      </c>
      <c r="C131" s="32">
        <v>4301135850</v>
      </c>
      <c r="D131" s="295">
        <v>4620207491492</v>
      </c>
      <c r="E131" s="296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4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83"/>
      <c r="R131" s="283"/>
      <c r="S131" s="283"/>
      <c r="T131" s="284"/>
      <c r="U131" s="35"/>
      <c r="V131" s="35"/>
      <c r="W131" s="36" t="s">
        <v>68</v>
      </c>
      <c r="X131" s="278">
        <v>182</v>
      </c>
      <c r="Y131" s="279">
        <f>IFERROR(IF(X131="","",X131),"")</f>
        <v>182</v>
      </c>
      <c r="Z131" s="37">
        <f>IFERROR(IF(X131="","",X131*0.00941),"")</f>
        <v>1.71262</v>
      </c>
      <c r="AA131" s="56"/>
      <c r="AB131" s="57"/>
      <c r="AC131" s="168" t="s">
        <v>215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327.60000000000002</v>
      </c>
      <c r="BN131" s="67">
        <f>IFERROR(Y131*I131,"0")</f>
        <v>327.60000000000002</v>
      </c>
      <c r="BO131" s="67">
        <f>IFERROR(X131/J131,"0")</f>
        <v>1.3</v>
      </c>
      <c r="BP131" s="67">
        <f>IFERROR(Y131/J131,"0")</f>
        <v>1.3</v>
      </c>
    </row>
    <row r="132" spans="1:68" ht="27" customHeight="1" x14ac:dyDescent="0.25">
      <c r="A132" s="54" t="s">
        <v>218</v>
      </c>
      <c r="B132" s="54" t="s">
        <v>219</v>
      </c>
      <c r="C132" s="32">
        <v>4301190118</v>
      </c>
      <c r="D132" s="295">
        <v>4620207491461</v>
      </c>
      <c r="E132" s="296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83"/>
      <c r="R132" s="283"/>
      <c r="S132" s="283"/>
      <c r="T132" s="284"/>
      <c r="U132" s="35"/>
      <c r="V132" s="35"/>
      <c r="W132" s="36" t="s">
        <v>68</v>
      </c>
      <c r="X132" s="278">
        <v>0</v>
      </c>
      <c r="Y132" s="279">
        <f>IFERROR(IF(X132="","",X132),"")</f>
        <v>0</v>
      </c>
      <c r="Z132" s="37">
        <f>IFERROR(IF(X132="","",X132*0.00941),"")</f>
        <v>0</v>
      </c>
      <c r="AA132" s="56"/>
      <c r="AB132" s="57"/>
      <c r="AC132" s="170" t="s">
        <v>215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customHeight="1" x14ac:dyDescent="0.25">
      <c r="A133" s="54" t="s">
        <v>220</v>
      </c>
      <c r="B133" s="54" t="s">
        <v>221</v>
      </c>
      <c r="C133" s="32">
        <v>4301135865</v>
      </c>
      <c r="D133" s="295">
        <v>4620207491485</v>
      </c>
      <c r="E133" s="296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44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83"/>
      <c r="R133" s="283"/>
      <c r="S133" s="283"/>
      <c r="T133" s="284"/>
      <c r="U133" s="35"/>
      <c r="V133" s="35"/>
      <c r="W133" s="36" t="s">
        <v>68</v>
      </c>
      <c r="X133" s="278">
        <v>322</v>
      </c>
      <c r="Y133" s="279">
        <f>IFERROR(IF(X133="","",X133),"")</f>
        <v>322</v>
      </c>
      <c r="Z133" s="37">
        <f>IFERROR(IF(X133="","",X133*0.00941),"")</f>
        <v>3.0300199999999999</v>
      </c>
      <c r="AA133" s="56"/>
      <c r="AB133" s="57"/>
      <c r="AC133" s="172" t="s">
        <v>215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579.6</v>
      </c>
      <c r="BN133" s="67">
        <f>IFERROR(Y133*I133,"0")</f>
        <v>579.6</v>
      </c>
      <c r="BO133" s="67">
        <f>IFERROR(X133/J133,"0")</f>
        <v>2.2999999999999998</v>
      </c>
      <c r="BP133" s="67">
        <f>IFERROR(Y133/J133,"0")</f>
        <v>2.2999999999999998</v>
      </c>
    </row>
    <row r="134" spans="1:68" x14ac:dyDescent="0.2">
      <c r="A134" s="292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294"/>
      <c r="P134" s="287" t="s">
        <v>87</v>
      </c>
      <c r="Q134" s="288"/>
      <c r="R134" s="288"/>
      <c r="S134" s="288"/>
      <c r="T134" s="288"/>
      <c r="U134" s="288"/>
      <c r="V134" s="289"/>
      <c r="W134" s="38" t="s">
        <v>68</v>
      </c>
      <c r="X134" s="280">
        <f>IFERROR(SUM(X130:X133),"0")</f>
        <v>504</v>
      </c>
      <c r="Y134" s="280">
        <f>IFERROR(SUM(Y130:Y133),"0")</f>
        <v>504</v>
      </c>
      <c r="Z134" s="280">
        <f>IFERROR(IF(Z130="",0,Z130),"0")+IFERROR(IF(Z131="",0,Z131),"0")+IFERROR(IF(Z132="",0,Z132),"0")+IFERROR(IF(Z133="",0,Z133),"0")</f>
        <v>4.7426399999999997</v>
      </c>
      <c r="AA134" s="281"/>
      <c r="AB134" s="281"/>
      <c r="AC134" s="281"/>
    </row>
    <row r="135" spans="1:68" x14ac:dyDescent="0.2">
      <c r="A135" s="293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4"/>
      <c r="P135" s="287" t="s">
        <v>87</v>
      </c>
      <c r="Q135" s="288"/>
      <c r="R135" s="288"/>
      <c r="S135" s="288"/>
      <c r="T135" s="288"/>
      <c r="U135" s="288"/>
      <c r="V135" s="289"/>
      <c r="W135" s="38" t="s">
        <v>88</v>
      </c>
      <c r="X135" s="280">
        <f>IFERROR(SUMPRODUCT(X130:X133*H130:H133),"0")</f>
        <v>695.52</v>
      </c>
      <c r="Y135" s="280">
        <f>IFERROR(SUMPRODUCT(Y130:Y133*H130:H133),"0")</f>
        <v>695.52</v>
      </c>
      <c r="Z135" s="38"/>
      <c r="AA135" s="281"/>
      <c r="AB135" s="281"/>
      <c r="AC135" s="281"/>
    </row>
    <row r="136" spans="1:68" ht="14.25" customHeight="1" x14ac:dyDescent="0.25">
      <c r="A136" s="304" t="s">
        <v>222</v>
      </c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3"/>
      <c r="P136" s="293"/>
      <c r="Q136" s="293"/>
      <c r="R136" s="293"/>
      <c r="S136" s="293"/>
      <c r="T136" s="293"/>
      <c r="U136" s="293"/>
      <c r="V136" s="293"/>
      <c r="W136" s="293"/>
      <c r="X136" s="293"/>
      <c r="Y136" s="293"/>
      <c r="Z136" s="293"/>
      <c r="AA136" s="274"/>
      <c r="AB136" s="274"/>
      <c r="AC136" s="274"/>
    </row>
    <row r="137" spans="1:68" ht="27" customHeight="1" x14ac:dyDescent="0.25">
      <c r="A137" s="54" t="s">
        <v>223</v>
      </c>
      <c r="B137" s="54" t="s">
        <v>224</v>
      </c>
      <c r="C137" s="32">
        <v>4301190117</v>
      </c>
      <c r="D137" s="295">
        <v>4620207491386</v>
      </c>
      <c r="E137" s="296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3"/>
      <c r="R137" s="283"/>
      <c r="S137" s="283"/>
      <c r="T137" s="284"/>
      <c r="U137" s="35"/>
      <c r="V137" s="35"/>
      <c r="W137" s="36" t="s">
        <v>68</v>
      </c>
      <c r="X137" s="278">
        <v>28</v>
      </c>
      <c r="Y137" s="279">
        <f>IFERROR(IF(X137="","",X137),"")</f>
        <v>28</v>
      </c>
      <c r="Z137" s="37">
        <f>IFERROR(IF(X137="","",X137*0.00941),"")</f>
        <v>0.26347999999999999</v>
      </c>
      <c r="AA137" s="56"/>
      <c r="AB137" s="57"/>
      <c r="AC137" s="174" t="s">
        <v>225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39.143999999999998</v>
      </c>
      <c r="BN137" s="67">
        <f>IFERROR(Y137*I137,"0")</f>
        <v>39.143999999999998</v>
      </c>
      <c r="BO137" s="67">
        <f>IFERROR(X137/J137,"0")</f>
        <v>0.2</v>
      </c>
      <c r="BP137" s="67">
        <f>IFERROR(Y137/J137,"0")</f>
        <v>0.2</v>
      </c>
    </row>
    <row r="138" spans="1:68" ht="27" customHeight="1" x14ac:dyDescent="0.25">
      <c r="A138" s="54" t="s">
        <v>226</v>
      </c>
      <c r="B138" s="54" t="s">
        <v>227</v>
      </c>
      <c r="C138" s="32">
        <v>4301190115</v>
      </c>
      <c r="D138" s="295">
        <v>4620207491362</v>
      </c>
      <c r="E138" s="296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8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3"/>
      <c r="R138" s="283"/>
      <c r="S138" s="283"/>
      <c r="T138" s="284"/>
      <c r="U138" s="35"/>
      <c r="V138" s="35"/>
      <c r="W138" s="36" t="s">
        <v>68</v>
      </c>
      <c r="X138" s="278">
        <v>168</v>
      </c>
      <c r="Y138" s="279">
        <f>IFERROR(IF(X138="","",X138),"")</f>
        <v>168</v>
      </c>
      <c r="Z138" s="37">
        <f>IFERROR(IF(X138="","",X138*0.00941),"")</f>
        <v>1.5808800000000001</v>
      </c>
      <c r="AA138" s="56"/>
      <c r="AB138" s="57"/>
      <c r="AC138" s="176" t="s">
        <v>225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234.86399999999998</v>
      </c>
      <c r="BN138" s="67">
        <f>IFERROR(Y138*I138,"0")</f>
        <v>234.86399999999998</v>
      </c>
      <c r="BO138" s="67">
        <f>IFERROR(X138/J138,"0")</f>
        <v>1.2</v>
      </c>
      <c r="BP138" s="67">
        <f>IFERROR(Y138/J138,"0")</f>
        <v>1.2</v>
      </c>
    </row>
    <row r="139" spans="1:68" ht="27" customHeight="1" x14ac:dyDescent="0.25">
      <c r="A139" s="54" t="s">
        <v>228</v>
      </c>
      <c r="B139" s="54" t="s">
        <v>229</v>
      </c>
      <c r="C139" s="32">
        <v>4301190116</v>
      </c>
      <c r="D139" s="295">
        <v>4620207491379</v>
      </c>
      <c r="E139" s="296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43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3"/>
      <c r="R139" s="283"/>
      <c r="S139" s="283"/>
      <c r="T139" s="284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225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92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294"/>
      <c r="P140" s="287" t="s">
        <v>87</v>
      </c>
      <c r="Q140" s="288"/>
      <c r="R140" s="288"/>
      <c r="S140" s="288"/>
      <c r="T140" s="288"/>
      <c r="U140" s="288"/>
      <c r="V140" s="289"/>
      <c r="W140" s="38" t="s">
        <v>68</v>
      </c>
      <c r="X140" s="280">
        <f>IFERROR(SUM(X137:X139),"0")</f>
        <v>196</v>
      </c>
      <c r="Y140" s="280">
        <f>IFERROR(SUM(Y137:Y139),"0")</f>
        <v>196</v>
      </c>
      <c r="Z140" s="280">
        <f>IFERROR(IF(Z137="",0,Z137),"0")+IFERROR(IF(Z138="",0,Z138),"0")+IFERROR(IF(Z139="",0,Z139),"0")</f>
        <v>1.84436</v>
      </c>
      <c r="AA140" s="281"/>
      <c r="AB140" s="281"/>
      <c r="AC140" s="281"/>
    </row>
    <row r="141" spans="1:68" x14ac:dyDescent="0.2">
      <c r="A141" s="29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294"/>
      <c r="P141" s="287" t="s">
        <v>87</v>
      </c>
      <c r="Q141" s="288"/>
      <c r="R141" s="288"/>
      <c r="S141" s="288"/>
      <c r="T141" s="288"/>
      <c r="U141" s="288"/>
      <c r="V141" s="289"/>
      <c r="W141" s="38" t="s">
        <v>88</v>
      </c>
      <c r="X141" s="280">
        <f>IFERROR(SUMPRODUCT(X137:X139*H137:H139),"0")</f>
        <v>211.68</v>
      </c>
      <c r="Y141" s="280">
        <f>IFERROR(SUMPRODUCT(Y137:Y139*H137:H139),"0")</f>
        <v>211.68</v>
      </c>
      <c r="Z141" s="38"/>
      <c r="AA141" s="281"/>
      <c r="AB141" s="281"/>
      <c r="AC141" s="281"/>
    </row>
    <row r="142" spans="1:68" ht="16.5" customHeight="1" x14ac:dyDescent="0.25">
      <c r="A142" s="310" t="s">
        <v>230</v>
      </c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  <c r="AA142" s="273"/>
      <c r="AB142" s="273"/>
      <c r="AC142" s="273"/>
    </row>
    <row r="143" spans="1:68" ht="14.25" customHeight="1" x14ac:dyDescent="0.25">
      <c r="A143" s="304" t="s">
        <v>135</v>
      </c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3"/>
      <c r="O143" s="293"/>
      <c r="P143" s="293"/>
      <c r="Q143" s="293"/>
      <c r="R143" s="293"/>
      <c r="S143" s="293"/>
      <c r="T143" s="293"/>
      <c r="U143" s="293"/>
      <c r="V143" s="293"/>
      <c r="W143" s="293"/>
      <c r="X143" s="293"/>
      <c r="Y143" s="293"/>
      <c r="Z143" s="293"/>
      <c r="AA143" s="274"/>
      <c r="AB143" s="274"/>
      <c r="AC143" s="274"/>
    </row>
    <row r="144" spans="1:68" ht="27" customHeight="1" x14ac:dyDescent="0.25">
      <c r="A144" s="54" t="s">
        <v>231</v>
      </c>
      <c r="B144" s="54" t="s">
        <v>232</v>
      </c>
      <c r="C144" s="32">
        <v>4301135555</v>
      </c>
      <c r="D144" s="295">
        <v>4607111034014</v>
      </c>
      <c r="E144" s="296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28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83"/>
      <c r="R144" s="283"/>
      <c r="S144" s="283"/>
      <c r="T144" s="284"/>
      <c r="U144" s="35"/>
      <c r="V144" s="35"/>
      <c r="W144" s="36" t="s">
        <v>68</v>
      </c>
      <c r="X144" s="278">
        <v>252</v>
      </c>
      <c r="Y144" s="279">
        <f>IFERROR(IF(X144="","",X144),"")</f>
        <v>252</v>
      </c>
      <c r="Z144" s="37">
        <f>IFERROR(IF(X144="","",X144*0.01788),"")</f>
        <v>4.5057600000000004</v>
      </c>
      <c r="AA144" s="56"/>
      <c r="AB144" s="57"/>
      <c r="AC144" s="180" t="s">
        <v>233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933.30719999999997</v>
      </c>
      <c r="BN144" s="67">
        <f>IFERROR(Y144*I144,"0")</f>
        <v>933.30719999999997</v>
      </c>
      <c r="BO144" s="67">
        <f>IFERROR(X144/J144,"0")</f>
        <v>3.6</v>
      </c>
      <c r="BP144" s="67">
        <f>IFERROR(Y144/J144,"0")</f>
        <v>3.6</v>
      </c>
    </row>
    <row r="145" spans="1:68" ht="27" customHeight="1" x14ac:dyDescent="0.25">
      <c r="A145" s="54" t="s">
        <v>234</v>
      </c>
      <c r="B145" s="54" t="s">
        <v>235</v>
      </c>
      <c r="C145" s="32">
        <v>4301135532</v>
      </c>
      <c r="D145" s="295">
        <v>4607111033994</v>
      </c>
      <c r="E145" s="296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31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83"/>
      <c r="R145" s="283"/>
      <c r="S145" s="283"/>
      <c r="T145" s="284"/>
      <c r="U145" s="35"/>
      <c r="V145" s="35"/>
      <c r="W145" s="36" t="s">
        <v>68</v>
      </c>
      <c r="X145" s="278">
        <v>0</v>
      </c>
      <c r="Y145" s="279">
        <f>IFERROR(IF(X145="","",X145),"")</f>
        <v>0</v>
      </c>
      <c r="Z145" s="37">
        <f>IFERROR(IF(X145="","",X145*0.01788),"")</f>
        <v>0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92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294"/>
      <c r="P146" s="287" t="s">
        <v>87</v>
      </c>
      <c r="Q146" s="288"/>
      <c r="R146" s="288"/>
      <c r="S146" s="288"/>
      <c r="T146" s="288"/>
      <c r="U146" s="288"/>
      <c r="V146" s="289"/>
      <c r="W146" s="38" t="s">
        <v>68</v>
      </c>
      <c r="X146" s="280">
        <f>IFERROR(SUM(X144:X145),"0")</f>
        <v>252</v>
      </c>
      <c r="Y146" s="280">
        <f>IFERROR(SUM(Y144:Y145),"0")</f>
        <v>252</v>
      </c>
      <c r="Z146" s="280">
        <f>IFERROR(IF(Z144="",0,Z144),"0")+IFERROR(IF(Z145="",0,Z145),"0")</f>
        <v>4.5057600000000004</v>
      </c>
      <c r="AA146" s="281"/>
      <c r="AB146" s="281"/>
      <c r="AC146" s="281"/>
    </row>
    <row r="147" spans="1:68" x14ac:dyDescent="0.2">
      <c r="A147" s="293"/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4"/>
      <c r="P147" s="287" t="s">
        <v>87</v>
      </c>
      <c r="Q147" s="288"/>
      <c r="R147" s="288"/>
      <c r="S147" s="288"/>
      <c r="T147" s="288"/>
      <c r="U147" s="288"/>
      <c r="V147" s="289"/>
      <c r="W147" s="38" t="s">
        <v>88</v>
      </c>
      <c r="X147" s="280">
        <f>IFERROR(SUMPRODUCT(X144:X145*H144:H145),"0")</f>
        <v>756</v>
      </c>
      <c r="Y147" s="280">
        <f>IFERROR(SUMPRODUCT(Y144:Y145*H144:H145),"0")</f>
        <v>756</v>
      </c>
      <c r="Z147" s="38"/>
      <c r="AA147" s="281"/>
      <c r="AB147" s="281"/>
      <c r="AC147" s="281"/>
    </row>
    <row r="148" spans="1:68" ht="16.5" customHeight="1" x14ac:dyDescent="0.25">
      <c r="A148" s="310" t="s">
        <v>236</v>
      </c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  <c r="AA148" s="273"/>
      <c r="AB148" s="273"/>
      <c r="AC148" s="273"/>
    </row>
    <row r="149" spans="1:68" ht="14.25" customHeight="1" x14ac:dyDescent="0.25">
      <c r="A149" s="304" t="s">
        <v>135</v>
      </c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3"/>
      <c r="P149" s="293"/>
      <c r="Q149" s="293"/>
      <c r="R149" s="293"/>
      <c r="S149" s="293"/>
      <c r="T149" s="293"/>
      <c r="U149" s="293"/>
      <c r="V149" s="293"/>
      <c r="W149" s="293"/>
      <c r="X149" s="293"/>
      <c r="Y149" s="293"/>
      <c r="Z149" s="293"/>
      <c r="AA149" s="274"/>
      <c r="AB149" s="274"/>
      <c r="AC149" s="274"/>
    </row>
    <row r="150" spans="1:68" ht="27" customHeight="1" x14ac:dyDescent="0.25">
      <c r="A150" s="54" t="s">
        <v>237</v>
      </c>
      <c r="B150" s="54" t="s">
        <v>238</v>
      </c>
      <c r="C150" s="32">
        <v>4301135824</v>
      </c>
      <c r="D150" s="295">
        <v>4607111039095</v>
      </c>
      <c r="E150" s="296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29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83"/>
      <c r="R150" s="283"/>
      <c r="S150" s="283"/>
      <c r="T150" s="284"/>
      <c r="U150" s="35"/>
      <c r="V150" s="35"/>
      <c r="W150" s="36" t="s">
        <v>68</v>
      </c>
      <c r="X150" s="278">
        <v>56</v>
      </c>
      <c r="Y150" s="279">
        <f>IFERROR(IF(X150="","",X150),"")</f>
        <v>56</v>
      </c>
      <c r="Z150" s="37">
        <f>IFERROR(IF(X150="","",X150*0.01788),"")</f>
        <v>1.0012799999999999</v>
      </c>
      <c r="AA150" s="56"/>
      <c r="AB150" s="57"/>
      <c r="AC150" s="184" t="s">
        <v>239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209.88800000000001</v>
      </c>
      <c r="BN150" s="67">
        <f>IFERROR(Y150*I150,"0")</f>
        <v>209.88800000000001</v>
      </c>
      <c r="BO150" s="67">
        <f>IFERROR(X150/J150,"0")</f>
        <v>0.8</v>
      </c>
      <c r="BP150" s="67">
        <f>IFERROR(Y150/J150,"0")</f>
        <v>0.8</v>
      </c>
    </row>
    <row r="151" spans="1:68" ht="16.5" customHeight="1" x14ac:dyDescent="0.25">
      <c r="A151" s="54" t="s">
        <v>240</v>
      </c>
      <c r="B151" s="54" t="s">
        <v>241</v>
      </c>
      <c r="C151" s="32">
        <v>4301135946</v>
      </c>
      <c r="D151" s="295">
        <v>4620207491553</v>
      </c>
      <c r="E151" s="296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4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3"/>
      <c r="R151" s="283"/>
      <c r="S151" s="283"/>
      <c r="T151" s="284"/>
      <c r="U151" s="35"/>
      <c r="V151" s="35"/>
      <c r="W151" s="36" t="s">
        <v>68</v>
      </c>
      <c r="X151" s="278">
        <v>84</v>
      </c>
      <c r="Y151" s="279">
        <f>IFERROR(IF(X151="","",X151),"")</f>
        <v>84</v>
      </c>
      <c r="Z151" s="37">
        <f>IFERROR(IF(X151="","",X151*0.01788),"")</f>
        <v>1.5019199999999999</v>
      </c>
      <c r="AA151" s="56"/>
      <c r="AB151" s="57"/>
      <c r="AC151" s="186" t="s">
        <v>242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311.10239999999999</v>
      </c>
      <c r="BN151" s="67">
        <f>IFERROR(Y151*I151,"0")</f>
        <v>311.10239999999999</v>
      </c>
      <c r="BO151" s="67">
        <f>IFERROR(X151/J151,"0")</f>
        <v>1.2</v>
      </c>
      <c r="BP151" s="67">
        <f>IFERROR(Y151/J151,"0")</f>
        <v>1.2</v>
      </c>
    </row>
    <row r="152" spans="1:68" x14ac:dyDescent="0.2">
      <c r="A152" s="292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294"/>
      <c r="P152" s="287" t="s">
        <v>87</v>
      </c>
      <c r="Q152" s="288"/>
      <c r="R152" s="288"/>
      <c r="S152" s="288"/>
      <c r="T152" s="288"/>
      <c r="U152" s="288"/>
      <c r="V152" s="289"/>
      <c r="W152" s="38" t="s">
        <v>68</v>
      </c>
      <c r="X152" s="280">
        <f>IFERROR(SUM(X150:X151),"0")</f>
        <v>140</v>
      </c>
      <c r="Y152" s="280">
        <f>IFERROR(SUM(Y150:Y151),"0")</f>
        <v>140</v>
      </c>
      <c r="Z152" s="280">
        <f>IFERROR(IF(Z150="",0,Z150),"0")+IFERROR(IF(Z151="",0,Z151),"0")</f>
        <v>2.5031999999999996</v>
      </c>
      <c r="AA152" s="281"/>
      <c r="AB152" s="281"/>
      <c r="AC152" s="281"/>
    </row>
    <row r="153" spans="1:68" x14ac:dyDescent="0.2">
      <c r="A153" s="293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4"/>
      <c r="P153" s="287" t="s">
        <v>87</v>
      </c>
      <c r="Q153" s="288"/>
      <c r="R153" s="288"/>
      <c r="S153" s="288"/>
      <c r="T153" s="288"/>
      <c r="U153" s="288"/>
      <c r="V153" s="289"/>
      <c r="W153" s="38" t="s">
        <v>88</v>
      </c>
      <c r="X153" s="280">
        <f>IFERROR(SUMPRODUCT(X150:X151*H150:H151),"0")</f>
        <v>420</v>
      </c>
      <c r="Y153" s="280">
        <f>IFERROR(SUMPRODUCT(Y150:Y151*H150:H151),"0")</f>
        <v>420</v>
      </c>
      <c r="Z153" s="38"/>
      <c r="AA153" s="281"/>
      <c r="AB153" s="281"/>
      <c r="AC153" s="281"/>
    </row>
    <row r="154" spans="1:68" ht="16.5" customHeight="1" x14ac:dyDescent="0.25">
      <c r="A154" s="310" t="s">
        <v>243</v>
      </c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  <c r="Y154" s="293"/>
      <c r="Z154" s="293"/>
      <c r="AA154" s="273"/>
      <c r="AB154" s="273"/>
      <c r="AC154" s="273"/>
    </row>
    <row r="155" spans="1:68" ht="14.25" customHeight="1" x14ac:dyDescent="0.25">
      <c r="A155" s="304" t="s">
        <v>135</v>
      </c>
      <c r="B155" s="293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3"/>
      <c r="R155" s="293"/>
      <c r="S155" s="293"/>
      <c r="T155" s="293"/>
      <c r="U155" s="293"/>
      <c r="V155" s="293"/>
      <c r="W155" s="293"/>
      <c r="X155" s="293"/>
      <c r="Y155" s="293"/>
      <c r="Z155" s="293"/>
      <c r="AA155" s="274"/>
      <c r="AB155" s="274"/>
      <c r="AC155" s="274"/>
    </row>
    <row r="156" spans="1:68" ht="27" customHeight="1" x14ac:dyDescent="0.25">
      <c r="A156" s="54" t="s">
        <v>244</v>
      </c>
      <c r="B156" s="54" t="s">
        <v>245</v>
      </c>
      <c r="C156" s="32">
        <v>4301135753</v>
      </c>
      <c r="D156" s="295">
        <v>4620207490914</v>
      </c>
      <c r="E156" s="296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40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83"/>
      <c r="R156" s="283"/>
      <c r="S156" s="283"/>
      <c r="T156" s="284"/>
      <c r="U156" s="35"/>
      <c r="V156" s="35"/>
      <c r="W156" s="36" t="s">
        <v>68</v>
      </c>
      <c r="X156" s="278">
        <v>28</v>
      </c>
      <c r="Y156" s="279">
        <f>IFERROR(IF(X156="","",X156),"")</f>
        <v>28</v>
      </c>
      <c r="Z156" s="37">
        <f>IFERROR(IF(X156="","",X156*0.01788),"")</f>
        <v>0.50063999999999997</v>
      </c>
      <c r="AA156" s="56"/>
      <c r="AB156" s="57"/>
      <c r="AC156" s="188" t="s">
        <v>233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75.040000000000006</v>
      </c>
      <c r="BN156" s="67">
        <f>IFERROR(Y156*I156,"0")</f>
        <v>75.040000000000006</v>
      </c>
      <c r="BO156" s="67">
        <f>IFERROR(X156/J156,"0")</f>
        <v>0.4</v>
      </c>
      <c r="BP156" s="67">
        <f>IFERROR(Y156/J156,"0")</f>
        <v>0.4</v>
      </c>
    </row>
    <row r="157" spans="1:68" ht="27" customHeight="1" x14ac:dyDescent="0.25">
      <c r="A157" s="54" t="s">
        <v>246</v>
      </c>
      <c r="B157" s="54" t="s">
        <v>247</v>
      </c>
      <c r="C157" s="32">
        <v>4301135778</v>
      </c>
      <c r="D157" s="295">
        <v>4620207490853</v>
      </c>
      <c r="E157" s="296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29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83"/>
      <c r="R157" s="283"/>
      <c r="S157" s="283"/>
      <c r="T157" s="284"/>
      <c r="U157" s="35"/>
      <c r="V157" s="35"/>
      <c r="W157" s="36" t="s">
        <v>68</v>
      </c>
      <c r="X157" s="278">
        <v>0</v>
      </c>
      <c r="Y157" s="279">
        <f>IFERROR(IF(X157="","",X157),"")</f>
        <v>0</v>
      </c>
      <c r="Z157" s="37">
        <f>IFERROR(IF(X157="","",X157*0.01788),"")</f>
        <v>0</v>
      </c>
      <c r="AA157" s="56"/>
      <c r="AB157" s="57"/>
      <c r="AC157" s="190" t="s">
        <v>233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92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4"/>
      <c r="P158" s="287" t="s">
        <v>87</v>
      </c>
      <c r="Q158" s="288"/>
      <c r="R158" s="288"/>
      <c r="S158" s="288"/>
      <c r="T158" s="288"/>
      <c r="U158" s="288"/>
      <c r="V158" s="289"/>
      <c r="W158" s="38" t="s">
        <v>68</v>
      </c>
      <c r="X158" s="280">
        <f>IFERROR(SUM(X156:X157),"0")</f>
        <v>28</v>
      </c>
      <c r="Y158" s="280">
        <f>IFERROR(SUM(Y156:Y157),"0")</f>
        <v>28</v>
      </c>
      <c r="Z158" s="280">
        <f>IFERROR(IF(Z156="",0,Z156),"0")+IFERROR(IF(Z157="",0,Z157),"0")</f>
        <v>0.50063999999999997</v>
      </c>
      <c r="AA158" s="281"/>
      <c r="AB158" s="281"/>
      <c r="AC158" s="281"/>
    </row>
    <row r="159" spans="1:68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4"/>
      <c r="P159" s="287" t="s">
        <v>87</v>
      </c>
      <c r="Q159" s="288"/>
      <c r="R159" s="288"/>
      <c r="S159" s="288"/>
      <c r="T159" s="288"/>
      <c r="U159" s="288"/>
      <c r="V159" s="289"/>
      <c r="W159" s="38" t="s">
        <v>88</v>
      </c>
      <c r="X159" s="280">
        <f>IFERROR(SUMPRODUCT(X156:X157*H156:H157),"0")</f>
        <v>67.2</v>
      </c>
      <c r="Y159" s="280">
        <f>IFERROR(SUMPRODUCT(Y156:Y157*H156:H157),"0")</f>
        <v>67.2</v>
      </c>
      <c r="Z159" s="38"/>
      <c r="AA159" s="281"/>
      <c r="AB159" s="281"/>
      <c r="AC159" s="281"/>
    </row>
    <row r="160" spans="1:68" ht="16.5" customHeight="1" x14ac:dyDescent="0.25">
      <c r="A160" s="310" t="s">
        <v>248</v>
      </c>
      <c r="B160" s="293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293"/>
      <c r="P160" s="293"/>
      <c r="Q160" s="293"/>
      <c r="R160" s="293"/>
      <c r="S160" s="293"/>
      <c r="T160" s="293"/>
      <c r="U160" s="293"/>
      <c r="V160" s="293"/>
      <c r="W160" s="293"/>
      <c r="X160" s="293"/>
      <c r="Y160" s="293"/>
      <c r="Z160" s="293"/>
      <c r="AA160" s="273"/>
      <c r="AB160" s="273"/>
      <c r="AC160" s="273"/>
    </row>
    <row r="161" spans="1:68" ht="14.25" customHeight="1" x14ac:dyDescent="0.25">
      <c r="A161" s="304" t="s">
        <v>135</v>
      </c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  <c r="AA161" s="274"/>
      <c r="AB161" s="274"/>
      <c r="AC161" s="274"/>
    </row>
    <row r="162" spans="1:68" ht="27" customHeight="1" x14ac:dyDescent="0.25">
      <c r="A162" s="54" t="s">
        <v>249</v>
      </c>
      <c r="B162" s="54" t="s">
        <v>250</v>
      </c>
      <c r="C162" s="32">
        <v>4301135570</v>
      </c>
      <c r="D162" s="295">
        <v>4607111035806</v>
      </c>
      <c r="E162" s="296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101</v>
      </c>
      <c r="M162" s="34" t="s">
        <v>67</v>
      </c>
      <c r="N162" s="34"/>
      <c r="O162" s="33">
        <v>180</v>
      </c>
      <c r="P162" s="42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283"/>
      <c r="R162" s="283"/>
      <c r="S162" s="283"/>
      <c r="T162" s="284"/>
      <c r="U162" s="35"/>
      <c r="V162" s="35"/>
      <c r="W162" s="36" t="s">
        <v>68</v>
      </c>
      <c r="X162" s="278">
        <v>0</v>
      </c>
      <c r="Y162" s="279">
        <f>IFERROR(IF(X162="","",X162),"")</f>
        <v>0</v>
      </c>
      <c r="Z162" s="37">
        <f>IFERROR(IF(X162="","",X162*0.01788),"")</f>
        <v>0</v>
      </c>
      <c r="AA162" s="56"/>
      <c r="AB162" s="57"/>
      <c r="AC162" s="192" t="s">
        <v>251</v>
      </c>
      <c r="AG162" s="67"/>
      <c r="AJ162" s="71" t="s">
        <v>103</v>
      </c>
      <c r="AK162" s="71">
        <v>14</v>
      </c>
      <c r="BB162" s="193" t="s">
        <v>104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92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4"/>
      <c r="P163" s="287" t="s">
        <v>87</v>
      </c>
      <c r="Q163" s="288"/>
      <c r="R163" s="288"/>
      <c r="S163" s="288"/>
      <c r="T163" s="288"/>
      <c r="U163" s="288"/>
      <c r="V163" s="289"/>
      <c r="W163" s="38" t="s">
        <v>68</v>
      </c>
      <c r="X163" s="280">
        <f>IFERROR(SUM(X162:X162),"0")</f>
        <v>0</v>
      </c>
      <c r="Y163" s="280">
        <f>IFERROR(SUM(Y162:Y162),"0")</f>
        <v>0</v>
      </c>
      <c r="Z163" s="280">
        <f>IFERROR(IF(Z162="",0,Z162),"0")</f>
        <v>0</v>
      </c>
      <c r="AA163" s="281"/>
      <c r="AB163" s="281"/>
      <c r="AC163" s="281"/>
    </row>
    <row r="164" spans="1:68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4"/>
      <c r="P164" s="287" t="s">
        <v>87</v>
      </c>
      <c r="Q164" s="288"/>
      <c r="R164" s="288"/>
      <c r="S164" s="288"/>
      <c r="T164" s="288"/>
      <c r="U164" s="288"/>
      <c r="V164" s="289"/>
      <c r="W164" s="38" t="s">
        <v>88</v>
      </c>
      <c r="X164" s="280">
        <f>IFERROR(SUMPRODUCT(X162:X162*H162:H162),"0")</f>
        <v>0</v>
      </c>
      <c r="Y164" s="280">
        <f>IFERROR(SUMPRODUCT(Y162:Y162*H162:H162),"0")</f>
        <v>0</v>
      </c>
      <c r="Z164" s="38"/>
      <c r="AA164" s="281"/>
      <c r="AB164" s="281"/>
      <c r="AC164" s="281"/>
    </row>
    <row r="165" spans="1:68" ht="16.5" customHeight="1" x14ac:dyDescent="0.25">
      <c r="A165" s="310" t="s">
        <v>252</v>
      </c>
      <c r="B165" s="293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73"/>
      <c r="AB165" s="273"/>
      <c r="AC165" s="273"/>
    </row>
    <row r="166" spans="1:68" ht="14.25" customHeight="1" x14ac:dyDescent="0.25">
      <c r="A166" s="304" t="s">
        <v>135</v>
      </c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  <c r="AA166" s="274"/>
      <c r="AB166" s="274"/>
      <c r="AC166" s="274"/>
    </row>
    <row r="167" spans="1:68" ht="16.5" customHeight="1" x14ac:dyDescent="0.25">
      <c r="A167" s="54" t="s">
        <v>253</v>
      </c>
      <c r="B167" s="54" t="s">
        <v>254</v>
      </c>
      <c r="C167" s="32">
        <v>4301135607</v>
      </c>
      <c r="D167" s="295">
        <v>4607111039613</v>
      </c>
      <c r="E167" s="296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35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3"/>
      <c r="R167" s="283"/>
      <c r="S167" s="283"/>
      <c r="T167" s="284"/>
      <c r="U167" s="35"/>
      <c r="V167" s="35"/>
      <c r="W167" s="36" t="s">
        <v>68</v>
      </c>
      <c r="X167" s="278">
        <v>0</v>
      </c>
      <c r="Y167" s="279">
        <f>IFERROR(IF(X167="","",X167),"")</f>
        <v>0</v>
      </c>
      <c r="Z167" s="37">
        <f>IFERROR(IF(X167="","",X167*0.00936),"")</f>
        <v>0</v>
      </c>
      <c r="AA167" s="56"/>
      <c r="AB167" s="57"/>
      <c r="AC167" s="194" t="s">
        <v>239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92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4"/>
      <c r="P168" s="287" t="s">
        <v>87</v>
      </c>
      <c r="Q168" s="288"/>
      <c r="R168" s="288"/>
      <c r="S168" s="288"/>
      <c r="T168" s="288"/>
      <c r="U168" s="288"/>
      <c r="V168" s="289"/>
      <c r="W168" s="38" t="s">
        <v>68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4"/>
      <c r="P169" s="287" t="s">
        <v>87</v>
      </c>
      <c r="Q169" s="288"/>
      <c r="R169" s="288"/>
      <c r="S169" s="288"/>
      <c r="T169" s="288"/>
      <c r="U169" s="288"/>
      <c r="V169" s="289"/>
      <c r="W169" s="38" t="s">
        <v>88</v>
      </c>
      <c r="X169" s="280">
        <f>IFERROR(SUMPRODUCT(X167:X167*H167:H167),"0")</f>
        <v>0</v>
      </c>
      <c r="Y169" s="280">
        <f>IFERROR(SUMPRODUCT(Y167:Y167*H167:H167),"0")</f>
        <v>0</v>
      </c>
      <c r="Z169" s="38"/>
      <c r="AA169" s="281"/>
      <c r="AB169" s="281"/>
      <c r="AC169" s="281"/>
    </row>
    <row r="170" spans="1:68" ht="16.5" customHeight="1" x14ac:dyDescent="0.25">
      <c r="A170" s="310" t="s">
        <v>255</v>
      </c>
      <c r="B170" s="293"/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73"/>
      <c r="AB170" s="273"/>
      <c r="AC170" s="273"/>
    </row>
    <row r="171" spans="1:68" ht="14.25" customHeight="1" x14ac:dyDescent="0.25">
      <c r="A171" s="304" t="s">
        <v>135</v>
      </c>
      <c r="B171" s="293"/>
      <c r="C171" s="293"/>
      <c r="D171" s="293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3"/>
      <c r="P171" s="293"/>
      <c r="Q171" s="293"/>
      <c r="R171" s="293"/>
      <c r="S171" s="293"/>
      <c r="T171" s="293"/>
      <c r="U171" s="293"/>
      <c r="V171" s="293"/>
      <c r="W171" s="293"/>
      <c r="X171" s="293"/>
      <c r="Y171" s="293"/>
      <c r="Z171" s="293"/>
      <c r="AA171" s="274"/>
      <c r="AB171" s="274"/>
      <c r="AC171" s="274"/>
    </row>
    <row r="172" spans="1:68" ht="27" customHeight="1" x14ac:dyDescent="0.25">
      <c r="A172" s="54" t="s">
        <v>256</v>
      </c>
      <c r="B172" s="54" t="s">
        <v>257</v>
      </c>
      <c r="C172" s="32">
        <v>4301135591</v>
      </c>
      <c r="D172" s="295">
        <v>4607111036568</v>
      </c>
      <c r="E172" s="296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29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83"/>
      <c r="R172" s="283"/>
      <c r="S172" s="283"/>
      <c r="T172" s="284"/>
      <c r="U172" s="35"/>
      <c r="V172" s="35"/>
      <c r="W172" s="36" t="s">
        <v>68</v>
      </c>
      <c r="X172" s="278">
        <v>154</v>
      </c>
      <c r="Y172" s="279">
        <f>IFERROR(IF(X172="","",X172),"")</f>
        <v>154</v>
      </c>
      <c r="Z172" s="37">
        <f>IFERROR(IF(X172="","",X172*0.00941),"")</f>
        <v>1.4491400000000001</v>
      </c>
      <c r="AA172" s="56"/>
      <c r="AB172" s="57"/>
      <c r="AC172" s="196" t="s">
        <v>258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323.67719999999997</v>
      </c>
      <c r="BN172" s="67">
        <f>IFERROR(Y172*I172,"0")</f>
        <v>323.67719999999997</v>
      </c>
      <c r="BO172" s="67">
        <f>IFERROR(X172/J172,"0")</f>
        <v>1.1000000000000001</v>
      </c>
      <c r="BP172" s="67">
        <f>IFERROR(Y172/J172,"0")</f>
        <v>1.1000000000000001</v>
      </c>
    </row>
    <row r="173" spans="1:68" x14ac:dyDescent="0.2">
      <c r="A173" s="292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294"/>
      <c r="P173" s="287" t="s">
        <v>87</v>
      </c>
      <c r="Q173" s="288"/>
      <c r="R173" s="288"/>
      <c r="S173" s="288"/>
      <c r="T173" s="288"/>
      <c r="U173" s="288"/>
      <c r="V173" s="289"/>
      <c r="W173" s="38" t="s">
        <v>68</v>
      </c>
      <c r="X173" s="280">
        <f>IFERROR(SUM(X172:X172),"0")</f>
        <v>154</v>
      </c>
      <c r="Y173" s="280">
        <f>IFERROR(SUM(Y172:Y172),"0")</f>
        <v>154</v>
      </c>
      <c r="Z173" s="280">
        <f>IFERROR(IF(Z172="",0,Z172),"0")</f>
        <v>1.4491400000000001</v>
      </c>
      <c r="AA173" s="281"/>
      <c r="AB173" s="281"/>
      <c r="AC173" s="281"/>
    </row>
    <row r="174" spans="1:68" x14ac:dyDescent="0.2">
      <c r="A174" s="293"/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4"/>
      <c r="P174" s="287" t="s">
        <v>87</v>
      </c>
      <c r="Q174" s="288"/>
      <c r="R174" s="288"/>
      <c r="S174" s="288"/>
      <c r="T174" s="288"/>
      <c r="U174" s="288"/>
      <c r="V174" s="289"/>
      <c r="W174" s="38" t="s">
        <v>88</v>
      </c>
      <c r="X174" s="280">
        <f>IFERROR(SUMPRODUCT(X172:X172*H172:H172),"0")</f>
        <v>258.71999999999997</v>
      </c>
      <c r="Y174" s="280">
        <f>IFERROR(SUMPRODUCT(Y172:Y172*H172:H172),"0")</f>
        <v>258.71999999999997</v>
      </c>
      <c r="Z174" s="38"/>
      <c r="AA174" s="281"/>
      <c r="AB174" s="281"/>
      <c r="AC174" s="281"/>
    </row>
    <row r="175" spans="1:68" ht="27.75" customHeight="1" x14ac:dyDescent="0.2">
      <c r="A175" s="362" t="s">
        <v>259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49"/>
      <c r="AB175" s="49"/>
      <c r="AC175" s="49"/>
    </row>
    <row r="176" spans="1:68" ht="16.5" customHeight="1" x14ac:dyDescent="0.25">
      <c r="A176" s="310" t="s">
        <v>260</v>
      </c>
      <c r="B176" s="293"/>
      <c r="C176" s="293"/>
      <c r="D176" s="293"/>
      <c r="E176" s="293"/>
      <c r="F176" s="293"/>
      <c r="G176" s="293"/>
      <c r="H176" s="293"/>
      <c r="I176" s="293"/>
      <c r="J176" s="293"/>
      <c r="K176" s="293"/>
      <c r="L176" s="293"/>
      <c r="M176" s="293"/>
      <c r="N176" s="293"/>
      <c r="O176" s="293"/>
      <c r="P176" s="293"/>
      <c r="Q176" s="293"/>
      <c r="R176" s="293"/>
      <c r="S176" s="293"/>
      <c r="T176" s="293"/>
      <c r="U176" s="293"/>
      <c r="V176" s="293"/>
      <c r="W176" s="293"/>
      <c r="X176" s="293"/>
      <c r="Y176" s="293"/>
      <c r="Z176" s="293"/>
      <c r="AA176" s="273"/>
      <c r="AB176" s="273"/>
      <c r="AC176" s="273"/>
    </row>
    <row r="177" spans="1:68" ht="14.25" customHeight="1" x14ac:dyDescent="0.25">
      <c r="A177" s="304" t="s">
        <v>62</v>
      </c>
      <c r="B177" s="293"/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293"/>
      <c r="P177" s="293"/>
      <c r="Q177" s="293"/>
      <c r="R177" s="293"/>
      <c r="S177" s="293"/>
      <c r="T177" s="293"/>
      <c r="U177" s="293"/>
      <c r="V177" s="293"/>
      <c r="W177" s="293"/>
      <c r="X177" s="293"/>
      <c r="Y177" s="293"/>
      <c r="Z177" s="293"/>
      <c r="AA177" s="274"/>
      <c r="AB177" s="274"/>
      <c r="AC177" s="274"/>
    </row>
    <row r="178" spans="1:68" ht="16.5" customHeight="1" x14ac:dyDescent="0.25">
      <c r="A178" s="54" t="s">
        <v>261</v>
      </c>
      <c r="B178" s="54" t="s">
        <v>262</v>
      </c>
      <c r="C178" s="32">
        <v>4301071062</v>
      </c>
      <c r="D178" s="295">
        <v>4607111036384</v>
      </c>
      <c r="E178" s="296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43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83"/>
      <c r="R178" s="283"/>
      <c r="S178" s="283"/>
      <c r="T178" s="284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263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customHeight="1" x14ac:dyDescent="0.25">
      <c r="A179" s="54" t="s">
        <v>264</v>
      </c>
      <c r="B179" s="54" t="s">
        <v>265</v>
      </c>
      <c r="C179" s="32">
        <v>4301071050</v>
      </c>
      <c r="D179" s="295">
        <v>4607111036216</v>
      </c>
      <c r="E179" s="296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83"/>
      <c r="R179" s="283"/>
      <c r="S179" s="283"/>
      <c r="T179" s="284"/>
      <c r="U179" s="35"/>
      <c r="V179" s="35"/>
      <c r="W179" s="36" t="s">
        <v>68</v>
      </c>
      <c r="X179" s="278">
        <v>12</v>
      </c>
      <c r="Y179" s="279">
        <f>IFERROR(IF(X179="","",X179),"")</f>
        <v>12</v>
      </c>
      <c r="Z179" s="37">
        <f>IFERROR(IF(X179="","",X179*0.00866),"")</f>
        <v>0.10391999999999998</v>
      </c>
      <c r="AA179" s="56"/>
      <c r="AB179" s="57"/>
      <c r="AC179" s="200" t="s">
        <v>266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62.558399999999992</v>
      </c>
      <c r="BN179" s="67">
        <f>IFERROR(Y179*I179,"0")</f>
        <v>62.558399999999992</v>
      </c>
      <c r="BO179" s="67">
        <f>IFERROR(X179/J179,"0")</f>
        <v>8.3333333333333329E-2</v>
      </c>
      <c r="BP179" s="67">
        <f>IFERROR(Y179/J179,"0")</f>
        <v>8.3333333333333329E-2</v>
      </c>
    </row>
    <row r="180" spans="1:68" x14ac:dyDescent="0.2">
      <c r="A180" s="292"/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4"/>
      <c r="P180" s="287" t="s">
        <v>87</v>
      </c>
      <c r="Q180" s="288"/>
      <c r="R180" s="288"/>
      <c r="S180" s="288"/>
      <c r="T180" s="288"/>
      <c r="U180" s="288"/>
      <c r="V180" s="289"/>
      <c r="W180" s="38" t="s">
        <v>68</v>
      </c>
      <c r="X180" s="280">
        <f>IFERROR(SUM(X178:X179),"0")</f>
        <v>12</v>
      </c>
      <c r="Y180" s="280">
        <f>IFERROR(SUM(Y178:Y179),"0")</f>
        <v>12</v>
      </c>
      <c r="Z180" s="280">
        <f>IFERROR(IF(Z178="",0,Z178),"0")+IFERROR(IF(Z179="",0,Z179),"0")</f>
        <v>0.10391999999999998</v>
      </c>
      <c r="AA180" s="281"/>
      <c r="AB180" s="281"/>
      <c r="AC180" s="281"/>
    </row>
    <row r="181" spans="1:68" x14ac:dyDescent="0.2">
      <c r="A181" s="293"/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4"/>
      <c r="P181" s="287" t="s">
        <v>87</v>
      </c>
      <c r="Q181" s="288"/>
      <c r="R181" s="288"/>
      <c r="S181" s="288"/>
      <c r="T181" s="288"/>
      <c r="U181" s="288"/>
      <c r="V181" s="289"/>
      <c r="W181" s="38" t="s">
        <v>88</v>
      </c>
      <c r="X181" s="280">
        <f>IFERROR(SUMPRODUCT(X178:X179*H178:H179),"0")</f>
        <v>60</v>
      </c>
      <c r="Y181" s="280">
        <f>IFERROR(SUMPRODUCT(Y178:Y179*H178:H179),"0")</f>
        <v>60</v>
      </c>
      <c r="Z181" s="38"/>
      <c r="AA181" s="281"/>
      <c r="AB181" s="281"/>
      <c r="AC181" s="281"/>
    </row>
    <row r="182" spans="1:68" ht="16.5" customHeight="1" x14ac:dyDescent="0.25">
      <c r="A182" s="310" t="s">
        <v>267</v>
      </c>
      <c r="B182" s="293"/>
      <c r="C182" s="293"/>
      <c r="D182" s="293"/>
      <c r="E182" s="293"/>
      <c r="F182" s="293"/>
      <c r="G182" s="293"/>
      <c r="H182" s="293"/>
      <c r="I182" s="293"/>
      <c r="J182" s="293"/>
      <c r="K182" s="293"/>
      <c r="L182" s="293"/>
      <c r="M182" s="293"/>
      <c r="N182" s="293"/>
      <c r="O182" s="293"/>
      <c r="P182" s="293"/>
      <c r="Q182" s="293"/>
      <c r="R182" s="293"/>
      <c r="S182" s="293"/>
      <c r="T182" s="293"/>
      <c r="U182" s="293"/>
      <c r="V182" s="293"/>
      <c r="W182" s="293"/>
      <c r="X182" s="293"/>
      <c r="Y182" s="293"/>
      <c r="Z182" s="293"/>
      <c r="AA182" s="273"/>
      <c r="AB182" s="273"/>
      <c r="AC182" s="273"/>
    </row>
    <row r="183" spans="1:68" ht="14.25" customHeight="1" x14ac:dyDescent="0.25">
      <c r="A183" s="304" t="s">
        <v>62</v>
      </c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293"/>
      <c r="P183" s="293"/>
      <c r="Q183" s="293"/>
      <c r="R183" s="293"/>
      <c r="S183" s="293"/>
      <c r="T183" s="293"/>
      <c r="U183" s="293"/>
      <c r="V183" s="293"/>
      <c r="W183" s="293"/>
      <c r="X183" s="293"/>
      <c r="Y183" s="293"/>
      <c r="Z183" s="293"/>
      <c r="AA183" s="274"/>
      <c r="AB183" s="274"/>
      <c r="AC183" s="274"/>
    </row>
    <row r="184" spans="1:68" ht="27" customHeight="1" x14ac:dyDescent="0.25">
      <c r="A184" s="54" t="s">
        <v>268</v>
      </c>
      <c r="B184" s="54" t="s">
        <v>269</v>
      </c>
      <c r="C184" s="32">
        <v>4301071117</v>
      </c>
      <c r="D184" s="295">
        <v>4620207491737</v>
      </c>
      <c r="E184" s="296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33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83"/>
      <c r="R184" s="283"/>
      <c r="S184" s="283"/>
      <c r="T184" s="284"/>
      <c r="U184" s="35"/>
      <c r="V184" s="35"/>
      <c r="W184" s="36" t="s">
        <v>68</v>
      </c>
      <c r="X184" s="278">
        <v>12</v>
      </c>
      <c r="Y184" s="279">
        <f>IFERROR(IF(X184="","",X184),"")</f>
        <v>12</v>
      </c>
      <c r="Z184" s="37">
        <f>IFERROR(IF(X184="","",X184*0.0155),"")</f>
        <v>0.186</v>
      </c>
      <c r="AA184" s="56"/>
      <c r="AB184" s="57"/>
      <c r="AC184" s="202" t="s">
        <v>266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63.143999999999991</v>
      </c>
      <c r="BN184" s="67">
        <f>IFERROR(Y184*I184,"0")</f>
        <v>63.143999999999991</v>
      </c>
      <c r="BO184" s="67">
        <f>IFERROR(X184/J184,"0")</f>
        <v>0.14285714285714285</v>
      </c>
      <c r="BP184" s="67">
        <f>IFERROR(Y184/J184,"0")</f>
        <v>0.14285714285714285</v>
      </c>
    </row>
    <row r="185" spans="1:68" x14ac:dyDescent="0.2">
      <c r="A185" s="292"/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4"/>
      <c r="P185" s="287" t="s">
        <v>87</v>
      </c>
      <c r="Q185" s="288"/>
      <c r="R185" s="288"/>
      <c r="S185" s="288"/>
      <c r="T185" s="288"/>
      <c r="U185" s="288"/>
      <c r="V185" s="289"/>
      <c r="W185" s="38" t="s">
        <v>68</v>
      </c>
      <c r="X185" s="280">
        <f>IFERROR(SUM(X184:X184),"0")</f>
        <v>12</v>
      </c>
      <c r="Y185" s="280">
        <f>IFERROR(SUM(Y184:Y184),"0")</f>
        <v>12</v>
      </c>
      <c r="Z185" s="280">
        <f>IFERROR(IF(Z184="",0,Z184),"0")</f>
        <v>0.186</v>
      </c>
      <c r="AA185" s="281"/>
      <c r="AB185" s="281"/>
      <c r="AC185" s="281"/>
    </row>
    <row r="186" spans="1:68" x14ac:dyDescent="0.2">
      <c r="A186" s="293"/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294"/>
      <c r="P186" s="287" t="s">
        <v>87</v>
      </c>
      <c r="Q186" s="288"/>
      <c r="R186" s="288"/>
      <c r="S186" s="288"/>
      <c r="T186" s="288"/>
      <c r="U186" s="288"/>
      <c r="V186" s="289"/>
      <c r="W186" s="38" t="s">
        <v>88</v>
      </c>
      <c r="X186" s="280">
        <f>IFERROR(SUMPRODUCT(X184:X184*H184:H184),"0")</f>
        <v>60</v>
      </c>
      <c r="Y186" s="280">
        <f>IFERROR(SUMPRODUCT(Y184:Y184*H184:H184),"0")</f>
        <v>60</v>
      </c>
      <c r="Z186" s="38"/>
      <c r="AA186" s="281"/>
      <c r="AB186" s="281"/>
      <c r="AC186" s="281"/>
    </row>
    <row r="187" spans="1:68" ht="27.75" customHeight="1" x14ac:dyDescent="0.2">
      <c r="A187" s="362" t="s">
        <v>270</v>
      </c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63"/>
      <c r="P187" s="36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  <c r="AA187" s="49"/>
      <c r="AB187" s="49"/>
      <c r="AC187" s="49"/>
    </row>
    <row r="188" spans="1:68" ht="16.5" customHeight="1" x14ac:dyDescent="0.25">
      <c r="A188" s="310" t="s">
        <v>271</v>
      </c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293"/>
      <c r="P188" s="293"/>
      <c r="Q188" s="293"/>
      <c r="R188" s="293"/>
      <c r="S188" s="293"/>
      <c r="T188" s="293"/>
      <c r="U188" s="293"/>
      <c r="V188" s="293"/>
      <c r="W188" s="293"/>
      <c r="X188" s="293"/>
      <c r="Y188" s="293"/>
      <c r="Z188" s="293"/>
      <c r="AA188" s="273"/>
      <c r="AB188" s="273"/>
      <c r="AC188" s="273"/>
    </row>
    <row r="189" spans="1:68" ht="14.25" customHeight="1" x14ac:dyDescent="0.25">
      <c r="A189" s="304" t="s">
        <v>97</v>
      </c>
      <c r="B189" s="293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293"/>
      <c r="P189" s="293"/>
      <c r="Q189" s="293"/>
      <c r="R189" s="293"/>
      <c r="S189" s="293"/>
      <c r="T189" s="293"/>
      <c r="U189" s="293"/>
      <c r="V189" s="293"/>
      <c r="W189" s="293"/>
      <c r="X189" s="293"/>
      <c r="Y189" s="293"/>
      <c r="Z189" s="293"/>
      <c r="AA189" s="274"/>
      <c r="AB189" s="274"/>
      <c r="AC189" s="274"/>
    </row>
    <row r="190" spans="1:68" ht="16.5" customHeight="1" x14ac:dyDescent="0.25">
      <c r="A190" s="54" t="s">
        <v>272</v>
      </c>
      <c r="B190" s="54" t="s">
        <v>273</v>
      </c>
      <c r="C190" s="32">
        <v>4301132179</v>
      </c>
      <c r="D190" s="295">
        <v>4607111035691</v>
      </c>
      <c r="E190" s="296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2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83"/>
      <c r="R190" s="283"/>
      <c r="S190" s="283"/>
      <c r="T190" s="284"/>
      <c r="U190" s="35"/>
      <c r="V190" s="35"/>
      <c r="W190" s="36" t="s">
        <v>68</v>
      </c>
      <c r="X190" s="278">
        <v>42</v>
      </c>
      <c r="Y190" s="279">
        <f>IFERROR(IF(X190="","",X190),"")</f>
        <v>42</v>
      </c>
      <c r="Z190" s="37">
        <f>IFERROR(IF(X190="","",X190*0.01788),"")</f>
        <v>0.75095999999999996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142.29599999999999</v>
      </c>
      <c r="BN190" s="67">
        <f>IFERROR(Y190*I190,"0")</f>
        <v>142.29599999999999</v>
      </c>
      <c r="BO190" s="67">
        <f>IFERROR(X190/J190,"0")</f>
        <v>0.6</v>
      </c>
      <c r="BP190" s="67">
        <f>IFERROR(Y190/J190,"0")</f>
        <v>0.6</v>
      </c>
    </row>
    <row r="191" spans="1:68" ht="27" customHeight="1" x14ac:dyDescent="0.25">
      <c r="A191" s="54" t="s">
        <v>275</v>
      </c>
      <c r="B191" s="54" t="s">
        <v>276</v>
      </c>
      <c r="C191" s="32">
        <v>4301132182</v>
      </c>
      <c r="D191" s="295">
        <v>4607111035721</v>
      </c>
      <c r="E191" s="296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44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83"/>
      <c r="R191" s="283"/>
      <c r="S191" s="283"/>
      <c r="T191" s="284"/>
      <c r="U191" s="35"/>
      <c r="V191" s="35"/>
      <c r="W191" s="36" t="s">
        <v>68</v>
      </c>
      <c r="X191" s="278">
        <v>84</v>
      </c>
      <c r="Y191" s="279">
        <f>IFERROR(IF(X191="","",X191),"")</f>
        <v>84</v>
      </c>
      <c r="Z191" s="37">
        <f>IFERROR(IF(X191="","",X191*0.01788),"")</f>
        <v>1.5019199999999999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284.59199999999998</v>
      </c>
      <c r="BN191" s="67">
        <f>IFERROR(Y191*I191,"0")</f>
        <v>284.59199999999998</v>
      </c>
      <c r="BO191" s="67">
        <f>IFERROR(X191/J191,"0")</f>
        <v>1.2</v>
      </c>
      <c r="BP191" s="67">
        <f>IFERROR(Y191/J191,"0")</f>
        <v>1.2</v>
      </c>
    </row>
    <row r="192" spans="1:68" ht="27" customHeight="1" x14ac:dyDescent="0.25">
      <c r="A192" s="54" t="s">
        <v>278</v>
      </c>
      <c r="B192" s="54" t="s">
        <v>279</v>
      </c>
      <c r="C192" s="32">
        <v>4301132170</v>
      </c>
      <c r="D192" s="295">
        <v>4607111038487</v>
      </c>
      <c r="E192" s="296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83"/>
      <c r="R192" s="283"/>
      <c r="S192" s="283"/>
      <c r="T192" s="284"/>
      <c r="U192" s="35"/>
      <c r="V192" s="35"/>
      <c r="W192" s="36" t="s">
        <v>68</v>
      </c>
      <c r="X192" s="278">
        <v>0</v>
      </c>
      <c r="Y192" s="279">
        <f>IFERROR(IF(X192="","",X192),"")</f>
        <v>0</v>
      </c>
      <c r="Z192" s="37">
        <f>IFERROR(IF(X192="","",X192*0.01788),"")</f>
        <v>0</v>
      </c>
      <c r="AA192" s="56"/>
      <c r="AB192" s="57"/>
      <c r="AC192" s="208" t="s">
        <v>280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281</v>
      </c>
      <c r="B193" s="54" t="s">
        <v>282</v>
      </c>
      <c r="C193" s="32">
        <v>4301132243</v>
      </c>
      <c r="D193" s="295">
        <v>4620207491195</v>
      </c>
      <c r="E193" s="296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41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83"/>
      <c r="R193" s="283"/>
      <c r="S193" s="283"/>
      <c r="T193" s="284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283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92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294"/>
      <c r="P194" s="287" t="s">
        <v>87</v>
      </c>
      <c r="Q194" s="288"/>
      <c r="R194" s="288"/>
      <c r="S194" s="288"/>
      <c r="T194" s="288"/>
      <c r="U194" s="288"/>
      <c r="V194" s="289"/>
      <c r="W194" s="38" t="s">
        <v>68</v>
      </c>
      <c r="X194" s="280">
        <f>IFERROR(SUM(X190:X193),"0")</f>
        <v>126</v>
      </c>
      <c r="Y194" s="280">
        <f>IFERROR(SUM(Y190:Y193),"0")</f>
        <v>126</v>
      </c>
      <c r="Z194" s="280">
        <f>IFERROR(IF(Z190="",0,Z190),"0")+IFERROR(IF(Z191="",0,Z191),"0")+IFERROR(IF(Z192="",0,Z192),"0")+IFERROR(IF(Z193="",0,Z193),"0")</f>
        <v>2.2528799999999998</v>
      </c>
      <c r="AA194" s="281"/>
      <c r="AB194" s="281"/>
      <c r="AC194" s="281"/>
    </row>
    <row r="195" spans="1:68" x14ac:dyDescent="0.2">
      <c r="A195" s="293"/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294"/>
      <c r="P195" s="287" t="s">
        <v>87</v>
      </c>
      <c r="Q195" s="288"/>
      <c r="R195" s="288"/>
      <c r="S195" s="288"/>
      <c r="T195" s="288"/>
      <c r="U195" s="288"/>
      <c r="V195" s="289"/>
      <c r="W195" s="38" t="s">
        <v>88</v>
      </c>
      <c r="X195" s="280">
        <f>IFERROR(SUMPRODUCT(X190:X193*H190:H193),"0")</f>
        <v>378</v>
      </c>
      <c r="Y195" s="280">
        <f>IFERROR(SUMPRODUCT(Y190:Y193*H190:H193),"0")</f>
        <v>378</v>
      </c>
      <c r="Z195" s="38"/>
      <c r="AA195" s="281"/>
      <c r="AB195" s="281"/>
      <c r="AC195" s="281"/>
    </row>
    <row r="196" spans="1:68" ht="27.75" customHeight="1" x14ac:dyDescent="0.2">
      <c r="A196" s="362" t="s">
        <v>284</v>
      </c>
      <c r="B196" s="363"/>
      <c r="C196" s="363"/>
      <c r="D196" s="363"/>
      <c r="E196" s="363"/>
      <c r="F196" s="363"/>
      <c r="G196" s="363"/>
      <c r="H196" s="363"/>
      <c r="I196" s="363"/>
      <c r="J196" s="363"/>
      <c r="K196" s="363"/>
      <c r="L196" s="363"/>
      <c r="M196" s="363"/>
      <c r="N196" s="363"/>
      <c r="O196" s="363"/>
      <c r="P196" s="36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  <c r="AA196" s="49"/>
      <c r="AB196" s="49"/>
      <c r="AC196" s="49"/>
    </row>
    <row r="197" spans="1:68" ht="16.5" customHeight="1" x14ac:dyDescent="0.25">
      <c r="A197" s="310" t="s">
        <v>285</v>
      </c>
      <c r="B197" s="293"/>
      <c r="C197" s="293"/>
      <c r="D197" s="293"/>
      <c r="E197" s="293"/>
      <c r="F197" s="293"/>
      <c r="G197" s="293"/>
      <c r="H197" s="293"/>
      <c r="I197" s="293"/>
      <c r="J197" s="293"/>
      <c r="K197" s="293"/>
      <c r="L197" s="293"/>
      <c r="M197" s="293"/>
      <c r="N197" s="293"/>
      <c r="O197" s="293"/>
      <c r="P197" s="293"/>
      <c r="Q197" s="293"/>
      <c r="R197" s="293"/>
      <c r="S197" s="293"/>
      <c r="T197" s="293"/>
      <c r="U197" s="293"/>
      <c r="V197" s="293"/>
      <c r="W197" s="293"/>
      <c r="X197" s="293"/>
      <c r="Y197" s="293"/>
      <c r="Z197" s="293"/>
      <c r="AA197" s="273"/>
      <c r="AB197" s="273"/>
      <c r="AC197" s="273"/>
    </row>
    <row r="198" spans="1:68" ht="14.25" customHeight="1" x14ac:dyDescent="0.25">
      <c r="A198" s="304" t="s">
        <v>97</v>
      </c>
      <c r="B198" s="293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293"/>
      <c r="P198" s="293"/>
      <c r="Q198" s="293"/>
      <c r="R198" s="293"/>
      <c r="S198" s="293"/>
      <c r="T198" s="293"/>
      <c r="U198" s="293"/>
      <c r="V198" s="293"/>
      <c r="W198" s="293"/>
      <c r="X198" s="293"/>
      <c r="Y198" s="293"/>
      <c r="Z198" s="293"/>
      <c r="AA198" s="274"/>
      <c r="AB198" s="274"/>
      <c r="AC198" s="274"/>
    </row>
    <row r="199" spans="1:68" ht="27" customHeight="1" x14ac:dyDescent="0.25">
      <c r="A199" s="54" t="s">
        <v>286</v>
      </c>
      <c r="B199" s="54" t="s">
        <v>287</v>
      </c>
      <c r="C199" s="32">
        <v>4301132227</v>
      </c>
      <c r="D199" s="295">
        <v>4620207491133</v>
      </c>
      <c r="E199" s="296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45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83"/>
      <c r="R199" s="283"/>
      <c r="S199" s="283"/>
      <c r="T199" s="284"/>
      <c r="U199" s="35"/>
      <c r="V199" s="35"/>
      <c r="W199" s="36" t="s">
        <v>68</v>
      </c>
      <c r="X199" s="278">
        <v>0</v>
      </c>
      <c r="Y199" s="279">
        <f>IFERROR(IF(X199="","",X199),"")</f>
        <v>0</v>
      </c>
      <c r="Z199" s="37">
        <f>IFERROR(IF(X199="","",X199*0.01788),"")</f>
        <v>0</v>
      </c>
      <c r="AA199" s="56"/>
      <c r="AB199" s="57"/>
      <c r="AC199" s="212" t="s">
        <v>288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92"/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294"/>
      <c r="P200" s="287" t="s">
        <v>87</v>
      </c>
      <c r="Q200" s="288"/>
      <c r="R200" s="288"/>
      <c r="S200" s="288"/>
      <c r="T200" s="288"/>
      <c r="U200" s="288"/>
      <c r="V200" s="289"/>
      <c r="W200" s="38" t="s">
        <v>68</v>
      </c>
      <c r="X200" s="280">
        <f>IFERROR(SUM(X199:X199),"0")</f>
        <v>0</v>
      </c>
      <c r="Y200" s="280">
        <f>IFERROR(SUM(Y199:Y199),"0")</f>
        <v>0</v>
      </c>
      <c r="Z200" s="280">
        <f>IFERROR(IF(Z199="",0,Z199),"0")</f>
        <v>0</v>
      </c>
      <c r="AA200" s="281"/>
      <c r="AB200" s="281"/>
      <c r="AC200" s="281"/>
    </row>
    <row r="201" spans="1:68" x14ac:dyDescent="0.2">
      <c r="A201" s="293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4"/>
      <c r="P201" s="287" t="s">
        <v>87</v>
      </c>
      <c r="Q201" s="288"/>
      <c r="R201" s="288"/>
      <c r="S201" s="288"/>
      <c r="T201" s="288"/>
      <c r="U201" s="288"/>
      <c r="V201" s="289"/>
      <c r="W201" s="38" t="s">
        <v>88</v>
      </c>
      <c r="X201" s="280">
        <f>IFERROR(SUMPRODUCT(X199:X199*H199:H199),"0")</f>
        <v>0</v>
      </c>
      <c r="Y201" s="280">
        <f>IFERROR(SUMPRODUCT(Y199:Y199*H199:H199),"0")</f>
        <v>0</v>
      </c>
      <c r="Z201" s="38"/>
      <c r="AA201" s="281"/>
      <c r="AB201" s="281"/>
      <c r="AC201" s="281"/>
    </row>
    <row r="202" spans="1:68" ht="14.25" customHeight="1" x14ac:dyDescent="0.25">
      <c r="A202" s="304" t="s">
        <v>135</v>
      </c>
      <c r="B202" s="293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3"/>
      <c r="P202" s="293"/>
      <c r="Q202" s="293"/>
      <c r="R202" s="293"/>
      <c r="S202" s="293"/>
      <c r="T202" s="293"/>
      <c r="U202" s="293"/>
      <c r="V202" s="293"/>
      <c r="W202" s="293"/>
      <c r="X202" s="293"/>
      <c r="Y202" s="293"/>
      <c r="Z202" s="293"/>
      <c r="AA202" s="274"/>
      <c r="AB202" s="274"/>
      <c r="AC202" s="274"/>
    </row>
    <row r="203" spans="1:68" ht="27" customHeight="1" x14ac:dyDescent="0.25">
      <c r="A203" s="54" t="s">
        <v>289</v>
      </c>
      <c r="B203" s="54" t="s">
        <v>290</v>
      </c>
      <c r="C203" s="32">
        <v>4301135834</v>
      </c>
      <c r="D203" s="295">
        <v>4620207491188</v>
      </c>
      <c r="E203" s="296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8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83"/>
      <c r="R203" s="283"/>
      <c r="S203" s="283"/>
      <c r="T203" s="284"/>
      <c r="U203" s="35"/>
      <c r="V203" s="35"/>
      <c r="W203" s="36" t="s">
        <v>68</v>
      </c>
      <c r="X203" s="278">
        <v>0</v>
      </c>
      <c r="Y203" s="279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291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customHeight="1" x14ac:dyDescent="0.25">
      <c r="A204" s="54" t="s">
        <v>292</v>
      </c>
      <c r="B204" s="54" t="s">
        <v>293</v>
      </c>
      <c r="C204" s="32">
        <v>4301135696</v>
      </c>
      <c r="D204" s="295">
        <v>4620207490235</v>
      </c>
      <c r="E204" s="296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83"/>
      <c r="R204" s="283"/>
      <c r="S204" s="283"/>
      <c r="T204" s="284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295</v>
      </c>
      <c r="B205" s="54" t="s">
        <v>296</v>
      </c>
      <c r="C205" s="32">
        <v>4301135697</v>
      </c>
      <c r="D205" s="295">
        <v>4620207490259</v>
      </c>
      <c r="E205" s="296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35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83"/>
      <c r="R205" s="283"/>
      <c r="S205" s="283"/>
      <c r="T205" s="284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297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92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4"/>
      <c r="P206" s="287" t="s">
        <v>87</v>
      </c>
      <c r="Q206" s="288"/>
      <c r="R206" s="288"/>
      <c r="S206" s="288"/>
      <c r="T206" s="288"/>
      <c r="U206" s="288"/>
      <c r="V206" s="289"/>
      <c r="W206" s="38" t="s">
        <v>68</v>
      </c>
      <c r="X206" s="280">
        <f>IFERROR(SUM(X203:X205),"0")</f>
        <v>0</v>
      </c>
      <c r="Y206" s="280">
        <f>IFERROR(SUM(Y203:Y205),"0")</f>
        <v>0</v>
      </c>
      <c r="Z206" s="280">
        <f>IFERROR(IF(Z203="",0,Z203),"0")+IFERROR(IF(Z204="",0,Z204),"0")+IFERROR(IF(Z205="",0,Z205),"0")</f>
        <v>0</v>
      </c>
      <c r="AA206" s="281"/>
      <c r="AB206" s="281"/>
      <c r="AC206" s="281"/>
    </row>
    <row r="207" spans="1:68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4"/>
      <c r="P207" s="287" t="s">
        <v>87</v>
      </c>
      <c r="Q207" s="288"/>
      <c r="R207" s="288"/>
      <c r="S207" s="288"/>
      <c r="T207" s="288"/>
      <c r="U207" s="288"/>
      <c r="V207" s="289"/>
      <c r="W207" s="38" t="s">
        <v>88</v>
      </c>
      <c r="X207" s="280">
        <f>IFERROR(SUMPRODUCT(X203:X205*H203:H205),"0")</f>
        <v>0</v>
      </c>
      <c r="Y207" s="280">
        <f>IFERROR(SUMPRODUCT(Y203:Y205*H203:H205),"0")</f>
        <v>0</v>
      </c>
      <c r="Z207" s="38"/>
      <c r="AA207" s="281"/>
      <c r="AB207" s="281"/>
      <c r="AC207" s="281"/>
    </row>
    <row r="208" spans="1:68" ht="16.5" customHeight="1" x14ac:dyDescent="0.25">
      <c r="A208" s="310" t="s">
        <v>298</v>
      </c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293"/>
      <c r="P208" s="293"/>
      <c r="Q208" s="293"/>
      <c r="R208" s="293"/>
      <c r="S208" s="293"/>
      <c r="T208" s="293"/>
      <c r="U208" s="293"/>
      <c r="V208" s="293"/>
      <c r="W208" s="293"/>
      <c r="X208" s="293"/>
      <c r="Y208" s="293"/>
      <c r="Z208" s="293"/>
      <c r="AA208" s="273"/>
      <c r="AB208" s="273"/>
      <c r="AC208" s="273"/>
    </row>
    <row r="209" spans="1:68" ht="14.25" customHeight="1" x14ac:dyDescent="0.25">
      <c r="A209" s="304" t="s">
        <v>135</v>
      </c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293"/>
      <c r="P209" s="293"/>
      <c r="Q209" s="293"/>
      <c r="R209" s="293"/>
      <c r="S209" s="293"/>
      <c r="T209" s="293"/>
      <c r="U209" s="293"/>
      <c r="V209" s="293"/>
      <c r="W209" s="293"/>
      <c r="X209" s="293"/>
      <c r="Y209" s="293"/>
      <c r="Z209" s="293"/>
      <c r="AA209" s="274"/>
      <c r="AB209" s="274"/>
      <c r="AC209" s="274"/>
    </row>
    <row r="210" spans="1:68" ht="27" customHeight="1" x14ac:dyDescent="0.25">
      <c r="A210" s="54" t="s">
        <v>299</v>
      </c>
      <c r="B210" s="54" t="s">
        <v>300</v>
      </c>
      <c r="C210" s="32">
        <v>4301135854</v>
      </c>
      <c r="D210" s="295">
        <v>4620207491706</v>
      </c>
      <c r="E210" s="296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83"/>
      <c r="R210" s="283"/>
      <c r="S210" s="283"/>
      <c r="T210" s="284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302</v>
      </c>
      <c r="B211" s="54" t="s">
        <v>303</v>
      </c>
      <c r="C211" s="32">
        <v>4301135895</v>
      </c>
      <c r="D211" s="295">
        <v>4620207491522</v>
      </c>
      <c r="E211" s="296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39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83"/>
      <c r="R211" s="283"/>
      <c r="S211" s="283"/>
      <c r="T211" s="284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304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92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4"/>
      <c r="P212" s="287" t="s">
        <v>87</v>
      </c>
      <c r="Q212" s="288"/>
      <c r="R212" s="288"/>
      <c r="S212" s="288"/>
      <c r="T212" s="288"/>
      <c r="U212" s="288"/>
      <c r="V212" s="289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x14ac:dyDescent="0.2">
      <c r="A213" s="293"/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4"/>
      <c r="P213" s="287" t="s">
        <v>87</v>
      </c>
      <c r="Q213" s="288"/>
      <c r="R213" s="288"/>
      <c r="S213" s="288"/>
      <c r="T213" s="288"/>
      <c r="U213" s="288"/>
      <c r="V213" s="289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customHeight="1" x14ac:dyDescent="0.25">
      <c r="A214" s="310" t="s">
        <v>305</v>
      </c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  <c r="Y214" s="293"/>
      <c r="Z214" s="293"/>
      <c r="AA214" s="273"/>
      <c r="AB214" s="273"/>
      <c r="AC214" s="273"/>
    </row>
    <row r="215" spans="1:68" ht="14.25" customHeight="1" x14ac:dyDescent="0.25">
      <c r="A215" s="304" t="s">
        <v>62</v>
      </c>
      <c r="B215" s="293"/>
      <c r="C215" s="293"/>
      <c r="D215" s="293"/>
      <c r="E215" s="293"/>
      <c r="F215" s="293"/>
      <c r="G215" s="293"/>
      <c r="H215" s="293"/>
      <c r="I215" s="293"/>
      <c r="J215" s="293"/>
      <c r="K215" s="293"/>
      <c r="L215" s="293"/>
      <c r="M215" s="293"/>
      <c r="N215" s="293"/>
      <c r="O215" s="293"/>
      <c r="P215" s="293"/>
      <c r="Q215" s="293"/>
      <c r="R215" s="293"/>
      <c r="S215" s="293"/>
      <c r="T215" s="293"/>
      <c r="U215" s="293"/>
      <c r="V215" s="293"/>
      <c r="W215" s="293"/>
      <c r="X215" s="293"/>
      <c r="Y215" s="293"/>
      <c r="Z215" s="293"/>
      <c r="AA215" s="274"/>
      <c r="AB215" s="274"/>
      <c r="AC215" s="274"/>
    </row>
    <row r="216" spans="1:68" ht="27" customHeight="1" x14ac:dyDescent="0.25">
      <c r="A216" s="54" t="s">
        <v>306</v>
      </c>
      <c r="B216" s="54" t="s">
        <v>307</v>
      </c>
      <c r="C216" s="32">
        <v>4301071097</v>
      </c>
      <c r="D216" s="295">
        <v>4620207491096</v>
      </c>
      <c r="E216" s="296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38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83"/>
      <c r="R216" s="283"/>
      <c r="S216" s="283"/>
      <c r="T216" s="284"/>
      <c r="U216" s="35"/>
      <c r="V216" s="35"/>
      <c r="W216" s="36" t="s">
        <v>68</v>
      </c>
      <c r="X216" s="278">
        <v>60</v>
      </c>
      <c r="Y216" s="279">
        <f>IFERROR(IF(X216="","",X216),"")</f>
        <v>60</v>
      </c>
      <c r="Z216" s="37">
        <f>IFERROR(IF(X216="","",X216*0.0155),"")</f>
        <v>0.92999999999999994</v>
      </c>
      <c r="AA216" s="56"/>
      <c r="AB216" s="57"/>
      <c r="AC216" s="224" t="s">
        <v>308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313.8</v>
      </c>
      <c r="BN216" s="67">
        <f>IFERROR(Y216*I216,"0")</f>
        <v>313.8</v>
      </c>
      <c r="BO216" s="67">
        <f>IFERROR(X216/J216,"0")</f>
        <v>0.7142857142857143</v>
      </c>
      <c r="BP216" s="67">
        <f>IFERROR(Y216/J216,"0")</f>
        <v>0.7142857142857143</v>
      </c>
    </row>
    <row r="217" spans="1:68" x14ac:dyDescent="0.2">
      <c r="A217" s="292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4"/>
      <c r="P217" s="287" t="s">
        <v>87</v>
      </c>
      <c r="Q217" s="288"/>
      <c r="R217" s="288"/>
      <c r="S217" s="288"/>
      <c r="T217" s="288"/>
      <c r="U217" s="288"/>
      <c r="V217" s="289"/>
      <c r="W217" s="38" t="s">
        <v>68</v>
      </c>
      <c r="X217" s="280">
        <f>IFERROR(SUM(X216:X216),"0")</f>
        <v>60</v>
      </c>
      <c r="Y217" s="280">
        <f>IFERROR(SUM(Y216:Y216),"0")</f>
        <v>60</v>
      </c>
      <c r="Z217" s="280">
        <f>IFERROR(IF(Z216="",0,Z216),"0")</f>
        <v>0.92999999999999994</v>
      </c>
      <c r="AA217" s="281"/>
      <c r="AB217" s="281"/>
      <c r="AC217" s="281"/>
    </row>
    <row r="218" spans="1:68" x14ac:dyDescent="0.2">
      <c r="A218" s="293"/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4"/>
      <c r="P218" s="287" t="s">
        <v>87</v>
      </c>
      <c r="Q218" s="288"/>
      <c r="R218" s="288"/>
      <c r="S218" s="288"/>
      <c r="T218" s="288"/>
      <c r="U218" s="288"/>
      <c r="V218" s="289"/>
      <c r="W218" s="38" t="s">
        <v>88</v>
      </c>
      <c r="X218" s="280">
        <f>IFERROR(SUMPRODUCT(X216:X216*H216:H216),"0")</f>
        <v>300</v>
      </c>
      <c r="Y218" s="280">
        <f>IFERROR(SUMPRODUCT(Y216:Y216*H216:H216),"0")</f>
        <v>300</v>
      </c>
      <c r="Z218" s="38"/>
      <c r="AA218" s="281"/>
      <c r="AB218" s="281"/>
      <c r="AC218" s="281"/>
    </row>
    <row r="219" spans="1:68" ht="16.5" customHeight="1" x14ac:dyDescent="0.25">
      <c r="A219" s="310" t="s">
        <v>309</v>
      </c>
      <c r="B219" s="293"/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293"/>
      <c r="P219" s="293"/>
      <c r="Q219" s="293"/>
      <c r="R219" s="293"/>
      <c r="S219" s="293"/>
      <c r="T219" s="293"/>
      <c r="U219" s="293"/>
      <c r="V219" s="293"/>
      <c r="W219" s="293"/>
      <c r="X219" s="293"/>
      <c r="Y219" s="293"/>
      <c r="Z219" s="293"/>
      <c r="AA219" s="273"/>
      <c r="AB219" s="273"/>
      <c r="AC219" s="273"/>
    </row>
    <row r="220" spans="1:68" ht="14.25" customHeight="1" x14ac:dyDescent="0.25">
      <c r="A220" s="304" t="s">
        <v>135</v>
      </c>
      <c r="B220" s="293"/>
      <c r="C220" s="293"/>
      <c r="D220" s="293"/>
      <c r="E220" s="293"/>
      <c r="F220" s="293"/>
      <c r="G220" s="293"/>
      <c r="H220" s="293"/>
      <c r="I220" s="293"/>
      <c r="J220" s="293"/>
      <c r="K220" s="293"/>
      <c r="L220" s="293"/>
      <c r="M220" s="293"/>
      <c r="N220" s="293"/>
      <c r="O220" s="293"/>
      <c r="P220" s="293"/>
      <c r="Q220" s="293"/>
      <c r="R220" s="293"/>
      <c r="S220" s="293"/>
      <c r="T220" s="293"/>
      <c r="U220" s="293"/>
      <c r="V220" s="293"/>
      <c r="W220" s="293"/>
      <c r="X220" s="293"/>
      <c r="Y220" s="293"/>
      <c r="Z220" s="293"/>
      <c r="AA220" s="274"/>
      <c r="AB220" s="274"/>
      <c r="AC220" s="274"/>
    </row>
    <row r="221" spans="1:68" ht="27" customHeight="1" x14ac:dyDescent="0.25">
      <c r="A221" s="54" t="s">
        <v>310</v>
      </c>
      <c r="B221" s="54" t="s">
        <v>311</v>
      </c>
      <c r="C221" s="32">
        <v>4301135694</v>
      </c>
      <c r="D221" s="295">
        <v>4620207490501</v>
      </c>
      <c r="E221" s="296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30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83"/>
      <c r="R221" s="283"/>
      <c r="S221" s="283"/>
      <c r="T221" s="284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312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x14ac:dyDescent="0.2">
      <c r="A222" s="292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4"/>
      <c r="P222" s="287" t="s">
        <v>87</v>
      </c>
      <c r="Q222" s="288"/>
      <c r="R222" s="288"/>
      <c r="S222" s="288"/>
      <c r="T222" s="288"/>
      <c r="U222" s="288"/>
      <c r="V222" s="289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x14ac:dyDescent="0.2">
      <c r="A223" s="293"/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4"/>
      <c r="P223" s="287" t="s">
        <v>87</v>
      </c>
      <c r="Q223" s="288"/>
      <c r="R223" s="288"/>
      <c r="S223" s="288"/>
      <c r="T223" s="288"/>
      <c r="U223" s="288"/>
      <c r="V223" s="289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customHeight="1" x14ac:dyDescent="0.2">
      <c r="A224" s="362" t="s">
        <v>313</v>
      </c>
      <c r="B224" s="363"/>
      <c r="C224" s="363"/>
      <c r="D224" s="363"/>
      <c r="E224" s="363"/>
      <c r="F224" s="363"/>
      <c r="G224" s="363"/>
      <c r="H224" s="363"/>
      <c r="I224" s="363"/>
      <c r="J224" s="363"/>
      <c r="K224" s="363"/>
      <c r="L224" s="363"/>
      <c r="M224" s="363"/>
      <c r="N224" s="363"/>
      <c r="O224" s="363"/>
      <c r="P224" s="36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  <c r="AA224" s="49"/>
      <c r="AB224" s="49"/>
      <c r="AC224" s="49"/>
    </row>
    <row r="225" spans="1:68" ht="16.5" customHeight="1" x14ac:dyDescent="0.25">
      <c r="A225" s="310" t="s">
        <v>314</v>
      </c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293"/>
      <c r="P225" s="293"/>
      <c r="Q225" s="293"/>
      <c r="R225" s="293"/>
      <c r="S225" s="293"/>
      <c r="T225" s="293"/>
      <c r="U225" s="293"/>
      <c r="V225" s="293"/>
      <c r="W225" s="293"/>
      <c r="X225" s="293"/>
      <c r="Y225" s="293"/>
      <c r="Z225" s="293"/>
      <c r="AA225" s="273"/>
      <c r="AB225" s="273"/>
      <c r="AC225" s="273"/>
    </row>
    <row r="226" spans="1:68" ht="14.25" customHeight="1" x14ac:dyDescent="0.25">
      <c r="A226" s="304" t="s">
        <v>62</v>
      </c>
      <c r="B226" s="293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293"/>
      <c r="P226" s="293"/>
      <c r="Q226" s="293"/>
      <c r="R226" s="293"/>
      <c r="S226" s="293"/>
      <c r="T226" s="293"/>
      <c r="U226" s="293"/>
      <c r="V226" s="293"/>
      <c r="W226" s="293"/>
      <c r="X226" s="293"/>
      <c r="Y226" s="293"/>
      <c r="Z226" s="293"/>
      <c r="AA226" s="274"/>
      <c r="AB226" s="274"/>
      <c r="AC226" s="274"/>
    </row>
    <row r="227" spans="1:68" ht="27" customHeight="1" x14ac:dyDescent="0.25">
      <c r="A227" s="54" t="s">
        <v>315</v>
      </c>
      <c r="B227" s="54" t="s">
        <v>316</v>
      </c>
      <c r="C227" s="32">
        <v>4301071036</v>
      </c>
      <c r="D227" s="295">
        <v>4607111036162</v>
      </c>
      <c r="E227" s="296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42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83"/>
      <c r="R227" s="283"/>
      <c r="S227" s="283"/>
      <c r="T227" s="284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317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x14ac:dyDescent="0.2">
      <c r="A228" s="292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4"/>
      <c r="P228" s="287" t="s">
        <v>87</v>
      </c>
      <c r="Q228" s="288"/>
      <c r="R228" s="288"/>
      <c r="S228" s="288"/>
      <c r="T228" s="288"/>
      <c r="U228" s="288"/>
      <c r="V228" s="289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x14ac:dyDescent="0.2">
      <c r="A229" s="293"/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4"/>
      <c r="P229" s="287" t="s">
        <v>87</v>
      </c>
      <c r="Q229" s="288"/>
      <c r="R229" s="288"/>
      <c r="S229" s="288"/>
      <c r="T229" s="288"/>
      <c r="U229" s="288"/>
      <c r="V229" s="289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customHeight="1" x14ac:dyDescent="0.2">
      <c r="A230" s="362" t="s">
        <v>318</v>
      </c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63"/>
      <c r="P230" s="363"/>
      <c r="Q230" s="363"/>
      <c r="R230" s="363"/>
      <c r="S230" s="363"/>
      <c r="T230" s="363"/>
      <c r="U230" s="363"/>
      <c r="V230" s="363"/>
      <c r="W230" s="363"/>
      <c r="X230" s="363"/>
      <c r="Y230" s="363"/>
      <c r="Z230" s="363"/>
      <c r="AA230" s="49"/>
      <c r="AB230" s="49"/>
      <c r="AC230" s="49"/>
    </row>
    <row r="231" spans="1:68" ht="16.5" customHeight="1" x14ac:dyDescent="0.25">
      <c r="A231" s="310" t="s">
        <v>319</v>
      </c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293"/>
      <c r="P231" s="293"/>
      <c r="Q231" s="293"/>
      <c r="R231" s="293"/>
      <c r="S231" s="293"/>
      <c r="T231" s="293"/>
      <c r="U231" s="293"/>
      <c r="V231" s="293"/>
      <c r="W231" s="293"/>
      <c r="X231" s="293"/>
      <c r="Y231" s="293"/>
      <c r="Z231" s="293"/>
      <c r="AA231" s="273"/>
      <c r="AB231" s="273"/>
      <c r="AC231" s="273"/>
    </row>
    <row r="232" spans="1:68" ht="14.25" customHeight="1" x14ac:dyDescent="0.25">
      <c r="A232" s="304" t="s">
        <v>320</v>
      </c>
      <c r="B232" s="293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293"/>
      <c r="P232" s="293"/>
      <c r="Q232" s="293"/>
      <c r="R232" s="293"/>
      <c r="S232" s="293"/>
      <c r="T232" s="293"/>
      <c r="U232" s="293"/>
      <c r="V232" s="293"/>
      <c r="W232" s="293"/>
      <c r="X232" s="293"/>
      <c r="Y232" s="293"/>
      <c r="Z232" s="293"/>
      <c r="AA232" s="274"/>
      <c r="AB232" s="274"/>
      <c r="AC232" s="274"/>
    </row>
    <row r="233" spans="1:68" ht="27" customHeight="1" x14ac:dyDescent="0.25">
      <c r="A233" s="54" t="s">
        <v>321</v>
      </c>
      <c r="B233" s="54" t="s">
        <v>322</v>
      </c>
      <c r="C233" s="32">
        <v>4301133004</v>
      </c>
      <c r="D233" s="295">
        <v>4607111039774</v>
      </c>
      <c r="E233" s="296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39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3"/>
      <c r="R233" s="283"/>
      <c r="S233" s="283"/>
      <c r="T233" s="284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323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92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294"/>
      <c r="P234" s="287" t="s">
        <v>87</v>
      </c>
      <c r="Q234" s="288"/>
      <c r="R234" s="288"/>
      <c r="S234" s="288"/>
      <c r="T234" s="288"/>
      <c r="U234" s="288"/>
      <c r="V234" s="289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x14ac:dyDescent="0.2">
      <c r="A235" s="293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294"/>
      <c r="P235" s="287" t="s">
        <v>87</v>
      </c>
      <c r="Q235" s="288"/>
      <c r="R235" s="288"/>
      <c r="S235" s="288"/>
      <c r="T235" s="288"/>
      <c r="U235" s="288"/>
      <c r="V235" s="289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customHeight="1" x14ac:dyDescent="0.25">
      <c r="A236" s="304" t="s">
        <v>135</v>
      </c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74"/>
      <c r="AB236" s="274"/>
      <c r="AC236" s="274"/>
    </row>
    <row r="237" spans="1:68" ht="37.5" customHeight="1" x14ac:dyDescent="0.25">
      <c r="A237" s="54" t="s">
        <v>324</v>
      </c>
      <c r="B237" s="54" t="s">
        <v>325</v>
      </c>
      <c r="C237" s="32">
        <v>4301135400</v>
      </c>
      <c r="D237" s="295">
        <v>4607111039361</v>
      </c>
      <c r="E237" s="296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32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3"/>
      <c r="R237" s="283"/>
      <c r="S237" s="283"/>
      <c r="T237" s="284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323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92"/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294"/>
      <c r="P238" s="287" t="s">
        <v>87</v>
      </c>
      <c r="Q238" s="288"/>
      <c r="R238" s="288"/>
      <c r="S238" s="288"/>
      <c r="T238" s="288"/>
      <c r="U238" s="288"/>
      <c r="V238" s="289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x14ac:dyDescent="0.2">
      <c r="A239" s="293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4"/>
      <c r="P239" s="287" t="s">
        <v>87</v>
      </c>
      <c r="Q239" s="288"/>
      <c r="R239" s="288"/>
      <c r="S239" s="288"/>
      <c r="T239" s="288"/>
      <c r="U239" s="288"/>
      <c r="V239" s="289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customHeight="1" x14ac:dyDescent="0.2">
      <c r="A240" s="362" t="s">
        <v>326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49"/>
      <c r="AB240" s="49"/>
      <c r="AC240" s="49"/>
    </row>
    <row r="241" spans="1:68" ht="16.5" customHeight="1" x14ac:dyDescent="0.25">
      <c r="A241" s="310" t="s">
        <v>326</v>
      </c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293"/>
      <c r="P241" s="293"/>
      <c r="Q241" s="293"/>
      <c r="R241" s="293"/>
      <c r="S241" s="293"/>
      <c r="T241" s="293"/>
      <c r="U241" s="293"/>
      <c r="V241" s="293"/>
      <c r="W241" s="293"/>
      <c r="X241" s="293"/>
      <c r="Y241" s="293"/>
      <c r="Z241" s="293"/>
      <c r="AA241" s="273"/>
      <c r="AB241" s="273"/>
      <c r="AC241" s="273"/>
    </row>
    <row r="242" spans="1:68" ht="14.25" customHeight="1" x14ac:dyDescent="0.25">
      <c r="A242" s="304" t="s">
        <v>97</v>
      </c>
      <c r="B242" s="293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293"/>
      <c r="P242" s="293"/>
      <c r="Q242" s="293"/>
      <c r="R242" s="293"/>
      <c r="S242" s="293"/>
      <c r="T242" s="293"/>
      <c r="U242" s="293"/>
      <c r="V242" s="293"/>
      <c r="W242" s="293"/>
      <c r="X242" s="293"/>
      <c r="Y242" s="293"/>
      <c r="Z242" s="293"/>
      <c r="AA242" s="274"/>
      <c r="AB242" s="274"/>
      <c r="AC242" s="274"/>
    </row>
    <row r="243" spans="1:68" ht="27" customHeight="1" x14ac:dyDescent="0.25">
      <c r="A243" s="54" t="s">
        <v>327</v>
      </c>
      <c r="B243" s="54" t="s">
        <v>328</v>
      </c>
      <c r="C243" s="32">
        <v>4301132228</v>
      </c>
      <c r="D243" s="295">
        <v>4640242181950</v>
      </c>
      <c r="E243" s="296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46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83"/>
      <c r="R243" s="283"/>
      <c r="S243" s="283"/>
      <c r="T243" s="284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329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92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4"/>
      <c r="P244" s="287" t="s">
        <v>87</v>
      </c>
      <c r="Q244" s="288"/>
      <c r="R244" s="288"/>
      <c r="S244" s="288"/>
      <c r="T244" s="288"/>
      <c r="U244" s="288"/>
      <c r="V244" s="289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x14ac:dyDescent="0.2">
      <c r="A245" s="293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294"/>
      <c r="P245" s="287" t="s">
        <v>87</v>
      </c>
      <c r="Q245" s="288"/>
      <c r="R245" s="288"/>
      <c r="S245" s="288"/>
      <c r="T245" s="288"/>
      <c r="U245" s="288"/>
      <c r="V245" s="289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customHeight="1" x14ac:dyDescent="0.25">
      <c r="A246" s="304" t="s">
        <v>129</v>
      </c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74"/>
      <c r="AB246" s="274"/>
      <c r="AC246" s="274"/>
    </row>
    <row r="247" spans="1:68" ht="27" customHeight="1" x14ac:dyDescent="0.25">
      <c r="A247" s="54" t="s">
        <v>330</v>
      </c>
      <c r="B247" s="54" t="s">
        <v>331</v>
      </c>
      <c r="C247" s="32">
        <v>4301136098</v>
      </c>
      <c r="D247" s="295">
        <v>4640242181943</v>
      </c>
      <c r="E247" s="296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43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3"/>
      <c r="R247" s="283"/>
      <c r="S247" s="283"/>
      <c r="T247" s="284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332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92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4"/>
      <c r="P248" s="287" t="s">
        <v>87</v>
      </c>
      <c r="Q248" s="288"/>
      <c r="R248" s="288"/>
      <c r="S248" s="288"/>
      <c r="T248" s="288"/>
      <c r="U248" s="288"/>
      <c r="V248" s="289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x14ac:dyDescent="0.2">
      <c r="A249" s="293"/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4"/>
      <c r="P249" s="287" t="s">
        <v>87</v>
      </c>
      <c r="Q249" s="288"/>
      <c r="R249" s="288"/>
      <c r="S249" s="288"/>
      <c r="T249" s="288"/>
      <c r="U249" s="288"/>
      <c r="V249" s="289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customHeight="1" x14ac:dyDescent="0.2">
      <c r="A250" s="362" t="s">
        <v>333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49"/>
      <c r="AB250" s="49"/>
      <c r="AC250" s="49"/>
    </row>
    <row r="251" spans="1:68" ht="16.5" customHeight="1" x14ac:dyDescent="0.25">
      <c r="A251" s="310" t="s">
        <v>333</v>
      </c>
      <c r="B251" s="293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3"/>
      <c r="P251" s="293"/>
      <c r="Q251" s="293"/>
      <c r="R251" s="293"/>
      <c r="S251" s="293"/>
      <c r="T251" s="293"/>
      <c r="U251" s="293"/>
      <c r="V251" s="293"/>
      <c r="W251" s="293"/>
      <c r="X251" s="293"/>
      <c r="Y251" s="293"/>
      <c r="Z251" s="293"/>
      <c r="AA251" s="273"/>
      <c r="AB251" s="273"/>
      <c r="AC251" s="273"/>
    </row>
    <row r="252" spans="1:68" ht="14.25" customHeight="1" x14ac:dyDescent="0.25">
      <c r="A252" s="304" t="s">
        <v>62</v>
      </c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  <c r="AA252" s="274"/>
      <c r="AB252" s="274"/>
      <c r="AC252" s="274"/>
    </row>
    <row r="253" spans="1:68" ht="27" customHeight="1" x14ac:dyDescent="0.25">
      <c r="A253" s="54" t="s">
        <v>334</v>
      </c>
      <c r="B253" s="54" t="s">
        <v>335</v>
      </c>
      <c r="C253" s="32">
        <v>4301071014</v>
      </c>
      <c r="D253" s="295">
        <v>4640242181264</v>
      </c>
      <c r="E253" s="296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3"/>
      <c r="R253" s="283"/>
      <c r="S253" s="283"/>
      <c r="T253" s="284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337</v>
      </c>
      <c r="B254" s="54" t="s">
        <v>338</v>
      </c>
      <c r="C254" s="32">
        <v>4301071021</v>
      </c>
      <c r="D254" s="295">
        <v>4640242181325</v>
      </c>
      <c r="E254" s="296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101</v>
      </c>
      <c r="M254" s="34" t="s">
        <v>67</v>
      </c>
      <c r="N254" s="34"/>
      <c r="O254" s="33">
        <v>180</v>
      </c>
      <c r="P254" s="40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83"/>
      <c r="R254" s="283"/>
      <c r="S254" s="283"/>
      <c r="T254" s="284"/>
      <c r="U254" s="35"/>
      <c r="V254" s="35"/>
      <c r="W254" s="36" t="s">
        <v>68</v>
      </c>
      <c r="X254" s="278">
        <v>0</v>
      </c>
      <c r="Y254" s="279">
        <f>IFERROR(IF(X254="","",X254),"")</f>
        <v>0</v>
      </c>
      <c r="Z254" s="37">
        <f>IFERROR(IF(X254="","",X254*0.0155),"")</f>
        <v>0</v>
      </c>
      <c r="AA254" s="56"/>
      <c r="AB254" s="57"/>
      <c r="AC254" s="240" t="s">
        <v>336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2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4"/>
      <c r="P255" s="287" t="s">
        <v>87</v>
      </c>
      <c r="Q255" s="288"/>
      <c r="R255" s="288"/>
      <c r="S255" s="288"/>
      <c r="T255" s="288"/>
      <c r="U255" s="288"/>
      <c r="V255" s="289"/>
      <c r="W255" s="38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4"/>
      <c r="P256" s="287" t="s">
        <v>87</v>
      </c>
      <c r="Q256" s="288"/>
      <c r="R256" s="288"/>
      <c r="S256" s="288"/>
      <c r="T256" s="288"/>
      <c r="U256" s="288"/>
      <c r="V256" s="289"/>
      <c r="W256" s="38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8"/>
      <c r="AA256" s="281"/>
      <c r="AB256" s="281"/>
      <c r="AC256" s="281"/>
    </row>
    <row r="257" spans="1:68" ht="14.25" customHeight="1" x14ac:dyDescent="0.25">
      <c r="A257" s="304" t="s">
        <v>97</v>
      </c>
      <c r="B257" s="293"/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  <c r="AA257" s="274"/>
      <c r="AB257" s="274"/>
      <c r="AC257" s="274"/>
    </row>
    <row r="258" spans="1:68" ht="27" customHeight="1" x14ac:dyDescent="0.25">
      <c r="A258" s="54" t="s">
        <v>339</v>
      </c>
      <c r="B258" s="54" t="s">
        <v>340</v>
      </c>
      <c r="C258" s="32">
        <v>4301132080</v>
      </c>
      <c r="D258" s="295">
        <v>4640242180397</v>
      </c>
      <c r="E258" s="296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35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3"/>
      <c r="R258" s="283"/>
      <c r="S258" s="283"/>
      <c r="T258" s="284"/>
      <c r="U258" s="35"/>
      <c r="V258" s="35"/>
      <c r="W258" s="36" t="s">
        <v>68</v>
      </c>
      <c r="X258" s="278">
        <v>96</v>
      </c>
      <c r="Y258" s="279">
        <f>IFERROR(IF(X258="","",X258),"")</f>
        <v>96</v>
      </c>
      <c r="Z258" s="37">
        <f>IFERROR(IF(X258="","",X258*0.0155),"")</f>
        <v>1.488</v>
      </c>
      <c r="AA258" s="56"/>
      <c r="AB258" s="57"/>
      <c r="AC258" s="242" t="s">
        <v>341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600.96</v>
      </c>
      <c r="BN258" s="67">
        <f>IFERROR(Y258*I258,"0")</f>
        <v>600.96</v>
      </c>
      <c r="BO258" s="67">
        <f>IFERROR(X258/J258,"0")</f>
        <v>1.1428571428571428</v>
      </c>
      <c r="BP258" s="67">
        <f>IFERROR(Y258/J258,"0")</f>
        <v>1.1428571428571428</v>
      </c>
    </row>
    <row r="259" spans="1:68" x14ac:dyDescent="0.2">
      <c r="A259" s="292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294"/>
      <c r="P259" s="287" t="s">
        <v>87</v>
      </c>
      <c r="Q259" s="288"/>
      <c r="R259" s="288"/>
      <c r="S259" s="288"/>
      <c r="T259" s="288"/>
      <c r="U259" s="288"/>
      <c r="V259" s="289"/>
      <c r="W259" s="38" t="s">
        <v>68</v>
      </c>
      <c r="X259" s="280">
        <f>IFERROR(SUM(X258:X258),"0")</f>
        <v>96</v>
      </c>
      <c r="Y259" s="280">
        <f>IFERROR(SUM(Y258:Y258),"0")</f>
        <v>96</v>
      </c>
      <c r="Z259" s="280">
        <f>IFERROR(IF(Z258="",0,Z258),"0")</f>
        <v>1.488</v>
      </c>
      <c r="AA259" s="281"/>
      <c r="AB259" s="281"/>
      <c r="AC259" s="281"/>
    </row>
    <row r="260" spans="1:68" x14ac:dyDescent="0.2">
      <c r="A260" s="293"/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4"/>
      <c r="P260" s="287" t="s">
        <v>87</v>
      </c>
      <c r="Q260" s="288"/>
      <c r="R260" s="288"/>
      <c r="S260" s="288"/>
      <c r="T260" s="288"/>
      <c r="U260" s="288"/>
      <c r="V260" s="289"/>
      <c r="W260" s="38" t="s">
        <v>88</v>
      </c>
      <c r="X260" s="280">
        <f>IFERROR(SUMPRODUCT(X258:X258*H258:H258),"0")</f>
        <v>576</v>
      </c>
      <c r="Y260" s="280">
        <f>IFERROR(SUMPRODUCT(Y258:Y258*H258:H258),"0")</f>
        <v>576</v>
      </c>
      <c r="Z260" s="38"/>
      <c r="AA260" s="281"/>
      <c r="AB260" s="281"/>
      <c r="AC260" s="281"/>
    </row>
    <row r="261" spans="1:68" ht="14.25" customHeight="1" x14ac:dyDescent="0.25">
      <c r="A261" s="304" t="s">
        <v>129</v>
      </c>
      <c r="B261" s="293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3"/>
      <c r="P261" s="293"/>
      <c r="Q261" s="293"/>
      <c r="R261" s="293"/>
      <c r="S261" s="293"/>
      <c r="T261" s="293"/>
      <c r="U261" s="293"/>
      <c r="V261" s="293"/>
      <c r="W261" s="293"/>
      <c r="X261" s="293"/>
      <c r="Y261" s="293"/>
      <c r="Z261" s="293"/>
      <c r="AA261" s="274"/>
      <c r="AB261" s="274"/>
      <c r="AC261" s="274"/>
    </row>
    <row r="262" spans="1:68" ht="27" customHeight="1" x14ac:dyDescent="0.25">
      <c r="A262" s="54" t="s">
        <v>342</v>
      </c>
      <c r="B262" s="54" t="s">
        <v>343</v>
      </c>
      <c r="C262" s="32">
        <v>4301136051</v>
      </c>
      <c r="D262" s="295">
        <v>4640242180304</v>
      </c>
      <c r="E262" s="296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45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3"/>
      <c r="R262" s="283"/>
      <c r="S262" s="283"/>
      <c r="T262" s="284"/>
      <c r="U262" s="35"/>
      <c r="V262" s="35"/>
      <c r="W262" s="36" t="s">
        <v>68</v>
      </c>
      <c r="X262" s="278">
        <v>14</v>
      </c>
      <c r="Y262" s="279">
        <f>IFERROR(IF(X262="","",X262),"")</f>
        <v>14</v>
      </c>
      <c r="Z262" s="37">
        <f>IFERROR(IF(X262="","",X262*0.00936),"")</f>
        <v>0.13103999999999999</v>
      </c>
      <c r="AA262" s="56"/>
      <c r="AB262" s="57"/>
      <c r="AC262" s="244" t="s">
        <v>344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40.468400000000003</v>
      </c>
      <c r="BN262" s="67">
        <f>IFERROR(Y262*I262,"0")</f>
        <v>40.468400000000003</v>
      </c>
      <c r="BO262" s="67">
        <f>IFERROR(X262/J262,"0")</f>
        <v>0.1111111111111111</v>
      </c>
      <c r="BP262" s="67">
        <f>IFERROR(Y262/J262,"0")</f>
        <v>0.1111111111111111</v>
      </c>
    </row>
    <row r="263" spans="1:68" ht="27" customHeight="1" x14ac:dyDescent="0.25">
      <c r="A263" s="54" t="s">
        <v>345</v>
      </c>
      <c r="B263" s="54" t="s">
        <v>346</v>
      </c>
      <c r="C263" s="32">
        <v>4301136053</v>
      </c>
      <c r="D263" s="295">
        <v>4640242180236</v>
      </c>
      <c r="E263" s="296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46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3"/>
      <c r="R263" s="283"/>
      <c r="S263" s="283"/>
      <c r="T263" s="284"/>
      <c r="U263" s="35"/>
      <c r="V263" s="35"/>
      <c r="W263" s="36" t="s">
        <v>68</v>
      </c>
      <c r="X263" s="278">
        <v>240</v>
      </c>
      <c r="Y263" s="279">
        <f>IFERROR(IF(X263="","",X263),"")</f>
        <v>240</v>
      </c>
      <c r="Z263" s="37">
        <f>IFERROR(IF(X263="","",X263*0.0155),"")</f>
        <v>3.7199999999999998</v>
      </c>
      <c r="AA263" s="56"/>
      <c r="AB263" s="57"/>
      <c r="AC263" s="246" t="s">
        <v>344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1256.4000000000001</v>
      </c>
      <c r="BN263" s="67">
        <f>IFERROR(Y263*I263,"0")</f>
        <v>1256.4000000000001</v>
      </c>
      <c r="BO263" s="67">
        <f>IFERROR(X263/J263,"0")</f>
        <v>2.8571428571428572</v>
      </c>
      <c r="BP263" s="67">
        <f>IFERROR(Y263/J263,"0")</f>
        <v>2.8571428571428572</v>
      </c>
    </row>
    <row r="264" spans="1:68" ht="27" customHeight="1" x14ac:dyDescent="0.25">
      <c r="A264" s="54" t="s">
        <v>347</v>
      </c>
      <c r="B264" s="54" t="s">
        <v>348</v>
      </c>
      <c r="C264" s="32">
        <v>4301136052</v>
      </c>
      <c r="D264" s="295">
        <v>4640242180410</v>
      </c>
      <c r="E264" s="296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37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3"/>
      <c r="R264" s="283"/>
      <c r="S264" s="283"/>
      <c r="T264" s="284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344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2"/>
      <c r="B265" s="293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294"/>
      <c r="P265" s="287" t="s">
        <v>87</v>
      </c>
      <c r="Q265" s="288"/>
      <c r="R265" s="288"/>
      <c r="S265" s="288"/>
      <c r="T265" s="288"/>
      <c r="U265" s="288"/>
      <c r="V265" s="289"/>
      <c r="W265" s="38" t="s">
        <v>68</v>
      </c>
      <c r="X265" s="280">
        <f>IFERROR(SUM(X262:X264),"0")</f>
        <v>254</v>
      </c>
      <c r="Y265" s="280">
        <f>IFERROR(SUM(Y262:Y264),"0")</f>
        <v>254</v>
      </c>
      <c r="Z265" s="280">
        <f>IFERROR(IF(Z262="",0,Z262),"0")+IFERROR(IF(Z263="",0,Z263),"0")+IFERROR(IF(Z264="",0,Z264),"0")</f>
        <v>3.8510399999999998</v>
      </c>
      <c r="AA265" s="281"/>
      <c r="AB265" s="281"/>
      <c r="AC265" s="281"/>
    </row>
    <row r="266" spans="1:68" x14ac:dyDescent="0.2">
      <c r="A266" s="293"/>
      <c r="B266" s="293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294"/>
      <c r="P266" s="287" t="s">
        <v>87</v>
      </c>
      <c r="Q266" s="288"/>
      <c r="R266" s="288"/>
      <c r="S266" s="288"/>
      <c r="T266" s="288"/>
      <c r="U266" s="288"/>
      <c r="V266" s="289"/>
      <c r="W266" s="38" t="s">
        <v>88</v>
      </c>
      <c r="X266" s="280">
        <f>IFERROR(SUMPRODUCT(X262:X264*H262:H264),"0")</f>
        <v>1237.8</v>
      </c>
      <c r="Y266" s="280">
        <f>IFERROR(SUMPRODUCT(Y262:Y264*H262:H264),"0")</f>
        <v>1237.8</v>
      </c>
      <c r="Z266" s="38"/>
      <c r="AA266" s="281"/>
      <c r="AB266" s="281"/>
      <c r="AC266" s="281"/>
    </row>
    <row r="267" spans="1:68" ht="14.25" customHeight="1" x14ac:dyDescent="0.25">
      <c r="A267" s="304" t="s">
        <v>135</v>
      </c>
      <c r="B267" s="293"/>
      <c r="C267" s="293"/>
      <c r="D267" s="293"/>
      <c r="E267" s="293"/>
      <c r="F267" s="293"/>
      <c r="G267" s="293"/>
      <c r="H267" s="293"/>
      <c r="I267" s="293"/>
      <c r="J267" s="293"/>
      <c r="K267" s="293"/>
      <c r="L267" s="293"/>
      <c r="M267" s="293"/>
      <c r="N267" s="293"/>
      <c r="O267" s="293"/>
      <c r="P267" s="293"/>
      <c r="Q267" s="293"/>
      <c r="R267" s="293"/>
      <c r="S267" s="293"/>
      <c r="T267" s="293"/>
      <c r="U267" s="293"/>
      <c r="V267" s="293"/>
      <c r="W267" s="293"/>
      <c r="X267" s="293"/>
      <c r="Y267" s="293"/>
      <c r="Z267" s="293"/>
      <c r="AA267" s="274"/>
      <c r="AB267" s="274"/>
      <c r="AC267" s="274"/>
    </row>
    <row r="268" spans="1:68" ht="37.5" customHeight="1" x14ac:dyDescent="0.25">
      <c r="A268" s="54" t="s">
        <v>349</v>
      </c>
      <c r="B268" s="54" t="s">
        <v>350</v>
      </c>
      <c r="C268" s="32">
        <v>4301135504</v>
      </c>
      <c r="D268" s="295">
        <v>4640242181554</v>
      </c>
      <c r="E268" s="296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33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3"/>
      <c r="R268" s="283"/>
      <c r="S268" s="283"/>
      <c r="T268" s="284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351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352</v>
      </c>
      <c r="B269" s="54" t="s">
        <v>353</v>
      </c>
      <c r="C269" s="32">
        <v>4301137046</v>
      </c>
      <c r="D269" s="295">
        <v>4620207492093</v>
      </c>
      <c r="E269" s="296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423" t="s">
        <v>354</v>
      </c>
      <c r="Q269" s="283"/>
      <c r="R269" s="283"/>
      <c r="S269" s="283"/>
      <c r="T269" s="284"/>
      <c r="U269" s="35"/>
      <c r="V269" s="35"/>
      <c r="W269" s="36" t="s">
        <v>68</v>
      </c>
      <c r="X269" s="278">
        <v>14</v>
      </c>
      <c r="Y269" s="279">
        <f t="shared" si="18"/>
        <v>14</v>
      </c>
      <c r="Z269" s="37">
        <f>IFERROR(IF(X269="","",X269*0.00936),"")</f>
        <v>0.13103999999999999</v>
      </c>
      <c r="AA269" s="56"/>
      <c r="AB269" s="57"/>
      <c r="AC269" s="252" t="s">
        <v>355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54.488</v>
      </c>
      <c r="BN269" s="67">
        <f t="shared" si="20"/>
        <v>54.488</v>
      </c>
      <c r="BO269" s="67">
        <f t="shared" si="21"/>
        <v>0.1111111111111111</v>
      </c>
      <c r="BP269" s="67">
        <f t="shared" si="22"/>
        <v>0.1111111111111111</v>
      </c>
    </row>
    <row r="270" spans="1:68" ht="27" customHeight="1" x14ac:dyDescent="0.25">
      <c r="A270" s="54" t="s">
        <v>356</v>
      </c>
      <c r="B270" s="54" t="s">
        <v>357</v>
      </c>
      <c r="C270" s="32">
        <v>4301135374</v>
      </c>
      <c r="D270" s="295">
        <v>4640242181424</v>
      </c>
      <c r="E270" s="296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44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3"/>
      <c r="R270" s="283"/>
      <c r="S270" s="283"/>
      <c r="T270" s="284"/>
      <c r="U270" s="35"/>
      <c r="V270" s="35"/>
      <c r="W270" s="36" t="s">
        <v>68</v>
      </c>
      <c r="X270" s="278">
        <v>48</v>
      </c>
      <c r="Y270" s="279">
        <f t="shared" si="18"/>
        <v>48</v>
      </c>
      <c r="Z270" s="37">
        <f>IFERROR(IF(X270="","",X270*0.0155),"")</f>
        <v>0.74399999999999999</v>
      </c>
      <c r="AA270" s="56"/>
      <c r="AB270" s="57"/>
      <c r="AC270" s="254" t="s">
        <v>351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275.28000000000003</v>
      </c>
      <c r="BN270" s="67">
        <f t="shared" si="20"/>
        <v>275.28000000000003</v>
      </c>
      <c r="BO270" s="67">
        <f t="shared" si="21"/>
        <v>0.5714285714285714</v>
      </c>
      <c r="BP270" s="67">
        <f t="shared" si="22"/>
        <v>0.5714285714285714</v>
      </c>
    </row>
    <row r="271" spans="1:68" ht="27" customHeight="1" x14ac:dyDescent="0.25">
      <c r="A271" s="54" t="s">
        <v>358</v>
      </c>
      <c r="B271" s="54" t="s">
        <v>359</v>
      </c>
      <c r="C271" s="32">
        <v>4301135405</v>
      </c>
      <c r="D271" s="295">
        <v>4640242181523</v>
      </c>
      <c r="E271" s="296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3"/>
      <c r="R271" s="283"/>
      <c r="S271" s="283"/>
      <c r="T271" s="284"/>
      <c r="U271" s="35"/>
      <c r="V271" s="35"/>
      <c r="W271" s="36" t="s">
        <v>68</v>
      </c>
      <c r="X271" s="278">
        <v>168</v>
      </c>
      <c r="Y271" s="279">
        <f t="shared" si="18"/>
        <v>168</v>
      </c>
      <c r="Z271" s="37">
        <f t="shared" ref="Z271:Z276" si="23">IFERROR(IF(X271="","",X271*0.00936),"")</f>
        <v>1.5724800000000001</v>
      </c>
      <c r="AA271" s="56"/>
      <c r="AB271" s="57"/>
      <c r="AC271" s="256" t="s">
        <v>360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536.25600000000009</v>
      </c>
      <c r="BN271" s="67">
        <f t="shared" si="20"/>
        <v>536.25600000000009</v>
      </c>
      <c r="BO271" s="67">
        <f t="shared" si="21"/>
        <v>1.3333333333333333</v>
      </c>
      <c r="BP271" s="67">
        <f t="shared" si="22"/>
        <v>1.3333333333333333</v>
      </c>
    </row>
    <row r="272" spans="1:68" ht="27" customHeight="1" x14ac:dyDescent="0.25">
      <c r="A272" s="54" t="s">
        <v>361</v>
      </c>
      <c r="B272" s="54" t="s">
        <v>362</v>
      </c>
      <c r="C272" s="32">
        <v>4301135375</v>
      </c>
      <c r="D272" s="295">
        <v>4640242181486</v>
      </c>
      <c r="E272" s="296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3"/>
      <c r="R272" s="283"/>
      <c r="S272" s="283"/>
      <c r="T272" s="284"/>
      <c r="U272" s="35"/>
      <c r="V272" s="35"/>
      <c r="W272" s="36" t="s">
        <v>68</v>
      </c>
      <c r="X272" s="278">
        <v>70</v>
      </c>
      <c r="Y272" s="279">
        <f t="shared" si="18"/>
        <v>70</v>
      </c>
      <c r="Z272" s="37">
        <f t="shared" si="23"/>
        <v>0.6552</v>
      </c>
      <c r="AA272" s="56"/>
      <c r="AB272" s="57"/>
      <c r="AC272" s="258" t="s">
        <v>351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272.44</v>
      </c>
      <c r="BN272" s="67">
        <f t="shared" si="20"/>
        <v>272.44</v>
      </c>
      <c r="BO272" s="67">
        <f t="shared" si="21"/>
        <v>0.55555555555555558</v>
      </c>
      <c r="BP272" s="67">
        <f t="shared" si="22"/>
        <v>0.55555555555555558</v>
      </c>
    </row>
    <row r="273" spans="1:68" ht="37.5" customHeight="1" x14ac:dyDescent="0.25">
      <c r="A273" s="54" t="s">
        <v>363</v>
      </c>
      <c r="B273" s="54" t="s">
        <v>364</v>
      </c>
      <c r="C273" s="32">
        <v>4301135402</v>
      </c>
      <c r="D273" s="295">
        <v>4640242181493</v>
      </c>
      <c r="E273" s="296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33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3"/>
      <c r="R273" s="283"/>
      <c r="S273" s="283"/>
      <c r="T273" s="284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351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customHeight="1" x14ac:dyDescent="0.25">
      <c r="A274" s="54" t="s">
        <v>365</v>
      </c>
      <c r="B274" s="54" t="s">
        <v>366</v>
      </c>
      <c r="C274" s="32">
        <v>4301135403</v>
      </c>
      <c r="D274" s="295">
        <v>4640242181509</v>
      </c>
      <c r="E274" s="296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41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3"/>
      <c r="R274" s="283"/>
      <c r="S274" s="283"/>
      <c r="T274" s="284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351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367</v>
      </c>
      <c r="B275" s="54" t="s">
        <v>368</v>
      </c>
      <c r="C275" s="32">
        <v>4301135304</v>
      </c>
      <c r="D275" s="295">
        <v>4640242181240</v>
      </c>
      <c r="E275" s="296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0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3"/>
      <c r="R275" s="283"/>
      <c r="S275" s="283"/>
      <c r="T275" s="284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351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369</v>
      </c>
      <c r="B276" s="54" t="s">
        <v>370</v>
      </c>
      <c r="C276" s="32">
        <v>4301135610</v>
      </c>
      <c r="D276" s="295">
        <v>4640242181318</v>
      </c>
      <c r="E276" s="296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43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3"/>
      <c r="R276" s="283"/>
      <c r="S276" s="283"/>
      <c r="T276" s="284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360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customHeight="1" x14ac:dyDescent="0.25">
      <c r="A277" s="54" t="s">
        <v>371</v>
      </c>
      <c r="B277" s="54" t="s">
        <v>372</v>
      </c>
      <c r="C277" s="32">
        <v>4301135306</v>
      </c>
      <c r="D277" s="295">
        <v>4640242181387</v>
      </c>
      <c r="E277" s="296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37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3"/>
      <c r="R277" s="283"/>
      <c r="S277" s="283"/>
      <c r="T277" s="284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351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2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4"/>
      <c r="P278" s="287" t="s">
        <v>87</v>
      </c>
      <c r="Q278" s="288"/>
      <c r="R278" s="288"/>
      <c r="S278" s="288"/>
      <c r="T278" s="288"/>
      <c r="U278" s="288"/>
      <c r="V278" s="289"/>
      <c r="W278" s="38" t="s">
        <v>68</v>
      </c>
      <c r="X278" s="280">
        <f>IFERROR(SUM(X268:X277),"0")</f>
        <v>300</v>
      </c>
      <c r="Y278" s="280">
        <f>IFERROR(SUM(Y268:Y277),"0")</f>
        <v>300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3.1027199999999997</v>
      </c>
      <c r="AA278" s="281"/>
      <c r="AB278" s="281"/>
      <c r="AC278" s="281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4"/>
      <c r="P279" s="287" t="s">
        <v>87</v>
      </c>
      <c r="Q279" s="288"/>
      <c r="R279" s="288"/>
      <c r="S279" s="288"/>
      <c r="T279" s="288"/>
      <c r="U279" s="288"/>
      <c r="V279" s="289"/>
      <c r="W279" s="38" t="s">
        <v>88</v>
      </c>
      <c r="X279" s="280">
        <f>IFERROR(SUMPRODUCT(X268:X277*H268:H277),"0")</f>
        <v>1078.8</v>
      </c>
      <c r="Y279" s="280">
        <f>IFERROR(SUMPRODUCT(Y268:Y277*H268:H277),"0")</f>
        <v>1078.8</v>
      </c>
      <c r="Z279" s="38"/>
      <c r="AA279" s="281"/>
      <c r="AB279" s="281"/>
      <c r="AC279" s="281"/>
    </row>
    <row r="280" spans="1:68" ht="15" customHeight="1" x14ac:dyDescent="0.2">
      <c r="A280" s="456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382"/>
      <c r="P280" s="328" t="s">
        <v>373</v>
      </c>
      <c r="Q280" s="329"/>
      <c r="R280" s="329"/>
      <c r="S280" s="329"/>
      <c r="T280" s="329"/>
      <c r="U280" s="329"/>
      <c r="V280" s="330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11665.92</v>
      </c>
      <c r="Y280" s="280">
        <f>IFERROR(Y31+Y37+Y44+Y50+Y58+Y63+Y68+Y74+Y80+Y85+Y91+Y101+Y107+Y119+Y123+Y127+Y135+Y141+Y147+Y153+Y159+Y164+Y169+Y174+Y181+Y186+Y195+Y201+Y207+Y213+Y218+Y223+Y229+Y235+Y239+Y245+Y249+Y256+Y260+Y266+Y279,"0")</f>
        <v>11665.92</v>
      </c>
      <c r="Z280" s="38"/>
      <c r="AA280" s="281"/>
      <c r="AB280" s="281"/>
      <c r="AC280" s="281"/>
    </row>
    <row r="281" spans="1:68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382"/>
      <c r="P281" s="328" t="s">
        <v>374</v>
      </c>
      <c r="Q281" s="329"/>
      <c r="R281" s="329"/>
      <c r="S281" s="329"/>
      <c r="T281" s="329"/>
      <c r="U281" s="329"/>
      <c r="V281" s="330"/>
      <c r="W281" s="38" t="s">
        <v>88</v>
      </c>
      <c r="X281" s="280">
        <f>IFERROR(SUM(BM22:BM277),"0")</f>
        <v>13074.425200000001</v>
      </c>
      <c r="Y281" s="280">
        <f>IFERROR(SUM(BN22:BN277),"0")</f>
        <v>13074.425200000001</v>
      </c>
      <c r="Z281" s="38"/>
      <c r="AA281" s="281"/>
      <c r="AB281" s="281"/>
      <c r="AC281" s="281"/>
    </row>
    <row r="282" spans="1:68" x14ac:dyDescent="0.2">
      <c r="A282" s="293"/>
      <c r="B282" s="293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382"/>
      <c r="P282" s="328" t="s">
        <v>375</v>
      </c>
      <c r="Q282" s="329"/>
      <c r="R282" s="329"/>
      <c r="S282" s="329"/>
      <c r="T282" s="329"/>
      <c r="U282" s="329"/>
      <c r="V282" s="330"/>
      <c r="W282" s="38" t="s">
        <v>376</v>
      </c>
      <c r="X282" s="39">
        <f>ROUNDUP(SUM(BO22:BO277),0)</f>
        <v>37</v>
      </c>
      <c r="Y282" s="39">
        <f>ROUNDUP(SUM(BP22:BP277),0)</f>
        <v>37</v>
      </c>
      <c r="Z282" s="38"/>
      <c r="AA282" s="281"/>
      <c r="AB282" s="281"/>
      <c r="AC282" s="281"/>
    </row>
    <row r="283" spans="1:68" x14ac:dyDescent="0.2">
      <c r="A283" s="293"/>
      <c r="B283" s="293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382"/>
      <c r="P283" s="328" t="s">
        <v>377</v>
      </c>
      <c r="Q283" s="329"/>
      <c r="R283" s="329"/>
      <c r="S283" s="329"/>
      <c r="T283" s="329"/>
      <c r="U283" s="329"/>
      <c r="V283" s="330"/>
      <c r="W283" s="38" t="s">
        <v>88</v>
      </c>
      <c r="X283" s="280">
        <f>GrossWeightTotal+PalletQtyTotal*25</f>
        <v>13999.425200000001</v>
      </c>
      <c r="Y283" s="280">
        <f>GrossWeightTotalR+PalletQtyTotalR*25</f>
        <v>13999.425200000001</v>
      </c>
      <c r="Z283" s="38"/>
      <c r="AA283" s="281"/>
      <c r="AB283" s="281"/>
      <c r="AC283" s="281"/>
    </row>
    <row r="284" spans="1:68" x14ac:dyDescent="0.2">
      <c r="A284" s="293"/>
      <c r="B284" s="293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382"/>
      <c r="P284" s="328" t="s">
        <v>378</v>
      </c>
      <c r="Q284" s="329"/>
      <c r="R284" s="329"/>
      <c r="S284" s="329"/>
      <c r="T284" s="329"/>
      <c r="U284" s="329"/>
      <c r="V284" s="330"/>
      <c r="W284" s="38" t="s">
        <v>376</v>
      </c>
      <c r="X284" s="280">
        <f>IFERROR(X30+X36+X43+X49+X57+X62+X67+X73+X79+X84+X90+X100+X106+X118+X122+X126+X134+X140+X146+X152+X158+X163+X168+X173+X180+X185+X194+X200+X206+X212+X217+X222+X228+X234+X238+X244+X248+X255+X259+X265+X278,"0")</f>
        <v>3456</v>
      </c>
      <c r="Y284" s="280">
        <f>IFERROR(Y30+Y36+Y43+Y49+Y57+Y62+Y67+Y73+Y79+Y84+Y90+Y100+Y106+Y118+Y122+Y126+Y134+Y140+Y146+Y152+Y158+Y163+Y168+Y173+Y180+Y185+Y194+Y200+Y206+Y212+Y217+Y222+Y228+Y234+Y238+Y244+Y248+Y255+Y259+Y265+Y278,"0")</f>
        <v>3456</v>
      </c>
      <c r="Z284" s="38"/>
      <c r="AA284" s="281"/>
      <c r="AB284" s="281"/>
      <c r="AC284" s="281"/>
    </row>
    <row r="285" spans="1:68" ht="14.25" customHeight="1" x14ac:dyDescent="0.2">
      <c r="A285" s="293"/>
      <c r="B285" s="293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382"/>
      <c r="P285" s="328" t="s">
        <v>379</v>
      </c>
      <c r="Q285" s="329"/>
      <c r="R285" s="329"/>
      <c r="S285" s="329"/>
      <c r="T285" s="329"/>
      <c r="U285" s="329"/>
      <c r="V285" s="330"/>
      <c r="W285" s="40" t="s">
        <v>380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46.002079999999999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381</v>
      </c>
      <c r="B287" s="285" t="s">
        <v>61</v>
      </c>
      <c r="C287" s="313"/>
      <c r="D287" s="285" t="s">
        <v>95</v>
      </c>
      <c r="E287" s="378"/>
      <c r="F287" s="378"/>
      <c r="G287" s="378"/>
      <c r="H287" s="378"/>
      <c r="I287" s="378"/>
      <c r="J287" s="378"/>
      <c r="K287" s="378"/>
      <c r="L287" s="378"/>
      <c r="M287" s="378"/>
      <c r="N287" s="378"/>
      <c r="O287" s="378"/>
      <c r="P287" s="378"/>
      <c r="Q287" s="378"/>
      <c r="R287" s="378"/>
      <c r="S287" s="378"/>
      <c r="T287" s="378"/>
      <c r="U287" s="313"/>
      <c r="V287" s="285" t="s">
        <v>259</v>
      </c>
      <c r="W287" s="313"/>
      <c r="X287" s="275" t="s">
        <v>270</v>
      </c>
      <c r="Y287" s="285" t="s">
        <v>284</v>
      </c>
      <c r="Z287" s="378"/>
      <c r="AA287" s="378"/>
      <c r="AB287" s="313"/>
      <c r="AC287" s="275" t="s">
        <v>313</v>
      </c>
      <c r="AD287" s="275" t="s">
        <v>318</v>
      </c>
      <c r="AE287" s="275" t="s">
        <v>326</v>
      </c>
      <c r="AF287" s="275" t="s">
        <v>333</v>
      </c>
    </row>
    <row r="288" spans="1:68" ht="14.25" customHeight="1" thickTop="1" x14ac:dyDescent="0.2">
      <c r="A288" s="332" t="s">
        <v>382</v>
      </c>
      <c r="B288" s="285" t="s">
        <v>61</v>
      </c>
      <c r="C288" s="285" t="s">
        <v>89</v>
      </c>
      <c r="D288" s="285" t="s">
        <v>96</v>
      </c>
      <c r="E288" s="285" t="s">
        <v>107</v>
      </c>
      <c r="F288" s="285" t="s">
        <v>114</v>
      </c>
      <c r="G288" s="285" t="s">
        <v>125</v>
      </c>
      <c r="H288" s="285" t="s">
        <v>143</v>
      </c>
      <c r="I288" s="285" t="s">
        <v>150</v>
      </c>
      <c r="J288" s="285" t="s">
        <v>154</v>
      </c>
      <c r="K288" s="285" t="s">
        <v>162</v>
      </c>
      <c r="L288" s="285" t="s">
        <v>178</v>
      </c>
      <c r="M288" s="285" t="s">
        <v>185</v>
      </c>
      <c r="N288" s="276"/>
      <c r="O288" s="285" t="s">
        <v>212</v>
      </c>
      <c r="P288" s="285" t="s">
        <v>230</v>
      </c>
      <c r="Q288" s="285" t="s">
        <v>236</v>
      </c>
      <c r="R288" s="285" t="s">
        <v>243</v>
      </c>
      <c r="S288" s="285" t="s">
        <v>248</v>
      </c>
      <c r="T288" s="285" t="s">
        <v>252</v>
      </c>
      <c r="U288" s="285" t="s">
        <v>255</v>
      </c>
      <c r="V288" s="285" t="s">
        <v>260</v>
      </c>
      <c r="W288" s="285" t="s">
        <v>267</v>
      </c>
      <c r="X288" s="285" t="s">
        <v>271</v>
      </c>
      <c r="Y288" s="285" t="s">
        <v>285</v>
      </c>
      <c r="Z288" s="285" t="s">
        <v>298</v>
      </c>
      <c r="AA288" s="285" t="s">
        <v>305</v>
      </c>
      <c r="AB288" s="285" t="s">
        <v>309</v>
      </c>
      <c r="AC288" s="285" t="s">
        <v>314</v>
      </c>
      <c r="AD288" s="285" t="s">
        <v>319</v>
      </c>
      <c r="AE288" s="285" t="s">
        <v>326</v>
      </c>
      <c r="AF288" s="285" t="s">
        <v>333</v>
      </c>
    </row>
    <row r="289" spans="1:32" ht="13.5" customHeight="1" thickBot="1" x14ac:dyDescent="0.25">
      <c r="A289" s="333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7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</row>
    <row r="290" spans="1:32" ht="18" customHeight="1" thickTop="1" thickBot="1" x14ac:dyDescent="0.25">
      <c r="A290" s="41" t="s">
        <v>383</v>
      </c>
      <c r="B290" s="47">
        <f>IFERROR(X22*H22,"0")+IFERROR(X23*H23,"0")+IFERROR(X24*H24,"0")+IFERROR(X25*H25,"0")+IFERROR(X26*H26,"0")+IFERROR(X27*H27,"0")+IFERROR(X28*H28,"0")+IFERROR(X29*H29,"0")</f>
        <v>393.6</v>
      </c>
      <c r="C290" s="47">
        <f>IFERROR(X34*H34,"0")+IFERROR(X35*H35,"0")</f>
        <v>0</v>
      </c>
      <c r="D290" s="47">
        <f>IFERROR(X41*H41,"0")+IFERROR(X42*H42,"0")</f>
        <v>399</v>
      </c>
      <c r="E290" s="47">
        <f>IFERROR(X47*H47,"0")+IFERROR(X48*H48,"0")</f>
        <v>134.39999999999998</v>
      </c>
      <c r="F290" s="47">
        <f>IFERROR(X53*H53,"0")+IFERROR(X54*H54,"0")+IFERROR(X55*H55,"0")+IFERROR(X56*H56,"0")</f>
        <v>475.20000000000005</v>
      </c>
      <c r="G290" s="47">
        <f>IFERROR(X61*H61,"0")+IFERROR(X65*H65,"0")+IFERROR(X66*H66,"0")+IFERROR(X70*H70,"0")+IFERROR(X71*H71,"0")+IFERROR(X72*H72,"0")</f>
        <v>0</v>
      </c>
      <c r="H290" s="47">
        <f>IFERROR(X77*H77,"0")+IFERROR(X78*H78,"0")</f>
        <v>420</v>
      </c>
      <c r="I290" s="47">
        <f>IFERROR(X83*H83,"0")</f>
        <v>0</v>
      </c>
      <c r="J290" s="47">
        <f>IFERROR(X88*H88,"0")+IFERROR(X89*H89,"0")</f>
        <v>655.20000000000005</v>
      </c>
      <c r="K290" s="47">
        <f>IFERROR(X94*H94,"0")+IFERROR(X95*H95,"0")+IFERROR(X96*H96,"0")+IFERROR(X97*H97,"0")+IFERROR(X98*H98,"0")+IFERROR(X99*H99,"0")</f>
        <v>698.88</v>
      </c>
      <c r="L290" s="47">
        <f>IFERROR(X104*H104,"0")+IFERROR(X105*H105,"0")</f>
        <v>241.92000000000002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2148</v>
      </c>
      <c r="N290" s="276"/>
      <c r="O290" s="47">
        <f>IFERROR(X130*H130,"0")+IFERROR(X131*H131,"0")+IFERROR(X132*H132,"0")+IFERROR(X133*H133,"0")+IFERROR(X137*H137,"0")+IFERROR(X138*H138,"0")+IFERROR(X139*H139,"0")</f>
        <v>907.2</v>
      </c>
      <c r="P290" s="47">
        <f>IFERROR(X144*H144,"0")+IFERROR(X145*H145,"0")</f>
        <v>756</v>
      </c>
      <c r="Q290" s="47">
        <f>IFERROR(X150*H150,"0")+IFERROR(X151*H151,"0")</f>
        <v>420</v>
      </c>
      <c r="R290" s="47">
        <f>IFERROR(X156*H156,"0")+IFERROR(X157*H157,"0")</f>
        <v>67.2</v>
      </c>
      <c r="S290" s="47">
        <f>IFERROR(X162*H162,"0")</f>
        <v>0</v>
      </c>
      <c r="T290" s="47">
        <f>IFERROR(X167*H167,"0")</f>
        <v>0</v>
      </c>
      <c r="U290" s="47">
        <f>IFERROR(X172*H172,"0")</f>
        <v>258.71999999999997</v>
      </c>
      <c r="V290" s="47">
        <f>IFERROR(X178*H178,"0")+IFERROR(X179*H179,"0")</f>
        <v>60</v>
      </c>
      <c r="W290" s="47">
        <f>IFERROR(X184*H184,"0")</f>
        <v>60</v>
      </c>
      <c r="X290" s="47">
        <f>IFERROR(X190*H190,"0")+IFERROR(X191*H191,"0")+IFERROR(X192*H192,"0")+IFERROR(X193*H193,"0")</f>
        <v>378</v>
      </c>
      <c r="Y290" s="47">
        <f>IFERROR(X199*H199,"0")+IFERROR(X203*H203,"0")+IFERROR(X204*H204,"0")+IFERROR(X205*H205,"0")</f>
        <v>0</v>
      </c>
      <c r="Z290" s="47">
        <f>IFERROR(X210*H210,"0")+IFERROR(X211*H211,"0")</f>
        <v>0</v>
      </c>
      <c r="AA290" s="47">
        <f>IFERROR(X216*H216,"0")</f>
        <v>300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2892.6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384</v>
      </c>
      <c r="B292" s="58" t="s">
        <v>385</v>
      </c>
      <c r="C292" s="58" t="s">
        <v>386</v>
      </c>
    </row>
    <row r="293" spans="1:32" x14ac:dyDescent="0.2">
      <c r="A293" s="59">
        <f>SUMPRODUCT(--(BB:BB="ЗПФ"),--(W:W="кор"),H:H,Y:Y)+SUMPRODUCT(--(BB:BB="ЗПФ"),--(W:W="кг"),Y:Y)</f>
        <v>3991.2</v>
      </c>
      <c r="B293" s="60">
        <f>SUMPRODUCT(--(BB:BB="ПГП"),--(W:W="кор"),H:H,Y:Y)+SUMPRODUCT(--(BB:BB="ПГП"),--(W:W="кг"),Y:Y)</f>
        <v>7674.7200000000012</v>
      </c>
      <c r="C293" s="60">
        <f>SUMPRODUCT(--(BB:BB="КИЗ"),--(W:W="кор"),H:H,Y:Y)+SUMPRODUCT(--(BB:BB="КИЗ"),--(W:W="кг"),Y:Y)</f>
        <v>0</v>
      </c>
    </row>
  </sheetData>
  <sheetProtection algorithmName="SHA-512" hashValue="nCocUCPk0MuMst5yaaMz9zPqLV7wN3HML6Y3L8eMNJHi1d0yGZRC5CBGI6ytBk+2VEsxYiHMZRRWp+jr1hL7Vg==" saltValue="0N/FZQd6hsDyM4UlZmK8V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9"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H5:M5"/>
    <mergeCell ref="P31:V31"/>
    <mergeCell ref="S288:S289"/>
    <mergeCell ref="A228:O229"/>
    <mergeCell ref="A154:Z154"/>
    <mergeCell ref="U288:U289"/>
    <mergeCell ref="K288:K289"/>
    <mergeCell ref="A214:Z214"/>
    <mergeCell ref="P158:V158"/>
    <mergeCell ref="P98:T98"/>
    <mergeCell ref="D6:M6"/>
    <mergeCell ref="P266:V266"/>
    <mergeCell ref="P162:T162"/>
    <mergeCell ref="D83:E83"/>
    <mergeCell ref="P227:T227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V6:W9"/>
    <mergeCell ref="D199:E199"/>
    <mergeCell ref="A106:O107"/>
    <mergeCell ref="P234:V234"/>
    <mergeCell ref="A59:Z59"/>
    <mergeCell ref="P274:T274"/>
    <mergeCell ref="P193:T193"/>
    <mergeCell ref="D65:E65"/>
    <mergeCell ref="P22:T22"/>
    <mergeCell ref="Z17:Z18"/>
    <mergeCell ref="P173:V173"/>
    <mergeCell ref="P100:V100"/>
    <mergeCell ref="P265:V265"/>
    <mergeCell ref="P44:V44"/>
    <mergeCell ref="A182:Z182"/>
    <mergeCell ref="A225:Z225"/>
    <mergeCell ref="P123:V123"/>
    <mergeCell ref="P130:T130"/>
    <mergeCell ref="P190:T190"/>
    <mergeCell ref="P111:T111"/>
    <mergeCell ref="P61:T61"/>
    <mergeCell ref="P48:T48"/>
    <mergeCell ref="D227:E227"/>
    <mergeCell ref="A9:C9"/>
    <mergeCell ref="D273:E273"/>
    <mergeCell ref="P156:T156"/>
    <mergeCell ref="A160:Z160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114:T114"/>
    <mergeCell ref="P41:T41"/>
    <mergeCell ref="J9:M9"/>
    <mergeCell ref="D112:E112"/>
    <mergeCell ref="A90:O91"/>
    <mergeCell ref="D56:E56"/>
    <mergeCell ref="D193:E193"/>
    <mergeCell ref="P233:T233"/>
    <mergeCell ref="D114:E114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P30:V30"/>
    <mergeCell ref="A82:Z82"/>
    <mergeCell ref="P96:T96"/>
    <mergeCell ref="H17:H18"/>
    <mergeCell ref="D204:E204"/>
    <mergeCell ref="D269:E269"/>
    <mergeCell ref="A13:M13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5:M15"/>
    <mergeCell ref="A183:Z183"/>
    <mergeCell ref="D48:E48"/>
    <mergeCell ref="P77:T77"/>
    <mergeCell ref="P204:T204"/>
    <mergeCell ref="P179:T179"/>
    <mergeCell ref="A198:Z198"/>
    <mergeCell ref="D125:E125"/>
    <mergeCell ref="A252:Z252"/>
    <mergeCell ref="P27:T27"/>
    <mergeCell ref="A84:O85"/>
    <mergeCell ref="A222:O223"/>
    <mergeCell ref="M17:M18"/>
    <mergeCell ref="O17:O18"/>
    <mergeCell ref="T5:U5"/>
    <mergeCell ref="D190:E190"/>
    <mergeCell ref="P203:T203"/>
    <mergeCell ref="V5:W5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P15:T16"/>
    <mergeCell ref="D116:E116"/>
    <mergeCell ref="A177:Z177"/>
    <mergeCell ref="P23:T23"/>
    <mergeCell ref="D162:E162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A122:O123"/>
    <mergeCell ref="P146:V146"/>
    <mergeCell ref="P181:V181"/>
    <mergeCell ref="D96:E96"/>
    <mergeCell ref="D27:E27"/>
    <mergeCell ref="Q11:R11"/>
    <mergeCell ref="P205:T205"/>
    <mergeCell ref="A6:C6"/>
    <mergeCell ref="D113:E113"/>
    <mergeCell ref="AD288:AD289"/>
    <mergeCell ref="P167:T167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7:M7"/>
    <mergeCell ref="P91:V91"/>
    <mergeCell ref="A81:Z81"/>
    <mergeCell ref="D144:E144"/>
    <mergeCell ref="P29:T29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D274:E274"/>
    <mergeCell ref="P116:T116"/>
    <mergeCell ref="P268:T268"/>
    <mergeCell ref="P97:T97"/>
    <mergeCell ref="D211:E211"/>
    <mergeCell ref="D253:E253"/>
    <mergeCell ref="D53:E53"/>
    <mergeCell ref="D47:E47"/>
    <mergeCell ref="P159:V159"/>
    <mergeCell ref="A149:Z149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A173:O174"/>
    <mergeCell ref="A124:Z124"/>
    <mergeCell ref="P99:T99"/>
    <mergeCell ref="P145:T145"/>
    <mergeCell ref="D66:E66"/>
    <mergeCell ref="P144:T144"/>
    <mergeCell ref="O288:O289"/>
    <mergeCell ref="Q288:Q289"/>
    <mergeCell ref="P245:V245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75:T275"/>
    <mergeCell ref="P248:V248"/>
    <mergeCell ref="D258:E258"/>
    <mergeCell ref="B287:C287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 X99 X105 X111:X112 X115 X121 X125 X130:X133 X137:X139 X150:X151 X156 X178 X184 X193 X203 X210:X211 X221 X227 X233 X237 X243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96:X98 X104 X110 X113:X114 X116:X117 X144:X145 X157 X162 X167 X172 X179 X190:X192 X199 X204:X205 X216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387</v>
      </c>
      <c r="H1" s="8"/>
    </row>
    <row r="3" spans="2:8" x14ac:dyDescent="0.2">
      <c r="B3" s="48" t="s">
        <v>388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389</v>
      </c>
      <c r="C6" s="48" t="s">
        <v>390</v>
      </c>
      <c r="D6" s="48" t="s">
        <v>391</v>
      </c>
      <c r="E6" s="48"/>
    </row>
    <row r="7" spans="2:8" x14ac:dyDescent="0.2">
      <c r="B7" s="48" t="s">
        <v>392</v>
      </c>
      <c r="C7" s="48" t="s">
        <v>393</v>
      </c>
      <c r="D7" s="48" t="s">
        <v>394</v>
      </c>
      <c r="E7" s="48"/>
    </row>
    <row r="8" spans="2:8" x14ac:dyDescent="0.2">
      <c r="B8" s="48" t="s">
        <v>395</v>
      </c>
      <c r="C8" s="48" t="s">
        <v>396</v>
      </c>
      <c r="D8" s="48" t="s">
        <v>397</v>
      </c>
      <c r="E8" s="48"/>
    </row>
    <row r="9" spans="2:8" x14ac:dyDescent="0.2">
      <c r="B9" s="48" t="s">
        <v>398</v>
      </c>
      <c r="C9" s="48" t="s">
        <v>399</v>
      </c>
      <c r="D9" s="48" t="s">
        <v>400</v>
      </c>
      <c r="E9" s="48"/>
    </row>
    <row r="10" spans="2:8" x14ac:dyDescent="0.2">
      <c r="B10" s="48" t="s">
        <v>401</v>
      </c>
      <c r="C10" s="48" t="s">
        <v>402</v>
      </c>
      <c r="D10" s="48" t="s">
        <v>403</v>
      </c>
      <c r="E10" s="48"/>
    </row>
    <row r="12" spans="2:8" x14ac:dyDescent="0.2">
      <c r="B12" s="48" t="s">
        <v>404</v>
      </c>
      <c r="C12" s="48" t="s">
        <v>390</v>
      </c>
      <c r="D12" s="48"/>
      <c r="E12" s="48"/>
    </row>
    <row r="14" spans="2:8" x14ac:dyDescent="0.2">
      <c r="B14" s="48" t="s">
        <v>405</v>
      </c>
      <c r="C14" s="48" t="s">
        <v>393</v>
      </c>
      <c r="D14" s="48"/>
      <c r="E14" s="48"/>
    </row>
    <row r="16" spans="2:8" x14ac:dyDescent="0.2">
      <c r="B16" s="48" t="s">
        <v>406</v>
      </c>
      <c r="C16" s="48" t="s">
        <v>396</v>
      </c>
      <c r="D16" s="48"/>
      <c r="E16" s="48"/>
    </row>
    <row r="18" spans="2:5" x14ac:dyDescent="0.2">
      <c r="B18" s="48" t="s">
        <v>407</v>
      </c>
      <c r="C18" s="48" t="s">
        <v>399</v>
      </c>
      <c r="D18" s="48"/>
      <c r="E18" s="48"/>
    </row>
    <row r="20" spans="2:5" x14ac:dyDescent="0.2">
      <c r="B20" s="48" t="s">
        <v>408</v>
      </c>
      <c r="C20" s="48" t="s">
        <v>402</v>
      </c>
      <c r="D20" s="48"/>
      <c r="E20" s="48"/>
    </row>
    <row r="22" spans="2:5" x14ac:dyDescent="0.2">
      <c r="B22" s="48" t="s">
        <v>409</v>
      </c>
      <c r="C22" s="48"/>
      <c r="D22" s="48"/>
      <c r="E22" s="48"/>
    </row>
    <row r="23" spans="2:5" x14ac:dyDescent="0.2">
      <c r="B23" s="48" t="s">
        <v>410</v>
      </c>
      <c r="C23" s="48"/>
      <c r="D23" s="48"/>
      <c r="E23" s="48"/>
    </row>
    <row r="24" spans="2:5" x14ac:dyDescent="0.2">
      <c r="B24" s="48" t="s">
        <v>411</v>
      </c>
      <c r="C24" s="48"/>
      <c r="D24" s="48"/>
      <c r="E24" s="48"/>
    </row>
    <row r="25" spans="2:5" x14ac:dyDescent="0.2">
      <c r="B25" s="48" t="s">
        <v>412</v>
      </c>
      <c r="C25" s="48"/>
      <c r="D25" s="48"/>
      <c r="E25" s="48"/>
    </row>
    <row r="26" spans="2:5" x14ac:dyDescent="0.2">
      <c r="B26" s="48" t="s">
        <v>413</v>
      </c>
      <c r="C26" s="48"/>
      <c r="D26" s="48"/>
      <c r="E26" s="48"/>
    </row>
    <row r="27" spans="2:5" x14ac:dyDescent="0.2">
      <c r="B27" s="48" t="s">
        <v>414</v>
      </c>
      <c r="C27" s="48"/>
      <c r="D27" s="48"/>
      <c r="E27" s="48"/>
    </row>
    <row r="28" spans="2:5" x14ac:dyDescent="0.2">
      <c r="B28" s="48" t="s">
        <v>415</v>
      </c>
      <c r="C28" s="48"/>
      <c r="D28" s="48"/>
      <c r="E28" s="48"/>
    </row>
    <row r="29" spans="2:5" x14ac:dyDescent="0.2">
      <c r="B29" s="48" t="s">
        <v>416</v>
      </c>
      <c r="C29" s="48"/>
      <c r="D29" s="48"/>
      <c r="E29" s="48"/>
    </row>
    <row r="30" spans="2:5" x14ac:dyDescent="0.2">
      <c r="B30" s="48" t="s">
        <v>417</v>
      </c>
      <c r="C30" s="48"/>
      <c r="D30" s="48"/>
      <c r="E30" s="48"/>
    </row>
    <row r="31" spans="2:5" x14ac:dyDescent="0.2">
      <c r="B31" s="48" t="s">
        <v>418</v>
      </c>
      <c r="C31" s="48"/>
      <c r="D31" s="48"/>
      <c r="E31" s="48"/>
    </row>
    <row r="32" spans="2:5" x14ac:dyDescent="0.2">
      <c r="B32" s="48" t="s">
        <v>419</v>
      </c>
      <c r="C32" s="48"/>
      <c r="D32" s="48"/>
      <c r="E32" s="48"/>
    </row>
  </sheetData>
  <sheetProtection algorithmName="SHA-512" hashValue="G1EojMTCh8Ut4fA72AP6GRNNw8cG4bMErS4TR8JuKpEqmAu+9A7cG8R5sP0+4RIj2zLQuKCVej31X1Bvk7c4Rg==" saltValue="RUsp4HF69i2MDQN1Q8KQi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2026-08-28T12:19:46Z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